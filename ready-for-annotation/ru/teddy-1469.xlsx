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<sst xmlns="http://schemas.openxmlformats.org/spreadsheetml/2006/main" count="5228" uniqueCount="1819">
  <si>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</si>
  <si>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</si>
  <si>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</si>
  <si>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</si>
  <si>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</si>
  <si>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</si>
  <si>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</si>
  <si>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</si>
  <si>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</si>
  <si>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</si>
  <si>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</si>
  <si>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</si>
  <si>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</si>
  <si>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находиться</t>
  </si>
  <si>
    <t>Демократия находится в трудном положении , в этом нет ни доли сомнения .</t>
  </si>
  <si>
    <t>file://conllu/ru/teddy-1469.conllu#s1_0</t>
  </si>
  <si>
    <t>3</t>
  </si>
  <si>
    <t>происходить</t>
  </si>
  <si>
    <t>Это частично происходит из глубокой дилеммы , в которой скрыта проблема .</t>
  </si>
  <si>
    <t>file://conllu/ru/teddy-1469.conllu#s2_0</t>
  </si>
  <si>
    <t>30</t>
  </si>
  <si>
    <t>представлять (представлять соответствовать)</t>
  </si>
  <si>
    <t>Демократия всё больше не соответствует принимаемым нами решениям , которые должны справляться с межграничными проблемами глобальной пандемии , с транснациональной проблемой ВИЧ , с рынками и иммиграцией , что представляет собой проблему вне национальных границ , с терроризмом , войной , со всеми теперешними трансграничными проблемами .</t>
  </si>
  <si>
    <t>file://conllu/ru/teddy-1469.conllu#s3_0</t>
  </si>
  <si>
    <t>4</t>
  </si>
  <si>
    <t>мир</t>
  </si>
  <si>
    <t>По сути , мир 21 века , в котором мы живём , — это мир взаимозависимости и жестоких взаимосвязанных проблем .</t>
  </si>
  <si>
    <t>file://conllu/ru/teddy-1469.conllu#s4_0</t>
  </si>
  <si>
    <t>5</t>
  </si>
  <si>
    <t>11</t>
  </si>
  <si>
    <t>сталкиваться</t>
  </si>
  <si>
    <t>Когда мы ищем решения в политике и демократии , мы сталкиваемся с политическими институтами , которые были созданы 400 лет назад .</t>
  </si>
  <si>
    <t>file://conllu/ru/teddy-1469.conllu#s5_0</t>
  </si>
  <si>
    <t>6</t>
  </si>
  <si>
    <t>являться</t>
  </si>
  <si>
    <t>Они являются автономными суверенными национальными государствами со своей юрисдикцией и территорией , они отделены друг от друга , и каждый из них утверждает , что может решить проблему своего народа .</t>
  </si>
  <si>
    <t>file://conllu/ru/teddy-1469.conllu#s6_0</t>
  </si>
  <si>
    <t>7</t>
  </si>
  <si>
    <t>Мир 21 века — транснациональный мир с множеством проблем и задач , мир 17 века — мир политических институтов .</t>
  </si>
  <si>
    <t>file://conllu/ru/teddy-1469.conllu#s7_0</t>
  </si>
  <si>
    <t>8</t>
  </si>
  <si>
    <t>заключаться</t>
  </si>
  <si>
    <t>В этой дилемме заключается главная проблема демократии .</t>
  </si>
  <si>
    <t>file://conllu/ru/teddy-1469.conllu#s8_0</t>
  </si>
  <si>
    <t>9</t>
  </si>
  <si>
    <t>думать</t>
  </si>
  <si>
    <t>Как и многие другие , я думал о том , что может сделать каждый из нас для решения асимметрии между задачами 21 века и архаическими , плохо функционирующими политическими организациями , такими как национальные государства .</t>
  </si>
  <si>
    <t>file://conllu/ru/teddy-1469.conllu#s9_0</t>
  </si>
  <si>
    <t>10</t>
  </si>
  <si>
    <t>Моё предложение заключается вот в чём : мы должны прекратить говорить о нациях , о государствах , ограниченных границами , и начать наконец говорить о городах .</t>
  </si>
  <si>
    <t>file://conllu/ru/teddy-1469.conllu#s10_0</t>
  </si>
  <si>
    <t>обнаружить</t>
  </si>
  <si>
    <t>Если мы посмотрим на города , мы обнаружим , что перед нами политические организации , в которых были рождены цивилизация и культура .</t>
  </si>
  <si>
    <t>file://conllu/ru/teddy-1469.conllu#s11_0</t>
  </si>
  <si>
    <t>12</t>
  </si>
  <si>
    <t>говорить</t>
  </si>
  <si>
    <t>Мы говорим об истоках демократии .</t>
  </si>
  <si>
    <t>file://conllu/ru/teddy-1469.conllu#s12_0</t>
  </si>
  <si>
    <t>13</t>
  </si>
  <si>
    <t>Мы говорим о местах существования общественных пространств , где мы собираемся вместе для создания демократии и в то же время для протеста против тех , кто может забрать нашу свободу и наши места .</t>
  </si>
  <si>
    <t>file://conllu/ru/teddy-1469.conllu#s13_0</t>
  </si>
  <si>
    <t>14</t>
  </si>
  <si>
    <t>подумать</t>
  </si>
  <si>
    <t>Подумайте о таких великих названиях :</t>
  </si>
  <si>
    <t>file://conllu/ru/teddy-1469.conllu#s14_0</t>
  </si>
  <si>
    <t>15</t>
  </si>
  <si>
    <t>площадь</t>
  </si>
  <si>
    <t>Площадь Бастилии , парк Зуккотти , площадь Тахрир , площадь Таксим на переднем плане сегодняшнего Стамбула или , например , площадь Тяньаньмэнь в Пекине .</t>
  </si>
  <si>
    <t>file://conllu/ru/teddy-1469.conllu#s15_0</t>
  </si>
  <si>
    <t>16</t>
  </si>
  <si>
    <t>место</t>
  </si>
  <si>
    <t>( Аплодисменты ) Это общественные места , где мы объявляем себя жителями городов , участниками , людьми с правом творить наши собственные истории .</t>
  </si>
  <si>
    <t>file://conllu/ru/teddy-1469.conllu#s16_0</t>
  </si>
  <si>
    <t>17</t>
  </si>
  <si>
    <t>Однако?</t>
  </si>
  <si>
    <t>Города не являются единственными старейшими организациями , однако они существуют дольше остальных .</t>
  </si>
  <si>
    <t>file://conllu/ru/teddy-1469.conllu#s17_0</t>
  </si>
  <si>
    <t>18</t>
  </si>
  <si>
    <t>Подумайте об этом , ведь Константинополь и Стамбул намного старше Турции , Александрия намного старше Египта , Рим значительно старше Италии .</t>
  </si>
  <si>
    <t>file://conllu/ru/teddy-1469.conllu#s18_0</t>
  </si>
  <si>
    <t>19</t>
  </si>
  <si>
    <t>стоять</t>
  </si>
  <si>
    <t>Города стояли в течении веков .</t>
  </si>
  <si>
    <t>file://conllu/ru/teddy-1469.conllu#s19_0</t>
  </si>
  <si>
    <t>20</t>
  </si>
  <si>
    <t>Это места , где мы рождаемся , вырастаем , получаем образование , работаем , женимся , молимся , играем , стареем и со временем умираем .</t>
  </si>
  <si>
    <t>file://conllu/ru/teddy-1469.conllu#s20_0</t>
  </si>
  <si>
    <t>21</t>
  </si>
  <si>
    <t>дом</t>
  </si>
  <si>
    <t>Они наш дом .</t>
  </si>
  <si>
    <t>file://conllu/ru/teddy-1469.conllu#s21_0</t>
  </si>
  <si>
    <t>22</t>
  </si>
  <si>
    <t>отличаться</t>
  </si>
  <si>
    <t>Они очень отличаются от национальных государств , которые , по сути , являются абстракциями .</t>
  </si>
  <si>
    <t>file://conllu/ru/teddy-1469.conllu#s22_0</t>
  </si>
  <si>
    <t>23</t>
  </si>
  <si>
    <t>платить</t>
  </si>
  <si>
    <t>Мы платим налоги , периодически голосуем , мы наблюдаем , как мужчины и женщины , которых мы избрали управлять , управляют в общем то и без нас .</t>
  </si>
  <si>
    <t>file://conllu/ru/teddy-1469.conllu#s23_0</t>
  </si>
  <si>
    <t>24</t>
  </si>
  <si>
    <t>ситуация</t>
  </si>
  <si>
    <t>Совсем иная ситуация в местах , которые мы называем своими городами , или городами , где мы живём .</t>
  </si>
  <si>
    <t>file://conllu/ru/teddy-1469.conllu#s24_0</t>
  </si>
  <si>
    <t>25</t>
  </si>
  <si>
    <t>жить</t>
  </si>
  <si>
    <t>Более того , на сегодняшний день более половины населения планеты живёт в городах .</t>
  </si>
  <si>
    <t>file://conllu/ru/teddy-1469.conllu#s25_0</t>
  </si>
  <si>
    <t>26</t>
  </si>
  <si>
    <t>составлять</t>
  </si>
  <si>
    <t>В развитом мире эта цифра составляет 78 % .</t>
  </si>
  <si>
    <t>file://conllu/ru/teddy-1469.conllu#s26_0</t>
  </si>
  <si>
    <t>27</t>
  </si>
  <si>
    <t>Больше трёх из четырёх людей живут в городской среде , городских местностях , то есть в городах .</t>
  </si>
  <si>
    <t>file://conllu/ru/teddy-1469.conllu#s27_0</t>
  </si>
  <si>
    <t>28</t>
  </si>
  <si>
    <t>Всё происходит именно в городах .</t>
  </si>
  <si>
    <t>file://conllu/ru/teddy-1469.conllu#s28_0</t>
  </si>
  <si>
    <t>29</t>
  </si>
  <si>
    <t>это (это мы)</t>
  </si>
  <si>
    <t>Города — это мы .</t>
  </si>
  <si>
    <t>file://conllu/ru/teddy-1469.conllu#s29_0</t>
  </si>
  <si>
    <t>сказать</t>
  </si>
  <si>
    <t>В древности Аристотель сказал , что человек — это политическое животное .</t>
  </si>
  <si>
    <t>file://conllu/ru/teddy-1469.conllu#s30_0</t>
  </si>
  <si>
    <t>31</t>
  </si>
  <si>
    <t>Я же говорю , что мы — городские животные .</t>
  </si>
  <si>
    <t>file://conllu/ru/teddy-1469.conllu#s31_0</t>
  </si>
  <si>
    <t>32</t>
  </si>
  <si>
    <t>вид</t>
  </si>
  <si>
    <t>Мы урбанистический вид , у которого дом является городом .</t>
  </si>
  <si>
    <t>file://conllu/ru/teddy-1469.conllu#s32_0</t>
  </si>
  <si>
    <t>33</t>
  </si>
  <si>
    <t>Вернёться</t>
  </si>
  <si>
    <t>Вернёмся к дилемме .</t>
  </si>
  <si>
    <t>file://conllu/ru/teddy-1469.conllu#s33_0</t>
  </si>
  <si>
    <t>34</t>
  </si>
  <si>
    <t>то</t>
  </si>
  <si>
    <t>Если дилемма в том , что у нас устаревшие политические национальные государства , неспособные управлять миром , должны бороться с глобальными проблемами , такими как изменения климата , тогда , возможно , пришло время , когда мэры должны управлять миром .</t>
  </si>
  <si>
    <t>file://conllu/ru/teddy-1469.conllu#s34_0</t>
  </si>
  <si>
    <t>35</t>
  </si>
  <si>
    <t>должен</t>
  </si>
  <si>
    <t>Жители городов , мэры и люди , которых они представляют , должны участвовать во всемирном управлении .</t>
  </si>
  <si>
    <t>file://conllu/ru/teddy-1469.conllu#s35_0</t>
  </si>
  <si>
    <t>36</t>
  </si>
  <si>
    <t>говорить (говорить казаться)</t>
  </si>
  <si>
    <t>Когда я говорю , что если бы мэры правили миром , когда эта фраза впервые пришла мне в голову , мне казалось , что на самом деле они уже это делают .</t>
  </si>
  <si>
    <t>file://conllu/ru/teddy-1469.conllu#s36_0</t>
  </si>
  <si>
    <t>37</t>
  </si>
  <si>
    <t>существовать</t>
  </si>
  <si>
    <t>Существует множество международных , межгородских , межграничных организаций , сетей городов , в которых города уже вполне спокойно и плодотворно сотрудничают , чтобы препятствовать изменению климата , улучшить безопасность , решать проблемы иммиграции — они пытаются решить все эти сложные взаимосвязанные проблемы , с которыми мы сталкиваемся .</t>
  </si>
  <si>
    <t>file://conllu/ru/teddy-1469.conllu#s37_0</t>
  </si>
  <si>
    <t>38</t>
  </si>
  <si>
    <t>организация</t>
  </si>
  <si>
    <t>У этих организаций странные названия : UCLG — Объединённые города и местные власти , ICLEl — Международный совет по местным экологическим проблемам .</t>
  </si>
  <si>
    <t>file://conllu/ru/teddy-1469.conllu#s38_0</t>
  </si>
  <si>
    <t>39</t>
  </si>
  <si>
    <t>продолжаться</t>
  </si>
  <si>
    <t>И список продолжается :</t>
  </si>
  <si>
    <t>file://conllu/ru/teddy-1469.conllu#s39_0</t>
  </si>
  <si>
    <t>40</t>
  </si>
  <si>
    <t>сеть</t>
  </si>
  <si>
    <t>Сеть городов в Азии , Городской протокол — новая организация из Барселоны , которая использует Интернет для распространения лучших решений в других странах .</t>
  </si>
  <si>
    <t>file://conllu/ru/teddy-1469.conllu#s40_0</t>
  </si>
  <si>
    <t>41</t>
  </si>
  <si>
    <t>И потом все те организации , о которых мы знаем чуть больше : Ассоциация мэров США , Ассоциация мэров Мексики , Ассоциация мэров Европы .</t>
  </si>
  <si>
    <t>file://conllu/ru/teddy-1469.conllu#s41_0</t>
  </si>
  <si>
    <t>42</t>
  </si>
  <si>
    <t>это (это человек)</t>
  </si>
  <si>
    <t>Мэры — это люди , находящиеся в центре событий .</t>
  </si>
  <si>
    <t>file://conllu/ru/teddy-1469.conllu#s42_0</t>
  </si>
  <si>
    <t>43</t>
  </si>
  <si>
    <t>вставать</t>
  </si>
  <si>
    <t>Таким образом встаёт вопрос : как мы можем создать мир , в котором власть мэров и жителей , которых она представляет , играла бы более значащую роль ?</t>
  </si>
  <si>
    <t>file://conllu/ru/teddy-1469.conllu#s43_0</t>
  </si>
  <si>
    <t>44</t>
  </si>
  <si>
    <t>нужный</t>
  </si>
  <si>
    <t>Чтобы это выяснить , нам нужно понимать , почему города такие особенные , почему мэры так отличаются от премьер-министров и президентов .</t>
  </si>
  <si>
    <t>file://conllu/ru/teddy-1469.conllu#s44_0</t>
  </si>
  <si>
    <t>45</t>
  </si>
  <si>
    <t>утверждать</t>
  </si>
  <si>
    <t>Я утверждаю , что мэр и премьер-министр находятся на противоположных концах политического спектра .</t>
  </si>
  <si>
    <t>file://conllu/ru/teddy-1469.conllu#s45_0</t>
  </si>
  <si>
    <t>46</t>
  </si>
  <si>
    <t>необходимый</t>
  </si>
  <si>
    <t>Чтобы быть премьер-министром или президентом , вам необходимо придерживаться определённой идеологии , вы должны быть хорошим оратором , вы должны теоретически понимать , как всё работает , вы должны быть членом партии .</t>
  </si>
  <si>
    <t>file://conllu/ru/teddy-1469.conllu#s46_0</t>
  </si>
  <si>
    <t>47</t>
  </si>
  <si>
    <t>избирать</t>
  </si>
  <si>
    <t>Независимые политики , в основном , не избираются на эту должность .</t>
  </si>
  <si>
    <t>file://conllu/ru/teddy-1469.conllu#s47_0</t>
  </si>
  <si>
    <t>48</t>
  </si>
  <si>
    <t>противоположный</t>
  </si>
  <si>
    <t>А мэры противоположны этому .</t>
  </si>
  <si>
    <t>file://conllu/ru/teddy-1469.conllu#s48_0</t>
  </si>
  <si>
    <t>49</t>
  </si>
  <si>
    <t>прагматичный</t>
  </si>
  <si>
    <t>Они прагматичны , они решают проблемы .</t>
  </si>
  <si>
    <t>file://conllu/ru/teddy-1469.conllu#s49_0</t>
  </si>
  <si>
    <t>50</t>
  </si>
  <si>
    <t>Их работа в том , чтобы всё было сделано , а если они не справляются , они лишаются работы .</t>
  </si>
  <si>
    <t>file://conllu/ru/teddy-1469.conllu#s50_0</t>
  </si>
  <si>
    <t>51</t>
  </si>
  <si>
    <t>Мэр Филадельфии Наттер сказал : «В Филадельфии нам бы никогда не простили того , что происходит в Вашингтоне .</t>
  </si>
  <si>
    <t>file://conllu/ru/teddy-1469.conllu#s51_0</t>
  </si>
  <si>
    <t>52</t>
  </si>
  <si>
    <t>Бездействие</t>
  </si>
  <si>
    <t>Бездействие и ещё раз бездействие .</t>
  </si>
  <si>
    <t>file://conllu/ru/teddy-1469.conllu#s52_0</t>
  </si>
  <si>
    <t>53</t>
  </si>
  <si>
    <t>почему</t>
  </si>
  <si>
    <t>Почему ?</t>
  </si>
  <si>
    <t>file://conllu/ru/teddy-1469.conllu#s53_0</t>
  </si>
  <si>
    <t>54</t>
  </si>
  <si>
    <t>Потому?</t>
  </si>
  <si>
    <t>Потому что ямы на дорогах должны быть заделаны , поезда должны ходить , чтобы дети имели возможность добраться до школы .</t>
  </si>
  <si>
    <t>file://conllu/ru/teddy-1469.conllu#s54_0</t>
  </si>
  <si>
    <t>55</t>
  </si>
  <si>
    <t>И это то , что мы должны сделать» .</t>
  </si>
  <si>
    <t>file://conllu/ru/teddy-1469.conllu#s55_0</t>
  </si>
  <si>
    <t>56</t>
  </si>
  <si>
    <t>касаться</t>
  </si>
  <si>
    <t>Это касается прагматичности в том глубоком американском смысле слова , достигающей результатов .</t>
  </si>
  <si>
    <t>file://conllu/ru/teddy-1469.conllu#s56_0</t>
  </si>
  <si>
    <t>57</t>
  </si>
  <si>
    <t>Вашингтон , Пекин , Париж как столицы мира являются ничем иным , как прагматичностью .</t>
  </si>
  <si>
    <t>file://conllu/ru/teddy-1469.conllu#s57_0</t>
  </si>
  <si>
    <t>58</t>
  </si>
  <si>
    <t>Городские мэры должны быть прагматичными .</t>
  </si>
  <si>
    <t>file://conllu/ru/teddy-1469.conllu#s58_0</t>
  </si>
  <si>
    <t>59</t>
  </si>
  <si>
    <t>Они должны решать задачи , они должны отодвинуть в сторону идеологию , религию и этническую принадлежность и объединить их города .</t>
  </si>
  <si>
    <t>file://conllu/ru/teddy-1469.conllu#s59_0</t>
  </si>
  <si>
    <t>60</t>
  </si>
  <si>
    <t>наблюдать</t>
  </si>
  <si>
    <t>Мы наблюдали это несколько десятков лет назад , когда Тэдди Коллек — великий мэр Иерусалима в 80-е и 90-е — был однажды осаждён в своём офисе религиозными предводителями всех идеологических групп : христианских прелатов , раввинов , имамов .</t>
  </si>
  <si>
    <t>file://conllu/ru/teddy-1469.conllu#s60_0</t>
  </si>
  <si>
    <t>61</t>
  </si>
  <si>
    <t>ссориться</t>
  </si>
  <si>
    <t>Они ссорились друг с другом о доступе к святым местам .</t>
  </si>
  <si>
    <t>file://conllu/ru/teddy-1469.conllu#s61_0</t>
  </si>
  <si>
    <t>62</t>
  </si>
  <si>
    <t>продолжаться (продолжаться продолжаться)</t>
  </si>
  <si>
    <t>И ругань всё продолжалась и продолжалась .</t>
  </si>
  <si>
    <t>file://conllu/ru/teddy-1469.conllu#s62_0</t>
  </si>
  <si>
    <t>63</t>
  </si>
  <si>
    <t>слушать (слушать слушать)</t>
  </si>
  <si>
    <t>А Коллек всё слушал и слушал , и в конце концов он сказал : «Господа , избавьте меня от своих проповедей , и я починю вашу канализацию» .</t>
  </si>
  <si>
    <t>file://conllu/ru/teddy-1469.conllu#s63_0</t>
  </si>
  <si>
    <t>64</t>
  </si>
  <si>
    <t>действовать</t>
  </si>
  <si>
    <t>( Смех ) Вот как действуют мэры .</t>
  </si>
  <si>
    <t>file://conllu/ru/teddy-1469.conllu#s64_0</t>
  </si>
  <si>
    <t>65</t>
  </si>
  <si>
    <t>чинять</t>
  </si>
  <si>
    <t>Они чинят канализацию , они заставляют ходить поезда .</t>
  </si>
  <si>
    <t>file://conllu/ru/teddy-1469.conllu#s65_0</t>
  </si>
  <si>
    <t>66</t>
  </si>
  <si>
    <t>нет</t>
  </si>
  <si>
    <t>Нет ни левого , ни правого пути в таких действиях .</t>
  </si>
  <si>
    <t>file://conllu/ru/teddy-1469.conllu#s66_0</t>
  </si>
  <si>
    <t>67</t>
  </si>
  <si>
    <t>называть</t>
  </si>
  <si>
    <t>Борис Джонсон в Лондоне называет себя анархо-тори .</t>
  </si>
  <si>
    <t>file://conllu/ru/teddy-1469.conllu#s67_0</t>
  </si>
  <si>
    <t>68</t>
  </si>
  <si>
    <t>термин</t>
  </si>
  <si>
    <t>Странный термин , но в какой-то степени он им и является .</t>
  </si>
  <si>
    <t>file://conllu/ru/teddy-1469.conllu#s68_0</t>
  </si>
  <si>
    <t>69</t>
  </si>
  <si>
    <t>либерасть</t>
  </si>
  <si>
    <t>Он либерал .</t>
  </si>
  <si>
    <t>file://conllu/ru/teddy-1469.conllu#s69_0</t>
  </si>
  <si>
    <t>70</t>
  </si>
  <si>
    <t>анархист</t>
  </si>
  <si>
    <t>Он анархист .</t>
  </si>
  <si>
    <t>file://conllu/ru/teddy-1469.conllu#s70_0</t>
  </si>
  <si>
    <t>71</t>
  </si>
  <si>
    <t>ездить</t>
  </si>
  <si>
    <t>Он ездит на работу на велосипеде , но в то же время он в какой-то степени консервативен .</t>
  </si>
  <si>
    <t>file://conllu/ru/teddy-1469.conllu#s71_0</t>
  </si>
  <si>
    <t>72</t>
  </si>
  <si>
    <t>быть (быть демократ)</t>
  </si>
  <si>
    <t>Блумберг в Нью-Йорке был демократом , потом он был республиканцем , и наконец он был независимым политиком .</t>
  </si>
  <si>
    <t>file://conllu/ru/teddy-1469.conllu#s72_0</t>
  </si>
  <si>
    <t>73</t>
  </si>
  <si>
    <t>Он говорил , что принадлежность к какой-либо партии только мешает .</t>
  </si>
  <si>
    <t>file://conllu/ru/teddy-1469.conllu#s73_0</t>
  </si>
  <si>
    <t>74</t>
  </si>
  <si>
    <t>Лужков</t>
  </si>
  <si>
    <t>Лужков — мэр Москвы последние 20 лет — хотя и помог основать Единую партию с Путиным , на самом деле отказался быть её членом и в конце концов потерял свою работу не во времена Брежнева , не во времена Горбачёва , а при правлении Путина , который хотел более верного приверженца партии .</t>
  </si>
  <si>
    <t>file://conllu/ru/teddy-1469.conllu#s74_0</t>
  </si>
  <si>
    <t>75</t>
  </si>
  <si>
    <t>Мэры прагматичны и решают проблемы .</t>
  </si>
  <si>
    <t>file://conllu/ru/teddy-1469.conllu#s75_0</t>
  </si>
  <si>
    <t>76</t>
  </si>
  <si>
    <t>выполнять</t>
  </si>
  <si>
    <t>Они выполняют работу .</t>
  </si>
  <si>
    <t>file://conllu/ru/teddy-1469.conllu#s76_0</t>
  </si>
  <si>
    <t>77</t>
  </si>
  <si>
    <t>особенность</t>
  </si>
  <si>
    <t>Вторая особенность мэров в том , что они ещё , как я люблю их называть , свои парни , а женщины- мэры — наши родные .</t>
  </si>
  <si>
    <t>file://conllu/ru/teddy-1469.conllu#s77_0</t>
  </si>
  <si>
    <t>78</t>
  </si>
  <si>
    <t>сосед</t>
  </si>
  <si>
    <t>Они наши соседи .</t>
  </si>
  <si>
    <t>file://conllu/ru/teddy-1469.conllu#s78_0</t>
  </si>
  <si>
    <t>79</t>
  </si>
  <si>
    <t>часть</t>
  </si>
  <si>
    <t>Они часть соседства .</t>
  </si>
  <si>
    <t>file://conllu/ru/teddy-1469.conllu#s79_0</t>
  </si>
  <si>
    <t>80</t>
  </si>
  <si>
    <t>знать</t>
  </si>
  <si>
    <t>Их знают .</t>
  </si>
  <si>
    <t>file://conllu/ru/teddy-1469.conllu#s80_0</t>
  </si>
  <si>
    <t>81</t>
  </si>
  <si>
    <t>ходить</t>
  </si>
  <si>
    <t>Эд Кох когда-то ходил по Нью-Йорку и спрашивал : «Как я справляюсь с работой ? » .</t>
  </si>
  <si>
    <t>file://conllu/ru/teddy-1469.conllu#s81_0</t>
  </si>
  <si>
    <t>82</t>
  </si>
  <si>
    <t>представить</t>
  </si>
  <si>
    <t>Представьте Дэвида Камерона , бродящего по Великобритании и спрашивающего : «Как я справляюсь с работой ? » Ему бы не понравилось то , что он услышал бы в ответ .</t>
  </si>
  <si>
    <t>file://conllu/ru/teddy-1469.conllu#s82_0</t>
  </si>
  <si>
    <t>83</t>
  </si>
  <si>
    <t>Путин</t>
  </si>
  <si>
    <t>Или Путин .</t>
  </si>
  <si>
    <t>file://conllu/ru/teddy-1469.conllu#s83_0</t>
  </si>
  <si>
    <t>84</t>
  </si>
  <si>
    <t>деятель</t>
  </si>
  <si>
    <t>Или любой другой государственный деятель .</t>
  </si>
  <si>
    <t>file://conllu/ru/teddy-1469.conllu#s84_0</t>
  </si>
  <si>
    <t>85</t>
  </si>
  <si>
    <t>мочь</t>
  </si>
  <si>
    <t>Он мог так говорить , потому что он знал жителей Нью-Йорка , а они знали его .</t>
  </si>
  <si>
    <t>file://conllu/ru/teddy-1469.conllu#s85_0</t>
  </si>
  <si>
    <t>86</t>
  </si>
  <si>
    <t>Мэры обычно происходят из тех мест , которыми управляют .</t>
  </si>
  <si>
    <t>file://conllu/ru/teddy-1469.conllu#s86_0</t>
  </si>
  <si>
    <t>87</t>
  </si>
  <si>
    <t>сложный</t>
  </si>
  <si>
    <t>Довольно сложно быть чужаком и в то же время быть мэром .</t>
  </si>
  <si>
    <t>file://conllu/ru/teddy-1469.conllu#s87_0</t>
  </si>
  <si>
    <t>88</t>
  </si>
  <si>
    <t>Вы можете претендовать на место в Сенате , будучи из другого штата , но тяжело сделать то же самое , если вы хотите быть мэром .</t>
  </si>
  <si>
    <t>file://conllu/ru/teddy-1469.conllu#s88_0</t>
  </si>
  <si>
    <t>89</t>
  </si>
  <si>
    <t>доверять</t>
  </si>
  <si>
    <t>В результате мэрам , членам городского совета и местным властям намного больше доверяют , и это третья отличительная черта мэров от национальных государственных правящих лиц .</t>
  </si>
  <si>
    <t>file://conllu/ru/teddy-1469.conllu#s89_0</t>
  </si>
  <si>
    <t>90</t>
  </si>
  <si>
    <t>неутешительный</t>
  </si>
  <si>
    <t>В США данные неутешительные : только 18 % американцев одобряет Конгресс и его действия .</t>
  </si>
  <si>
    <t>file://conllu/ru/teddy-1469.conllu#s90_0</t>
  </si>
  <si>
    <t>91</t>
  </si>
  <si>
    <t>достигать</t>
  </si>
  <si>
    <t>И даже с таким относительно популярным президентом как Обама положительные отзывы о Президентстве достигают около 40 45 , иногда 50 % в лучшем случае .</t>
  </si>
  <si>
    <t>file://conllu/ru/teddy-1469.conllu#s91_0</t>
  </si>
  <si>
    <t>92</t>
  </si>
  <si>
    <t>падать</t>
  </si>
  <si>
    <t>Доверие Верховному Суду упало очень низко относительно того , каким оно было .</t>
  </si>
  <si>
    <t>file://conllu/ru/teddy-1469.conllu#s92_0</t>
  </si>
  <si>
    <t>93</t>
  </si>
  <si>
    <t>«Доверяет</t>
  </si>
  <si>
    <t>Но если вы спросите : «Доверяете ли вы своему городскому совету , доверяете ли вашему мэру ? » , данные сразу подскакивают до 70 75 и даже 80 % , потому что они являются вашими соседями , потому что люди , с которыми они работают , являются их соседями , потому что так же , как мэр Букер в Ньюарке , любой мэр , скорее всего , вылезет из своей машины по пути на работу и побежит вытаскивать людей из горящего здания , как сделал мэр Букер , или помешает грабежу на улице , пока он идёт на работу , потому что он это видит .</t>
  </si>
  <si>
    <t>file://conllu/ru/teddy-1469.conllu#s93_0</t>
  </si>
  <si>
    <t>94</t>
  </si>
  <si>
    <t>позволить</t>
  </si>
  <si>
    <t>Ни одному главе штата не будет позволено сделать то же самое из-за вопросов безопасности , ровно как они и не оказались бы в такой ситуации .</t>
  </si>
  <si>
    <t>file://conllu/ru/teddy-1469.conllu#s94_0</t>
  </si>
  <si>
    <t>95</t>
  </si>
  <si>
    <t>что</t>
  </si>
  <si>
    <t>Вот в чём разница , и разница в характере городов , потому что города достаточно многокультурны , открыты ; они участвуют в жизни людей и построении демократии , они могут взаимодействовать друг с другом .</t>
  </si>
  <si>
    <t>file://conllu/ru/teddy-1469.conllu#s95_0</t>
  </si>
  <si>
    <t>96</t>
  </si>
  <si>
    <t>встречаться</t>
  </si>
  <si>
    <t>Когда же государства сталкиваются друг с другом , например , Китай и США , они встречаются друг с другом вот так .</t>
  </si>
  <si>
    <t>file://conllu/ru/teddy-1469.conllu#s96_0</t>
  </si>
  <si>
    <t>97</t>
  </si>
  <si>
    <t>взаимодействовать</t>
  </si>
  <si>
    <t>Когда же города взаимодействуют , они взаимодействуют вот так .</t>
  </si>
  <si>
    <t>file://conllu/ru/teddy-1469.conllu#s97_0</t>
  </si>
  <si>
    <t>98</t>
  </si>
  <si>
    <t>поглотить</t>
  </si>
  <si>
    <t>Китай и США , несмотря на недавнюю мета-встречу в Калифорнии , поглощены проявлениями злости , возмущения и конкуренции в первую очередь .</t>
  </si>
  <si>
    <t>file://conllu/ru/teddy-1469.conllu#s98_0</t>
  </si>
  <si>
    <t>99</t>
  </si>
  <si>
    <t>слышать</t>
  </si>
  <si>
    <t>Мы слышали больше о том , кто будет первым .</t>
  </si>
  <si>
    <t>file://conllu/ru/teddy-1469.conllu#s99_0</t>
  </si>
  <si>
    <t>100</t>
  </si>
  <si>
    <t>волноваться</t>
  </si>
  <si>
    <t>Города не волнуются по поводу того , Они должны работать сообща , и они действительно работают сообща .</t>
  </si>
  <si>
    <t>file://conllu/ru/teddy-1469.conllu#s100_0</t>
  </si>
  <si>
    <t>101</t>
  </si>
  <si>
    <t>Вместе?</t>
  </si>
  <si>
    <t>изменение</t>
  </si>
  <si>
    <t>К примеру , они вместе во время климатических изменений .</t>
  </si>
  <si>
    <t>file://conllu/ru/teddy-1469.conllu#s101_0</t>
  </si>
  <si>
    <t>102</t>
  </si>
  <si>
    <t>работать</t>
  </si>
  <si>
    <t>Такие организации как C40 и ICLEI , которые я упоминал , работали совместно задолго до Копенгагена .</t>
  </si>
  <si>
    <t>file://conllu/ru/teddy-1469.conllu#s102_0</t>
  </si>
  <si>
    <t>103</t>
  </si>
  <si>
    <t>объединить</t>
  </si>
  <si>
    <t>В Копенгагене 4 или 5 лет назад 184 государства объединились , чтобы объяснить друг другу , почему их независимость не позволяет им справиться с серьёзными климатическими изменениями .</t>
  </si>
  <si>
    <t>file://conllu/ru/teddy-1469.conllu#s103_0</t>
  </si>
  <si>
    <t>104</t>
  </si>
  <si>
    <t>пригласить</t>
  </si>
  <si>
    <t>Тогда мэр Копенгагена пригласил присоединиться к обсуждению 200 мэров .</t>
  </si>
  <si>
    <t>file://conllu/ru/teddy-1469.conllu#s104_0</t>
  </si>
  <si>
    <t>105</t>
  </si>
  <si>
    <t>приехать</t>
  </si>
  <si>
    <t>Они приехали , они остались , и они нашли решения .</t>
  </si>
  <si>
    <t>file://conllu/ru/teddy-1469.conllu#s105_0</t>
  </si>
  <si>
    <t>106</t>
  </si>
  <si>
    <t>находить</t>
  </si>
  <si>
    <t>Они до сих пор находят способы работать сообща , город с городом , а , следовательно , и между городами .</t>
  </si>
  <si>
    <t>file://conllu/ru/teddy-1469.conllu#s106_0</t>
  </si>
  <si>
    <t>107</t>
  </si>
  <si>
    <t>исходить</t>
  </si>
  <si>
    <t>80 % выбросов углерода исходит от городов .</t>
  </si>
  <si>
    <t>file://conllu/ru/teddy-1469.conllu#s107_0</t>
  </si>
  <si>
    <t>108</t>
  </si>
  <si>
    <t>Это означает?</t>
  </si>
  <si>
    <t>означать</t>
  </si>
  <si>
    <t>Это означает , что именно города должны решить проблему выброса углерода или хотя бы бо́льшую её часть , независимо от того , будут ли государства , частью которых являются эти города , приходить к соглашениям между собой .</t>
  </si>
  <si>
    <t>file://conllu/ru/teddy-1469.conllu#s108_0</t>
  </si>
  <si>
    <t>109</t>
  </si>
  <si>
    <t>делать</t>
  </si>
  <si>
    <t>И они действительно делают это .</t>
  </si>
  <si>
    <t>file://conllu/ru/teddy-1469.conllu#s109_0</t>
  </si>
  <si>
    <t>110</t>
  </si>
  <si>
    <t>очистить</t>
  </si>
  <si>
    <t>Лож Анжелес очистил свой порт , который выбрасывал 40 % углерода , и в результате избавился от 20 % углерода .</t>
  </si>
  <si>
    <t>file://conllu/ru/teddy-1469.conllu#s110_0</t>
  </si>
  <si>
    <t>111</t>
  </si>
  <si>
    <t>В Нью-Йорке стоит задача модернизировать старые здания , сделать их более изолированными зимой , чтобы не было недостатка энергии летом , чтобы не было недостатка кондиционирования воздуха .</t>
  </si>
  <si>
    <t>file://conllu/ru/teddy-1469.conllu#s111_0</t>
  </si>
  <si>
    <t>112</t>
  </si>
  <si>
    <t>оказывать</t>
  </si>
  <si>
    <t>Это оказывает влияние на город .</t>
  </si>
  <si>
    <t>file://conllu/ru/teddy-1469.conllu#s112_0</t>
  </si>
  <si>
    <t>113</t>
  </si>
  <si>
    <t>Мэр Боготы Мокус представил транспортную систему , которая сохраняет энергию , позволяя автобусам ездить таким же образом , как и метро , экспресс-автобусам с коридорами .</t>
  </si>
  <si>
    <t>file://conllu/ru/teddy-1469.conllu#s113_0</t>
  </si>
  <si>
    <t>114</t>
  </si>
  <si>
    <t>улучшить</t>
  </si>
  <si>
    <t>Это улучшило ситуацию с безработицей , потому что люди смогли добираться через весь город , это произвело огромное влияние на климат , а также на многие другие проблемы .</t>
  </si>
  <si>
    <t>file://conllu/ru/teddy-1469.conllu#s114_0</t>
  </si>
  <si>
    <t>115</t>
  </si>
  <si>
    <t>появиться</t>
  </si>
  <si>
    <t>Как только в Сингапуре появились высотные здания и замечательные дома , также были высажены островки парков .</t>
  </si>
  <si>
    <t>file://conllu/ru/teddy-1469.conllu#s115_0</t>
  </si>
  <si>
    <t>116</t>
  </si>
  <si>
    <t>видеть</t>
  </si>
  <si>
    <t>И если вы поедете туда , вы увидите , насколько много там зелёной травы и парков .</t>
  </si>
  <si>
    <t>file://conllu/ru/teddy-1469.conllu#s116_0</t>
  </si>
  <si>
    <t>117</t>
  </si>
  <si>
    <t>проделывать</t>
  </si>
  <si>
    <t>Города проделывают такие вещи , но не друг за другом .</t>
  </si>
  <si>
    <t>file://conllu/ru/teddy-1469.conllu#s117_0</t>
  </si>
  <si>
    <t>118</t>
  </si>
  <si>
    <t>совершать</t>
  </si>
  <si>
    <t>Они совершают это совместно .</t>
  </si>
  <si>
    <t>file://conllu/ru/teddy-1469.conllu#s118_0</t>
  </si>
  <si>
    <t>119</t>
  </si>
  <si>
    <t>делиться</t>
  </si>
  <si>
    <t>Они делятся тем , что они делают .</t>
  </si>
  <si>
    <t>file://conllu/ru/teddy-1469.conllu#s119_0</t>
  </si>
  <si>
    <t>120</t>
  </si>
  <si>
    <t>менять</t>
  </si>
  <si>
    <t>Они меняют ситуацию , делясь лучшими методами и решениями .</t>
  </si>
  <si>
    <t>file://conllu/ru/teddy-1469.conllu#s120_0</t>
  </si>
  <si>
    <t>121</t>
  </si>
  <si>
    <t>Многие слышали о системе совместного использования велосипедов .</t>
  </si>
  <si>
    <t>file://conllu/ru/teddy-1469.conllu#s121_0</t>
  </si>
  <si>
    <t>122</t>
  </si>
  <si>
    <t>зародиться</t>
  </si>
  <si>
    <t>Она зародилась 20 30 лет назад в Латинской Америке .</t>
  </si>
  <si>
    <t>file://conllu/ru/teddy-1469.conllu#s122_0</t>
  </si>
  <si>
    <t>123</t>
  </si>
  <si>
    <t>Сегодня это часть сотни городов по всему миру .</t>
  </si>
  <si>
    <t>file://conllu/ru/teddy-1469.conllu#s123_0</t>
  </si>
  <si>
    <t>124</t>
  </si>
  <si>
    <t>быть</t>
  </si>
  <si>
    <t>Пешеходные зоны , налоги за пробки , ограничение выбросов в городах Калифорнии — есть множество вещей , которые могут сделать города , даже когда непросвещённые упрямые народы отказываются делать это .</t>
  </si>
  <si>
    <t>file://conllu/ru/teddy-1469.conllu#s124_0</t>
  </si>
  <si>
    <t>125</t>
  </si>
  <si>
    <t>Так в чём же суть ?</t>
  </si>
  <si>
    <t>file://conllu/ru/teddy-1469.conllu#s125_0</t>
  </si>
  <si>
    <t>126</t>
  </si>
  <si>
    <t>Суть в том , что мы до сих пор живём в политическом мире границ , мире ограничений , мире стен , мире , где государства отказываются работать сообща .</t>
  </si>
  <si>
    <t>file://conllu/ru/teddy-1469.conllu#s126_0</t>
  </si>
  <si>
    <t>127</t>
  </si>
  <si>
    <t>Тем не менее , мы знаем , что реальность , которую мы ощущаем изо дня в день , — это мир без границ , мир болезней без границ и докторов без границ .</t>
  </si>
  <si>
    <t>file://conllu/ru/teddy-1469.conllu#s127_0</t>
  </si>
  <si>
    <t>128</t>
  </si>
  <si>
    <t>болезнь</t>
  </si>
  <si>
    <t>Болезни без границ , Врачи без границ , мир экономики и технологий без границ , обучения без границ , терроризма и войны без границ .</t>
  </si>
  <si>
    <t>file://conllu/ru/teddy-1469.conllu#s128_0</t>
  </si>
  <si>
    <t>129</t>
  </si>
  <si>
    <t>Это реальный мир , и до тех пор , пока мы не найдём способы глобализации демократии и демократизации глобализации , мы будем увеличивать не только риск провалить решение всех этих транснациональных проблем , но и рисковать утратить демократию саму по себе , запираясь в устаревшей коробке национального государства , не имея возможности решать глобальные проблемы демократическим путём .</t>
  </si>
  <si>
    <t>file://conllu/ru/teddy-1469.conllu#s129_0</t>
  </si>
  <si>
    <t>130</t>
  </si>
  <si>
    <t>давать</t>
  </si>
  <si>
    <t>Так что это нам даёт ?</t>
  </si>
  <si>
    <t>file://conllu/ru/teddy-1469.conllu#s130_0</t>
  </si>
  <si>
    <t>131</t>
  </si>
  <si>
    <t>Я вам скажу .</t>
  </si>
  <si>
    <t>file://conllu/ru/teddy-1469.conllu#s131_0</t>
  </si>
  <si>
    <t>132</t>
  </si>
  <si>
    <t>пролегать</t>
  </si>
  <si>
    <t>Путь глобальной демократии не пролегает через государства .</t>
  </si>
  <si>
    <t>file://conllu/ru/teddy-1469.conllu#s132_0</t>
  </si>
  <si>
    <t>133</t>
  </si>
  <si>
    <t>Он пролегает через города .</t>
  </si>
  <si>
    <t>file://conllu/ru/teddy-1469.conllu#s133_0</t>
  </si>
  <si>
    <t>134</t>
  </si>
  <si>
    <t>Демократия зародилась в древнем полисе .</t>
  </si>
  <si>
    <t>file://conllu/ru/teddy-1469.conllu#s134_0</t>
  </si>
  <si>
    <t>135</t>
  </si>
  <si>
    <t>считать</t>
  </si>
  <si>
    <t>Я считаю , что её можно возродить в глобальном космополисе .</t>
  </si>
  <si>
    <t>file://conllu/ru/teddy-1469.conllu#s135_0</t>
  </si>
  <si>
    <t>136</t>
  </si>
  <si>
    <t>В этом путешествии от полиса к космополису мы можем заново открыть для себя мощь демократии на глобальном уровне .</t>
  </si>
  <si>
    <t>file://conllu/ru/teddy-1469.conllu#s136_0</t>
  </si>
  <si>
    <t>137</t>
  </si>
  <si>
    <t>Мы можем создать не Лигу Наций , которая оказалась безуспешной , а Лигу Городов , не Соединённые или от-Соединённые Нации , а Объединённые Города Мира .</t>
  </si>
  <si>
    <t>file://conllu/ru/teddy-1469.conllu#s137_0</t>
  </si>
  <si>
    <t>138</t>
  </si>
  <si>
    <t>Мы можем создать мировой парламент мэров .</t>
  </si>
  <si>
    <t>file://conllu/ru/teddy-1469.conllu#s138_0</t>
  </si>
  <si>
    <t>139</t>
  </si>
  <si>
    <t>Эта идея моей концепции будущего мира , она также находится на столе в мэриях Сеула , Кореи , Амстердама , Гамбурга и Нью-Йорка .</t>
  </si>
  <si>
    <t>file://conllu/ru/teddy-1469.conllu#s139_0</t>
  </si>
  <si>
    <t>140</t>
  </si>
  <si>
    <t>рассматривать</t>
  </si>
  <si>
    <t>Мэры рассматривают идею того , как можно фактически составить глобальный парламент мэров .</t>
  </si>
  <si>
    <t>file://conllu/ru/teddy-1469.conllu#s140_0</t>
  </si>
  <si>
    <t>141</t>
  </si>
  <si>
    <t>нравиться</t>
  </si>
  <si>
    <t>Мне очень нравится эта идея , потому что парламент мэров — это парламент горожан , а парламент горожан — это парламент нас всех , парламент вас и меня .</t>
  </si>
  <si>
    <t>file://conllu/ru/teddy-1469.conllu#s141_0</t>
  </si>
  <si>
    <t>142</t>
  </si>
  <si>
    <t>быть (быть житель)</t>
  </si>
  <si>
    <t>Если бы существовали горожане без границ , я думаю , это были бы жители TED , которые отображают обещание быть теми самыми горожанами без границ .</t>
  </si>
  <si>
    <t>file://conllu/ru/teddy-1469.conllu#s142_0</t>
  </si>
  <si>
    <t>143</t>
  </si>
  <si>
    <t>готовый</t>
  </si>
  <si>
    <t>Я готов протянуть руку и принять новую глобальную демократию , вернуть наконец обратно нашу демократию .</t>
  </si>
  <si>
    <t>file://conllu/ru/teddy-1469.conllu#s143_0</t>
  </si>
  <si>
    <t>144</t>
  </si>
  <si>
    <t>Единственный вопрос в том , готовы ли вы ?</t>
  </si>
  <si>
    <t>file://conllu/ru/teddy-1469.conllu#s144_0</t>
  </si>
  <si>
    <t>145</t>
  </si>
  <si>
    <t>спасибо</t>
  </si>
  <si>
    <t>Спасибо вам огромное , мои согорожане .</t>
  </si>
  <si>
    <t>file://conllu/ru/teddy-1469.conllu#s145_0</t>
  </si>
  <si>
    <t>146</t>
  </si>
  <si>
    <t>Спасибо .</t>
  </si>
  <si>
    <t>file://conllu/ru/teddy-1469.conllu#s146_0</t>
  </si>
  <si>
    <t>147</t>
  </si>
  <si>
    <t>аплодисменты</t>
  </si>
  <si>
    <t>( Аплодисменты )</t>
  </si>
  <si>
    <t>file://conllu/ru/teddy-1469.conllu#s147_0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</si>
  <si>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</si>
  <si>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</si>
  <si>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</si>
  <si>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</si>
  <si>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</si>
  <si>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</si>
  <si>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</si>
  <si>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</si>
  <si>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</si>
  <si>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</si>
  <si>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</si>
  <si>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Демократия находится в трудном положении, в этом нет ни доли сомнения.</t>
  </si>
  <si>
    <t>Демократия</t>
  </si>
  <si>
    <t>SBJ</t>
  </si>
  <si>
    <t>находится</t>
  </si>
  <si>
    <t>в</t>
  </si>
  <si>
    <t>трудном</t>
  </si>
  <si>
    <t>положении</t>
  </si>
  <si>
    <t>,</t>
  </si>
  <si>
    <t>этом</t>
  </si>
  <si>
    <t>other_2</t>
  </si>
  <si>
    <t>pron.pds</t>
  </si>
  <si>
    <t>?OLD</t>
  </si>
  <si>
    <t>ни</t>
  </si>
  <si>
    <t>доли</t>
  </si>
  <si>
    <t>SBJ_2</t>
  </si>
  <si>
    <t>сомнения</t>
  </si>
  <si>
    <t>.</t>
  </si>
  <si>
    <t># text = Это частично происходит из глубокой дилеммы, в которой скрыта проблема.</t>
  </si>
  <si>
    <t>Это</t>
  </si>
  <si>
    <t>частично</t>
  </si>
  <si>
    <t>происходит</t>
  </si>
  <si>
    <t>из</t>
  </si>
  <si>
    <t>глубокой</t>
  </si>
  <si>
    <t>дилеммы</t>
  </si>
  <si>
    <t>которой</t>
  </si>
  <si>
    <t>other_3</t>
  </si>
  <si>
    <t>pron.pint</t>
  </si>
  <si>
    <t>скрыта</t>
  </si>
  <si>
    <t>проблема</t>
  </si>
  <si>
    <t>SBJ_3</t>
  </si>
  <si>
    <t># text = Демократия всё больше не соответствует принимаемым нами решениям, которые должны справляться с межграничными проблемами глобальной пандемии, с транснациональной проблемой ВИЧ, с рынками и иммиграцией, что представляет собой проблему вне национальных границ, с терроризмом, войной, со всеми теперешними трансграничными проблемами.</t>
  </si>
  <si>
    <t>всё</t>
  </si>
  <si>
    <t>больше</t>
  </si>
  <si>
    <t>не</t>
  </si>
  <si>
    <t>соответствует</t>
  </si>
  <si>
    <t>принимаемым</t>
  </si>
  <si>
    <t>нами</t>
  </si>
  <si>
    <t>pron</t>
  </si>
  <si>
    <t>решениям</t>
  </si>
  <si>
    <t>OBJ</t>
  </si>
  <si>
    <t>которые</t>
  </si>
  <si>
    <t>должны</t>
  </si>
  <si>
    <t>справляться</t>
  </si>
  <si>
    <t>с</t>
  </si>
  <si>
    <t>межграничными</t>
  </si>
  <si>
    <t>проблемами</t>
  </si>
  <si>
    <t>глобальной</t>
  </si>
  <si>
    <t>пандемии</t>
  </si>
  <si>
    <t>транснациональной</t>
  </si>
  <si>
    <t>проблемой</t>
  </si>
  <si>
    <t>ВИЧ</t>
  </si>
  <si>
    <t>other_6</t>
  </si>
  <si>
    <t>ne</t>
  </si>
  <si>
    <t>рынками</t>
  </si>
  <si>
    <t>и</t>
  </si>
  <si>
    <t>иммиграцией</t>
  </si>
  <si>
    <t>представляет</t>
  </si>
  <si>
    <t>собой</t>
  </si>
  <si>
    <t>проблему</t>
  </si>
  <si>
    <t>OBJ_2</t>
  </si>
  <si>
    <t>вне</t>
  </si>
  <si>
    <t>национальных</t>
  </si>
  <si>
    <t>границ</t>
  </si>
  <si>
    <t>терроризмом</t>
  </si>
  <si>
    <t>войной</t>
  </si>
  <si>
    <t>со</t>
  </si>
  <si>
    <t>всеми</t>
  </si>
  <si>
    <t>теперешними</t>
  </si>
  <si>
    <t>трансграничными</t>
  </si>
  <si>
    <t>other_4</t>
  </si>
  <si>
    <t>indef-np.quant</t>
  </si>
  <si>
    <t># text = По сути, мир 21 века, в котором мы живём, — это мир взаимозависимости и жестоких взаимосвязанных проблем.</t>
  </si>
  <si>
    <t>По</t>
  </si>
  <si>
    <t>сути</t>
  </si>
  <si>
    <t>века</t>
  </si>
  <si>
    <t>other</t>
  </si>
  <si>
    <t>котором</t>
  </si>
  <si>
    <t>мы</t>
  </si>
  <si>
    <t>живём</t>
  </si>
  <si>
    <t>—</t>
  </si>
  <si>
    <t>это</t>
  </si>
  <si>
    <t>взаимозависимости</t>
  </si>
  <si>
    <t>жестоких</t>
  </si>
  <si>
    <t>взаимосвязанных</t>
  </si>
  <si>
    <t>проблем</t>
  </si>
  <si>
    <t># text = Когда мы ищем решения в политике и демократии, мы сталкиваемся с политическими институтами, которые были созданы 400 лет назад.</t>
  </si>
  <si>
    <t>Когда</t>
  </si>
  <si>
    <t>ищем</t>
  </si>
  <si>
    <t>решения</t>
  </si>
  <si>
    <t>политике</t>
  </si>
  <si>
    <t>демократии</t>
  </si>
  <si>
    <t>сталкиваемся</t>
  </si>
  <si>
    <t>политическими</t>
  </si>
  <si>
    <t>институтами</t>
  </si>
  <si>
    <t>были</t>
  </si>
  <si>
    <t>созданы</t>
  </si>
  <si>
    <t>400</t>
  </si>
  <si>
    <t>лет</t>
  </si>
  <si>
    <t>назад</t>
  </si>
  <si>
    <t># text = Они являются автономными суверенными национальными государствами со своей юрисдикцией и территорией, они отделены друг от друга, и каждый из них утверждает, что может решить проблему своего народа.</t>
  </si>
  <si>
    <t>Они</t>
  </si>
  <si>
    <t>являются</t>
  </si>
  <si>
    <t>автономными</t>
  </si>
  <si>
    <t>суверенными</t>
  </si>
  <si>
    <t>национальными</t>
  </si>
  <si>
    <t>государствами</t>
  </si>
  <si>
    <t>своей</t>
  </si>
  <si>
    <t>юрисдикцией</t>
  </si>
  <si>
    <t>территорией</t>
  </si>
  <si>
    <t>они</t>
  </si>
  <si>
    <t>отделены</t>
  </si>
  <si>
    <t>друг</t>
  </si>
  <si>
    <t>от</t>
  </si>
  <si>
    <t>друга</t>
  </si>
  <si>
    <t>каждый</t>
  </si>
  <si>
    <t>них</t>
  </si>
  <si>
    <t>утверждает</t>
  </si>
  <si>
    <t>может</t>
  </si>
  <si>
    <t>решить</t>
  </si>
  <si>
    <t>OBJ_4</t>
  </si>
  <si>
    <t>своего</t>
  </si>
  <si>
    <t>народа</t>
  </si>
  <si>
    <t># text = Мир 21 века — транснациональный мир с множеством проблем и задач, мир 17 века — мир политических институтов.</t>
  </si>
  <si>
    <t>Мир</t>
  </si>
  <si>
    <t>транснациональный</t>
  </si>
  <si>
    <t>множеством</t>
  </si>
  <si>
    <t>задач</t>
  </si>
  <si>
    <t>политических</t>
  </si>
  <si>
    <t>институтов</t>
  </si>
  <si>
    <t># text = В этой дилемме заключается главная проблема демократии.</t>
  </si>
  <si>
    <t>В</t>
  </si>
  <si>
    <t>этой</t>
  </si>
  <si>
    <t>дилемме</t>
  </si>
  <si>
    <t>def-np.dem</t>
  </si>
  <si>
    <t>заключается</t>
  </si>
  <si>
    <t>главная</t>
  </si>
  <si>
    <t># text = Как и многие другие, я думал о том, что может сделать каждый из нас для решения асимметрии между задачами 21 века и архаическими, плохо функционирующими политическими организациями, такими как национальные государства.</t>
  </si>
  <si>
    <t>Как</t>
  </si>
  <si>
    <t>многие</t>
  </si>
  <si>
    <t>другие</t>
  </si>
  <si>
    <t>я</t>
  </si>
  <si>
    <t>думал</t>
  </si>
  <si>
    <t>о</t>
  </si>
  <si>
    <t>том</t>
  </si>
  <si>
    <t>сделать</t>
  </si>
  <si>
    <t>нас</t>
  </si>
  <si>
    <t>other_5</t>
  </si>
  <si>
    <t>для</t>
  </si>
  <si>
    <t>асимметрии</t>
  </si>
  <si>
    <t>между</t>
  </si>
  <si>
    <t>задачами</t>
  </si>
  <si>
    <t>other_8</t>
  </si>
  <si>
    <t>архаическими</t>
  </si>
  <si>
    <t>плохо</t>
  </si>
  <si>
    <t>функционирующими</t>
  </si>
  <si>
    <t>организациями</t>
  </si>
  <si>
    <t>такими</t>
  </si>
  <si>
    <t>как</t>
  </si>
  <si>
    <t>национальные</t>
  </si>
  <si>
    <t>государства</t>
  </si>
  <si>
    <t># text = Моё предложение заключается вот в чём: мы должны прекратить говорить о нациях, о государствах, ограниченных границами, и начать наконец говорить о городах.</t>
  </si>
  <si>
    <t>Моё</t>
  </si>
  <si>
    <t>предложение</t>
  </si>
  <si>
    <t>вот</t>
  </si>
  <si>
    <t>чём</t>
  </si>
  <si>
    <t>:</t>
  </si>
  <si>
    <t>прекратить</t>
  </si>
  <si>
    <t>нациях</t>
  </si>
  <si>
    <t>государствах</t>
  </si>
  <si>
    <t>ограниченных</t>
  </si>
  <si>
    <t>границами</t>
  </si>
  <si>
    <t>начать</t>
  </si>
  <si>
    <t>наконец</t>
  </si>
  <si>
    <t>городах</t>
  </si>
  <si>
    <t># text = Если мы посмотрим на города, мы обнаружим, что перед нами политические организации, в которых были рождены цивилизация и культура.</t>
  </si>
  <si>
    <t>Если</t>
  </si>
  <si>
    <t>посмотрим</t>
  </si>
  <si>
    <t>на</t>
  </si>
  <si>
    <t>города</t>
  </si>
  <si>
    <t>обнаружим</t>
  </si>
  <si>
    <t>перед</t>
  </si>
  <si>
    <t>политические</t>
  </si>
  <si>
    <t>организации</t>
  </si>
  <si>
    <t>которых</t>
  </si>
  <si>
    <t>рождены</t>
  </si>
  <si>
    <t>цивилизация</t>
  </si>
  <si>
    <t>SBJ_4</t>
  </si>
  <si>
    <t>культура</t>
  </si>
  <si>
    <t># text = Мы говорим об истоках демократии.</t>
  </si>
  <si>
    <t>Мы</t>
  </si>
  <si>
    <t>говорим</t>
  </si>
  <si>
    <t>об</t>
  </si>
  <si>
    <t>истоках</t>
  </si>
  <si>
    <t># text = Мы говорим о местах существования общественных пространств, где мы собираемся вместе для создания демократии и в то же время для протеста против тех , кто может забрать нашу свободу и наши места.</t>
  </si>
  <si>
    <t>местах</t>
  </si>
  <si>
    <t>существования</t>
  </si>
  <si>
    <t>общественных</t>
  </si>
  <si>
    <t>пространств</t>
  </si>
  <si>
    <t>где</t>
  </si>
  <si>
    <t>собираемся</t>
  </si>
  <si>
    <t>вместе</t>
  </si>
  <si>
    <t>создания</t>
  </si>
  <si>
    <t>же</t>
  </si>
  <si>
    <t>время</t>
  </si>
  <si>
    <t>протеста</t>
  </si>
  <si>
    <t>против</t>
  </si>
  <si>
    <t>тех</t>
  </si>
  <si>
    <t>кто</t>
  </si>
  <si>
    <t>SBJ_6</t>
  </si>
  <si>
    <t>забрать</t>
  </si>
  <si>
    <t>нашу</t>
  </si>
  <si>
    <t>pron.ppos</t>
  </si>
  <si>
    <t>свободу</t>
  </si>
  <si>
    <t>OBJ_7</t>
  </si>
  <si>
    <t>наши</t>
  </si>
  <si>
    <t>other_9</t>
  </si>
  <si>
    <t>места</t>
  </si>
  <si>
    <t># text = Подумайте о таких великих названиях:</t>
  </si>
  <si>
    <t>Подумайте</t>
  </si>
  <si>
    <t>таких</t>
  </si>
  <si>
    <t>великих</t>
  </si>
  <si>
    <t>названиях</t>
  </si>
  <si>
    <t># text = Площадь Бастилии, парк Зуккотти, площадь Тахрир, площадь Таксим на переднем плане сегодняшнего Стамбула или, например, площадь Тяньаньмэнь в Пекине.</t>
  </si>
  <si>
    <t>Площадь</t>
  </si>
  <si>
    <t>def-np.poss</t>
  </si>
  <si>
    <t>Бастилии</t>
  </si>
  <si>
    <t>парк</t>
  </si>
  <si>
    <t>Зуккотти</t>
  </si>
  <si>
    <t>Тахрир</t>
  </si>
  <si>
    <t>Таксим</t>
  </si>
  <si>
    <t>переднем</t>
  </si>
  <si>
    <t>плане</t>
  </si>
  <si>
    <t>сегодняшнего</t>
  </si>
  <si>
    <t>Стамбула</t>
  </si>
  <si>
    <t>или</t>
  </si>
  <si>
    <t>например</t>
  </si>
  <si>
    <t>Тяньаньмэнь</t>
  </si>
  <si>
    <t>Пекине</t>
  </si>
  <si>
    <t># text = (Аплодисменты) Это общественные места, где мы объявляем себя жителями городов, участниками, людьми с правом творить наши собственные истории.</t>
  </si>
  <si>
    <t>(</t>
  </si>
  <si>
    <t>Аплодисменты</t>
  </si>
  <si>
    <t>)</t>
  </si>
  <si>
    <t>общественные</t>
  </si>
  <si>
    <t>объявляем</t>
  </si>
  <si>
    <t>себя</t>
  </si>
  <si>
    <t>жителями</t>
  </si>
  <si>
    <t>городов</t>
  </si>
  <si>
    <t>участниками</t>
  </si>
  <si>
    <t>людьми</t>
  </si>
  <si>
    <t>правом</t>
  </si>
  <si>
    <t>творить</t>
  </si>
  <si>
    <t>other_7</t>
  </si>
  <si>
    <t>собственные</t>
  </si>
  <si>
    <t>истории</t>
  </si>
  <si>
    <t>OBJ_6</t>
  </si>
  <si>
    <t># text = Города не являются единственными старейшими организациями, однако они существуют дольше остальных.</t>
  </si>
  <si>
    <t>Города</t>
  </si>
  <si>
    <t>единственными</t>
  </si>
  <si>
    <t>старейшими</t>
  </si>
  <si>
    <t>однако</t>
  </si>
  <si>
    <t>существуют</t>
  </si>
  <si>
    <t>дольше</t>
  </si>
  <si>
    <t>остальных</t>
  </si>
  <si>
    <t># text = Подумайте об этом, ведь Константинополь и Стамбул намного старше Турции, Александрия намного старше Египта, Рим значительно старше Италии.</t>
  </si>
  <si>
    <t>ведь</t>
  </si>
  <si>
    <t>Константинополь</t>
  </si>
  <si>
    <t>Стамбул</t>
  </si>
  <si>
    <t>намного</t>
  </si>
  <si>
    <t>старше</t>
  </si>
  <si>
    <t>Турции</t>
  </si>
  <si>
    <t>Александрия</t>
  </si>
  <si>
    <t>Египта</t>
  </si>
  <si>
    <t>Рим</t>
  </si>
  <si>
    <t>значительно</t>
  </si>
  <si>
    <t>Италии</t>
  </si>
  <si>
    <t># text = Города стояли в течении веков.</t>
  </si>
  <si>
    <t>стояли</t>
  </si>
  <si>
    <t>течении</t>
  </si>
  <si>
    <t>веков</t>
  </si>
  <si>
    <t># text = Это места, где мы рождаемся, вырастаем, получаем образование, работаем, женимся, молимся, играем, стареем и со временем умираем.</t>
  </si>
  <si>
    <t>рождаемся</t>
  </si>
  <si>
    <t>вырастаем</t>
  </si>
  <si>
    <t>получаем</t>
  </si>
  <si>
    <t>образование</t>
  </si>
  <si>
    <t>работаем</t>
  </si>
  <si>
    <t>женимся</t>
  </si>
  <si>
    <t>молимся</t>
  </si>
  <si>
    <t>играем</t>
  </si>
  <si>
    <t>стареем</t>
  </si>
  <si>
    <t>временем</t>
  </si>
  <si>
    <t>умираем</t>
  </si>
  <si>
    <t># text = Они наш дом.</t>
  </si>
  <si>
    <t>наш</t>
  </si>
  <si>
    <t># text = Они очень отличаются от национальных государств, которые, по сути, являются абстракциями.</t>
  </si>
  <si>
    <t>очень</t>
  </si>
  <si>
    <t>отличаются</t>
  </si>
  <si>
    <t>государств</t>
  </si>
  <si>
    <t>по</t>
  </si>
  <si>
    <t>абстракциями</t>
  </si>
  <si>
    <t># text = Мы платим налоги, периодически голосуем, мы наблюдаем, как мужчины и женщины, которых мы избрали управлять, управляют в общем-то и без нас.</t>
  </si>
  <si>
    <t>платим</t>
  </si>
  <si>
    <t>налоги</t>
  </si>
  <si>
    <t>периодически</t>
  </si>
  <si>
    <t>голосуем</t>
  </si>
  <si>
    <t>наблюдаем</t>
  </si>
  <si>
    <t>мужчины</t>
  </si>
  <si>
    <t>женщины</t>
  </si>
  <si>
    <t>SBJ_5</t>
  </si>
  <si>
    <t>избрали</t>
  </si>
  <si>
    <t>управлять</t>
  </si>
  <si>
    <t>управляют</t>
  </si>
  <si>
    <t>общем</t>
  </si>
  <si>
    <t>без</t>
  </si>
  <si>
    <t># text = Совсем иная ситуация в местах, которые мы называем своими городами, или городами, где мы живём.</t>
  </si>
  <si>
    <t>Совсем</t>
  </si>
  <si>
    <t>иная</t>
  </si>
  <si>
    <t>OBJ_3</t>
  </si>
  <si>
    <t>называем</t>
  </si>
  <si>
    <t>своими</t>
  </si>
  <si>
    <t>городами</t>
  </si>
  <si>
    <t># text = Более того, на сегодняшний день более половины населения планеты живёт в городах.</t>
  </si>
  <si>
    <t>Более</t>
  </si>
  <si>
    <t>того</t>
  </si>
  <si>
    <t>сегодняшний</t>
  </si>
  <si>
    <t>день</t>
  </si>
  <si>
    <t>более</t>
  </si>
  <si>
    <t>половины</t>
  </si>
  <si>
    <t>населения</t>
  </si>
  <si>
    <t>планеты</t>
  </si>
  <si>
    <t>живёт</t>
  </si>
  <si>
    <t># text = В развитом мире эта цифра составляет 78%.</t>
  </si>
  <si>
    <t>развитом</t>
  </si>
  <si>
    <t>мире</t>
  </si>
  <si>
    <t>эта</t>
  </si>
  <si>
    <t>цифра</t>
  </si>
  <si>
    <t>составляет</t>
  </si>
  <si>
    <t>%</t>
  </si>
  <si>
    <t># text = Больше трёх из четырёх людей живут в городской среде, городских местностях, то есть в городах.</t>
  </si>
  <si>
    <t>Больше</t>
  </si>
  <si>
    <t>трёх</t>
  </si>
  <si>
    <t>четырёх</t>
  </si>
  <si>
    <t>людей</t>
  </si>
  <si>
    <t>живут</t>
  </si>
  <si>
    <t>городской</t>
  </si>
  <si>
    <t>среде</t>
  </si>
  <si>
    <t>городских</t>
  </si>
  <si>
    <t>местностях</t>
  </si>
  <si>
    <t>есть</t>
  </si>
  <si>
    <t># text = Всё происходит именно в городах.</t>
  </si>
  <si>
    <t>Всё</t>
  </si>
  <si>
    <t>именно</t>
  </si>
  <si>
    <t># text = Города — это мы.</t>
  </si>
  <si>
    <t># text = В древности Аристотель сказал, что человек — это политическое животное.</t>
  </si>
  <si>
    <t>древности</t>
  </si>
  <si>
    <t>Аристотель</t>
  </si>
  <si>
    <t>сказал</t>
  </si>
  <si>
    <t>человек</t>
  </si>
  <si>
    <t>политическое</t>
  </si>
  <si>
    <t>животное</t>
  </si>
  <si>
    <t># text = Я же говорю, что мы — городские животные.</t>
  </si>
  <si>
    <t>Я</t>
  </si>
  <si>
    <t>говорю</t>
  </si>
  <si>
    <t>городские</t>
  </si>
  <si>
    <t>животные</t>
  </si>
  <si>
    <t># text = Мы урбанистический вид, у которого дом является городом.</t>
  </si>
  <si>
    <t>урбанистический</t>
  </si>
  <si>
    <t>у</t>
  </si>
  <si>
    <t>которого</t>
  </si>
  <si>
    <t>является</t>
  </si>
  <si>
    <t>городом</t>
  </si>
  <si>
    <t># text = Вернёмся к дилемме.</t>
  </si>
  <si>
    <t>Вернёмся</t>
  </si>
  <si>
    <t>к</t>
  </si>
  <si>
    <t># text = Если дилемма в том, что у нас устаревшие политические национальные государства, неспособные управлять миром, должны бороться с глобальными проблемами, такими как изменения климата, тогда, возможно, пришло время, когда мэры должны управлять миром.</t>
  </si>
  <si>
    <t>дилемма</t>
  </si>
  <si>
    <t>устаревшие</t>
  </si>
  <si>
    <t>неспособные</t>
  </si>
  <si>
    <t>миром</t>
  </si>
  <si>
    <t>бороться</t>
  </si>
  <si>
    <t>глобальными</t>
  </si>
  <si>
    <t>изменения</t>
  </si>
  <si>
    <t>климата</t>
  </si>
  <si>
    <t>тогда</t>
  </si>
  <si>
    <t>возможно</t>
  </si>
  <si>
    <t>пришло</t>
  </si>
  <si>
    <t>SBJ_7</t>
  </si>
  <si>
    <t>когда</t>
  </si>
  <si>
    <t>мэры</t>
  </si>
  <si>
    <t>SBJ_8</t>
  </si>
  <si>
    <t># text = Жители городов, мэры и люди, которых они представляют, должны участвовать во всемирном управлении.</t>
  </si>
  <si>
    <t>Жители</t>
  </si>
  <si>
    <t>люди</t>
  </si>
  <si>
    <t>представляют</t>
  </si>
  <si>
    <t>участвовать</t>
  </si>
  <si>
    <t>во</t>
  </si>
  <si>
    <t>всемирном</t>
  </si>
  <si>
    <t>управлении</t>
  </si>
  <si>
    <t># text = Когда я говорю, что если бы мэры правили миром, когда эта фраза впервые пришла мне в голову, мне казалось, что на самом деле они уже это делают.</t>
  </si>
  <si>
    <t>если</t>
  </si>
  <si>
    <t>бы</t>
  </si>
  <si>
    <t>правили</t>
  </si>
  <si>
    <t>фраза</t>
  </si>
  <si>
    <t>впервые</t>
  </si>
  <si>
    <t>пришла</t>
  </si>
  <si>
    <t>мне</t>
  </si>
  <si>
    <t>голову</t>
  </si>
  <si>
    <t>казалось</t>
  </si>
  <si>
    <t>самом</t>
  </si>
  <si>
    <t>деле</t>
  </si>
  <si>
    <t>уже</t>
  </si>
  <si>
    <t>делают</t>
  </si>
  <si>
    <t># text = Существует множество международных, межгородских, межграничных организаций, сетей городов, в которых города уже вполне спокойно и плодотворно сотрудничают, чтобы препятствовать изменению климата, улучшить безопасность, решать проблемы иммиграции — они пытаются решить все эти сложные взаимосвязанные проблемы, с которыми мы сталкиваемся.</t>
  </si>
  <si>
    <t>Существует</t>
  </si>
  <si>
    <t>множество</t>
  </si>
  <si>
    <t>международных</t>
  </si>
  <si>
    <t>межгородских</t>
  </si>
  <si>
    <t>межграничных</t>
  </si>
  <si>
    <t>организаций</t>
  </si>
  <si>
    <t>сетей</t>
  </si>
  <si>
    <t>вполне</t>
  </si>
  <si>
    <t>спокойно</t>
  </si>
  <si>
    <t>плодотворно</t>
  </si>
  <si>
    <t>сотрудничают</t>
  </si>
  <si>
    <t>чтобы</t>
  </si>
  <si>
    <t>препятствовать</t>
  </si>
  <si>
    <t>изменению</t>
  </si>
  <si>
    <t>безопасность</t>
  </si>
  <si>
    <t>OBJ_8</t>
  </si>
  <si>
    <t>решать</t>
  </si>
  <si>
    <t>проблемы</t>
  </si>
  <si>
    <t>иммиграции</t>
  </si>
  <si>
    <t>пытаются</t>
  </si>
  <si>
    <t>все</t>
  </si>
  <si>
    <t>эти</t>
  </si>
  <si>
    <t>сложные</t>
  </si>
  <si>
    <t>взаимосвязанные</t>
  </si>
  <si>
    <t>OBJ_9</t>
  </si>
  <si>
    <t>которыми</t>
  </si>
  <si>
    <t>other_11</t>
  </si>
  <si>
    <t>SBJ_11</t>
  </si>
  <si>
    <t># text = У этих организаций странные названия: UCLG — Объединённые города и местные власти, ICLEl — Международный совет по местным экологическим проблемам.</t>
  </si>
  <si>
    <t>У</t>
  </si>
  <si>
    <t>этих</t>
  </si>
  <si>
    <t>странные</t>
  </si>
  <si>
    <t>названия</t>
  </si>
  <si>
    <t>UCLG</t>
  </si>
  <si>
    <t>Объединённые</t>
  </si>
  <si>
    <t>местные</t>
  </si>
  <si>
    <t>власти</t>
  </si>
  <si>
    <t>ICLEl</t>
  </si>
  <si>
    <t>Международный</t>
  </si>
  <si>
    <t>совет</t>
  </si>
  <si>
    <t>местным</t>
  </si>
  <si>
    <t>экологическим</t>
  </si>
  <si>
    <t>проблемам</t>
  </si>
  <si>
    <t># text = И список продолжается:</t>
  </si>
  <si>
    <t>И</t>
  </si>
  <si>
    <t>список</t>
  </si>
  <si>
    <t>продолжается</t>
  </si>
  <si>
    <t># text = Сеть городов в Азии, Городской протокол — новая организация из Барселоны, которая использует Интернет для распространения лучших решений в других странах.</t>
  </si>
  <si>
    <t>Сеть</t>
  </si>
  <si>
    <t>Азии</t>
  </si>
  <si>
    <t>Городской</t>
  </si>
  <si>
    <t>протокол</t>
  </si>
  <si>
    <t>новая</t>
  </si>
  <si>
    <t>Барселоны</t>
  </si>
  <si>
    <t>которая</t>
  </si>
  <si>
    <t>использует</t>
  </si>
  <si>
    <t>Интернет</t>
  </si>
  <si>
    <t>OBJ_5</t>
  </si>
  <si>
    <t>распространения</t>
  </si>
  <si>
    <t>лучших</t>
  </si>
  <si>
    <t>решений</t>
  </si>
  <si>
    <t>других</t>
  </si>
  <si>
    <t>странах</t>
  </si>
  <si>
    <t># text = И потом все те организации, о которых мы знаем чуть больше: Ассоциация мэров США, Ассоциация мэров Мексики, Ассоциация мэров Европы.</t>
  </si>
  <si>
    <t>потом</t>
  </si>
  <si>
    <t>те</t>
  </si>
  <si>
    <t>знаем</t>
  </si>
  <si>
    <t>чуть</t>
  </si>
  <si>
    <t>Ассоциация</t>
  </si>
  <si>
    <t>мэров</t>
  </si>
  <si>
    <t>США</t>
  </si>
  <si>
    <t>Мексики</t>
  </si>
  <si>
    <t>Европы</t>
  </si>
  <si>
    <t># text = Мэры — это люди, находящиеся в центре событий.</t>
  </si>
  <si>
    <t>Мэры</t>
  </si>
  <si>
    <t>находящиеся</t>
  </si>
  <si>
    <t>центре</t>
  </si>
  <si>
    <t>событий</t>
  </si>
  <si>
    <t># text = Таким образом встаёт вопрос: как мы можем создать мир, в котором власть мэров и жителей, которых она представляет, играла бы более значащую роль?</t>
  </si>
  <si>
    <t>Таким</t>
  </si>
  <si>
    <t>образом</t>
  </si>
  <si>
    <t>встаёт</t>
  </si>
  <si>
    <t>вопрос</t>
  </si>
  <si>
    <t>можем</t>
  </si>
  <si>
    <t>создать</t>
  </si>
  <si>
    <t>власть</t>
  </si>
  <si>
    <t>жителей</t>
  </si>
  <si>
    <t>OBJ_10</t>
  </si>
  <si>
    <t>она</t>
  </si>
  <si>
    <t>SBJ_10</t>
  </si>
  <si>
    <t>играла</t>
  </si>
  <si>
    <t>значащую</t>
  </si>
  <si>
    <t>роль</t>
  </si>
  <si>
    <t>?</t>
  </si>
  <si>
    <t># text = Чтобы это выяснить, нам нужно понимать, почему города такие особенные, почему мэры так отличаются от премьер-министров и президентов.</t>
  </si>
  <si>
    <t>Чтобы</t>
  </si>
  <si>
    <t>выяснить</t>
  </si>
  <si>
    <t>нам</t>
  </si>
  <si>
    <t>нужно</t>
  </si>
  <si>
    <t>понимать</t>
  </si>
  <si>
    <t>такие</t>
  </si>
  <si>
    <t>особенные</t>
  </si>
  <si>
    <t>так</t>
  </si>
  <si>
    <t>премьер-министров</t>
  </si>
  <si>
    <t>президентов</t>
  </si>
  <si>
    <t># text = Я утверждаю, что мэр и премьер-министр находятся на противоположных концах политического спектра.</t>
  </si>
  <si>
    <t>утверждаю</t>
  </si>
  <si>
    <t>мэр</t>
  </si>
  <si>
    <t>премьер-министр</t>
  </si>
  <si>
    <t>находятся</t>
  </si>
  <si>
    <t>противоположных</t>
  </si>
  <si>
    <t>концах</t>
  </si>
  <si>
    <t>политического</t>
  </si>
  <si>
    <t>спектра</t>
  </si>
  <si>
    <t># text = Чтобы быть премьер-министром или президентом, вам необходимо придерживаться определённой идеологии, вы должны быть хорошим оратором, вы должны теоретически понимать, как всё работает, вы должны быть членом партии.</t>
  </si>
  <si>
    <t>премьер-министром</t>
  </si>
  <si>
    <t>президентом</t>
  </si>
  <si>
    <t>вам</t>
  </si>
  <si>
    <t>необходимо</t>
  </si>
  <si>
    <t>придерживаться</t>
  </si>
  <si>
    <t>определённой</t>
  </si>
  <si>
    <t>идеологии</t>
  </si>
  <si>
    <t>вы</t>
  </si>
  <si>
    <t>хорошим</t>
  </si>
  <si>
    <t>оратором</t>
  </si>
  <si>
    <t>теоретически</t>
  </si>
  <si>
    <t>работает</t>
  </si>
  <si>
    <t>членом</t>
  </si>
  <si>
    <t>партии</t>
  </si>
  <si>
    <t># text = Независимые политики, в основном, не избираются на эту должность.</t>
  </si>
  <si>
    <t>Независимые</t>
  </si>
  <si>
    <t>политики</t>
  </si>
  <si>
    <t>основном</t>
  </si>
  <si>
    <t>избираются</t>
  </si>
  <si>
    <t>эту</t>
  </si>
  <si>
    <t>должность</t>
  </si>
  <si>
    <t># text = А мэры противоположны этому.</t>
  </si>
  <si>
    <t>А</t>
  </si>
  <si>
    <t>противоположны</t>
  </si>
  <si>
    <t>этому</t>
  </si>
  <si>
    <t># text = Они прагматичны, они решают проблемы.</t>
  </si>
  <si>
    <t>прагматичны</t>
  </si>
  <si>
    <t>решают</t>
  </si>
  <si>
    <t># text = Их работа в том, чтобы всё было сделано, а если они не справляются, они лишаются работы.</t>
  </si>
  <si>
    <t>Их</t>
  </si>
  <si>
    <t>работа</t>
  </si>
  <si>
    <t>было</t>
  </si>
  <si>
    <t>сделано</t>
  </si>
  <si>
    <t>а</t>
  </si>
  <si>
    <t>справляются</t>
  </si>
  <si>
    <t>лишаются</t>
  </si>
  <si>
    <t>работы</t>
  </si>
  <si>
    <t># text = Мэр Филадельфии Наттер сказал: «В Филадельфии нам бы никогда не простили того, что происходит в Вашингтоне.</t>
  </si>
  <si>
    <t>Мэр</t>
  </si>
  <si>
    <t>Филадельфии</t>
  </si>
  <si>
    <t>Наттер</t>
  </si>
  <si>
    <t>«В</t>
  </si>
  <si>
    <t>никогда</t>
  </si>
  <si>
    <t>простили</t>
  </si>
  <si>
    <t>Вашингтоне</t>
  </si>
  <si>
    <t># text = Бездействие и ещё раз бездействие.</t>
  </si>
  <si>
    <t>ещё</t>
  </si>
  <si>
    <t>раз</t>
  </si>
  <si>
    <t>бездействие</t>
  </si>
  <si>
    <t># text = Почему?</t>
  </si>
  <si>
    <t>Почему</t>
  </si>
  <si>
    <t># text = Потому что ямы на дорогах должны быть заделаны, поезда должны ходить, чтобы дети имели возможность добраться до школы.</t>
  </si>
  <si>
    <t>Потому</t>
  </si>
  <si>
    <t>ямы</t>
  </si>
  <si>
    <t>дорогах</t>
  </si>
  <si>
    <t>заделаны</t>
  </si>
  <si>
    <t>поезда</t>
  </si>
  <si>
    <t>дети</t>
  </si>
  <si>
    <t>имели</t>
  </si>
  <si>
    <t>возможность</t>
  </si>
  <si>
    <t>добраться</t>
  </si>
  <si>
    <t>до</t>
  </si>
  <si>
    <t>школы</t>
  </si>
  <si>
    <t># text = И это то, что мы должны сделать».</t>
  </si>
  <si>
    <t>сделать»</t>
  </si>
  <si>
    <t># text = Это касается прагматичности в том глубоком американском смысле слова, достигающей результатов.</t>
  </si>
  <si>
    <t>касается</t>
  </si>
  <si>
    <t>прагматичности</t>
  </si>
  <si>
    <t>глубоком</t>
  </si>
  <si>
    <t>американском</t>
  </si>
  <si>
    <t>смысле</t>
  </si>
  <si>
    <t>слова</t>
  </si>
  <si>
    <t>достигающей</t>
  </si>
  <si>
    <t>результатов</t>
  </si>
  <si>
    <t># text = Вашингтон, Пекин, Париж как столицы мира являются ничем иным, как прагматичностью.</t>
  </si>
  <si>
    <t>Вашингтон</t>
  </si>
  <si>
    <t>Пекин</t>
  </si>
  <si>
    <t>Париж</t>
  </si>
  <si>
    <t>столицы</t>
  </si>
  <si>
    <t>мира</t>
  </si>
  <si>
    <t>ничем</t>
  </si>
  <si>
    <t>pron.pind</t>
  </si>
  <si>
    <t>иным</t>
  </si>
  <si>
    <t>прагматичностью</t>
  </si>
  <si>
    <t># text = Городские мэры должны быть прагматичными.</t>
  </si>
  <si>
    <t>Городские</t>
  </si>
  <si>
    <t>прагматичными</t>
  </si>
  <si>
    <t># text = Они должны решать задачи, они должны отодвинуть в сторону идеологию, религию и этническую принадлежность и объединить их города.</t>
  </si>
  <si>
    <t>задачи</t>
  </si>
  <si>
    <t>отодвинуть</t>
  </si>
  <si>
    <t>сторону</t>
  </si>
  <si>
    <t>идеологию</t>
  </si>
  <si>
    <t>религию</t>
  </si>
  <si>
    <t>этническую</t>
  </si>
  <si>
    <t>принадлежность</t>
  </si>
  <si>
    <t>их</t>
  </si>
  <si>
    <t># text = Мы наблюдали это несколько десятков лет назад, когда Тэдди Коллек — великий мэр Иерусалима в 80-е и 90-е — был однажды осаждён в своём офисе религиозными предводителями всех идеологических групп: христианских прелатов, раввинов, имамов.</t>
  </si>
  <si>
    <t>наблюдали</t>
  </si>
  <si>
    <t>несколько</t>
  </si>
  <si>
    <t>десятков</t>
  </si>
  <si>
    <t>Тэдди</t>
  </si>
  <si>
    <t>Коллек</t>
  </si>
  <si>
    <t>великий</t>
  </si>
  <si>
    <t>Иерусалима</t>
  </si>
  <si>
    <t>80-е</t>
  </si>
  <si>
    <t>90-е</t>
  </si>
  <si>
    <t>был</t>
  </si>
  <si>
    <t>однажды</t>
  </si>
  <si>
    <t>осаждён</t>
  </si>
  <si>
    <t>своём</t>
  </si>
  <si>
    <t>офисе</t>
  </si>
  <si>
    <t>религиозными</t>
  </si>
  <si>
    <t>предводителями</t>
  </si>
  <si>
    <t>всех</t>
  </si>
  <si>
    <t>идеологических</t>
  </si>
  <si>
    <t>групп</t>
  </si>
  <si>
    <t>христианских</t>
  </si>
  <si>
    <t>прелатов</t>
  </si>
  <si>
    <t>раввинов</t>
  </si>
  <si>
    <t>имамов</t>
  </si>
  <si>
    <t># text = Они ссорились друг с другом о доступе к святым местам.</t>
  </si>
  <si>
    <t>ссорились</t>
  </si>
  <si>
    <t>другом</t>
  </si>
  <si>
    <t>доступе</t>
  </si>
  <si>
    <t>святым</t>
  </si>
  <si>
    <t>местам</t>
  </si>
  <si>
    <t># text = И ругань всё продолжалась и продолжалась.</t>
  </si>
  <si>
    <t>ругань</t>
  </si>
  <si>
    <t>продолжалась</t>
  </si>
  <si>
    <t># text = А Коллек всё слушал и слушал, и в конце концов он сказал: «Господа, избавьте меня от своих проповедей, и я починю вашу канализацию».</t>
  </si>
  <si>
    <t>слушал</t>
  </si>
  <si>
    <t>конце</t>
  </si>
  <si>
    <t>концов</t>
  </si>
  <si>
    <t>он</t>
  </si>
  <si>
    <t>«Господа</t>
  </si>
  <si>
    <t>избавьте</t>
  </si>
  <si>
    <t>меня</t>
  </si>
  <si>
    <t>своих</t>
  </si>
  <si>
    <t>проповедей</t>
  </si>
  <si>
    <t>починю</t>
  </si>
  <si>
    <t>вашу</t>
  </si>
  <si>
    <t>канализацию»</t>
  </si>
  <si>
    <t># text = (Смех) Вот как действуют мэры.</t>
  </si>
  <si>
    <t>Смех</t>
  </si>
  <si>
    <t>Вот</t>
  </si>
  <si>
    <t>действуют</t>
  </si>
  <si>
    <t># text = Они чинят канализацию, они заставляют ходить поезда.</t>
  </si>
  <si>
    <t>чинят</t>
  </si>
  <si>
    <t>канализацию</t>
  </si>
  <si>
    <t>заставляют</t>
  </si>
  <si>
    <t># text = Нет ни левого, ни правого пути в таких действиях.</t>
  </si>
  <si>
    <t>Нет</t>
  </si>
  <si>
    <t>левого</t>
  </si>
  <si>
    <t>правого</t>
  </si>
  <si>
    <t>пути</t>
  </si>
  <si>
    <t>действиях</t>
  </si>
  <si>
    <t># text = Борис Джонсон в Лондоне называет себя анархо-тори.</t>
  </si>
  <si>
    <t>Борис</t>
  </si>
  <si>
    <t>Джонсон</t>
  </si>
  <si>
    <t>Лондоне</t>
  </si>
  <si>
    <t>называет</t>
  </si>
  <si>
    <t>анархо-тори</t>
  </si>
  <si>
    <t># text = Странный термин, но в какой-то степени он им и является.</t>
  </si>
  <si>
    <t>Странный</t>
  </si>
  <si>
    <t>но</t>
  </si>
  <si>
    <t>какой-то</t>
  </si>
  <si>
    <t>степени</t>
  </si>
  <si>
    <t>indef-np</t>
  </si>
  <si>
    <t>им</t>
  </si>
  <si>
    <t># text = Он либерал.</t>
  </si>
  <si>
    <t>Он</t>
  </si>
  <si>
    <t>либерал</t>
  </si>
  <si>
    <t># text = Он анархист.</t>
  </si>
  <si>
    <t># text = Он ездит на работу на велосипеде, но в то же время он в какой-то степени консервативен.</t>
  </si>
  <si>
    <t>ездит</t>
  </si>
  <si>
    <t>работу</t>
  </si>
  <si>
    <t>велосипеде</t>
  </si>
  <si>
    <t>консервативен</t>
  </si>
  <si>
    <t># text = Блумберг в Нью-Йорке был демократом, потом он был республиканцем, и наконец он был независимым политиком.</t>
  </si>
  <si>
    <t>Блумберг</t>
  </si>
  <si>
    <t>Нью-Йорке</t>
  </si>
  <si>
    <t>демократом</t>
  </si>
  <si>
    <t>республиканцем</t>
  </si>
  <si>
    <t>независимым</t>
  </si>
  <si>
    <t>политиком</t>
  </si>
  <si>
    <t># text = Он говорил, что принадлежность к какой-либо партии только мешает.</t>
  </si>
  <si>
    <t>говорил</t>
  </si>
  <si>
    <t>какой-либо</t>
  </si>
  <si>
    <t>только</t>
  </si>
  <si>
    <t>мешает</t>
  </si>
  <si>
    <t># text = Лужков — мэр Москвы последние 20 лет — хотя и помог основать Единую партию с Путиным, на самом деле отказался быть её членом и в конце концов потерял свою работу не во времена Брежнева, не во времена Горбачёва, а при правлении Путина, который хотел более верного приверженца партии.</t>
  </si>
  <si>
    <t>Москвы</t>
  </si>
  <si>
    <t>последние</t>
  </si>
  <si>
    <t>хотя</t>
  </si>
  <si>
    <t>помог</t>
  </si>
  <si>
    <t>основать</t>
  </si>
  <si>
    <t>Единую</t>
  </si>
  <si>
    <t>партию</t>
  </si>
  <si>
    <t>Путиным</t>
  </si>
  <si>
    <t>отказался</t>
  </si>
  <si>
    <t>её</t>
  </si>
  <si>
    <t>потерял</t>
  </si>
  <si>
    <t>свою</t>
  </si>
  <si>
    <t>времена</t>
  </si>
  <si>
    <t>Брежнева</t>
  </si>
  <si>
    <t>Горбачёва</t>
  </si>
  <si>
    <t>при</t>
  </si>
  <si>
    <t>правлении</t>
  </si>
  <si>
    <t>Путина</t>
  </si>
  <si>
    <t>который</t>
  </si>
  <si>
    <t>хотел</t>
  </si>
  <si>
    <t>верного</t>
  </si>
  <si>
    <t>приверженца</t>
  </si>
  <si>
    <t># text = Мэры прагматичны и решают проблемы.</t>
  </si>
  <si>
    <t># text = Они выполняют работу.</t>
  </si>
  <si>
    <t>выполняют</t>
  </si>
  <si>
    <t># text = Вторая особенность мэров в том, что они ещё, как я люблю их называть, свои парни, а женщины-мэры — наши родные.</t>
  </si>
  <si>
    <t>Вторая</t>
  </si>
  <si>
    <t>люблю</t>
  </si>
  <si>
    <t>свои</t>
  </si>
  <si>
    <t>парни</t>
  </si>
  <si>
    <t>женщины-</t>
  </si>
  <si>
    <t>родные</t>
  </si>
  <si>
    <t># text = Они наши соседи.</t>
  </si>
  <si>
    <t>соседи</t>
  </si>
  <si>
    <t># text = Они часть соседства.</t>
  </si>
  <si>
    <t>соседства</t>
  </si>
  <si>
    <t># text = Их знают.</t>
  </si>
  <si>
    <t>знают</t>
  </si>
  <si>
    <t># text = Эд Кох когда-то ходил по Нью-Йорку и спрашивал: «Как я справляюсь с работой?».</t>
  </si>
  <si>
    <t>Эд</t>
  </si>
  <si>
    <t>Кох</t>
  </si>
  <si>
    <t>когда-то</t>
  </si>
  <si>
    <t>ходил</t>
  </si>
  <si>
    <t>Нью-Йорку</t>
  </si>
  <si>
    <t>спрашивал</t>
  </si>
  <si>
    <t>«Как</t>
  </si>
  <si>
    <t>справляюсь</t>
  </si>
  <si>
    <t>работой</t>
  </si>
  <si>
    <t>»</t>
  </si>
  <si>
    <t># text = Представьте Дэвида Камерона, бродящего по Великобритании и спрашивающего: «Как я справляюсь с работой?» Ему бы не понравилось то, что он услышал бы в ответ.</t>
  </si>
  <si>
    <t>Представьте</t>
  </si>
  <si>
    <t>Дэвида</t>
  </si>
  <si>
    <t>Камерона</t>
  </si>
  <si>
    <t>бродящего</t>
  </si>
  <si>
    <t>Великобритании</t>
  </si>
  <si>
    <t>спрашивающего</t>
  </si>
  <si>
    <t>Ему</t>
  </si>
  <si>
    <t>понравилось</t>
  </si>
  <si>
    <t>услышал</t>
  </si>
  <si>
    <t>ответ</t>
  </si>
  <si>
    <t># text = Или Путин.</t>
  </si>
  <si>
    <t>Или</t>
  </si>
  <si>
    <t># text = Или любой другой государственный деятель.</t>
  </si>
  <si>
    <t>любой</t>
  </si>
  <si>
    <t>другой</t>
  </si>
  <si>
    <t>государственный</t>
  </si>
  <si>
    <t># text = Он мог так говорить, потому что он знал жителей Нью-Йорка, а они знали его.</t>
  </si>
  <si>
    <t>мог</t>
  </si>
  <si>
    <t>потому</t>
  </si>
  <si>
    <t>знал</t>
  </si>
  <si>
    <t>Нью-Йорка</t>
  </si>
  <si>
    <t>знали</t>
  </si>
  <si>
    <t>его</t>
  </si>
  <si>
    <t># text = Мэры обычно происходят из тех мест, которыми управляют.</t>
  </si>
  <si>
    <t>обычно</t>
  </si>
  <si>
    <t>происходят</t>
  </si>
  <si>
    <t>мест</t>
  </si>
  <si>
    <t># text = Довольно сложно быть чужаком и в то же время быть мэром.</t>
  </si>
  <si>
    <t>Довольно</t>
  </si>
  <si>
    <t>сложно</t>
  </si>
  <si>
    <t>чужаком</t>
  </si>
  <si>
    <t>мэром</t>
  </si>
  <si>
    <t># text = Вы можете претендовать на место в Сенате, будучи из другого штата, но тяжело сделать то же самое, если вы хотите быть мэром.</t>
  </si>
  <si>
    <t>Вы</t>
  </si>
  <si>
    <t>можете</t>
  </si>
  <si>
    <t>претендовать</t>
  </si>
  <si>
    <t>Сенате</t>
  </si>
  <si>
    <t>будучи</t>
  </si>
  <si>
    <t>другого</t>
  </si>
  <si>
    <t>штата</t>
  </si>
  <si>
    <t>тяжело</t>
  </si>
  <si>
    <t>самое</t>
  </si>
  <si>
    <t>хотите</t>
  </si>
  <si>
    <t># text = В результате мэрам, членам городского совета и местным властям намного больше доверяют, и это третья отличительная черта мэров от национальных государственных правящих лиц.</t>
  </si>
  <si>
    <t>результате</t>
  </si>
  <si>
    <t>мэрам</t>
  </si>
  <si>
    <t>членам</t>
  </si>
  <si>
    <t>городского</t>
  </si>
  <si>
    <t>совета</t>
  </si>
  <si>
    <t>властям</t>
  </si>
  <si>
    <t>доверяют</t>
  </si>
  <si>
    <t>третья</t>
  </si>
  <si>
    <t>отличительная</t>
  </si>
  <si>
    <t>черта</t>
  </si>
  <si>
    <t>государственных</t>
  </si>
  <si>
    <t>правящих</t>
  </si>
  <si>
    <t>лиц</t>
  </si>
  <si>
    <t># text = В США данные неутешительные: только 18% американцев одобряет Конгресс и его действия.</t>
  </si>
  <si>
    <t>данные</t>
  </si>
  <si>
    <t>неутешительные</t>
  </si>
  <si>
    <t>американцев</t>
  </si>
  <si>
    <t>одобряет</t>
  </si>
  <si>
    <t>Конгресс</t>
  </si>
  <si>
    <t>действия</t>
  </si>
  <si>
    <t># text = И даже с таким относительно популярным президентом как Обама положительные отзывы о Президентстве достигают около 40-45, иногда 50% в лучшем случае.</t>
  </si>
  <si>
    <t>даже</t>
  </si>
  <si>
    <t>таким</t>
  </si>
  <si>
    <t>относительно</t>
  </si>
  <si>
    <t>популярным</t>
  </si>
  <si>
    <t>Обама</t>
  </si>
  <si>
    <t>положительные</t>
  </si>
  <si>
    <t>отзывы</t>
  </si>
  <si>
    <t>Президентстве</t>
  </si>
  <si>
    <t>достигают</t>
  </si>
  <si>
    <t>около</t>
  </si>
  <si>
    <t>иногда</t>
  </si>
  <si>
    <t>лучшем</t>
  </si>
  <si>
    <t>случае</t>
  </si>
  <si>
    <t># text = Доверие Верховному Суду упало очень низко относительно того, каким оно было.</t>
  </si>
  <si>
    <t>Доверие</t>
  </si>
  <si>
    <t>Верховному</t>
  </si>
  <si>
    <t>Суду</t>
  </si>
  <si>
    <t>упало</t>
  </si>
  <si>
    <t>низко</t>
  </si>
  <si>
    <t>каким</t>
  </si>
  <si>
    <t>оно</t>
  </si>
  <si>
    <t># text = Но если вы спросите: «Доверяете ли вы своему городскому совету, доверяете ли вашему мэру?», данные сразу подскакивают до 70-75 и даже 80%, потому что они являются вашими соседями, потому что люди, с которыми они работают, являются их соседями, потому что так же, как мэр Букер в Ньюарке, любой мэр, скорее всего, вылезет из своей машины по пути на работу и побежит вытаскивать людей из горящего здания, как сделал мэр Букер, или помешает грабежу на улице, пока он идёт на работу, потому что он это видит.</t>
  </si>
  <si>
    <t>Но</t>
  </si>
  <si>
    <t>спросите</t>
  </si>
  <si>
    <t>«Доверяете</t>
  </si>
  <si>
    <t>ли</t>
  </si>
  <si>
    <t>своему</t>
  </si>
  <si>
    <t>городскому</t>
  </si>
  <si>
    <t>совету</t>
  </si>
  <si>
    <t>доверяете</t>
  </si>
  <si>
    <t>вашему</t>
  </si>
  <si>
    <t>мэру</t>
  </si>
  <si>
    <t>сразу</t>
  </si>
  <si>
    <t>подскакивают</t>
  </si>
  <si>
    <t>вашими</t>
  </si>
  <si>
    <t>соседями</t>
  </si>
  <si>
    <t>работают</t>
  </si>
  <si>
    <t>Букер</t>
  </si>
  <si>
    <t>Ньюарке</t>
  </si>
  <si>
    <t>скорее</t>
  </si>
  <si>
    <t>всего</t>
  </si>
  <si>
    <t>вылезет</t>
  </si>
  <si>
    <t>машины</t>
  </si>
  <si>
    <t>побежит</t>
  </si>
  <si>
    <t>вытаскивать</t>
  </si>
  <si>
    <t>горящего</t>
  </si>
  <si>
    <t>здания</t>
  </si>
  <si>
    <t>сделал</t>
  </si>
  <si>
    <t>помешает</t>
  </si>
  <si>
    <t>грабежу</t>
  </si>
  <si>
    <t>улице</t>
  </si>
  <si>
    <t>пока</t>
  </si>
  <si>
    <t>идёт</t>
  </si>
  <si>
    <t>видит</t>
  </si>
  <si>
    <t># text = Ни одному главе штата не будет позволено сделать то же самое из-за вопросов безопасности, ровно как они и не оказались бы в такой ситуации.</t>
  </si>
  <si>
    <t>Ни</t>
  </si>
  <si>
    <t>одному</t>
  </si>
  <si>
    <t>главе</t>
  </si>
  <si>
    <t>будет</t>
  </si>
  <si>
    <t>позволено</t>
  </si>
  <si>
    <t>из-за</t>
  </si>
  <si>
    <t>вопросов</t>
  </si>
  <si>
    <t>безопасности</t>
  </si>
  <si>
    <t>ровно</t>
  </si>
  <si>
    <t>оказались</t>
  </si>
  <si>
    <t>такой</t>
  </si>
  <si>
    <t>ситуации</t>
  </si>
  <si>
    <t># text = Вот в чём разница, и разница в характере городов, потому что города достаточно многокультурны, открыты; они участвуют в жизни людей и построении демократии, они могут взаимодействовать друг с другом.</t>
  </si>
  <si>
    <t>разница</t>
  </si>
  <si>
    <t>характере</t>
  </si>
  <si>
    <t>достаточно</t>
  </si>
  <si>
    <t>многокультурны</t>
  </si>
  <si>
    <t>открыты</t>
  </si>
  <si>
    <t>;</t>
  </si>
  <si>
    <t>участвуют</t>
  </si>
  <si>
    <t>жизни</t>
  </si>
  <si>
    <t>построении</t>
  </si>
  <si>
    <t>могут</t>
  </si>
  <si>
    <t># text = Когда же государства сталкиваются друг с другом, например, Китай и США, они встречаются друг с другом вот так.</t>
  </si>
  <si>
    <t>сталкиваются</t>
  </si>
  <si>
    <t>Китай</t>
  </si>
  <si>
    <t>встречаются</t>
  </si>
  <si>
    <t># text = Когда же города взаимодействуют, они взаимодействуют вот так.</t>
  </si>
  <si>
    <t>взаимодействуют</t>
  </si>
  <si>
    <t># text = Китай и США, несмотря на недавнюю мета-встречу в Калифорнии, поглощены проявлениями злости, возмущения и конкуренции в первую очередь.</t>
  </si>
  <si>
    <t>несмотря</t>
  </si>
  <si>
    <t>недавнюю</t>
  </si>
  <si>
    <t>мета-встречу</t>
  </si>
  <si>
    <t>Калифорнии</t>
  </si>
  <si>
    <t>поглощены</t>
  </si>
  <si>
    <t>проявлениями</t>
  </si>
  <si>
    <t>злости</t>
  </si>
  <si>
    <t>возмущения</t>
  </si>
  <si>
    <t>конкуренции</t>
  </si>
  <si>
    <t>первую</t>
  </si>
  <si>
    <t>очередь</t>
  </si>
  <si>
    <t># text = Мы слышали больше о том, кто будет первым.</t>
  </si>
  <si>
    <t>слышали</t>
  </si>
  <si>
    <t>первым</t>
  </si>
  <si>
    <t># text = Города не волнуются по поводу того, Они должны работать сообща, и они действительно работают сообща.</t>
  </si>
  <si>
    <t>волнуются</t>
  </si>
  <si>
    <t>поводу</t>
  </si>
  <si>
    <t>сообща</t>
  </si>
  <si>
    <t>действительно</t>
  </si>
  <si>
    <t># text = К примеру, они вместе во время климатических изменений.</t>
  </si>
  <si>
    <t>К</t>
  </si>
  <si>
    <t>примеру</t>
  </si>
  <si>
    <t>климатических</t>
  </si>
  <si>
    <t>изменений</t>
  </si>
  <si>
    <t># text = Такие организации как C40 и ICLEI, которые я упоминал, работали совместно задолго до Копенгагена.</t>
  </si>
  <si>
    <t>Такие</t>
  </si>
  <si>
    <t>C40</t>
  </si>
  <si>
    <t>ICLEI</t>
  </si>
  <si>
    <t>упоминал</t>
  </si>
  <si>
    <t>работали</t>
  </si>
  <si>
    <t>совместно</t>
  </si>
  <si>
    <t>задолго</t>
  </si>
  <si>
    <t>Копенгагена</t>
  </si>
  <si>
    <t># text = В Копенгагене 4 или 5 лет назад 184 государства объединились, чтобы объяснить друг другу, почему их независимость не позволяет им справиться с серьёзными климатическими изменениями.</t>
  </si>
  <si>
    <t>Копенгагене</t>
  </si>
  <si>
    <t>184</t>
  </si>
  <si>
    <t>объединились</t>
  </si>
  <si>
    <t>объяснить</t>
  </si>
  <si>
    <t>другу</t>
  </si>
  <si>
    <t>независимость</t>
  </si>
  <si>
    <t>позволяет</t>
  </si>
  <si>
    <t>справиться</t>
  </si>
  <si>
    <t>серьёзными</t>
  </si>
  <si>
    <t>климатическими</t>
  </si>
  <si>
    <t>изменениями</t>
  </si>
  <si>
    <t># text = Тогда мэр Копенгагена пригласил присоединиться к обсуждению 200 мэров.</t>
  </si>
  <si>
    <t>Тогда</t>
  </si>
  <si>
    <t>пригласил</t>
  </si>
  <si>
    <t>присоединиться</t>
  </si>
  <si>
    <t>обсуждению</t>
  </si>
  <si>
    <t>200</t>
  </si>
  <si>
    <t># text = Они приехали, они остались, и они нашли решения.</t>
  </si>
  <si>
    <t>приехали</t>
  </si>
  <si>
    <t>остались</t>
  </si>
  <si>
    <t>нашли</t>
  </si>
  <si>
    <t># text = Они до сих пор находят способы работать сообща, город с городом, а, следовательно, и между городами.</t>
  </si>
  <si>
    <t>сих</t>
  </si>
  <si>
    <t>пор</t>
  </si>
  <si>
    <t>находят</t>
  </si>
  <si>
    <t>способы</t>
  </si>
  <si>
    <t>город</t>
  </si>
  <si>
    <t>следовательно</t>
  </si>
  <si>
    <t># text = 80% выбросов углерода исходит от городов.</t>
  </si>
  <si>
    <t>выбросов</t>
  </si>
  <si>
    <t>углерода</t>
  </si>
  <si>
    <t>исходит</t>
  </si>
  <si>
    <t># text = Это означает, что именно города должны решить проблему выброса углерода или хотя бы бо́льшую её часть, независимо от того, будут ли государства, частью которых являются эти города, приходить к соглашениям между собой.</t>
  </si>
  <si>
    <t>означает</t>
  </si>
  <si>
    <t>выброса</t>
  </si>
  <si>
    <t>бо́льшую</t>
  </si>
  <si>
    <t>независимо</t>
  </si>
  <si>
    <t>будут</t>
  </si>
  <si>
    <t>частью</t>
  </si>
  <si>
    <t>other_10</t>
  </si>
  <si>
    <t>приходить</t>
  </si>
  <si>
    <t>соглашениям</t>
  </si>
  <si>
    <t># text = И они действительно делают это.</t>
  </si>
  <si>
    <t># text = Лож Анжелес очистил свой порт, который выбрасывал 40% углерода, и в результате избавился от 20% углерода.</t>
  </si>
  <si>
    <t>Лож</t>
  </si>
  <si>
    <t>Анжелес</t>
  </si>
  <si>
    <t>очистил</t>
  </si>
  <si>
    <t>свой</t>
  </si>
  <si>
    <t>порт</t>
  </si>
  <si>
    <t>выбрасывал</t>
  </si>
  <si>
    <t>избавился</t>
  </si>
  <si>
    <t># text = В Нью-Йорке стоит задача модернизировать старые здания, сделать их более изолированными зимой, чтобы не было недостатка энергии летом, чтобы не было недостатка кондиционирования воздуха.</t>
  </si>
  <si>
    <t>стоит</t>
  </si>
  <si>
    <t>задача</t>
  </si>
  <si>
    <t>модернизировать</t>
  </si>
  <si>
    <t>старые</t>
  </si>
  <si>
    <t>изолированными</t>
  </si>
  <si>
    <t>зимой</t>
  </si>
  <si>
    <t>недостатка</t>
  </si>
  <si>
    <t>энергии</t>
  </si>
  <si>
    <t>летом</t>
  </si>
  <si>
    <t>кондиционирования</t>
  </si>
  <si>
    <t>воздуха</t>
  </si>
  <si>
    <t># text = Это оказывает влияние на город.</t>
  </si>
  <si>
    <t>оказывает</t>
  </si>
  <si>
    <t>влияние</t>
  </si>
  <si>
    <t># text = Мэр Боготы Мокус представил транспортную систему, которая сохраняет энергию, позволяя автобусам ездить таким же образом, как и метро, экспресс-автобусам с коридорами.</t>
  </si>
  <si>
    <t>Боготы</t>
  </si>
  <si>
    <t>Мокус</t>
  </si>
  <si>
    <t>представил</t>
  </si>
  <si>
    <t>транспортную</t>
  </si>
  <si>
    <t>систему</t>
  </si>
  <si>
    <t>сохраняет</t>
  </si>
  <si>
    <t>энергию</t>
  </si>
  <si>
    <t>позволяя</t>
  </si>
  <si>
    <t>автобусам</t>
  </si>
  <si>
    <t>метро</t>
  </si>
  <si>
    <t>экспресс-автобусам</t>
  </si>
  <si>
    <t>коридорами</t>
  </si>
  <si>
    <t># text = Это улучшило ситуацию с безработицей, потому что люди смогли добираться через весь город, это произвело огромное влияние на климат, а также на многие другие проблемы.</t>
  </si>
  <si>
    <t>улучшило</t>
  </si>
  <si>
    <t>ситуацию</t>
  </si>
  <si>
    <t>безработицей</t>
  </si>
  <si>
    <t>смогли</t>
  </si>
  <si>
    <t>добираться</t>
  </si>
  <si>
    <t>через</t>
  </si>
  <si>
    <t>весь</t>
  </si>
  <si>
    <t>произвело</t>
  </si>
  <si>
    <t>огромное</t>
  </si>
  <si>
    <t>климат</t>
  </si>
  <si>
    <t>также</t>
  </si>
  <si>
    <t># text = Как только в Сингапуре появились высотные здания и замечательные дома, также были высажены островки парков.</t>
  </si>
  <si>
    <t>Сингапуре</t>
  </si>
  <si>
    <t>появились</t>
  </si>
  <si>
    <t>высотные</t>
  </si>
  <si>
    <t>замечательные</t>
  </si>
  <si>
    <t>дома</t>
  </si>
  <si>
    <t>высажены</t>
  </si>
  <si>
    <t>островки</t>
  </si>
  <si>
    <t>парков</t>
  </si>
  <si>
    <t># text = И если вы поедете туда, вы увидите, насколько много там зелёной травы и парков.</t>
  </si>
  <si>
    <t>поедете</t>
  </si>
  <si>
    <t>туда</t>
  </si>
  <si>
    <t>увидите</t>
  </si>
  <si>
    <t>насколько</t>
  </si>
  <si>
    <t>много</t>
  </si>
  <si>
    <t>там</t>
  </si>
  <si>
    <t>зелёной</t>
  </si>
  <si>
    <t>травы</t>
  </si>
  <si>
    <t># text = Города проделывают такие вещи, но не друг за другом.</t>
  </si>
  <si>
    <t>проделывают</t>
  </si>
  <si>
    <t>вещи</t>
  </si>
  <si>
    <t>за</t>
  </si>
  <si>
    <t># text = Они совершают это совместно.</t>
  </si>
  <si>
    <t>совершают</t>
  </si>
  <si>
    <t># text = Они делятся тем, что они делают.</t>
  </si>
  <si>
    <t>делятся</t>
  </si>
  <si>
    <t>тем</t>
  </si>
  <si>
    <t># text = Они меняют ситуацию, делясь лучшими методами и решениями.</t>
  </si>
  <si>
    <t>меняют</t>
  </si>
  <si>
    <t>делясь</t>
  </si>
  <si>
    <t>лучшими</t>
  </si>
  <si>
    <t>методами</t>
  </si>
  <si>
    <t>решениями</t>
  </si>
  <si>
    <t># text = Многие слышали о системе совместного использования велосипедов.</t>
  </si>
  <si>
    <t>Многие</t>
  </si>
  <si>
    <t>системе</t>
  </si>
  <si>
    <t>совместного</t>
  </si>
  <si>
    <t>использования</t>
  </si>
  <si>
    <t>велосипедов</t>
  </si>
  <si>
    <t># text = Она зародилась 20-30 лет назад в Латинской Америке.</t>
  </si>
  <si>
    <t>Она</t>
  </si>
  <si>
    <t>зародилась</t>
  </si>
  <si>
    <t>Латинской</t>
  </si>
  <si>
    <t>Америке</t>
  </si>
  <si>
    <t># text = Сегодня это часть сотни городов по всему миру.</t>
  </si>
  <si>
    <t>Сегодня</t>
  </si>
  <si>
    <t>сотни</t>
  </si>
  <si>
    <t>всему</t>
  </si>
  <si>
    <t>миру</t>
  </si>
  <si>
    <t># text = Пешеходные зоны, налоги за пробки, ограничение выбросов в городах Калифорнии — есть множество вещей, которые могут сделать города, даже когда непросвещённые упрямые народы отказываются делать это.</t>
  </si>
  <si>
    <t>Пешеходные</t>
  </si>
  <si>
    <t>зоны</t>
  </si>
  <si>
    <t>пробки</t>
  </si>
  <si>
    <t>ограничение</t>
  </si>
  <si>
    <t>вещей</t>
  </si>
  <si>
    <t>непросвещённые</t>
  </si>
  <si>
    <t>упрямые</t>
  </si>
  <si>
    <t>народы</t>
  </si>
  <si>
    <t>отказываются</t>
  </si>
  <si>
    <t># text = Так в чём же суть?</t>
  </si>
  <si>
    <t>Так</t>
  </si>
  <si>
    <t>суть</t>
  </si>
  <si>
    <t># text = Суть в том, что мы до сих пор живём в политическом мире границ, мире ограничений, мире стен, мире, где государства отказываются работать сообща.</t>
  </si>
  <si>
    <t>Суть</t>
  </si>
  <si>
    <t>политическом</t>
  </si>
  <si>
    <t>ограничений</t>
  </si>
  <si>
    <t>стен</t>
  </si>
  <si>
    <t># text = Тем не менее, мы знаем, что реальность, которую мы ощущаем изо дня в день, — это мир без границ, мир болезней без границ и докторов без границ.</t>
  </si>
  <si>
    <t>Тем</t>
  </si>
  <si>
    <t>менее</t>
  </si>
  <si>
    <t>реальность</t>
  </si>
  <si>
    <t>которую</t>
  </si>
  <si>
    <t>ощущаем</t>
  </si>
  <si>
    <t>изо</t>
  </si>
  <si>
    <t>дня</t>
  </si>
  <si>
    <t>болезней</t>
  </si>
  <si>
    <t>докторов</t>
  </si>
  <si>
    <t># text = Болезни без границ, Врачи без границ, мир экономики и технологий без границ, обучения без границ, терроризма и войны без границ.</t>
  </si>
  <si>
    <t>Болезни</t>
  </si>
  <si>
    <t>Врачи</t>
  </si>
  <si>
    <t>экономики</t>
  </si>
  <si>
    <t>технологий</t>
  </si>
  <si>
    <t>обучения</t>
  </si>
  <si>
    <t>терроризма</t>
  </si>
  <si>
    <t>войны</t>
  </si>
  <si>
    <t># text = Это реальный мир, и до тех пор, пока мы не найдём способы глобализации демократии и демократизации глобализации, мы будем увеличивать не только риск провалить решение всех этих транснациональных проблем, но и рисковать утратить демократию саму по себе, запираясь в устаревшей коробке национального государства, не имея возможности решать глобальные проблемы демократическим путём.</t>
  </si>
  <si>
    <t>реальный</t>
  </si>
  <si>
    <t>найдём</t>
  </si>
  <si>
    <t>глобализации</t>
  </si>
  <si>
    <t>демократизации</t>
  </si>
  <si>
    <t>будем</t>
  </si>
  <si>
    <t>увеличивать</t>
  </si>
  <si>
    <t>риск</t>
  </si>
  <si>
    <t>провалить</t>
  </si>
  <si>
    <t>решение</t>
  </si>
  <si>
    <t>транснациональных</t>
  </si>
  <si>
    <t>рисковать</t>
  </si>
  <si>
    <t>утратить</t>
  </si>
  <si>
    <t>демократию</t>
  </si>
  <si>
    <t>саму</t>
  </si>
  <si>
    <t>себе</t>
  </si>
  <si>
    <t>запираясь</t>
  </si>
  <si>
    <t>устаревшей</t>
  </si>
  <si>
    <t>коробке</t>
  </si>
  <si>
    <t>национального</t>
  </si>
  <si>
    <t>имея</t>
  </si>
  <si>
    <t>возможности</t>
  </si>
  <si>
    <t>глобальные</t>
  </si>
  <si>
    <t>демократическим</t>
  </si>
  <si>
    <t>путём</t>
  </si>
  <si>
    <t># text = Так что это нам даёт?</t>
  </si>
  <si>
    <t>даёт</t>
  </si>
  <si>
    <t># text = Я вам скажу.</t>
  </si>
  <si>
    <t>скажу</t>
  </si>
  <si>
    <t># text = Путь глобальной демократии не пролегает через государства.</t>
  </si>
  <si>
    <t>Путь</t>
  </si>
  <si>
    <t>пролегает</t>
  </si>
  <si>
    <t># text = Он пролегает через города.</t>
  </si>
  <si>
    <t># text = Демократия зародилась в древнем полисе.</t>
  </si>
  <si>
    <t>древнем</t>
  </si>
  <si>
    <t>полисе</t>
  </si>
  <si>
    <t># text = Я считаю, что её можно возродить в глобальном космополисе.</t>
  </si>
  <si>
    <t>считаю</t>
  </si>
  <si>
    <t>можно</t>
  </si>
  <si>
    <t>возродить</t>
  </si>
  <si>
    <t>глобальном</t>
  </si>
  <si>
    <t>космополисе</t>
  </si>
  <si>
    <t># text = В этом путешествии от полиса к космополису мы можем заново открыть для себя мощь демократии на глобальном уровне.</t>
  </si>
  <si>
    <t>путешествии</t>
  </si>
  <si>
    <t>полиса</t>
  </si>
  <si>
    <t>космополису</t>
  </si>
  <si>
    <t>заново</t>
  </si>
  <si>
    <t>открыть</t>
  </si>
  <si>
    <t>мощь</t>
  </si>
  <si>
    <t>уровне</t>
  </si>
  <si>
    <t># text = Мы можем создать не Лигу Наций, которая оказалась безуспешной, а Лигу Городов, не Соединённые или от-Соединённые Нации, а Объединённые Города Мира.</t>
  </si>
  <si>
    <t>Лигу</t>
  </si>
  <si>
    <t>Наций</t>
  </si>
  <si>
    <t>оказалась</t>
  </si>
  <si>
    <t>безуспешной</t>
  </si>
  <si>
    <t>Городов</t>
  </si>
  <si>
    <t>Соединённые</t>
  </si>
  <si>
    <t>от-Соединённые</t>
  </si>
  <si>
    <t>Нации</t>
  </si>
  <si>
    <t>Мира</t>
  </si>
  <si>
    <t># text = Мы можем создать мировой парламент мэров.</t>
  </si>
  <si>
    <t>мировой</t>
  </si>
  <si>
    <t>парламент</t>
  </si>
  <si>
    <t># text = Эта идея моей концепции будущего мира, она также находится на столе в мэриях Сеула, Кореи, Амстердама, Гамбурга и Нью-Йорка.</t>
  </si>
  <si>
    <t>Эта</t>
  </si>
  <si>
    <t>идея</t>
  </si>
  <si>
    <t>моей</t>
  </si>
  <si>
    <t>концепции</t>
  </si>
  <si>
    <t>будущего</t>
  </si>
  <si>
    <t>столе</t>
  </si>
  <si>
    <t>мэриях</t>
  </si>
  <si>
    <t>Сеула</t>
  </si>
  <si>
    <t>Кореи</t>
  </si>
  <si>
    <t>Амстердама</t>
  </si>
  <si>
    <t>Гамбурга</t>
  </si>
  <si>
    <t># text = Мэры рассматривают идею того, как можно фактически составить глобальный парламент мэров.</t>
  </si>
  <si>
    <t>рассматривают</t>
  </si>
  <si>
    <t>идею</t>
  </si>
  <si>
    <t>фактически</t>
  </si>
  <si>
    <t>составить</t>
  </si>
  <si>
    <t>глобальный</t>
  </si>
  <si>
    <t># text = Мне очень нравится эта идея, потому что парламент мэров — это парламент горожан, а парламент горожан — это парламент нас всех, парламент вас и меня.</t>
  </si>
  <si>
    <t>Мне</t>
  </si>
  <si>
    <t>нравится</t>
  </si>
  <si>
    <t>горожан</t>
  </si>
  <si>
    <t>вас</t>
  </si>
  <si>
    <t># text = Если бы существовали горожане без границ, я думаю, это были бы жители TED, которые отображают обещание быть теми самыми горожанами без границ.</t>
  </si>
  <si>
    <t>существовали</t>
  </si>
  <si>
    <t>горожане</t>
  </si>
  <si>
    <t>думаю</t>
  </si>
  <si>
    <t>жители</t>
  </si>
  <si>
    <t>TED</t>
  </si>
  <si>
    <t>отображают</t>
  </si>
  <si>
    <t>обещание</t>
  </si>
  <si>
    <t>теми</t>
  </si>
  <si>
    <t>самыми</t>
  </si>
  <si>
    <t>горожанами</t>
  </si>
  <si>
    <t># text = Я готов протянуть руку и принять новую глобальную демократию, вернуть наконец обратно нашу демократию.</t>
  </si>
  <si>
    <t>готов</t>
  </si>
  <si>
    <t>протянуть</t>
  </si>
  <si>
    <t>руку</t>
  </si>
  <si>
    <t>принять</t>
  </si>
  <si>
    <t>новую</t>
  </si>
  <si>
    <t>глобальную</t>
  </si>
  <si>
    <t>вернуть</t>
  </si>
  <si>
    <t>обратно</t>
  </si>
  <si>
    <t># text = Единственный вопрос в том, готовы ли вы?</t>
  </si>
  <si>
    <t>Единственный</t>
  </si>
  <si>
    <t>готовы</t>
  </si>
  <si>
    <t># text = Спасибо вам огромное, мои согорожане.</t>
  </si>
  <si>
    <t>Спасибо</t>
  </si>
  <si>
    <t>мои</t>
  </si>
  <si>
    <t>согорожане</t>
  </si>
  <si>
    <t># text = Спасибо.</t>
  </si>
  <si>
    <t># text = (Аплодисменты)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</si>
</sst>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16</v>
      </c>
      <c r="B4" s="6" t="s">
        <v>20</v>
      </c>
      <c r="C4" s="6" t="s">
        <v>12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24</v>
      </c>
      <c r="C5" s="6" t="s">
        <v>12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29</v>
      </c>
      <c r="C6" s="6" t="s">
        <v>12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11</v>
      </c>
      <c r="C7" s="6" t="s">
        <v>12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10</v>
      </c>
      <c r="C8" s="6" t="s">
        <v>12</v>
      </c>
      <c r="D8" s="7" t="s">
        <v>25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24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37</v>
      </c>
      <c r="C10" s="6" t="s">
        <v>12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48</v>
      </c>
      <c r="B11" s="6" t="s">
        <v>16</v>
      </c>
      <c r="C11" s="6" t="s">
        <v>12</v>
      </c>
      <c r="D11" s="7" t="s">
        <v>41</v>
      </c>
      <c r="E11" s="8" t="s">
        <v>49</v>
      </c>
      <c r="F11" s="6" t="s">
        <v>50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29</v>
      </c>
      <c r="B12" s="6" t="s">
        <v>40</v>
      </c>
      <c r="C12" s="6" t="s">
        <v>12</v>
      </c>
      <c r="D12" s="7" t="s">
        <v>51</v>
      </c>
      <c r="E12" s="8" t="s">
        <v>52</v>
      </c>
      <c r="F12" s="6" t="s">
        <v>53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54</v>
      </c>
      <c r="B13" s="6" t="s">
        <v>11</v>
      </c>
      <c r="C13" s="6" t="s">
        <v>12</v>
      </c>
      <c r="D13" s="7" t="s">
        <v>55</v>
      </c>
      <c r="E13" s="8" t="s">
        <v>56</v>
      </c>
      <c r="F13" s="6" t="s">
        <v>57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58</v>
      </c>
      <c r="B14" s="6" t="s">
        <v>11</v>
      </c>
      <c r="C14" s="6" t="s">
        <v>12</v>
      </c>
      <c r="D14" s="7" t="s">
        <v>55</v>
      </c>
      <c r="E14" s="8" t="s">
        <v>59</v>
      </c>
      <c r="F14" s="6" t="s">
        <v>60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61</v>
      </c>
      <c r="B15" s="6" t="s">
        <v>10</v>
      </c>
      <c r="C15" s="6" t="s">
        <v>12</v>
      </c>
      <c r="D15" s="7" t="s">
        <v>62</v>
      </c>
      <c r="E15" s="8" t="s">
        <v>63</v>
      </c>
      <c r="F15" s="6" t="s">
        <v>64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65</v>
      </c>
      <c r="B16" s="6" t="s">
        <v>10</v>
      </c>
      <c r="C16" s="6" t="s">
        <v>12</v>
      </c>
      <c r="D16" s="7" t="s">
        <v>66</v>
      </c>
      <c r="E16" s="8" t="s">
        <v>67</v>
      </c>
      <c r="F16" s="6" t="s">
        <v>68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69</v>
      </c>
      <c r="B17" s="6" t="s">
        <v>33</v>
      </c>
      <c r="C17" s="6" t="s">
        <v>12</v>
      </c>
      <c r="D17" s="7" t="s">
        <v>70</v>
      </c>
      <c r="E17" s="8" t="s">
        <v>71</v>
      </c>
      <c r="F17" s="6" t="s">
        <v>72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73</v>
      </c>
      <c r="B18" s="6" t="s">
        <v>16</v>
      </c>
      <c r="C18" s="6" t="s">
        <v>74</v>
      </c>
      <c r="D18" s="7" t="s">
        <v>34</v>
      </c>
      <c r="E18" s="8" t="s">
        <v>75</v>
      </c>
      <c r="F18" s="6" t="s">
        <v>76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77</v>
      </c>
      <c r="B19" s="6" t="s">
        <v>10</v>
      </c>
      <c r="C19" s="6" t="s">
        <v>12</v>
      </c>
      <c r="D19" s="7" t="s">
        <v>62</v>
      </c>
      <c r="E19" s="8" t="s">
        <v>78</v>
      </c>
      <c r="F19" s="6" t="s">
        <v>79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80</v>
      </c>
      <c r="B20" s="6" t="s">
        <v>11</v>
      </c>
      <c r="C20" s="6" t="s">
        <v>12</v>
      </c>
      <c r="D20" s="7" t="s">
        <v>81</v>
      </c>
      <c r="E20" s="8" t="s">
        <v>82</v>
      </c>
      <c r="F20" s="6" t="s">
        <v>83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84</v>
      </c>
      <c r="B21" s="6" t="s">
        <v>11</v>
      </c>
      <c r="C21" s="6" t="s">
        <v>12</v>
      </c>
      <c r="D21" s="7" t="s">
        <v>70</v>
      </c>
      <c r="E21" s="8" t="s">
        <v>85</v>
      </c>
      <c r="F21" s="6" t="s">
        <v>86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87</v>
      </c>
      <c r="B22" s="6" t="s">
        <v>16</v>
      </c>
      <c r="C22" s="6" t="s">
        <v>12</v>
      </c>
      <c r="D22" s="7" t="s">
        <v>88</v>
      </c>
      <c r="E22" s="8" t="s">
        <v>89</v>
      </c>
      <c r="F22" s="6" t="s">
        <v>90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91</v>
      </c>
      <c r="B23" s="6" t="s">
        <v>16</v>
      </c>
      <c r="C23" s="6" t="s">
        <v>12</v>
      </c>
      <c r="D23" s="7" t="s">
        <v>92</v>
      </c>
      <c r="E23" s="8" t="s">
        <v>93</v>
      </c>
      <c r="F23" s="6" t="s">
        <v>94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95</v>
      </c>
      <c r="B24" s="6" t="s">
        <v>11</v>
      </c>
      <c r="C24" s="6" t="s">
        <v>12</v>
      </c>
      <c r="D24" s="7" t="s">
        <v>96</v>
      </c>
      <c r="E24" s="8" t="s">
        <v>97</v>
      </c>
      <c r="F24" s="6" t="s">
        <v>98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99</v>
      </c>
      <c r="B25" s="6" t="s">
        <v>16</v>
      </c>
      <c r="C25" s="6" t="s">
        <v>12</v>
      </c>
      <c r="D25" s="7" t="s">
        <v>100</v>
      </c>
      <c r="E25" s="8" t="s">
        <v>101</v>
      </c>
      <c r="F25" s="6" t="s">
        <v>102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103</v>
      </c>
      <c r="B26" s="6" t="s">
        <v>29</v>
      </c>
      <c r="C26" s="6" t="s">
        <v>12</v>
      </c>
      <c r="D26" s="7" t="s">
        <v>104</v>
      </c>
      <c r="E26" s="8" t="s">
        <v>105</v>
      </c>
      <c r="F26" s="6" t="s">
        <v>106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107</v>
      </c>
      <c r="B27" s="6" t="s">
        <v>33</v>
      </c>
      <c r="C27" s="6" t="s">
        <v>12</v>
      </c>
      <c r="D27" s="7" t="s">
        <v>108</v>
      </c>
      <c r="E27" s="8" t="s">
        <v>109</v>
      </c>
      <c r="F27" s="6" t="s">
        <v>110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111</v>
      </c>
      <c r="B28" s="6" t="s">
        <v>33</v>
      </c>
      <c r="C28" s="6" t="s">
        <v>12</v>
      </c>
      <c r="D28" s="7" t="s">
        <v>104</v>
      </c>
      <c r="E28" s="8" t="s">
        <v>112</v>
      </c>
      <c r="F28" s="6" t="s">
        <v>113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114</v>
      </c>
      <c r="B29" s="6" t="s">
        <v>11</v>
      </c>
      <c r="C29" s="6" t="s">
        <v>12</v>
      </c>
      <c r="D29" s="7" t="s">
        <v>17</v>
      </c>
      <c r="E29" s="8" t="s">
        <v>115</v>
      </c>
      <c r="F29" s="6" t="s">
        <v>116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117</v>
      </c>
      <c r="B30" s="6" t="s">
        <v>16</v>
      </c>
      <c r="C30" s="6" t="s">
        <v>12</v>
      </c>
      <c r="D30" s="7" t="s">
        <v>118</v>
      </c>
      <c r="E30" s="8" t="s">
        <v>119</v>
      </c>
      <c r="F30" s="6" t="s">
        <v>120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20</v>
      </c>
      <c r="B31" s="6" t="s">
        <v>24</v>
      </c>
      <c r="C31" s="6" t="s">
        <v>12</v>
      </c>
      <c r="D31" s="7" t="s">
        <v>121</v>
      </c>
      <c r="E31" s="8" t="s">
        <v>122</v>
      </c>
      <c r="F31" s="6" t="s">
        <v>123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124</v>
      </c>
      <c r="B32" s="6" t="s">
        <v>16</v>
      </c>
      <c r="C32" s="6" t="s">
        <v>12</v>
      </c>
      <c r="D32" s="7" t="s">
        <v>55</v>
      </c>
      <c r="E32" s="8" t="s">
        <v>125</v>
      </c>
      <c r="F32" s="6" t="s">
        <v>126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127</v>
      </c>
      <c r="B33" s="6" t="s">
        <v>16</v>
      </c>
      <c r="C33" s="6" t="s">
        <v>12</v>
      </c>
      <c r="D33" s="7" t="s">
        <v>128</v>
      </c>
      <c r="E33" s="8" t="s">
        <v>129</v>
      </c>
      <c r="F33" s="6" t="s">
        <v>130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131</v>
      </c>
      <c r="B34" s="6" t="s">
        <v>10</v>
      </c>
      <c r="C34" s="6" t="s">
        <v>12</v>
      </c>
      <c r="D34" s="7" t="s">
        <v>132</v>
      </c>
      <c r="E34" s="8" t="s">
        <v>133</v>
      </c>
      <c r="F34" s="6" t="s">
        <v>134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135</v>
      </c>
      <c r="B35" s="6" t="s">
        <v>24</v>
      </c>
      <c r="C35" s="6" t="s">
        <v>12</v>
      </c>
      <c r="D35" s="7" t="s">
        <v>136</v>
      </c>
      <c r="E35" s="8" t="s">
        <v>137</v>
      </c>
      <c r="F35" s="6" t="s">
        <v>138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139</v>
      </c>
      <c r="B36" s="6" t="s">
        <v>54</v>
      </c>
      <c r="C36" s="6" t="s">
        <v>12</v>
      </c>
      <c r="D36" s="7" t="s">
        <v>140</v>
      </c>
      <c r="E36" s="8" t="s">
        <v>141</v>
      </c>
      <c r="F36" s="6" t="s">
        <v>142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143</v>
      </c>
      <c r="B37" s="6" t="s">
        <v>16</v>
      </c>
      <c r="C37" s="6" t="s">
        <v>12</v>
      </c>
      <c r="D37" s="7" t="s">
        <v>144</v>
      </c>
      <c r="E37" s="8" t="s">
        <v>145</v>
      </c>
      <c r="F37" s="6" t="s">
        <v>146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147</v>
      </c>
      <c r="B38" s="6" t="s">
        <v>10</v>
      </c>
      <c r="C38" s="6" t="s">
        <v>12</v>
      </c>
      <c r="D38" s="7" t="s">
        <v>148</v>
      </c>
      <c r="E38" s="8" t="s">
        <v>149</v>
      </c>
      <c r="F38" s="6" t="s">
        <v>150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151</v>
      </c>
      <c r="B39" s="6" t="s">
        <v>16</v>
      </c>
      <c r="C39" s="6" t="s">
        <v>12</v>
      </c>
      <c r="D39" s="7" t="s">
        <v>152</v>
      </c>
      <c r="E39" s="8" t="s">
        <v>153</v>
      </c>
      <c r="F39" s="6" t="s">
        <v>154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155</v>
      </c>
      <c r="B40" s="6" t="s">
        <v>16</v>
      </c>
      <c r="C40" s="6" t="s">
        <v>12</v>
      </c>
      <c r="D40" s="7" t="s">
        <v>156</v>
      </c>
      <c r="E40" s="8" t="s">
        <v>157</v>
      </c>
      <c r="F40" s="6" t="s">
        <v>158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159</v>
      </c>
      <c r="B41" s="6" t="s">
        <v>10</v>
      </c>
      <c r="C41" s="6" t="s">
        <v>12</v>
      </c>
      <c r="D41" s="7" t="s">
        <v>160</v>
      </c>
      <c r="E41" s="8" t="s">
        <v>161</v>
      </c>
      <c r="F41" s="6" t="s">
        <v>162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163</v>
      </c>
      <c r="B42" s="6" t="s">
        <v>28</v>
      </c>
      <c r="C42" s="6" t="s">
        <v>12</v>
      </c>
      <c r="D42" s="7" t="s">
        <v>152</v>
      </c>
      <c r="E42" s="8" t="s">
        <v>164</v>
      </c>
      <c r="F42" s="6" t="s">
        <v>165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166</v>
      </c>
      <c r="B43" s="6" t="s">
        <v>16</v>
      </c>
      <c r="C43" s="6" t="s">
        <v>12</v>
      </c>
      <c r="D43" s="7" t="s">
        <v>167</v>
      </c>
      <c r="E43" s="8" t="s">
        <v>168</v>
      </c>
      <c r="F43" s="6" t="s">
        <v>169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170</v>
      </c>
      <c r="B44" s="6" t="s">
        <v>16</v>
      </c>
      <c r="C44" s="6" t="s">
        <v>12</v>
      </c>
      <c r="D44" s="7" t="s">
        <v>171</v>
      </c>
      <c r="E44" s="8" t="s">
        <v>172</v>
      </c>
      <c r="F44" s="6" t="s">
        <v>173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174</v>
      </c>
      <c r="B45" s="6" t="s">
        <v>33</v>
      </c>
      <c r="C45" s="6" t="s">
        <v>12</v>
      </c>
      <c r="D45" s="7" t="s">
        <v>175</v>
      </c>
      <c r="E45" s="8" t="s">
        <v>176</v>
      </c>
      <c r="F45" s="6" t="s">
        <v>177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178</v>
      </c>
      <c r="B46" s="6" t="s">
        <v>11</v>
      </c>
      <c r="C46" s="6" t="s">
        <v>12</v>
      </c>
      <c r="D46" s="7" t="s">
        <v>179</v>
      </c>
      <c r="E46" s="8" t="s">
        <v>180</v>
      </c>
      <c r="F46" s="6" t="s">
        <v>181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182</v>
      </c>
      <c r="B47" s="6" t="s">
        <v>40</v>
      </c>
      <c r="C47" s="6" t="s">
        <v>12</v>
      </c>
      <c r="D47" s="7" t="s">
        <v>183</v>
      </c>
      <c r="E47" s="8" t="s">
        <v>184</v>
      </c>
      <c r="F47" s="6" t="s">
        <v>185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186</v>
      </c>
      <c r="B48" s="6" t="s">
        <v>40</v>
      </c>
      <c r="C48" s="6" t="s">
        <v>12</v>
      </c>
      <c r="D48" s="7" t="s">
        <v>187</v>
      </c>
      <c r="E48" s="8" t="s">
        <v>188</v>
      </c>
      <c r="F48" s="6" t="s">
        <v>189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190</v>
      </c>
      <c r="B49" s="6" t="s">
        <v>16</v>
      </c>
      <c r="C49" s="6" t="s">
        <v>12</v>
      </c>
      <c r="D49" s="7" t="s">
        <v>191</v>
      </c>
      <c r="E49" s="8" t="s">
        <v>192</v>
      </c>
      <c r="F49" s="6" t="s">
        <v>193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194</v>
      </c>
      <c r="B50" s="6" t="s">
        <v>11</v>
      </c>
      <c r="C50" s="6" t="s">
        <v>12</v>
      </c>
      <c r="D50" s="7" t="s">
        <v>195</v>
      </c>
      <c r="E50" s="8" t="s">
        <v>196</v>
      </c>
      <c r="F50" s="6" t="s">
        <v>197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198</v>
      </c>
      <c r="B51" s="6" t="s">
        <v>24</v>
      </c>
      <c r="C51" s="6" t="s">
        <v>12</v>
      </c>
      <c r="D51" s="7" t="s">
        <v>136</v>
      </c>
      <c r="E51" s="8" t="s">
        <v>199</v>
      </c>
      <c r="F51" s="6" t="s">
        <v>200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201</v>
      </c>
      <c r="B52" s="6" t="s">
        <v>24</v>
      </c>
      <c r="C52" s="6" t="s">
        <v>12</v>
      </c>
      <c r="D52" s="7" t="s">
        <v>121</v>
      </c>
      <c r="E52" s="8" t="s">
        <v>202</v>
      </c>
      <c r="F52" s="6" t="s">
        <v>203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204</v>
      </c>
      <c r="B53" s="6" t="s">
        <v>10</v>
      </c>
      <c r="C53" s="6" t="s">
        <v>12</v>
      </c>
      <c r="D53" s="7" t="s">
        <v>205</v>
      </c>
      <c r="E53" s="8" t="s">
        <v>206</v>
      </c>
      <c r="F53" s="6" t="s">
        <v>207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208</v>
      </c>
      <c r="B54" s="6" t="s">
        <v>10</v>
      </c>
      <c r="C54" s="6" t="s">
        <v>12</v>
      </c>
      <c r="D54" s="7" t="s">
        <v>209</v>
      </c>
      <c r="E54" s="8" t="s">
        <v>210</v>
      </c>
      <c r="F54" s="6" t="s">
        <v>211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212</v>
      </c>
      <c r="B55" s="6" t="s">
        <v>33</v>
      </c>
      <c r="C55" s="6" t="s">
        <v>213</v>
      </c>
      <c r="D55" s="7" t="s">
        <v>140</v>
      </c>
      <c r="E55" s="8" t="s">
        <v>214</v>
      </c>
      <c r="F55" s="6" t="s">
        <v>215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216</v>
      </c>
      <c r="B56" s="6" t="s">
        <v>16</v>
      </c>
      <c r="C56" s="6" t="s">
        <v>12</v>
      </c>
      <c r="D56" s="7" t="s">
        <v>136</v>
      </c>
      <c r="E56" s="8" t="s">
        <v>217</v>
      </c>
      <c r="F56" s="6" t="s">
        <v>218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219</v>
      </c>
      <c r="B57" s="6" t="s">
        <v>11</v>
      </c>
      <c r="C57" s="6" t="s">
        <v>12</v>
      </c>
      <c r="D57" s="7" t="s">
        <v>220</v>
      </c>
      <c r="E57" s="8" t="s">
        <v>221</v>
      </c>
      <c r="F57" s="6" t="s">
        <v>222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223</v>
      </c>
      <c r="B58" s="6" t="s">
        <v>44</v>
      </c>
      <c r="C58" s="6" t="s">
        <v>12</v>
      </c>
      <c r="D58" s="7" t="s">
        <v>34</v>
      </c>
      <c r="E58" s="8" t="s">
        <v>224</v>
      </c>
      <c r="F58" s="6" t="s">
        <v>225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226</v>
      </c>
      <c r="B59" s="6" t="s">
        <v>16</v>
      </c>
      <c r="C59" s="6" t="s">
        <v>12</v>
      </c>
      <c r="D59" s="7" t="s">
        <v>140</v>
      </c>
      <c r="E59" s="8" t="s">
        <v>227</v>
      </c>
      <c r="F59" s="6" t="s">
        <v>228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229</v>
      </c>
      <c r="B60" s="6" t="s">
        <v>11</v>
      </c>
      <c r="C60" s="6" t="s">
        <v>12</v>
      </c>
      <c r="D60" s="7" t="s">
        <v>140</v>
      </c>
      <c r="E60" s="8" t="s">
        <v>230</v>
      </c>
      <c r="F60" s="6" t="s">
        <v>231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232</v>
      </c>
      <c r="B61" s="6" t="s">
        <v>11</v>
      </c>
      <c r="C61" s="6" t="s">
        <v>12</v>
      </c>
      <c r="D61" s="7" t="s">
        <v>233</v>
      </c>
      <c r="E61" s="8" t="s">
        <v>234</v>
      </c>
      <c r="F61" s="6" t="s">
        <v>235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236</v>
      </c>
      <c r="B62" s="6" t="s">
        <v>11</v>
      </c>
      <c r="C62" s="6" t="s">
        <v>12</v>
      </c>
      <c r="D62" s="7" t="s">
        <v>237</v>
      </c>
      <c r="E62" s="8" t="s">
        <v>238</v>
      </c>
      <c r="F62" s="6" t="s">
        <v>239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240</v>
      </c>
      <c r="B63" s="6" t="s">
        <v>33</v>
      </c>
      <c r="C63" s="6" t="s">
        <v>12</v>
      </c>
      <c r="D63" s="7" t="s">
        <v>241</v>
      </c>
      <c r="E63" s="8" t="s">
        <v>242</v>
      </c>
      <c r="F63" s="6" t="s">
        <v>243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244</v>
      </c>
      <c r="B64" s="6" t="s">
        <v>33</v>
      </c>
      <c r="C64" s="6" t="s">
        <v>12</v>
      </c>
      <c r="D64" s="7" t="s">
        <v>245</v>
      </c>
      <c r="E64" s="8" t="s">
        <v>246</v>
      </c>
      <c r="F64" s="6" t="s">
        <v>247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248</v>
      </c>
      <c r="B65" s="6" t="s">
        <v>33</v>
      </c>
      <c r="C65" s="6" t="s">
        <v>12</v>
      </c>
      <c r="D65" s="7" t="s">
        <v>249</v>
      </c>
      <c r="E65" s="8" t="s">
        <v>250</v>
      </c>
      <c r="F65" s="6" t="s">
        <v>251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252</v>
      </c>
      <c r="B66" s="6" t="s">
        <v>11</v>
      </c>
      <c r="C66" s="6" t="s">
        <v>12</v>
      </c>
      <c r="D66" s="7" t="s">
        <v>253</v>
      </c>
      <c r="E66" s="8" t="s">
        <v>254</v>
      </c>
      <c r="F66" s="6" t="s">
        <v>255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256</v>
      </c>
      <c r="B67" s="6" t="s">
        <v>10</v>
      </c>
      <c r="C67" s="6" t="s">
        <v>12</v>
      </c>
      <c r="D67" s="7" t="s">
        <v>257</v>
      </c>
      <c r="E67" s="8" t="s">
        <v>258</v>
      </c>
      <c r="F67" s="6" t="s">
        <v>259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260</v>
      </c>
      <c r="B68" s="6" t="s">
        <v>28</v>
      </c>
      <c r="C68" s="6" t="s">
        <v>12</v>
      </c>
      <c r="D68" s="7" t="s">
        <v>261</v>
      </c>
      <c r="E68" s="8" t="s">
        <v>262</v>
      </c>
      <c r="F68" s="6" t="s">
        <v>263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264</v>
      </c>
      <c r="B69" s="6" t="s">
        <v>11</v>
      </c>
      <c r="C69" s="6" t="s">
        <v>12</v>
      </c>
      <c r="D69" s="7" t="s">
        <v>265</v>
      </c>
      <c r="E69" s="8" t="s">
        <v>266</v>
      </c>
      <c r="F69" s="6" t="s">
        <v>267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268</v>
      </c>
      <c r="B70" s="6" t="s">
        <v>11</v>
      </c>
      <c r="C70" s="6" t="s">
        <v>12</v>
      </c>
      <c r="D70" s="7" t="s">
        <v>269</v>
      </c>
      <c r="E70" s="8" t="s">
        <v>270</v>
      </c>
      <c r="F70" s="6" t="s">
        <v>271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272</v>
      </c>
      <c r="B71" s="6" t="s">
        <v>11</v>
      </c>
      <c r="C71" s="6" t="s">
        <v>12</v>
      </c>
      <c r="D71" s="7" t="s">
        <v>273</v>
      </c>
      <c r="E71" s="8" t="s">
        <v>274</v>
      </c>
      <c r="F71" s="6" t="s">
        <v>275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276</v>
      </c>
      <c r="B72" s="6" t="s">
        <v>11</v>
      </c>
      <c r="C72" s="6" t="s">
        <v>12</v>
      </c>
      <c r="D72" s="7" t="s">
        <v>277</v>
      </c>
      <c r="E72" s="8" t="s">
        <v>278</v>
      </c>
      <c r="F72" s="6" t="s">
        <v>279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280</v>
      </c>
      <c r="B73" s="6" t="s">
        <v>24</v>
      </c>
      <c r="C73" s="6" t="s">
        <v>12</v>
      </c>
      <c r="D73" s="7" t="s">
        <v>281</v>
      </c>
      <c r="E73" s="8" t="s">
        <v>282</v>
      </c>
      <c r="F73" s="6" t="s">
        <v>283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284</v>
      </c>
      <c r="B74" s="6" t="s">
        <v>11</v>
      </c>
      <c r="C74" s="6" t="s">
        <v>12</v>
      </c>
      <c r="D74" s="7" t="s">
        <v>55</v>
      </c>
      <c r="E74" s="8" t="s">
        <v>285</v>
      </c>
      <c r="F74" s="6" t="s">
        <v>286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287</v>
      </c>
      <c r="B75" s="6" t="s">
        <v>10</v>
      </c>
      <c r="C75" s="6" t="s">
        <v>12</v>
      </c>
      <c r="D75" s="7" t="s">
        <v>288</v>
      </c>
      <c r="E75" s="8" t="s">
        <v>289</v>
      </c>
      <c r="F75" s="6" t="s">
        <v>290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291</v>
      </c>
      <c r="B76" s="6" t="s">
        <v>11</v>
      </c>
      <c r="C76" s="6" t="s">
        <v>12</v>
      </c>
      <c r="D76" s="7" t="s">
        <v>195</v>
      </c>
      <c r="E76" s="8" t="s">
        <v>292</v>
      </c>
      <c r="F76" s="6" t="s">
        <v>293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294</v>
      </c>
      <c r="B77" s="6" t="s">
        <v>11</v>
      </c>
      <c r="C77" s="6" t="s">
        <v>12</v>
      </c>
      <c r="D77" s="7" t="s">
        <v>295</v>
      </c>
      <c r="E77" s="8" t="s">
        <v>296</v>
      </c>
      <c r="F77" s="6" t="s">
        <v>297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298</v>
      </c>
      <c r="B78" s="6" t="s">
        <v>11</v>
      </c>
      <c r="C78" s="6" t="s">
        <v>12</v>
      </c>
      <c r="D78" s="7" t="s">
        <v>299</v>
      </c>
      <c r="E78" s="8" t="s">
        <v>300</v>
      </c>
      <c r="F78" s="6" t="s">
        <v>301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302</v>
      </c>
      <c r="B79" s="6" t="s">
        <v>16</v>
      </c>
      <c r="C79" s="6" t="s">
        <v>12</v>
      </c>
      <c r="D79" s="7" t="s">
        <v>303</v>
      </c>
      <c r="E79" s="8" t="s">
        <v>304</v>
      </c>
      <c r="F79" s="6" t="s">
        <v>305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306</v>
      </c>
      <c r="B80" s="6" t="s">
        <v>11</v>
      </c>
      <c r="C80" s="6" t="s">
        <v>12</v>
      </c>
      <c r="D80" s="7" t="s">
        <v>307</v>
      </c>
      <c r="E80" s="8" t="s">
        <v>308</v>
      </c>
      <c r="F80" s="6" t="s">
        <v>309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310</v>
      </c>
      <c r="B81" s="6" t="s">
        <v>11</v>
      </c>
      <c r="C81" s="6" t="s">
        <v>12</v>
      </c>
      <c r="D81" s="7" t="s">
        <v>311</v>
      </c>
      <c r="E81" s="8" t="s">
        <v>312</v>
      </c>
      <c r="F81" s="6" t="s">
        <v>313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314</v>
      </c>
      <c r="B82" s="6" t="s">
        <v>24</v>
      </c>
      <c r="C82" s="6" t="s">
        <v>12</v>
      </c>
      <c r="D82" s="7" t="s">
        <v>315</v>
      </c>
      <c r="E82" s="8" t="s">
        <v>316</v>
      </c>
      <c r="F82" s="6" t="s">
        <v>317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318</v>
      </c>
      <c r="B83" s="6" t="s">
        <v>10</v>
      </c>
      <c r="C83" s="6" t="s">
        <v>12</v>
      </c>
      <c r="D83" s="7" t="s">
        <v>319</v>
      </c>
      <c r="E83" s="8" t="s">
        <v>320</v>
      </c>
      <c r="F83" s="6" t="s">
        <v>321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322</v>
      </c>
      <c r="B84" s="6" t="s">
        <v>11</v>
      </c>
      <c r="C84" s="6" t="s">
        <v>12</v>
      </c>
      <c r="D84" s="7" t="s">
        <v>323</v>
      </c>
      <c r="E84" s="8" t="s">
        <v>324</v>
      </c>
      <c r="F84" s="6" t="s">
        <v>325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326</v>
      </c>
      <c r="B85" s="6" t="s">
        <v>28</v>
      </c>
      <c r="C85" s="6" t="s">
        <v>12</v>
      </c>
      <c r="D85" s="7" t="s">
        <v>327</v>
      </c>
      <c r="E85" s="8" t="s">
        <v>328</v>
      </c>
      <c r="F85" s="6" t="s">
        <v>329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330</v>
      </c>
      <c r="B86" s="6" t="s">
        <v>11</v>
      </c>
      <c r="C86" s="6" t="s">
        <v>12</v>
      </c>
      <c r="D86" s="7" t="s">
        <v>331</v>
      </c>
      <c r="E86" s="8" t="s">
        <v>332</v>
      </c>
      <c r="F86" s="6" t="s">
        <v>333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334</v>
      </c>
      <c r="B87" s="6" t="s">
        <v>16</v>
      </c>
      <c r="C87" s="6" t="s">
        <v>12</v>
      </c>
      <c r="D87" s="7" t="s">
        <v>17</v>
      </c>
      <c r="E87" s="8" t="s">
        <v>335</v>
      </c>
      <c r="F87" s="6" t="s">
        <v>336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337</v>
      </c>
      <c r="B88" s="6" t="s">
        <v>11</v>
      </c>
      <c r="C88" s="6" t="s">
        <v>12</v>
      </c>
      <c r="D88" s="7" t="s">
        <v>338</v>
      </c>
      <c r="E88" s="8" t="s">
        <v>339</v>
      </c>
      <c r="F88" s="6" t="s">
        <v>340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341</v>
      </c>
      <c r="B89" s="6" t="s">
        <v>11</v>
      </c>
      <c r="C89" s="6" t="s">
        <v>12</v>
      </c>
      <c r="D89" s="7" t="s">
        <v>331</v>
      </c>
      <c r="E89" s="8" t="s">
        <v>342</v>
      </c>
      <c r="F89" s="6" t="s">
        <v>343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344</v>
      </c>
      <c r="B90" s="6" t="s">
        <v>58</v>
      </c>
      <c r="C90" s="6" t="s">
        <v>12</v>
      </c>
      <c r="D90" s="7" t="s">
        <v>345</v>
      </c>
      <c r="E90" s="8" t="s">
        <v>346</v>
      </c>
      <c r="F90" s="6" t="s">
        <v>347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348</v>
      </c>
      <c r="B91" s="6" t="s">
        <v>24</v>
      </c>
      <c r="C91" s="6" t="s">
        <v>12</v>
      </c>
      <c r="D91" s="7" t="s">
        <v>349</v>
      </c>
      <c r="E91" s="8" t="s">
        <v>350</v>
      </c>
      <c r="F91" s="6" t="s">
        <v>351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352</v>
      </c>
      <c r="B92" s="6" t="s">
        <v>61</v>
      </c>
      <c r="C92" s="6" t="s">
        <v>12</v>
      </c>
      <c r="D92" s="7" t="s">
        <v>353</v>
      </c>
      <c r="E92" s="8" t="s">
        <v>354</v>
      </c>
      <c r="F92" s="6" t="s">
        <v>355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356</v>
      </c>
      <c r="B93" s="6" t="s">
        <v>24</v>
      </c>
      <c r="C93" s="6" t="s">
        <v>12</v>
      </c>
      <c r="D93" s="7" t="s">
        <v>357</v>
      </c>
      <c r="E93" s="8" t="s">
        <v>358</v>
      </c>
      <c r="F93" s="6" t="s">
        <v>359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360</v>
      </c>
      <c r="B94" s="6" t="s">
        <v>33</v>
      </c>
      <c r="C94" s="6" t="s">
        <v>213</v>
      </c>
      <c r="D94" s="7" t="s">
        <v>361</v>
      </c>
      <c r="E94" s="8" t="s">
        <v>362</v>
      </c>
      <c r="F94" s="6" t="s">
        <v>363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364</v>
      </c>
      <c r="B95" s="6" t="s">
        <v>37</v>
      </c>
      <c r="C95" s="6" t="s">
        <v>12</v>
      </c>
      <c r="D95" s="7" t="s">
        <v>365</v>
      </c>
      <c r="E95" s="8" t="s">
        <v>366</v>
      </c>
      <c r="F95" s="6" t="s">
        <v>367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368</v>
      </c>
      <c r="B96" s="6" t="s">
        <v>16</v>
      </c>
      <c r="C96" s="6" t="s">
        <v>213</v>
      </c>
      <c r="D96" s="7" t="s">
        <v>369</v>
      </c>
      <c r="E96" s="8" t="s">
        <v>370</v>
      </c>
      <c r="F96" s="6" t="s">
        <v>371</v>
      </c>
      <c r="G96" s="9">
        <f>IF(A96=1,"_",IF(C96="_","???",C96))</f>
        <v/>
      </c>
      <c r="H96" s="10" t="s">
        <v>12</v>
      </c>
      <c r="I96" s="11" t="s">
        <v>12</v>
      </c>
      <c r="J96" s="12"/>
    </row>
    <row r="97" spans="1:10" ht="60" customHeight="1">
      <c r="A97" s="6" t="s">
        <v>372</v>
      </c>
      <c r="B97" s="6" t="s">
        <v>69</v>
      </c>
      <c r="C97" s="6" t="s">
        <v>12</v>
      </c>
      <c r="D97" s="7" t="s">
        <v>373</v>
      </c>
      <c r="E97" s="8" t="s">
        <v>374</v>
      </c>
      <c r="F97" s="6" t="s">
        <v>375</v>
      </c>
      <c r="G97" s="9">
        <f>IF(A97=1,"_",IF(C97="_","???",C97))</f>
        <v/>
      </c>
      <c r="H97" s="10" t="s">
        <v>12</v>
      </c>
      <c r="I97" s="11" t="s">
        <v>12</v>
      </c>
      <c r="J97" s="12"/>
    </row>
    <row r="98" spans="1:10" ht="60" customHeight="1">
      <c r="A98" s="6" t="s">
        <v>376</v>
      </c>
      <c r="B98" s="6" t="s">
        <v>37</v>
      </c>
      <c r="C98" s="6" t="s">
        <v>12</v>
      </c>
      <c r="D98" s="7" t="s">
        <v>377</v>
      </c>
      <c r="E98" s="8" t="s">
        <v>378</v>
      </c>
      <c r="F98" s="6" t="s">
        <v>379</v>
      </c>
      <c r="G98" s="9">
        <f>IF(A98=1,"_",IF(C98="_","???",C98))</f>
        <v/>
      </c>
      <c r="H98" s="10" t="s">
        <v>12</v>
      </c>
      <c r="I98" s="11" t="s">
        <v>12</v>
      </c>
      <c r="J98" s="12"/>
    </row>
    <row r="99" spans="1:10" ht="60" customHeight="1">
      <c r="A99" s="6" t="s">
        <v>380</v>
      </c>
      <c r="B99" s="6" t="s">
        <v>54</v>
      </c>
      <c r="C99" s="6" t="s">
        <v>12</v>
      </c>
      <c r="D99" s="7" t="s">
        <v>381</v>
      </c>
      <c r="E99" s="8" t="s">
        <v>382</v>
      </c>
      <c r="F99" s="6" t="s">
        <v>383</v>
      </c>
      <c r="G99" s="9">
        <f>IF(A99=1,"_",IF(C99="_","???",C99))</f>
        <v/>
      </c>
      <c r="H99" s="10" t="s">
        <v>12</v>
      </c>
      <c r="I99" s="11" t="s">
        <v>12</v>
      </c>
      <c r="J99" s="12"/>
    </row>
    <row r="100" spans="1:10" ht="60" customHeight="1">
      <c r="A100" s="6" t="s">
        <v>384</v>
      </c>
      <c r="B100" s="6" t="s">
        <v>11</v>
      </c>
      <c r="C100" s="6" t="s">
        <v>12</v>
      </c>
      <c r="D100" s="7" t="s">
        <v>385</v>
      </c>
      <c r="E100" s="8" t="s">
        <v>386</v>
      </c>
      <c r="F100" s="6" t="s">
        <v>387</v>
      </c>
      <c r="G100" s="9">
        <f>IF(A100=1,"_",IF(C100="_","???",C100))</f>
        <v/>
      </c>
      <c r="H100" s="10" t="s">
        <v>12</v>
      </c>
      <c r="I100" s="11" t="s">
        <v>12</v>
      </c>
      <c r="J100" s="12"/>
    </row>
    <row r="101" spans="1:10" ht="60" customHeight="1">
      <c r="A101" s="6" t="s">
        <v>388</v>
      </c>
      <c r="B101" s="6" t="s">
        <v>16</v>
      </c>
      <c r="C101" s="6" t="s">
        <v>12</v>
      </c>
      <c r="D101" s="7" t="s">
        <v>389</v>
      </c>
      <c r="E101" s="8" t="s">
        <v>390</v>
      </c>
      <c r="F101" s="6" t="s">
        <v>391</v>
      </c>
      <c r="G101" s="9">
        <f>IF(A101=1,"_",IF(C101="_","???",C101))</f>
        <v/>
      </c>
      <c r="H101" s="10" t="s">
        <v>12</v>
      </c>
      <c r="I101" s="11" t="s">
        <v>12</v>
      </c>
      <c r="J101" s="12"/>
    </row>
    <row r="102" spans="1:10" ht="60" customHeight="1">
      <c r="A102" s="6" t="s">
        <v>392</v>
      </c>
      <c r="B102" s="6" t="s">
        <v>44</v>
      </c>
      <c r="C102" s="6" t="s">
        <v>393</v>
      </c>
      <c r="D102" s="7" t="s">
        <v>394</v>
      </c>
      <c r="E102" s="8" t="s">
        <v>395</v>
      </c>
      <c r="F102" s="6" t="s">
        <v>396</v>
      </c>
      <c r="G102" s="9">
        <f>IF(A102=1,"_",IF(C102="_","???",C102))</f>
        <v/>
      </c>
      <c r="H102" s="10" t="s">
        <v>12</v>
      </c>
      <c r="I102" s="11" t="s">
        <v>12</v>
      </c>
      <c r="J102" s="12"/>
    </row>
    <row r="103" spans="1:10" ht="60" customHeight="1">
      <c r="A103" s="6" t="s">
        <v>397</v>
      </c>
      <c r="B103" s="6" t="s">
        <v>54</v>
      </c>
      <c r="C103" s="6" t="s">
        <v>12</v>
      </c>
      <c r="D103" s="7" t="s">
        <v>398</v>
      </c>
      <c r="E103" s="8" t="s">
        <v>399</v>
      </c>
      <c r="F103" s="6" t="s">
        <v>400</v>
      </c>
      <c r="G103" s="9">
        <f>IF(A103=1,"_",IF(C103="_","???",C103))</f>
        <v/>
      </c>
      <c r="H103" s="10" t="s">
        <v>12</v>
      </c>
      <c r="I103" s="11" t="s">
        <v>12</v>
      </c>
      <c r="J103" s="12"/>
    </row>
    <row r="104" spans="1:10" ht="60" customHeight="1">
      <c r="A104" s="6" t="s">
        <v>401</v>
      </c>
      <c r="B104" s="6" t="s">
        <v>48</v>
      </c>
      <c r="C104" s="6" t="s">
        <v>12</v>
      </c>
      <c r="D104" s="7" t="s">
        <v>402</v>
      </c>
      <c r="E104" s="8" t="s">
        <v>403</v>
      </c>
      <c r="F104" s="6" t="s">
        <v>404</v>
      </c>
      <c r="G104" s="9">
        <f>IF(A104=1,"_",IF(C104="_","???",C104))</f>
        <v/>
      </c>
      <c r="H104" s="10" t="s">
        <v>12</v>
      </c>
      <c r="I104" s="11" t="s">
        <v>12</v>
      </c>
      <c r="J104" s="12"/>
    </row>
    <row r="105" spans="1:10" ht="60" customHeight="1">
      <c r="A105" s="6" t="s">
        <v>405</v>
      </c>
      <c r="B105" s="6" t="s">
        <v>24</v>
      </c>
      <c r="C105" s="6" t="s">
        <v>12</v>
      </c>
      <c r="D105" s="7" t="s">
        <v>406</v>
      </c>
      <c r="E105" s="8" t="s">
        <v>407</v>
      </c>
      <c r="F105" s="6" t="s">
        <v>408</v>
      </c>
      <c r="G105" s="9">
        <f>IF(A105=1,"_",IF(C105="_","???",C105))</f>
        <v/>
      </c>
      <c r="H105" s="10" t="s">
        <v>12</v>
      </c>
      <c r="I105" s="11" t="s">
        <v>12</v>
      </c>
      <c r="J105" s="12"/>
    </row>
    <row r="106" spans="1:10" ht="60" customHeight="1">
      <c r="A106" s="6" t="s">
        <v>409</v>
      </c>
      <c r="B106" s="6" t="s">
        <v>11</v>
      </c>
      <c r="C106" s="6" t="s">
        <v>12</v>
      </c>
      <c r="D106" s="7" t="s">
        <v>410</v>
      </c>
      <c r="E106" s="8" t="s">
        <v>411</v>
      </c>
      <c r="F106" s="6" t="s">
        <v>412</v>
      </c>
      <c r="G106" s="9">
        <f>IF(A106=1,"_",IF(C106="_","???",C106))</f>
        <v/>
      </c>
      <c r="H106" s="10" t="s">
        <v>12</v>
      </c>
      <c r="I106" s="11" t="s">
        <v>12</v>
      </c>
      <c r="J106" s="12"/>
    </row>
    <row r="107" spans="1:10" ht="60" customHeight="1">
      <c r="A107" s="6" t="s">
        <v>413</v>
      </c>
      <c r="B107" s="6" t="s">
        <v>28</v>
      </c>
      <c r="C107" s="6" t="s">
        <v>12</v>
      </c>
      <c r="D107" s="7" t="s">
        <v>414</v>
      </c>
      <c r="E107" s="8" t="s">
        <v>415</v>
      </c>
      <c r="F107" s="6" t="s">
        <v>416</v>
      </c>
      <c r="G107" s="9">
        <f>IF(A107=1,"_",IF(C107="_","???",C107))</f>
        <v/>
      </c>
      <c r="H107" s="10" t="s">
        <v>12</v>
      </c>
      <c r="I107" s="11" t="s">
        <v>12</v>
      </c>
      <c r="J107" s="12"/>
    </row>
    <row r="108" spans="1:10" ht="60" customHeight="1">
      <c r="A108" s="6" t="s">
        <v>417</v>
      </c>
      <c r="B108" s="6" t="s">
        <v>28</v>
      </c>
      <c r="C108" s="6" t="s">
        <v>12</v>
      </c>
      <c r="D108" s="7" t="s">
        <v>418</v>
      </c>
      <c r="E108" s="8" t="s">
        <v>419</v>
      </c>
      <c r="F108" s="6" t="s">
        <v>420</v>
      </c>
      <c r="G108" s="9">
        <f>IF(A108=1,"_",IF(C108="_","???",C108))</f>
        <v/>
      </c>
      <c r="H108" s="10" t="s">
        <v>12</v>
      </c>
      <c r="I108" s="11" t="s">
        <v>12</v>
      </c>
      <c r="J108" s="12"/>
    </row>
    <row r="109" spans="1:10" ht="60" customHeight="1">
      <c r="A109" s="6" t="s">
        <v>421</v>
      </c>
      <c r="B109" s="6" t="s">
        <v>11</v>
      </c>
      <c r="C109" s="6" t="s">
        <v>422</v>
      </c>
      <c r="D109" s="7" t="s">
        <v>423</v>
      </c>
      <c r="E109" s="8" t="s">
        <v>424</v>
      </c>
      <c r="F109" s="6" t="s">
        <v>425</v>
      </c>
      <c r="G109" s="9">
        <f>IF(A109=1,"_",IF(C109="_","???",C109))</f>
        <v/>
      </c>
      <c r="H109" s="10" t="s">
        <v>12</v>
      </c>
      <c r="I109" s="11" t="s">
        <v>12</v>
      </c>
      <c r="J109" s="12"/>
    </row>
    <row r="110" spans="1:10" ht="60" customHeight="1">
      <c r="A110" s="6" t="s">
        <v>426</v>
      </c>
      <c r="B110" s="6" t="s">
        <v>24</v>
      </c>
      <c r="C110" s="6" t="s">
        <v>12</v>
      </c>
      <c r="D110" s="7" t="s">
        <v>427</v>
      </c>
      <c r="E110" s="8" t="s">
        <v>428</v>
      </c>
      <c r="F110" s="6" t="s">
        <v>429</v>
      </c>
      <c r="G110" s="9">
        <f>IF(A110=1,"_",IF(C110="_","???",C110))</f>
        <v/>
      </c>
      <c r="H110" s="10" t="s">
        <v>12</v>
      </c>
      <c r="I110" s="11" t="s">
        <v>12</v>
      </c>
      <c r="J110" s="12"/>
    </row>
    <row r="111" spans="1:10" ht="60" customHeight="1">
      <c r="A111" s="6" t="s">
        <v>430</v>
      </c>
      <c r="B111" s="6" t="s">
        <v>16</v>
      </c>
      <c r="C111" s="6" t="s">
        <v>12</v>
      </c>
      <c r="D111" s="7" t="s">
        <v>431</v>
      </c>
      <c r="E111" s="8" t="s">
        <v>432</v>
      </c>
      <c r="F111" s="6" t="s">
        <v>433</v>
      </c>
      <c r="G111" s="9">
        <f>IF(A111=1,"_",IF(C111="_","???",C111))</f>
        <v/>
      </c>
      <c r="H111" s="10" t="s">
        <v>12</v>
      </c>
      <c r="I111" s="11" t="s">
        <v>12</v>
      </c>
      <c r="J111" s="12"/>
    </row>
    <row r="112" spans="1:10" ht="60" customHeight="1">
      <c r="A112" s="6" t="s">
        <v>434</v>
      </c>
      <c r="B112" s="6" t="s">
        <v>16</v>
      </c>
      <c r="C112" s="6" t="s">
        <v>12</v>
      </c>
      <c r="D112" s="7" t="s">
        <v>81</v>
      </c>
      <c r="E112" s="8" t="s">
        <v>435</v>
      </c>
      <c r="F112" s="6" t="s">
        <v>436</v>
      </c>
      <c r="G112" s="9">
        <f>IF(A112=1,"_",IF(C112="_","???",C112))</f>
        <v/>
      </c>
      <c r="H112" s="10" t="s">
        <v>12</v>
      </c>
      <c r="I112" s="11" t="s">
        <v>12</v>
      </c>
      <c r="J112" s="12"/>
    </row>
    <row r="113" spans="1:10" ht="60" customHeight="1">
      <c r="A113" s="6" t="s">
        <v>437</v>
      </c>
      <c r="B113" s="6" t="s">
        <v>11</v>
      </c>
      <c r="C113" s="6" t="s">
        <v>12</v>
      </c>
      <c r="D113" s="7" t="s">
        <v>438</v>
      </c>
      <c r="E113" s="8" t="s">
        <v>439</v>
      </c>
      <c r="F113" s="6" t="s">
        <v>440</v>
      </c>
      <c r="G113" s="9">
        <f>IF(A113=1,"_",IF(C113="_","???",C113))</f>
        <v/>
      </c>
      <c r="H113" s="10" t="s">
        <v>12</v>
      </c>
      <c r="I113" s="11" t="s">
        <v>12</v>
      </c>
      <c r="J113" s="12"/>
    </row>
    <row r="114" spans="1:10" ht="60" customHeight="1">
      <c r="A114" s="6" t="s">
        <v>441</v>
      </c>
      <c r="B114" s="6" t="s">
        <v>24</v>
      </c>
      <c r="C114" s="6" t="s">
        <v>12</v>
      </c>
      <c r="D114" s="7" t="s">
        <v>319</v>
      </c>
      <c r="E114" s="8" t="s">
        <v>442</v>
      </c>
      <c r="F114" s="6" t="s">
        <v>443</v>
      </c>
      <c r="G114" s="9">
        <f>IF(A114=1,"_",IF(C114="_","???",C114))</f>
        <v/>
      </c>
      <c r="H114" s="10" t="s">
        <v>12</v>
      </c>
      <c r="I114" s="11" t="s">
        <v>12</v>
      </c>
      <c r="J114" s="12"/>
    </row>
    <row r="115" spans="1:10" ht="60" customHeight="1">
      <c r="A115" s="6" t="s">
        <v>444</v>
      </c>
      <c r="B115" s="6" t="s">
        <v>11</v>
      </c>
      <c r="C115" s="6" t="s">
        <v>213</v>
      </c>
      <c r="D115" s="7" t="s">
        <v>445</v>
      </c>
      <c r="E115" s="8" t="s">
        <v>446</v>
      </c>
      <c r="F115" s="6" t="s">
        <v>447</v>
      </c>
      <c r="G115" s="9">
        <f>IF(A115=1,"_",IF(C115="_","???",C115))</f>
        <v/>
      </c>
      <c r="H115" s="10" t="s">
        <v>12</v>
      </c>
      <c r="I115" s="11" t="s">
        <v>12</v>
      </c>
      <c r="J115" s="12"/>
    </row>
    <row r="116" spans="1:10" ht="60" customHeight="1">
      <c r="A116" s="6" t="s">
        <v>448</v>
      </c>
      <c r="B116" s="6" t="s">
        <v>28</v>
      </c>
      <c r="C116" s="6" t="s">
        <v>12</v>
      </c>
      <c r="D116" s="7" t="s">
        <v>449</v>
      </c>
      <c r="E116" s="8" t="s">
        <v>450</v>
      </c>
      <c r="F116" s="6" t="s">
        <v>451</v>
      </c>
      <c r="G116" s="9">
        <f>IF(A116=1,"_",IF(C116="_","???",C116))</f>
        <v/>
      </c>
      <c r="H116" s="10" t="s">
        <v>12</v>
      </c>
      <c r="I116" s="11" t="s">
        <v>12</v>
      </c>
      <c r="J116" s="12"/>
    </row>
    <row r="117" spans="1:10" ht="60" customHeight="1">
      <c r="A117" s="6" t="s">
        <v>452</v>
      </c>
      <c r="B117" s="6" t="s">
        <v>40</v>
      </c>
      <c r="C117" s="6" t="s">
        <v>12</v>
      </c>
      <c r="D117" s="7" t="s">
        <v>453</v>
      </c>
      <c r="E117" s="8" t="s">
        <v>454</v>
      </c>
      <c r="F117" s="6" t="s">
        <v>455</v>
      </c>
      <c r="G117" s="9">
        <f>IF(A117=1,"_",IF(C117="_","???",C117))</f>
        <v/>
      </c>
      <c r="H117" s="10" t="s">
        <v>12</v>
      </c>
      <c r="I117" s="11" t="s">
        <v>12</v>
      </c>
      <c r="J117" s="12"/>
    </row>
    <row r="118" spans="1:10" ht="60" customHeight="1">
      <c r="A118" s="6" t="s">
        <v>456</v>
      </c>
      <c r="B118" s="6" t="s">
        <v>11</v>
      </c>
      <c r="C118" s="6" t="s">
        <v>12</v>
      </c>
      <c r="D118" s="7" t="s">
        <v>457</v>
      </c>
      <c r="E118" s="8" t="s">
        <v>458</v>
      </c>
      <c r="F118" s="6" t="s">
        <v>459</v>
      </c>
      <c r="G118" s="9">
        <f>IF(A118=1,"_",IF(C118="_","???",C118))</f>
        <v/>
      </c>
      <c r="H118" s="10" t="s">
        <v>12</v>
      </c>
      <c r="I118" s="11" t="s">
        <v>12</v>
      </c>
      <c r="J118" s="12"/>
    </row>
    <row r="119" spans="1:10" ht="60" customHeight="1">
      <c r="A119" s="6" t="s">
        <v>460</v>
      </c>
      <c r="B119" s="6" t="s">
        <v>11</v>
      </c>
      <c r="C119" s="6" t="s">
        <v>12</v>
      </c>
      <c r="D119" s="7" t="s">
        <v>461</v>
      </c>
      <c r="E119" s="8" t="s">
        <v>462</v>
      </c>
      <c r="F119" s="6" t="s">
        <v>463</v>
      </c>
      <c r="G119" s="9">
        <f>IF(A119=1,"_",IF(C119="_","???",C119))</f>
        <v/>
      </c>
      <c r="H119" s="10" t="s">
        <v>12</v>
      </c>
      <c r="I119" s="11" t="s">
        <v>12</v>
      </c>
      <c r="J119" s="12"/>
    </row>
    <row r="120" spans="1:10" ht="60" customHeight="1">
      <c r="A120" s="6" t="s">
        <v>464</v>
      </c>
      <c r="B120" s="6" t="s">
        <v>11</v>
      </c>
      <c r="C120" s="6" t="s">
        <v>12</v>
      </c>
      <c r="D120" s="7" t="s">
        <v>465</v>
      </c>
      <c r="E120" s="8" t="s">
        <v>466</v>
      </c>
      <c r="F120" s="6" t="s">
        <v>467</v>
      </c>
      <c r="G120" s="9">
        <f>IF(A120=1,"_",IF(C120="_","???",C120))</f>
        <v/>
      </c>
      <c r="H120" s="10" t="s">
        <v>12</v>
      </c>
      <c r="I120" s="11" t="s">
        <v>12</v>
      </c>
      <c r="J120" s="12"/>
    </row>
    <row r="121" spans="1:10" ht="60" customHeight="1">
      <c r="A121" s="6" t="s">
        <v>468</v>
      </c>
      <c r="B121" s="6" t="s">
        <v>11</v>
      </c>
      <c r="C121" s="6" t="s">
        <v>12</v>
      </c>
      <c r="D121" s="7" t="s">
        <v>469</v>
      </c>
      <c r="E121" s="8" t="s">
        <v>470</v>
      </c>
      <c r="F121" s="6" t="s">
        <v>471</v>
      </c>
      <c r="G121" s="9">
        <f>IF(A121=1,"_",IF(C121="_","???",C121))</f>
        <v/>
      </c>
      <c r="H121" s="10" t="s">
        <v>12</v>
      </c>
      <c r="I121" s="11" t="s">
        <v>12</v>
      </c>
      <c r="J121" s="12"/>
    </row>
    <row r="122" spans="1:10" ht="60" customHeight="1">
      <c r="A122" s="6" t="s">
        <v>472</v>
      </c>
      <c r="B122" s="6" t="s">
        <v>11</v>
      </c>
      <c r="C122" s="6" t="s">
        <v>12</v>
      </c>
      <c r="D122" s="7" t="s">
        <v>385</v>
      </c>
      <c r="E122" s="8" t="s">
        <v>473</v>
      </c>
      <c r="F122" s="6" t="s">
        <v>474</v>
      </c>
      <c r="G122" s="9">
        <f>IF(A122=1,"_",IF(C122="_","???",C122))</f>
        <v/>
      </c>
      <c r="H122" s="10" t="s">
        <v>12</v>
      </c>
      <c r="I122" s="11" t="s">
        <v>12</v>
      </c>
      <c r="J122" s="12"/>
    </row>
    <row r="123" spans="1:10" ht="60" customHeight="1">
      <c r="A123" s="6" t="s">
        <v>475</v>
      </c>
      <c r="B123" s="6" t="s">
        <v>11</v>
      </c>
      <c r="C123" s="6" t="s">
        <v>12</v>
      </c>
      <c r="D123" s="7" t="s">
        <v>476</v>
      </c>
      <c r="E123" s="8" t="s">
        <v>477</v>
      </c>
      <c r="F123" s="6" t="s">
        <v>478</v>
      </c>
      <c r="G123" s="9">
        <f>IF(A123=1,"_",IF(C123="_","???",C123))</f>
        <v/>
      </c>
      <c r="H123" s="10" t="s">
        <v>12</v>
      </c>
      <c r="I123" s="11" t="s">
        <v>12</v>
      </c>
      <c r="J123" s="12"/>
    </row>
    <row r="124" spans="1:10" ht="60" customHeight="1">
      <c r="A124" s="6" t="s">
        <v>479</v>
      </c>
      <c r="B124" s="6" t="s">
        <v>16</v>
      </c>
      <c r="C124" s="6" t="s">
        <v>12</v>
      </c>
      <c r="D124" s="7" t="s">
        <v>307</v>
      </c>
      <c r="E124" s="8" t="s">
        <v>480</v>
      </c>
      <c r="F124" s="6" t="s">
        <v>481</v>
      </c>
      <c r="G124" s="9">
        <f>IF(A124=1,"_",IF(C124="_","???",C124))</f>
        <v/>
      </c>
      <c r="H124" s="10" t="s">
        <v>12</v>
      </c>
      <c r="I124" s="11" t="s">
        <v>12</v>
      </c>
      <c r="J124" s="12"/>
    </row>
    <row r="125" spans="1:10" ht="60" customHeight="1">
      <c r="A125" s="6" t="s">
        <v>482</v>
      </c>
      <c r="B125" s="6" t="s">
        <v>61</v>
      </c>
      <c r="C125" s="6" t="s">
        <v>12</v>
      </c>
      <c r="D125" s="7" t="s">
        <v>483</v>
      </c>
      <c r="E125" s="8" t="s">
        <v>484</v>
      </c>
      <c r="F125" s="6" t="s">
        <v>485</v>
      </c>
      <c r="G125" s="9">
        <f>IF(A125=1,"_",IF(C125="_","???",C125))</f>
        <v/>
      </c>
      <c r="H125" s="10" t="s">
        <v>12</v>
      </c>
      <c r="I125" s="11" t="s">
        <v>12</v>
      </c>
      <c r="J125" s="12"/>
    </row>
    <row r="126" spans="1:10" ht="60" customHeight="1">
      <c r="A126" s="6" t="s">
        <v>486</v>
      </c>
      <c r="B126" s="6" t="s">
        <v>16</v>
      </c>
      <c r="C126" s="6" t="s">
        <v>12</v>
      </c>
      <c r="D126" s="7" t="s">
        <v>369</v>
      </c>
      <c r="E126" s="8" t="s">
        <v>487</v>
      </c>
      <c r="F126" s="6" t="s">
        <v>488</v>
      </c>
      <c r="G126" s="9">
        <f>IF(A126=1,"_",IF(C126="_","???",C126))</f>
        <v/>
      </c>
      <c r="H126" s="10" t="s">
        <v>12</v>
      </c>
      <c r="I126" s="11" t="s">
        <v>12</v>
      </c>
      <c r="J126" s="12"/>
    </row>
    <row r="127" spans="1:10" ht="60" customHeight="1">
      <c r="A127" s="6" t="s">
        <v>489</v>
      </c>
      <c r="B127" s="6" t="s">
        <v>16</v>
      </c>
      <c r="C127" s="6" t="s">
        <v>12</v>
      </c>
      <c r="D127" s="7" t="s">
        <v>136</v>
      </c>
      <c r="E127" s="8" t="s">
        <v>490</v>
      </c>
      <c r="F127" s="6" t="s">
        <v>491</v>
      </c>
      <c r="G127" s="9">
        <f>IF(A127=1,"_",IF(C127="_","???",C127))</f>
        <v/>
      </c>
      <c r="H127" s="10" t="s">
        <v>12</v>
      </c>
      <c r="I127" s="11" t="s">
        <v>12</v>
      </c>
      <c r="J127" s="12"/>
    </row>
    <row r="128" spans="1:10" ht="60" customHeight="1">
      <c r="A128" s="6" t="s">
        <v>492</v>
      </c>
      <c r="B128" s="6" t="s">
        <v>33</v>
      </c>
      <c r="C128" s="6" t="s">
        <v>12</v>
      </c>
      <c r="D128" s="7" t="s">
        <v>311</v>
      </c>
      <c r="E128" s="8" t="s">
        <v>493</v>
      </c>
      <c r="F128" s="6" t="s">
        <v>494</v>
      </c>
      <c r="G128" s="9">
        <f>IF(A128=1,"_",IF(C128="_","???",C128))</f>
        <v/>
      </c>
      <c r="H128" s="10" t="s">
        <v>12</v>
      </c>
      <c r="I128" s="11" t="s">
        <v>12</v>
      </c>
      <c r="J128" s="12"/>
    </row>
    <row r="129" spans="1:10" ht="60" customHeight="1">
      <c r="A129" s="6" t="s">
        <v>495</v>
      </c>
      <c r="B129" s="6" t="s">
        <v>10</v>
      </c>
      <c r="C129" s="6" t="s">
        <v>12</v>
      </c>
      <c r="D129" s="7" t="s">
        <v>496</v>
      </c>
      <c r="E129" s="8" t="s">
        <v>497</v>
      </c>
      <c r="F129" s="6" t="s">
        <v>498</v>
      </c>
      <c r="G129" s="9">
        <f>IF(A129=1,"_",IF(C129="_","???",C129))</f>
        <v/>
      </c>
      <c r="H129" s="10" t="s">
        <v>12</v>
      </c>
      <c r="I129" s="11" t="s">
        <v>12</v>
      </c>
      <c r="J129" s="12"/>
    </row>
    <row r="130" spans="1:10" ht="60" customHeight="1">
      <c r="A130" s="6" t="s">
        <v>499</v>
      </c>
      <c r="B130" s="6" t="s">
        <v>16</v>
      </c>
      <c r="C130" s="6" t="s">
        <v>12</v>
      </c>
      <c r="D130" s="7" t="s">
        <v>25</v>
      </c>
      <c r="E130" s="8" t="s">
        <v>500</v>
      </c>
      <c r="F130" s="6" t="s">
        <v>501</v>
      </c>
      <c r="G130" s="9">
        <f>IF(A130=1,"_",IF(C130="_","???",C130))</f>
        <v/>
      </c>
      <c r="H130" s="10" t="s">
        <v>12</v>
      </c>
      <c r="I130" s="11" t="s">
        <v>12</v>
      </c>
      <c r="J130" s="12"/>
    </row>
    <row r="131" spans="1:10" ht="60" customHeight="1">
      <c r="A131" s="6" t="s">
        <v>502</v>
      </c>
      <c r="B131" s="6" t="s">
        <v>28</v>
      </c>
      <c r="C131" s="6" t="s">
        <v>12</v>
      </c>
      <c r="D131" s="7" t="s">
        <v>503</v>
      </c>
      <c r="E131" s="8" t="s">
        <v>504</v>
      </c>
      <c r="F131" s="6" t="s">
        <v>505</v>
      </c>
      <c r="G131" s="9">
        <f>IF(A131=1,"_",IF(C131="_","???",C131))</f>
        <v/>
      </c>
      <c r="H131" s="10" t="s">
        <v>12</v>
      </c>
      <c r="I131" s="11" t="s">
        <v>12</v>
      </c>
      <c r="J131" s="12"/>
    </row>
    <row r="132" spans="1:10" ht="60" customHeight="1">
      <c r="A132" s="6" t="s">
        <v>506</v>
      </c>
      <c r="B132" s="6" t="s">
        <v>16</v>
      </c>
      <c r="C132" s="6" t="s">
        <v>12</v>
      </c>
      <c r="D132" s="7" t="s">
        <v>121</v>
      </c>
      <c r="E132" s="8" t="s">
        <v>507</v>
      </c>
      <c r="F132" s="6" t="s">
        <v>508</v>
      </c>
      <c r="G132" s="9">
        <f>IF(A132=1,"_",IF(C132="_","???",C132))</f>
        <v/>
      </c>
      <c r="H132" s="10" t="s">
        <v>12</v>
      </c>
      <c r="I132" s="11" t="s">
        <v>12</v>
      </c>
      <c r="J132" s="12"/>
    </row>
    <row r="133" spans="1:10" ht="60" customHeight="1">
      <c r="A133" s="6" t="s">
        <v>509</v>
      </c>
      <c r="B133" s="6" t="s">
        <v>28</v>
      </c>
      <c r="C133" s="6" t="s">
        <v>12</v>
      </c>
      <c r="D133" s="7" t="s">
        <v>510</v>
      </c>
      <c r="E133" s="8" t="s">
        <v>511</v>
      </c>
      <c r="F133" s="6" t="s">
        <v>512</v>
      </c>
      <c r="G133" s="9">
        <f>IF(A133=1,"_",IF(C133="_","???",C133))</f>
        <v/>
      </c>
      <c r="H133" s="10" t="s">
        <v>12</v>
      </c>
      <c r="I133" s="11" t="s">
        <v>12</v>
      </c>
      <c r="J133" s="12"/>
    </row>
    <row r="134" spans="1:10" ht="60" customHeight="1">
      <c r="A134" s="6" t="s">
        <v>513</v>
      </c>
      <c r="B134" s="6" t="s">
        <v>11</v>
      </c>
      <c r="C134" s="6" t="s">
        <v>12</v>
      </c>
      <c r="D134" s="7" t="s">
        <v>510</v>
      </c>
      <c r="E134" s="8" t="s">
        <v>514</v>
      </c>
      <c r="F134" s="6" t="s">
        <v>515</v>
      </c>
      <c r="G134" s="9">
        <f>IF(A134=1,"_",IF(C134="_","???",C134))</f>
        <v/>
      </c>
      <c r="H134" s="10" t="s">
        <v>12</v>
      </c>
      <c r="I134" s="11" t="s">
        <v>12</v>
      </c>
      <c r="J134" s="12"/>
    </row>
    <row r="135" spans="1:10" ht="60" customHeight="1">
      <c r="A135" s="6" t="s">
        <v>516</v>
      </c>
      <c r="B135" s="6" t="s">
        <v>11</v>
      </c>
      <c r="C135" s="6" t="s">
        <v>12</v>
      </c>
      <c r="D135" s="7" t="s">
        <v>476</v>
      </c>
      <c r="E135" s="8" t="s">
        <v>517</v>
      </c>
      <c r="F135" s="6" t="s">
        <v>518</v>
      </c>
      <c r="G135" s="9">
        <f>IF(A135=1,"_",IF(C135="_","???",C135))</f>
        <v/>
      </c>
      <c r="H135" s="10" t="s">
        <v>12</v>
      </c>
      <c r="I135" s="11" t="s">
        <v>12</v>
      </c>
      <c r="J135" s="12"/>
    </row>
    <row r="136" spans="1:10" ht="60" customHeight="1">
      <c r="A136" s="6" t="s">
        <v>519</v>
      </c>
      <c r="B136" s="6" t="s">
        <v>11</v>
      </c>
      <c r="C136" s="6" t="s">
        <v>12</v>
      </c>
      <c r="D136" s="7" t="s">
        <v>520</v>
      </c>
      <c r="E136" s="8" t="s">
        <v>521</v>
      </c>
      <c r="F136" s="6" t="s">
        <v>522</v>
      </c>
      <c r="G136" s="9">
        <f>IF(A136=1,"_",IF(C136="_","???",C136))</f>
        <v/>
      </c>
      <c r="H136" s="10" t="s">
        <v>12</v>
      </c>
      <c r="I136" s="11" t="s">
        <v>12</v>
      </c>
      <c r="J136" s="12"/>
    </row>
    <row r="137" spans="1:10" ht="60" customHeight="1">
      <c r="A137" s="6" t="s">
        <v>523</v>
      </c>
      <c r="B137" s="6" t="s">
        <v>44</v>
      </c>
      <c r="C137" s="6" t="s">
        <v>12</v>
      </c>
      <c r="D137" s="7" t="s">
        <v>331</v>
      </c>
      <c r="E137" s="8" t="s">
        <v>524</v>
      </c>
      <c r="F137" s="6" t="s">
        <v>525</v>
      </c>
      <c r="G137" s="9">
        <f>IF(A137=1,"_",IF(C137="_","???",C137))</f>
        <v/>
      </c>
      <c r="H137" s="10" t="s">
        <v>12</v>
      </c>
      <c r="I137" s="11" t="s">
        <v>12</v>
      </c>
      <c r="J137" s="12"/>
    </row>
    <row r="138" spans="1:10" ht="60" customHeight="1">
      <c r="A138" s="6" t="s">
        <v>526</v>
      </c>
      <c r="B138" s="6" t="s">
        <v>11</v>
      </c>
      <c r="C138" s="6" t="s">
        <v>12</v>
      </c>
      <c r="D138" s="7" t="s">
        <v>331</v>
      </c>
      <c r="E138" s="8" t="s">
        <v>527</v>
      </c>
      <c r="F138" s="6" t="s">
        <v>528</v>
      </c>
      <c r="G138" s="9">
        <f>IF(A138=1,"_",IF(C138="_","???",C138))</f>
        <v/>
      </c>
      <c r="H138" s="10" t="s">
        <v>12</v>
      </c>
      <c r="I138" s="11" t="s">
        <v>12</v>
      </c>
      <c r="J138" s="12"/>
    </row>
    <row r="139" spans="1:10" ht="60" customHeight="1">
      <c r="A139" s="6" t="s">
        <v>529</v>
      </c>
      <c r="B139" s="6" t="s">
        <v>11</v>
      </c>
      <c r="C139" s="6" t="s">
        <v>12</v>
      </c>
      <c r="D139" s="7" t="s">
        <v>331</v>
      </c>
      <c r="E139" s="8" t="s">
        <v>530</v>
      </c>
      <c r="F139" s="6" t="s">
        <v>531</v>
      </c>
      <c r="G139" s="9">
        <f>IF(A139=1,"_",IF(C139="_","???",C139))</f>
        <v/>
      </c>
      <c r="H139" s="10" t="s">
        <v>12</v>
      </c>
      <c r="I139" s="11" t="s">
        <v>12</v>
      </c>
      <c r="J139" s="12"/>
    </row>
    <row r="140" spans="1:10" ht="60" customHeight="1">
      <c r="A140" s="6" t="s">
        <v>532</v>
      </c>
      <c r="B140" s="6" t="s">
        <v>48</v>
      </c>
      <c r="C140" s="6" t="s">
        <v>12</v>
      </c>
      <c r="D140" s="7" t="s">
        <v>13</v>
      </c>
      <c r="E140" s="8" t="s">
        <v>533</v>
      </c>
      <c r="F140" s="6" t="s">
        <v>534</v>
      </c>
      <c r="G140" s="9">
        <f>IF(A140=1,"_",IF(C140="_","???",C140))</f>
        <v/>
      </c>
      <c r="H140" s="10" t="s">
        <v>12</v>
      </c>
      <c r="I140" s="11" t="s">
        <v>12</v>
      </c>
      <c r="J140" s="12"/>
    </row>
    <row r="141" spans="1:10" ht="60" customHeight="1">
      <c r="A141" s="6" t="s">
        <v>535</v>
      </c>
      <c r="B141" s="6" t="s">
        <v>11</v>
      </c>
      <c r="C141" s="6" t="s">
        <v>12</v>
      </c>
      <c r="D141" s="7" t="s">
        <v>536</v>
      </c>
      <c r="E141" s="8" t="s">
        <v>537</v>
      </c>
      <c r="F141" s="6" t="s">
        <v>538</v>
      </c>
      <c r="G141" s="9">
        <f>IF(A141=1,"_",IF(C141="_","???",C141))</f>
        <v/>
      </c>
      <c r="H141" s="10" t="s">
        <v>12</v>
      </c>
      <c r="I141" s="11" t="s">
        <v>12</v>
      </c>
      <c r="J141" s="12"/>
    </row>
    <row r="142" spans="1:10" ht="60" customHeight="1">
      <c r="A142" s="6" t="s">
        <v>539</v>
      </c>
      <c r="B142" s="6" t="s">
        <v>16</v>
      </c>
      <c r="C142" s="6" t="s">
        <v>213</v>
      </c>
      <c r="D142" s="7" t="s">
        <v>540</v>
      </c>
      <c r="E142" s="8" t="s">
        <v>541</v>
      </c>
      <c r="F142" s="6" t="s">
        <v>542</v>
      </c>
      <c r="G142" s="9">
        <f>IF(A142=1,"_",IF(C142="_","???",C142))</f>
        <v/>
      </c>
      <c r="H142" s="10" t="s">
        <v>12</v>
      </c>
      <c r="I142" s="11" t="s">
        <v>12</v>
      </c>
      <c r="J142" s="12"/>
    </row>
    <row r="143" spans="1:10" ht="60" customHeight="1">
      <c r="A143" s="6" t="s">
        <v>543</v>
      </c>
      <c r="B143" s="6" t="s">
        <v>54</v>
      </c>
      <c r="C143" s="6" t="s">
        <v>12</v>
      </c>
      <c r="D143" s="7" t="s">
        <v>544</v>
      </c>
      <c r="E143" s="8" t="s">
        <v>545</v>
      </c>
      <c r="F143" s="6" t="s">
        <v>546</v>
      </c>
      <c r="G143" s="9">
        <f>IF(A143=1,"_",IF(C143="_","???",C143))</f>
        <v/>
      </c>
      <c r="H143" s="10" t="s">
        <v>12</v>
      </c>
      <c r="I143" s="11" t="s">
        <v>12</v>
      </c>
      <c r="J143" s="12"/>
    </row>
    <row r="144" spans="1:10" ht="60" customHeight="1">
      <c r="A144" s="6" t="s">
        <v>547</v>
      </c>
      <c r="B144" s="6" t="s">
        <v>11</v>
      </c>
      <c r="C144" s="6" t="s">
        <v>12</v>
      </c>
      <c r="D144" s="7" t="s">
        <v>548</v>
      </c>
      <c r="E144" s="8" t="s">
        <v>549</v>
      </c>
      <c r="F144" s="6" t="s">
        <v>550</v>
      </c>
      <c r="G144" s="9">
        <f>IF(A144=1,"_",IF(C144="_","???",C144))</f>
        <v/>
      </c>
      <c r="H144" s="10" t="s">
        <v>12</v>
      </c>
      <c r="I144" s="11" t="s">
        <v>12</v>
      </c>
      <c r="J144" s="12"/>
    </row>
    <row r="145" spans="1:10" ht="60" customHeight="1">
      <c r="A145" s="6" t="s">
        <v>551</v>
      </c>
      <c r="B145" s="6" t="s">
        <v>24</v>
      </c>
      <c r="C145" s="6" t="s">
        <v>12</v>
      </c>
      <c r="D145" s="7" t="s">
        <v>136</v>
      </c>
      <c r="E145" s="8" t="s">
        <v>552</v>
      </c>
      <c r="F145" s="6" t="s">
        <v>553</v>
      </c>
      <c r="G145" s="9">
        <f>IF(A145=1,"_",IF(C145="_","???",C145))</f>
        <v/>
      </c>
      <c r="H145" s="10" t="s">
        <v>12</v>
      </c>
      <c r="I145" s="11" t="s">
        <v>12</v>
      </c>
      <c r="J145" s="12"/>
    </row>
    <row r="146" spans="1:10" ht="60" customHeight="1">
      <c r="A146" s="6" t="s">
        <v>554</v>
      </c>
      <c r="B146" s="6" t="s">
        <v>10</v>
      </c>
      <c r="C146" s="6" t="s">
        <v>12</v>
      </c>
      <c r="D146" s="7" t="s">
        <v>555</v>
      </c>
      <c r="E146" s="8" t="s">
        <v>556</v>
      </c>
      <c r="F146" s="6" t="s">
        <v>557</v>
      </c>
      <c r="G146" s="9">
        <f>IF(A146=1,"_",IF(C146="_","???",C146))</f>
        <v/>
      </c>
      <c r="H146" s="10" t="s">
        <v>12</v>
      </c>
      <c r="I146" s="11" t="s">
        <v>12</v>
      </c>
      <c r="J146" s="12"/>
    </row>
    <row r="147" spans="1:10" ht="60" customHeight="1">
      <c r="A147" s="6" t="s">
        <v>558</v>
      </c>
      <c r="B147" s="6" t="s">
        <v>10</v>
      </c>
      <c r="C147" s="6" t="s">
        <v>12</v>
      </c>
      <c r="D147" s="7" t="s">
        <v>555</v>
      </c>
      <c r="E147" s="8" t="s">
        <v>559</v>
      </c>
      <c r="F147" s="6" t="s">
        <v>560</v>
      </c>
      <c r="G147" s="9">
        <f>IF(A147=1,"_",IF(C147="_","???",C147))</f>
        <v/>
      </c>
      <c r="H147" s="10" t="s">
        <v>12</v>
      </c>
      <c r="I147" s="11" t="s">
        <v>12</v>
      </c>
      <c r="J147" s="12"/>
    </row>
    <row r="148" spans="1:10" ht="60" customHeight="1">
      <c r="A148" s="6" t="s">
        <v>561</v>
      </c>
      <c r="B148" s="6" t="s">
        <v>11</v>
      </c>
      <c r="C148" s="6" t="s">
        <v>12</v>
      </c>
      <c r="D148" s="7" t="s">
        <v>562</v>
      </c>
      <c r="E148" s="8" t="s">
        <v>563</v>
      </c>
      <c r="F148" s="6" t="s">
        <v>564</v>
      </c>
      <c r="G148" s="9">
        <f>IF(A148=1,"_",IF(C148="_","???",C148))</f>
        <v/>
      </c>
      <c r="H148" s="10" t="s">
        <v>12</v>
      </c>
      <c r="I148" s="11" t="s">
        <v>12</v>
      </c>
      <c r="J14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8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565</v>
      </c>
      <c r="B1" s="13" t="s">
        <v>566</v>
      </c>
      <c r="C1" s="13" t="s">
        <v>567</v>
      </c>
      <c r="D1" s="13" t="s">
        <v>568</v>
      </c>
      <c r="E1" s="14" t="s">
        <v>569</v>
      </c>
      <c r="F1" s="15" t="s">
        <v>570</v>
      </c>
      <c r="G1" s="16" t="s">
        <v>571</v>
      </c>
      <c r="H1" s="17" t="s">
        <v>572</v>
      </c>
      <c r="I1" s="18" t="s">
        <v>573</v>
      </c>
      <c r="J1" s="18" t="s">
        <v>574</v>
      </c>
      <c r="K1" s="18" t="s">
        <v>575</v>
      </c>
      <c r="L1" s="19" t="s">
        <v>9</v>
      </c>
    </row>
    <row r="2" spans="1:12">
      <c r="A2" s="20" t="s">
        <v>576</v>
      </c>
    </row>
    <row r="3" spans="1:12">
      <c r="A3" s="20" t="s">
        <v>577</v>
      </c>
      <c r="B3" s="21" t="s">
        <v>578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579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580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581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582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583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580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584</v>
      </c>
      <c r="B10" s="21" t="s">
        <v>585</v>
      </c>
      <c r="C10" s="21" t="s">
        <v>586</v>
      </c>
      <c r="D10" s="21" t="s">
        <v>587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257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588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589</v>
      </c>
      <c r="B13" s="21" t="s">
        <v>590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591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592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/>
    </row>
    <row r="17" spans="1:12">
      <c r="A17" s="20" t="s">
        <v>593</v>
      </c>
    </row>
    <row r="18" spans="1:12">
      <c r="A18" s="20" t="s">
        <v>594</v>
      </c>
      <c r="B18" s="21" t="s">
        <v>578</v>
      </c>
      <c r="C18" s="21" t="s">
        <v>586</v>
      </c>
      <c r="D18" s="21" t="s">
        <v>587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595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596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597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598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599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583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580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600</v>
      </c>
      <c r="B26" s="21" t="s">
        <v>601</v>
      </c>
      <c r="C26" s="21" t="s">
        <v>602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603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604</v>
      </c>
      <c r="B28" s="21" t="s">
        <v>605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592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/>
    </row>
    <row r="31" spans="1:12">
      <c r="A31" s="20" t="s">
        <v>606</v>
      </c>
    </row>
    <row r="32" spans="1:12">
      <c r="A32" s="20" t="s">
        <v>577</v>
      </c>
      <c r="B32" s="21" t="s">
        <v>578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607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608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609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610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611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612</v>
      </c>
      <c r="B38" s="21" t="s">
        <v>601</v>
      </c>
      <c r="C38" s="21" t="s">
        <v>613</v>
      </c>
      <c r="D38" s="21" t="s">
        <v>587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614</v>
      </c>
      <c r="B39" s="21" t="s">
        <v>615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583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616</v>
      </c>
      <c r="B41" s="21" t="s">
        <v>605</v>
      </c>
      <c r="C41" s="21" t="s">
        <v>602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617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618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619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620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621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622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623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583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619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624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625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626</v>
      </c>
      <c r="B53" s="21" t="s">
        <v>627</v>
      </c>
      <c r="C53" s="21" t="s">
        <v>628</v>
      </c>
      <c r="D53" s="21" t="s">
        <v>587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583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619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629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630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631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583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369</v>
      </c>
      <c r="B60" s="21" t="s">
        <v>590</v>
      </c>
      <c r="C60" s="21" t="s">
        <v>602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632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633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634</v>
      </c>
      <c r="B63" s="21" t="s">
        <v>635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636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637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638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583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619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639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583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640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583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641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642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643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644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621</v>
      </c>
      <c r="B77" s="21" t="s">
        <v>645</v>
      </c>
      <c r="C77" s="21" t="s">
        <v>646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592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/>
    </row>
    <row r="80" spans="1:12">
      <c r="A80" s="20" t="s">
        <v>647</v>
      </c>
    </row>
    <row r="81" spans="1:12">
      <c r="A81" s="20" t="s">
        <v>648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649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583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25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87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650</v>
      </c>
      <c r="B86" s="21" t="s">
        <v>651</v>
      </c>
      <c r="C86" s="21" t="s">
        <v>646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583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580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652</v>
      </c>
      <c r="B89" s="21" t="s">
        <v>601</v>
      </c>
      <c r="C89" s="21" t="s">
        <v>602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653</v>
      </c>
      <c r="B90" s="21" t="s">
        <v>605</v>
      </c>
      <c r="C90" s="21" t="s">
        <v>613</v>
      </c>
      <c r="D90" s="21" t="s">
        <v>587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654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583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655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656</v>
      </c>
      <c r="B94" s="21" t="s">
        <v>590</v>
      </c>
      <c r="C94" s="21" t="s">
        <v>586</v>
      </c>
      <c r="D94" s="21" t="s">
        <v>587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25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657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630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658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659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660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592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/>
    </row>
    <row r="103" spans="1:12">
      <c r="A103" s="20" t="s">
        <v>661</v>
      </c>
    </row>
    <row r="104" spans="1:12">
      <c r="A104" s="20" t="s">
        <v>662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653</v>
      </c>
      <c r="B105" s="21" t="s">
        <v>590</v>
      </c>
      <c r="C105" s="21" t="s">
        <v>613</v>
      </c>
      <c r="D105" s="21" t="s">
        <v>587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663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664</v>
      </c>
      <c r="B107" s="21" t="s">
        <v>635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580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665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630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666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583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653</v>
      </c>
      <c r="B113" s="21" t="s">
        <v>578</v>
      </c>
      <c r="C113" s="21" t="s">
        <v>613</v>
      </c>
      <c r="D113" s="21" t="s">
        <v>587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667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619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668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669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583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616</v>
      </c>
      <c r="B119" s="21" t="s">
        <v>605</v>
      </c>
      <c r="C119" s="21" t="s">
        <v>602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670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671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672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673</v>
      </c>
      <c r="B123" s="21" t="s">
        <v>601</v>
      </c>
      <c r="C123" s="21" t="s">
        <v>646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674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592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/>
    </row>
    <row r="127" spans="1:12">
      <c r="A127" s="20" t="s">
        <v>675</v>
      </c>
    </row>
    <row r="128" spans="1:12">
      <c r="A128" s="20" t="s">
        <v>676</v>
      </c>
      <c r="B128" s="21" t="s">
        <v>578</v>
      </c>
      <c r="C128" s="21" t="s">
        <v>613</v>
      </c>
      <c r="D128" s="21" t="s">
        <v>587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677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678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679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680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681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641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682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683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630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684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583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685</v>
      </c>
      <c r="B140" s="21" t="s">
        <v>590</v>
      </c>
      <c r="C140" s="21" t="s">
        <v>613</v>
      </c>
      <c r="D140" s="21" t="s">
        <v>587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686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687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688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689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583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630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690</v>
      </c>
      <c r="B147" s="21" t="s">
        <v>590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597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691</v>
      </c>
      <c r="B149" s="21" t="s">
        <v>601</v>
      </c>
      <c r="C149" s="21" t="s">
        <v>613</v>
      </c>
      <c r="D149" s="21" t="s">
        <v>587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692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583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369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693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694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634</v>
      </c>
      <c r="B155" s="21" t="s">
        <v>695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696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697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592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/>
    </row>
    <row r="160" spans="1:12">
      <c r="A160" s="20" t="s">
        <v>698</v>
      </c>
    </row>
    <row r="161" spans="1:12">
      <c r="A161" s="20" t="s">
        <v>699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87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650</v>
      </c>
      <c r="B163" s="21" t="s">
        <v>651</v>
      </c>
      <c r="C163" s="21" t="s">
        <v>646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655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700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25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619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701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660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630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702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583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25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73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650</v>
      </c>
      <c r="B175" s="21" t="s">
        <v>645</v>
      </c>
      <c r="C175" s="21" t="s">
        <v>646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655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25</v>
      </c>
      <c r="B177" s="21" t="s">
        <v>578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703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704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592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/>
    </row>
    <row r="182" spans="1:12">
      <c r="A182" s="20" t="s">
        <v>705</v>
      </c>
    </row>
    <row r="183" spans="1:12">
      <c r="A183" s="20" t="s">
        <v>706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707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708</v>
      </c>
      <c r="B185" s="21" t="s">
        <v>651</v>
      </c>
      <c r="C185" s="21" t="s">
        <v>709</v>
      </c>
      <c r="D185" s="21" t="s">
        <v>587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710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711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604</v>
      </c>
      <c r="B188" s="21" t="s">
        <v>578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666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592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/>
    </row>
    <row r="192" spans="1:12">
      <c r="A192" s="20" t="s">
        <v>712</v>
      </c>
    </row>
    <row r="193" spans="1:12">
      <c r="A193" s="20" t="s">
        <v>713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630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714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715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583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716</v>
      </c>
      <c r="B198" s="21" t="s">
        <v>578</v>
      </c>
      <c r="C198" s="21" t="s">
        <v>613</v>
      </c>
      <c r="D198" s="21" t="s">
        <v>587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717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718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719</v>
      </c>
      <c r="B201" s="21" t="s">
        <v>651</v>
      </c>
      <c r="C201" s="21" t="s">
        <v>586</v>
      </c>
      <c r="D201" s="21" t="s">
        <v>587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583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369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693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720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690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597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721</v>
      </c>
      <c r="B208" s="21" t="s">
        <v>722</v>
      </c>
      <c r="C208" s="21" t="s">
        <v>613</v>
      </c>
      <c r="D208" s="21" t="s">
        <v>587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723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664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724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725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726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87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650</v>
      </c>
      <c r="B215" s="21" t="s">
        <v>727</v>
      </c>
      <c r="C215" s="21" t="s">
        <v>646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630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728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583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729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730</v>
      </c>
      <c r="B220" s="21" t="s">
        <v>627</v>
      </c>
      <c r="C220" s="21" t="s">
        <v>586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668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731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583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732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733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734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735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592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/>
    </row>
    <row r="230" spans="1:12">
      <c r="A230" s="20" t="s">
        <v>736</v>
      </c>
    </row>
    <row r="231" spans="1:12">
      <c r="A231" s="20" t="s">
        <v>737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738</v>
      </c>
      <c r="B232" s="21" t="s">
        <v>578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710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739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580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740</v>
      </c>
      <c r="B236" s="21" t="s">
        <v>651</v>
      </c>
      <c r="C236" s="21" t="s">
        <v>602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741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653</v>
      </c>
      <c r="B238" s="21" t="s">
        <v>605</v>
      </c>
      <c r="C238" s="21" t="s">
        <v>613</v>
      </c>
      <c r="D238" s="21" t="s">
        <v>587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617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742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55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718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743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583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718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744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583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745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746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583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630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747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748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55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718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749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592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/>
    </row>
    <row r="259" spans="1:12">
      <c r="A259" s="20" t="s">
        <v>750</v>
      </c>
    </row>
    <row r="260" spans="1:12">
      <c r="A260" s="20" t="s">
        <v>751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653</v>
      </c>
      <c r="B261" s="21" t="s">
        <v>590</v>
      </c>
      <c r="C261" s="21" t="s">
        <v>613</v>
      </c>
      <c r="D261" s="21" t="s">
        <v>587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752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753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754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583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653</v>
      </c>
      <c r="B266" s="21" t="s">
        <v>578</v>
      </c>
      <c r="C266" s="21" t="s">
        <v>613</v>
      </c>
      <c r="D266" s="21" t="s">
        <v>587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755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583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369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756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612</v>
      </c>
      <c r="B271" s="21" t="s">
        <v>651</v>
      </c>
      <c r="C271" s="21" t="s">
        <v>613</v>
      </c>
      <c r="D271" s="21" t="s">
        <v>587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757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758</v>
      </c>
      <c r="B273" s="21" t="s">
        <v>590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583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580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759</v>
      </c>
      <c r="B276" s="21" t="s">
        <v>645</v>
      </c>
      <c r="C276" s="21" t="s">
        <v>602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670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760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761</v>
      </c>
      <c r="B279" s="21" t="s">
        <v>762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630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763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592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/>
    </row>
    <row r="284" spans="1:12">
      <c r="A284" s="20" t="s">
        <v>764</v>
      </c>
    </row>
    <row r="285" spans="1:12">
      <c r="A285" s="20" t="s">
        <v>765</v>
      </c>
      <c r="B285" s="21" t="s">
        <v>578</v>
      </c>
      <c r="C285" s="21" t="s">
        <v>613</v>
      </c>
      <c r="D285" s="21" t="s">
        <v>587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766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767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768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666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592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/>
    </row>
    <row r="292" spans="1:12">
      <c r="A292" s="20" t="s">
        <v>769</v>
      </c>
    </row>
    <row r="293" spans="1:12">
      <c r="A293" s="20" t="s">
        <v>765</v>
      </c>
      <c r="B293" s="21" t="s">
        <v>578</v>
      </c>
      <c r="C293" s="21" t="s">
        <v>613</v>
      </c>
      <c r="D293" s="21" t="s">
        <v>587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766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718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770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771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772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773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583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774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653</v>
      </c>
      <c r="B302" s="21" t="s">
        <v>605</v>
      </c>
      <c r="C302" s="21" t="s">
        <v>613</v>
      </c>
      <c r="D302" s="21" t="s">
        <v>587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775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776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723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777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666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630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580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136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778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779</v>
      </c>
      <c r="B312" s="21" t="s">
        <v>601</v>
      </c>
      <c r="C312" s="21" t="s">
        <v>709</v>
      </c>
      <c r="D312" s="21" t="s">
        <v>587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723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780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781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782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583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783</v>
      </c>
      <c r="B318" s="21" t="s">
        <v>784</v>
      </c>
      <c r="C318" s="21" t="s">
        <v>602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693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785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786</v>
      </c>
      <c r="B321" s="21" t="s">
        <v>727</v>
      </c>
      <c r="C321" s="21" t="s">
        <v>787</v>
      </c>
      <c r="D321" s="21" t="s">
        <v>587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788</v>
      </c>
      <c r="B322" s="21" t="s">
        <v>789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630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790</v>
      </c>
      <c r="B324" s="21" t="s">
        <v>791</v>
      </c>
      <c r="C324" s="21" t="s">
        <v>787</v>
      </c>
      <c r="D324" s="21" t="s">
        <v>587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792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592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/>
    </row>
    <row r="328" spans="1:12">
      <c r="A328" s="20" t="s">
        <v>793</v>
      </c>
    </row>
    <row r="329" spans="1:12">
      <c r="A329" s="20" t="s">
        <v>794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718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795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796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797</v>
      </c>
      <c r="B333" s="21" t="s">
        <v>651</v>
      </c>
      <c r="C333" s="21" t="s">
        <v>586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741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/>
    </row>
    <row r="336" spans="1:12">
      <c r="A336" s="20" t="s">
        <v>798</v>
      </c>
    </row>
    <row r="337" spans="1:12">
      <c r="A337" s="20" t="s">
        <v>799</v>
      </c>
      <c r="B337" s="21" t="s">
        <v>651</v>
      </c>
      <c r="C337" s="21" t="s">
        <v>800</v>
      </c>
      <c r="D337" s="21" t="s">
        <v>587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801</v>
      </c>
      <c r="B338" s="21" t="s">
        <v>651</v>
      </c>
      <c r="C338" s="21" t="s">
        <v>628</v>
      </c>
      <c r="D338" s="21" t="s">
        <v>587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583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802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803</v>
      </c>
      <c r="B341" s="21" t="s">
        <v>585</v>
      </c>
      <c r="C341" s="21" t="s">
        <v>628</v>
      </c>
      <c r="D341" s="21" t="s">
        <v>587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583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66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804</v>
      </c>
      <c r="B344" s="21" t="s">
        <v>585</v>
      </c>
      <c r="C344" s="21" t="s">
        <v>628</v>
      </c>
      <c r="D344" s="21" t="s">
        <v>587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583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66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805</v>
      </c>
      <c r="B347" s="21" t="s">
        <v>585</v>
      </c>
      <c r="C347" s="21" t="s">
        <v>628</v>
      </c>
      <c r="D347" s="21" t="s">
        <v>587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753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806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807</v>
      </c>
      <c r="B350" s="21" t="s">
        <v>651</v>
      </c>
      <c r="C350" s="21" t="s">
        <v>800</v>
      </c>
      <c r="D350" s="21" t="s">
        <v>587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808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809</v>
      </c>
      <c r="B352" s="21" t="s">
        <v>585</v>
      </c>
      <c r="C352" s="21" t="s">
        <v>628</v>
      </c>
      <c r="D352" s="21" t="s">
        <v>587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810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583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811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583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66</v>
      </c>
      <c r="B357" s="21" t="s">
        <v>605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812</v>
      </c>
      <c r="B358" s="21" t="s">
        <v>585</v>
      </c>
      <c r="C358" s="21" t="s">
        <v>628</v>
      </c>
      <c r="D358" s="21" t="s">
        <v>587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580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813</v>
      </c>
      <c r="B360" s="21" t="s">
        <v>601</v>
      </c>
      <c r="C360" s="21" t="s">
        <v>628</v>
      </c>
      <c r="D360" s="21" t="s">
        <v>587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592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/>
    </row>
    <row r="363" spans="1:12">
      <c r="A363" s="20" t="s">
        <v>814</v>
      </c>
    </row>
    <row r="364" spans="1:12">
      <c r="A364" s="20" t="s">
        <v>815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816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817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594</v>
      </c>
      <c r="B367" s="21" t="s">
        <v>578</v>
      </c>
      <c r="C367" s="21" t="s">
        <v>586</v>
      </c>
      <c r="D367" s="21" t="s">
        <v>587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818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792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583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774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653</v>
      </c>
      <c r="B372" s="21" t="s">
        <v>590</v>
      </c>
      <c r="C372" s="21" t="s">
        <v>613</v>
      </c>
      <c r="D372" s="21" t="s">
        <v>587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819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820</v>
      </c>
      <c r="B374" s="21" t="s">
        <v>635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821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822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583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823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583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824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619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825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826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790</v>
      </c>
      <c r="B384" s="21" t="s">
        <v>827</v>
      </c>
      <c r="C384" s="21" t="s">
        <v>787</v>
      </c>
      <c r="D384" s="21" t="s">
        <v>587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828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829</v>
      </c>
      <c r="B386" s="21" t="s">
        <v>830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592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/>
    </row>
    <row r="389" spans="1:12">
      <c r="A389" s="20" t="s">
        <v>831</v>
      </c>
    </row>
    <row r="390" spans="1:12">
      <c r="A390" s="20" t="s">
        <v>832</v>
      </c>
      <c r="B390" s="21" t="s">
        <v>578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609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677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833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834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731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583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835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685</v>
      </c>
      <c r="B398" s="21" t="s">
        <v>590</v>
      </c>
      <c r="C398" s="21" t="s">
        <v>613</v>
      </c>
      <c r="D398" s="21" t="s">
        <v>587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836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837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838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592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/>
    </row>
    <row r="404" spans="1:12">
      <c r="A404" s="20" t="s">
        <v>839</v>
      </c>
    </row>
    <row r="405" spans="1:12">
      <c r="A405" s="20" t="s">
        <v>794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767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584</v>
      </c>
      <c r="B407" s="21" t="s">
        <v>651</v>
      </c>
      <c r="C407" s="21" t="s">
        <v>586</v>
      </c>
      <c r="D407" s="21" t="s">
        <v>587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583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840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841</v>
      </c>
      <c r="B410" s="21" t="s">
        <v>590</v>
      </c>
      <c r="C410" s="21" t="s">
        <v>628</v>
      </c>
      <c r="D410" s="21" t="s">
        <v>587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630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842</v>
      </c>
      <c r="B412" s="21" t="s">
        <v>601</v>
      </c>
      <c r="C412" s="21" t="s">
        <v>628</v>
      </c>
      <c r="D412" s="21" t="s">
        <v>587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843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844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845</v>
      </c>
      <c r="B415" s="21" t="s">
        <v>585</v>
      </c>
      <c r="C415" s="21" t="s">
        <v>628</v>
      </c>
      <c r="D415" s="21" t="s">
        <v>587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583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846</v>
      </c>
      <c r="B417" s="21" t="s">
        <v>590</v>
      </c>
      <c r="C417" s="21" t="s">
        <v>628</v>
      </c>
      <c r="D417" s="21" t="s">
        <v>587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843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844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847</v>
      </c>
      <c r="B420" s="21" t="s">
        <v>585</v>
      </c>
      <c r="C420" s="21" t="s">
        <v>628</v>
      </c>
      <c r="D420" s="21" t="s">
        <v>587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583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848</v>
      </c>
      <c r="B422" s="21" t="s">
        <v>590</v>
      </c>
      <c r="C422" s="21" t="s">
        <v>628</v>
      </c>
      <c r="D422" s="21" t="s">
        <v>587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849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844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850</v>
      </c>
      <c r="B425" s="21" t="s">
        <v>585</v>
      </c>
      <c r="C425" s="21" t="s">
        <v>628</v>
      </c>
      <c r="D425" s="21" t="s">
        <v>587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592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/>
    </row>
    <row r="428" spans="1:12">
      <c r="A428" s="20" t="s">
        <v>851</v>
      </c>
    </row>
    <row r="429" spans="1:12">
      <c r="A429" s="20" t="s">
        <v>832</v>
      </c>
      <c r="B429" s="21" t="s">
        <v>578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852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580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853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854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592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/>
    </row>
    <row r="436" spans="1:12">
      <c r="A436" s="20" t="s">
        <v>855</v>
      </c>
    </row>
    <row r="437" spans="1:12">
      <c r="A437" s="20" t="s">
        <v>594</v>
      </c>
      <c r="B437" s="21" t="s">
        <v>578</v>
      </c>
      <c r="C437" s="21" t="s">
        <v>586</v>
      </c>
      <c r="D437" s="21" t="s">
        <v>587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792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583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774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653</v>
      </c>
      <c r="B441" s="21" t="s">
        <v>590</v>
      </c>
      <c r="C441" s="21" t="s">
        <v>613</v>
      </c>
      <c r="D441" s="21" t="s">
        <v>587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856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583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857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583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858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859</v>
      </c>
      <c r="B447" s="21" t="s">
        <v>635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583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860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583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861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583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862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583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863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583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864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630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641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865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866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592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/>
    </row>
    <row r="464" spans="1:12">
      <c r="A464" s="20" t="s">
        <v>867</v>
      </c>
    </row>
    <row r="465" spans="1:12">
      <c r="A465" s="20" t="s">
        <v>676</v>
      </c>
      <c r="B465" s="21" t="s">
        <v>578</v>
      </c>
      <c r="C465" s="21" t="s">
        <v>613</v>
      </c>
      <c r="D465" s="21" t="s">
        <v>587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868</v>
      </c>
      <c r="B466" s="21" t="s">
        <v>651</v>
      </c>
      <c r="C466" s="21" t="s">
        <v>787</v>
      </c>
      <c r="D466" s="21" t="s">
        <v>587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88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592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/>
    </row>
    <row r="470" spans="1:12">
      <c r="A470" s="20" t="s">
        <v>869</v>
      </c>
    </row>
    <row r="471" spans="1:12">
      <c r="A471" s="20" t="s">
        <v>676</v>
      </c>
      <c r="B471" s="21" t="s">
        <v>578</v>
      </c>
      <c r="C471" s="21" t="s">
        <v>613</v>
      </c>
      <c r="D471" s="21" t="s">
        <v>587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870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871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688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637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872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583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616</v>
      </c>
      <c r="B478" s="21" t="s">
        <v>605</v>
      </c>
      <c r="C478" s="21" t="s">
        <v>602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583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873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649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583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677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874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592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/>
    </row>
    <row r="487" spans="1:12">
      <c r="A487" s="20" t="s">
        <v>875</v>
      </c>
    </row>
    <row r="488" spans="1:12">
      <c r="A488" s="20" t="s">
        <v>765</v>
      </c>
      <c r="B488" s="21" t="s">
        <v>578</v>
      </c>
      <c r="C488" s="21" t="s">
        <v>613</v>
      </c>
      <c r="D488" s="21" t="s">
        <v>587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876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877</v>
      </c>
      <c r="B490" s="21" t="s">
        <v>615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583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878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879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583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653</v>
      </c>
      <c r="B495" s="21" t="s">
        <v>590</v>
      </c>
      <c r="C495" s="21" t="s">
        <v>613</v>
      </c>
      <c r="D495" s="21" t="s">
        <v>587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880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583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733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881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630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882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583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759</v>
      </c>
      <c r="B503" s="21" t="s">
        <v>830</v>
      </c>
      <c r="C503" s="21" t="s">
        <v>602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653</v>
      </c>
      <c r="B504" s="21" t="s">
        <v>883</v>
      </c>
      <c r="C504" s="21" t="s">
        <v>613</v>
      </c>
      <c r="D504" s="21" t="s">
        <v>587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884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885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583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886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580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887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12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136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630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888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721</v>
      </c>
      <c r="B515" s="21" t="s">
        <v>585</v>
      </c>
      <c r="C515" s="21" t="s">
        <v>613</v>
      </c>
      <c r="D515" s="21" t="s">
        <v>587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592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/>
    </row>
    <row r="518" spans="1:12">
      <c r="A518" s="20" t="s">
        <v>889</v>
      </c>
    </row>
    <row r="519" spans="1:12">
      <c r="A519" s="20" t="s">
        <v>890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891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100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580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770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583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616</v>
      </c>
      <c r="B525" s="21" t="s">
        <v>892</v>
      </c>
      <c r="C525" s="21" t="s">
        <v>602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653</v>
      </c>
      <c r="B526" s="21" t="s">
        <v>605</v>
      </c>
      <c r="C526" s="21" t="s">
        <v>613</v>
      </c>
      <c r="D526" s="21" t="s">
        <v>587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893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894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895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583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810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895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583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774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653</v>
      </c>
      <c r="B535" s="21" t="s">
        <v>883</v>
      </c>
      <c r="C535" s="21" t="s">
        <v>613</v>
      </c>
      <c r="D535" s="21" t="s">
        <v>587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654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592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/>
    </row>
    <row r="539" spans="1:12">
      <c r="A539" s="20" t="s">
        <v>896</v>
      </c>
    </row>
    <row r="540" spans="1:12">
      <c r="A540" s="20" t="s">
        <v>897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898</v>
      </c>
      <c r="B541" s="21" t="s">
        <v>651</v>
      </c>
      <c r="C541" s="21" t="s">
        <v>586</v>
      </c>
      <c r="D541" s="21" t="s">
        <v>587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583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753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899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900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901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902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903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904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905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580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749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592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/>
    </row>
    <row r="555" spans="1:12">
      <c r="A555" s="20" t="s">
        <v>906</v>
      </c>
    </row>
    <row r="556" spans="1:12">
      <c r="A556" s="20" t="s">
        <v>706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907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908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909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910</v>
      </c>
      <c r="B560" s="21" t="s">
        <v>578</v>
      </c>
      <c r="C560" s="21" t="s">
        <v>709</v>
      </c>
      <c r="D560" s="21" t="s">
        <v>587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911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302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912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592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/>
    </row>
    <row r="566" spans="1:12">
      <c r="A566" s="20" t="s">
        <v>913</v>
      </c>
    </row>
    <row r="567" spans="1:12">
      <c r="A567" s="20" t="s">
        <v>914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915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597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916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917</v>
      </c>
      <c r="B571" s="21" t="s">
        <v>601</v>
      </c>
      <c r="C571" s="21" t="s">
        <v>646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918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580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919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920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583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921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922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583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136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923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580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749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592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/>
    </row>
    <row r="586" spans="1:12">
      <c r="A586" s="20" t="s">
        <v>924</v>
      </c>
    </row>
    <row r="587" spans="1:12">
      <c r="A587" s="20" t="s">
        <v>925</v>
      </c>
      <c r="B587" s="21" t="s">
        <v>578</v>
      </c>
      <c r="C587" s="21" t="s">
        <v>613</v>
      </c>
      <c r="D587" s="21" t="s">
        <v>587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596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926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580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749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592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/>
    </row>
    <row r="594" spans="1:12">
      <c r="A594" s="20" t="s">
        <v>927</v>
      </c>
    </row>
    <row r="595" spans="1:12">
      <c r="A595" s="20" t="s">
        <v>832</v>
      </c>
      <c r="B595" s="21" t="s">
        <v>578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655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656</v>
      </c>
      <c r="B597" s="21" t="s">
        <v>651</v>
      </c>
      <c r="C597" s="21" t="s">
        <v>586</v>
      </c>
      <c r="D597" s="21" t="s">
        <v>587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653</v>
      </c>
      <c r="B598" s="21" t="s">
        <v>651</v>
      </c>
      <c r="C598" s="21" t="s">
        <v>613</v>
      </c>
      <c r="D598" s="21" t="s">
        <v>587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592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/>
    </row>
    <row r="601" spans="1:12">
      <c r="A601" s="20" t="s">
        <v>928</v>
      </c>
    </row>
    <row r="602" spans="1:12">
      <c r="A602" s="20" t="s">
        <v>706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929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930</v>
      </c>
      <c r="B604" s="21" t="s">
        <v>578</v>
      </c>
      <c r="C604" s="21" t="s">
        <v>628</v>
      </c>
      <c r="D604" s="21" t="s">
        <v>587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931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583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369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932</v>
      </c>
      <c r="B608" s="21" t="s">
        <v>590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655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656</v>
      </c>
      <c r="B610" s="21" t="s">
        <v>590</v>
      </c>
      <c r="C610" s="21" t="s">
        <v>586</v>
      </c>
      <c r="D610" s="21" t="s">
        <v>587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933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934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592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/>
    </row>
    <row r="615" spans="1:12">
      <c r="A615" s="20" t="s">
        <v>935</v>
      </c>
    </row>
    <row r="616" spans="1:12">
      <c r="A616" s="20" t="s">
        <v>936</v>
      </c>
      <c r="B616" s="21" t="s">
        <v>578</v>
      </c>
      <c r="C616" s="21" t="s">
        <v>613</v>
      </c>
      <c r="D616" s="21" t="s">
        <v>587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778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937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583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369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653</v>
      </c>
      <c r="B621" s="21" t="s">
        <v>590</v>
      </c>
      <c r="C621" s="21" t="s">
        <v>613</v>
      </c>
      <c r="D621" s="21" t="s">
        <v>587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655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938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939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592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/>
    </row>
    <row r="627" spans="1:12">
      <c r="A627" s="20" t="s">
        <v>940</v>
      </c>
    </row>
    <row r="628" spans="1:12">
      <c r="A628" s="20" t="s">
        <v>765</v>
      </c>
      <c r="B628" s="21" t="s">
        <v>578</v>
      </c>
      <c r="C628" s="21" t="s">
        <v>613</v>
      </c>
      <c r="D628" s="21" t="s">
        <v>587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941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128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583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942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943</v>
      </c>
      <c r="B633" s="21" t="s">
        <v>585</v>
      </c>
      <c r="C633" s="21" t="s">
        <v>602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88</v>
      </c>
      <c r="B634" s="21" t="s">
        <v>590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944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945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592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/>
    </row>
    <row r="639" spans="1:12">
      <c r="A639" s="20" t="s">
        <v>946</v>
      </c>
    </row>
    <row r="640" spans="1:12">
      <c r="A640" s="20" t="s">
        <v>947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948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708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592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/>
    </row>
    <row r="645" spans="1:12">
      <c r="A645" s="20" t="s">
        <v>949</v>
      </c>
    </row>
    <row r="646" spans="1:12">
      <c r="A646" s="20" t="s">
        <v>751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950</v>
      </c>
      <c r="B647" s="21" t="s">
        <v>578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580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719</v>
      </c>
      <c r="B649" s="21" t="s">
        <v>651</v>
      </c>
      <c r="C649" s="21" t="s">
        <v>586</v>
      </c>
      <c r="D649" s="21" t="s">
        <v>587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583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369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942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721</v>
      </c>
      <c r="B653" s="21" t="s">
        <v>651</v>
      </c>
      <c r="C653" s="21" t="s">
        <v>613</v>
      </c>
      <c r="D653" s="21" t="s">
        <v>587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951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757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734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735</v>
      </c>
      <c r="B657" s="21" t="s">
        <v>590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583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952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885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953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583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617</v>
      </c>
      <c r="B663" s="21" t="s">
        <v>722</v>
      </c>
      <c r="C663" s="21" t="s">
        <v>586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954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619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955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621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583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732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733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956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957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583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958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583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959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583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960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779</v>
      </c>
      <c r="B679" s="21" t="s">
        <v>961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583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962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963</v>
      </c>
      <c r="B682" s="21" t="s">
        <v>964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617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885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953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592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/>
    </row>
    <row r="688" spans="1:12">
      <c r="A688" s="20" t="s">
        <v>965</v>
      </c>
    </row>
    <row r="689" spans="1:12">
      <c r="A689" s="20" t="s">
        <v>966</v>
      </c>
      <c r="B689" s="21" t="s">
        <v>578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822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583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963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630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967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583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759</v>
      </c>
      <c r="B696" s="21" t="s">
        <v>695</v>
      </c>
      <c r="C696" s="21" t="s">
        <v>602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685</v>
      </c>
      <c r="B697" s="21" t="s">
        <v>762</v>
      </c>
      <c r="C697" s="21" t="s">
        <v>613</v>
      </c>
      <c r="D697" s="21" t="s">
        <v>587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968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583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617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969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970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971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972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592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/>
    </row>
    <row r="707" spans="1:12">
      <c r="A707" s="20" t="s">
        <v>973</v>
      </c>
    </row>
    <row r="708" spans="1:12">
      <c r="A708" s="20" t="s">
        <v>662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716</v>
      </c>
      <c r="B709" s="21" t="s">
        <v>590</v>
      </c>
      <c r="C709" s="21" t="s">
        <v>613</v>
      </c>
      <c r="D709" s="21" t="s">
        <v>587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937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583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369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974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975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963</v>
      </c>
      <c r="B715" s="21" t="s">
        <v>762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976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953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583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962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909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977</v>
      </c>
      <c r="B721" s="21" t="s">
        <v>605</v>
      </c>
      <c r="C721" s="21" t="s">
        <v>709</v>
      </c>
      <c r="D721" s="21" t="s">
        <v>587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978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979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980</v>
      </c>
      <c r="B724" s="21" t="s">
        <v>892</v>
      </c>
      <c r="C724" s="21" t="s">
        <v>613</v>
      </c>
      <c r="D724" s="21" t="s">
        <v>587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580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981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583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980</v>
      </c>
      <c r="B728" s="21" t="s">
        <v>615</v>
      </c>
      <c r="C728" s="21" t="s">
        <v>613</v>
      </c>
      <c r="D728" s="21" t="s">
        <v>587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982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583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369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753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983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984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685</v>
      </c>
      <c r="B735" s="21" t="s">
        <v>590</v>
      </c>
      <c r="C735" s="21" t="s">
        <v>613</v>
      </c>
      <c r="D735" s="21" t="s">
        <v>587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985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656</v>
      </c>
      <c r="B737" s="21" t="s">
        <v>635</v>
      </c>
      <c r="C737" s="21" t="s">
        <v>586</v>
      </c>
      <c r="D737" s="21" t="s">
        <v>587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 t="s">
        <v>986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592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/>
    </row>
    <row r="741" spans="1:12">
      <c r="A741" s="20" t="s">
        <v>987</v>
      </c>
    </row>
    <row r="742" spans="1:12">
      <c r="A742" s="20" t="s">
        <v>988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989</v>
      </c>
      <c r="B743" s="21" t="s">
        <v>578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990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583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991</v>
      </c>
      <c r="E746" s="22">
        <f>IF(D746="?OLD","!!!","")</f>
        <v/>
      </c>
      <c r="F746" s="23" t="str">
        <f>IF(OR(E746="",E746="!!!"),"",IF(NOT(ISNA(VLOOKUP(E746,E$1:E745,1,FALSE()))),"OLD",IF(AND(E746&lt;&gt;"",E746&lt;&gt;"!!!"),"NEW","")))</f>
        <v> </v>
      </c>
      <c r="G746" s="24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5" t="str">
        <f>IF(J746&lt;&gt;1,"",IF(I746="SBJ","CB","?"))</f>
        <v> </v>
      </c>
      <c r="I746" s="26" t="str">
        <f>IF(OR(E746="",E746="!!!",F746="NEW"),"",INDEX(B745:B$2,-1+SUMPRODUCT(MAX(ROW(E745:E$2)*(E746=E745:E$2)))))</f>
        <v> </v>
      </c>
      <c r="J746" s="26" t="str">
        <f>IF(OR(E746="",E746="!!!",F746="NEW"),"",COUNTBLANK(OFFSET(A$1,,,SUMPRODUCT(MAX(ROW(E$2:E746)*(E746=E$2:E746)))))-COUNTBLANK(OFFSET(A$1,,,SUMPRODUCT(MAX(ROW(E$1:E745)*(E2=E$1:E745))))))</f>
        <v> </v>
      </c>
      <c r="K746" s="26" t="str">
        <f>IF(OR(E746="",E746="!!!",F746="NEW"),"",INDEX(J$1:J745,SUMPRODUCT(MAX(ROW(E$1:E745)*(E746=E$1:E745)))))</f>
        <v> </v>
      </c>
      <c r="L746" s="27"/>
    </row>
    <row r="747" spans="1:12">
      <c r="A747" s="20" t="s">
        <v>583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992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993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583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 t="s">
        <v>994</v>
      </c>
      <c r="E751" s="22">
        <f>IF(D751="?OLD","!!!","")</f>
        <v/>
      </c>
      <c r="F751" s="23" t="str">
        <f>IF(OR(E751="",E751="!!!"),"",IF(NOT(ISNA(VLOOKUP(E751,E$1:E750,1,FALSE()))),"OLD",IF(AND(E751&lt;&gt;"",E751&lt;&gt;"!!!"),"NEW","")))</f>
        <v> </v>
      </c>
      <c r="G751" s="24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5" t="str">
        <f>IF(J751&lt;&gt;1,"",IF(I751="SBJ","CB","?"))</f>
        <v> </v>
      </c>
      <c r="I751" s="26" t="str">
        <f>IF(OR(E751="",E751="!!!",F751="NEW"),"",INDEX(B750:B$2,-1+SUMPRODUCT(MAX(ROW(E750:E$2)*(E751=E750:E$2)))))</f>
        <v> </v>
      </c>
      <c r="J751" s="26" t="str">
        <f>IF(OR(E751="",E751="!!!",F751="NEW"),"",COUNTBLANK(OFFSET(A$1,,,SUMPRODUCT(MAX(ROW(E$2:E751)*(E751=E$2:E751)))))-COUNTBLANK(OFFSET(A$1,,,SUMPRODUCT(MAX(ROW(E$1:E750)*(E2=E$1:E750))))))</f>
        <v> </v>
      </c>
      <c r="K751" s="26" t="str">
        <f>IF(OR(E751="",E751="!!!",F751="NEW"),"",INDEX(J$1:J750,SUMPRODUCT(MAX(ROW(E$1:E750)*(E751=E$1:E750)))))</f>
        <v> </v>
      </c>
      <c r="L751" s="27"/>
    </row>
    <row r="752" spans="1:12">
      <c r="A752" s="20" t="s">
        <v>822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583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580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759</v>
      </c>
      <c r="B755" s="21" t="s">
        <v>627</v>
      </c>
      <c r="C755" s="21" t="s">
        <v>602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754</v>
      </c>
      <c r="B756" s="21" t="s">
        <v>784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985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 t="s">
        <v>995</v>
      </c>
      <c r="E758" s="22">
        <f>IF(D758="?OLD","!!!","")</f>
        <v/>
      </c>
      <c r="F758" s="23" t="str">
        <f>IF(OR(E758="",E758="!!!"),"",IF(NOT(ISNA(VLOOKUP(E758,E$1:E757,1,FALSE()))),"OLD",IF(AND(E758&lt;&gt;"",E758&lt;&gt;"!!!"),"NEW","")))</f>
        <v> </v>
      </c>
      <c r="G758" s="24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5" t="str">
        <f>IF(J758&lt;&gt;1,"",IF(I758="SBJ","CB","?"))</f>
        <v> </v>
      </c>
      <c r="I758" s="26" t="str">
        <f>IF(OR(E758="",E758="!!!",F758="NEW"),"",INDEX(B757:B$2,-1+SUMPRODUCT(MAX(ROW(E757:E$2)*(E758=E757:E$2)))))</f>
        <v> </v>
      </c>
      <c r="J758" s="26" t="str">
        <f>IF(OR(E758="",E758="!!!",F758="NEW"),"",COUNTBLANK(OFFSET(A$1,,,SUMPRODUCT(MAX(ROW(E$2:E758)*(E758=E$2:E758)))))-COUNTBLANK(OFFSET(A$1,,,SUMPRODUCT(MAX(ROW(E$1:E757)*(E2=E$1:E757))))))</f>
        <v> </v>
      </c>
      <c r="K758" s="26" t="str">
        <f>IF(OR(E758="",E758="!!!",F758="NEW"),"",INDEX(J$1:J757,SUMPRODUCT(MAX(ROW(E$1:E757)*(E758=E$1:E757)))))</f>
        <v> </v>
      </c>
      <c r="L758" s="27"/>
    </row>
    <row r="759" spans="1:12">
      <c r="A759" s="20" t="s">
        <v>996</v>
      </c>
      <c r="E759" s="22">
        <f>IF(D759="?OLD","!!!","")</f>
        <v/>
      </c>
      <c r="F759" s="23" t="str">
        <f>IF(OR(E759="",E759="!!!"),"",IF(NOT(ISNA(VLOOKUP(E759,E$1:E758,1,FALSE()))),"OLD",IF(AND(E759&lt;&gt;"",E759&lt;&gt;"!!!"),"NEW","")))</f>
        <v> </v>
      </c>
      <c r="G759" s="24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5" t="str">
        <f>IF(J759&lt;&gt;1,"",IF(I759="SBJ","CB","?"))</f>
        <v> </v>
      </c>
      <c r="I759" s="26" t="str">
        <f>IF(OR(E759="",E759="!!!",F759="NEW"),"",INDEX(B758:B$2,-1+SUMPRODUCT(MAX(ROW(E758:E$2)*(E759=E758:E$2)))))</f>
        <v> </v>
      </c>
      <c r="J759" s="26" t="str">
        <f>IF(OR(E759="",E759="!!!",F759="NEW"),"",COUNTBLANK(OFFSET(A$1,,,SUMPRODUCT(MAX(ROW(E$2:E759)*(E759=E$2:E759)))))-COUNTBLANK(OFFSET(A$1,,,SUMPRODUCT(MAX(ROW(E$1:E758)*(E2=E$1:E758))))))</f>
        <v> </v>
      </c>
      <c r="K759" s="26" t="str">
        <f>IF(OR(E759="",E759="!!!",F759="NEW"),"",INDEX(J$1:J758,SUMPRODUCT(MAX(ROW(E$1:E758)*(E759=E$1:E758)))))</f>
        <v> </v>
      </c>
      <c r="L759" s="27"/>
    </row>
    <row r="760" spans="1:12">
      <c r="A760" s="20" t="s">
        <v>630</v>
      </c>
      <c r="E760" s="22">
        <f>IF(D760="?OLD","!!!","")</f>
        <v/>
      </c>
      <c r="F760" s="23" t="str">
        <f>IF(OR(E760="",E760="!!!"),"",IF(NOT(ISNA(VLOOKUP(E760,E$1:E759,1,FALSE()))),"OLD",IF(AND(E760&lt;&gt;"",E760&lt;&gt;"!!!"),"NEW","")))</f>
        <v> </v>
      </c>
      <c r="G760" s="24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5" t="str">
        <f>IF(J760&lt;&gt;1,"",IF(I760="SBJ","CB","?"))</f>
        <v> </v>
      </c>
      <c r="I760" s="26" t="str">
        <f>IF(OR(E760="",E760="!!!",F760="NEW"),"",INDEX(B759:B$2,-1+SUMPRODUCT(MAX(ROW(E759:E$2)*(E760=E759:E$2)))))</f>
        <v> </v>
      </c>
      <c r="J760" s="26" t="str">
        <f>IF(OR(E760="",E760="!!!",F760="NEW"),"",COUNTBLANK(OFFSET(A$1,,,SUMPRODUCT(MAX(ROW(E$2:E760)*(E760=E$2:E760)))))-COUNTBLANK(OFFSET(A$1,,,SUMPRODUCT(MAX(ROW(E$1:E759)*(E2=E$1:E759))))))</f>
        <v> </v>
      </c>
      <c r="K760" s="26" t="str">
        <f>IF(OR(E760="",E760="!!!",F760="NEW"),"",INDEX(J$1:J759,SUMPRODUCT(MAX(ROW(E$1:E759)*(E760=E$1:E759)))))</f>
        <v> </v>
      </c>
      <c r="L760" s="27"/>
    </row>
    <row r="761" spans="1:12">
      <c r="A761" s="20" t="s">
        <v>997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 t="s">
        <v>998</v>
      </c>
      <c r="E762" s="22">
        <f>IF(D762="?OLD","!!!","")</f>
        <v/>
      </c>
      <c r="F762" s="23" t="str">
        <f>IF(OR(E762="",E762="!!!"),"",IF(NOT(ISNA(VLOOKUP(E762,E$1:E761,1,FALSE()))),"OLD",IF(AND(E762&lt;&gt;"",E762&lt;&gt;"!!!"),"NEW","")))</f>
        <v> </v>
      </c>
      <c r="G762" s="24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5" t="str">
        <f>IF(J762&lt;&gt;1,"",IF(I762="SBJ","CB","?"))</f>
        <v> </v>
      </c>
      <c r="I762" s="26" t="str">
        <f>IF(OR(E762="",E762="!!!",F762="NEW"),"",INDEX(B761:B$2,-1+SUMPRODUCT(MAX(ROW(E761:E$2)*(E762=E761:E$2)))))</f>
        <v> </v>
      </c>
      <c r="J762" s="26" t="str">
        <f>IF(OR(E762="",E762="!!!",F762="NEW"),"",COUNTBLANK(OFFSET(A$1,,,SUMPRODUCT(MAX(ROW(E$2:E762)*(E762=E$2:E762)))))-COUNTBLANK(OFFSET(A$1,,,SUMPRODUCT(MAX(ROW(E$1:E761)*(E2=E$1:E761))))))</f>
        <v> </v>
      </c>
      <c r="K762" s="26" t="str">
        <f>IF(OR(E762="",E762="!!!",F762="NEW"),"",INDEX(J$1:J761,SUMPRODUCT(MAX(ROW(E$1:E761)*(E762=E$1:E761)))))</f>
        <v> </v>
      </c>
      <c r="L762" s="27"/>
    </row>
    <row r="763" spans="1:12">
      <c r="A763" s="20" t="s">
        <v>583</v>
      </c>
      <c r="E763" s="22">
        <f>IF(D763="?OLD","!!!","")</f>
        <v/>
      </c>
      <c r="F763" s="23" t="str">
        <f>IF(OR(E763="",E763="!!!"),"",IF(NOT(ISNA(VLOOKUP(E763,E$1:E762,1,FALSE()))),"OLD",IF(AND(E763&lt;&gt;"",E763&lt;&gt;"!!!"),"NEW","")))</f>
        <v> </v>
      </c>
      <c r="G763" s="24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5" t="str">
        <f>IF(J763&lt;&gt;1,"",IF(I763="SBJ","CB","?"))</f>
        <v> </v>
      </c>
      <c r="I763" s="26" t="str">
        <f>IF(OR(E763="",E763="!!!",F763="NEW"),"",INDEX(B762:B$2,-1+SUMPRODUCT(MAX(ROW(E762:E$2)*(E763=E762:E$2)))))</f>
        <v> </v>
      </c>
      <c r="J763" s="26" t="str">
        <f>IF(OR(E763="",E763="!!!",F763="NEW"),"",COUNTBLANK(OFFSET(A$1,,,SUMPRODUCT(MAX(ROW(E$2:E763)*(E763=E$2:E763)))))-COUNTBLANK(OFFSET(A$1,,,SUMPRODUCT(MAX(ROW(E$1:E762)*(E2=E$1:E762))))))</f>
        <v> </v>
      </c>
      <c r="K763" s="26" t="str">
        <f>IF(OR(E763="",E763="!!!",F763="NEW"),"",INDEX(J$1:J762,SUMPRODUCT(MAX(ROW(E$1:E762)*(E763=E$1:E762)))))</f>
        <v> </v>
      </c>
      <c r="L763" s="27"/>
    </row>
    <row r="764" spans="1:12">
      <c r="A764" s="20" t="s">
        <v>999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1000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1001</v>
      </c>
      <c r="B766" s="21" t="s">
        <v>789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957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583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445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 t="s">
        <v>1002</v>
      </c>
      <c r="B770" s="21" t="s">
        <v>1003</v>
      </c>
      <c r="E770" s="22">
        <f>IF(D770="?OLD","!!!","")</f>
        <v/>
      </c>
      <c r="F770" s="23" t="str">
        <f>IF(OR(E770="",E770="!!!"),"",IF(NOT(ISNA(VLOOKUP(E770,E$1:E769,1,FALSE()))),"OLD",IF(AND(E770&lt;&gt;"",E770&lt;&gt;"!!!"),"NEW","")))</f>
        <v> </v>
      </c>
      <c r="G770" s="24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5" t="str">
        <f>IF(J770&lt;&gt;1,"",IF(I770="SBJ","CB","?"))</f>
        <v> </v>
      </c>
      <c r="I770" s="26" t="str">
        <f>IF(OR(E770="",E770="!!!",F770="NEW"),"",INDEX(B769:B$2,-1+SUMPRODUCT(MAX(ROW(E769:E$2)*(E770=E769:E$2)))))</f>
        <v> </v>
      </c>
      <c r="J770" s="26" t="str">
        <f>IF(OR(E770="",E770="!!!",F770="NEW"),"",COUNTBLANK(OFFSET(A$1,,,SUMPRODUCT(MAX(ROW(E$2:E770)*(E770=E$2:E770)))))-COUNTBLANK(OFFSET(A$1,,,SUMPRODUCT(MAX(ROW(E$1:E769)*(E2=E$1:E769))))))</f>
        <v> </v>
      </c>
      <c r="K770" s="26" t="str">
        <f>IF(OR(E770="",E770="!!!",F770="NEW"),"",INDEX(J$1:J769,SUMPRODUCT(MAX(ROW(E$1:E769)*(E770=E$1:E769)))))</f>
        <v> </v>
      </c>
      <c r="L770" s="27"/>
    </row>
    <row r="771" spans="1:12">
      <c r="A771" s="20" t="s">
        <v>583</v>
      </c>
      <c r="E771" s="22">
        <f>IF(D771="?OLD","!!!","")</f>
        <v/>
      </c>
      <c r="F771" s="23" t="str">
        <f>IF(OR(E771="",E771="!!!"),"",IF(NOT(ISNA(VLOOKUP(E771,E$1:E770,1,FALSE()))),"OLD",IF(AND(E771&lt;&gt;"",E771&lt;&gt;"!!!"),"NEW","")))</f>
        <v> </v>
      </c>
      <c r="G771" s="24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5" t="str">
        <f>IF(J771&lt;&gt;1,"",IF(I771="SBJ","CB","?"))</f>
        <v> </v>
      </c>
      <c r="I771" s="26" t="str">
        <f>IF(OR(E771="",E771="!!!",F771="NEW"),"",INDEX(B770:B$2,-1+SUMPRODUCT(MAX(ROW(E770:E$2)*(E771=E770:E$2)))))</f>
        <v> </v>
      </c>
      <c r="J771" s="26" t="str">
        <f>IF(OR(E771="",E771="!!!",F771="NEW"),"",COUNTBLANK(OFFSET(A$1,,,SUMPRODUCT(MAX(ROW(E$2:E771)*(E771=E$2:E771)))))-COUNTBLANK(OFFSET(A$1,,,SUMPRODUCT(MAX(ROW(E$1:E770)*(E2=E$1:E770))))))</f>
        <v> </v>
      </c>
      <c r="K771" s="26" t="str">
        <f>IF(OR(E771="",E771="!!!",F771="NEW"),"",INDEX(J$1:J770,SUMPRODUCT(MAX(ROW(E$1:E770)*(E771=E$1:E770)))))</f>
        <v> </v>
      </c>
      <c r="L771" s="27"/>
    </row>
    <row r="772" spans="1:12">
      <c r="A772" s="20" t="s">
        <v>1004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1005</v>
      </c>
      <c r="B773" s="21" t="s">
        <v>1003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1006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 t="s">
        <v>655</v>
      </c>
      <c r="E775" s="22">
        <f>IF(D775="?OLD","!!!","")</f>
        <v/>
      </c>
      <c r="F775" s="23" t="str">
        <f>IF(OR(E775="",E775="!!!"),"",IF(NOT(ISNA(VLOOKUP(E775,E$1:E774,1,FALSE()))),"OLD",IF(AND(E775&lt;&gt;"",E775&lt;&gt;"!!!"),"NEW","")))</f>
        <v> </v>
      </c>
      <c r="G775" s="24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5" t="str">
        <f>IF(J775&lt;&gt;1,"",IF(I775="SBJ","CB","?"))</f>
        <v> </v>
      </c>
      <c r="I775" s="26" t="str">
        <f>IF(OR(E775="",E775="!!!",F775="NEW"),"",INDEX(B774:B$2,-1+SUMPRODUCT(MAX(ROW(E774:E$2)*(E775=E774:E$2)))))</f>
        <v> </v>
      </c>
      <c r="J775" s="26" t="str">
        <f>IF(OR(E775="",E775="!!!",F775="NEW"),"",COUNTBLANK(OFFSET(A$1,,,SUMPRODUCT(MAX(ROW(E$2:E775)*(E775=E$2:E775)))))-COUNTBLANK(OFFSET(A$1,,,SUMPRODUCT(MAX(ROW(E$1:E774)*(E2=E$1:E774))))))</f>
        <v> </v>
      </c>
      <c r="K775" s="26" t="str">
        <f>IF(OR(E775="",E775="!!!",F775="NEW"),"",INDEX(J$1:J774,SUMPRODUCT(MAX(ROW(E$1:E774)*(E775=E$1:E774)))))</f>
        <v> </v>
      </c>
      <c r="L775" s="27"/>
    </row>
    <row r="776" spans="1:12">
      <c r="A776" s="20" t="s">
        <v>685</v>
      </c>
      <c r="B776" s="21" t="s">
        <v>964</v>
      </c>
      <c r="C776" s="21" t="s">
        <v>613</v>
      </c>
      <c r="D776" s="21" t="s">
        <v>587</v>
      </c>
      <c r="E776" s="22">
        <f>IF(D776="?OLD","!!!","")</f>
        <v/>
      </c>
      <c r="F776" s="23" t="str">
        <f>IF(OR(E776="",E776="!!!"),"",IF(NOT(ISNA(VLOOKUP(E776,E$1:E775,1,FALSE()))),"OLD",IF(AND(E776&lt;&gt;"",E776&lt;&gt;"!!!"),"NEW","")))</f>
        <v> </v>
      </c>
      <c r="G776" s="24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5" t="str">
        <f>IF(J776&lt;&gt;1,"",IF(I776="SBJ","CB","?"))</f>
        <v> </v>
      </c>
      <c r="I776" s="26" t="str">
        <f>IF(OR(E776="",E776="!!!",F776="NEW"),"",INDEX(B775:B$2,-1+SUMPRODUCT(MAX(ROW(E775:E$2)*(E776=E775:E$2)))))</f>
        <v> </v>
      </c>
      <c r="J776" s="26" t="str">
        <f>IF(OR(E776="",E776="!!!",F776="NEW"),"",COUNTBLANK(OFFSET(A$1,,,SUMPRODUCT(MAX(ROW(E$2:E776)*(E776=E$2:E776)))))-COUNTBLANK(OFFSET(A$1,,,SUMPRODUCT(MAX(ROW(E$1:E775)*(E2=E$1:E775))))))</f>
        <v> </v>
      </c>
      <c r="K776" s="26" t="str">
        <f>IF(OR(E776="",E776="!!!",F776="NEW"),"",INDEX(J$1:J775,SUMPRODUCT(MAX(ROW(E$1:E775)*(E776=E$1:E775)))))</f>
        <v> </v>
      </c>
      <c r="L776" s="27"/>
    </row>
    <row r="777" spans="1:12">
      <c r="A777" s="20" t="s">
        <v>1007</v>
      </c>
      <c r="E777" s="22">
        <f>IF(D777="?OLD","!!!","")</f>
        <v/>
      </c>
      <c r="F777" s="23" t="str">
        <f>IF(OR(E777="",E777="!!!"),"",IF(NOT(ISNA(VLOOKUP(E777,E$1:E776,1,FALSE()))),"OLD",IF(AND(E777&lt;&gt;"",E777&lt;&gt;"!!!"),"NEW","")))</f>
        <v> </v>
      </c>
      <c r="G777" s="24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5" t="str">
        <f>IF(J777&lt;&gt;1,"",IF(I777="SBJ","CB","?"))</f>
        <v> </v>
      </c>
      <c r="I777" s="26" t="str">
        <f>IF(OR(E777="",E777="!!!",F777="NEW"),"",INDEX(B776:B$2,-1+SUMPRODUCT(MAX(ROW(E776:E$2)*(E777=E776:E$2)))))</f>
        <v> </v>
      </c>
      <c r="J777" s="26" t="str">
        <f>IF(OR(E777="",E777="!!!",F777="NEW"),"",COUNTBLANK(OFFSET(A$1,,,SUMPRODUCT(MAX(ROW(E$2:E777)*(E777=E$2:E777)))))-COUNTBLANK(OFFSET(A$1,,,SUMPRODUCT(MAX(ROW(E$1:E776)*(E2=E$1:E776))))))</f>
        <v> </v>
      </c>
      <c r="K777" s="26" t="str">
        <f>IF(OR(E777="",E777="!!!",F777="NEW"),"",INDEX(J$1:J776,SUMPRODUCT(MAX(ROW(E$1:E776)*(E777=E$1:E776)))))</f>
        <v> </v>
      </c>
      <c r="L777" s="27"/>
    </row>
    <row r="778" spans="1:12">
      <c r="A778" s="20" t="s">
        <v>694</v>
      </c>
      <c r="E778" s="22">
        <f>IF(D778="?OLD","!!!","")</f>
        <v/>
      </c>
      <c r="F778" s="23" t="str">
        <f>IF(OR(E778="",E778="!!!"),"",IF(NOT(ISNA(VLOOKUP(E778,E$1:E777,1,FALSE()))),"OLD",IF(AND(E778&lt;&gt;"",E778&lt;&gt;"!!!"),"NEW","")))</f>
        <v> </v>
      </c>
      <c r="G778" s="24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5" t="str">
        <f>IF(J778&lt;&gt;1,"",IF(I778="SBJ","CB","?"))</f>
        <v> </v>
      </c>
      <c r="I778" s="26" t="str">
        <f>IF(OR(E778="",E778="!!!",F778="NEW"),"",INDEX(B777:B$2,-1+SUMPRODUCT(MAX(ROW(E777:E$2)*(E778=E777:E$2)))))</f>
        <v> </v>
      </c>
      <c r="J778" s="26" t="str">
        <f>IF(OR(E778="",E778="!!!",F778="NEW"),"",COUNTBLANK(OFFSET(A$1,,,SUMPRODUCT(MAX(ROW(E$2:E778)*(E778=E$2:E778)))))-COUNTBLANK(OFFSET(A$1,,,SUMPRODUCT(MAX(ROW(E$1:E777)*(E2=E$1:E777))))))</f>
        <v> </v>
      </c>
      <c r="K778" s="26" t="str">
        <f>IF(OR(E778="",E778="!!!",F778="NEW"),"",INDEX(J$1:J777,SUMPRODUCT(MAX(ROW(E$1:E777)*(E778=E$1:E777)))))</f>
        <v> </v>
      </c>
      <c r="L778" s="27"/>
    </row>
    <row r="779" spans="1:12">
      <c r="A779" s="20" t="s">
        <v>1008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1009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1010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1011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1005</v>
      </c>
      <c r="B783" s="21" t="s">
        <v>1012</v>
      </c>
      <c r="C783" s="21" t="s">
        <v>709</v>
      </c>
      <c r="D783" s="21" t="s">
        <v>587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 t="s">
        <v>583</v>
      </c>
      <c r="E784" s="22">
        <f>IF(D784="?OLD","!!!","")</f>
        <v/>
      </c>
      <c r="F784" s="23" t="str">
        <f>IF(OR(E784="",E784="!!!"),"",IF(NOT(ISNA(VLOOKUP(E784,E$1:E783,1,FALSE()))),"OLD",IF(AND(E784&lt;&gt;"",E784&lt;&gt;"!!!"),"NEW","")))</f>
        <v> </v>
      </c>
      <c r="G784" s="24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5" t="str">
        <f>IF(J784&lt;&gt;1,"",IF(I784="SBJ","CB","?"))</f>
        <v> </v>
      </c>
      <c r="I784" s="26" t="str">
        <f>IF(OR(E784="",E784="!!!",F784="NEW"),"",INDEX(B783:B$2,-1+SUMPRODUCT(MAX(ROW(E783:E$2)*(E784=E783:E$2)))))</f>
        <v> </v>
      </c>
      <c r="J784" s="26" t="str">
        <f>IF(OR(E784="",E784="!!!",F784="NEW"),"",COUNTBLANK(OFFSET(A$1,,,SUMPRODUCT(MAX(ROW(E$2:E784)*(E784=E$2:E784)))))-COUNTBLANK(OFFSET(A$1,,,SUMPRODUCT(MAX(ROW(E$1:E783)*(E2=E$1:E783))))))</f>
        <v> </v>
      </c>
      <c r="K784" s="26" t="str">
        <f>IF(OR(E784="",E784="!!!",F784="NEW"),"",INDEX(J$1:J783,SUMPRODUCT(MAX(ROW(E$1:E783)*(E784=E$1:E783)))))</f>
        <v> </v>
      </c>
      <c r="L784" s="27"/>
    </row>
    <row r="785" spans="1:12">
      <c r="A785" s="20" t="s">
        <v>619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1013</v>
      </c>
      <c r="B786" s="21" t="s">
        <v>1014</v>
      </c>
      <c r="C786" s="21" t="s">
        <v>602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 t="s">
        <v>653</v>
      </c>
      <c r="B787" s="21" t="s">
        <v>1015</v>
      </c>
      <c r="C787" s="21" t="s">
        <v>613</v>
      </c>
      <c r="D787" s="21" t="s">
        <v>587</v>
      </c>
      <c r="E787" s="22">
        <f>IF(D787="?OLD","!!!","")</f>
        <v/>
      </c>
      <c r="F787" s="23" t="str">
        <f>IF(OR(E787="",E787="!!!"),"",IF(NOT(ISNA(VLOOKUP(E787,E$1:E786,1,FALSE()))),"OLD",IF(AND(E787&lt;&gt;"",E787&lt;&gt;"!!!"),"NEW","")))</f>
        <v> </v>
      </c>
      <c r="G787" s="24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5" t="str">
        <f>IF(J787&lt;&gt;1,"",IF(I787="SBJ","CB","?"))</f>
        <v> </v>
      </c>
      <c r="I787" s="26" t="str">
        <f>IF(OR(E787="",E787="!!!",F787="NEW"),"",INDEX(B786:B$2,-1+SUMPRODUCT(MAX(ROW(E786:E$2)*(E787=E786:E$2)))))</f>
        <v> </v>
      </c>
      <c r="J787" s="26" t="str">
        <f>IF(OR(E787="",E787="!!!",F787="NEW"),"",COUNTBLANK(OFFSET(A$1,,,SUMPRODUCT(MAX(ROW(E$2:E787)*(E787=E$2:E787)))))-COUNTBLANK(OFFSET(A$1,,,SUMPRODUCT(MAX(ROW(E$1:E786)*(E2=E$1:E786))))))</f>
        <v> </v>
      </c>
      <c r="K787" s="26" t="str">
        <f>IF(OR(E787="",E787="!!!",F787="NEW"),"",INDEX(J$1:J786,SUMPRODUCT(MAX(ROW(E$1:E786)*(E787=E$1:E786)))))</f>
        <v> </v>
      </c>
      <c r="L787" s="27"/>
    </row>
    <row r="788" spans="1:12">
      <c r="A788" s="20" t="s">
        <v>667</v>
      </c>
      <c r="E788" s="22">
        <f>IF(D788="?OLD","!!!","")</f>
        <v/>
      </c>
      <c r="F788" s="23" t="str">
        <f>IF(OR(E788="",E788="!!!"),"",IF(NOT(ISNA(VLOOKUP(E788,E$1:E787,1,FALSE()))),"OLD",IF(AND(E788&lt;&gt;"",E788&lt;&gt;"!!!"),"NEW","")))</f>
        <v> </v>
      </c>
      <c r="G788" s="24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5" t="str">
        <f>IF(J788&lt;&gt;1,"",IF(I788="SBJ","CB","?"))</f>
        <v> </v>
      </c>
      <c r="I788" s="26" t="str">
        <f>IF(OR(E788="",E788="!!!",F788="NEW"),"",INDEX(B787:B$2,-1+SUMPRODUCT(MAX(ROW(E787:E$2)*(E788=E787:E$2)))))</f>
        <v> </v>
      </c>
      <c r="J788" s="26" t="str">
        <f>IF(OR(E788="",E788="!!!",F788="NEW"),"",COUNTBLANK(OFFSET(A$1,,,SUMPRODUCT(MAX(ROW(E$2:E788)*(E788=E$2:E788)))))-COUNTBLANK(OFFSET(A$1,,,SUMPRODUCT(MAX(ROW(E$1:E787)*(E2=E$1:E787))))))</f>
        <v> </v>
      </c>
      <c r="K788" s="26" t="str">
        <f>IF(OR(E788="",E788="!!!",F788="NEW"),"",INDEX(J$1:J787,SUMPRODUCT(MAX(ROW(E$1:E787)*(E788=E$1:E787)))))</f>
        <v> </v>
      </c>
      <c r="L788" s="27"/>
    </row>
    <row r="789" spans="1:12">
      <c r="A789" s="20" t="s">
        <v>592</v>
      </c>
      <c r="E789" s="22">
        <f>IF(D789="?OLD","!!!","")</f>
        <v/>
      </c>
      <c r="F789" s="23" t="str">
        <f>IF(OR(E789="",E789="!!!"),"",IF(NOT(ISNA(VLOOKUP(E789,E$1:E788,1,FALSE()))),"OLD",IF(AND(E789&lt;&gt;"",E789&lt;&gt;"!!!"),"NEW","")))</f>
        <v> </v>
      </c>
      <c r="G789" s="24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5" t="str">
        <f>IF(J789&lt;&gt;1,"",IF(I789="SBJ","CB","?"))</f>
        <v> </v>
      </c>
      <c r="I789" s="26" t="str">
        <f>IF(OR(E789="",E789="!!!",F789="NEW"),"",INDEX(B788:B$2,-1+SUMPRODUCT(MAX(ROW(E788:E$2)*(E789=E788:E$2)))))</f>
        <v> </v>
      </c>
      <c r="J789" s="26" t="str">
        <f>IF(OR(E789="",E789="!!!",F789="NEW"),"",COUNTBLANK(OFFSET(A$1,,,SUMPRODUCT(MAX(ROW(E$2:E789)*(E789=E$2:E789)))))-COUNTBLANK(OFFSET(A$1,,,SUMPRODUCT(MAX(ROW(E$1:E788)*(E2=E$1:E788))))))</f>
        <v> </v>
      </c>
      <c r="K789" s="26" t="str">
        <f>IF(OR(E789="",E789="!!!",F789="NEW"),"",INDEX(J$1:J788,SUMPRODUCT(MAX(ROW(E$1:E788)*(E789=E$1:E788)))))</f>
        <v> </v>
      </c>
      <c r="L789" s="27"/>
    </row>
    <row r="790" spans="1:12">
      <c r="A790" s="20"/>
    </row>
    <row r="791" spans="1:12">
      <c r="A791" s="20" t="s">
        <v>1016</v>
      </c>
    </row>
    <row r="792" spans="1:12">
      <c r="A792" s="20" t="s">
        <v>1017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1018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993</v>
      </c>
      <c r="B794" s="21" t="s">
        <v>651</v>
      </c>
      <c r="C794" s="21" t="s">
        <v>709</v>
      </c>
      <c r="D794" s="21" t="s">
        <v>587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1019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 t="s">
        <v>1020</v>
      </c>
      <c r="B796" s="21" t="s">
        <v>578</v>
      </c>
      <c r="E796" s="22">
        <f>IF(D796="?OLD","!!!","")</f>
        <v/>
      </c>
      <c r="F796" s="23" t="str">
        <f>IF(OR(E796="",E796="!!!"),"",IF(NOT(ISNA(VLOOKUP(E796,E$1:E795,1,FALSE()))),"OLD",IF(AND(E796&lt;&gt;"",E796&lt;&gt;"!!!"),"NEW","")))</f>
        <v> </v>
      </c>
      <c r="G796" s="24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5" t="str">
        <f>IF(J796&lt;&gt;1,"",IF(I796="SBJ","CB","?"))</f>
        <v> </v>
      </c>
      <c r="I796" s="26" t="str">
        <f>IF(OR(E796="",E796="!!!",F796="NEW"),"",INDEX(B795:B$2,-1+SUMPRODUCT(MAX(ROW(E795:E$2)*(E796=E795:E$2)))))</f>
        <v> </v>
      </c>
      <c r="J796" s="26" t="str">
        <f>IF(OR(E796="",E796="!!!",F796="NEW"),"",COUNTBLANK(OFFSET(A$1,,,SUMPRODUCT(MAX(ROW(E$2:E796)*(E796=E$2:E796)))))-COUNTBLANK(OFFSET(A$1,,,SUMPRODUCT(MAX(ROW(E$1:E795)*(E2=E$1:E795))))))</f>
        <v> </v>
      </c>
      <c r="K796" s="26" t="str">
        <f>IF(OR(E796="",E796="!!!",F796="NEW"),"",INDEX(J$1:J795,SUMPRODUCT(MAX(ROW(E$1:E795)*(E796=E$1:E795)))))</f>
        <v> </v>
      </c>
      <c r="L796" s="27"/>
    </row>
    <row r="797" spans="1:12">
      <c r="A797" s="20" t="s">
        <v>741</v>
      </c>
      <c r="E797" s="22">
        <f>IF(D797="?OLD","!!!","")</f>
        <v/>
      </c>
      <c r="F797" s="23" t="str">
        <f>IF(OR(E797="",E797="!!!"),"",IF(NOT(ISNA(VLOOKUP(E797,E$1:E796,1,FALSE()))),"OLD",IF(AND(E797&lt;&gt;"",E797&lt;&gt;"!!!"),"NEW","")))</f>
        <v> </v>
      </c>
      <c r="G797" s="24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5" t="str">
        <f>IF(J797&lt;&gt;1,"",IF(I797="SBJ","CB","?"))</f>
        <v> </v>
      </c>
      <c r="I797" s="26" t="str">
        <f>IF(OR(E797="",E797="!!!",F797="NEW"),"",INDEX(B796:B$2,-1+SUMPRODUCT(MAX(ROW(E796:E$2)*(E797=E796:E$2)))))</f>
        <v> </v>
      </c>
      <c r="J797" s="26" t="str">
        <f>IF(OR(E797="",E797="!!!",F797="NEW"),"",COUNTBLANK(OFFSET(A$1,,,SUMPRODUCT(MAX(ROW(E$2:E797)*(E797=E$2:E797)))))-COUNTBLANK(OFFSET(A$1,,,SUMPRODUCT(MAX(ROW(E$1:E796)*(E2=E$1:E796))))))</f>
        <v> </v>
      </c>
      <c r="K797" s="26" t="str">
        <f>IF(OR(E797="",E797="!!!",F797="NEW"),"",INDEX(J$1:J796,SUMPRODUCT(MAX(ROW(E$1:E796)*(E797=E$1:E796)))))</f>
        <v> </v>
      </c>
      <c r="L797" s="27"/>
    </row>
    <row r="798" spans="1:12">
      <c r="A798" s="20" t="s">
        <v>1021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 t="s">
        <v>655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 t="s">
        <v>1022</v>
      </c>
      <c r="E800" s="22">
        <f>IF(D800="?OLD","!!!","")</f>
        <v/>
      </c>
      <c r="F800" s="23" t="str">
        <f>IF(OR(E800="",E800="!!!"),"",IF(NOT(ISNA(VLOOKUP(E800,E$1:E799,1,FALSE()))),"OLD",IF(AND(E800&lt;&gt;"",E800&lt;&gt;"!!!"),"NEW","")))</f>
        <v> </v>
      </c>
      <c r="G800" s="24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5" t="str">
        <f>IF(J800&lt;&gt;1,"",IF(I800="SBJ","CB","?"))</f>
        <v> </v>
      </c>
      <c r="I800" s="26" t="str">
        <f>IF(OR(E800="",E800="!!!",F800="NEW"),"",INDEX(B799:B$2,-1+SUMPRODUCT(MAX(ROW(E799:E$2)*(E800=E799:E$2)))))</f>
        <v> </v>
      </c>
      <c r="J800" s="26" t="str">
        <f>IF(OR(E800="",E800="!!!",F800="NEW"),"",COUNTBLANK(OFFSET(A$1,,,SUMPRODUCT(MAX(ROW(E$2:E800)*(E800=E$2:E800)))))-COUNTBLANK(OFFSET(A$1,,,SUMPRODUCT(MAX(ROW(E$1:E799)*(E2=E$1:E799))))))</f>
        <v> </v>
      </c>
      <c r="K800" s="26" t="str">
        <f>IF(OR(E800="",E800="!!!",F800="NEW"),"",INDEX(J$1:J799,SUMPRODUCT(MAX(ROW(E$1:E799)*(E800=E$1:E799)))))</f>
        <v> </v>
      </c>
      <c r="L800" s="27"/>
    </row>
    <row r="801" spans="1:12">
      <c r="A801" s="20" t="s">
        <v>754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630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 t="s">
        <v>1023</v>
      </c>
      <c r="E803" s="22">
        <f>IF(D803="?OLD","!!!","")</f>
        <v/>
      </c>
      <c r="F803" s="23" t="str">
        <f>IF(OR(E803="",E803="!!!"),"",IF(NOT(ISNA(VLOOKUP(E803,E$1:E802,1,FALSE()))),"OLD",IF(AND(E803&lt;&gt;"",E803&lt;&gt;"!!!"),"NEW","")))</f>
        <v> </v>
      </c>
      <c r="G803" s="24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5" t="str">
        <f>IF(J803&lt;&gt;1,"",IF(I803="SBJ","CB","?"))</f>
        <v> </v>
      </c>
      <c r="I803" s="26" t="str">
        <f>IF(OR(E803="",E803="!!!",F803="NEW"),"",INDEX(B802:B$2,-1+SUMPRODUCT(MAX(ROW(E802:E$2)*(E803=E802:E$2)))))</f>
        <v> </v>
      </c>
      <c r="J803" s="26" t="str">
        <f>IF(OR(E803="",E803="!!!",F803="NEW"),"",COUNTBLANK(OFFSET(A$1,,,SUMPRODUCT(MAX(ROW(E$2:E803)*(E803=E$2:E803)))))-COUNTBLANK(OFFSET(A$1,,,SUMPRODUCT(MAX(ROW(E$1:E802)*(E2=E$1:E802))))))</f>
        <v> </v>
      </c>
      <c r="K803" s="26" t="str">
        <f>IF(OR(E803="",E803="!!!",F803="NEW"),"",INDEX(J$1:J802,SUMPRODUCT(MAX(ROW(E$1:E802)*(E803=E$1:E802)))))</f>
        <v> </v>
      </c>
      <c r="L803" s="27"/>
    </row>
    <row r="804" spans="1:12">
      <c r="A804" s="20" t="s">
        <v>1024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 t="s">
        <v>583</v>
      </c>
      <c r="E805" s="22">
        <f>IF(D805="?OLD","!!!","")</f>
        <v/>
      </c>
      <c r="F805" s="23" t="str">
        <f>IF(OR(E805="",E805="!!!"),"",IF(NOT(ISNA(VLOOKUP(E805,E$1:E804,1,FALSE()))),"OLD",IF(AND(E805&lt;&gt;"",E805&lt;&gt;"!!!"),"NEW","")))</f>
        <v> </v>
      </c>
      <c r="G805" s="24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5" t="str">
        <f>IF(J805&lt;&gt;1,"",IF(I805="SBJ","CB","?"))</f>
        <v> </v>
      </c>
      <c r="I805" s="26" t="str">
        <f>IF(OR(E805="",E805="!!!",F805="NEW"),"",INDEX(B804:B$2,-1+SUMPRODUCT(MAX(ROW(E804:E$2)*(E805=E804:E$2)))))</f>
        <v> </v>
      </c>
      <c r="J805" s="26" t="str">
        <f>IF(OR(E805="",E805="!!!",F805="NEW"),"",COUNTBLANK(OFFSET(A$1,,,SUMPRODUCT(MAX(ROW(E$2:E805)*(E805=E$2:E805)))))-COUNTBLANK(OFFSET(A$1,,,SUMPRODUCT(MAX(ROW(E$1:E804)*(E2=E$1:E804))))))</f>
        <v> </v>
      </c>
      <c r="K805" s="26" t="str">
        <f>IF(OR(E805="",E805="!!!",F805="NEW"),"",INDEX(J$1:J804,SUMPRODUCT(MAX(ROW(E$1:E804)*(E805=E$1:E804)))))</f>
        <v> </v>
      </c>
      <c r="L805" s="27"/>
    </row>
    <row r="806" spans="1:12">
      <c r="A806" s="20" t="s">
        <v>1025</v>
      </c>
      <c r="B806" s="21" t="s">
        <v>722</v>
      </c>
      <c r="C806" s="21" t="s">
        <v>628</v>
      </c>
      <c r="D806" s="21" t="s">
        <v>587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655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 t="s">
        <v>1026</v>
      </c>
      <c r="E808" s="22">
        <f>IF(D808="?OLD","!!!","")</f>
        <v/>
      </c>
      <c r="F808" s="23" t="str">
        <f>IF(OR(E808="",E808="!!!"),"",IF(NOT(ISNA(VLOOKUP(E808,E$1:E807,1,FALSE()))),"OLD",IF(AND(E808&lt;&gt;"",E808&lt;&gt;"!!!"),"NEW","")))</f>
        <v> </v>
      </c>
      <c r="G808" s="24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5" t="str">
        <f>IF(J808&lt;&gt;1,"",IF(I808="SBJ","CB","?"))</f>
        <v> </v>
      </c>
      <c r="I808" s="26" t="str">
        <f>IF(OR(E808="",E808="!!!",F808="NEW"),"",INDEX(B807:B$2,-1+SUMPRODUCT(MAX(ROW(E807:E$2)*(E808=E807:E$2)))))</f>
        <v> </v>
      </c>
      <c r="J808" s="26" t="str">
        <f>IF(OR(E808="",E808="!!!",F808="NEW"),"",COUNTBLANK(OFFSET(A$1,,,SUMPRODUCT(MAX(ROW(E$2:E808)*(E808=E$2:E808)))))-COUNTBLANK(OFFSET(A$1,,,SUMPRODUCT(MAX(ROW(E$1:E807)*(E2=E$1:E807))))))</f>
        <v> </v>
      </c>
      <c r="K808" s="26" t="str">
        <f>IF(OR(E808="",E808="!!!",F808="NEW"),"",INDEX(J$1:J807,SUMPRODUCT(MAX(ROW(E$1:E807)*(E808=E$1:E807)))))</f>
        <v> </v>
      </c>
      <c r="L808" s="27"/>
    </row>
    <row r="809" spans="1:12">
      <c r="A809" s="20" t="s">
        <v>1027</v>
      </c>
      <c r="E809" s="22">
        <f>IF(D809="?OLD","!!!","")</f>
        <v/>
      </c>
      <c r="F809" s="23" t="str">
        <f>IF(OR(E809="",E809="!!!"),"",IF(NOT(ISNA(VLOOKUP(E809,E$1:E808,1,FALSE()))),"OLD",IF(AND(E809&lt;&gt;"",E809&lt;&gt;"!!!"),"NEW","")))</f>
        <v> </v>
      </c>
      <c r="G809" s="24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5" t="str">
        <f>IF(J809&lt;&gt;1,"",IF(I809="SBJ","CB","?"))</f>
        <v> </v>
      </c>
      <c r="I809" s="26" t="str">
        <f>IF(OR(E809="",E809="!!!",F809="NEW"),"",INDEX(B808:B$2,-1+SUMPRODUCT(MAX(ROW(E808:E$2)*(E809=E808:E$2)))))</f>
        <v> </v>
      </c>
      <c r="J809" s="26" t="str">
        <f>IF(OR(E809="",E809="!!!",F809="NEW"),"",COUNTBLANK(OFFSET(A$1,,,SUMPRODUCT(MAX(ROW(E$2:E809)*(E809=E$2:E809)))))-COUNTBLANK(OFFSET(A$1,,,SUMPRODUCT(MAX(ROW(E$1:E808)*(E2=E$1:E808))))))</f>
        <v> </v>
      </c>
      <c r="K809" s="26" t="str">
        <f>IF(OR(E809="",E809="!!!",F809="NEW"),"",INDEX(J$1:J808,SUMPRODUCT(MAX(ROW(E$1:E808)*(E809=E$1:E808)))))</f>
        <v> </v>
      </c>
      <c r="L809" s="27"/>
    </row>
    <row r="810" spans="1:12">
      <c r="A810" s="20" t="s">
        <v>873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1028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 t="s">
        <v>1029</v>
      </c>
      <c r="E812" s="22">
        <f>IF(D812="?OLD","!!!","")</f>
        <v/>
      </c>
      <c r="F812" s="23" t="str">
        <f>IF(OR(E812="",E812="!!!"),"",IF(NOT(ISNA(VLOOKUP(E812,E$1:E811,1,FALSE()))),"OLD",IF(AND(E812&lt;&gt;"",E812&lt;&gt;"!!!"),"NEW","")))</f>
        <v> </v>
      </c>
      <c r="G812" s="24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5" t="str">
        <f>IF(J812&lt;&gt;1,"",IF(I812="SBJ","CB","?"))</f>
        <v> </v>
      </c>
      <c r="I812" s="26" t="str">
        <f>IF(OR(E812="",E812="!!!",F812="NEW"),"",INDEX(B811:B$2,-1+SUMPRODUCT(MAX(ROW(E811:E$2)*(E812=E811:E$2)))))</f>
        <v> </v>
      </c>
      <c r="J812" s="26" t="str">
        <f>IF(OR(E812="",E812="!!!",F812="NEW"),"",COUNTBLANK(OFFSET(A$1,,,SUMPRODUCT(MAX(ROW(E$2:E812)*(E812=E$2:E812)))))-COUNTBLANK(OFFSET(A$1,,,SUMPRODUCT(MAX(ROW(E$1:E811)*(E2=E$1:E811))))))</f>
        <v> </v>
      </c>
      <c r="K812" s="26" t="str">
        <f>IF(OR(E812="",E812="!!!",F812="NEW"),"",INDEX(J$1:J811,SUMPRODUCT(MAX(ROW(E$1:E811)*(E812=E$1:E811)))))</f>
        <v> </v>
      </c>
      <c r="L812" s="27"/>
    </row>
    <row r="813" spans="1:12">
      <c r="A813" s="20" t="s">
        <v>1030</v>
      </c>
      <c r="E813" s="22">
        <f>IF(D813="?OLD","!!!","")</f>
        <v/>
      </c>
      <c r="F813" s="23" t="str">
        <f>IF(OR(E813="",E813="!!!"),"",IF(NOT(ISNA(VLOOKUP(E813,E$1:E812,1,FALSE()))),"OLD",IF(AND(E813&lt;&gt;"",E813&lt;&gt;"!!!"),"NEW","")))</f>
        <v> </v>
      </c>
      <c r="G813" s="24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5" t="str">
        <f>IF(J813&lt;&gt;1,"",IF(I813="SBJ","CB","?"))</f>
        <v> </v>
      </c>
      <c r="I813" s="26" t="str">
        <f>IF(OR(E813="",E813="!!!",F813="NEW"),"",INDEX(B812:B$2,-1+SUMPRODUCT(MAX(ROW(E812:E$2)*(E813=E812:E$2)))))</f>
        <v> </v>
      </c>
      <c r="J813" s="26" t="str">
        <f>IF(OR(E813="",E813="!!!",F813="NEW"),"",COUNTBLANK(OFFSET(A$1,,,SUMPRODUCT(MAX(ROW(E$2:E813)*(E813=E$2:E813)))))-COUNTBLANK(OFFSET(A$1,,,SUMPRODUCT(MAX(ROW(E$1:E812)*(E2=E$1:E812))))))</f>
        <v> </v>
      </c>
      <c r="K813" s="26" t="str">
        <f>IF(OR(E813="",E813="!!!",F813="NEW"),"",INDEX(J$1:J812,SUMPRODUCT(MAX(ROW(E$1:E812)*(E813=E$1:E812)))))</f>
        <v> </v>
      </c>
      <c r="L813" s="27"/>
    </row>
    <row r="814" spans="1:12">
      <c r="A814" s="20" t="s">
        <v>592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/>
    </row>
    <row r="816" spans="1:12">
      <c r="A816" s="20" t="s">
        <v>1031</v>
      </c>
    </row>
    <row r="817" spans="1:12">
      <c r="A817" s="20" t="s">
        <v>1032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1033</v>
      </c>
      <c r="B818" s="21" t="s">
        <v>578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1034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 t="s">
        <v>741</v>
      </c>
      <c r="E820" s="22">
        <f>IF(D820="?OLD","!!!","")</f>
        <v/>
      </c>
      <c r="F820" s="23" t="str">
        <f>IF(OR(E820="",E820="!!!"),"",IF(NOT(ISNA(VLOOKUP(E820,E$1:E819,1,FALSE()))),"OLD",IF(AND(E820&lt;&gt;"",E820&lt;&gt;"!!!"),"NEW","")))</f>
        <v> </v>
      </c>
      <c r="G820" s="24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5" t="str">
        <f>IF(J820&lt;&gt;1,"",IF(I820="SBJ","CB","?"))</f>
        <v> </v>
      </c>
      <c r="I820" s="26" t="str">
        <f>IF(OR(E820="",E820="!!!",F820="NEW"),"",INDEX(B819:B$2,-1+SUMPRODUCT(MAX(ROW(E819:E$2)*(E820=E819:E$2)))))</f>
        <v> </v>
      </c>
      <c r="J820" s="26" t="str">
        <f>IF(OR(E820="",E820="!!!",F820="NEW"),"",COUNTBLANK(OFFSET(A$1,,,SUMPRODUCT(MAX(ROW(E$2:E820)*(E820=E$2:E820)))))-COUNTBLANK(OFFSET(A$1,,,SUMPRODUCT(MAX(ROW(E$1:E819)*(E2=E$1:E819))))))</f>
        <v> </v>
      </c>
      <c r="K820" s="26" t="str">
        <f>IF(OR(E820="",E820="!!!",F820="NEW"),"",INDEX(J$1:J819,SUMPRODUCT(MAX(ROW(E$1:E819)*(E820=E$1:E819)))))</f>
        <v> </v>
      </c>
      <c r="L820" s="27"/>
    </row>
    <row r="821" spans="1:12">
      <c r="A821" s="20"/>
    </row>
    <row r="822" spans="1:12">
      <c r="A822" s="20" t="s">
        <v>1035</v>
      </c>
    </row>
    <row r="823" spans="1:12">
      <c r="A823" s="20" t="s">
        <v>1036</v>
      </c>
      <c r="E823" s="22">
        <f>IF(D823="?OLD","!!!","")</f>
        <v/>
      </c>
      <c r="F823" s="23" t="str">
        <f>IF(OR(E823="",E823="!!!"),"",IF(NOT(ISNA(VLOOKUP(E823,E$1:E822,1,FALSE()))),"OLD",IF(AND(E823&lt;&gt;"",E823&lt;&gt;"!!!"),"NEW","")))</f>
        <v> </v>
      </c>
      <c r="G823" s="24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5" t="str">
        <f>IF(J823&lt;&gt;1,"",IF(I823="SBJ","CB","?"))</f>
        <v> </v>
      </c>
      <c r="I823" s="26" t="str">
        <f>IF(OR(E823="",E823="!!!",F823="NEW"),"",INDEX(B822:B$2,-1+SUMPRODUCT(MAX(ROW(E822:E$2)*(E823=E822:E$2)))))</f>
        <v> </v>
      </c>
      <c r="J823" s="26" t="str">
        <f>IF(OR(E823="",E823="!!!",F823="NEW"),"",COUNTBLANK(OFFSET(A$1,,,SUMPRODUCT(MAX(ROW(E$2:E823)*(E823=E$2:E823)))))-COUNTBLANK(OFFSET(A$1,,,SUMPRODUCT(MAX(ROW(E$1:E822)*(E2=E$1:E822))))))</f>
        <v> </v>
      </c>
      <c r="K823" s="26" t="str">
        <f>IF(OR(E823="",E823="!!!",F823="NEW"),"",INDEX(J$1:J822,SUMPRODUCT(MAX(ROW(E$1:E822)*(E823=E$1:E822)))))</f>
        <v> </v>
      </c>
      <c r="L823" s="27"/>
    </row>
    <row r="824" spans="1:12">
      <c r="A824" s="20" t="s">
        <v>822</v>
      </c>
      <c r="E824" s="22">
        <f>IF(D824="?OLD","!!!","")</f>
        <v/>
      </c>
      <c r="F824" s="23" t="str">
        <f>IF(OR(E824="",E824="!!!"),"",IF(NOT(ISNA(VLOOKUP(E824,E$1:E823,1,FALSE()))),"OLD",IF(AND(E824&lt;&gt;"",E824&lt;&gt;"!!!"),"NEW","")))</f>
        <v> </v>
      </c>
      <c r="G824" s="24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5" t="str">
        <f>IF(J824&lt;&gt;1,"",IF(I824="SBJ","CB","?"))</f>
        <v> </v>
      </c>
      <c r="I824" s="26" t="str">
        <f>IF(OR(E824="",E824="!!!",F824="NEW"),"",INDEX(B823:B$2,-1+SUMPRODUCT(MAX(ROW(E823:E$2)*(E824=E823:E$2)))))</f>
        <v> </v>
      </c>
      <c r="J824" s="26" t="str">
        <f>IF(OR(E824="",E824="!!!",F824="NEW"),"",COUNTBLANK(OFFSET(A$1,,,SUMPRODUCT(MAX(ROW(E$2:E824)*(E824=E$2:E824)))))-COUNTBLANK(OFFSET(A$1,,,SUMPRODUCT(MAX(ROW(E$1:E823)*(E2=E$1:E823))))))</f>
        <v> </v>
      </c>
      <c r="K824" s="26" t="str">
        <f>IF(OR(E824="",E824="!!!",F824="NEW"),"",INDEX(J$1:J823,SUMPRODUCT(MAX(ROW(E$1:E823)*(E824=E$1:E823)))))</f>
        <v> </v>
      </c>
      <c r="L824" s="27"/>
    </row>
    <row r="825" spans="1:12">
      <c r="A825" s="20" t="s">
        <v>580</v>
      </c>
      <c r="E825" s="22">
        <f>IF(D825="?OLD","!!!","")</f>
        <v/>
      </c>
      <c r="F825" s="23" t="str">
        <f>IF(OR(E825="",E825="!!!"),"",IF(NOT(ISNA(VLOOKUP(E825,E$1:E824,1,FALSE()))),"OLD",IF(AND(E825&lt;&gt;"",E825&lt;&gt;"!!!"),"NEW","")))</f>
        <v> </v>
      </c>
      <c r="G825" s="24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5" t="str">
        <f>IF(J825&lt;&gt;1,"",IF(I825="SBJ","CB","?"))</f>
        <v> </v>
      </c>
      <c r="I825" s="26" t="str">
        <f>IF(OR(E825="",E825="!!!",F825="NEW"),"",INDEX(B824:B$2,-1+SUMPRODUCT(MAX(ROW(E824:E$2)*(E825=E824:E$2)))))</f>
        <v> </v>
      </c>
      <c r="J825" s="26" t="str">
        <f>IF(OR(E825="",E825="!!!",F825="NEW"),"",COUNTBLANK(OFFSET(A$1,,,SUMPRODUCT(MAX(ROW(E$2:E825)*(E825=E$2:E825)))))-COUNTBLANK(OFFSET(A$1,,,SUMPRODUCT(MAX(ROW(E$1:E824)*(E2=E$1:E824))))))</f>
        <v> </v>
      </c>
      <c r="K825" s="26" t="str">
        <f>IF(OR(E825="",E825="!!!",F825="NEW"),"",INDEX(J$1:J824,SUMPRODUCT(MAX(ROW(E$1:E824)*(E825=E$1:E824)))))</f>
        <v> </v>
      </c>
      <c r="L825" s="27"/>
    </row>
    <row r="826" spans="1:12">
      <c r="A826" s="20" t="s">
        <v>1037</v>
      </c>
      <c r="B826" s="21" t="s">
        <v>585</v>
      </c>
      <c r="C826" s="21" t="s">
        <v>628</v>
      </c>
      <c r="D826" s="21" t="s">
        <v>587</v>
      </c>
      <c r="E826" s="22">
        <f>IF(D826="?OLD","!!!","")</f>
        <v/>
      </c>
      <c r="F826" s="23" t="str">
        <f>IF(OR(E826="",E826="!!!"),"",IF(NOT(ISNA(VLOOKUP(E826,E$1:E825,1,FALSE()))),"OLD",IF(AND(E826&lt;&gt;"",E826&lt;&gt;"!!!"),"NEW","")))</f>
        <v> </v>
      </c>
      <c r="G826" s="24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5" t="str">
        <f>IF(J826&lt;&gt;1,"",IF(I826="SBJ","CB","?"))</f>
        <v> </v>
      </c>
      <c r="I826" s="26" t="str">
        <f>IF(OR(E826="",E826="!!!",F826="NEW"),"",INDEX(B825:B$2,-1+SUMPRODUCT(MAX(ROW(E825:E$2)*(E826=E825:E$2)))))</f>
        <v> </v>
      </c>
      <c r="J826" s="26" t="str">
        <f>IF(OR(E826="",E826="!!!",F826="NEW"),"",COUNTBLANK(OFFSET(A$1,,,SUMPRODUCT(MAX(ROW(E$2:E826)*(E826=E$2:E826)))))-COUNTBLANK(OFFSET(A$1,,,SUMPRODUCT(MAX(ROW(E$1:E825)*(E2=E$1:E825))))))</f>
        <v> </v>
      </c>
      <c r="K826" s="26" t="str">
        <f>IF(OR(E826="",E826="!!!",F826="NEW"),"",INDEX(J$1:J825,SUMPRODUCT(MAX(ROW(E$1:E825)*(E826=E$1:E825)))))</f>
        <v> </v>
      </c>
      <c r="L826" s="27"/>
    </row>
    <row r="827" spans="1:12">
      <c r="A827" s="20" t="s">
        <v>583</v>
      </c>
      <c r="E827" s="22">
        <f>IF(D827="?OLD","!!!","")</f>
        <v/>
      </c>
      <c r="F827" s="23" t="str">
        <f>IF(OR(E827="",E827="!!!"),"",IF(NOT(ISNA(VLOOKUP(E827,E$1:E826,1,FALSE()))),"OLD",IF(AND(E827&lt;&gt;"",E827&lt;&gt;"!!!"),"NEW","")))</f>
        <v> </v>
      </c>
      <c r="G827" s="24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5" t="str">
        <f>IF(J827&lt;&gt;1,"",IF(I827="SBJ","CB","?"))</f>
        <v> </v>
      </c>
      <c r="I827" s="26" t="str">
        <f>IF(OR(E827="",E827="!!!",F827="NEW"),"",INDEX(B826:B$2,-1+SUMPRODUCT(MAX(ROW(E826:E$2)*(E827=E826:E$2)))))</f>
        <v> </v>
      </c>
      <c r="J827" s="26" t="str">
        <f>IF(OR(E827="",E827="!!!",F827="NEW"),"",COUNTBLANK(OFFSET(A$1,,,SUMPRODUCT(MAX(ROW(E$2:E827)*(E827=E$2:E827)))))-COUNTBLANK(OFFSET(A$1,,,SUMPRODUCT(MAX(ROW(E$1:E826)*(E2=E$1:E826))))))</f>
        <v> </v>
      </c>
      <c r="K827" s="26" t="str">
        <f>IF(OR(E827="",E827="!!!",F827="NEW"),"",INDEX(J$1:J826,SUMPRODUCT(MAX(ROW(E$1:E826)*(E827=E$1:E826)))))</f>
        <v> </v>
      </c>
      <c r="L827" s="27"/>
    </row>
    <row r="828" spans="1:12">
      <c r="A828" s="20" t="s">
        <v>1038</v>
      </c>
      <c r="E828" s="22">
        <f>IF(D828="?OLD","!!!","")</f>
        <v/>
      </c>
      <c r="F828" s="23" t="str">
        <f>IF(OR(E828="",E828="!!!"),"",IF(NOT(ISNA(VLOOKUP(E828,E$1:E827,1,FALSE()))),"OLD",IF(AND(E828&lt;&gt;"",E828&lt;&gt;"!!!"),"NEW","")))</f>
        <v> </v>
      </c>
      <c r="G828" s="24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5" t="str">
        <f>IF(J828&lt;&gt;1,"",IF(I828="SBJ","CB","?"))</f>
        <v> </v>
      </c>
      <c r="I828" s="26" t="str">
        <f>IF(OR(E828="",E828="!!!",F828="NEW"),"",INDEX(B827:B$2,-1+SUMPRODUCT(MAX(ROW(E827:E$2)*(E828=E827:E$2)))))</f>
        <v> </v>
      </c>
      <c r="J828" s="26" t="str">
        <f>IF(OR(E828="",E828="!!!",F828="NEW"),"",COUNTBLANK(OFFSET(A$1,,,SUMPRODUCT(MAX(ROW(E$2:E828)*(E828=E$2:E828)))))-COUNTBLANK(OFFSET(A$1,,,SUMPRODUCT(MAX(ROW(E$1:E827)*(E2=E$1:E827))))))</f>
        <v> </v>
      </c>
      <c r="K828" s="26" t="str">
        <f>IF(OR(E828="",E828="!!!",F828="NEW"),"",INDEX(J$1:J827,SUMPRODUCT(MAX(ROW(E$1:E827)*(E828=E$1:E827)))))</f>
        <v> </v>
      </c>
      <c r="L828" s="27"/>
    </row>
    <row r="829" spans="1:12">
      <c r="A829" s="20" t="s">
        <v>1039</v>
      </c>
      <c r="E829" s="22">
        <f>IF(D829="?OLD","!!!","")</f>
        <v/>
      </c>
      <c r="F829" s="23" t="str">
        <f>IF(OR(E829="",E829="!!!"),"",IF(NOT(ISNA(VLOOKUP(E829,E$1:E828,1,FALSE()))),"OLD",IF(AND(E829&lt;&gt;"",E829&lt;&gt;"!!!"),"NEW","")))</f>
        <v> </v>
      </c>
      <c r="G829" s="24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5" t="str">
        <f>IF(J829&lt;&gt;1,"",IF(I829="SBJ","CB","?"))</f>
        <v> </v>
      </c>
      <c r="I829" s="26" t="str">
        <f>IF(OR(E829="",E829="!!!",F829="NEW"),"",INDEX(B828:B$2,-1+SUMPRODUCT(MAX(ROW(E828:E$2)*(E829=E828:E$2)))))</f>
        <v> </v>
      </c>
      <c r="J829" s="26" t="str">
        <f>IF(OR(E829="",E829="!!!",F829="NEW"),"",COUNTBLANK(OFFSET(A$1,,,SUMPRODUCT(MAX(ROW(E$2:E829)*(E829=E$2:E829)))))-COUNTBLANK(OFFSET(A$1,,,SUMPRODUCT(MAX(ROW(E$1:E828)*(E2=E$1:E828))))))</f>
        <v> </v>
      </c>
      <c r="K829" s="26" t="str">
        <f>IF(OR(E829="",E829="!!!",F829="NEW"),"",INDEX(J$1:J828,SUMPRODUCT(MAX(ROW(E$1:E828)*(E829=E$1:E828)))))</f>
        <v> </v>
      </c>
      <c r="L829" s="27"/>
    </row>
    <row r="830" spans="1:12">
      <c r="A830" s="20" t="s">
        <v>655</v>
      </c>
      <c r="E830" s="22">
        <f>IF(D830="?OLD","!!!","")</f>
        <v/>
      </c>
      <c r="F830" s="23" t="str">
        <f>IF(OR(E830="",E830="!!!"),"",IF(NOT(ISNA(VLOOKUP(E830,E$1:E829,1,FALSE()))),"OLD",IF(AND(E830&lt;&gt;"",E830&lt;&gt;"!!!"),"NEW","")))</f>
        <v> </v>
      </c>
      <c r="G830" s="24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5" t="str">
        <f>IF(J830&lt;&gt;1,"",IF(I830="SBJ","CB","?"))</f>
        <v> </v>
      </c>
      <c r="I830" s="26" t="str">
        <f>IF(OR(E830="",E830="!!!",F830="NEW"),"",INDEX(B829:B$2,-1+SUMPRODUCT(MAX(ROW(E829:E$2)*(E830=E829:E$2)))))</f>
        <v> </v>
      </c>
      <c r="J830" s="26" t="str">
        <f>IF(OR(E830="",E830="!!!",F830="NEW"),"",COUNTBLANK(OFFSET(A$1,,,SUMPRODUCT(MAX(ROW(E$2:E830)*(E830=E$2:E830)))))-COUNTBLANK(OFFSET(A$1,,,SUMPRODUCT(MAX(ROW(E$1:E829)*(E2=E$1:E829))))))</f>
        <v> </v>
      </c>
      <c r="K830" s="26" t="str">
        <f>IF(OR(E830="",E830="!!!",F830="NEW"),"",INDEX(J$1:J829,SUMPRODUCT(MAX(ROW(E$1:E829)*(E830=E$1:E829)))))</f>
        <v> </v>
      </c>
      <c r="L830" s="27"/>
    </row>
    <row r="831" spans="1:12">
      <c r="A831" s="20" t="s">
        <v>1040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152</v>
      </c>
      <c r="B832" s="21" t="s">
        <v>590</v>
      </c>
      <c r="C832" s="21" t="s">
        <v>800</v>
      </c>
      <c r="D832" s="21" t="s">
        <v>587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 t="s">
        <v>597</v>
      </c>
      <c r="E833" s="22">
        <f>IF(D833="?OLD","!!!","")</f>
        <v/>
      </c>
      <c r="F833" s="23" t="str">
        <f>IF(OR(E833="",E833="!!!"),"",IF(NOT(ISNA(VLOOKUP(E833,E$1:E832,1,FALSE()))),"OLD",IF(AND(E833&lt;&gt;"",E833&lt;&gt;"!!!"),"NEW","")))</f>
        <v> </v>
      </c>
      <c r="G833" s="24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5" t="str">
        <f>IF(J833&lt;&gt;1,"",IF(I833="SBJ","CB","?"))</f>
        <v> </v>
      </c>
      <c r="I833" s="26" t="str">
        <f>IF(OR(E833="",E833="!!!",F833="NEW"),"",INDEX(B832:B$2,-1+SUMPRODUCT(MAX(ROW(E832:E$2)*(E833=E832:E$2)))))</f>
        <v> </v>
      </c>
      <c r="J833" s="26" t="str">
        <f>IF(OR(E833="",E833="!!!",F833="NEW"),"",COUNTBLANK(OFFSET(A$1,,,SUMPRODUCT(MAX(ROW(E$2:E833)*(E833=E$2:E833)))))-COUNTBLANK(OFFSET(A$1,,,SUMPRODUCT(MAX(ROW(E$1:E832)*(E2=E$1:E832))))))</f>
        <v> </v>
      </c>
      <c r="K833" s="26" t="str">
        <f>IF(OR(E833="",E833="!!!",F833="NEW"),"",INDEX(J$1:J832,SUMPRODUCT(MAX(ROW(E$1:E832)*(E833=E$1:E832)))))</f>
        <v> </v>
      </c>
      <c r="L833" s="27"/>
    </row>
    <row r="834" spans="1:12">
      <c r="A834" s="20" t="s">
        <v>1041</v>
      </c>
      <c r="B834" s="21" t="s">
        <v>601</v>
      </c>
      <c r="C834" s="21" t="s">
        <v>628</v>
      </c>
      <c r="D834" s="21" t="s">
        <v>587</v>
      </c>
      <c r="E834" s="22">
        <f>IF(D834="?OLD","!!!","")</f>
        <v/>
      </c>
      <c r="F834" s="23" t="str">
        <f>IF(OR(E834="",E834="!!!"),"",IF(NOT(ISNA(VLOOKUP(E834,E$1:E833,1,FALSE()))),"OLD",IF(AND(E834&lt;&gt;"",E834&lt;&gt;"!!!"),"NEW","")))</f>
        <v> </v>
      </c>
      <c r="G834" s="24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5" t="str">
        <f>IF(J834&lt;&gt;1,"",IF(I834="SBJ","CB","?"))</f>
        <v> </v>
      </c>
      <c r="I834" s="26" t="str">
        <f>IF(OR(E834="",E834="!!!",F834="NEW"),"",INDEX(B833:B$2,-1+SUMPRODUCT(MAX(ROW(E833:E$2)*(E834=E833:E$2)))))</f>
        <v> </v>
      </c>
      <c r="J834" s="26" t="str">
        <f>IF(OR(E834="",E834="!!!",F834="NEW"),"",COUNTBLANK(OFFSET(A$1,,,SUMPRODUCT(MAX(ROW(E$2:E834)*(E834=E$2:E834)))))-COUNTBLANK(OFFSET(A$1,,,SUMPRODUCT(MAX(ROW(E$1:E833)*(E2=E$1:E833))))))</f>
        <v> </v>
      </c>
      <c r="K834" s="26" t="str">
        <f>IF(OR(E834="",E834="!!!",F834="NEW"),"",INDEX(J$1:J833,SUMPRODUCT(MAX(ROW(E$1:E833)*(E834=E$1:E833)))))</f>
        <v> </v>
      </c>
      <c r="L834" s="27"/>
    </row>
    <row r="835" spans="1:12">
      <c r="A835" s="20" t="s">
        <v>583</v>
      </c>
      <c r="E835" s="22">
        <f>IF(D835="?OLD","!!!","")</f>
        <v/>
      </c>
      <c r="F835" s="23" t="str">
        <f>IF(OR(E835="",E835="!!!"),"",IF(NOT(ISNA(VLOOKUP(E835,E$1:E834,1,FALSE()))),"OLD",IF(AND(E835&lt;&gt;"",E835&lt;&gt;"!!!"),"NEW","")))</f>
        <v> </v>
      </c>
      <c r="G835" s="24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5" t="str">
        <f>IF(J835&lt;&gt;1,"",IF(I835="SBJ","CB","?"))</f>
        <v> </v>
      </c>
      <c r="I835" s="26" t="str">
        <f>IF(OR(E835="",E835="!!!",F835="NEW"),"",INDEX(B834:B$2,-1+SUMPRODUCT(MAX(ROW(E834:E$2)*(E835=E834:E$2)))))</f>
        <v> </v>
      </c>
      <c r="J835" s="26" t="str">
        <f>IF(OR(E835="",E835="!!!",F835="NEW"),"",COUNTBLANK(OFFSET(A$1,,,SUMPRODUCT(MAX(ROW(E$2:E835)*(E835=E$2:E835)))))-COUNTBLANK(OFFSET(A$1,,,SUMPRODUCT(MAX(ROW(E$1:E834)*(E2=E$1:E834))))))</f>
        <v> </v>
      </c>
      <c r="K835" s="26" t="str">
        <f>IF(OR(E835="",E835="!!!",F835="NEW"),"",INDEX(J$1:J834,SUMPRODUCT(MAX(ROW(E$1:E834)*(E835=E$1:E834)))))</f>
        <v> </v>
      </c>
      <c r="L835" s="27"/>
    </row>
    <row r="836" spans="1:12">
      <c r="A836" s="20" t="s">
        <v>1042</v>
      </c>
      <c r="B836" s="21" t="s">
        <v>883</v>
      </c>
      <c r="C836" s="21" t="s">
        <v>602</v>
      </c>
      <c r="E836" s="22">
        <f>IF(D836="?OLD","!!!","")</f>
        <v/>
      </c>
      <c r="F836" s="23" t="str">
        <f>IF(OR(E836="",E836="!!!"),"",IF(NOT(ISNA(VLOOKUP(E836,E$1:E835,1,FALSE()))),"OLD",IF(AND(E836&lt;&gt;"",E836&lt;&gt;"!!!"),"NEW","")))</f>
        <v> </v>
      </c>
      <c r="G836" s="24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5" t="str">
        <f>IF(J836&lt;&gt;1,"",IF(I836="SBJ","CB","?"))</f>
        <v> </v>
      </c>
      <c r="I836" s="26" t="str">
        <f>IF(OR(E836="",E836="!!!",F836="NEW"),"",INDEX(B835:B$2,-1+SUMPRODUCT(MAX(ROW(E835:E$2)*(E836=E835:E$2)))))</f>
        <v> </v>
      </c>
      <c r="J836" s="26" t="str">
        <f>IF(OR(E836="",E836="!!!",F836="NEW"),"",COUNTBLANK(OFFSET(A$1,,,SUMPRODUCT(MAX(ROW(E$2:E836)*(E836=E$2:E836)))))-COUNTBLANK(OFFSET(A$1,,,SUMPRODUCT(MAX(ROW(E$1:E835)*(E2=E$1:E835))))))</f>
        <v> </v>
      </c>
      <c r="K836" s="26" t="str">
        <f>IF(OR(E836="",E836="!!!",F836="NEW"),"",INDEX(J$1:J835,SUMPRODUCT(MAX(ROW(E$1:E835)*(E836=E$1:E835)))))</f>
        <v> </v>
      </c>
      <c r="L836" s="27"/>
    </row>
    <row r="837" spans="1:12">
      <c r="A837" s="20" t="s">
        <v>1043</v>
      </c>
      <c r="E837" s="22">
        <f>IF(D837="?OLD","!!!","")</f>
        <v/>
      </c>
      <c r="F837" s="23" t="str">
        <f>IF(OR(E837="",E837="!!!"),"",IF(NOT(ISNA(VLOOKUP(E837,E$1:E836,1,FALSE()))),"OLD",IF(AND(E837&lt;&gt;"",E837&lt;&gt;"!!!"),"NEW","")))</f>
        <v> </v>
      </c>
      <c r="G837" s="24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5" t="str">
        <f>IF(J837&lt;&gt;1,"",IF(I837="SBJ","CB","?"))</f>
        <v> </v>
      </c>
      <c r="I837" s="26" t="str">
        <f>IF(OR(E837="",E837="!!!",F837="NEW"),"",INDEX(B836:B$2,-1+SUMPRODUCT(MAX(ROW(E836:E$2)*(E837=E836:E$2)))))</f>
        <v> </v>
      </c>
      <c r="J837" s="26" t="str">
        <f>IF(OR(E837="",E837="!!!",F837="NEW"),"",COUNTBLANK(OFFSET(A$1,,,SUMPRODUCT(MAX(ROW(E$2:E837)*(E837=E$2:E837)))))-COUNTBLANK(OFFSET(A$1,,,SUMPRODUCT(MAX(ROW(E$1:E836)*(E2=E$1:E836))))))</f>
        <v> </v>
      </c>
      <c r="K837" s="26" t="str">
        <f>IF(OR(E837="",E837="!!!",F837="NEW"),"",INDEX(J$1:J836,SUMPRODUCT(MAX(ROW(E$1:E836)*(E837=E$1:E836)))))</f>
        <v> </v>
      </c>
      <c r="L837" s="27"/>
    </row>
    <row r="838" spans="1:12">
      <c r="A838" s="20" t="s">
        <v>1044</v>
      </c>
      <c r="B838" s="21" t="s">
        <v>1045</v>
      </c>
      <c r="C838" s="21" t="s">
        <v>628</v>
      </c>
      <c r="D838" s="21" t="s">
        <v>587</v>
      </c>
      <c r="E838" s="22">
        <f>IF(D838="?OLD","!!!","")</f>
        <v/>
      </c>
      <c r="F838" s="23" t="str">
        <f>IF(OR(E838="",E838="!!!"),"",IF(NOT(ISNA(VLOOKUP(E838,E$1:E837,1,FALSE()))),"OLD",IF(AND(E838&lt;&gt;"",E838&lt;&gt;"!!!"),"NEW","")))</f>
        <v> </v>
      </c>
      <c r="G838" s="24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5" t="str">
        <f>IF(J838&lt;&gt;1,"",IF(I838="SBJ","CB","?"))</f>
        <v> </v>
      </c>
      <c r="I838" s="26" t="str">
        <f>IF(OR(E838="",E838="!!!",F838="NEW"),"",INDEX(B837:B$2,-1+SUMPRODUCT(MAX(ROW(E837:E$2)*(E838=E837:E$2)))))</f>
        <v> </v>
      </c>
      <c r="J838" s="26" t="str">
        <f>IF(OR(E838="",E838="!!!",F838="NEW"),"",COUNTBLANK(OFFSET(A$1,,,SUMPRODUCT(MAX(ROW(E$2:E838)*(E838=E$2:E838)))))-COUNTBLANK(OFFSET(A$1,,,SUMPRODUCT(MAX(ROW(E$1:E837)*(E2=E$1:E837))))))</f>
        <v> </v>
      </c>
      <c r="K838" s="26" t="str">
        <f>IF(OR(E838="",E838="!!!",F838="NEW"),"",INDEX(J$1:J837,SUMPRODUCT(MAX(ROW(E$1:E837)*(E838=E$1:E837)))))</f>
        <v> </v>
      </c>
      <c r="L838" s="27"/>
    </row>
    <row r="839" spans="1:12">
      <c r="A839" s="20" t="s">
        <v>723</v>
      </c>
      <c r="E839" s="22">
        <f>IF(D839="?OLD","!!!","")</f>
        <v/>
      </c>
      <c r="F839" s="23" t="str">
        <f>IF(OR(E839="",E839="!!!"),"",IF(NOT(ISNA(VLOOKUP(E839,E$1:E838,1,FALSE()))),"OLD",IF(AND(E839&lt;&gt;"",E839&lt;&gt;"!!!"),"NEW","")))</f>
        <v> </v>
      </c>
      <c r="G839" s="24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5" t="str">
        <f>IF(J839&lt;&gt;1,"",IF(I839="SBJ","CB","?"))</f>
        <v> </v>
      </c>
      <c r="I839" s="26" t="str">
        <f>IF(OR(E839="",E839="!!!",F839="NEW"),"",INDEX(B838:B$2,-1+SUMPRODUCT(MAX(ROW(E838:E$2)*(E839=E838:E$2)))))</f>
        <v> </v>
      </c>
      <c r="J839" s="26" t="str">
        <f>IF(OR(E839="",E839="!!!",F839="NEW"),"",COUNTBLANK(OFFSET(A$1,,,SUMPRODUCT(MAX(ROW(E$2:E839)*(E839=E$2:E839)))))-COUNTBLANK(OFFSET(A$1,,,SUMPRODUCT(MAX(ROW(E$1:E838)*(E2=E$1:E838))))))</f>
        <v> </v>
      </c>
      <c r="K839" s="26" t="str">
        <f>IF(OR(E839="",E839="!!!",F839="NEW"),"",INDEX(J$1:J838,SUMPRODUCT(MAX(ROW(E$1:E838)*(E839=E$1:E838)))))</f>
        <v> </v>
      </c>
      <c r="L839" s="27"/>
    </row>
    <row r="840" spans="1:12">
      <c r="A840" s="20" t="s">
        <v>1046</v>
      </c>
      <c r="E840" s="22">
        <f>IF(D840="?OLD","!!!","")</f>
        <v/>
      </c>
      <c r="F840" s="23" t="str">
        <f>IF(OR(E840="",E840="!!!"),"",IF(NOT(ISNA(VLOOKUP(E840,E$1:E839,1,FALSE()))),"OLD",IF(AND(E840&lt;&gt;"",E840&lt;&gt;"!!!"),"NEW","")))</f>
        <v> </v>
      </c>
      <c r="G840" s="24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5" t="str">
        <f>IF(J840&lt;&gt;1,"",IF(I840="SBJ","CB","?"))</f>
        <v> </v>
      </c>
      <c r="I840" s="26" t="str">
        <f>IF(OR(E840="",E840="!!!",F840="NEW"),"",INDEX(B839:B$2,-1+SUMPRODUCT(MAX(ROW(E839:E$2)*(E840=E839:E$2)))))</f>
        <v> </v>
      </c>
      <c r="J840" s="26" t="str">
        <f>IF(OR(E840="",E840="!!!",F840="NEW"),"",COUNTBLANK(OFFSET(A$1,,,SUMPRODUCT(MAX(ROW(E$2:E840)*(E840=E$2:E840)))))-COUNTBLANK(OFFSET(A$1,,,SUMPRODUCT(MAX(ROW(E$1:E839)*(E2=E$1:E839))))))</f>
        <v> </v>
      </c>
      <c r="K840" s="26" t="str">
        <f>IF(OR(E840="",E840="!!!",F840="NEW"),"",INDEX(J$1:J839,SUMPRODUCT(MAX(ROW(E$1:E839)*(E840=E$1:E839)))))</f>
        <v> </v>
      </c>
      <c r="L840" s="27"/>
    </row>
    <row r="841" spans="1:12">
      <c r="A841" s="20" t="s">
        <v>1047</v>
      </c>
      <c r="E841" s="22">
        <f>IF(D841="?OLD","!!!","")</f>
        <v/>
      </c>
      <c r="F841" s="23" t="str">
        <f>IF(OR(E841="",E841="!!!"),"",IF(NOT(ISNA(VLOOKUP(E841,E$1:E840,1,FALSE()))),"OLD",IF(AND(E841&lt;&gt;"",E841&lt;&gt;"!!!"),"NEW","")))</f>
        <v> </v>
      </c>
      <c r="G841" s="24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5" t="str">
        <f>IF(J841&lt;&gt;1,"",IF(I841="SBJ","CB","?"))</f>
        <v> </v>
      </c>
      <c r="I841" s="26" t="str">
        <f>IF(OR(E841="",E841="!!!",F841="NEW"),"",INDEX(B840:B$2,-1+SUMPRODUCT(MAX(ROW(E840:E$2)*(E841=E840:E$2)))))</f>
        <v> </v>
      </c>
      <c r="J841" s="26" t="str">
        <f>IF(OR(E841="",E841="!!!",F841="NEW"),"",COUNTBLANK(OFFSET(A$1,,,SUMPRODUCT(MAX(ROW(E$2:E841)*(E841=E$2:E841)))))-COUNTBLANK(OFFSET(A$1,,,SUMPRODUCT(MAX(ROW(E$1:E840)*(E2=E$1:E840))))))</f>
        <v> </v>
      </c>
      <c r="K841" s="26" t="str">
        <f>IF(OR(E841="",E841="!!!",F841="NEW"),"",INDEX(J$1:J840,SUMPRODUCT(MAX(ROW(E$1:E840)*(E841=E$1:E840)))))</f>
        <v> </v>
      </c>
      <c r="L841" s="27"/>
    </row>
    <row r="842" spans="1:12">
      <c r="A842" s="20" t="s">
        <v>1048</v>
      </c>
      <c r="E842" s="22">
        <f>IF(D842="?OLD","!!!","")</f>
        <v/>
      </c>
      <c r="F842" s="23" t="str">
        <f>IF(OR(E842="",E842="!!!"),"",IF(NOT(ISNA(VLOOKUP(E842,E$1:E841,1,FALSE()))),"OLD",IF(AND(E842&lt;&gt;"",E842&lt;&gt;"!!!"),"NEW","")))</f>
        <v> </v>
      </c>
      <c r="G842" s="24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5" t="str">
        <f>IF(J842&lt;&gt;1,"",IF(I842="SBJ","CB","?"))</f>
        <v> </v>
      </c>
      <c r="I842" s="26" t="str">
        <f>IF(OR(E842="",E842="!!!",F842="NEW"),"",INDEX(B841:B$2,-1+SUMPRODUCT(MAX(ROW(E841:E$2)*(E842=E841:E$2)))))</f>
        <v> </v>
      </c>
      <c r="J842" s="26" t="str">
        <f>IF(OR(E842="",E842="!!!",F842="NEW"),"",COUNTBLANK(OFFSET(A$1,,,SUMPRODUCT(MAX(ROW(E$2:E842)*(E842=E$2:E842)))))-COUNTBLANK(OFFSET(A$1,,,SUMPRODUCT(MAX(ROW(E$1:E841)*(E2=E$1:E841))))))</f>
        <v> </v>
      </c>
      <c r="K842" s="26" t="str">
        <f>IF(OR(E842="",E842="!!!",F842="NEW"),"",INDEX(J$1:J841,SUMPRODUCT(MAX(ROW(E$1:E841)*(E842=E$1:E841)))))</f>
        <v> </v>
      </c>
      <c r="L842" s="27"/>
    </row>
    <row r="843" spans="1:12">
      <c r="A843" s="20" t="s">
        <v>580</v>
      </c>
      <c r="E843" s="22">
        <f>IF(D843="?OLD","!!!","")</f>
        <v/>
      </c>
      <c r="F843" s="23" t="str">
        <f>IF(OR(E843="",E843="!!!"),"",IF(NOT(ISNA(VLOOKUP(E843,E$1:E842,1,FALSE()))),"OLD",IF(AND(E843&lt;&gt;"",E843&lt;&gt;"!!!"),"NEW","")))</f>
        <v> </v>
      </c>
      <c r="G843" s="24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5" t="str">
        <f>IF(J843&lt;&gt;1,"",IF(I843="SBJ","CB","?"))</f>
        <v> </v>
      </c>
      <c r="I843" s="26" t="str">
        <f>IF(OR(E843="",E843="!!!",F843="NEW"),"",INDEX(B842:B$2,-1+SUMPRODUCT(MAX(ROW(E842:E$2)*(E843=E842:E$2)))))</f>
        <v> </v>
      </c>
      <c r="J843" s="26" t="str">
        <f>IF(OR(E843="",E843="!!!",F843="NEW"),"",COUNTBLANK(OFFSET(A$1,,,SUMPRODUCT(MAX(ROW(E$2:E843)*(E843=E$2:E843)))))-COUNTBLANK(OFFSET(A$1,,,SUMPRODUCT(MAX(ROW(E$1:E842)*(E2=E$1:E842))))))</f>
        <v> </v>
      </c>
      <c r="K843" s="26" t="str">
        <f>IF(OR(E843="",E843="!!!",F843="NEW"),"",INDEX(J$1:J842,SUMPRODUCT(MAX(ROW(E$1:E842)*(E843=E$1:E842)))))</f>
        <v> </v>
      </c>
      <c r="L843" s="27"/>
    </row>
    <row r="844" spans="1:12">
      <c r="A844" s="20" t="s">
        <v>1049</v>
      </c>
      <c r="E844" s="22">
        <f>IF(D844="?OLD","!!!","")</f>
        <v/>
      </c>
      <c r="F844" s="23" t="str">
        <f>IF(OR(E844="",E844="!!!"),"",IF(NOT(ISNA(VLOOKUP(E844,E$1:E843,1,FALSE()))),"OLD",IF(AND(E844&lt;&gt;"",E844&lt;&gt;"!!!"),"NEW","")))</f>
        <v> </v>
      </c>
      <c r="G844" s="24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5" t="str">
        <f>IF(J844&lt;&gt;1,"",IF(I844="SBJ","CB","?"))</f>
        <v> </v>
      </c>
      <c r="I844" s="26" t="str">
        <f>IF(OR(E844="",E844="!!!",F844="NEW"),"",INDEX(B843:B$2,-1+SUMPRODUCT(MAX(ROW(E843:E$2)*(E844=E843:E$2)))))</f>
        <v> </v>
      </c>
      <c r="J844" s="26" t="str">
        <f>IF(OR(E844="",E844="!!!",F844="NEW"),"",COUNTBLANK(OFFSET(A$1,,,SUMPRODUCT(MAX(ROW(E$2:E844)*(E844=E$2:E844)))))-COUNTBLANK(OFFSET(A$1,,,SUMPRODUCT(MAX(ROW(E$1:E843)*(E2=E$1:E843))))))</f>
        <v> </v>
      </c>
      <c r="K844" s="26" t="str">
        <f>IF(OR(E844="",E844="!!!",F844="NEW"),"",INDEX(J$1:J843,SUMPRODUCT(MAX(ROW(E$1:E843)*(E844=E$1:E843)))))</f>
        <v> </v>
      </c>
      <c r="L844" s="27"/>
    </row>
    <row r="845" spans="1:12">
      <c r="A845" s="20" t="s">
        <v>1050</v>
      </c>
      <c r="E845" s="22">
        <f>IF(D845="?OLD","!!!","")</f>
        <v/>
      </c>
      <c r="F845" s="23" t="str">
        <f>IF(OR(E845="",E845="!!!"),"",IF(NOT(ISNA(VLOOKUP(E845,E$1:E844,1,FALSE()))),"OLD",IF(AND(E845&lt;&gt;"",E845&lt;&gt;"!!!"),"NEW","")))</f>
        <v> </v>
      </c>
      <c r="G845" s="24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5" t="str">
        <f>IF(J845&lt;&gt;1,"",IF(I845="SBJ","CB","?"))</f>
        <v> </v>
      </c>
      <c r="I845" s="26" t="str">
        <f>IF(OR(E845="",E845="!!!",F845="NEW"),"",INDEX(B844:B$2,-1+SUMPRODUCT(MAX(ROW(E844:E$2)*(E845=E844:E$2)))))</f>
        <v> </v>
      </c>
      <c r="J845" s="26" t="str">
        <f>IF(OR(E845="",E845="!!!",F845="NEW"),"",COUNTBLANK(OFFSET(A$1,,,SUMPRODUCT(MAX(ROW(E$2:E845)*(E845=E$2:E845)))))-COUNTBLANK(OFFSET(A$1,,,SUMPRODUCT(MAX(ROW(E$1:E844)*(E2=E$1:E844))))))</f>
        <v> </v>
      </c>
      <c r="K845" s="26" t="str">
        <f>IF(OR(E845="",E845="!!!",F845="NEW"),"",INDEX(J$1:J844,SUMPRODUCT(MAX(ROW(E$1:E844)*(E845=E$1:E844)))))</f>
        <v> </v>
      </c>
      <c r="L845" s="27"/>
    </row>
    <row r="846" spans="1:12">
      <c r="A846" s="20" t="s">
        <v>592</v>
      </c>
      <c r="E846" s="22">
        <f>IF(D846="?OLD","!!!","")</f>
        <v/>
      </c>
      <c r="F846" s="23" t="str">
        <f>IF(OR(E846="",E846="!!!"),"",IF(NOT(ISNA(VLOOKUP(E846,E$1:E845,1,FALSE()))),"OLD",IF(AND(E846&lt;&gt;"",E846&lt;&gt;"!!!"),"NEW","")))</f>
        <v> </v>
      </c>
      <c r="G846" s="24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5" t="str">
        <f>IF(J846&lt;&gt;1,"",IF(I846="SBJ","CB","?"))</f>
        <v> </v>
      </c>
      <c r="I846" s="26" t="str">
        <f>IF(OR(E846="",E846="!!!",F846="NEW"),"",INDEX(B845:B$2,-1+SUMPRODUCT(MAX(ROW(E845:E$2)*(E846=E845:E$2)))))</f>
        <v> </v>
      </c>
      <c r="J846" s="26" t="str">
        <f>IF(OR(E846="",E846="!!!",F846="NEW"),"",COUNTBLANK(OFFSET(A$1,,,SUMPRODUCT(MAX(ROW(E$2:E846)*(E846=E$2:E846)))))-COUNTBLANK(OFFSET(A$1,,,SUMPRODUCT(MAX(ROW(E$1:E845)*(E2=E$1:E845))))))</f>
        <v> </v>
      </c>
      <c r="K846" s="26" t="str">
        <f>IF(OR(E846="",E846="!!!",F846="NEW"),"",INDEX(J$1:J845,SUMPRODUCT(MAX(ROW(E$1:E845)*(E846=E$1:E845)))))</f>
        <v> </v>
      </c>
      <c r="L846" s="27"/>
    </row>
    <row r="847" spans="1:12">
      <c r="A847" s="20"/>
    </row>
    <row r="848" spans="1:12">
      <c r="A848" s="20" t="s">
        <v>1051</v>
      </c>
    </row>
    <row r="849" spans="1:12">
      <c r="A849" s="20" t="s">
        <v>1032</v>
      </c>
      <c r="E849" s="22">
        <f>IF(D849="?OLD","!!!","")</f>
        <v/>
      </c>
      <c r="F849" s="23" t="str">
        <f>IF(OR(E849="",E849="!!!"),"",IF(NOT(ISNA(VLOOKUP(E849,E$1:E848,1,FALSE()))),"OLD",IF(AND(E849&lt;&gt;"",E849&lt;&gt;"!!!"),"NEW","")))</f>
        <v> </v>
      </c>
      <c r="G849" s="24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5" t="str">
        <f>IF(J849&lt;&gt;1,"",IF(I849="SBJ","CB","?"))</f>
        <v> </v>
      </c>
      <c r="I849" s="26" t="str">
        <f>IF(OR(E849="",E849="!!!",F849="NEW"),"",INDEX(B848:B$2,-1+SUMPRODUCT(MAX(ROW(E848:E$2)*(E849=E848:E$2)))))</f>
        <v> </v>
      </c>
      <c r="J849" s="26" t="str">
        <f>IF(OR(E849="",E849="!!!",F849="NEW"),"",COUNTBLANK(OFFSET(A$1,,,SUMPRODUCT(MAX(ROW(E$2:E849)*(E849=E$2:E849)))))-COUNTBLANK(OFFSET(A$1,,,SUMPRODUCT(MAX(ROW(E$1:E848)*(E2=E$1:E848))))))</f>
        <v> </v>
      </c>
      <c r="K849" s="26" t="str">
        <f>IF(OR(E849="",E849="!!!",F849="NEW"),"",INDEX(J$1:J848,SUMPRODUCT(MAX(ROW(E$1:E848)*(E849=E$1:E848)))))</f>
        <v> </v>
      </c>
      <c r="L849" s="27"/>
    </row>
    <row r="850" spans="1:12">
      <c r="A850" s="20" t="s">
        <v>1052</v>
      </c>
      <c r="E850" s="22">
        <f>IF(D850="?OLD","!!!","")</f>
        <v/>
      </c>
      <c r="F850" s="23" t="str">
        <f>IF(OR(E850="",E850="!!!"),"",IF(NOT(ISNA(VLOOKUP(E850,E$1:E849,1,FALSE()))),"OLD",IF(AND(E850&lt;&gt;"",E850&lt;&gt;"!!!"),"NEW","")))</f>
        <v> </v>
      </c>
      <c r="G850" s="24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5" t="str">
        <f>IF(J850&lt;&gt;1,"",IF(I850="SBJ","CB","?"))</f>
        <v> </v>
      </c>
      <c r="I850" s="26" t="str">
        <f>IF(OR(E850="",E850="!!!",F850="NEW"),"",INDEX(B849:B$2,-1+SUMPRODUCT(MAX(ROW(E849:E$2)*(E850=E849:E$2)))))</f>
        <v> </v>
      </c>
      <c r="J850" s="26" t="str">
        <f>IF(OR(E850="",E850="!!!",F850="NEW"),"",COUNTBLANK(OFFSET(A$1,,,SUMPRODUCT(MAX(ROW(E$2:E850)*(E850=E$2:E850)))))-COUNTBLANK(OFFSET(A$1,,,SUMPRODUCT(MAX(ROW(E$1:E849)*(E2=E$1:E849))))))</f>
        <v> </v>
      </c>
      <c r="K850" s="26" t="str">
        <f>IF(OR(E850="",E850="!!!",F850="NEW"),"",INDEX(J$1:J849,SUMPRODUCT(MAX(ROW(E$1:E849)*(E850=E$1:E849)))))</f>
        <v> </v>
      </c>
      <c r="L850" s="27"/>
    </row>
    <row r="851" spans="1:12">
      <c r="A851" s="20" t="s">
        <v>1008</v>
      </c>
      <c r="E851" s="22">
        <f>IF(D851="?OLD","!!!","")</f>
        <v/>
      </c>
      <c r="F851" s="23" t="str">
        <f>IF(OR(E851="",E851="!!!"),"",IF(NOT(ISNA(VLOOKUP(E851,E$1:E850,1,FALSE()))),"OLD",IF(AND(E851&lt;&gt;"",E851&lt;&gt;"!!!"),"NEW","")))</f>
        <v> </v>
      </c>
      <c r="G851" s="24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5" t="str">
        <f>IF(J851&lt;&gt;1,"",IF(I851="SBJ","CB","?"))</f>
        <v> </v>
      </c>
      <c r="I851" s="26" t="str">
        <f>IF(OR(E851="",E851="!!!",F851="NEW"),"",INDEX(B850:B$2,-1+SUMPRODUCT(MAX(ROW(E850:E$2)*(E851=E850:E$2)))))</f>
        <v> </v>
      </c>
      <c r="J851" s="26" t="str">
        <f>IF(OR(E851="",E851="!!!",F851="NEW"),"",COUNTBLANK(OFFSET(A$1,,,SUMPRODUCT(MAX(ROW(E$2:E851)*(E851=E$2:E851)))))-COUNTBLANK(OFFSET(A$1,,,SUMPRODUCT(MAX(ROW(E$1:E850)*(E2=E$1:E850))))))</f>
        <v> </v>
      </c>
      <c r="K851" s="26" t="str">
        <f>IF(OR(E851="",E851="!!!",F851="NEW"),"",INDEX(J$1:J850,SUMPRODUCT(MAX(ROW(E$1:E850)*(E851=E$1:E850)))))</f>
        <v> </v>
      </c>
      <c r="L851" s="27"/>
    </row>
    <row r="852" spans="1:12">
      <c r="A852" s="20" t="s">
        <v>1053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 t="s">
        <v>758</v>
      </c>
      <c r="B853" s="21" t="s">
        <v>651</v>
      </c>
      <c r="C853" s="21" t="s">
        <v>709</v>
      </c>
      <c r="D853" s="21" t="s">
        <v>587</v>
      </c>
      <c r="E853" s="22">
        <f>IF(D853="?OLD","!!!","")</f>
        <v/>
      </c>
      <c r="F853" s="23" t="str">
        <f>IF(OR(E853="",E853="!!!"),"",IF(NOT(ISNA(VLOOKUP(E853,E$1:E852,1,FALSE()))),"OLD",IF(AND(E853&lt;&gt;"",E853&lt;&gt;"!!!"),"NEW","")))</f>
        <v> </v>
      </c>
      <c r="G853" s="24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5" t="str">
        <f>IF(J853&lt;&gt;1,"",IF(I853="SBJ","CB","?"))</f>
        <v> </v>
      </c>
      <c r="I853" s="26" t="str">
        <f>IF(OR(E853="",E853="!!!",F853="NEW"),"",INDEX(B852:B$2,-1+SUMPRODUCT(MAX(ROW(E852:E$2)*(E853=E852:E$2)))))</f>
        <v> </v>
      </c>
      <c r="J853" s="26" t="str">
        <f>IF(OR(E853="",E853="!!!",F853="NEW"),"",COUNTBLANK(OFFSET(A$1,,,SUMPRODUCT(MAX(ROW(E$2:E853)*(E853=E$2:E853)))))-COUNTBLANK(OFFSET(A$1,,,SUMPRODUCT(MAX(ROW(E$1:E852)*(E2=E$1:E852))))))</f>
        <v> </v>
      </c>
      <c r="K853" s="26" t="str">
        <f>IF(OR(E853="",E853="!!!",F853="NEW"),"",INDEX(J$1:J852,SUMPRODUCT(MAX(ROW(E$1:E852)*(E853=E$1:E852)))))</f>
        <v> </v>
      </c>
      <c r="L853" s="27"/>
    </row>
    <row r="854" spans="1:12">
      <c r="A854" s="20" t="s">
        <v>583</v>
      </c>
      <c r="E854" s="22">
        <f>IF(D854="?OLD","!!!","")</f>
        <v/>
      </c>
      <c r="F854" s="23" t="str">
        <f>IF(OR(E854="",E854="!!!"),"",IF(NOT(ISNA(VLOOKUP(E854,E$1:E853,1,FALSE()))),"OLD",IF(AND(E854&lt;&gt;"",E854&lt;&gt;"!!!"),"NEW","")))</f>
        <v> </v>
      </c>
      <c r="G854" s="24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5" t="str">
        <f>IF(J854&lt;&gt;1,"",IF(I854="SBJ","CB","?"))</f>
        <v> </v>
      </c>
      <c r="I854" s="26" t="str">
        <f>IF(OR(E854="",E854="!!!",F854="NEW"),"",INDEX(B853:B$2,-1+SUMPRODUCT(MAX(ROW(E853:E$2)*(E854=E853:E$2)))))</f>
        <v> </v>
      </c>
      <c r="J854" s="26" t="str">
        <f>IF(OR(E854="",E854="!!!",F854="NEW"),"",COUNTBLANK(OFFSET(A$1,,,SUMPRODUCT(MAX(ROW(E$2:E854)*(E854=E$2:E854)))))-COUNTBLANK(OFFSET(A$1,,,SUMPRODUCT(MAX(ROW(E$1:E853)*(E2=E$1:E853))))))</f>
        <v> </v>
      </c>
      <c r="K854" s="26" t="str">
        <f>IF(OR(E854="",E854="!!!",F854="NEW"),"",INDEX(J$1:J853,SUMPRODUCT(MAX(ROW(E$1:E853)*(E854=E$1:E853)))))</f>
        <v> </v>
      </c>
      <c r="L854" s="27"/>
    </row>
    <row r="855" spans="1:12">
      <c r="A855" s="20" t="s">
        <v>718</v>
      </c>
      <c r="E855" s="22">
        <f>IF(D855="?OLD","!!!","")</f>
        <v/>
      </c>
      <c r="F855" s="23" t="str">
        <f>IF(OR(E855="",E855="!!!"),"",IF(NOT(ISNA(VLOOKUP(E855,E$1:E854,1,FALSE()))),"OLD",IF(AND(E855&lt;&gt;"",E855&lt;&gt;"!!!"),"NEW","")))</f>
        <v> </v>
      </c>
      <c r="G855" s="24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5" t="str">
        <f>IF(J855&lt;&gt;1,"",IF(I855="SBJ","CB","?"))</f>
        <v> </v>
      </c>
      <c r="I855" s="26" t="str">
        <f>IF(OR(E855="",E855="!!!",F855="NEW"),"",INDEX(B854:B$2,-1+SUMPRODUCT(MAX(ROW(E854:E$2)*(E855=E854:E$2)))))</f>
        <v> </v>
      </c>
      <c r="J855" s="26" t="str">
        <f>IF(OR(E855="",E855="!!!",F855="NEW"),"",COUNTBLANK(OFFSET(A$1,,,SUMPRODUCT(MAX(ROW(E$2:E855)*(E855=E$2:E855)))))-COUNTBLANK(OFFSET(A$1,,,SUMPRODUCT(MAX(ROW(E$1:E854)*(E2=E$1:E854))))))</f>
        <v> </v>
      </c>
      <c r="K855" s="26" t="str">
        <f>IF(OR(E855="",E855="!!!",F855="NEW"),"",INDEX(J$1:J854,SUMPRODUCT(MAX(ROW(E$1:E854)*(E855=E$1:E854)))))</f>
        <v> </v>
      </c>
      <c r="L855" s="27"/>
    </row>
    <row r="856" spans="1:12">
      <c r="A856" s="20" t="s">
        <v>759</v>
      </c>
      <c r="B856" s="21" t="s">
        <v>585</v>
      </c>
      <c r="C856" s="21" t="s">
        <v>602</v>
      </c>
      <c r="E856" s="22">
        <f>IF(D856="?OLD","!!!","")</f>
        <v/>
      </c>
      <c r="F856" s="23" t="str">
        <f>IF(OR(E856="",E856="!!!"),"",IF(NOT(ISNA(VLOOKUP(E856,E$1:E855,1,FALSE()))),"OLD",IF(AND(E856&lt;&gt;"",E856&lt;&gt;"!!!"),"NEW","")))</f>
        <v> </v>
      </c>
      <c r="G856" s="24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5" t="str">
        <f>IF(J856&lt;&gt;1,"",IF(I856="SBJ","CB","?"))</f>
        <v> </v>
      </c>
      <c r="I856" s="26" t="str">
        <f>IF(OR(E856="",E856="!!!",F856="NEW"),"",INDEX(B855:B$2,-1+SUMPRODUCT(MAX(ROW(E855:E$2)*(E856=E855:E$2)))))</f>
        <v> </v>
      </c>
      <c r="J856" s="26" t="str">
        <f>IF(OR(E856="",E856="!!!",F856="NEW"),"",COUNTBLANK(OFFSET(A$1,,,SUMPRODUCT(MAX(ROW(E$2:E856)*(E856=E$2:E856)))))-COUNTBLANK(OFFSET(A$1,,,SUMPRODUCT(MAX(ROW(E$1:E855)*(E2=E$1:E855))))))</f>
        <v> </v>
      </c>
      <c r="K856" s="26" t="str">
        <f>IF(OR(E856="",E856="!!!",F856="NEW"),"",INDEX(J$1:J855,SUMPRODUCT(MAX(ROW(E$1:E855)*(E856=E$1:E855)))))</f>
        <v> </v>
      </c>
      <c r="L856" s="27"/>
    </row>
    <row r="857" spans="1:12">
      <c r="A857" s="20" t="s">
        <v>653</v>
      </c>
      <c r="B857" s="21" t="s">
        <v>590</v>
      </c>
      <c r="C857" s="21" t="s">
        <v>613</v>
      </c>
      <c r="D857" s="21" t="s">
        <v>587</v>
      </c>
      <c r="E857" s="22">
        <f>IF(D857="?OLD","!!!","")</f>
        <v/>
      </c>
      <c r="F857" s="23" t="str">
        <f>IF(OR(E857="",E857="!!!"),"",IF(NOT(ISNA(VLOOKUP(E857,E$1:E856,1,FALSE()))),"OLD",IF(AND(E857&lt;&gt;"",E857&lt;&gt;"!!!"),"NEW","")))</f>
        <v> </v>
      </c>
      <c r="G857" s="24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5" t="str">
        <f>IF(J857&lt;&gt;1,"",IF(I857="SBJ","CB","?"))</f>
        <v> </v>
      </c>
      <c r="I857" s="26" t="str">
        <f>IF(OR(E857="",E857="!!!",F857="NEW"),"",INDEX(B856:B$2,-1+SUMPRODUCT(MAX(ROW(E856:E$2)*(E857=E856:E$2)))))</f>
        <v> </v>
      </c>
      <c r="J857" s="26" t="str">
        <f>IF(OR(E857="",E857="!!!",F857="NEW"),"",COUNTBLANK(OFFSET(A$1,,,SUMPRODUCT(MAX(ROW(E$2:E857)*(E857=E$2:E857)))))-COUNTBLANK(OFFSET(A$1,,,SUMPRODUCT(MAX(ROW(E$1:E856)*(E2=E$1:E856))))))</f>
        <v> </v>
      </c>
      <c r="K857" s="26" t="str">
        <f>IF(OR(E857="",E857="!!!",F857="NEW"),"",INDEX(J$1:J856,SUMPRODUCT(MAX(ROW(E$1:E856)*(E857=E$1:E856)))))</f>
        <v> </v>
      </c>
      <c r="L857" s="27"/>
    </row>
    <row r="858" spans="1:12">
      <c r="A858" s="20" t="s">
        <v>1054</v>
      </c>
      <c r="E858" s="22">
        <f>IF(D858="?OLD","!!!","")</f>
        <v/>
      </c>
      <c r="F858" s="23" t="str">
        <f>IF(OR(E858="",E858="!!!"),"",IF(NOT(ISNA(VLOOKUP(E858,E$1:E857,1,FALSE()))),"OLD",IF(AND(E858&lt;&gt;"",E858&lt;&gt;"!!!"),"NEW","")))</f>
        <v> </v>
      </c>
      <c r="G858" s="24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5" t="str">
        <f>IF(J858&lt;&gt;1,"",IF(I858="SBJ","CB","?"))</f>
        <v> </v>
      </c>
      <c r="I858" s="26" t="str">
        <f>IF(OR(E858="",E858="!!!",F858="NEW"),"",INDEX(B857:B$2,-1+SUMPRODUCT(MAX(ROW(E857:E$2)*(E858=E857:E$2)))))</f>
        <v> </v>
      </c>
      <c r="J858" s="26" t="str">
        <f>IF(OR(E858="",E858="!!!",F858="NEW"),"",COUNTBLANK(OFFSET(A$1,,,SUMPRODUCT(MAX(ROW(E$2:E858)*(E858=E$2:E858)))))-COUNTBLANK(OFFSET(A$1,,,SUMPRODUCT(MAX(ROW(E$1:E857)*(E2=E$1:E857))))))</f>
        <v> </v>
      </c>
      <c r="K858" s="26" t="str">
        <f>IF(OR(E858="",E858="!!!",F858="NEW"),"",INDEX(J$1:J857,SUMPRODUCT(MAX(ROW(E$1:E857)*(E858=E$1:E857)))))</f>
        <v> </v>
      </c>
      <c r="L858" s="27"/>
    </row>
    <row r="859" spans="1:12">
      <c r="A859" s="20" t="s">
        <v>1055</v>
      </c>
      <c r="E859" s="22">
        <f>IF(D859="?OLD","!!!","")</f>
        <v/>
      </c>
      <c r="F859" s="23" t="str">
        <f>IF(OR(E859="",E859="!!!"),"",IF(NOT(ISNA(VLOOKUP(E859,E$1:E858,1,FALSE()))),"OLD",IF(AND(E859&lt;&gt;"",E859&lt;&gt;"!!!"),"NEW","")))</f>
        <v> </v>
      </c>
      <c r="G859" s="24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5" t="str">
        <f>IF(J859&lt;&gt;1,"",IF(I859="SBJ","CB","?"))</f>
        <v> </v>
      </c>
      <c r="I859" s="26" t="str">
        <f>IF(OR(E859="",E859="!!!",F859="NEW"),"",INDEX(B858:B$2,-1+SUMPRODUCT(MAX(ROW(E858:E$2)*(E859=E858:E$2)))))</f>
        <v> </v>
      </c>
      <c r="J859" s="26" t="str">
        <f>IF(OR(E859="",E859="!!!",F859="NEW"),"",COUNTBLANK(OFFSET(A$1,,,SUMPRODUCT(MAX(ROW(E$2:E859)*(E859=E$2:E859)))))-COUNTBLANK(OFFSET(A$1,,,SUMPRODUCT(MAX(ROW(E$1:E858)*(E2=E$1:E858))))))</f>
        <v> </v>
      </c>
      <c r="K859" s="26" t="str">
        <f>IF(OR(E859="",E859="!!!",F859="NEW"),"",INDEX(J$1:J858,SUMPRODUCT(MAX(ROW(E$1:E858)*(E859=E$1:E858)))))</f>
        <v> </v>
      </c>
      <c r="L859" s="27"/>
    </row>
    <row r="860" spans="1:12">
      <c r="A860" s="20" t="s">
        <v>608</v>
      </c>
      <c r="E860" s="22">
        <f>IF(D860="?OLD","!!!","")</f>
        <v/>
      </c>
      <c r="F860" s="23" t="str">
        <f>IF(OR(E860="",E860="!!!"),"",IF(NOT(ISNA(VLOOKUP(E860,E$1:E859,1,FALSE()))),"OLD",IF(AND(E860&lt;&gt;"",E860&lt;&gt;"!!!"),"NEW","")))</f>
        <v> </v>
      </c>
      <c r="G860" s="24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5" t="str">
        <f>IF(J860&lt;&gt;1,"",IF(I860="SBJ","CB","?"))</f>
        <v> </v>
      </c>
      <c r="I860" s="26" t="str">
        <f>IF(OR(E860="",E860="!!!",F860="NEW"),"",INDEX(B859:B$2,-1+SUMPRODUCT(MAX(ROW(E859:E$2)*(E860=E859:E$2)))))</f>
        <v> </v>
      </c>
      <c r="J860" s="26" t="str">
        <f>IF(OR(E860="",E860="!!!",F860="NEW"),"",COUNTBLANK(OFFSET(A$1,,,SUMPRODUCT(MAX(ROW(E$2:E860)*(E860=E$2:E860)))))-COUNTBLANK(OFFSET(A$1,,,SUMPRODUCT(MAX(ROW(E$1:E859)*(E2=E$1:E859))))))</f>
        <v> </v>
      </c>
      <c r="K860" s="26" t="str">
        <f>IF(OR(E860="",E860="!!!",F860="NEW"),"",INDEX(J$1:J859,SUMPRODUCT(MAX(ROW(E$1:E859)*(E860=E$1:E859)))))</f>
        <v> </v>
      </c>
      <c r="L860" s="27"/>
    </row>
    <row r="861" spans="1:12">
      <c r="A861" s="20" t="s">
        <v>741</v>
      </c>
      <c r="E861" s="22">
        <f>IF(D861="?OLD","!!!","")</f>
        <v/>
      </c>
      <c r="F861" s="23" t="str">
        <f>IF(OR(E861="",E861="!!!"),"",IF(NOT(ISNA(VLOOKUP(E861,E$1:E860,1,FALSE()))),"OLD",IF(AND(E861&lt;&gt;"",E861&lt;&gt;"!!!"),"NEW","")))</f>
        <v> </v>
      </c>
      <c r="G861" s="24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5" t="str">
        <f>IF(J861&lt;&gt;1,"",IF(I861="SBJ","CB","?"))</f>
        <v> </v>
      </c>
      <c r="I861" s="26" t="str">
        <f>IF(OR(E861="",E861="!!!",F861="NEW"),"",INDEX(B860:B$2,-1+SUMPRODUCT(MAX(ROW(E860:E$2)*(E861=E860:E$2)))))</f>
        <v> </v>
      </c>
      <c r="J861" s="26" t="str">
        <f>IF(OR(E861="",E861="!!!",F861="NEW"),"",COUNTBLANK(OFFSET(A$1,,,SUMPRODUCT(MAX(ROW(E$2:E861)*(E861=E$2:E861)))))-COUNTBLANK(OFFSET(A$1,,,SUMPRODUCT(MAX(ROW(E$1:E860)*(E2=E$1:E860))))))</f>
        <v> </v>
      </c>
      <c r="K861" s="26" t="str">
        <f>IF(OR(E861="",E861="!!!",F861="NEW"),"",INDEX(J$1:J860,SUMPRODUCT(MAX(ROW(E$1:E860)*(E861=E$1:E860)))))</f>
        <v> </v>
      </c>
      <c r="L861" s="27"/>
    </row>
    <row r="862" spans="1:12">
      <c r="A862" s="20" t="s">
        <v>1056</v>
      </c>
      <c r="B862" s="21" t="s">
        <v>601</v>
      </c>
      <c r="C862" s="21" t="s">
        <v>628</v>
      </c>
      <c r="D862" s="21" t="s">
        <v>587</v>
      </c>
      <c r="E862" s="22">
        <f>IF(D862="?OLD","!!!","")</f>
        <v/>
      </c>
      <c r="F862" s="23" t="str">
        <f>IF(OR(E862="",E862="!!!"),"",IF(NOT(ISNA(VLOOKUP(E862,E$1:E861,1,FALSE()))),"OLD",IF(AND(E862&lt;&gt;"",E862&lt;&gt;"!!!"),"NEW","")))</f>
        <v> </v>
      </c>
      <c r="G862" s="24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5" t="str">
        <f>IF(J862&lt;&gt;1,"",IF(I862="SBJ","CB","?"))</f>
        <v> </v>
      </c>
      <c r="I862" s="26" t="str">
        <f>IF(OR(E862="",E862="!!!",F862="NEW"),"",INDEX(B861:B$2,-1+SUMPRODUCT(MAX(ROW(E861:E$2)*(E862=E861:E$2)))))</f>
        <v> </v>
      </c>
      <c r="J862" s="26" t="str">
        <f>IF(OR(E862="",E862="!!!",F862="NEW"),"",COUNTBLANK(OFFSET(A$1,,,SUMPRODUCT(MAX(ROW(E$2:E862)*(E862=E$2:E862)))))-COUNTBLANK(OFFSET(A$1,,,SUMPRODUCT(MAX(ROW(E$1:E861)*(E2=E$1:E861))))))</f>
        <v> </v>
      </c>
      <c r="K862" s="26" t="str">
        <f>IF(OR(E862="",E862="!!!",F862="NEW"),"",INDEX(J$1:J861,SUMPRODUCT(MAX(ROW(E$1:E861)*(E862=E$1:E861)))))</f>
        <v> </v>
      </c>
      <c r="L862" s="27"/>
    </row>
    <row r="863" spans="1:12">
      <c r="A863" s="20" t="s">
        <v>1057</v>
      </c>
      <c r="B863" s="21" t="s">
        <v>645</v>
      </c>
      <c r="C863" s="21" t="s">
        <v>800</v>
      </c>
      <c r="D863" s="21" t="s">
        <v>587</v>
      </c>
      <c r="E863" s="22">
        <f>IF(D863="?OLD","!!!","")</f>
        <v/>
      </c>
      <c r="F863" s="23" t="str">
        <f>IF(OR(E863="",E863="!!!"),"",IF(NOT(ISNA(VLOOKUP(E863,E$1:E862,1,FALSE()))),"OLD",IF(AND(E863&lt;&gt;"",E863&lt;&gt;"!!!"),"NEW","")))</f>
        <v> </v>
      </c>
      <c r="G863" s="24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5" t="str">
        <f>IF(J863&lt;&gt;1,"",IF(I863="SBJ","CB","?"))</f>
        <v> </v>
      </c>
      <c r="I863" s="26" t="str">
        <f>IF(OR(E863="",E863="!!!",F863="NEW"),"",INDEX(B862:B$2,-1+SUMPRODUCT(MAX(ROW(E862:E$2)*(E863=E862:E$2)))))</f>
        <v> </v>
      </c>
      <c r="J863" s="26" t="str">
        <f>IF(OR(E863="",E863="!!!",F863="NEW"),"",COUNTBLANK(OFFSET(A$1,,,SUMPRODUCT(MAX(ROW(E$2:E863)*(E863=E$2:E863)))))-COUNTBLANK(OFFSET(A$1,,,SUMPRODUCT(MAX(ROW(E$1:E862)*(E2=E$1:E862))))))</f>
        <v> </v>
      </c>
      <c r="K863" s="26" t="str">
        <f>IF(OR(E863="",E863="!!!",F863="NEW"),"",INDEX(J$1:J862,SUMPRODUCT(MAX(ROW(E$1:E862)*(E863=E$1:E862)))))</f>
        <v> </v>
      </c>
      <c r="L863" s="27"/>
    </row>
    <row r="864" spans="1:12">
      <c r="A864" s="20" t="s">
        <v>1058</v>
      </c>
      <c r="B864" s="21" t="s">
        <v>722</v>
      </c>
      <c r="C864" s="21" t="s">
        <v>628</v>
      </c>
      <c r="D864" s="21" t="s">
        <v>587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583</v>
      </c>
      <c r="E865" s="22">
        <f>IF(D865="?OLD","!!!","")</f>
        <v/>
      </c>
      <c r="F865" s="23" t="str">
        <f>IF(OR(E865="",E865="!!!"),"",IF(NOT(ISNA(VLOOKUP(E865,E$1:E864,1,FALSE()))),"OLD",IF(AND(E865&lt;&gt;"",E865&lt;&gt;"!!!"),"NEW","")))</f>
        <v> </v>
      </c>
      <c r="G865" s="24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5" t="str">
        <f>IF(J865&lt;&gt;1,"",IF(I865="SBJ","CB","?"))</f>
        <v> </v>
      </c>
      <c r="I865" s="26" t="str">
        <f>IF(OR(E865="",E865="!!!",F865="NEW"),"",INDEX(B864:B$2,-1+SUMPRODUCT(MAX(ROW(E864:E$2)*(E865=E864:E$2)))))</f>
        <v> </v>
      </c>
      <c r="J865" s="26" t="str">
        <f>IF(OR(E865="",E865="!!!",F865="NEW"),"",COUNTBLANK(OFFSET(A$1,,,SUMPRODUCT(MAX(ROW(E$2:E865)*(E865=E$2:E865)))))-COUNTBLANK(OFFSET(A$1,,,SUMPRODUCT(MAX(ROW(E$1:E864)*(E2=E$1:E864))))))</f>
        <v> </v>
      </c>
      <c r="K865" s="26" t="str">
        <f>IF(OR(E865="",E865="!!!",F865="NEW"),"",INDEX(J$1:J864,SUMPRODUCT(MAX(ROW(E$1:E864)*(E865=E$1:E864)))))</f>
        <v> </v>
      </c>
      <c r="L865" s="27"/>
    </row>
    <row r="866" spans="1:12">
      <c r="A866" s="20" t="s">
        <v>1056</v>
      </c>
      <c r="B866" s="21" t="s">
        <v>645</v>
      </c>
      <c r="C866" s="21" t="s">
        <v>628</v>
      </c>
      <c r="D866" s="21" t="s">
        <v>587</v>
      </c>
      <c r="E866" s="22">
        <f>IF(D866="?OLD","!!!","")</f>
        <v/>
      </c>
      <c r="F866" s="23" t="str">
        <f>IF(OR(E866="",E866="!!!"),"",IF(NOT(ISNA(VLOOKUP(E866,E$1:E865,1,FALSE()))),"OLD",IF(AND(E866&lt;&gt;"",E866&lt;&gt;"!!!"),"NEW","")))</f>
        <v> </v>
      </c>
      <c r="G866" s="24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5" t="str">
        <f>IF(J866&lt;&gt;1,"",IF(I866="SBJ","CB","?"))</f>
        <v> </v>
      </c>
      <c r="I866" s="26" t="str">
        <f>IF(OR(E866="",E866="!!!",F866="NEW"),"",INDEX(B865:B$2,-1+SUMPRODUCT(MAX(ROW(E865:E$2)*(E866=E865:E$2)))))</f>
        <v> </v>
      </c>
      <c r="J866" s="26" t="str">
        <f>IF(OR(E866="",E866="!!!",F866="NEW"),"",COUNTBLANK(OFFSET(A$1,,,SUMPRODUCT(MAX(ROW(E$2:E866)*(E866=E$2:E866)))))-COUNTBLANK(OFFSET(A$1,,,SUMPRODUCT(MAX(ROW(E$1:E865)*(E2=E$1:E865))))))</f>
        <v> </v>
      </c>
      <c r="K866" s="26" t="str">
        <f>IF(OR(E866="",E866="!!!",F866="NEW"),"",INDEX(J$1:J865,SUMPRODUCT(MAX(ROW(E$1:E865)*(E866=E$1:E865)))))</f>
        <v> </v>
      </c>
      <c r="L866" s="27"/>
    </row>
    <row r="867" spans="1:12">
      <c r="A867" s="20" t="s">
        <v>1057</v>
      </c>
      <c r="B867" s="21" t="s">
        <v>722</v>
      </c>
      <c r="C867" s="21" t="s">
        <v>800</v>
      </c>
      <c r="D867" s="21" t="s">
        <v>587</v>
      </c>
      <c r="E867" s="22">
        <f>IF(D867="?OLD","!!!","")</f>
        <v/>
      </c>
      <c r="F867" s="23" t="str">
        <f>IF(OR(E867="",E867="!!!"),"",IF(NOT(ISNA(VLOOKUP(E867,E$1:E866,1,FALSE()))),"OLD",IF(AND(E867&lt;&gt;"",E867&lt;&gt;"!!!"),"NEW","")))</f>
        <v> </v>
      </c>
      <c r="G867" s="24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5" t="str">
        <f>IF(J867&lt;&gt;1,"",IF(I867="SBJ","CB","?"))</f>
        <v> </v>
      </c>
      <c r="I867" s="26" t="str">
        <f>IF(OR(E867="",E867="!!!",F867="NEW"),"",INDEX(B866:B$2,-1+SUMPRODUCT(MAX(ROW(E866:E$2)*(E867=E866:E$2)))))</f>
        <v> </v>
      </c>
      <c r="J867" s="26" t="str">
        <f>IF(OR(E867="",E867="!!!",F867="NEW"),"",COUNTBLANK(OFFSET(A$1,,,SUMPRODUCT(MAX(ROW(E$2:E867)*(E867=E$2:E867)))))-COUNTBLANK(OFFSET(A$1,,,SUMPRODUCT(MAX(ROW(E$1:E866)*(E2=E$1:E866))))))</f>
        <v> </v>
      </c>
      <c r="K867" s="26" t="str">
        <f>IF(OR(E867="",E867="!!!",F867="NEW"),"",INDEX(J$1:J866,SUMPRODUCT(MAX(ROW(E$1:E866)*(E867=E$1:E866)))))</f>
        <v> </v>
      </c>
      <c r="L867" s="27"/>
    </row>
    <row r="868" spans="1:12">
      <c r="A868" s="20" t="s">
        <v>1059</v>
      </c>
      <c r="B868" s="21" t="s">
        <v>627</v>
      </c>
      <c r="C868" s="21" t="s">
        <v>628</v>
      </c>
      <c r="D868" s="21" t="s">
        <v>587</v>
      </c>
      <c r="E868" s="22">
        <f>IF(D868="?OLD","!!!","")</f>
        <v/>
      </c>
      <c r="F868" s="23" t="str">
        <f>IF(OR(E868="",E868="!!!"),"",IF(NOT(ISNA(VLOOKUP(E868,E$1:E867,1,FALSE()))),"OLD",IF(AND(E868&lt;&gt;"",E868&lt;&gt;"!!!"),"NEW","")))</f>
        <v> </v>
      </c>
      <c r="G868" s="24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5" t="str">
        <f>IF(J868&lt;&gt;1,"",IF(I868="SBJ","CB","?"))</f>
        <v> </v>
      </c>
      <c r="I868" s="26" t="str">
        <f>IF(OR(E868="",E868="!!!",F868="NEW"),"",INDEX(B867:B$2,-1+SUMPRODUCT(MAX(ROW(E867:E$2)*(E868=E867:E$2)))))</f>
        <v> </v>
      </c>
      <c r="J868" s="26" t="str">
        <f>IF(OR(E868="",E868="!!!",F868="NEW"),"",COUNTBLANK(OFFSET(A$1,,,SUMPRODUCT(MAX(ROW(E$2:E868)*(E868=E$2:E868)))))-COUNTBLANK(OFFSET(A$1,,,SUMPRODUCT(MAX(ROW(E$1:E867)*(E2=E$1:E867))))))</f>
        <v> </v>
      </c>
      <c r="K868" s="26" t="str">
        <f>IF(OR(E868="",E868="!!!",F868="NEW"),"",INDEX(J$1:J867,SUMPRODUCT(MAX(ROW(E$1:E867)*(E868=E$1:E867)))))</f>
        <v> </v>
      </c>
      <c r="L868" s="27"/>
    </row>
    <row r="869" spans="1:12">
      <c r="A869" s="20" t="s">
        <v>583</v>
      </c>
      <c r="E869" s="22">
        <f>IF(D869="?OLD","!!!","")</f>
        <v/>
      </c>
      <c r="F869" s="23" t="str">
        <f>IF(OR(E869="",E869="!!!"),"",IF(NOT(ISNA(VLOOKUP(E869,E$1:E868,1,FALSE()))),"OLD",IF(AND(E869&lt;&gt;"",E869&lt;&gt;"!!!"),"NEW","")))</f>
        <v> </v>
      </c>
      <c r="G869" s="24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5" t="str">
        <f>IF(J869&lt;&gt;1,"",IF(I869="SBJ","CB","?"))</f>
        <v> </v>
      </c>
      <c r="I869" s="26" t="str">
        <f>IF(OR(E869="",E869="!!!",F869="NEW"),"",INDEX(B868:B$2,-1+SUMPRODUCT(MAX(ROW(E868:E$2)*(E869=E868:E$2)))))</f>
        <v> </v>
      </c>
      <c r="J869" s="26" t="str">
        <f>IF(OR(E869="",E869="!!!",F869="NEW"),"",COUNTBLANK(OFFSET(A$1,,,SUMPRODUCT(MAX(ROW(E$2:E869)*(E869=E$2:E869)))))-COUNTBLANK(OFFSET(A$1,,,SUMPRODUCT(MAX(ROW(E$1:E868)*(E2=E$1:E868))))))</f>
        <v> </v>
      </c>
      <c r="K869" s="26" t="str">
        <f>IF(OR(E869="",E869="!!!",F869="NEW"),"",INDEX(J$1:J868,SUMPRODUCT(MAX(ROW(E$1:E868)*(E869=E$1:E868)))))</f>
        <v> </v>
      </c>
      <c r="L869" s="27"/>
    </row>
    <row r="870" spans="1:12">
      <c r="A870" s="20" t="s">
        <v>1056</v>
      </c>
      <c r="B870" s="21" t="s">
        <v>645</v>
      </c>
      <c r="C870" s="21" t="s">
        <v>628</v>
      </c>
      <c r="D870" s="21" t="s">
        <v>587</v>
      </c>
      <c r="E870" s="22">
        <f>IF(D870="?OLD","!!!","")</f>
        <v/>
      </c>
      <c r="F870" s="23" t="str">
        <f>IF(OR(E870="",E870="!!!"),"",IF(NOT(ISNA(VLOOKUP(E870,E$1:E869,1,FALSE()))),"OLD",IF(AND(E870&lt;&gt;"",E870&lt;&gt;"!!!"),"NEW","")))</f>
        <v> </v>
      </c>
      <c r="G870" s="24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5" t="str">
        <f>IF(J870&lt;&gt;1,"",IF(I870="SBJ","CB","?"))</f>
        <v> </v>
      </c>
      <c r="I870" s="26" t="str">
        <f>IF(OR(E870="",E870="!!!",F870="NEW"),"",INDEX(B869:B$2,-1+SUMPRODUCT(MAX(ROW(E869:E$2)*(E870=E869:E$2)))))</f>
        <v> </v>
      </c>
      <c r="J870" s="26" t="str">
        <f>IF(OR(E870="",E870="!!!",F870="NEW"),"",COUNTBLANK(OFFSET(A$1,,,SUMPRODUCT(MAX(ROW(E$2:E870)*(E870=E$2:E870)))))-COUNTBLANK(OFFSET(A$1,,,SUMPRODUCT(MAX(ROW(E$1:E869)*(E2=E$1:E869))))))</f>
        <v> </v>
      </c>
      <c r="K870" s="26" t="str">
        <f>IF(OR(E870="",E870="!!!",F870="NEW"),"",INDEX(J$1:J869,SUMPRODUCT(MAX(ROW(E$1:E869)*(E870=E$1:E869)))))</f>
        <v> </v>
      </c>
      <c r="L870" s="27"/>
    </row>
    <row r="871" spans="1:12">
      <c r="A871" s="20" t="s">
        <v>1057</v>
      </c>
      <c r="B871" s="21" t="s">
        <v>722</v>
      </c>
      <c r="C871" s="21" t="s">
        <v>800</v>
      </c>
      <c r="D871" s="21" t="s">
        <v>587</v>
      </c>
      <c r="E871" s="22">
        <f>IF(D871="?OLD","!!!","")</f>
        <v/>
      </c>
      <c r="F871" s="23" t="str">
        <f>IF(OR(E871="",E871="!!!"),"",IF(NOT(ISNA(VLOOKUP(E871,E$1:E870,1,FALSE()))),"OLD",IF(AND(E871&lt;&gt;"",E871&lt;&gt;"!!!"),"NEW","")))</f>
        <v> </v>
      </c>
      <c r="G871" s="24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5" t="str">
        <f>IF(J871&lt;&gt;1,"",IF(I871="SBJ","CB","?"))</f>
        <v> </v>
      </c>
      <c r="I871" s="26" t="str">
        <f>IF(OR(E871="",E871="!!!",F871="NEW"),"",INDEX(B870:B$2,-1+SUMPRODUCT(MAX(ROW(E870:E$2)*(E871=E870:E$2)))))</f>
        <v> </v>
      </c>
      <c r="J871" s="26" t="str">
        <f>IF(OR(E871="",E871="!!!",F871="NEW"),"",COUNTBLANK(OFFSET(A$1,,,SUMPRODUCT(MAX(ROW(E$2:E871)*(E871=E$2:E871)))))-COUNTBLANK(OFFSET(A$1,,,SUMPRODUCT(MAX(ROW(E$1:E870)*(E2=E$1:E870))))))</f>
        <v> </v>
      </c>
      <c r="K871" s="26" t="str">
        <f>IF(OR(E871="",E871="!!!",F871="NEW"),"",INDEX(J$1:J870,SUMPRODUCT(MAX(ROW(E$1:E870)*(E871=E$1:E870)))))</f>
        <v> </v>
      </c>
      <c r="L871" s="27"/>
    </row>
    <row r="872" spans="1:12">
      <c r="A872" s="20" t="s">
        <v>1060</v>
      </c>
      <c r="B872" s="21" t="s">
        <v>627</v>
      </c>
      <c r="C872" s="21" t="s">
        <v>628</v>
      </c>
      <c r="D872" s="21" t="s">
        <v>587</v>
      </c>
      <c r="E872" s="22">
        <f>IF(D872="?OLD","!!!","")</f>
        <v/>
      </c>
      <c r="F872" s="23" t="str">
        <f>IF(OR(E872="",E872="!!!"),"",IF(NOT(ISNA(VLOOKUP(E872,E$1:E871,1,FALSE()))),"OLD",IF(AND(E872&lt;&gt;"",E872&lt;&gt;"!!!"),"NEW","")))</f>
        <v> </v>
      </c>
      <c r="G872" s="24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5" t="str">
        <f>IF(J872&lt;&gt;1,"",IF(I872="SBJ","CB","?"))</f>
        <v> </v>
      </c>
      <c r="I872" s="26" t="str">
        <f>IF(OR(E872="",E872="!!!",F872="NEW"),"",INDEX(B871:B$2,-1+SUMPRODUCT(MAX(ROW(E871:E$2)*(E872=E871:E$2)))))</f>
        <v> </v>
      </c>
      <c r="J872" s="26" t="str">
        <f>IF(OR(E872="",E872="!!!",F872="NEW"),"",COUNTBLANK(OFFSET(A$1,,,SUMPRODUCT(MAX(ROW(E$2:E872)*(E872=E$2:E872)))))-COUNTBLANK(OFFSET(A$1,,,SUMPRODUCT(MAX(ROW(E$1:E871)*(E2=E$1:E871))))))</f>
        <v> </v>
      </c>
      <c r="K872" s="26" t="str">
        <f>IF(OR(E872="",E872="!!!",F872="NEW"),"",INDEX(J$1:J871,SUMPRODUCT(MAX(ROW(E$1:E871)*(E872=E$1:E871)))))</f>
        <v> </v>
      </c>
      <c r="L872" s="27"/>
    </row>
    <row r="873" spans="1:12">
      <c r="A873" s="20" t="s">
        <v>592</v>
      </c>
      <c r="E873" s="22">
        <f>IF(D873="?OLD","!!!","")</f>
        <v/>
      </c>
      <c r="F873" s="23" t="str">
        <f>IF(OR(E873="",E873="!!!"),"",IF(NOT(ISNA(VLOOKUP(E873,E$1:E872,1,FALSE()))),"OLD",IF(AND(E873&lt;&gt;"",E873&lt;&gt;"!!!"),"NEW","")))</f>
        <v> </v>
      </c>
      <c r="G873" s="24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5" t="str">
        <f>IF(J873&lt;&gt;1,"",IF(I873="SBJ","CB","?"))</f>
        <v> </v>
      </c>
      <c r="I873" s="26" t="str">
        <f>IF(OR(E873="",E873="!!!",F873="NEW"),"",INDEX(B872:B$2,-1+SUMPRODUCT(MAX(ROW(E872:E$2)*(E873=E872:E$2)))))</f>
        <v> </v>
      </c>
      <c r="J873" s="26" t="str">
        <f>IF(OR(E873="",E873="!!!",F873="NEW"),"",COUNTBLANK(OFFSET(A$1,,,SUMPRODUCT(MAX(ROW(E$2:E873)*(E873=E$2:E873)))))-COUNTBLANK(OFFSET(A$1,,,SUMPRODUCT(MAX(ROW(E$1:E872)*(E2=E$1:E872))))))</f>
        <v> </v>
      </c>
      <c r="K873" s="26" t="str">
        <f>IF(OR(E873="",E873="!!!",F873="NEW"),"",INDEX(J$1:J872,SUMPRODUCT(MAX(ROW(E$1:E872)*(E873=E$1:E872)))))</f>
        <v> </v>
      </c>
      <c r="L873" s="27"/>
    </row>
    <row r="874" spans="1:12">
      <c r="A874" s="20"/>
    </row>
    <row r="875" spans="1:12">
      <c r="A875" s="20" t="s">
        <v>1061</v>
      </c>
    </row>
    <row r="876" spans="1:12">
      <c r="A876" s="20" t="s">
        <v>1062</v>
      </c>
      <c r="B876" s="21" t="s">
        <v>578</v>
      </c>
      <c r="E876" s="22">
        <f>IF(D876="?OLD","!!!","")</f>
        <v/>
      </c>
      <c r="F876" s="23" t="str">
        <f>IF(OR(E876="",E876="!!!"),"",IF(NOT(ISNA(VLOOKUP(E876,E$1:E875,1,FALSE()))),"OLD",IF(AND(E876&lt;&gt;"",E876&lt;&gt;"!!!"),"NEW","")))</f>
        <v> </v>
      </c>
      <c r="G876" s="24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5" t="str">
        <f>IF(J876&lt;&gt;1,"",IF(I876="SBJ","CB","?"))</f>
        <v> </v>
      </c>
      <c r="I876" s="26" t="str">
        <f>IF(OR(E876="",E876="!!!",F876="NEW"),"",INDEX(B875:B$2,-1+SUMPRODUCT(MAX(ROW(E875:E$2)*(E876=E875:E$2)))))</f>
        <v> </v>
      </c>
      <c r="J876" s="26" t="str">
        <f>IF(OR(E876="",E876="!!!",F876="NEW"),"",COUNTBLANK(OFFSET(A$1,,,SUMPRODUCT(MAX(ROW(E$2:E876)*(E876=E$2:E876)))))-COUNTBLANK(OFFSET(A$1,,,SUMPRODUCT(MAX(ROW(E$1:E875)*(E2=E$1:E875))))))</f>
        <v> </v>
      </c>
      <c r="K876" s="26" t="str">
        <f>IF(OR(E876="",E876="!!!",F876="NEW"),"",INDEX(J$1:J875,SUMPRODUCT(MAX(ROW(E$1:E875)*(E876=E$1:E875)))))</f>
        <v> </v>
      </c>
      <c r="L876" s="27"/>
    </row>
    <row r="877" spans="1:12">
      <c r="A877" s="20" t="s">
        <v>655</v>
      </c>
      <c r="E877" s="22">
        <f>IF(D877="?OLD","!!!","")</f>
        <v/>
      </c>
      <c r="F877" s="23" t="str">
        <f>IF(OR(E877="",E877="!!!"),"",IF(NOT(ISNA(VLOOKUP(E877,E$1:E876,1,FALSE()))),"OLD",IF(AND(E877&lt;&gt;"",E877&lt;&gt;"!!!"),"NEW","")))</f>
        <v> </v>
      </c>
      <c r="G877" s="24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5" t="str">
        <f>IF(J877&lt;&gt;1,"",IF(I877="SBJ","CB","?"))</f>
        <v> </v>
      </c>
      <c r="I877" s="26" t="str">
        <f>IF(OR(E877="",E877="!!!",F877="NEW"),"",INDEX(B876:B$2,-1+SUMPRODUCT(MAX(ROW(E876:E$2)*(E877=E876:E$2)))))</f>
        <v> </v>
      </c>
      <c r="J877" s="26" t="str">
        <f>IF(OR(E877="",E877="!!!",F877="NEW"),"",COUNTBLANK(OFFSET(A$1,,,SUMPRODUCT(MAX(ROW(E$2:E877)*(E877=E$2:E877)))))-COUNTBLANK(OFFSET(A$1,,,SUMPRODUCT(MAX(ROW(E$1:E876)*(E2=E$1:E876))))))</f>
        <v> </v>
      </c>
      <c r="K877" s="26" t="str">
        <f>IF(OR(E877="",E877="!!!",F877="NEW"),"",INDEX(J$1:J876,SUMPRODUCT(MAX(ROW(E$1:E876)*(E877=E$1:E876)))))</f>
        <v> </v>
      </c>
      <c r="L877" s="27"/>
    </row>
    <row r="878" spans="1:12">
      <c r="A878" s="20" t="s">
        <v>656</v>
      </c>
      <c r="B878" s="21" t="s">
        <v>651</v>
      </c>
      <c r="C878" s="21" t="s">
        <v>586</v>
      </c>
      <c r="D878" s="21" t="s">
        <v>587</v>
      </c>
      <c r="E878" s="22">
        <f>IF(D878="?OLD","!!!","")</f>
        <v/>
      </c>
      <c r="F878" s="23" t="str">
        <f>IF(OR(E878="",E878="!!!"),"",IF(NOT(ISNA(VLOOKUP(E878,E$1:E877,1,FALSE()))),"OLD",IF(AND(E878&lt;&gt;"",E878&lt;&gt;"!!!"),"NEW","")))</f>
        <v> </v>
      </c>
      <c r="G878" s="24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5" t="str">
        <f>IF(J878&lt;&gt;1,"",IF(I878="SBJ","CB","?"))</f>
        <v> </v>
      </c>
      <c r="I878" s="26" t="str">
        <f>IF(OR(E878="",E878="!!!",F878="NEW"),"",INDEX(B877:B$2,-1+SUMPRODUCT(MAX(ROW(E877:E$2)*(E878=E877:E$2)))))</f>
        <v> </v>
      </c>
      <c r="J878" s="26" t="str">
        <f>IF(OR(E878="",E878="!!!",F878="NEW"),"",COUNTBLANK(OFFSET(A$1,,,SUMPRODUCT(MAX(ROW(E$2:E878)*(E878=E$2:E878)))))-COUNTBLANK(OFFSET(A$1,,,SUMPRODUCT(MAX(ROW(E$1:E877)*(E2=E$1:E877))))))</f>
        <v> </v>
      </c>
      <c r="K878" s="26" t="str">
        <f>IF(OR(E878="",E878="!!!",F878="NEW"),"",INDEX(J$1:J877,SUMPRODUCT(MAX(ROW(E$1:E877)*(E878=E$1:E877)))))</f>
        <v> </v>
      </c>
      <c r="L878" s="27"/>
    </row>
    <row r="879" spans="1:12">
      <c r="A879" s="20" t="s">
        <v>967</v>
      </c>
      <c r="E879" s="22">
        <f>IF(D879="?OLD","!!!","")</f>
        <v/>
      </c>
      <c r="F879" s="23" t="str">
        <f>IF(OR(E879="",E879="!!!"),"",IF(NOT(ISNA(VLOOKUP(E879,E$1:E878,1,FALSE()))),"OLD",IF(AND(E879&lt;&gt;"",E879&lt;&gt;"!!!"),"NEW","")))</f>
        <v> </v>
      </c>
      <c r="G879" s="24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5" t="str">
        <f>IF(J879&lt;&gt;1,"",IF(I879="SBJ","CB","?"))</f>
        <v> </v>
      </c>
      <c r="I879" s="26" t="str">
        <f>IF(OR(E879="",E879="!!!",F879="NEW"),"",INDEX(B878:B$2,-1+SUMPRODUCT(MAX(ROW(E878:E$2)*(E879=E878:E$2)))))</f>
        <v> </v>
      </c>
      <c r="J879" s="26" t="str">
        <f>IF(OR(E879="",E879="!!!",F879="NEW"),"",COUNTBLANK(OFFSET(A$1,,,SUMPRODUCT(MAX(ROW(E$2:E879)*(E879=E$2:E879)))))-COUNTBLANK(OFFSET(A$1,,,SUMPRODUCT(MAX(ROW(E$1:E878)*(E2=E$1:E878))))))</f>
        <v> </v>
      </c>
      <c r="K879" s="26" t="str">
        <f>IF(OR(E879="",E879="!!!",F879="NEW"),"",INDEX(J$1:J878,SUMPRODUCT(MAX(ROW(E$1:E878)*(E879=E$1:E878)))))</f>
        <v> </v>
      </c>
      <c r="L879" s="27"/>
    </row>
    <row r="880" spans="1:12">
      <c r="A880" s="20" t="s">
        <v>583</v>
      </c>
      <c r="E880" s="22">
        <f>IF(D880="?OLD","!!!","")</f>
        <v/>
      </c>
      <c r="F880" s="23" t="str">
        <f>IF(OR(E880="",E880="!!!"),"",IF(NOT(ISNA(VLOOKUP(E880,E$1:E879,1,FALSE()))),"OLD",IF(AND(E880&lt;&gt;"",E880&lt;&gt;"!!!"),"NEW","")))</f>
        <v> </v>
      </c>
      <c r="G880" s="24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5" t="str">
        <f>IF(J880&lt;&gt;1,"",IF(I880="SBJ","CB","?"))</f>
        <v> </v>
      </c>
      <c r="I880" s="26" t="str">
        <f>IF(OR(E880="",E880="!!!",F880="NEW"),"",INDEX(B879:B$2,-1+SUMPRODUCT(MAX(ROW(E879:E$2)*(E880=E879:E$2)))))</f>
        <v> </v>
      </c>
      <c r="J880" s="26" t="str">
        <f>IF(OR(E880="",E880="!!!",F880="NEW"),"",COUNTBLANK(OFFSET(A$1,,,SUMPRODUCT(MAX(ROW(E$2:E880)*(E880=E$2:E880)))))-COUNTBLANK(OFFSET(A$1,,,SUMPRODUCT(MAX(ROW(E$1:E879)*(E2=E$1:E879))))))</f>
        <v> </v>
      </c>
      <c r="K880" s="26" t="str">
        <f>IF(OR(E880="",E880="!!!",F880="NEW"),"",INDEX(J$1:J879,SUMPRODUCT(MAX(ROW(E$1:E879)*(E880=E$1:E879)))))</f>
        <v> </v>
      </c>
      <c r="L880" s="27"/>
    </row>
    <row r="881" spans="1:12">
      <c r="A881" s="20" t="s">
        <v>1063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 t="s">
        <v>580</v>
      </c>
      <c r="E882" s="22">
        <f>IF(D882="?OLD","!!!","")</f>
        <v/>
      </c>
      <c r="F882" s="23" t="str">
        <f>IF(OR(E882="",E882="!!!"),"",IF(NOT(ISNA(VLOOKUP(E882,E$1:E881,1,FALSE()))),"OLD",IF(AND(E882&lt;&gt;"",E882&lt;&gt;"!!!"),"NEW","")))</f>
        <v> </v>
      </c>
      <c r="G882" s="24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5" t="str">
        <f>IF(J882&lt;&gt;1,"",IF(I882="SBJ","CB","?"))</f>
        <v> </v>
      </c>
      <c r="I882" s="26" t="str">
        <f>IF(OR(E882="",E882="!!!",F882="NEW"),"",INDEX(B881:B$2,-1+SUMPRODUCT(MAX(ROW(E881:E$2)*(E882=E881:E$2)))))</f>
        <v> </v>
      </c>
      <c r="J882" s="26" t="str">
        <f>IF(OR(E882="",E882="!!!",F882="NEW"),"",COUNTBLANK(OFFSET(A$1,,,SUMPRODUCT(MAX(ROW(E$2:E882)*(E882=E$2:E882)))))-COUNTBLANK(OFFSET(A$1,,,SUMPRODUCT(MAX(ROW(E$1:E881)*(E2=E$1:E881))))))</f>
        <v> </v>
      </c>
      <c r="K882" s="26" t="str">
        <f>IF(OR(E882="",E882="!!!",F882="NEW"),"",INDEX(J$1:J881,SUMPRODUCT(MAX(ROW(E$1:E881)*(E882=E$1:E881)))))</f>
        <v> </v>
      </c>
      <c r="L882" s="27"/>
    </row>
    <row r="883" spans="1:12">
      <c r="A883" s="20" t="s">
        <v>1064</v>
      </c>
      <c r="E883" s="22">
        <f>IF(D883="?OLD","!!!","")</f>
        <v/>
      </c>
      <c r="F883" s="23" t="str">
        <f>IF(OR(E883="",E883="!!!"),"",IF(NOT(ISNA(VLOOKUP(E883,E$1:E882,1,FALSE()))),"OLD",IF(AND(E883&lt;&gt;"",E883&lt;&gt;"!!!"),"NEW","")))</f>
        <v> </v>
      </c>
      <c r="G883" s="24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5" t="str">
        <f>IF(J883&lt;&gt;1,"",IF(I883="SBJ","CB","?"))</f>
        <v> </v>
      </c>
      <c r="I883" s="26" t="str">
        <f>IF(OR(E883="",E883="!!!",F883="NEW"),"",INDEX(B882:B$2,-1+SUMPRODUCT(MAX(ROW(E882:E$2)*(E883=E882:E$2)))))</f>
        <v> </v>
      </c>
      <c r="J883" s="26" t="str">
        <f>IF(OR(E883="",E883="!!!",F883="NEW"),"",COUNTBLANK(OFFSET(A$1,,,SUMPRODUCT(MAX(ROW(E$2:E883)*(E883=E$2:E883)))))-COUNTBLANK(OFFSET(A$1,,,SUMPRODUCT(MAX(ROW(E$1:E882)*(E2=E$1:E882))))))</f>
        <v> </v>
      </c>
      <c r="K883" s="26" t="str">
        <f>IF(OR(E883="",E883="!!!",F883="NEW"),"",INDEX(J$1:J882,SUMPRODUCT(MAX(ROW(E$1:E882)*(E883=E$1:E882)))))</f>
        <v> </v>
      </c>
      <c r="L883" s="27"/>
    </row>
    <row r="884" spans="1:12">
      <c r="A884" s="20" t="s">
        <v>1065</v>
      </c>
      <c r="E884" s="22">
        <f>IF(D884="?OLD","!!!","")</f>
        <v/>
      </c>
      <c r="F884" s="23" t="str">
        <f>IF(OR(E884="",E884="!!!"),"",IF(NOT(ISNA(VLOOKUP(E884,E$1:E883,1,FALSE()))),"OLD",IF(AND(E884&lt;&gt;"",E884&lt;&gt;"!!!"),"NEW","")))</f>
        <v> </v>
      </c>
      <c r="G884" s="24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5" t="str">
        <f>IF(J884&lt;&gt;1,"",IF(I884="SBJ","CB","?"))</f>
        <v> </v>
      </c>
      <c r="I884" s="26" t="str">
        <f>IF(OR(E884="",E884="!!!",F884="NEW"),"",INDEX(B883:B$2,-1+SUMPRODUCT(MAX(ROW(E883:E$2)*(E884=E883:E$2)))))</f>
        <v> </v>
      </c>
      <c r="J884" s="26" t="str">
        <f>IF(OR(E884="",E884="!!!",F884="NEW"),"",COUNTBLANK(OFFSET(A$1,,,SUMPRODUCT(MAX(ROW(E$2:E884)*(E884=E$2:E884)))))-COUNTBLANK(OFFSET(A$1,,,SUMPRODUCT(MAX(ROW(E$1:E883)*(E2=E$1:E883))))))</f>
        <v> </v>
      </c>
      <c r="K884" s="26" t="str">
        <f>IF(OR(E884="",E884="!!!",F884="NEW"),"",INDEX(J$1:J883,SUMPRODUCT(MAX(ROW(E$1:E883)*(E884=E$1:E883)))))</f>
        <v> </v>
      </c>
      <c r="L884" s="27"/>
    </row>
    <row r="885" spans="1:12">
      <c r="A885" s="20" t="s">
        <v>592</v>
      </c>
      <c r="E885" s="22">
        <f>IF(D885="?OLD","!!!","")</f>
        <v/>
      </c>
      <c r="F885" s="23" t="str">
        <f>IF(OR(E885="",E885="!!!"),"",IF(NOT(ISNA(VLOOKUP(E885,E$1:E884,1,FALSE()))),"OLD",IF(AND(E885&lt;&gt;"",E885&lt;&gt;"!!!"),"NEW","")))</f>
        <v> </v>
      </c>
      <c r="G885" s="24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5" t="str">
        <f>IF(J885&lt;&gt;1,"",IF(I885="SBJ","CB","?"))</f>
        <v> </v>
      </c>
      <c r="I885" s="26" t="str">
        <f>IF(OR(E885="",E885="!!!",F885="NEW"),"",INDEX(B884:B$2,-1+SUMPRODUCT(MAX(ROW(E884:E$2)*(E885=E884:E$2)))))</f>
        <v> </v>
      </c>
      <c r="J885" s="26" t="str">
        <f>IF(OR(E885="",E885="!!!",F885="NEW"),"",COUNTBLANK(OFFSET(A$1,,,SUMPRODUCT(MAX(ROW(E$2:E885)*(E885=E$2:E885)))))-COUNTBLANK(OFFSET(A$1,,,SUMPRODUCT(MAX(ROW(E$1:E884)*(E2=E$1:E884))))))</f>
        <v> </v>
      </c>
      <c r="K885" s="26" t="str">
        <f>IF(OR(E885="",E885="!!!",F885="NEW"),"",INDEX(J$1:J884,SUMPRODUCT(MAX(ROW(E$1:E884)*(E885=E$1:E884)))))</f>
        <v> </v>
      </c>
      <c r="L885" s="27"/>
    </row>
    <row r="886" spans="1:12">
      <c r="A886" s="20"/>
    </row>
    <row r="887" spans="1:12">
      <c r="A887" s="20" t="s">
        <v>1066</v>
      </c>
    </row>
    <row r="888" spans="1:12">
      <c r="A888" s="20" t="s">
        <v>1067</v>
      </c>
      <c r="E888" s="22">
        <f>IF(D888="?OLD","!!!","")</f>
        <v/>
      </c>
      <c r="F888" s="23" t="str">
        <f>IF(OR(E888="",E888="!!!"),"",IF(NOT(ISNA(VLOOKUP(E888,E$1:E887,1,FALSE()))),"OLD",IF(AND(E888&lt;&gt;"",E888&lt;&gt;"!!!"),"NEW","")))</f>
        <v> </v>
      </c>
      <c r="G888" s="24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5" t="str">
        <f>IF(J888&lt;&gt;1,"",IF(I888="SBJ","CB","?"))</f>
        <v> </v>
      </c>
      <c r="I888" s="26" t="str">
        <f>IF(OR(E888="",E888="!!!",F888="NEW"),"",INDEX(B887:B$2,-1+SUMPRODUCT(MAX(ROW(E887:E$2)*(E888=E887:E$2)))))</f>
        <v> </v>
      </c>
      <c r="J888" s="26" t="str">
        <f>IF(OR(E888="",E888="!!!",F888="NEW"),"",COUNTBLANK(OFFSET(A$1,,,SUMPRODUCT(MAX(ROW(E$2:E888)*(E888=E$2:E888)))))-COUNTBLANK(OFFSET(A$1,,,SUMPRODUCT(MAX(ROW(E$1:E887)*(E2=E$1:E887))))))</f>
        <v> </v>
      </c>
      <c r="K888" s="26" t="str">
        <f>IF(OR(E888="",E888="!!!",F888="NEW"),"",INDEX(J$1:J887,SUMPRODUCT(MAX(ROW(E$1:E887)*(E888=E$1:E887)))))</f>
        <v> </v>
      </c>
      <c r="L888" s="27"/>
    </row>
    <row r="889" spans="1:12">
      <c r="A889" s="20" t="s">
        <v>1068</v>
      </c>
      <c r="B889" s="21" t="s">
        <v>651</v>
      </c>
      <c r="C889" s="21" t="s">
        <v>586</v>
      </c>
      <c r="E889" s="22">
        <f>IF(D889="?OLD","!!!","")</f>
        <v/>
      </c>
      <c r="F889" s="23" t="str">
        <f>IF(OR(E889="",E889="!!!"),"",IF(NOT(ISNA(VLOOKUP(E889,E$1:E888,1,FALSE()))),"OLD",IF(AND(E889&lt;&gt;"",E889&lt;&gt;"!!!"),"NEW","")))</f>
        <v> </v>
      </c>
      <c r="G889" s="24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5" t="str">
        <f>IF(J889&lt;&gt;1,"",IF(I889="SBJ","CB","?"))</f>
        <v> </v>
      </c>
      <c r="I889" s="26" t="str">
        <f>IF(OR(E889="",E889="!!!",F889="NEW"),"",INDEX(B888:B$2,-1+SUMPRODUCT(MAX(ROW(E888:E$2)*(E889=E888:E$2)))))</f>
        <v> </v>
      </c>
      <c r="J889" s="26" t="str">
        <f>IF(OR(E889="",E889="!!!",F889="NEW"),"",COUNTBLANK(OFFSET(A$1,,,SUMPRODUCT(MAX(ROW(E$2:E889)*(E889=E$2:E889)))))-COUNTBLANK(OFFSET(A$1,,,SUMPRODUCT(MAX(ROW(E$1:E888)*(E2=E$1:E888))))))</f>
        <v> </v>
      </c>
      <c r="K889" s="26" t="str">
        <f>IF(OR(E889="",E889="!!!",F889="NEW"),"",INDEX(J$1:J888,SUMPRODUCT(MAX(ROW(E$1:E888)*(E889=E$1:E888)))))</f>
        <v> </v>
      </c>
      <c r="L889" s="27"/>
    </row>
    <row r="890" spans="1:12">
      <c r="A890" s="20" t="s">
        <v>1069</v>
      </c>
      <c r="E890" s="22">
        <f>IF(D890="?OLD","!!!","")</f>
        <v/>
      </c>
      <c r="F890" s="23" t="str">
        <f>IF(OR(E890="",E890="!!!"),"",IF(NOT(ISNA(VLOOKUP(E890,E$1:E889,1,FALSE()))),"OLD",IF(AND(E890&lt;&gt;"",E890&lt;&gt;"!!!"),"NEW","")))</f>
        <v> </v>
      </c>
      <c r="G890" s="24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5" t="str">
        <f>IF(J890&lt;&gt;1,"",IF(I890="SBJ","CB","?"))</f>
        <v> </v>
      </c>
      <c r="I890" s="26" t="str">
        <f>IF(OR(E890="",E890="!!!",F890="NEW"),"",INDEX(B889:B$2,-1+SUMPRODUCT(MAX(ROW(E889:E$2)*(E890=E889:E$2)))))</f>
        <v> </v>
      </c>
      <c r="J890" s="26" t="str">
        <f>IF(OR(E890="",E890="!!!",F890="NEW"),"",COUNTBLANK(OFFSET(A$1,,,SUMPRODUCT(MAX(ROW(E$2:E890)*(E890=E$2:E890)))))-COUNTBLANK(OFFSET(A$1,,,SUMPRODUCT(MAX(ROW(E$1:E889)*(E2=E$1:E889))))))</f>
        <v> </v>
      </c>
      <c r="K890" s="26" t="str">
        <f>IF(OR(E890="",E890="!!!",F890="NEW"),"",INDEX(J$1:J889,SUMPRODUCT(MAX(ROW(E$1:E889)*(E890=E$1:E889)))))</f>
        <v> </v>
      </c>
      <c r="L890" s="27"/>
    </row>
    <row r="891" spans="1:12">
      <c r="A891" s="20" t="s">
        <v>1070</v>
      </c>
      <c r="B891" s="21" t="s">
        <v>578</v>
      </c>
      <c r="E891" s="22">
        <f>IF(D891="?OLD","!!!","")</f>
        <v/>
      </c>
      <c r="F891" s="23" t="str">
        <f>IF(OR(E891="",E891="!!!"),"",IF(NOT(ISNA(VLOOKUP(E891,E$1:E890,1,FALSE()))),"OLD",IF(AND(E891&lt;&gt;"",E891&lt;&gt;"!!!"),"NEW","")))</f>
        <v> </v>
      </c>
      <c r="G891" s="24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5" t="str">
        <f>IF(J891&lt;&gt;1,"",IF(I891="SBJ","CB","?"))</f>
        <v> </v>
      </c>
      <c r="I891" s="26" t="str">
        <f>IF(OR(E891="",E891="!!!",F891="NEW"),"",INDEX(B890:B$2,-1+SUMPRODUCT(MAX(ROW(E890:E$2)*(E891=E890:E$2)))))</f>
        <v> </v>
      </c>
      <c r="J891" s="26" t="str">
        <f>IF(OR(E891="",E891="!!!",F891="NEW"),"",COUNTBLANK(OFFSET(A$1,,,SUMPRODUCT(MAX(ROW(E$2:E891)*(E891=E$2:E891)))))-COUNTBLANK(OFFSET(A$1,,,SUMPRODUCT(MAX(ROW(E$1:E890)*(E2=E$1:E890))))))</f>
        <v> </v>
      </c>
      <c r="K891" s="26" t="str">
        <f>IF(OR(E891="",E891="!!!",F891="NEW"),"",INDEX(J$1:J890,SUMPRODUCT(MAX(ROW(E$1:E890)*(E891=E$1:E890)))))</f>
        <v> </v>
      </c>
      <c r="L891" s="27"/>
    </row>
    <row r="892" spans="1:12">
      <c r="A892" s="20" t="s">
        <v>741</v>
      </c>
      <c r="E892" s="22">
        <f>IF(D892="?OLD","!!!","")</f>
        <v/>
      </c>
      <c r="F892" s="23" t="str">
        <f>IF(OR(E892="",E892="!!!"),"",IF(NOT(ISNA(VLOOKUP(E892,E$1:E891,1,FALSE()))),"OLD",IF(AND(E892&lt;&gt;"",E892&lt;&gt;"!!!"),"NEW","")))</f>
        <v> </v>
      </c>
      <c r="G892" s="24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5" t="str">
        <f>IF(J892&lt;&gt;1,"",IF(I892="SBJ","CB","?"))</f>
        <v> </v>
      </c>
      <c r="I892" s="26" t="str">
        <f>IF(OR(E892="",E892="!!!",F892="NEW"),"",INDEX(B891:B$2,-1+SUMPRODUCT(MAX(ROW(E891:E$2)*(E892=E891:E$2)))))</f>
        <v> </v>
      </c>
      <c r="J892" s="26" t="str">
        <f>IF(OR(E892="",E892="!!!",F892="NEW"),"",COUNTBLANK(OFFSET(A$1,,,SUMPRODUCT(MAX(ROW(E$2:E892)*(E892=E$2:E892)))))-COUNTBLANK(OFFSET(A$1,,,SUMPRODUCT(MAX(ROW(E$1:E891)*(E2=E$1:E891))))))</f>
        <v> </v>
      </c>
      <c r="K892" s="26" t="str">
        <f>IF(OR(E892="",E892="!!!",F892="NEW"),"",INDEX(J$1:J891,SUMPRODUCT(MAX(ROW(E$1:E891)*(E892=E$1:E891)))))</f>
        <v> </v>
      </c>
      <c r="L892" s="27"/>
    </row>
    <row r="893" spans="1:12">
      <c r="A893" s="20" t="s">
        <v>733</v>
      </c>
      <c r="E893" s="22">
        <f>IF(D893="?OLD","!!!","")</f>
        <v/>
      </c>
      <c r="F893" s="23" t="str">
        <f>IF(OR(E893="",E893="!!!"),"",IF(NOT(ISNA(VLOOKUP(E893,E$1:E892,1,FALSE()))),"OLD",IF(AND(E893&lt;&gt;"",E893&lt;&gt;"!!!"),"NEW","")))</f>
        <v> </v>
      </c>
      <c r="G893" s="24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5" t="str">
        <f>IF(J893&lt;&gt;1,"",IF(I893="SBJ","CB","?"))</f>
        <v> </v>
      </c>
      <c r="I893" s="26" t="str">
        <f>IF(OR(E893="",E893="!!!",F893="NEW"),"",INDEX(B892:B$2,-1+SUMPRODUCT(MAX(ROW(E892:E$2)*(E893=E892:E$2)))))</f>
        <v> </v>
      </c>
      <c r="J893" s="26" t="str">
        <f>IF(OR(E893="",E893="!!!",F893="NEW"),"",COUNTBLANK(OFFSET(A$1,,,SUMPRODUCT(MAX(ROW(E$2:E893)*(E893=E$2:E893)))))-COUNTBLANK(OFFSET(A$1,,,SUMPRODUCT(MAX(ROW(E$1:E892)*(E2=E$1:E892))))))</f>
        <v> </v>
      </c>
      <c r="K893" s="26" t="str">
        <f>IF(OR(E893="",E893="!!!",F893="NEW"),"",INDEX(J$1:J892,SUMPRODUCT(MAX(ROW(E$1:E892)*(E893=E$1:E892)))))</f>
        <v> </v>
      </c>
      <c r="L893" s="27"/>
    </row>
    <row r="894" spans="1:12">
      <c r="A894" s="20" t="s">
        <v>653</v>
      </c>
      <c r="B894" s="21" t="s">
        <v>605</v>
      </c>
      <c r="C894" s="21" t="s">
        <v>613</v>
      </c>
      <c r="D894" s="21" t="s">
        <v>587</v>
      </c>
      <c r="E894" s="22">
        <f>IF(D894="?OLD","!!!","")</f>
        <v/>
      </c>
      <c r="F894" s="23" t="str">
        <f>IF(OR(E894="",E894="!!!"),"",IF(NOT(ISNA(VLOOKUP(E894,E$1:E893,1,FALSE()))),"OLD",IF(AND(E894&lt;&gt;"",E894&lt;&gt;"!!!"),"NEW","")))</f>
        <v> </v>
      </c>
      <c r="G894" s="24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5" t="str">
        <f>IF(J894&lt;&gt;1,"",IF(I894="SBJ","CB","?"))</f>
        <v> </v>
      </c>
      <c r="I894" s="26" t="str">
        <f>IF(OR(E894="",E894="!!!",F894="NEW"),"",INDEX(B893:B$2,-1+SUMPRODUCT(MAX(ROW(E893:E$2)*(E894=E893:E$2)))))</f>
        <v> </v>
      </c>
      <c r="J894" s="26" t="str">
        <f>IF(OR(E894="",E894="!!!",F894="NEW"),"",COUNTBLANK(OFFSET(A$1,,,SUMPRODUCT(MAX(ROW(E$2:E894)*(E894=E$2:E894)))))-COUNTBLANK(OFFSET(A$1,,,SUMPRODUCT(MAX(ROW(E$1:E893)*(E2=E$1:E893))))))</f>
        <v> </v>
      </c>
      <c r="K894" s="26" t="str">
        <f>IF(OR(E894="",E894="!!!",F894="NEW"),"",INDEX(J$1:J893,SUMPRODUCT(MAX(ROW(E$1:E893)*(E894=E$1:E893)))))</f>
        <v> </v>
      </c>
      <c r="L894" s="27"/>
    </row>
    <row r="895" spans="1:12">
      <c r="A895" s="20" t="s">
        <v>1071</v>
      </c>
      <c r="E895" s="22">
        <f>IF(D895="?OLD","!!!","")</f>
        <v/>
      </c>
      <c r="F895" s="23" t="str">
        <f>IF(OR(E895="",E895="!!!"),"",IF(NOT(ISNA(VLOOKUP(E895,E$1:E894,1,FALSE()))),"OLD",IF(AND(E895&lt;&gt;"",E895&lt;&gt;"!!!"),"NEW","")))</f>
        <v> </v>
      </c>
      <c r="G895" s="24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5" t="str">
        <f>IF(J895&lt;&gt;1,"",IF(I895="SBJ","CB","?"))</f>
        <v> </v>
      </c>
      <c r="I895" s="26" t="str">
        <f>IF(OR(E895="",E895="!!!",F895="NEW"),"",INDEX(B894:B$2,-1+SUMPRODUCT(MAX(ROW(E894:E$2)*(E895=E894:E$2)))))</f>
        <v> </v>
      </c>
      <c r="J895" s="26" t="str">
        <f>IF(OR(E895="",E895="!!!",F895="NEW"),"",COUNTBLANK(OFFSET(A$1,,,SUMPRODUCT(MAX(ROW(E$2:E895)*(E895=E$2:E895)))))-COUNTBLANK(OFFSET(A$1,,,SUMPRODUCT(MAX(ROW(E$1:E894)*(E2=E$1:E894))))))</f>
        <v> </v>
      </c>
      <c r="K895" s="26" t="str">
        <f>IF(OR(E895="",E895="!!!",F895="NEW"),"",INDEX(J$1:J894,SUMPRODUCT(MAX(ROW(E$1:E894)*(E895=E$1:E894)))))</f>
        <v> </v>
      </c>
      <c r="L895" s="27"/>
    </row>
    <row r="896" spans="1:12">
      <c r="A896" s="20" t="s">
        <v>1072</v>
      </c>
      <c r="E896" s="22">
        <f>IF(D896="?OLD","!!!","")</f>
        <v/>
      </c>
      <c r="F896" s="23" t="str">
        <f>IF(OR(E896="",E896="!!!"),"",IF(NOT(ISNA(VLOOKUP(E896,E$1:E895,1,FALSE()))),"OLD",IF(AND(E896&lt;&gt;"",E896&lt;&gt;"!!!"),"NEW","")))</f>
        <v> </v>
      </c>
      <c r="G896" s="24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5" t="str">
        <f>IF(J896&lt;&gt;1,"",IF(I896="SBJ","CB","?"))</f>
        <v> </v>
      </c>
      <c r="I896" s="26" t="str">
        <f>IF(OR(E896="",E896="!!!",F896="NEW"),"",INDEX(B895:B$2,-1+SUMPRODUCT(MAX(ROW(E895:E$2)*(E896=E895:E$2)))))</f>
        <v> </v>
      </c>
      <c r="J896" s="26" t="str">
        <f>IF(OR(E896="",E896="!!!",F896="NEW"),"",COUNTBLANK(OFFSET(A$1,,,SUMPRODUCT(MAX(ROW(E$2:E896)*(E896=E$2:E896)))))-COUNTBLANK(OFFSET(A$1,,,SUMPRODUCT(MAX(ROW(E$1:E895)*(E2=E$1:E895))))))</f>
        <v> </v>
      </c>
      <c r="K896" s="26" t="str">
        <f>IF(OR(E896="",E896="!!!",F896="NEW"),"",INDEX(J$1:J895,SUMPRODUCT(MAX(ROW(E$1:E895)*(E896=E$1:E895)))))</f>
        <v> </v>
      </c>
      <c r="L896" s="27"/>
    </row>
    <row r="897" spans="1:12">
      <c r="A897" s="20" t="s">
        <v>25</v>
      </c>
      <c r="B897" s="21" t="s">
        <v>695</v>
      </c>
      <c r="E897" s="22">
        <f>IF(D897="?OLD","!!!","")</f>
        <v/>
      </c>
      <c r="F897" s="23" t="str">
        <f>IF(OR(E897="",E897="!!!"),"",IF(NOT(ISNA(VLOOKUP(E897,E$1:E896,1,FALSE()))),"OLD",IF(AND(E897&lt;&gt;"",E897&lt;&gt;"!!!"),"NEW","")))</f>
        <v> </v>
      </c>
      <c r="G897" s="24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5" t="str">
        <f>IF(J897&lt;&gt;1,"",IF(I897="SBJ","CB","?"))</f>
        <v> </v>
      </c>
      <c r="I897" s="26" t="str">
        <f>IF(OR(E897="",E897="!!!",F897="NEW"),"",INDEX(B896:B$2,-1+SUMPRODUCT(MAX(ROW(E896:E$2)*(E897=E896:E$2)))))</f>
        <v> </v>
      </c>
      <c r="J897" s="26" t="str">
        <f>IF(OR(E897="",E897="!!!",F897="NEW"),"",COUNTBLANK(OFFSET(A$1,,,SUMPRODUCT(MAX(ROW(E$2:E897)*(E897=E$2:E897)))))-COUNTBLANK(OFFSET(A$1,,,SUMPRODUCT(MAX(ROW(E$1:E896)*(E2=E$1:E896))))))</f>
        <v> </v>
      </c>
      <c r="K897" s="26" t="str">
        <f>IF(OR(E897="",E897="!!!",F897="NEW"),"",INDEX(J$1:J896,SUMPRODUCT(MAX(ROW(E$1:E896)*(E897=E$1:E896)))))</f>
        <v> </v>
      </c>
      <c r="L897" s="27"/>
    </row>
    <row r="898" spans="1:12">
      <c r="A898" s="20" t="s">
        <v>583</v>
      </c>
      <c r="E898" s="22">
        <f>IF(D898="?OLD","!!!","")</f>
        <v/>
      </c>
      <c r="F898" s="23" t="str">
        <f>IF(OR(E898="",E898="!!!"),"",IF(NOT(ISNA(VLOOKUP(E898,E$1:E897,1,FALSE()))),"OLD",IF(AND(E898&lt;&gt;"",E898&lt;&gt;"!!!"),"NEW","")))</f>
        <v> </v>
      </c>
      <c r="G898" s="24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5" t="str">
        <f>IF(J898&lt;&gt;1,"",IF(I898="SBJ","CB","?"))</f>
        <v> </v>
      </c>
      <c r="I898" s="26" t="str">
        <f>IF(OR(E898="",E898="!!!",F898="NEW"),"",INDEX(B897:B$2,-1+SUMPRODUCT(MAX(ROW(E897:E$2)*(E898=E897:E$2)))))</f>
        <v> </v>
      </c>
      <c r="J898" s="26" t="str">
        <f>IF(OR(E898="",E898="!!!",F898="NEW"),"",COUNTBLANK(OFFSET(A$1,,,SUMPRODUCT(MAX(ROW(E$2:E898)*(E898=E$2:E898)))))-COUNTBLANK(OFFSET(A$1,,,SUMPRODUCT(MAX(ROW(E$1:E897)*(E2=E$1:E897))))))</f>
        <v> </v>
      </c>
      <c r="K898" s="26" t="str">
        <f>IF(OR(E898="",E898="!!!",F898="NEW"),"",INDEX(J$1:J897,SUMPRODUCT(MAX(ROW(E$1:E897)*(E898=E$1:E897)))))</f>
        <v> </v>
      </c>
      <c r="L898" s="27"/>
    </row>
    <row r="899" spans="1:12">
      <c r="A899" s="20" t="s">
        <v>580</v>
      </c>
      <c r="E899" s="22">
        <f>IF(D899="?OLD","!!!","")</f>
        <v/>
      </c>
      <c r="F899" s="23" t="str">
        <f>IF(OR(E899="",E899="!!!"),"",IF(NOT(ISNA(VLOOKUP(E899,E$1:E898,1,FALSE()))),"OLD",IF(AND(E899&lt;&gt;"",E899&lt;&gt;"!!!"),"NEW","")))</f>
        <v> </v>
      </c>
      <c r="G899" s="24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5" t="str">
        <f>IF(J899&lt;&gt;1,"",IF(I899="SBJ","CB","?"))</f>
        <v> </v>
      </c>
      <c r="I899" s="26" t="str">
        <f>IF(OR(E899="",E899="!!!",F899="NEW"),"",INDEX(B898:B$2,-1+SUMPRODUCT(MAX(ROW(E898:E$2)*(E899=E898:E$2)))))</f>
        <v> </v>
      </c>
      <c r="J899" s="26" t="str">
        <f>IF(OR(E899="",E899="!!!",F899="NEW"),"",COUNTBLANK(OFFSET(A$1,,,SUMPRODUCT(MAX(ROW(E$2:E899)*(E899=E$2:E899)))))-COUNTBLANK(OFFSET(A$1,,,SUMPRODUCT(MAX(ROW(E$1:E898)*(E2=E$1:E898))))))</f>
        <v> </v>
      </c>
      <c r="K899" s="26" t="str">
        <f>IF(OR(E899="",E899="!!!",F899="NEW"),"",INDEX(J$1:J898,SUMPRODUCT(MAX(ROW(E$1:E898)*(E899=E$1:E898)))))</f>
        <v> </v>
      </c>
      <c r="L899" s="27"/>
    </row>
    <row r="900" spans="1:12">
      <c r="A900" s="20" t="s">
        <v>652</v>
      </c>
      <c r="B900" s="21" t="s">
        <v>627</v>
      </c>
      <c r="C900" s="21" t="s">
        <v>602</v>
      </c>
      <c r="E900" s="22">
        <f>IF(D900="?OLD","!!!","")</f>
        <v/>
      </c>
      <c r="F900" s="23" t="str">
        <f>IF(OR(E900="",E900="!!!"),"",IF(NOT(ISNA(VLOOKUP(E900,E$1:E899,1,FALSE()))),"OLD",IF(AND(E900&lt;&gt;"",E900&lt;&gt;"!!!"),"NEW","")))</f>
        <v> </v>
      </c>
      <c r="G900" s="24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5" t="str">
        <f>IF(J900&lt;&gt;1,"",IF(I900="SBJ","CB","?"))</f>
        <v> </v>
      </c>
      <c r="I900" s="26" t="str">
        <f>IF(OR(E900="",E900="!!!",F900="NEW"),"",INDEX(B899:B$2,-1+SUMPRODUCT(MAX(ROW(E899:E$2)*(E900=E899:E$2)))))</f>
        <v> </v>
      </c>
      <c r="J900" s="26" t="str">
        <f>IF(OR(E900="",E900="!!!",F900="NEW"),"",COUNTBLANK(OFFSET(A$1,,,SUMPRODUCT(MAX(ROW(E$2:E900)*(E900=E$2:E900)))))-COUNTBLANK(OFFSET(A$1,,,SUMPRODUCT(MAX(ROW(E$1:E899)*(E2=E$1:E899))))))</f>
        <v> </v>
      </c>
      <c r="K900" s="26" t="str">
        <f>IF(OR(E900="",E900="!!!",F900="NEW"),"",INDEX(J$1:J899,SUMPRODUCT(MAX(ROW(E$1:E899)*(E900=E$1:E899)))))</f>
        <v> </v>
      </c>
      <c r="L900" s="27"/>
    </row>
    <row r="901" spans="1:12">
      <c r="A901" s="20" t="s">
        <v>1073</v>
      </c>
      <c r="B901" s="21" t="s">
        <v>784</v>
      </c>
      <c r="E901" s="22">
        <f>IF(D901="?OLD","!!!","")</f>
        <v/>
      </c>
      <c r="F901" s="23" t="str">
        <f>IF(OR(E901="",E901="!!!"),"",IF(NOT(ISNA(VLOOKUP(E901,E$1:E900,1,FALSE()))),"OLD",IF(AND(E901&lt;&gt;"",E901&lt;&gt;"!!!"),"NEW","")))</f>
        <v> </v>
      </c>
      <c r="G901" s="24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5" t="str">
        <f>IF(J901&lt;&gt;1,"",IF(I901="SBJ","CB","?"))</f>
        <v> </v>
      </c>
      <c r="I901" s="26" t="str">
        <f>IF(OR(E901="",E901="!!!",F901="NEW"),"",INDEX(B900:B$2,-1+SUMPRODUCT(MAX(ROW(E900:E$2)*(E901=E900:E$2)))))</f>
        <v> </v>
      </c>
      <c r="J901" s="26" t="str">
        <f>IF(OR(E901="",E901="!!!",F901="NEW"),"",COUNTBLANK(OFFSET(A$1,,,SUMPRODUCT(MAX(ROW(E$2:E901)*(E901=E$2:E901)))))-COUNTBLANK(OFFSET(A$1,,,SUMPRODUCT(MAX(ROW(E$1:E900)*(E2=E$1:E900))))))</f>
        <v> </v>
      </c>
      <c r="K901" s="26" t="str">
        <f>IF(OR(E901="",E901="!!!",F901="NEW"),"",INDEX(J$1:J900,SUMPRODUCT(MAX(ROW(E$1:E900)*(E901=E$1:E900)))))</f>
        <v> </v>
      </c>
      <c r="L901" s="27"/>
    </row>
    <row r="902" spans="1:12">
      <c r="A902" s="20" t="s">
        <v>1057</v>
      </c>
      <c r="E902" s="22">
        <f>IF(D902="?OLD","!!!","")</f>
        <v/>
      </c>
      <c r="F902" s="23" t="str">
        <f>IF(OR(E902="",E902="!!!"),"",IF(NOT(ISNA(VLOOKUP(E902,E$1:E901,1,FALSE()))),"OLD",IF(AND(E902&lt;&gt;"",E902&lt;&gt;"!!!"),"NEW","")))</f>
        <v> </v>
      </c>
      <c r="G902" s="24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5" t="str">
        <f>IF(J902&lt;&gt;1,"",IF(I902="SBJ","CB","?"))</f>
        <v> </v>
      </c>
      <c r="I902" s="26" t="str">
        <f>IF(OR(E902="",E902="!!!",F902="NEW"),"",INDEX(B901:B$2,-1+SUMPRODUCT(MAX(ROW(E901:E$2)*(E902=E901:E$2)))))</f>
        <v> </v>
      </c>
      <c r="J902" s="26" t="str">
        <f>IF(OR(E902="",E902="!!!",F902="NEW"),"",COUNTBLANK(OFFSET(A$1,,,SUMPRODUCT(MAX(ROW(E$2:E902)*(E902=E$2:E902)))))-COUNTBLANK(OFFSET(A$1,,,SUMPRODUCT(MAX(ROW(E$1:E901)*(E2=E$1:E901))))))</f>
        <v> </v>
      </c>
      <c r="K902" s="26" t="str">
        <f>IF(OR(E902="",E902="!!!",F902="NEW"),"",INDEX(J$1:J901,SUMPRODUCT(MAX(ROW(E$1:E901)*(E902=E$1:E901)))))</f>
        <v> </v>
      </c>
      <c r="L902" s="27"/>
    </row>
    <row r="903" spans="1:12">
      <c r="A903" s="20" t="s">
        <v>630</v>
      </c>
      <c r="E903" s="22">
        <f>IF(D903="?OLD","!!!","")</f>
        <v/>
      </c>
      <c r="F903" s="23" t="str">
        <f>IF(OR(E903="",E903="!!!"),"",IF(NOT(ISNA(VLOOKUP(E903,E$1:E902,1,FALSE()))),"OLD",IF(AND(E903&lt;&gt;"",E903&lt;&gt;"!!!"),"NEW","")))</f>
        <v> </v>
      </c>
      <c r="G903" s="24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5" t="str">
        <f>IF(J903&lt;&gt;1,"",IF(I903="SBJ","CB","?"))</f>
        <v> </v>
      </c>
      <c r="I903" s="26" t="str">
        <f>IF(OR(E903="",E903="!!!",F903="NEW"),"",INDEX(B902:B$2,-1+SUMPRODUCT(MAX(ROW(E902:E$2)*(E903=E902:E$2)))))</f>
        <v> </v>
      </c>
      <c r="J903" s="26" t="str">
        <f>IF(OR(E903="",E903="!!!",F903="NEW"),"",COUNTBLANK(OFFSET(A$1,,,SUMPRODUCT(MAX(ROW(E$2:E903)*(E903=E$2:E903)))))-COUNTBLANK(OFFSET(A$1,,,SUMPRODUCT(MAX(ROW(E$1:E902)*(E2=E$1:E902))))))</f>
        <v> </v>
      </c>
      <c r="K903" s="26" t="str">
        <f>IF(OR(E903="",E903="!!!",F903="NEW"),"",INDEX(J$1:J902,SUMPRODUCT(MAX(ROW(E$1:E902)*(E903=E$1:E902)))))</f>
        <v> </v>
      </c>
      <c r="L903" s="27"/>
    </row>
    <row r="904" spans="1:12">
      <c r="A904" s="20" t="s">
        <v>1074</v>
      </c>
      <c r="E904" s="22">
        <f>IF(D904="?OLD","!!!","")</f>
        <v/>
      </c>
      <c r="F904" s="23" t="str">
        <f>IF(OR(E904="",E904="!!!"),"",IF(NOT(ISNA(VLOOKUP(E904,E$1:E903,1,FALSE()))),"OLD",IF(AND(E904&lt;&gt;"",E904&lt;&gt;"!!!"),"NEW","")))</f>
        <v> </v>
      </c>
      <c r="G904" s="24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5" t="str">
        <f>IF(J904&lt;&gt;1,"",IF(I904="SBJ","CB","?"))</f>
        <v> </v>
      </c>
      <c r="I904" s="26" t="str">
        <f>IF(OR(E904="",E904="!!!",F904="NEW"),"",INDEX(B903:B$2,-1+SUMPRODUCT(MAX(ROW(E903:E$2)*(E904=E903:E$2)))))</f>
        <v> </v>
      </c>
      <c r="J904" s="26" t="str">
        <f>IF(OR(E904="",E904="!!!",F904="NEW"),"",COUNTBLANK(OFFSET(A$1,,,SUMPRODUCT(MAX(ROW(E$2:E904)*(E904=E$2:E904)))))-COUNTBLANK(OFFSET(A$1,,,SUMPRODUCT(MAX(ROW(E$1:E903)*(E2=E$1:E903))))))</f>
        <v> </v>
      </c>
      <c r="K904" s="26" t="str">
        <f>IF(OR(E904="",E904="!!!",F904="NEW"),"",INDEX(J$1:J903,SUMPRODUCT(MAX(ROW(E$1:E903)*(E904=E$1:E903)))))</f>
        <v> </v>
      </c>
      <c r="L904" s="27"/>
    </row>
    <row r="905" spans="1:12">
      <c r="A905" s="20" t="s">
        <v>583</v>
      </c>
      <c r="E905" s="22">
        <f>IF(D905="?OLD","!!!","")</f>
        <v/>
      </c>
      <c r="F905" s="23" t="str">
        <f>IF(OR(E905="",E905="!!!"),"",IF(NOT(ISNA(VLOOKUP(E905,E$1:E904,1,FALSE()))),"OLD",IF(AND(E905&lt;&gt;"",E905&lt;&gt;"!!!"),"NEW","")))</f>
        <v> </v>
      </c>
      <c r="G905" s="24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5" t="str">
        <f>IF(J905&lt;&gt;1,"",IF(I905="SBJ","CB","?"))</f>
        <v> </v>
      </c>
      <c r="I905" s="26" t="str">
        <f>IF(OR(E905="",E905="!!!",F905="NEW"),"",INDEX(B904:B$2,-1+SUMPRODUCT(MAX(ROW(E904:E$2)*(E905=E904:E$2)))))</f>
        <v> </v>
      </c>
      <c r="J905" s="26" t="str">
        <f>IF(OR(E905="",E905="!!!",F905="NEW"),"",COUNTBLANK(OFFSET(A$1,,,SUMPRODUCT(MAX(ROW(E$2:E905)*(E905=E$2:E905)))))-COUNTBLANK(OFFSET(A$1,,,SUMPRODUCT(MAX(ROW(E$1:E904)*(E2=E$1:E904))))))</f>
        <v> </v>
      </c>
      <c r="K905" s="26" t="str">
        <f>IF(OR(E905="",E905="!!!",F905="NEW"),"",INDEX(J$1:J904,SUMPRODUCT(MAX(ROW(E$1:E904)*(E905=E$1:E904)))))</f>
        <v> </v>
      </c>
      <c r="L905" s="27"/>
    </row>
    <row r="906" spans="1:12">
      <c r="A906" s="20" t="s">
        <v>759</v>
      </c>
      <c r="B906" s="21" t="s">
        <v>1075</v>
      </c>
      <c r="C906" s="21" t="s">
        <v>602</v>
      </c>
      <c r="E906" s="22">
        <f>IF(D906="?OLD","!!!","")</f>
        <v/>
      </c>
      <c r="F906" s="23" t="str">
        <f>IF(OR(E906="",E906="!!!"),"",IF(NOT(ISNA(VLOOKUP(E906,E$1:E905,1,FALSE()))),"OLD",IF(AND(E906&lt;&gt;"",E906&lt;&gt;"!!!"),"NEW","")))</f>
        <v> </v>
      </c>
      <c r="G906" s="24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5" t="str">
        <f>IF(J906&lt;&gt;1,"",IF(I906="SBJ","CB","?"))</f>
        <v> </v>
      </c>
      <c r="I906" s="26" t="str">
        <f>IF(OR(E906="",E906="!!!",F906="NEW"),"",INDEX(B905:B$2,-1+SUMPRODUCT(MAX(ROW(E905:E$2)*(E906=E905:E$2)))))</f>
        <v> </v>
      </c>
      <c r="J906" s="26" t="str">
        <f>IF(OR(E906="",E906="!!!",F906="NEW"),"",COUNTBLANK(OFFSET(A$1,,,SUMPRODUCT(MAX(ROW(E$2:E906)*(E906=E$2:E906)))))-COUNTBLANK(OFFSET(A$1,,,SUMPRODUCT(MAX(ROW(E$1:E905)*(E2=E$1:E905))))))</f>
        <v> </v>
      </c>
      <c r="K906" s="26" t="str">
        <f>IF(OR(E906="",E906="!!!",F906="NEW"),"",INDEX(J$1:J905,SUMPRODUCT(MAX(ROW(E$1:E905)*(E906=E$1:E905)))))</f>
        <v> </v>
      </c>
      <c r="L906" s="27"/>
    </row>
    <row r="907" spans="1:12">
      <c r="A907" s="20" t="s">
        <v>1076</v>
      </c>
      <c r="B907" s="21" t="s">
        <v>1077</v>
      </c>
      <c r="C907" s="21" t="s">
        <v>613</v>
      </c>
      <c r="D907" s="21" t="s">
        <v>587</v>
      </c>
      <c r="E907" s="22">
        <f>IF(D907="?OLD","!!!","")</f>
        <v/>
      </c>
      <c r="F907" s="23" t="str">
        <f>IF(OR(E907="",E907="!!!"),"",IF(NOT(ISNA(VLOOKUP(E907,E$1:E906,1,FALSE()))),"OLD",IF(AND(E907&lt;&gt;"",E907&lt;&gt;"!!!"),"NEW","")))</f>
        <v> </v>
      </c>
      <c r="G907" s="24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5" t="str">
        <f>IF(J907&lt;&gt;1,"",IF(I907="SBJ","CB","?"))</f>
        <v> </v>
      </c>
      <c r="I907" s="26" t="str">
        <f>IF(OR(E907="",E907="!!!",F907="NEW"),"",INDEX(B906:B$2,-1+SUMPRODUCT(MAX(ROW(E906:E$2)*(E907=E906:E$2)))))</f>
        <v> </v>
      </c>
      <c r="J907" s="26" t="str">
        <f>IF(OR(E907="",E907="!!!",F907="NEW"),"",COUNTBLANK(OFFSET(A$1,,,SUMPRODUCT(MAX(ROW(E$2:E907)*(E907=E$2:E907)))))-COUNTBLANK(OFFSET(A$1,,,SUMPRODUCT(MAX(ROW(E$1:E906)*(E2=E$1:E906))))))</f>
        <v> </v>
      </c>
      <c r="K907" s="26" t="str">
        <f>IF(OR(E907="",E907="!!!",F907="NEW"),"",INDEX(J$1:J906,SUMPRODUCT(MAX(ROW(E$1:E906)*(E907=E$1:E906)))))</f>
        <v> </v>
      </c>
      <c r="L907" s="27"/>
    </row>
    <row r="908" spans="1:12">
      <c r="A908" s="20" t="s">
        <v>632</v>
      </c>
      <c r="E908" s="22">
        <f>IF(D908="?OLD","!!!","")</f>
        <v/>
      </c>
      <c r="F908" s="23" t="str">
        <f>IF(OR(E908="",E908="!!!"),"",IF(NOT(ISNA(VLOOKUP(E908,E$1:E907,1,FALSE()))),"OLD",IF(AND(E908&lt;&gt;"",E908&lt;&gt;"!!!"),"NEW","")))</f>
        <v> </v>
      </c>
      <c r="G908" s="24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5" t="str">
        <f>IF(J908&lt;&gt;1,"",IF(I908="SBJ","CB","?"))</f>
        <v> </v>
      </c>
      <c r="I908" s="26" t="str">
        <f>IF(OR(E908="",E908="!!!",F908="NEW"),"",INDEX(B907:B$2,-1+SUMPRODUCT(MAX(ROW(E907:E$2)*(E908=E907:E$2)))))</f>
        <v> </v>
      </c>
      <c r="J908" s="26" t="str">
        <f>IF(OR(E908="",E908="!!!",F908="NEW"),"",COUNTBLANK(OFFSET(A$1,,,SUMPRODUCT(MAX(ROW(E$2:E908)*(E908=E$2:E908)))))-COUNTBLANK(OFFSET(A$1,,,SUMPRODUCT(MAX(ROW(E$1:E907)*(E2=E$1:E907))))))</f>
        <v> </v>
      </c>
      <c r="K908" s="26" t="str">
        <f>IF(OR(E908="",E908="!!!",F908="NEW"),"",INDEX(J$1:J907,SUMPRODUCT(MAX(ROW(E$1:E907)*(E908=E$1:E907)))))</f>
        <v> </v>
      </c>
      <c r="L908" s="27"/>
    </row>
    <row r="909" spans="1:12">
      <c r="A909" s="20" t="s">
        <v>583</v>
      </c>
      <c r="E909" s="22">
        <f>IF(D909="?OLD","!!!","")</f>
        <v/>
      </c>
      <c r="F909" s="23" t="str">
        <f>IF(OR(E909="",E909="!!!"),"",IF(NOT(ISNA(VLOOKUP(E909,E$1:E908,1,FALSE()))),"OLD",IF(AND(E909&lt;&gt;"",E909&lt;&gt;"!!!"),"NEW","")))</f>
        <v> </v>
      </c>
      <c r="G909" s="24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5" t="str">
        <f>IF(J909&lt;&gt;1,"",IF(I909="SBJ","CB","?"))</f>
        <v> </v>
      </c>
      <c r="I909" s="26" t="str">
        <f>IF(OR(E909="",E909="!!!",F909="NEW"),"",INDEX(B908:B$2,-1+SUMPRODUCT(MAX(ROW(E908:E$2)*(E909=E908:E$2)))))</f>
        <v> </v>
      </c>
      <c r="J909" s="26" t="str">
        <f>IF(OR(E909="",E909="!!!",F909="NEW"),"",COUNTBLANK(OFFSET(A$1,,,SUMPRODUCT(MAX(ROW(E$2:E909)*(E909=E$2:E909)))))-COUNTBLANK(OFFSET(A$1,,,SUMPRODUCT(MAX(ROW(E$1:E908)*(E2=E$1:E908))))))</f>
        <v> </v>
      </c>
      <c r="K909" s="26" t="str">
        <f>IF(OR(E909="",E909="!!!",F909="NEW"),"",INDEX(J$1:J908,SUMPRODUCT(MAX(ROW(E$1:E908)*(E909=E$1:E908)))))</f>
        <v> </v>
      </c>
      <c r="L909" s="27"/>
    </row>
    <row r="910" spans="1:12">
      <c r="A910" s="20" t="s">
        <v>1078</v>
      </c>
      <c r="E910" s="22">
        <f>IF(D910="?OLD","!!!","")</f>
        <v/>
      </c>
      <c r="F910" s="23" t="str">
        <f>IF(OR(E910="",E910="!!!"),"",IF(NOT(ISNA(VLOOKUP(E910,E$1:E909,1,FALSE()))),"OLD",IF(AND(E910&lt;&gt;"",E910&lt;&gt;"!!!"),"NEW","")))</f>
        <v> </v>
      </c>
      <c r="G910" s="24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5" t="str">
        <f>IF(J910&lt;&gt;1,"",IF(I910="SBJ","CB","?"))</f>
        <v> </v>
      </c>
      <c r="I910" s="26" t="str">
        <f>IF(OR(E910="",E910="!!!",F910="NEW"),"",INDEX(B909:B$2,-1+SUMPRODUCT(MAX(ROW(E909:E$2)*(E910=E909:E$2)))))</f>
        <v> </v>
      </c>
      <c r="J910" s="26" t="str">
        <f>IF(OR(E910="",E910="!!!",F910="NEW"),"",COUNTBLANK(OFFSET(A$1,,,SUMPRODUCT(MAX(ROW(E$2:E910)*(E910=E$2:E910)))))-COUNTBLANK(OFFSET(A$1,,,SUMPRODUCT(MAX(ROW(E$1:E909)*(E2=E$1:E909))))))</f>
        <v> </v>
      </c>
      <c r="K910" s="26" t="str">
        <f>IF(OR(E910="",E910="!!!",F910="NEW"),"",INDEX(J$1:J909,SUMPRODUCT(MAX(ROW(E$1:E909)*(E910=E$1:E909)))))</f>
        <v> </v>
      </c>
      <c r="L910" s="27"/>
    </row>
    <row r="911" spans="1:12">
      <c r="A911" s="20" t="s">
        <v>975</v>
      </c>
      <c r="E911" s="22">
        <f>IF(D911="?OLD","!!!","")</f>
        <v/>
      </c>
      <c r="F911" s="23" t="str">
        <f>IF(OR(E911="",E911="!!!"),"",IF(NOT(ISNA(VLOOKUP(E911,E$1:E910,1,FALSE()))),"OLD",IF(AND(E911&lt;&gt;"",E911&lt;&gt;"!!!"),"NEW","")))</f>
        <v> </v>
      </c>
      <c r="G911" s="24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5" t="str">
        <f>IF(J911&lt;&gt;1,"",IF(I911="SBJ","CB","?"))</f>
        <v> </v>
      </c>
      <c r="I911" s="26" t="str">
        <f>IF(OR(E911="",E911="!!!",F911="NEW"),"",INDEX(B910:B$2,-1+SUMPRODUCT(MAX(ROW(E910:E$2)*(E911=E910:E$2)))))</f>
        <v> </v>
      </c>
      <c r="J911" s="26" t="str">
        <f>IF(OR(E911="",E911="!!!",F911="NEW"),"",COUNTBLANK(OFFSET(A$1,,,SUMPRODUCT(MAX(ROW(E$2:E911)*(E911=E$2:E911)))))-COUNTBLANK(OFFSET(A$1,,,SUMPRODUCT(MAX(ROW(E$1:E910)*(E2=E$1:E910))))))</f>
        <v> </v>
      </c>
      <c r="K911" s="26" t="str">
        <f>IF(OR(E911="",E911="!!!",F911="NEW"),"",INDEX(J$1:J910,SUMPRODUCT(MAX(ROW(E$1:E910)*(E911=E$1:E910)))))</f>
        <v> </v>
      </c>
      <c r="L911" s="27"/>
    </row>
    <row r="912" spans="1:12">
      <c r="A912" s="20" t="s">
        <v>901</v>
      </c>
      <c r="E912" s="22">
        <f>IF(D912="?OLD","!!!","")</f>
        <v/>
      </c>
      <c r="F912" s="23" t="str">
        <f>IF(OR(E912="",E912="!!!"),"",IF(NOT(ISNA(VLOOKUP(E912,E$1:E911,1,FALSE()))),"OLD",IF(AND(E912&lt;&gt;"",E912&lt;&gt;"!!!"),"NEW","")))</f>
        <v> </v>
      </c>
      <c r="G912" s="24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5" t="str">
        <f>IF(J912&lt;&gt;1,"",IF(I912="SBJ","CB","?"))</f>
        <v> </v>
      </c>
      <c r="I912" s="26" t="str">
        <f>IF(OR(E912="",E912="!!!",F912="NEW"),"",INDEX(B911:B$2,-1+SUMPRODUCT(MAX(ROW(E911:E$2)*(E912=E911:E$2)))))</f>
        <v> </v>
      </c>
      <c r="J912" s="26" t="str">
        <f>IF(OR(E912="",E912="!!!",F912="NEW"),"",COUNTBLANK(OFFSET(A$1,,,SUMPRODUCT(MAX(ROW(E$2:E912)*(E912=E$2:E912)))))-COUNTBLANK(OFFSET(A$1,,,SUMPRODUCT(MAX(ROW(E$1:E911)*(E2=E$1:E911))))))</f>
        <v> </v>
      </c>
      <c r="K912" s="26" t="str">
        <f>IF(OR(E912="",E912="!!!",F912="NEW"),"",INDEX(J$1:J911,SUMPRODUCT(MAX(ROW(E$1:E911)*(E912=E$1:E911)))))</f>
        <v> </v>
      </c>
      <c r="L912" s="27"/>
    </row>
    <row r="913" spans="1:12">
      <c r="A913" s="20" t="s">
        <v>1079</v>
      </c>
      <c r="E913" s="22">
        <f>IF(D913="?OLD","!!!","")</f>
        <v/>
      </c>
      <c r="F913" s="23" t="str">
        <f>IF(OR(E913="",E913="!!!"),"",IF(NOT(ISNA(VLOOKUP(E913,E$1:E912,1,FALSE()))),"OLD",IF(AND(E913&lt;&gt;"",E913&lt;&gt;"!!!"),"NEW","")))</f>
        <v> </v>
      </c>
      <c r="G913" s="24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5" t="str">
        <f>IF(J913&lt;&gt;1,"",IF(I913="SBJ","CB","?"))</f>
        <v> </v>
      </c>
      <c r="I913" s="26" t="str">
        <f>IF(OR(E913="",E913="!!!",F913="NEW"),"",INDEX(B912:B$2,-1+SUMPRODUCT(MAX(ROW(E912:E$2)*(E913=E912:E$2)))))</f>
        <v> </v>
      </c>
      <c r="J913" s="26" t="str">
        <f>IF(OR(E913="",E913="!!!",F913="NEW"),"",COUNTBLANK(OFFSET(A$1,,,SUMPRODUCT(MAX(ROW(E$2:E913)*(E913=E$2:E913)))))-COUNTBLANK(OFFSET(A$1,,,SUMPRODUCT(MAX(ROW(E$1:E912)*(E2=E$1:E912))))))</f>
        <v> </v>
      </c>
      <c r="K913" s="26" t="str">
        <f>IF(OR(E913="",E913="!!!",F913="NEW"),"",INDEX(J$1:J912,SUMPRODUCT(MAX(ROW(E$1:E912)*(E913=E$1:E912)))))</f>
        <v> </v>
      </c>
      <c r="L913" s="27"/>
    </row>
    <row r="914" spans="1:12">
      <c r="A914" s="20" t="s">
        <v>1080</v>
      </c>
      <c r="B914" s="21" t="s">
        <v>830</v>
      </c>
      <c r="E914" s="22">
        <f>IF(D914="?OLD","!!!","")</f>
        <v/>
      </c>
      <c r="F914" s="23" t="str">
        <f>IF(OR(E914="",E914="!!!"),"",IF(NOT(ISNA(VLOOKUP(E914,E$1:E913,1,FALSE()))),"OLD",IF(AND(E914&lt;&gt;"",E914&lt;&gt;"!!!"),"NEW","")))</f>
        <v> </v>
      </c>
      <c r="G914" s="24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5" t="str">
        <f>IF(J914&lt;&gt;1,"",IF(I914="SBJ","CB","?"))</f>
        <v> </v>
      </c>
      <c r="I914" s="26" t="str">
        <f>IF(OR(E914="",E914="!!!",F914="NEW"),"",INDEX(B913:B$2,-1+SUMPRODUCT(MAX(ROW(E913:E$2)*(E914=E913:E$2)))))</f>
        <v> </v>
      </c>
      <c r="J914" s="26" t="str">
        <f>IF(OR(E914="",E914="!!!",F914="NEW"),"",COUNTBLANK(OFFSET(A$1,,,SUMPRODUCT(MAX(ROW(E$2:E914)*(E914=E$2:E914)))))-COUNTBLANK(OFFSET(A$1,,,SUMPRODUCT(MAX(ROW(E$1:E913)*(E2=E$1:E913))))))</f>
        <v> </v>
      </c>
      <c r="K914" s="26" t="str">
        <f>IF(OR(E914="",E914="!!!",F914="NEW"),"",INDEX(J$1:J913,SUMPRODUCT(MAX(ROW(E$1:E913)*(E914=E$1:E913)))))</f>
        <v> </v>
      </c>
      <c r="L914" s="27"/>
    </row>
    <row r="915" spans="1:12">
      <c r="A915" s="20" t="s">
        <v>1081</v>
      </c>
      <c r="E915" s="22">
        <f>IF(D915="?OLD","!!!","")</f>
        <v/>
      </c>
      <c r="F915" s="23" t="str">
        <f>IF(OR(E915="",E915="!!!"),"",IF(NOT(ISNA(VLOOKUP(E915,E$1:E914,1,FALSE()))),"OLD",IF(AND(E915&lt;&gt;"",E915&lt;&gt;"!!!"),"NEW","")))</f>
        <v> </v>
      </c>
      <c r="G915" s="24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5" t="str">
        <f>IF(J915&lt;&gt;1,"",IF(I915="SBJ","CB","?"))</f>
        <v> </v>
      </c>
      <c r="I915" s="26" t="str">
        <f>IF(OR(E915="",E915="!!!",F915="NEW"),"",INDEX(B914:B$2,-1+SUMPRODUCT(MAX(ROW(E914:E$2)*(E915=E914:E$2)))))</f>
        <v> </v>
      </c>
      <c r="J915" s="26" t="str">
        <f>IF(OR(E915="",E915="!!!",F915="NEW"),"",COUNTBLANK(OFFSET(A$1,,,SUMPRODUCT(MAX(ROW(E$2:E915)*(E915=E$2:E915)))))-COUNTBLANK(OFFSET(A$1,,,SUMPRODUCT(MAX(ROW(E$1:E914)*(E2=E$1:E914))))))</f>
        <v> </v>
      </c>
      <c r="K915" s="26" t="str">
        <f>IF(OR(E915="",E915="!!!",F915="NEW"),"",INDEX(J$1:J914,SUMPRODUCT(MAX(ROW(E$1:E914)*(E915=E$1:E914)))))</f>
        <v> </v>
      </c>
      <c r="L915" s="27"/>
    </row>
    <row r="916" spans="1:12">
      <c r="A916" s="20"/>
    </row>
    <row r="917" spans="1:12">
      <c r="A917" s="20" t="s">
        <v>1082</v>
      </c>
    </row>
    <row r="918" spans="1:12">
      <c r="A918" s="20" t="s">
        <v>1083</v>
      </c>
      <c r="E918" s="22">
        <f>IF(D918="?OLD","!!!","")</f>
        <v/>
      </c>
      <c r="F918" s="23" t="str">
        <f>IF(OR(E918="",E918="!!!"),"",IF(NOT(ISNA(VLOOKUP(E918,E$1:E917,1,FALSE()))),"OLD",IF(AND(E918&lt;&gt;"",E918&lt;&gt;"!!!"),"NEW","")))</f>
        <v> </v>
      </c>
      <c r="G918" s="24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5" t="str">
        <f>IF(J918&lt;&gt;1,"",IF(I918="SBJ","CB","?"))</f>
        <v> </v>
      </c>
      <c r="I918" s="26" t="str">
        <f>IF(OR(E918="",E918="!!!",F918="NEW"),"",INDEX(B917:B$2,-1+SUMPRODUCT(MAX(ROW(E917:E$2)*(E918=E917:E$2)))))</f>
        <v> </v>
      </c>
      <c r="J918" s="26" t="str">
        <f>IF(OR(E918="",E918="!!!",F918="NEW"),"",COUNTBLANK(OFFSET(A$1,,,SUMPRODUCT(MAX(ROW(E$2:E918)*(E918=E$2:E918)))))-COUNTBLANK(OFFSET(A$1,,,SUMPRODUCT(MAX(ROW(E$1:E917)*(E2=E$1:E917))))))</f>
        <v> </v>
      </c>
      <c r="K918" s="26" t="str">
        <f>IF(OR(E918="",E918="!!!",F918="NEW"),"",INDEX(J$1:J917,SUMPRODUCT(MAX(ROW(E$1:E917)*(E918=E$1:E917)))))</f>
        <v> </v>
      </c>
      <c r="L918" s="27"/>
    </row>
    <row r="919" spans="1:12">
      <c r="A919" s="20" t="s">
        <v>656</v>
      </c>
      <c r="B919" s="21" t="s">
        <v>635</v>
      </c>
      <c r="C919" s="21" t="s">
        <v>586</v>
      </c>
      <c r="D919" s="21" t="s">
        <v>587</v>
      </c>
      <c r="E919" s="22">
        <f>IF(D919="?OLD","!!!","")</f>
        <v/>
      </c>
      <c r="F919" s="23" t="str">
        <f>IF(OR(E919="",E919="!!!"),"",IF(NOT(ISNA(VLOOKUP(E919,E$1:E918,1,FALSE()))),"OLD",IF(AND(E919&lt;&gt;"",E919&lt;&gt;"!!!"),"NEW","")))</f>
        <v> </v>
      </c>
      <c r="G919" s="24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5" t="str">
        <f>IF(J919&lt;&gt;1,"",IF(I919="SBJ","CB","?"))</f>
        <v> </v>
      </c>
      <c r="I919" s="26" t="str">
        <f>IF(OR(E919="",E919="!!!",F919="NEW"),"",INDEX(B918:B$2,-1+SUMPRODUCT(MAX(ROW(E918:E$2)*(E919=E918:E$2)))))</f>
        <v> </v>
      </c>
      <c r="J919" s="26" t="str">
        <f>IF(OR(E919="",E919="!!!",F919="NEW"),"",COUNTBLANK(OFFSET(A$1,,,SUMPRODUCT(MAX(ROW(E$2:E919)*(E919=E$2:E919)))))-COUNTBLANK(OFFSET(A$1,,,SUMPRODUCT(MAX(ROW(E$1:E918)*(E2=E$1:E918))))))</f>
        <v> </v>
      </c>
      <c r="K919" s="26" t="str">
        <f>IF(OR(E919="",E919="!!!",F919="NEW"),"",INDEX(J$1:J918,SUMPRODUCT(MAX(ROW(E$1:E918)*(E919=E$1:E918)))))</f>
        <v> </v>
      </c>
      <c r="L919" s="27"/>
    </row>
    <row r="920" spans="1:12">
      <c r="A920" s="20" t="s">
        <v>1084</v>
      </c>
      <c r="E920" s="22">
        <f>IF(D920="?OLD","!!!","")</f>
        <v/>
      </c>
      <c r="F920" s="23" t="str">
        <f>IF(OR(E920="",E920="!!!"),"",IF(NOT(ISNA(VLOOKUP(E920,E$1:E919,1,FALSE()))),"OLD",IF(AND(E920&lt;&gt;"",E920&lt;&gt;"!!!"),"NEW","")))</f>
        <v> </v>
      </c>
      <c r="G920" s="24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5" t="str">
        <f>IF(J920&lt;&gt;1,"",IF(I920="SBJ","CB","?"))</f>
        <v> </v>
      </c>
      <c r="I920" s="26" t="str">
        <f>IF(OR(E920="",E920="!!!",F920="NEW"),"",INDEX(B919:B$2,-1+SUMPRODUCT(MAX(ROW(E919:E$2)*(E920=E919:E$2)))))</f>
        <v> </v>
      </c>
      <c r="J920" s="26" t="str">
        <f>IF(OR(E920="",E920="!!!",F920="NEW"),"",COUNTBLANK(OFFSET(A$1,,,SUMPRODUCT(MAX(ROW(E$2:E920)*(E920=E$2:E920)))))-COUNTBLANK(OFFSET(A$1,,,SUMPRODUCT(MAX(ROW(E$1:E919)*(E2=E$1:E919))))))</f>
        <v> </v>
      </c>
      <c r="K920" s="26" t="str">
        <f>IF(OR(E920="",E920="!!!",F920="NEW"),"",INDEX(J$1:J919,SUMPRODUCT(MAX(ROW(E$1:E919)*(E920=E$1:E919)))))</f>
        <v> </v>
      </c>
      <c r="L920" s="27"/>
    </row>
    <row r="921" spans="1:12">
      <c r="A921" s="20" t="s">
        <v>583</v>
      </c>
      <c r="E921" s="22">
        <f>IF(D921="?OLD","!!!","")</f>
        <v/>
      </c>
      <c r="F921" s="23" t="str">
        <f>IF(OR(E921="",E921="!!!"),"",IF(NOT(ISNA(VLOOKUP(E921,E$1:E920,1,FALSE()))),"OLD",IF(AND(E921&lt;&gt;"",E921&lt;&gt;"!!!"),"NEW","")))</f>
        <v> </v>
      </c>
      <c r="G921" s="24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5" t="str">
        <f>IF(J921&lt;&gt;1,"",IF(I921="SBJ","CB","?"))</f>
        <v> </v>
      </c>
      <c r="I921" s="26" t="str">
        <f>IF(OR(E921="",E921="!!!",F921="NEW"),"",INDEX(B920:B$2,-1+SUMPRODUCT(MAX(ROW(E920:E$2)*(E921=E920:E$2)))))</f>
        <v> </v>
      </c>
      <c r="J921" s="26" t="str">
        <f>IF(OR(E921="",E921="!!!",F921="NEW"),"",COUNTBLANK(OFFSET(A$1,,,SUMPRODUCT(MAX(ROW(E$2:E921)*(E921=E$2:E921)))))-COUNTBLANK(OFFSET(A$1,,,SUMPRODUCT(MAX(ROW(E$1:E920)*(E2=E$1:E920))))))</f>
        <v> </v>
      </c>
      <c r="K921" s="26" t="str">
        <f>IF(OR(E921="",E921="!!!",F921="NEW"),"",INDEX(J$1:J920,SUMPRODUCT(MAX(ROW(E$1:E920)*(E921=E$1:E920)))))</f>
        <v> </v>
      </c>
      <c r="L921" s="27"/>
    </row>
    <row r="922" spans="1:12">
      <c r="A922" s="20" t="s">
        <v>1085</v>
      </c>
      <c r="B922" s="21" t="s">
        <v>615</v>
      </c>
      <c r="C922" s="21" t="s">
        <v>613</v>
      </c>
      <c r="D922" s="21" t="s">
        <v>587</v>
      </c>
      <c r="E922" s="22">
        <f>IF(D922="?OLD","!!!","")</f>
        <v/>
      </c>
      <c r="F922" s="23" t="str">
        <f>IF(OR(E922="",E922="!!!"),"",IF(NOT(ISNA(VLOOKUP(E922,E$1:E921,1,FALSE()))),"OLD",IF(AND(E922&lt;&gt;"",E922&lt;&gt;"!!!"),"NEW","")))</f>
        <v> </v>
      </c>
      <c r="G922" s="24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5" t="str">
        <f>IF(J922&lt;&gt;1,"",IF(I922="SBJ","CB","?"))</f>
        <v> </v>
      </c>
      <c r="I922" s="26" t="str">
        <f>IF(OR(E922="",E922="!!!",F922="NEW"),"",INDEX(B921:B$2,-1+SUMPRODUCT(MAX(ROW(E921:E$2)*(E922=E921:E$2)))))</f>
        <v> </v>
      </c>
      <c r="J922" s="26" t="str">
        <f>IF(OR(E922="",E922="!!!",F922="NEW"),"",COUNTBLANK(OFFSET(A$1,,,SUMPRODUCT(MAX(ROW(E$2:E922)*(E922=E$2:E922)))))-COUNTBLANK(OFFSET(A$1,,,SUMPRODUCT(MAX(ROW(E$1:E921)*(E2=E$1:E921))))))</f>
        <v> </v>
      </c>
      <c r="K922" s="26" t="str">
        <f>IF(OR(E922="",E922="!!!",F922="NEW"),"",INDEX(J$1:J921,SUMPRODUCT(MAX(ROW(E$1:E921)*(E922=E$1:E921)))))</f>
        <v> </v>
      </c>
      <c r="L922" s="27"/>
    </row>
    <row r="923" spans="1:12">
      <c r="A923" s="20" t="s">
        <v>1086</v>
      </c>
      <c r="E923" s="22">
        <f>IF(D923="?OLD","!!!","")</f>
        <v/>
      </c>
      <c r="F923" s="23" t="str">
        <f>IF(OR(E923="",E923="!!!"),"",IF(NOT(ISNA(VLOOKUP(E923,E$1:E922,1,FALSE()))),"OLD",IF(AND(E923&lt;&gt;"",E923&lt;&gt;"!!!"),"NEW","")))</f>
        <v> </v>
      </c>
      <c r="G923" s="24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5" t="str">
        <f>IF(J923&lt;&gt;1,"",IF(I923="SBJ","CB","?"))</f>
        <v> </v>
      </c>
      <c r="I923" s="26" t="str">
        <f>IF(OR(E923="",E923="!!!",F923="NEW"),"",INDEX(B922:B$2,-1+SUMPRODUCT(MAX(ROW(E922:E$2)*(E923=E922:E$2)))))</f>
        <v> </v>
      </c>
      <c r="J923" s="26" t="str">
        <f>IF(OR(E923="",E923="!!!",F923="NEW"),"",COUNTBLANK(OFFSET(A$1,,,SUMPRODUCT(MAX(ROW(E$2:E923)*(E923=E$2:E923)))))-COUNTBLANK(OFFSET(A$1,,,SUMPRODUCT(MAX(ROW(E$1:E922)*(E2=E$1:E922))))))</f>
        <v> </v>
      </c>
      <c r="K923" s="26" t="str">
        <f>IF(OR(E923="",E923="!!!",F923="NEW"),"",INDEX(J$1:J922,SUMPRODUCT(MAX(ROW(E$1:E922)*(E923=E$1:E922)))))</f>
        <v> </v>
      </c>
      <c r="L923" s="27"/>
    </row>
    <row r="924" spans="1:12">
      <c r="A924" s="20" t="s">
        <v>1087</v>
      </c>
      <c r="E924" s="22">
        <f>IF(D924="?OLD","!!!","")</f>
        <v/>
      </c>
      <c r="F924" s="23" t="str">
        <f>IF(OR(E924="",E924="!!!"),"",IF(NOT(ISNA(VLOOKUP(E924,E$1:E923,1,FALSE()))),"OLD",IF(AND(E924&lt;&gt;"",E924&lt;&gt;"!!!"),"NEW","")))</f>
        <v> </v>
      </c>
      <c r="G924" s="24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5" t="str">
        <f>IF(J924&lt;&gt;1,"",IF(I924="SBJ","CB","?"))</f>
        <v> </v>
      </c>
      <c r="I924" s="26" t="str">
        <f>IF(OR(E924="",E924="!!!",F924="NEW"),"",INDEX(B923:B$2,-1+SUMPRODUCT(MAX(ROW(E923:E$2)*(E924=E923:E$2)))))</f>
        <v> </v>
      </c>
      <c r="J924" s="26" t="str">
        <f>IF(OR(E924="",E924="!!!",F924="NEW"),"",COUNTBLANK(OFFSET(A$1,,,SUMPRODUCT(MAX(ROW(E$2:E924)*(E924=E$2:E924)))))-COUNTBLANK(OFFSET(A$1,,,SUMPRODUCT(MAX(ROW(E$1:E923)*(E2=E$1:E923))))))</f>
        <v> </v>
      </c>
      <c r="K924" s="26" t="str">
        <f>IF(OR(E924="",E924="!!!",F924="NEW"),"",INDEX(J$1:J923,SUMPRODUCT(MAX(ROW(E$1:E923)*(E924=E$1:E923)))))</f>
        <v> </v>
      </c>
      <c r="L924" s="27"/>
    </row>
    <row r="925" spans="1:12">
      <c r="A925" s="20" t="s">
        <v>583</v>
      </c>
      <c r="E925" s="22">
        <f>IF(D925="?OLD","!!!","")</f>
        <v/>
      </c>
      <c r="F925" s="23" t="str">
        <f>IF(OR(E925="",E925="!!!"),"",IF(NOT(ISNA(VLOOKUP(E925,E$1:E924,1,FALSE()))),"OLD",IF(AND(E925&lt;&gt;"",E925&lt;&gt;"!!!"),"NEW","")))</f>
        <v> </v>
      </c>
      <c r="G925" s="24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5" t="str">
        <f>IF(J925&lt;&gt;1,"",IF(I925="SBJ","CB","?"))</f>
        <v> </v>
      </c>
      <c r="I925" s="26" t="str">
        <f>IF(OR(E925="",E925="!!!",F925="NEW"),"",INDEX(B924:B$2,-1+SUMPRODUCT(MAX(ROW(E924:E$2)*(E925=E924:E$2)))))</f>
        <v> </v>
      </c>
      <c r="J925" s="26" t="str">
        <f>IF(OR(E925="",E925="!!!",F925="NEW"),"",COUNTBLANK(OFFSET(A$1,,,SUMPRODUCT(MAX(ROW(E$2:E925)*(E925=E$2:E925)))))-COUNTBLANK(OFFSET(A$1,,,SUMPRODUCT(MAX(ROW(E$1:E924)*(E2=E$1:E924))))))</f>
        <v> </v>
      </c>
      <c r="K925" s="26" t="str">
        <f>IF(OR(E925="",E925="!!!",F925="NEW"),"",INDEX(J$1:J924,SUMPRODUCT(MAX(ROW(E$1:E924)*(E925=E$1:E924)))))</f>
        <v> </v>
      </c>
      <c r="L925" s="27"/>
    </row>
    <row r="926" spans="1:12">
      <c r="A926" s="20" t="s">
        <v>209</v>
      </c>
      <c r="E926" s="22">
        <f>IF(D926="?OLD","!!!","")</f>
        <v/>
      </c>
      <c r="F926" s="23" t="str">
        <f>IF(OR(E926="",E926="!!!"),"",IF(NOT(ISNA(VLOOKUP(E926,E$1:E925,1,FALSE()))),"OLD",IF(AND(E926&lt;&gt;"",E926&lt;&gt;"!!!"),"NEW","")))</f>
        <v> </v>
      </c>
      <c r="G926" s="24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5" t="str">
        <f>IF(J926&lt;&gt;1,"",IF(I926="SBJ","CB","?"))</f>
        <v> </v>
      </c>
      <c r="I926" s="26" t="str">
        <f>IF(OR(E926="",E926="!!!",F926="NEW"),"",INDEX(B925:B$2,-1+SUMPRODUCT(MAX(ROW(E925:E$2)*(E926=E925:E$2)))))</f>
        <v> </v>
      </c>
      <c r="J926" s="26" t="str">
        <f>IF(OR(E926="",E926="!!!",F926="NEW"),"",COUNTBLANK(OFFSET(A$1,,,SUMPRODUCT(MAX(ROW(E$2:E926)*(E926=E$2:E926)))))-COUNTBLANK(OFFSET(A$1,,,SUMPRODUCT(MAX(ROW(E$1:E925)*(E2=E$1:E925))))))</f>
        <v> </v>
      </c>
      <c r="K926" s="26" t="str">
        <f>IF(OR(E926="",E926="!!!",F926="NEW"),"",INDEX(J$1:J925,SUMPRODUCT(MAX(ROW(E$1:E925)*(E926=E$1:E925)))))</f>
        <v> </v>
      </c>
      <c r="L926" s="27"/>
    </row>
    <row r="927" spans="1:12">
      <c r="A927" s="20" t="s">
        <v>754</v>
      </c>
      <c r="B927" s="21" t="s">
        <v>605</v>
      </c>
      <c r="E927" s="22">
        <f>IF(D927="?OLD","!!!","")</f>
        <v/>
      </c>
      <c r="F927" s="23" t="str">
        <f>IF(OR(E927="",E927="!!!"),"",IF(NOT(ISNA(VLOOKUP(E927,E$1:E926,1,FALSE()))),"OLD",IF(AND(E927&lt;&gt;"",E927&lt;&gt;"!!!"),"NEW","")))</f>
        <v> </v>
      </c>
      <c r="G927" s="24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5" t="str">
        <f>IF(J927&lt;&gt;1,"",IF(I927="SBJ","CB","?"))</f>
        <v> </v>
      </c>
      <c r="I927" s="26" t="str">
        <f>IF(OR(E927="",E927="!!!",F927="NEW"),"",INDEX(B926:B$2,-1+SUMPRODUCT(MAX(ROW(E926:E$2)*(E927=E926:E$2)))))</f>
        <v> </v>
      </c>
      <c r="J927" s="26" t="str">
        <f>IF(OR(E927="",E927="!!!",F927="NEW"),"",COUNTBLANK(OFFSET(A$1,,,SUMPRODUCT(MAX(ROW(E$2:E927)*(E927=E$2:E927)))))-COUNTBLANK(OFFSET(A$1,,,SUMPRODUCT(MAX(ROW(E$1:E926)*(E2=E$1:E926))))))</f>
        <v> </v>
      </c>
      <c r="K927" s="26" t="str">
        <f>IF(OR(E927="",E927="!!!",F927="NEW"),"",INDEX(J$1:J926,SUMPRODUCT(MAX(ROW(E$1:E926)*(E927=E$1:E926)))))</f>
        <v> </v>
      </c>
      <c r="L927" s="27"/>
    </row>
    <row r="928" spans="1:12">
      <c r="A928" s="20" t="s">
        <v>1088</v>
      </c>
      <c r="E928" s="22">
        <f>IF(D928="?OLD","!!!","")</f>
        <v/>
      </c>
      <c r="F928" s="23" t="str">
        <f>IF(OR(E928="",E928="!!!"),"",IF(NOT(ISNA(VLOOKUP(E928,E$1:E927,1,FALSE()))),"OLD",IF(AND(E928&lt;&gt;"",E928&lt;&gt;"!!!"),"NEW","")))</f>
        <v> </v>
      </c>
      <c r="G928" s="24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5" t="str">
        <f>IF(J928&lt;&gt;1,"",IF(I928="SBJ","CB","?"))</f>
        <v> </v>
      </c>
      <c r="I928" s="26" t="str">
        <f>IF(OR(E928="",E928="!!!",F928="NEW"),"",INDEX(B927:B$2,-1+SUMPRODUCT(MAX(ROW(E927:E$2)*(E928=E927:E$2)))))</f>
        <v> </v>
      </c>
      <c r="J928" s="26" t="str">
        <f>IF(OR(E928="",E928="!!!",F928="NEW"),"",COUNTBLANK(OFFSET(A$1,,,SUMPRODUCT(MAX(ROW(E$2:E928)*(E928=E$2:E928)))))-COUNTBLANK(OFFSET(A$1,,,SUMPRODUCT(MAX(ROW(E$1:E927)*(E2=E$1:E927))))))</f>
        <v> </v>
      </c>
      <c r="K928" s="26" t="str">
        <f>IF(OR(E928="",E928="!!!",F928="NEW"),"",INDEX(J$1:J927,SUMPRODUCT(MAX(ROW(E$1:E927)*(E928=E$1:E927)))))</f>
        <v> </v>
      </c>
      <c r="L928" s="27"/>
    </row>
    <row r="929" spans="1:12">
      <c r="A929" s="20" t="s">
        <v>1089</v>
      </c>
      <c r="B929" s="21" t="s">
        <v>585</v>
      </c>
      <c r="C929" s="21" t="s">
        <v>586</v>
      </c>
      <c r="E929" s="22">
        <f>IF(D929="?OLD","!!!","")</f>
        <v/>
      </c>
      <c r="F929" s="23" t="str">
        <f>IF(OR(E929="",E929="!!!"),"",IF(NOT(ISNA(VLOOKUP(E929,E$1:E928,1,FALSE()))),"OLD",IF(AND(E929&lt;&gt;"",E929&lt;&gt;"!!!"),"NEW","")))</f>
        <v> </v>
      </c>
      <c r="G929" s="24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5" t="str">
        <f>IF(J929&lt;&gt;1,"",IF(I929="SBJ","CB","?"))</f>
        <v> </v>
      </c>
      <c r="I929" s="26" t="str">
        <f>IF(OR(E929="",E929="!!!",F929="NEW"),"",INDEX(B928:B$2,-1+SUMPRODUCT(MAX(ROW(E928:E$2)*(E929=E928:E$2)))))</f>
        <v> </v>
      </c>
      <c r="J929" s="26" t="str">
        <f>IF(OR(E929="",E929="!!!",F929="NEW"),"",COUNTBLANK(OFFSET(A$1,,,SUMPRODUCT(MAX(ROW(E$2:E929)*(E929=E$2:E929)))))-COUNTBLANK(OFFSET(A$1,,,SUMPRODUCT(MAX(ROW(E$1:E928)*(E2=E$1:E928))))))</f>
        <v> </v>
      </c>
      <c r="K929" s="26" t="str">
        <f>IF(OR(E929="",E929="!!!",F929="NEW"),"",INDEX(J$1:J928,SUMPRODUCT(MAX(ROW(E$1:E928)*(E929=E$1:E928)))))</f>
        <v> </v>
      </c>
      <c r="L929" s="27"/>
    </row>
    <row r="930" spans="1:12">
      <c r="A930" s="20" t="s">
        <v>583</v>
      </c>
      <c r="E930" s="22">
        <f>IF(D930="?OLD","!!!","")</f>
        <v/>
      </c>
      <c r="F930" s="23" t="str">
        <f>IF(OR(E930="",E930="!!!"),"",IF(NOT(ISNA(VLOOKUP(E930,E$1:E929,1,FALSE()))),"OLD",IF(AND(E930&lt;&gt;"",E930&lt;&gt;"!!!"),"NEW","")))</f>
        <v> </v>
      </c>
      <c r="G930" s="24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5" t="str">
        <f>IF(J930&lt;&gt;1,"",IF(I930="SBJ","CB","?"))</f>
        <v> </v>
      </c>
      <c r="I930" s="26" t="str">
        <f>IF(OR(E930="",E930="!!!",F930="NEW"),"",INDEX(B929:B$2,-1+SUMPRODUCT(MAX(ROW(E929:E$2)*(E930=E929:E$2)))))</f>
        <v> </v>
      </c>
      <c r="J930" s="26" t="str">
        <f>IF(OR(E930="",E930="!!!",F930="NEW"),"",COUNTBLANK(OFFSET(A$1,,,SUMPRODUCT(MAX(ROW(E$2:E930)*(E930=E$2:E930)))))-COUNTBLANK(OFFSET(A$1,,,SUMPRODUCT(MAX(ROW(E$1:E929)*(E2=E$1:E929))))))</f>
        <v> </v>
      </c>
      <c r="K930" s="26" t="str">
        <f>IF(OR(E930="",E930="!!!",F930="NEW"),"",INDEX(J$1:J929,SUMPRODUCT(MAX(ROW(E$1:E929)*(E930=E$1:E929)))))</f>
        <v> </v>
      </c>
      <c r="L930" s="27"/>
    </row>
    <row r="931" spans="1:12">
      <c r="A931" s="20" t="s">
        <v>209</v>
      </c>
      <c r="E931" s="22">
        <f>IF(D931="?OLD","!!!","")</f>
        <v/>
      </c>
      <c r="F931" s="23" t="str">
        <f>IF(OR(E931="",E931="!!!"),"",IF(NOT(ISNA(VLOOKUP(E931,E$1:E930,1,FALSE()))),"OLD",IF(AND(E931&lt;&gt;"",E931&lt;&gt;"!!!"),"NEW","")))</f>
        <v> </v>
      </c>
      <c r="G931" s="24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5" t="str">
        <f>IF(J931&lt;&gt;1,"",IF(I931="SBJ","CB","?"))</f>
        <v> </v>
      </c>
      <c r="I931" s="26" t="str">
        <f>IF(OR(E931="",E931="!!!",F931="NEW"),"",INDEX(B930:B$2,-1+SUMPRODUCT(MAX(ROW(E930:E$2)*(E931=E930:E$2)))))</f>
        <v> </v>
      </c>
      <c r="J931" s="26" t="str">
        <f>IF(OR(E931="",E931="!!!",F931="NEW"),"",COUNTBLANK(OFFSET(A$1,,,SUMPRODUCT(MAX(ROW(E$2:E931)*(E931=E$2:E931)))))-COUNTBLANK(OFFSET(A$1,,,SUMPRODUCT(MAX(ROW(E$1:E930)*(E2=E$1:E930))))))</f>
        <v> </v>
      </c>
      <c r="K931" s="26" t="str">
        <f>IF(OR(E931="",E931="!!!",F931="NEW"),"",INDEX(J$1:J930,SUMPRODUCT(MAX(ROW(E$1:E930)*(E931=E$1:E930)))))</f>
        <v> </v>
      </c>
      <c r="L931" s="27"/>
    </row>
    <row r="932" spans="1:12">
      <c r="A932" s="20" t="s">
        <v>963</v>
      </c>
      <c r="B932" s="21" t="s">
        <v>762</v>
      </c>
      <c r="E932" s="22">
        <f>IF(D932="?OLD","!!!","")</f>
        <v/>
      </c>
      <c r="F932" s="23" t="str">
        <f>IF(OR(E932="",E932="!!!"),"",IF(NOT(ISNA(VLOOKUP(E932,E$1:E931,1,FALSE()))),"OLD",IF(AND(E932&lt;&gt;"",E932&lt;&gt;"!!!"),"NEW","")))</f>
        <v> </v>
      </c>
      <c r="G932" s="24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5" t="str">
        <f>IF(J932&lt;&gt;1,"",IF(I932="SBJ","CB","?"))</f>
        <v> </v>
      </c>
      <c r="I932" s="26" t="str">
        <f>IF(OR(E932="",E932="!!!",F932="NEW"),"",INDEX(B931:B$2,-1+SUMPRODUCT(MAX(ROW(E931:E$2)*(E932=E931:E$2)))))</f>
        <v> </v>
      </c>
      <c r="J932" s="26" t="str">
        <f>IF(OR(E932="",E932="!!!",F932="NEW"),"",COUNTBLANK(OFFSET(A$1,,,SUMPRODUCT(MAX(ROW(E$2:E932)*(E932=E$2:E932)))))-COUNTBLANK(OFFSET(A$1,,,SUMPRODUCT(MAX(ROW(E$1:E931)*(E2=E$1:E931))))))</f>
        <v> </v>
      </c>
      <c r="K932" s="26" t="str">
        <f>IF(OR(E932="",E932="!!!",F932="NEW"),"",INDEX(J$1:J931,SUMPRODUCT(MAX(ROW(E$1:E931)*(E932=E$1:E931)))))</f>
        <v> </v>
      </c>
      <c r="L932" s="27"/>
    </row>
    <row r="933" spans="1:12">
      <c r="A933" s="20" t="s">
        <v>1090</v>
      </c>
      <c r="E933" s="22">
        <f>IF(D933="?OLD","!!!","")</f>
        <v/>
      </c>
      <c r="F933" s="23" t="str">
        <f>IF(OR(E933="",E933="!!!"),"",IF(NOT(ISNA(VLOOKUP(E933,E$1:E932,1,FALSE()))),"OLD",IF(AND(E933&lt;&gt;"",E933&lt;&gt;"!!!"),"NEW","")))</f>
        <v> </v>
      </c>
      <c r="G933" s="24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5" t="str">
        <f>IF(J933&lt;&gt;1,"",IF(I933="SBJ","CB","?"))</f>
        <v> </v>
      </c>
      <c r="I933" s="26" t="str">
        <f>IF(OR(E933="",E933="!!!",F933="NEW"),"",INDEX(B932:B$2,-1+SUMPRODUCT(MAX(ROW(E932:E$2)*(E933=E932:E$2)))))</f>
        <v> </v>
      </c>
      <c r="J933" s="26" t="str">
        <f>IF(OR(E933="",E933="!!!",F933="NEW"),"",COUNTBLANK(OFFSET(A$1,,,SUMPRODUCT(MAX(ROW(E$2:E933)*(E933=E$2:E933)))))-COUNTBLANK(OFFSET(A$1,,,SUMPRODUCT(MAX(ROW(E$1:E932)*(E2=E$1:E932))))))</f>
        <v> </v>
      </c>
      <c r="K933" s="26" t="str">
        <f>IF(OR(E933="",E933="!!!",F933="NEW"),"",INDEX(J$1:J932,SUMPRODUCT(MAX(ROW(E$1:E932)*(E933=E$1:E932)))))</f>
        <v> </v>
      </c>
      <c r="L933" s="27"/>
    </row>
    <row r="934" spans="1:12">
      <c r="A934" s="20" t="s">
        <v>871</v>
      </c>
      <c r="E934" s="22">
        <f>IF(D934="?OLD","!!!","")</f>
        <v/>
      </c>
      <c r="F934" s="23" t="str">
        <f>IF(OR(E934="",E934="!!!"),"",IF(NOT(ISNA(VLOOKUP(E934,E$1:E933,1,FALSE()))),"OLD",IF(AND(E934&lt;&gt;"",E934&lt;&gt;"!!!"),"NEW","")))</f>
        <v> </v>
      </c>
      <c r="G934" s="24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5" t="str">
        <f>IF(J934&lt;&gt;1,"",IF(I934="SBJ","CB","?"))</f>
        <v> </v>
      </c>
      <c r="I934" s="26" t="str">
        <f>IF(OR(E934="",E934="!!!",F934="NEW"),"",INDEX(B933:B$2,-1+SUMPRODUCT(MAX(ROW(E933:E$2)*(E934=E933:E$2)))))</f>
        <v> </v>
      </c>
      <c r="J934" s="26" t="str">
        <f>IF(OR(E934="",E934="!!!",F934="NEW"),"",COUNTBLANK(OFFSET(A$1,,,SUMPRODUCT(MAX(ROW(E$2:E934)*(E934=E$2:E934)))))-COUNTBLANK(OFFSET(A$1,,,SUMPRODUCT(MAX(ROW(E$1:E933)*(E2=E$1:E933))))))</f>
        <v> </v>
      </c>
      <c r="K934" s="26" t="str">
        <f>IF(OR(E934="",E934="!!!",F934="NEW"),"",INDEX(J$1:J933,SUMPRODUCT(MAX(ROW(E$1:E933)*(E934=E$1:E933)))))</f>
        <v> </v>
      </c>
      <c r="L934" s="27"/>
    </row>
    <row r="935" spans="1:12">
      <c r="A935" s="20" t="s">
        <v>688</v>
      </c>
      <c r="E935" s="22">
        <f>IF(D935="?OLD","!!!","")</f>
        <v/>
      </c>
      <c r="F935" s="23" t="str">
        <f>IF(OR(E935="",E935="!!!"),"",IF(NOT(ISNA(VLOOKUP(E935,E$1:E934,1,FALSE()))),"OLD",IF(AND(E935&lt;&gt;"",E935&lt;&gt;"!!!"),"NEW","")))</f>
        <v> </v>
      </c>
      <c r="G935" s="24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5" t="str">
        <f>IF(J935&lt;&gt;1,"",IF(I935="SBJ","CB","?"))</f>
        <v> </v>
      </c>
      <c r="I935" s="26" t="str">
        <f>IF(OR(E935="",E935="!!!",F935="NEW"),"",INDEX(B934:B$2,-1+SUMPRODUCT(MAX(ROW(E934:E$2)*(E935=E934:E$2)))))</f>
        <v> </v>
      </c>
      <c r="J935" s="26" t="str">
        <f>IF(OR(E935="",E935="!!!",F935="NEW"),"",COUNTBLANK(OFFSET(A$1,,,SUMPRODUCT(MAX(ROW(E$2:E935)*(E935=E$2:E935)))))-COUNTBLANK(OFFSET(A$1,,,SUMPRODUCT(MAX(ROW(E$1:E934)*(E2=E$1:E934))))))</f>
        <v> </v>
      </c>
      <c r="K935" s="26" t="str">
        <f>IF(OR(E935="",E935="!!!",F935="NEW"),"",INDEX(J$1:J934,SUMPRODUCT(MAX(ROW(E$1:E934)*(E935=E$1:E934)))))</f>
        <v> </v>
      </c>
      <c r="L935" s="27"/>
    </row>
    <row r="936" spans="1:12">
      <c r="A936" s="20" t="s">
        <v>1091</v>
      </c>
      <c r="E936" s="22">
        <f>IF(D936="?OLD","!!!","")</f>
        <v/>
      </c>
      <c r="F936" s="23" t="str">
        <f>IF(OR(E936="",E936="!!!"),"",IF(NOT(ISNA(VLOOKUP(E936,E$1:E935,1,FALSE()))),"OLD",IF(AND(E936&lt;&gt;"",E936&lt;&gt;"!!!"),"NEW","")))</f>
        <v> </v>
      </c>
      <c r="G936" s="24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5" t="str">
        <f>IF(J936&lt;&gt;1,"",IF(I936="SBJ","CB","?"))</f>
        <v> </v>
      </c>
      <c r="I936" s="26" t="str">
        <f>IF(OR(E936="",E936="!!!",F936="NEW"),"",INDEX(B935:B$2,-1+SUMPRODUCT(MAX(ROW(E935:E$2)*(E936=E935:E$2)))))</f>
        <v> </v>
      </c>
      <c r="J936" s="26" t="str">
        <f>IF(OR(E936="",E936="!!!",F936="NEW"),"",COUNTBLANK(OFFSET(A$1,,,SUMPRODUCT(MAX(ROW(E$2:E936)*(E936=E$2:E936)))))-COUNTBLANK(OFFSET(A$1,,,SUMPRODUCT(MAX(ROW(E$1:E935)*(E2=E$1:E935))))))</f>
        <v> </v>
      </c>
      <c r="K936" s="26" t="str">
        <f>IF(OR(E936="",E936="!!!",F936="NEW"),"",INDEX(J$1:J935,SUMPRODUCT(MAX(ROW(E$1:E935)*(E936=E$1:E935)))))</f>
        <v> </v>
      </c>
      <c r="L936" s="27"/>
    </row>
    <row r="937" spans="1:12">
      <c r="A937" s="20" t="s">
        <v>630</v>
      </c>
      <c r="E937" s="22">
        <f>IF(D937="?OLD","!!!","")</f>
        <v/>
      </c>
      <c r="F937" s="23" t="str">
        <f>IF(OR(E937="",E937="!!!"),"",IF(NOT(ISNA(VLOOKUP(E937,E$1:E936,1,FALSE()))),"OLD",IF(AND(E937&lt;&gt;"",E937&lt;&gt;"!!!"),"NEW","")))</f>
        <v> </v>
      </c>
      <c r="G937" s="24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5" t="str">
        <f>IF(J937&lt;&gt;1,"",IF(I937="SBJ","CB","?"))</f>
        <v> </v>
      </c>
      <c r="I937" s="26" t="str">
        <f>IF(OR(E937="",E937="!!!",F937="NEW"),"",INDEX(B936:B$2,-1+SUMPRODUCT(MAX(ROW(E936:E$2)*(E937=E936:E$2)))))</f>
        <v> </v>
      </c>
      <c r="J937" s="26" t="str">
        <f>IF(OR(E937="",E937="!!!",F937="NEW"),"",COUNTBLANK(OFFSET(A$1,,,SUMPRODUCT(MAX(ROW(E$2:E937)*(E937=E$2:E937)))))-COUNTBLANK(OFFSET(A$1,,,SUMPRODUCT(MAX(ROW(E$1:E936)*(E2=E$1:E936))))))</f>
        <v> </v>
      </c>
      <c r="K937" s="26" t="str">
        <f>IF(OR(E937="",E937="!!!",F937="NEW"),"",INDEX(J$1:J936,SUMPRODUCT(MAX(ROW(E$1:E936)*(E937=E$1:E936)))))</f>
        <v> </v>
      </c>
      <c r="L937" s="27"/>
    </row>
    <row r="938" spans="1:12">
      <c r="A938" s="20" t="s">
        <v>1092</v>
      </c>
      <c r="E938" s="22">
        <f>IF(D938="?OLD","!!!","")</f>
        <v/>
      </c>
      <c r="F938" s="23" t="str">
        <f>IF(OR(E938="",E938="!!!"),"",IF(NOT(ISNA(VLOOKUP(E938,E$1:E937,1,FALSE()))),"OLD",IF(AND(E938&lt;&gt;"",E938&lt;&gt;"!!!"),"NEW","")))</f>
        <v> </v>
      </c>
      <c r="G938" s="24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5" t="str">
        <f>IF(J938&lt;&gt;1,"",IF(I938="SBJ","CB","?"))</f>
        <v> </v>
      </c>
      <c r="I938" s="26" t="str">
        <f>IF(OR(E938="",E938="!!!",F938="NEW"),"",INDEX(B937:B$2,-1+SUMPRODUCT(MAX(ROW(E937:E$2)*(E938=E937:E$2)))))</f>
        <v> </v>
      </c>
      <c r="J938" s="26" t="str">
        <f>IF(OR(E938="",E938="!!!",F938="NEW"),"",COUNTBLANK(OFFSET(A$1,,,SUMPRODUCT(MAX(ROW(E$2:E938)*(E938=E$2:E938)))))-COUNTBLANK(OFFSET(A$1,,,SUMPRODUCT(MAX(ROW(E$1:E937)*(E2=E$1:E937))))))</f>
        <v> </v>
      </c>
      <c r="K938" s="26" t="str">
        <f>IF(OR(E938="",E938="!!!",F938="NEW"),"",INDEX(J$1:J937,SUMPRODUCT(MAX(ROW(E$1:E937)*(E938=E$1:E937)))))</f>
        <v> </v>
      </c>
      <c r="L938" s="27"/>
    </row>
    <row r="939" spans="1:12">
      <c r="A939" s="20" t="s">
        <v>592</v>
      </c>
      <c r="E939" s="22">
        <f>IF(D939="?OLD","!!!","")</f>
        <v/>
      </c>
      <c r="F939" s="23" t="str">
        <f>IF(OR(E939="",E939="!!!"),"",IF(NOT(ISNA(VLOOKUP(E939,E$1:E938,1,FALSE()))),"OLD",IF(AND(E939&lt;&gt;"",E939&lt;&gt;"!!!"),"NEW","")))</f>
        <v> </v>
      </c>
      <c r="G939" s="24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5" t="str">
        <f>IF(J939&lt;&gt;1,"",IF(I939="SBJ","CB","?"))</f>
        <v> </v>
      </c>
      <c r="I939" s="26" t="str">
        <f>IF(OR(E939="",E939="!!!",F939="NEW"),"",INDEX(B938:B$2,-1+SUMPRODUCT(MAX(ROW(E938:E$2)*(E939=E938:E$2)))))</f>
        <v> </v>
      </c>
      <c r="J939" s="26" t="str">
        <f>IF(OR(E939="",E939="!!!",F939="NEW"),"",COUNTBLANK(OFFSET(A$1,,,SUMPRODUCT(MAX(ROW(E$2:E939)*(E939=E$2:E939)))))-COUNTBLANK(OFFSET(A$1,,,SUMPRODUCT(MAX(ROW(E$1:E938)*(E2=E$1:E938))))))</f>
        <v> </v>
      </c>
      <c r="K939" s="26" t="str">
        <f>IF(OR(E939="",E939="!!!",F939="NEW"),"",INDEX(J$1:J938,SUMPRODUCT(MAX(ROW(E$1:E938)*(E939=E$1:E938)))))</f>
        <v> </v>
      </c>
      <c r="L939" s="27"/>
    </row>
    <row r="940" spans="1:12">
      <c r="A940" s="20"/>
    </row>
    <row r="941" spans="1:12">
      <c r="A941" s="20" t="s">
        <v>1093</v>
      </c>
    </row>
    <row r="942" spans="1:12">
      <c r="A942" s="20" t="s">
        <v>936</v>
      </c>
      <c r="B942" s="21" t="s">
        <v>578</v>
      </c>
      <c r="C942" s="21" t="s">
        <v>613</v>
      </c>
      <c r="D942" s="21" t="s">
        <v>587</v>
      </c>
      <c r="E942" s="22">
        <f>IF(D942="?OLD","!!!","")</f>
        <v/>
      </c>
      <c r="F942" s="23" t="str">
        <f>IF(OR(E942="",E942="!!!"),"",IF(NOT(ISNA(VLOOKUP(E942,E$1:E941,1,FALSE()))),"OLD",IF(AND(E942&lt;&gt;"",E942&lt;&gt;"!!!"),"NEW","")))</f>
        <v> </v>
      </c>
      <c r="G942" s="24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5" t="str">
        <f>IF(J942&lt;&gt;1,"",IF(I942="SBJ","CB","?"))</f>
        <v> </v>
      </c>
      <c r="I942" s="26" t="str">
        <f>IF(OR(E942="",E942="!!!",F942="NEW"),"",INDEX(B941:B$2,-1+SUMPRODUCT(MAX(ROW(E941:E$2)*(E942=E941:E$2)))))</f>
        <v> </v>
      </c>
      <c r="J942" s="26" t="str">
        <f>IF(OR(E942="",E942="!!!",F942="NEW"),"",COUNTBLANK(OFFSET(A$1,,,SUMPRODUCT(MAX(ROW(E$2:E942)*(E942=E$2:E942)))))-COUNTBLANK(OFFSET(A$1,,,SUMPRODUCT(MAX(ROW(E$1:E941)*(E2=E$1:E941))))))</f>
        <v> </v>
      </c>
      <c r="K942" s="26" t="str">
        <f>IF(OR(E942="",E942="!!!",F942="NEW"),"",INDEX(J$1:J941,SUMPRODUCT(MAX(ROW(E$1:E941)*(E942=E$1:E941)))))</f>
        <v> </v>
      </c>
      <c r="L942" s="27"/>
    </row>
    <row r="943" spans="1:12">
      <c r="A943" s="20" t="s">
        <v>1094</v>
      </c>
      <c r="E943" s="22">
        <f>IF(D943="?OLD","!!!","")</f>
        <v/>
      </c>
      <c r="F943" s="23" t="str">
        <f>IF(OR(E943="",E943="!!!"),"",IF(NOT(ISNA(VLOOKUP(E943,E$1:E942,1,FALSE()))),"OLD",IF(AND(E943&lt;&gt;"",E943&lt;&gt;"!!!"),"NEW","")))</f>
        <v> </v>
      </c>
      <c r="G943" s="24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5" t="str">
        <f>IF(J943&lt;&gt;1,"",IF(I943="SBJ","CB","?"))</f>
        <v> </v>
      </c>
      <c r="I943" s="26" t="str">
        <f>IF(OR(E943="",E943="!!!",F943="NEW"),"",INDEX(B942:B$2,-1+SUMPRODUCT(MAX(ROW(E942:E$2)*(E943=E942:E$2)))))</f>
        <v> </v>
      </c>
      <c r="J943" s="26" t="str">
        <f>IF(OR(E943="",E943="!!!",F943="NEW"),"",COUNTBLANK(OFFSET(A$1,,,SUMPRODUCT(MAX(ROW(E$2:E943)*(E943=E$2:E943)))))-COUNTBLANK(OFFSET(A$1,,,SUMPRODUCT(MAX(ROW(E$1:E942)*(E2=E$1:E942))))))</f>
        <v> </v>
      </c>
      <c r="K943" s="26" t="str">
        <f>IF(OR(E943="",E943="!!!",F943="NEW"),"",INDEX(J$1:J942,SUMPRODUCT(MAX(ROW(E$1:E942)*(E943=E$1:E942)))))</f>
        <v> </v>
      </c>
      <c r="L943" s="27"/>
    </row>
    <row r="944" spans="1:12">
      <c r="A944" s="20" t="s">
        <v>583</v>
      </c>
      <c r="E944" s="22">
        <f>IF(D944="?OLD","!!!","")</f>
        <v/>
      </c>
      <c r="F944" s="23" t="str">
        <f>IF(OR(E944="",E944="!!!"),"",IF(NOT(ISNA(VLOOKUP(E944,E$1:E943,1,FALSE()))),"OLD",IF(AND(E944&lt;&gt;"",E944&lt;&gt;"!!!"),"NEW","")))</f>
        <v> </v>
      </c>
      <c r="G944" s="24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5" t="str">
        <f>IF(J944&lt;&gt;1,"",IF(I944="SBJ","CB","?"))</f>
        <v> </v>
      </c>
      <c r="I944" s="26" t="str">
        <f>IF(OR(E944="",E944="!!!",F944="NEW"),"",INDEX(B943:B$2,-1+SUMPRODUCT(MAX(ROW(E943:E$2)*(E944=E943:E$2)))))</f>
        <v> </v>
      </c>
      <c r="J944" s="26" t="str">
        <f>IF(OR(E944="",E944="!!!",F944="NEW"),"",COUNTBLANK(OFFSET(A$1,,,SUMPRODUCT(MAX(ROW(E$2:E944)*(E944=E$2:E944)))))-COUNTBLANK(OFFSET(A$1,,,SUMPRODUCT(MAX(ROW(E$1:E943)*(E2=E$1:E943))))))</f>
        <v> </v>
      </c>
      <c r="K944" s="26" t="str">
        <f>IF(OR(E944="",E944="!!!",F944="NEW"),"",INDEX(J$1:J943,SUMPRODUCT(MAX(ROW(E$1:E943)*(E944=E$1:E943)))))</f>
        <v> </v>
      </c>
      <c r="L944" s="27"/>
    </row>
    <row r="945" spans="1:12">
      <c r="A945" s="20" t="s">
        <v>369</v>
      </c>
      <c r="E945" s="22">
        <f>IF(D945="?OLD","!!!","")</f>
        <v/>
      </c>
      <c r="F945" s="23" t="str">
        <f>IF(OR(E945="",E945="!!!"),"",IF(NOT(ISNA(VLOOKUP(E945,E$1:E944,1,FALSE()))),"OLD",IF(AND(E945&lt;&gt;"",E945&lt;&gt;"!!!"),"NEW","")))</f>
        <v> </v>
      </c>
      <c r="G945" s="24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5" t="str">
        <f>IF(J945&lt;&gt;1,"",IF(I945="SBJ","CB","?"))</f>
        <v> </v>
      </c>
      <c r="I945" s="26" t="str">
        <f>IF(OR(E945="",E945="!!!",F945="NEW"),"",INDEX(B944:B$2,-1+SUMPRODUCT(MAX(ROW(E944:E$2)*(E945=E944:E$2)))))</f>
        <v> </v>
      </c>
      <c r="J945" s="26" t="str">
        <f>IF(OR(E945="",E945="!!!",F945="NEW"),"",COUNTBLANK(OFFSET(A$1,,,SUMPRODUCT(MAX(ROW(E$2:E945)*(E945=E$2:E945)))))-COUNTBLANK(OFFSET(A$1,,,SUMPRODUCT(MAX(ROW(E$1:E944)*(E2=E$1:E944))))))</f>
        <v> </v>
      </c>
      <c r="K945" s="26" t="str">
        <f>IF(OR(E945="",E945="!!!",F945="NEW"),"",INDEX(J$1:J944,SUMPRODUCT(MAX(ROW(E$1:E944)*(E945=E$1:E944)))))</f>
        <v> </v>
      </c>
      <c r="L945" s="27"/>
    </row>
    <row r="946" spans="1:12">
      <c r="A946" s="20" t="s">
        <v>1095</v>
      </c>
      <c r="B946" s="21" t="s">
        <v>590</v>
      </c>
      <c r="E946" s="22">
        <f>IF(D946="?OLD","!!!","")</f>
        <v/>
      </c>
      <c r="F946" s="23" t="str">
        <f>IF(OR(E946="",E946="!!!"),"",IF(NOT(ISNA(VLOOKUP(E946,E$1:E945,1,FALSE()))),"OLD",IF(AND(E946&lt;&gt;"",E946&lt;&gt;"!!!"),"NEW","")))</f>
        <v> </v>
      </c>
      <c r="G946" s="24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5" t="str">
        <f>IF(J946&lt;&gt;1,"",IF(I946="SBJ","CB","?"))</f>
        <v> </v>
      </c>
      <c r="I946" s="26" t="str">
        <f>IF(OR(E946="",E946="!!!",F946="NEW"),"",INDEX(B945:B$2,-1+SUMPRODUCT(MAX(ROW(E945:E$2)*(E946=E945:E$2)))))</f>
        <v> </v>
      </c>
      <c r="J946" s="26" t="str">
        <f>IF(OR(E946="",E946="!!!",F946="NEW"),"",COUNTBLANK(OFFSET(A$1,,,SUMPRODUCT(MAX(ROW(E$2:E946)*(E946=E$2:E946)))))-COUNTBLANK(OFFSET(A$1,,,SUMPRODUCT(MAX(ROW(E$1:E945)*(E2=E$1:E945))))))</f>
        <v> </v>
      </c>
      <c r="K946" s="26" t="str">
        <f>IF(OR(E946="",E946="!!!",F946="NEW"),"",INDEX(J$1:J945,SUMPRODUCT(MAX(ROW(E$1:E945)*(E946=E$1:E945)))))</f>
        <v> </v>
      </c>
      <c r="L946" s="27"/>
    </row>
    <row r="947" spans="1:12">
      <c r="A947" s="20" t="s">
        <v>630</v>
      </c>
      <c r="E947" s="22">
        <f>IF(D947="?OLD","!!!","")</f>
        <v/>
      </c>
      <c r="F947" s="23" t="str">
        <f>IF(OR(E947="",E947="!!!"),"",IF(NOT(ISNA(VLOOKUP(E947,E$1:E946,1,FALSE()))),"OLD",IF(AND(E947&lt;&gt;"",E947&lt;&gt;"!!!"),"NEW","")))</f>
        <v> </v>
      </c>
      <c r="G947" s="24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5" t="str">
        <f>IF(J947&lt;&gt;1,"",IF(I947="SBJ","CB","?"))</f>
        <v> </v>
      </c>
      <c r="I947" s="26" t="str">
        <f>IF(OR(E947="",E947="!!!",F947="NEW"),"",INDEX(B946:B$2,-1+SUMPRODUCT(MAX(ROW(E946:E$2)*(E947=E946:E$2)))))</f>
        <v> </v>
      </c>
      <c r="J947" s="26" t="str">
        <f>IF(OR(E947="",E947="!!!",F947="NEW"),"",COUNTBLANK(OFFSET(A$1,,,SUMPRODUCT(MAX(ROW(E$2:E947)*(E947=E$2:E947)))))-COUNTBLANK(OFFSET(A$1,,,SUMPRODUCT(MAX(ROW(E$1:E946)*(E2=E$1:E946))))))</f>
        <v> </v>
      </c>
      <c r="K947" s="26" t="str">
        <f>IF(OR(E947="",E947="!!!",F947="NEW"),"",INDEX(J$1:J946,SUMPRODUCT(MAX(ROW(E$1:E946)*(E947=E$1:E946)))))</f>
        <v> </v>
      </c>
      <c r="L947" s="27"/>
    </row>
    <row r="948" spans="1:12">
      <c r="A948" s="20" t="s">
        <v>1096</v>
      </c>
      <c r="E948" s="22">
        <f>IF(D948="?OLD","!!!","")</f>
        <v/>
      </c>
      <c r="F948" s="23" t="str">
        <f>IF(OR(E948="",E948="!!!"),"",IF(NOT(ISNA(VLOOKUP(E948,E$1:E947,1,FALSE()))),"OLD",IF(AND(E948&lt;&gt;"",E948&lt;&gt;"!!!"),"NEW","")))</f>
        <v> </v>
      </c>
      <c r="G948" s="24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5" t="str">
        <f>IF(J948&lt;&gt;1,"",IF(I948="SBJ","CB","?"))</f>
        <v> </v>
      </c>
      <c r="I948" s="26" t="str">
        <f>IF(OR(E948="",E948="!!!",F948="NEW"),"",INDEX(B947:B$2,-1+SUMPRODUCT(MAX(ROW(E947:E$2)*(E948=E947:E$2)))))</f>
        <v> </v>
      </c>
      <c r="J948" s="26" t="str">
        <f>IF(OR(E948="",E948="!!!",F948="NEW"),"",COUNTBLANK(OFFSET(A$1,,,SUMPRODUCT(MAX(ROW(E$2:E948)*(E948=E$2:E948)))))-COUNTBLANK(OFFSET(A$1,,,SUMPRODUCT(MAX(ROW(E$1:E947)*(E2=E$1:E947))))))</f>
        <v> </v>
      </c>
      <c r="K948" s="26" t="str">
        <f>IF(OR(E948="",E948="!!!",F948="NEW"),"",INDEX(J$1:J947,SUMPRODUCT(MAX(ROW(E$1:E947)*(E948=E$1:E947)))))</f>
        <v> </v>
      </c>
      <c r="L948" s="27"/>
    </row>
    <row r="949" spans="1:12">
      <c r="A949" s="20" t="s">
        <v>1097</v>
      </c>
      <c r="E949" s="22">
        <f>IF(D949="?OLD","!!!","")</f>
        <v/>
      </c>
      <c r="F949" s="23" t="str">
        <f>IF(OR(E949="",E949="!!!"),"",IF(NOT(ISNA(VLOOKUP(E949,E$1:E948,1,FALSE()))),"OLD",IF(AND(E949&lt;&gt;"",E949&lt;&gt;"!!!"),"NEW","")))</f>
        <v> </v>
      </c>
      <c r="G949" s="24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5" t="str">
        <f>IF(J949&lt;&gt;1,"",IF(I949="SBJ","CB","?"))</f>
        <v> </v>
      </c>
      <c r="I949" s="26" t="str">
        <f>IF(OR(E949="",E949="!!!",F949="NEW"),"",INDEX(B948:B$2,-1+SUMPRODUCT(MAX(ROW(E948:E$2)*(E949=E948:E$2)))))</f>
        <v> </v>
      </c>
      <c r="J949" s="26" t="str">
        <f>IF(OR(E949="",E949="!!!",F949="NEW"),"",COUNTBLANK(OFFSET(A$1,,,SUMPRODUCT(MAX(ROW(E$2:E949)*(E949=E$2:E949)))))-COUNTBLANK(OFFSET(A$1,,,SUMPRODUCT(MAX(ROW(E$1:E948)*(E2=E$1:E948))))))</f>
        <v> </v>
      </c>
      <c r="K949" s="26" t="str">
        <f>IF(OR(E949="",E949="!!!",F949="NEW"),"",INDEX(J$1:J948,SUMPRODUCT(MAX(ROW(E$1:E948)*(E949=E$1:E948)))))</f>
        <v> </v>
      </c>
      <c r="L949" s="27"/>
    </row>
    <row r="950" spans="1:12">
      <c r="A950" s="20" t="s">
        <v>753</v>
      </c>
      <c r="E950" s="22">
        <f>IF(D950="?OLD","!!!","")</f>
        <v/>
      </c>
      <c r="F950" s="23" t="str">
        <f>IF(OR(E950="",E950="!!!"),"",IF(NOT(ISNA(VLOOKUP(E950,E$1:E949,1,FALSE()))),"OLD",IF(AND(E950&lt;&gt;"",E950&lt;&gt;"!!!"),"NEW","")))</f>
        <v> </v>
      </c>
      <c r="G950" s="24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5" t="str">
        <f>IF(J950&lt;&gt;1,"",IF(I950="SBJ","CB","?"))</f>
        <v> </v>
      </c>
      <c r="I950" s="26" t="str">
        <f>IF(OR(E950="",E950="!!!",F950="NEW"),"",INDEX(B949:B$2,-1+SUMPRODUCT(MAX(ROW(E949:E$2)*(E950=E949:E$2)))))</f>
        <v> </v>
      </c>
      <c r="J950" s="26" t="str">
        <f>IF(OR(E950="",E950="!!!",F950="NEW"),"",COUNTBLANK(OFFSET(A$1,,,SUMPRODUCT(MAX(ROW(E$2:E950)*(E950=E$2:E950)))))-COUNTBLANK(OFFSET(A$1,,,SUMPRODUCT(MAX(ROW(E$1:E949)*(E2=E$1:E949))))))</f>
        <v> </v>
      </c>
      <c r="K950" s="26" t="str">
        <f>IF(OR(E950="",E950="!!!",F950="NEW"),"",INDEX(J$1:J949,SUMPRODUCT(MAX(ROW(E$1:E949)*(E950=E$1:E949)))))</f>
        <v> </v>
      </c>
      <c r="L950" s="27"/>
    </row>
    <row r="951" spans="1:12">
      <c r="A951" s="20" t="s">
        <v>1098</v>
      </c>
      <c r="E951" s="22">
        <f>IF(D951="?OLD","!!!","")</f>
        <v/>
      </c>
      <c r="F951" s="23" t="str">
        <f>IF(OR(E951="",E951="!!!"),"",IF(NOT(ISNA(VLOOKUP(E951,E$1:E950,1,FALSE()))),"OLD",IF(AND(E951&lt;&gt;"",E951&lt;&gt;"!!!"),"NEW","")))</f>
        <v> </v>
      </c>
      <c r="G951" s="24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5" t="str">
        <f>IF(J951&lt;&gt;1,"",IF(I951="SBJ","CB","?"))</f>
        <v> </v>
      </c>
      <c r="I951" s="26" t="str">
        <f>IF(OR(E951="",E951="!!!",F951="NEW"),"",INDEX(B950:B$2,-1+SUMPRODUCT(MAX(ROW(E950:E$2)*(E951=E950:E$2)))))</f>
        <v> </v>
      </c>
      <c r="J951" s="26" t="str">
        <f>IF(OR(E951="",E951="!!!",F951="NEW"),"",COUNTBLANK(OFFSET(A$1,,,SUMPRODUCT(MAX(ROW(E$2:E951)*(E951=E$2:E951)))))-COUNTBLANK(OFFSET(A$1,,,SUMPRODUCT(MAX(ROW(E$1:E950)*(E2=E$1:E950))))))</f>
        <v> </v>
      </c>
      <c r="K951" s="26" t="str">
        <f>IF(OR(E951="",E951="!!!",F951="NEW"),"",INDEX(J$1:J950,SUMPRODUCT(MAX(ROW(E$1:E950)*(E951=E$1:E950)))))</f>
        <v> </v>
      </c>
      <c r="L951" s="27"/>
    </row>
    <row r="952" spans="1:12">
      <c r="A952" s="20" t="s">
        <v>1099</v>
      </c>
      <c r="E952" s="22">
        <f>IF(D952="?OLD","!!!","")</f>
        <v/>
      </c>
      <c r="F952" s="23" t="str">
        <f>IF(OR(E952="",E952="!!!"),"",IF(NOT(ISNA(VLOOKUP(E952,E$1:E951,1,FALSE()))),"OLD",IF(AND(E952&lt;&gt;"",E952&lt;&gt;"!!!"),"NEW","")))</f>
        <v> </v>
      </c>
      <c r="G952" s="24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5" t="str">
        <f>IF(J952&lt;&gt;1,"",IF(I952="SBJ","CB","?"))</f>
        <v> </v>
      </c>
      <c r="I952" s="26" t="str">
        <f>IF(OR(E952="",E952="!!!",F952="NEW"),"",INDEX(B951:B$2,-1+SUMPRODUCT(MAX(ROW(E951:E$2)*(E952=E951:E$2)))))</f>
        <v> </v>
      </c>
      <c r="J952" s="26" t="str">
        <f>IF(OR(E952="",E952="!!!",F952="NEW"),"",COUNTBLANK(OFFSET(A$1,,,SUMPRODUCT(MAX(ROW(E$2:E952)*(E952=E$2:E952)))))-COUNTBLANK(OFFSET(A$1,,,SUMPRODUCT(MAX(ROW(E$1:E951)*(E2=E$1:E951))))))</f>
        <v> </v>
      </c>
      <c r="K952" s="26" t="str">
        <f>IF(OR(E952="",E952="!!!",F952="NEW"),"",INDEX(J$1:J951,SUMPRODUCT(MAX(ROW(E$1:E951)*(E952=E$1:E951)))))</f>
        <v> </v>
      </c>
      <c r="L952" s="27"/>
    </row>
    <row r="953" spans="1:12">
      <c r="A953" s="20" t="s">
        <v>1100</v>
      </c>
      <c r="E953" s="22">
        <f>IF(D953="?OLD","!!!","")</f>
        <v/>
      </c>
      <c r="F953" s="23" t="str">
        <f>IF(OR(E953="",E953="!!!"),"",IF(NOT(ISNA(VLOOKUP(E953,E$1:E952,1,FALSE()))),"OLD",IF(AND(E953&lt;&gt;"",E953&lt;&gt;"!!!"),"NEW","")))</f>
        <v> </v>
      </c>
      <c r="G953" s="24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5" t="str">
        <f>IF(J953&lt;&gt;1,"",IF(I953="SBJ","CB","?"))</f>
        <v> </v>
      </c>
      <c r="I953" s="26" t="str">
        <f>IF(OR(E953="",E953="!!!",F953="NEW"),"",INDEX(B952:B$2,-1+SUMPRODUCT(MAX(ROW(E952:E$2)*(E953=E952:E$2)))))</f>
        <v> </v>
      </c>
      <c r="J953" s="26" t="str">
        <f>IF(OR(E953="",E953="!!!",F953="NEW"),"",COUNTBLANK(OFFSET(A$1,,,SUMPRODUCT(MAX(ROW(E$2:E953)*(E953=E$2:E953)))))-COUNTBLANK(OFFSET(A$1,,,SUMPRODUCT(MAX(ROW(E$1:E952)*(E2=E$1:E952))))))</f>
        <v> </v>
      </c>
      <c r="K953" s="26" t="str">
        <f>IF(OR(E953="",E953="!!!",F953="NEW"),"",INDEX(J$1:J952,SUMPRODUCT(MAX(ROW(E$1:E952)*(E953=E$1:E952)))))</f>
        <v> </v>
      </c>
      <c r="L953" s="27"/>
    </row>
    <row r="954" spans="1:12">
      <c r="A954" s="20" t="s">
        <v>1101</v>
      </c>
      <c r="E954" s="22">
        <f>IF(D954="?OLD","!!!","")</f>
        <v/>
      </c>
      <c r="F954" s="23" t="str">
        <f>IF(OR(E954="",E954="!!!"),"",IF(NOT(ISNA(VLOOKUP(E954,E$1:E953,1,FALSE()))),"OLD",IF(AND(E954&lt;&gt;"",E954&lt;&gt;"!!!"),"NEW","")))</f>
        <v> </v>
      </c>
      <c r="G954" s="24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5" t="str">
        <f>IF(J954&lt;&gt;1,"",IF(I954="SBJ","CB","?"))</f>
        <v> </v>
      </c>
      <c r="I954" s="26" t="str">
        <f>IF(OR(E954="",E954="!!!",F954="NEW"),"",INDEX(B953:B$2,-1+SUMPRODUCT(MAX(ROW(E953:E$2)*(E954=E953:E$2)))))</f>
        <v> </v>
      </c>
      <c r="J954" s="26" t="str">
        <f>IF(OR(E954="",E954="!!!",F954="NEW"),"",COUNTBLANK(OFFSET(A$1,,,SUMPRODUCT(MAX(ROW(E$2:E954)*(E954=E$2:E954)))))-COUNTBLANK(OFFSET(A$1,,,SUMPRODUCT(MAX(ROW(E$1:E953)*(E2=E$1:E953))))))</f>
        <v> </v>
      </c>
      <c r="K954" s="26" t="str">
        <f>IF(OR(E954="",E954="!!!",F954="NEW"),"",INDEX(J$1:J953,SUMPRODUCT(MAX(ROW(E$1:E953)*(E954=E$1:E953)))))</f>
        <v> </v>
      </c>
      <c r="L954" s="27"/>
    </row>
    <row r="955" spans="1:12">
      <c r="A955" s="20" t="s">
        <v>592</v>
      </c>
      <c r="E955" s="22">
        <f>IF(D955="?OLD","!!!","")</f>
        <v/>
      </c>
      <c r="F955" s="23" t="str">
        <f>IF(OR(E955="",E955="!!!"),"",IF(NOT(ISNA(VLOOKUP(E955,E$1:E954,1,FALSE()))),"OLD",IF(AND(E955&lt;&gt;"",E955&lt;&gt;"!!!"),"NEW","")))</f>
        <v> </v>
      </c>
      <c r="G955" s="24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5" t="str">
        <f>IF(J955&lt;&gt;1,"",IF(I955="SBJ","CB","?"))</f>
        <v> </v>
      </c>
      <c r="I955" s="26" t="str">
        <f>IF(OR(E955="",E955="!!!",F955="NEW"),"",INDEX(B954:B$2,-1+SUMPRODUCT(MAX(ROW(E954:E$2)*(E955=E954:E$2)))))</f>
        <v> </v>
      </c>
      <c r="J955" s="26" t="str">
        <f>IF(OR(E955="",E955="!!!",F955="NEW"),"",COUNTBLANK(OFFSET(A$1,,,SUMPRODUCT(MAX(ROW(E$2:E955)*(E955=E$2:E955)))))-COUNTBLANK(OFFSET(A$1,,,SUMPRODUCT(MAX(ROW(E$1:E954)*(E2=E$1:E954))))))</f>
        <v> </v>
      </c>
      <c r="K955" s="26" t="str">
        <f>IF(OR(E955="",E955="!!!",F955="NEW"),"",INDEX(J$1:J954,SUMPRODUCT(MAX(ROW(E$1:E954)*(E955=E$1:E954)))))</f>
        <v> </v>
      </c>
      <c r="L955" s="27"/>
    </row>
    <row r="956" spans="1:12">
      <c r="A956" s="20"/>
    </row>
    <row r="957" spans="1:12">
      <c r="A957" s="20" t="s">
        <v>1102</v>
      </c>
    </row>
    <row r="958" spans="1:12">
      <c r="A958" s="20" t="s">
        <v>1083</v>
      </c>
      <c r="E958" s="22">
        <f>IF(D958="?OLD","!!!","")</f>
        <v/>
      </c>
      <c r="F958" s="23" t="str">
        <f>IF(OR(E958="",E958="!!!"),"",IF(NOT(ISNA(VLOOKUP(E958,E$1:E957,1,FALSE()))),"OLD",IF(AND(E958&lt;&gt;"",E958&lt;&gt;"!!!"),"NEW","")))</f>
        <v> </v>
      </c>
      <c r="G958" s="24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5" t="str">
        <f>IF(J958&lt;&gt;1,"",IF(I958="SBJ","CB","?"))</f>
        <v> </v>
      </c>
      <c r="I958" s="26" t="str">
        <f>IF(OR(E958="",E958="!!!",F958="NEW"),"",INDEX(B957:B$2,-1+SUMPRODUCT(MAX(ROW(E957:E$2)*(E958=E957:E$2)))))</f>
        <v> </v>
      </c>
      <c r="J958" s="26" t="str">
        <f>IF(OR(E958="",E958="!!!",F958="NEW"),"",COUNTBLANK(OFFSET(A$1,,,SUMPRODUCT(MAX(ROW(E$2:E958)*(E958=E$2:E958)))))-COUNTBLANK(OFFSET(A$1,,,SUMPRODUCT(MAX(ROW(E$1:E957)*(E2=E$1:E957))))))</f>
        <v> </v>
      </c>
      <c r="K958" s="26" t="str">
        <f>IF(OR(E958="",E958="!!!",F958="NEW"),"",INDEX(J$1:J957,SUMPRODUCT(MAX(ROW(E$1:E957)*(E958=E$1:E957)))))</f>
        <v> </v>
      </c>
      <c r="L958" s="27"/>
    </row>
    <row r="959" spans="1:12">
      <c r="A959" s="20" t="s">
        <v>483</v>
      </c>
      <c r="E959" s="22">
        <f>IF(D959="?OLD","!!!","")</f>
        <v/>
      </c>
      <c r="F959" s="23" t="str">
        <f>IF(OR(E959="",E959="!!!"),"",IF(NOT(ISNA(VLOOKUP(E959,E$1:E958,1,FALSE()))),"OLD",IF(AND(E959&lt;&gt;"",E959&lt;&gt;"!!!"),"NEW","")))</f>
        <v> </v>
      </c>
      <c r="G959" s="24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5" t="str">
        <f>IF(J959&lt;&gt;1,"",IF(I959="SBJ","CB","?"))</f>
        <v> </v>
      </c>
      <c r="I959" s="26" t="str">
        <f>IF(OR(E959="",E959="!!!",F959="NEW"),"",INDEX(B958:B$2,-1+SUMPRODUCT(MAX(ROW(E958:E$2)*(E959=E958:E$2)))))</f>
        <v> </v>
      </c>
      <c r="J959" s="26" t="str">
        <f>IF(OR(E959="",E959="!!!",F959="NEW"),"",COUNTBLANK(OFFSET(A$1,,,SUMPRODUCT(MAX(ROW(E$2:E959)*(E959=E$2:E959)))))-COUNTBLANK(OFFSET(A$1,,,SUMPRODUCT(MAX(ROW(E$1:E958)*(E2=E$1:E958))))))</f>
        <v> </v>
      </c>
      <c r="K959" s="26" t="str">
        <f>IF(OR(E959="",E959="!!!",F959="NEW"),"",INDEX(J$1:J958,SUMPRODUCT(MAX(ROW(E$1:E958)*(E959=E$1:E958)))))</f>
        <v> </v>
      </c>
      <c r="L959" s="27"/>
    </row>
    <row r="960" spans="1:12">
      <c r="A960" s="20" t="s">
        <v>1103</v>
      </c>
      <c r="E960" s="22">
        <f>IF(D960="?OLD","!!!","")</f>
        <v/>
      </c>
      <c r="F960" s="23" t="str">
        <f>IF(OR(E960="",E960="!!!"),"",IF(NOT(ISNA(VLOOKUP(E960,E$1:E959,1,FALSE()))),"OLD",IF(AND(E960&lt;&gt;"",E960&lt;&gt;"!!!"),"NEW","")))</f>
        <v> </v>
      </c>
      <c r="G960" s="24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5" t="str">
        <f>IF(J960&lt;&gt;1,"",IF(I960="SBJ","CB","?"))</f>
        <v> </v>
      </c>
      <c r="I960" s="26" t="str">
        <f>IF(OR(E960="",E960="!!!",F960="NEW"),"",INDEX(B959:B$2,-1+SUMPRODUCT(MAX(ROW(E959:E$2)*(E960=E959:E$2)))))</f>
        <v> </v>
      </c>
      <c r="J960" s="26" t="str">
        <f>IF(OR(E960="",E960="!!!",F960="NEW"),"",COUNTBLANK(OFFSET(A$1,,,SUMPRODUCT(MAX(ROW(E$2:E960)*(E960=E$2:E960)))))-COUNTBLANK(OFFSET(A$1,,,SUMPRODUCT(MAX(ROW(E$1:E959)*(E2=E$1:E959))))))</f>
        <v> </v>
      </c>
      <c r="K960" s="26" t="str">
        <f>IF(OR(E960="",E960="!!!",F960="NEW"),"",INDEX(J$1:J959,SUMPRODUCT(MAX(ROW(E$1:E959)*(E960=E$1:E959)))))</f>
        <v> </v>
      </c>
      <c r="L960" s="27"/>
    </row>
    <row r="961" spans="1:12">
      <c r="A961" s="20" t="s">
        <v>810</v>
      </c>
      <c r="E961" s="22">
        <f>IF(D961="?OLD","!!!","")</f>
        <v/>
      </c>
      <c r="F961" s="23" t="str">
        <f>IF(OR(E961="",E961="!!!"),"",IF(NOT(ISNA(VLOOKUP(E961,E$1:E960,1,FALSE()))),"OLD",IF(AND(E961&lt;&gt;"",E961&lt;&gt;"!!!"),"NEW","")))</f>
        <v> </v>
      </c>
      <c r="G961" s="24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5" t="str">
        <f>IF(J961&lt;&gt;1,"",IF(I961="SBJ","CB","?"))</f>
        <v> </v>
      </c>
      <c r="I961" s="26" t="str">
        <f>IF(OR(E961="",E961="!!!",F961="NEW"),"",INDEX(B960:B$2,-1+SUMPRODUCT(MAX(ROW(E960:E$2)*(E961=E960:E$2)))))</f>
        <v> </v>
      </c>
      <c r="J961" s="26" t="str">
        <f>IF(OR(E961="",E961="!!!",F961="NEW"),"",COUNTBLANK(OFFSET(A$1,,,SUMPRODUCT(MAX(ROW(E$2:E961)*(E961=E$2:E961)))))-COUNTBLANK(OFFSET(A$1,,,SUMPRODUCT(MAX(ROW(E$1:E960)*(E2=E$1:E960))))))</f>
        <v> </v>
      </c>
      <c r="K961" s="26" t="str">
        <f>IF(OR(E961="",E961="!!!",F961="NEW"),"",INDEX(J$1:J960,SUMPRODUCT(MAX(ROW(E$1:E960)*(E961=E$1:E960)))))</f>
        <v> </v>
      </c>
      <c r="L961" s="27"/>
    </row>
    <row r="962" spans="1:12">
      <c r="A962" s="20" t="s">
        <v>1104</v>
      </c>
      <c r="E962" s="22">
        <f>IF(D962="?OLD","!!!","")</f>
        <v/>
      </c>
      <c r="F962" s="23" t="str">
        <f>IF(OR(E962="",E962="!!!"),"",IF(NOT(ISNA(VLOOKUP(E962,E$1:E961,1,FALSE()))),"OLD",IF(AND(E962&lt;&gt;"",E962&lt;&gt;"!!!"),"NEW","")))</f>
        <v> </v>
      </c>
      <c r="G962" s="24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5" t="str">
        <f>IF(J962&lt;&gt;1,"",IF(I962="SBJ","CB","?"))</f>
        <v> </v>
      </c>
      <c r="I962" s="26" t="str">
        <f>IF(OR(E962="",E962="!!!",F962="NEW"),"",INDEX(B961:B$2,-1+SUMPRODUCT(MAX(ROW(E961:E$2)*(E962=E961:E$2)))))</f>
        <v> </v>
      </c>
      <c r="J962" s="26" t="str">
        <f>IF(OR(E962="",E962="!!!",F962="NEW"),"",COUNTBLANK(OFFSET(A$1,,,SUMPRODUCT(MAX(ROW(E$2:E962)*(E962=E$2:E962)))))-COUNTBLANK(OFFSET(A$1,,,SUMPRODUCT(MAX(ROW(E$1:E961)*(E2=E$1:E961))))))</f>
        <v> </v>
      </c>
      <c r="K962" s="26" t="str">
        <f>IF(OR(E962="",E962="!!!",F962="NEW"),"",INDEX(J$1:J961,SUMPRODUCT(MAX(ROW(E$1:E961)*(E962=E$1:E961)))))</f>
        <v> </v>
      </c>
      <c r="L962" s="27"/>
    </row>
    <row r="963" spans="1:12">
      <c r="A963" s="20" t="s">
        <v>583</v>
      </c>
      <c r="E963" s="22">
        <f>IF(D963="?OLD","!!!","")</f>
        <v/>
      </c>
      <c r="F963" s="23" t="str">
        <f>IF(OR(E963="",E963="!!!"),"",IF(NOT(ISNA(VLOOKUP(E963,E$1:E962,1,FALSE()))),"OLD",IF(AND(E963&lt;&gt;"",E963&lt;&gt;"!!!"),"NEW","")))</f>
        <v> </v>
      </c>
      <c r="G963" s="24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5" t="str">
        <f>IF(J963&lt;&gt;1,"",IF(I963="SBJ","CB","?"))</f>
        <v> </v>
      </c>
      <c r="I963" s="26" t="str">
        <f>IF(OR(E963="",E963="!!!",F963="NEW"),"",INDEX(B962:B$2,-1+SUMPRODUCT(MAX(ROW(E962:E$2)*(E963=E962:E$2)))))</f>
        <v> </v>
      </c>
      <c r="J963" s="26" t="str">
        <f>IF(OR(E963="",E963="!!!",F963="NEW"),"",COUNTBLANK(OFFSET(A$1,,,SUMPRODUCT(MAX(ROW(E$2:E963)*(E963=E$2:E963)))))-COUNTBLANK(OFFSET(A$1,,,SUMPRODUCT(MAX(ROW(E$1:E962)*(E2=E$1:E962))))))</f>
        <v> </v>
      </c>
      <c r="K963" s="26" t="str">
        <f>IF(OR(E963="",E963="!!!",F963="NEW"),"",INDEX(J$1:J962,SUMPRODUCT(MAX(ROW(E$1:E962)*(E963=E$1:E962)))))</f>
        <v> </v>
      </c>
      <c r="L963" s="27"/>
    </row>
    <row r="964" spans="1:12">
      <c r="A964" s="20" t="s">
        <v>1105</v>
      </c>
      <c r="B964" s="21" t="s">
        <v>615</v>
      </c>
      <c r="C964" s="21" t="s">
        <v>613</v>
      </c>
      <c r="D964" s="21" t="s">
        <v>587</v>
      </c>
      <c r="E964" s="22">
        <f>IF(D964="?OLD","!!!","")</f>
        <v/>
      </c>
      <c r="F964" s="23" t="str">
        <f>IF(OR(E964="",E964="!!!"),"",IF(NOT(ISNA(VLOOKUP(E964,E$1:E963,1,FALSE()))),"OLD",IF(AND(E964&lt;&gt;"",E964&lt;&gt;"!!!"),"NEW","")))</f>
        <v> </v>
      </c>
      <c r="G964" s="24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5" t="str">
        <f>IF(J964&lt;&gt;1,"",IF(I964="SBJ","CB","?"))</f>
        <v> </v>
      </c>
      <c r="I964" s="26" t="str">
        <f>IF(OR(E964="",E964="!!!",F964="NEW"),"",INDEX(B963:B$2,-1+SUMPRODUCT(MAX(ROW(E963:E$2)*(E964=E963:E$2)))))</f>
        <v> </v>
      </c>
      <c r="J964" s="26" t="str">
        <f>IF(OR(E964="",E964="!!!",F964="NEW"),"",COUNTBLANK(OFFSET(A$1,,,SUMPRODUCT(MAX(ROW(E$2:E964)*(E964=E$2:E964)))))-COUNTBLANK(OFFSET(A$1,,,SUMPRODUCT(MAX(ROW(E$1:E963)*(E2=E$1:E963))))))</f>
        <v> </v>
      </c>
      <c r="K964" s="26" t="str">
        <f>IF(OR(E964="",E964="!!!",F964="NEW"),"",INDEX(J$1:J963,SUMPRODUCT(MAX(ROW(E$1:E963)*(E964=E$1:E963)))))</f>
        <v> </v>
      </c>
      <c r="L964" s="27"/>
    </row>
    <row r="965" spans="1:12">
      <c r="A965" s="20" t="s">
        <v>1106</v>
      </c>
      <c r="E965" s="22">
        <f>IF(D965="?OLD","!!!","")</f>
        <v/>
      </c>
      <c r="F965" s="23" t="str">
        <f>IF(OR(E965="",E965="!!!"),"",IF(NOT(ISNA(VLOOKUP(E965,E$1:E964,1,FALSE()))),"OLD",IF(AND(E965&lt;&gt;"",E965&lt;&gt;"!!!"),"NEW","")))</f>
        <v> </v>
      </c>
      <c r="G965" s="24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5" t="str">
        <f>IF(J965&lt;&gt;1,"",IF(I965="SBJ","CB","?"))</f>
        <v> </v>
      </c>
      <c r="I965" s="26" t="str">
        <f>IF(OR(E965="",E965="!!!",F965="NEW"),"",INDEX(B964:B$2,-1+SUMPRODUCT(MAX(ROW(E964:E$2)*(E965=E964:E$2)))))</f>
        <v> </v>
      </c>
      <c r="J965" s="26" t="str">
        <f>IF(OR(E965="",E965="!!!",F965="NEW"),"",COUNTBLANK(OFFSET(A$1,,,SUMPRODUCT(MAX(ROW(E$2:E965)*(E965=E$2:E965)))))-COUNTBLANK(OFFSET(A$1,,,SUMPRODUCT(MAX(ROW(E$1:E964)*(E2=E$1:E964))))))</f>
        <v> </v>
      </c>
      <c r="K965" s="26" t="str">
        <f>IF(OR(E965="",E965="!!!",F965="NEW"),"",INDEX(J$1:J964,SUMPRODUCT(MAX(ROW(E$1:E964)*(E965=E$1:E964)))))</f>
        <v> </v>
      </c>
      <c r="L965" s="27"/>
    </row>
    <row r="966" spans="1:12">
      <c r="A966" s="20" t="s">
        <v>1107</v>
      </c>
      <c r="E966" s="22">
        <f>IF(D966="?OLD","!!!","")</f>
        <v/>
      </c>
      <c r="F966" s="23" t="str">
        <f>IF(OR(E966="",E966="!!!"),"",IF(NOT(ISNA(VLOOKUP(E966,E$1:E965,1,FALSE()))),"OLD",IF(AND(E966&lt;&gt;"",E966&lt;&gt;"!!!"),"NEW","")))</f>
        <v> </v>
      </c>
      <c r="G966" s="24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5" t="str">
        <f>IF(J966&lt;&gt;1,"",IF(I966="SBJ","CB","?"))</f>
        <v> </v>
      </c>
      <c r="I966" s="26" t="str">
        <f>IF(OR(E966="",E966="!!!",F966="NEW"),"",INDEX(B965:B$2,-1+SUMPRODUCT(MAX(ROW(E965:E$2)*(E966=E965:E$2)))))</f>
        <v> </v>
      </c>
      <c r="J966" s="26" t="str">
        <f>IF(OR(E966="",E966="!!!",F966="NEW"),"",COUNTBLANK(OFFSET(A$1,,,SUMPRODUCT(MAX(ROW(E$2:E966)*(E966=E$2:E966)))))-COUNTBLANK(OFFSET(A$1,,,SUMPRODUCT(MAX(ROW(E$1:E965)*(E2=E$1:E965))))))</f>
        <v> </v>
      </c>
      <c r="K966" s="26" t="str">
        <f>IF(OR(E966="",E966="!!!",F966="NEW"),"",INDEX(J$1:J965,SUMPRODUCT(MAX(ROW(E$1:E965)*(E966=E$1:E965)))))</f>
        <v> </v>
      </c>
      <c r="L966" s="27"/>
    </row>
    <row r="967" spans="1:12">
      <c r="A967" s="20" t="s">
        <v>1108</v>
      </c>
      <c r="E967" s="22">
        <f>IF(D967="?OLD","!!!","")</f>
        <v/>
      </c>
      <c r="F967" s="23" t="str">
        <f>IF(OR(E967="",E967="!!!"),"",IF(NOT(ISNA(VLOOKUP(E967,E$1:E966,1,FALSE()))),"OLD",IF(AND(E967&lt;&gt;"",E967&lt;&gt;"!!!"),"NEW","")))</f>
        <v> </v>
      </c>
      <c r="G967" s="24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5" t="str">
        <f>IF(J967&lt;&gt;1,"",IF(I967="SBJ","CB","?"))</f>
        <v> </v>
      </c>
      <c r="I967" s="26" t="str">
        <f>IF(OR(E967="",E967="!!!",F967="NEW"),"",INDEX(B966:B$2,-1+SUMPRODUCT(MAX(ROW(E966:E$2)*(E967=E966:E$2)))))</f>
        <v> </v>
      </c>
      <c r="J967" s="26" t="str">
        <f>IF(OR(E967="",E967="!!!",F967="NEW"),"",COUNTBLANK(OFFSET(A$1,,,SUMPRODUCT(MAX(ROW(E$2:E967)*(E967=E$2:E967)))))-COUNTBLANK(OFFSET(A$1,,,SUMPRODUCT(MAX(ROW(E$1:E966)*(E2=E$1:E966))))))</f>
        <v> </v>
      </c>
      <c r="K967" s="26" t="str">
        <f>IF(OR(E967="",E967="!!!",F967="NEW"),"",INDEX(J$1:J966,SUMPRODUCT(MAX(ROW(E$1:E966)*(E967=E$1:E966)))))</f>
        <v> </v>
      </c>
      <c r="L967" s="27"/>
    </row>
    <row r="968" spans="1:12">
      <c r="A968" s="20" t="s">
        <v>1109</v>
      </c>
      <c r="E968" s="22">
        <f>IF(D968="?OLD","!!!","")</f>
        <v/>
      </c>
      <c r="F968" s="23" t="str">
        <f>IF(OR(E968="",E968="!!!"),"",IF(NOT(ISNA(VLOOKUP(E968,E$1:E967,1,FALSE()))),"OLD",IF(AND(E968&lt;&gt;"",E968&lt;&gt;"!!!"),"NEW","")))</f>
        <v> </v>
      </c>
      <c r="G968" s="24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5" t="str">
        <f>IF(J968&lt;&gt;1,"",IF(I968="SBJ","CB","?"))</f>
        <v> </v>
      </c>
      <c r="I968" s="26" t="str">
        <f>IF(OR(E968="",E968="!!!",F968="NEW"),"",INDEX(B967:B$2,-1+SUMPRODUCT(MAX(ROW(E967:E$2)*(E968=E967:E$2)))))</f>
        <v> </v>
      </c>
      <c r="J968" s="26" t="str">
        <f>IF(OR(E968="",E968="!!!",F968="NEW"),"",COUNTBLANK(OFFSET(A$1,,,SUMPRODUCT(MAX(ROW(E$2:E968)*(E968=E$2:E968)))))-COUNTBLANK(OFFSET(A$1,,,SUMPRODUCT(MAX(ROW(E$1:E967)*(E2=E$1:E967))))))</f>
        <v> </v>
      </c>
      <c r="K968" s="26" t="str">
        <f>IF(OR(E968="",E968="!!!",F968="NEW"),"",INDEX(J$1:J967,SUMPRODUCT(MAX(ROW(E$1:E967)*(E968=E$1:E967)))))</f>
        <v> </v>
      </c>
      <c r="L968" s="27"/>
    </row>
    <row r="969" spans="1:12">
      <c r="A969" s="20" t="s">
        <v>583</v>
      </c>
      <c r="E969" s="22">
        <f>IF(D969="?OLD","!!!","")</f>
        <v/>
      </c>
      <c r="F969" s="23" t="str">
        <f>IF(OR(E969="",E969="!!!"),"",IF(NOT(ISNA(VLOOKUP(E969,E$1:E968,1,FALSE()))),"OLD",IF(AND(E969&lt;&gt;"",E969&lt;&gt;"!!!"),"NEW","")))</f>
        <v> </v>
      </c>
      <c r="G969" s="24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5" t="str">
        <f>IF(J969&lt;&gt;1,"",IF(I969="SBJ","CB","?"))</f>
        <v> </v>
      </c>
      <c r="I969" s="26" t="str">
        <f>IF(OR(E969="",E969="!!!",F969="NEW"),"",INDEX(B968:B$2,-1+SUMPRODUCT(MAX(ROW(E968:E$2)*(E969=E968:E$2)))))</f>
        <v> </v>
      </c>
      <c r="J969" s="26" t="str">
        <f>IF(OR(E969="",E969="!!!",F969="NEW"),"",COUNTBLANK(OFFSET(A$1,,,SUMPRODUCT(MAX(ROW(E$2:E969)*(E969=E$2:E969)))))-COUNTBLANK(OFFSET(A$1,,,SUMPRODUCT(MAX(ROW(E$1:E968)*(E2=E$1:E968))))))</f>
        <v> </v>
      </c>
      <c r="K969" s="26" t="str">
        <f>IF(OR(E969="",E969="!!!",F969="NEW"),"",INDEX(J$1:J968,SUMPRODUCT(MAX(ROW(E$1:E968)*(E969=E$1:E968)))))</f>
        <v> </v>
      </c>
      <c r="L969" s="27"/>
    </row>
    <row r="970" spans="1:12">
      <c r="A970" s="20" t="s">
        <v>1110</v>
      </c>
      <c r="B970" s="21" t="s">
        <v>590</v>
      </c>
      <c r="C970" s="21" t="s">
        <v>613</v>
      </c>
      <c r="D970" s="21" t="s">
        <v>587</v>
      </c>
      <c r="E970" s="22">
        <f>IF(D970="?OLD","!!!","")</f>
        <v/>
      </c>
      <c r="F970" s="23" t="str">
        <f>IF(OR(E970="",E970="!!!"),"",IF(NOT(ISNA(VLOOKUP(E970,E$1:E969,1,FALSE()))),"OLD",IF(AND(E970&lt;&gt;"",E970&lt;&gt;"!!!"),"NEW","")))</f>
        <v> </v>
      </c>
      <c r="G970" s="24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5" t="str">
        <f>IF(J970&lt;&gt;1,"",IF(I970="SBJ","CB","?"))</f>
        <v> </v>
      </c>
      <c r="I970" s="26" t="str">
        <f>IF(OR(E970="",E970="!!!",F970="NEW"),"",INDEX(B969:B$2,-1+SUMPRODUCT(MAX(ROW(E969:E$2)*(E970=E969:E$2)))))</f>
        <v> </v>
      </c>
      <c r="J970" s="26" t="str">
        <f>IF(OR(E970="",E970="!!!",F970="NEW"),"",COUNTBLANK(OFFSET(A$1,,,SUMPRODUCT(MAX(ROW(E$2:E970)*(E970=E$2:E970)))))-COUNTBLANK(OFFSET(A$1,,,SUMPRODUCT(MAX(ROW(E$1:E969)*(E2=E$1:E969))))))</f>
        <v> </v>
      </c>
      <c r="K970" s="26" t="str">
        <f>IF(OR(E970="",E970="!!!",F970="NEW"),"",INDEX(J$1:J969,SUMPRODUCT(MAX(ROW(E$1:E969)*(E970=E$1:E969)))))</f>
        <v> </v>
      </c>
      <c r="L970" s="27"/>
    </row>
    <row r="971" spans="1:12">
      <c r="A971" s="20" t="s">
        <v>617</v>
      </c>
      <c r="E971" s="22">
        <f>IF(D971="?OLD","!!!","")</f>
        <v/>
      </c>
      <c r="F971" s="23" t="str">
        <f>IF(OR(E971="",E971="!!!"),"",IF(NOT(ISNA(VLOOKUP(E971,E$1:E970,1,FALSE()))),"OLD",IF(AND(E971&lt;&gt;"",E971&lt;&gt;"!!!"),"NEW","")))</f>
        <v> </v>
      </c>
      <c r="G971" s="24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5" t="str">
        <f>IF(J971&lt;&gt;1,"",IF(I971="SBJ","CB","?"))</f>
        <v> </v>
      </c>
      <c r="I971" s="26" t="str">
        <f>IF(OR(E971="",E971="!!!",F971="NEW"),"",INDEX(B970:B$2,-1+SUMPRODUCT(MAX(ROW(E970:E$2)*(E971=E970:E$2)))))</f>
        <v> </v>
      </c>
      <c r="J971" s="26" t="str">
        <f>IF(OR(E971="",E971="!!!",F971="NEW"),"",COUNTBLANK(OFFSET(A$1,,,SUMPRODUCT(MAX(ROW(E$2:E971)*(E971=E$2:E971)))))-COUNTBLANK(OFFSET(A$1,,,SUMPRODUCT(MAX(ROW(E$1:E970)*(E2=E$1:E970))))))</f>
        <v> </v>
      </c>
      <c r="K971" s="26" t="str">
        <f>IF(OR(E971="",E971="!!!",F971="NEW"),"",INDEX(J$1:J970,SUMPRODUCT(MAX(ROW(E$1:E970)*(E971=E$1:E970)))))</f>
        <v> </v>
      </c>
      <c r="L971" s="27"/>
    </row>
    <row r="972" spans="1:12">
      <c r="A972" s="20" t="s">
        <v>483</v>
      </c>
      <c r="E972" s="22">
        <f>IF(D972="?OLD","!!!","")</f>
        <v/>
      </c>
      <c r="F972" s="23" t="str">
        <f>IF(OR(E972="",E972="!!!"),"",IF(NOT(ISNA(VLOOKUP(E972,E$1:E971,1,FALSE()))),"OLD",IF(AND(E972&lt;&gt;"",E972&lt;&gt;"!!!"),"NEW","")))</f>
        <v> </v>
      </c>
      <c r="G972" s="24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5" t="str">
        <f>IF(J972&lt;&gt;1,"",IF(I972="SBJ","CB","?"))</f>
        <v> </v>
      </c>
      <c r="I972" s="26" t="str">
        <f>IF(OR(E972="",E972="!!!",F972="NEW"),"",INDEX(B971:B$2,-1+SUMPRODUCT(MAX(ROW(E971:E$2)*(E972=E971:E$2)))))</f>
        <v> </v>
      </c>
      <c r="J972" s="26" t="str">
        <f>IF(OR(E972="",E972="!!!",F972="NEW"),"",COUNTBLANK(OFFSET(A$1,,,SUMPRODUCT(MAX(ROW(E$2:E972)*(E972=E$2:E972)))))-COUNTBLANK(OFFSET(A$1,,,SUMPRODUCT(MAX(ROW(E$1:E971)*(E2=E$1:E971))))))</f>
        <v> </v>
      </c>
      <c r="K972" s="26" t="str">
        <f>IF(OR(E972="",E972="!!!",F972="NEW"),"",INDEX(J$1:J971,SUMPRODUCT(MAX(ROW(E$1:E971)*(E972=E$1:E971)))))</f>
        <v> </v>
      </c>
      <c r="L972" s="27"/>
    </row>
    <row r="973" spans="1:12">
      <c r="A973" s="20" t="s">
        <v>1111</v>
      </c>
      <c r="E973" s="22">
        <f>IF(D973="?OLD","!!!","")</f>
        <v/>
      </c>
      <c r="F973" s="23" t="str">
        <f>IF(OR(E973="",E973="!!!"),"",IF(NOT(ISNA(VLOOKUP(E973,E$1:E972,1,FALSE()))),"OLD",IF(AND(E973&lt;&gt;"",E973&lt;&gt;"!!!"),"NEW","")))</f>
        <v> </v>
      </c>
      <c r="G973" s="24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5" t="str">
        <f>IF(J973&lt;&gt;1,"",IF(I973="SBJ","CB","?"))</f>
        <v> </v>
      </c>
      <c r="I973" s="26" t="str">
        <f>IF(OR(E973="",E973="!!!",F973="NEW"),"",INDEX(B972:B$2,-1+SUMPRODUCT(MAX(ROW(E972:E$2)*(E973=E972:E$2)))))</f>
        <v> </v>
      </c>
      <c r="J973" s="26" t="str">
        <f>IF(OR(E973="",E973="!!!",F973="NEW"),"",COUNTBLANK(OFFSET(A$1,,,SUMPRODUCT(MAX(ROW(E$2:E973)*(E973=E$2:E973)))))-COUNTBLANK(OFFSET(A$1,,,SUMPRODUCT(MAX(ROW(E$1:E972)*(E2=E$1:E972))))))</f>
        <v> </v>
      </c>
      <c r="K973" s="26" t="str">
        <f>IF(OR(E973="",E973="!!!",F973="NEW"),"",INDEX(J$1:J972,SUMPRODUCT(MAX(ROW(E$1:E972)*(E973=E$1:E972)))))</f>
        <v> </v>
      </c>
      <c r="L973" s="27"/>
    </row>
    <row r="974" spans="1:12">
      <c r="A974" s="20" t="s">
        <v>1112</v>
      </c>
      <c r="E974" s="22">
        <f>IF(D974="?OLD","!!!","")</f>
        <v/>
      </c>
      <c r="F974" s="23" t="str">
        <f>IF(OR(E974="",E974="!!!"),"",IF(NOT(ISNA(VLOOKUP(E974,E$1:E973,1,FALSE()))),"OLD",IF(AND(E974&lt;&gt;"",E974&lt;&gt;"!!!"),"NEW","")))</f>
        <v> </v>
      </c>
      <c r="G974" s="24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5" t="str">
        <f>IF(J974&lt;&gt;1,"",IF(I974="SBJ","CB","?"))</f>
        <v> </v>
      </c>
      <c r="I974" s="26" t="str">
        <f>IF(OR(E974="",E974="!!!",F974="NEW"),"",INDEX(B973:B$2,-1+SUMPRODUCT(MAX(ROW(E973:E$2)*(E974=E973:E$2)))))</f>
        <v> </v>
      </c>
      <c r="J974" s="26" t="str">
        <f>IF(OR(E974="",E974="!!!",F974="NEW"),"",COUNTBLANK(OFFSET(A$1,,,SUMPRODUCT(MAX(ROW(E$2:E974)*(E974=E$2:E974)))))-COUNTBLANK(OFFSET(A$1,,,SUMPRODUCT(MAX(ROW(E$1:E973)*(E2=E$1:E973))))))</f>
        <v> </v>
      </c>
      <c r="K974" s="26" t="str">
        <f>IF(OR(E974="",E974="!!!",F974="NEW"),"",INDEX(J$1:J973,SUMPRODUCT(MAX(ROW(E$1:E973)*(E974=E$1:E973)))))</f>
        <v> </v>
      </c>
      <c r="L974" s="27"/>
    </row>
    <row r="975" spans="1:12">
      <c r="A975" s="20" t="s">
        <v>583</v>
      </c>
      <c r="E975" s="22">
        <f>IF(D975="?OLD","!!!","")</f>
        <v/>
      </c>
      <c r="F975" s="23" t="str">
        <f>IF(OR(E975="",E975="!!!"),"",IF(NOT(ISNA(VLOOKUP(E975,E$1:E974,1,FALSE()))),"OLD",IF(AND(E975&lt;&gt;"",E975&lt;&gt;"!!!"),"NEW","")))</f>
        <v> </v>
      </c>
      <c r="G975" s="24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5" t="str">
        <f>IF(J975&lt;&gt;1,"",IF(I975="SBJ","CB","?"))</f>
        <v> </v>
      </c>
      <c r="I975" s="26" t="str">
        <f>IF(OR(E975="",E975="!!!",F975="NEW"),"",INDEX(B974:B$2,-1+SUMPRODUCT(MAX(ROW(E974:E$2)*(E975=E974:E$2)))))</f>
        <v> </v>
      </c>
      <c r="J975" s="26" t="str">
        <f>IF(OR(E975="",E975="!!!",F975="NEW"),"",COUNTBLANK(OFFSET(A$1,,,SUMPRODUCT(MAX(ROW(E$2:E975)*(E975=E$2:E975)))))-COUNTBLANK(OFFSET(A$1,,,SUMPRODUCT(MAX(ROW(E$1:E974)*(E2=E$1:E974))))))</f>
        <v> </v>
      </c>
      <c r="K975" s="26" t="str">
        <f>IF(OR(E975="",E975="!!!",F975="NEW"),"",INDEX(J$1:J974,SUMPRODUCT(MAX(ROW(E$1:E974)*(E975=E$1:E974)))))</f>
        <v> </v>
      </c>
      <c r="L975" s="27"/>
    </row>
    <row r="976" spans="1:12">
      <c r="A976" s="20" t="s">
        <v>1110</v>
      </c>
      <c r="B976" s="21" t="s">
        <v>590</v>
      </c>
      <c r="C976" s="21" t="s">
        <v>613</v>
      </c>
      <c r="D976" s="21" t="s">
        <v>587</v>
      </c>
      <c r="E976" s="22">
        <f>IF(D976="?OLD","!!!","")</f>
        <v/>
      </c>
      <c r="F976" s="23" t="str">
        <f>IF(OR(E976="",E976="!!!"),"",IF(NOT(ISNA(VLOOKUP(E976,E$1:E975,1,FALSE()))),"OLD",IF(AND(E976&lt;&gt;"",E976&lt;&gt;"!!!"),"NEW","")))</f>
        <v> </v>
      </c>
      <c r="G976" s="24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5" t="str">
        <f>IF(J976&lt;&gt;1,"",IF(I976="SBJ","CB","?"))</f>
        <v> </v>
      </c>
      <c r="I976" s="26" t="str">
        <f>IF(OR(E976="",E976="!!!",F976="NEW"),"",INDEX(B975:B$2,-1+SUMPRODUCT(MAX(ROW(E975:E$2)*(E976=E975:E$2)))))</f>
        <v> </v>
      </c>
      <c r="J976" s="26" t="str">
        <f>IF(OR(E976="",E976="!!!",F976="NEW"),"",COUNTBLANK(OFFSET(A$1,,,SUMPRODUCT(MAX(ROW(E$2:E976)*(E976=E$2:E976)))))-COUNTBLANK(OFFSET(A$1,,,SUMPRODUCT(MAX(ROW(E$1:E975)*(E2=E$1:E975))))))</f>
        <v> </v>
      </c>
      <c r="K976" s="26" t="str">
        <f>IF(OR(E976="",E976="!!!",F976="NEW"),"",INDEX(J$1:J975,SUMPRODUCT(MAX(ROW(E$1:E975)*(E976=E$1:E975)))))</f>
        <v> </v>
      </c>
      <c r="L976" s="27"/>
    </row>
    <row r="977" spans="1:12">
      <c r="A977" s="20" t="s">
        <v>617</v>
      </c>
      <c r="E977" s="22">
        <f>IF(D977="?OLD","!!!","")</f>
        <v/>
      </c>
      <c r="F977" s="23" t="str">
        <f>IF(OR(E977="",E977="!!!"),"",IF(NOT(ISNA(VLOOKUP(E977,E$1:E976,1,FALSE()))),"OLD",IF(AND(E977&lt;&gt;"",E977&lt;&gt;"!!!"),"NEW","")))</f>
        <v> </v>
      </c>
      <c r="G977" s="24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5" t="str">
        <f>IF(J977&lt;&gt;1,"",IF(I977="SBJ","CB","?"))</f>
        <v> </v>
      </c>
      <c r="I977" s="26" t="str">
        <f>IF(OR(E977="",E977="!!!",F977="NEW"),"",INDEX(B976:B$2,-1+SUMPRODUCT(MAX(ROW(E976:E$2)*(E977=E976:E$2)))))</f>
        <v> </v>
      </c>
      <c r="J977" s="26" t="str">
        <f>IF(OR(E977="",E977="!!!",F977="NEW"),"",COUNTBLANK(OFFSET(A$1,,,SUMPRODUCT(MAX(ROW(E$2:E977)*(E977=E$2:E977)))))-COUNTBLANK(OFFSET(A$1,,,SUMPRODUCT(MAX(ROW(E$1:E976)*(E2=E$1:E976))))))</f>
        <v> </v>
      </c>
      <c r="K977" s="26" t="str">
        <f>IF(OR(E977="",E977="!!!",F977="NEW"),"",INDEX(J$1:J976,SUMPRODUCT(MAX(ROW(E$1:E976)*(E977=E$1:E976)))))</f>
        <v> </v>
      </c>
      <c r="L977" s="27"/>
    </row>
    <row r="978" spans="1:12">
      <c r="A978" s="20" t="s">
        <v>1113</v>
      </c>
      <c r="E978" s="22">
        <f>IF(D978="?OLD","!!!","")</f>
        <v/>
      </c>
      <c r="F978" s="23" t="str">
        <f>IF(OR(E978="",E978="!!!"),"",IF(NOT(ISNA(VLOOKUP(E978,E$1:E977,1,FALSE()))),"OLD",IF(AND(E978&lt;&gt;"",E978&lt;&gt;"!!!"),"NEW","")))</f>
        <v> </v>
      </c>
      <c r="G978" s="24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5" t="str">
        <f>IF(J978&lt;&gt;1,"",IF(I978="SBJ","CB","?"))</f>
        <v> </v>
      </c>
      <c r="I978" s="26" t="str">
        <f>IF(OR(E978="",E978="!!!",F978="NEW"),"",INDEX(B977:B$2,-1+SUMPRODUCT(MAX(ROW(E977:E$2)*(E978=E977:E$2)))))</f>
        <v> </v>
      </c>
      <c r="J978" s="26" t="str">
        <f>IF(OR(E978="",E978="!!!",F978="NEW"),"",COUNTBLANK(OFFSET(A$1,,,SUMPRODUCT(MAX(ROW(E$2:E978)*(E978=E$2:E978)))))-COUNTBLANK(OFFSET(A$1,,,SUMPRODUCT(MAX(ROW(E$1:E977)*(E2=E$1:E977))))))</f>
        <v> </v>
      </c>
      <c r="K978" s="26" t="str">
        <f>IF(OR(E978="",E978="!!!",F978="NEW"),"",INDEX(J$1:J977,SUMPRODUCT(MAX(ROW(E$1:E977)*(E978=E$1:E977)))))</f>
        <v> </v>
      </c>
      <c r="L978" s="27"/>
    </row>
    <row r="979" spans="1:12">
      <c r="A979" s="20" t="s">
        <v>1087</v>
      </c>
      <c r="E979" s="22">
        <f>IF(D979="?OLD","!!!","")</f>
        <v/>
      </c>
      <c r="F979" s="23" t="str">
        <f>IF(OR(E979="",E979="!!!"),"",IF(NOT(ISNA(VLOOKUP(E979,E$1:E978,1,FALSE()))),"OLD",IF(AND(E979&lt;&gt;"",E979&lt;&gt;"!!!"),"NEW","")))</f>
        <v> </v>
      </c>
      <c r="G979" s="24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5" t="str">
        <f>IF(J979&lt;&gt;1,"",IF(I979="SBJ","CB","?"))</f>
        <v> </v>
      </c>
      <c r="I979" s="26" t="str">
        <f>IF(OR(E979="",E979="!!!",F979="NEW"),"",INDEX(B978:B$2,-1+SUMPRODUCT(MAX(ROW(E978:E$2)*(E979=E978:E$2)))))</f>
        <v> </v>
      </c>
      <c r="J979" s="26" t="str">
        <f>IF(OR(E979="",E979="!!!",F979="NEW"),"",COUNTBLANK(OFFSET(A$1,,,SUMPRODUCT(MAX(ROW(E$2:E979)*(E979=E$2:E979)))))-COUNTBLANK(OFFSET(A$1,,,SUMPRODUCT(MAX(ROW(E$1:E978)*(E2=E$1:E978))))))</f>
        <v> </v>
      </c>
      <c r="K979" s="26" t="str">
        <f>IF(OR(E979="",E979="!!!",F979="NEW"),"",INDEX(J$1:J978,SUMPRODUCT(MAX(ROW(E$1:E978)*(E979=E$1:E978)))))</f>
        <v> </v>
      </c>
      <c r="L979" s="27"/>
    </row>
    <row r="980" spans="1:12">
      <c r="A980" s="20" t="s">
        <v>583</v>
      </c>
      <c r="E980" s="22">
        <f>IF(D980="?OLD","!!!","")</f>
        <v/>
      </c>
      <c r="F980" s="23" t="str">
        <f>IF(OR(E980="",E980="!!!"),"",IF(NOT(ISNA(VLOOKUP(E980,E$1:E979,1,FALSE()))),"OLD",IF(AND(E980&lt;&gt;"",E980&lt;&gt;"!!!"),"NEW","")))</f>
        <v> </v>
      </c>
      <c r="G980" s="24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5" t="str">
        <f>IF(J980&lt;&gt;1,"",IF(I980="SBJ","CB","?"))</f>
        <v> </v>
      </c>
      <c r="I980" s="26" t="str">
        <f>IF(OR(E980="",E980="!!!",F980="NEW"),"",INDEX(B979:B$2,-1+SUMPRODUCT(MAX(ROW(E979:E$2)*(E980=E979:E$2)))))</f>
        <v> </v>
      </c>
      <c r="J980" s="26" t="str">
        <f>IF(OR(E980="",E980="!!!",F980="NEW"),"",COUNTBLANK(OFFSET(A$1,,,SUMPRODUCT(MAX(ROW(E$2:E980)*(E980=E$2:E980)))))-COUNTBLANK(OFFSET(A$1,,,SUMPRODUCT(MAX(ROW(E$1:E979)*(E2=E$1:E979))))))</f>
        <v> </v>
      </c>
      <c r="K980" s="26" t="str">
        <f>IF(OR(E980="",E980="!!!",F980="NEW"),"",INDEX(J$1:J979,SUMPRODUCT(MAX(ROW(E$1:E979)*(E980=E$1:E979)))))</f>
        <v> </v>
      </c>
      <c r="L980" s="27"/>
    </row>
    <row r="981" spans="1:12">
      <c r="A981" s="20" t="s">
        <v>733</v>
      </c>
      <c r="E981" s="22">
        <f>IF(D981="?OLD","!!!","")</f>
        <v/>
      </c>
      <c r="F981" s="23" t="str">
        <f>IF(OR(E981="",E981="!!!"),"",IF(NOT(ISNA(VLOOKUP(E981,E$1:E980,1,FALSE()))),"OLD",IF(AND(E981&lt;&gt;"",E981&lt;&gt;"!!!"),"NEW","")))</f>
        <v> </v>
      </c>
      <c r="G981" s="24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5" t="str">
        <f>IF(J981&lt;&gt;1,"",IF(I981="SBJ","CB","?"))</f>
        <v> </v>
      </c>
      <c r="I981" s="26" t="str">
        <f>IF(OR(E981="",E981="!!!",F981="NEW"),"",INDEX(B980:B$2,-1+SUMPRODUCT(MAX(ROW(E980:E$2)*(E981=E980:E$2)))))</f>
        <v> </v>
      </c>
      <c r="J981" s="26" t="str">
        <f>IF(OR(E981="",E981="!!!",F981="NEW"),"",COUNTBLANK(OFFSET(A$1,,,SUMPRODUCT(MAX(ROW(E$2:E981)*(E981=E$2:E981)))))-COUNTBLANK(OFFSET(A$1,,,SUMPRODUCT(MAX(ROW(E$1:E980)*(E2=E$1:E980))))))</f>
        <v> </v>
      </c>
      <c r="K981" s="26" t="str">
        <f>IF(OR(E981="",E981="!!!",F981="NEW"),"",INDEX(J$1:J980,SUMPRODUCT(MAX(ROW(E$1:E980)*(E981=E$1:E980)))))</f>
        <v> </v>
      </c>
      <c r="L981" s="27"/>
    </row>
    <row r="982" spans="1:12">
      <c r="A982" s="20" t="s">
        <v>607</v>
      </c>
      <c r="B982" s="21" t="s">
        <v>695</v>
      </c>
      <c r="C982" s="21" t="s">
        <v>613</v>
      </c>
      <c r="D982" s="21" t="s">
        <v>587</v>
      </c>
      <c r="E982" s="22">
        <f>IF(D982="?OLD","!!!","")</f>
        <v/>
      </c>
      <c r="F982" s="23" t="str">
        <f>IF(OR(E982="",E982="!!!"),"",IF(NOT(ISNA(VLOOKUP(E982,E$1:E981,1,FALSE()))),"OLD",IF(AND(E982&lt;&gt;"",E982&lt;&gt;"!!!"),"NEW","")))</f>
        <v> </v>
      </c>
      <c r="G982" s="24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5" t="str">
        <f>IF(J982&lt;&gt;1,"",IF(I982="SBJ","CB","?"))</f>
        <v> </v>
      </c>
      <c r="I982" s="26" t="str">
        <f>IF(OR(E982="",E982="!!!",F982="NEW"),"",INDEX(B981:B$2,-1+SUMPRODUCT(MAX(ROW(E981:E$2)*(E982=E981:E$2)))))</f>
        <v> </v>
      </c>
      <c r="J982" s="26" t="str">
        <f>IF(OR(E982="",E982="!!!",F982="NEW"),"",COUNTBLANK(OFFSET(A$1,,,SUMPRODUCT(MAX(ROW(E$2:E982)*(E982=E$2:E982)))))-COUNTBLANK(OFFSET(A$1,,,SUMPRODUCT(MAX(ROW(E$1:E981)*(E2=E$1:E981))))))</f>
        <v> </v>
      </c>
      <c r="K982" s="26" t="str">
        <f>IF(OR(E982="",E982="!!!",F982="NEW"),"",INDEX(J$1:J981,SUMPRODUCT(MAX(ROW(E$1:E981)*(E982=E$1:E981)))))</f>
        <v> </v>
      </c>
      <c r="L982" s="27"/>
    </row>
    <row r="983" spans="1:12">
      <c r="A983" s="20" t="s">
        <v>1114</v>
      </c>
      <c r="E983" s="22">
        <f>IF(D983="?OLD","!!!","")</f>
        <v/>
      </c>
      <c r="F983" s="23" t="str">
        <f>IF(OR(E983="",E983="!!!"),"",IF(NOT(ISNA(VLOOKUP(E983,E$1:E982,1,FALSE()))),"OLD",IF(AND(E983&lt;&gt;"",E983&lt;&gt;"!!!"),"NEW","")))</f>
        <v> </v>
      </c>
      <c r="G983" s="24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5" t="str">
        <f>IF(J983&lt;&gt;1,"",IF(I983="SBJ","CB","?"))</f>
        <v> </v>
      </c>
      <c r="I983" s="26" t="str">
        <f>IF(OR(E983="",E983="!!!",F983="NEW"),"",INDEX(B982:B$2,-1+SUMPRODUCT(MAX(ROW(E982:E$2)*(E983=E982:E$2)))))</f>
        <v> </v>
      </c>
      <c r="J983" s="26" t="str">
        <f>IF(OR(E983="",E983="!!!",F983="NEW"),"",COUNTBLANK(OFFSET(A$1,,,SUMPRODUCT(MAX(ROW(E$2:E983)*(E983=E$2:E983)))))-COUNTBLANK(OFFSET(A$1,,,SUMPRODUCT(MAX(ROW(E$1:E982)*(E2=E$1:E982))))))</f>
        <v> </v>
      </c>
      <c r="K983" s="26" t="str">
        <f>IF(OR(E983="",E983="!!!",F983="NEW"),"",INDEX(J$1:J982,SUMPRODUCT(MAX(ROW(E$1:E982)*(E983=E$1:E982)))))</f>
        <v> </v>
      </c>
      <c r="L983" s="27"/>
    </row>
    <row r="984" spans="1:12">
      <c r="A984" s="20" t="s">
        <v>583</v>
      </c>
      <c r="E984" s="22">
        <f>IF(D984="?OLD","!!!","")</f>
        <v/>
      </c>
      <c r="F984" s="23" t="str">
        <f>IF(OR(E984="",E984="!!!"),"",IF(NOT(ISNA(VLOOKUP(E984,E$1:E983,1,FALSE()))),"OLD",IF(AND(E984&lt;&gt;"",E984&lt;&gt;"!!!"),"NEW","")))</f>
        <v> </v>
      </c>
      <c r="G984" s="24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5" t="str">
        <f>IF(J984&lt;&gt;1,"",IF(I984="SBJ","CB","?"))</f>
        <v> </v>
      </c>
      <c r="I984" s="26" t="str">
        <f>IF(OR(E984="",E984="!!!",F984="NEW"),"",INDEX(B983:B$2,-1+SUMPRODUCT(MAX(ROW(E983:E$2)*(E984=E983:E$2)))))</f>
        <v> </v>
      </c>
      <c r="J984" s="26" t="str">
        <f>IF(OR(E984="",E984="!!!",F984="NEW"),"",COUNTBLANK(OFFSET(A$1,,,SUMPRODUCT(MAX(ROW(E$2:E984)*(E984=E$2:E984)))))-COUNTBLANK(OFFSET(A$1,,,SUMPRODUCT(MAX(ROW(E$1:E983)*(E2=E$1:E983))))))</f>
        <v> </v>
      </c>
      <c r="K984" s="26" t="str">
        <f>IF(OR(E984="",E984="!!!",F984="NEW"),"",INDEX(J$1:J983,SUMPRODUCT(MAX(ROW(E$1:E983)*(E984=E$1:E983)))))</f>
        <v> </v>
      </c>
      <c r="L984" s="27"/>
    </row>
    <row r="985" spans="1:12">
      <c r="A985" s="20" t="s">
        <v>1110</v>
      </c>
      <c r="B985" s="21" t="s">
        <v>590</v>
      </c>
      <c r="C985" s="21" t="s">
        <v>613</v>
      </c>
      <c r="D985" s="21" t="s">
        <v>587</v>
      </c>
      <c r="E985" s="22">
        <f>IF(D985="?OLD","!!!","")</f>
        <v/>
      </c>
      <c r="F985" s="23" t="str">
        <f>IF(OR(E985="",E985="!!!"),"",IF(NOT(ISNA(VLOOKUP(E985,E$1:E984,1,FALSE()))),"OLD",IF(AND(E985&lt;&gt;"",E985&lt;&gt;"!!!"),"NEW","")))</f>
        <v> </v>
      </c>
      <c r="G985" s="24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5" t="str">
        <f>IF(J985&lt;&gt;1,"",IF(I985="SBJ","CB","?"))</f>
        <v> </v>
      </c>
      <c r="I985" s="26" t="str">
        <f>IF(OR(E985="",E985="!!!",F985="NEW"),"",INDEX(B984:B$2,-1+SUMPRODUCT(MAX(ROW(E984:E$2)*(E985=E984:E$2)))))</f>
        <v> </v>
      </c>
      <c r="J985" s="26" t="str">
        <f>IF(OR(E985="",E985="!!!",F985="NEW"),"",COUNTBLANK(OFFSET(A$1,,,SUMPRODUCT(MAX(ROW(E$2:E985)*(E985=E$2:E985)))))-COUNTBLANK(OFFSET(A$1,,,SUMPRODUCT(MAX(ROW(E$1:E984)*(E2=E$1:E984))))))</f>
        <v> </v>
      </c>
      <c r="K985" s="26" t="str">
        <f>IF(OR(E985="",E985="!!!",F985="NEW"),"",INDEX(J$1:J984,SUMPRODUCT(MAX(ROW(E$1:E984)*(E985=E$1:E984)))))</f>
        <v> </v>
      </c>
      <c r="L985" s="27"/>
    </row>
    <row r="986" spans="1:12">
      <c r="A986" s="20" t="s">
        <v>617</v>
      </c>
      <c r="E986" s="22">
        <f>IF(D986="?OLD","!!!","")</f>
        <v/>
      </c>
      <c r="F986" s="23" t="str">
        <f>IF(OR(E986="",E986="!!!"),"",IF(NOT(ISNA(VLOOKUP(E986,E$1:E985,1,FALSE()))),"OLD",IF(AND(E986&lt;&gt;"",E986&lt;&gt;"!!!"),"NEW","")))</f>
        <v> </v>
      </c>
      <c r="G986" s="24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5" t="str">
        <f>IF(J986&lt;&gt;1,"",IF(I986="SBJ","CB","?"))</f>
        <v> </v>
      </c>
      <c r="I986" s="26" t="str">
        <f>IF(OR(E986="",E986="!!!",F986="NEW"),"",INDEX(B985:B$2,-1+SUMPRODUCT(MAX(ROW(E985:E$2)*(E986=E985:E$2)))))</f>
        <v> </v>
      </c>
      <c r="J986" s="26" t="str">
        <f>IF(OR(E986="",E986="!!!",F986="NEW"),"",COUNTBLANK(OFFSET(A$1,,,SUMPRODUCT(MAX(ROW(E$2:E986)*(E986=E$2:E986)))))-COUNTBLANK(OFFSET(A$1,,,SUMPRODUCT(MAX(ROW(E$1:E985)*(E2=E$1:E985))))))</f>
        <v> </v>
      </c>
      <c r="K986" s="26" t="str">
        <f>IF(OR(E986="",E986="!!!",F986="NEW"),"",INDEX(J$1:J985,SUMPRODUCT(MAX(ROW(E$1:E985)*(E986=E$1:E985)))))</f>
        <v> </v>
      </c>
      <c r="L986" s="27"/>
    </row>
    <row r="987" spans="1:12">
      <c r="A987" s="20" t="s">
        <v>483</v>
      </c>
      <c r="E987" s="22">
        <f>IF(D987="?OLD","!!!","")</f>
        <v/>
      </c>
      <c r="F987" s="23" t="str">
        <f>IF(OR(E987="",E987="!!!"),"",IF(NOT(ISNA(VLOOKUP(E987,E$1:E986,1,FALSE()))),"OLD",IF(AND(E987&lt;&gt;"",E987&lt;&gt;"!!!"),"NEW","")))</f>
        <v> </v>
      </c>
      <c r="G987" s="24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5" t="str">
        <f>IF(J987&lt;&gt;1,"",IF(I987="SBJ","CB","?"))</f>
        <v> </v>
      </c>
      <c r="I987" s="26" t="str">
        <f>IF(OR(E987="",E987="!!!",F987="NEW"),"",INDEX(B986:B$2,-1+SUMPRODUCT(MAX(ROW(E986:E$2)*(E987=E986:E$2)))))</f>
        <v> </v>
      </c>
      <c r="J987" s="26" t="str">
        <f>IF(OR(E987="",E987="!!!",F987="NEW"),"",COUNTBLANK(OFFSET(A$1,,,SUMPRODUCT(MAX(ROW(E$2:E987)*(E987=E$2:E987)))))-COUNTBLANK(OFFSET(A$1,,,SUMPRODUCT(MAX(ROW(E$1:E986)*(E2=E$1:E986))))))</f>
        <v> </v>
      </c>
      <c r="K987" s="26" t="str">
        <f>IF(OR(E987="",E987="!!!",F987="NEW"),"",INDEX(J$1:J986,SUMPRODUCT(MAX(ROW(E$1:E986)*(E987=E$1:E986)))))</f>
        <v> </v>
      </c>
      <c r="L987" s="27"/>
    </row>
    <row r="988" spans="1:12">
      <c r="A988" s="20" t="s">
        <v>1115</v>
      </c>
      <c r="E988" s="22">
        <f>IF(D988="?OLD","!!!","")</f>
        <v/>
      </c>
      <c r="F988" s="23" t="str">
        <f>IF(OR(E988="",E988="!!!"),"",IF(NOT(ISNA(VLOOKUP(E988,E$1:E987,1,FALSE()))),"OLD",IF(AND(E988&lt;&gt;"",E988&lt;&gt;"!!!"),"NEW","")))</f>
        <v> </v>
      </c>
      <c r="G988" s="24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5" t="str">
        <f>IF(J988&lt;&gt;1,"",IF(I988="SBJ","CB","?"))</f>
        <v> </v>
      </c>
      <c r="I988" s="26" t="str">
        <f>IF(OR(E988="",E988="!!!",F988="NEW"),"",INDEX(B987:B$2,-1+SUMPRODUCT(MAX(ROW(E987:E$2)*(E988=E987:E$2)))))</f>
        <v> </v>
      </c>
      <c r="J988" s="26" t="str">
        <f>IF(OR(E988="",E988="!!!",F988="NEW"),"",COUNTBLANK(OFFSET(A$1,,,SUMPRODUCT(MAX(ROW(E$2:E988)*(E988=E$2:E988)))))-COUNTBLANK(OFFSET(A$1,,,SUMPRODUCT(MAX(ROW(E$1:E987)*(E2=E$1:E987))))))</f>
        <v> </v>
      </c>
      <c r="K988" s="26" t="str">
        <f>IF(OR(E988="",E988="!!!",F988="NEW"),"",INDEX(J$1:J987,SUMPRODUCT(MAX(ROW(E$1:E987)*(E988=E$1:E987)))))</f>
        <v> </v>
      </c>
      <c r="L988" s="27"/>
    </row>
    <row r="989" spans="1:12">
      <c r="A989" s="20" t="s">
        <v>1116</v>
      </c>
      <c r="E989" s="22">
        <f>IF(D989="?OLD","!!!","")</f>
        <v/>
      </c>
      <c r="F989" s="23" t="str">
        <f>IF(OR(E989="",E989="!!!"),"",IF(NOT(ISNA(VLOOKUP(E989,E$1:E988,1,FALSE()))),"OLD",IF(AND(E989&lt;&gt;"",E989&lt;&gt;"!!!"),"NEW","")))</f>
        <v> </v>
      </c>
      <c r="G989" s="24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5" t="str">
        <f>IF(J989&lt;&gt;1,"",IF(I989="SBJ","CB","?"))</f>
        <v> </v>
      </c>
      <c r="I989" s="26" t="str">
        <f>IF(OR(E989="",E989="!!!",F989="NEW"),"",INDEX(B988:B$2,-1+SUMPRODUCT(MAX(ROW(E988:E$2)*(E989=E988:E$2)))))</f>
        <v> </v>
      </c>
      <c r="J989" s="26" t="str">
        <f>IF(OR(E989="",E989="!!!",F989="NEW"),"",COUNTBLANK(OFFSET(A$1,,,SUMPRODUCT(MAX(ROW(E$2:E989)*(E989=E$2:E989)))))-COUNTBLANK(OFFSET(A$1,,,SUMPRODUCT(MAX(ROW(E$1:E988)*(E2=E$1:E988))))))</f>
        <v> </v>
      </c>
      <c r="K989" s="26" t="str">
        <f>IF(OR(E989="",E989="!!!",F989="NEW"),"",INDEX(J$1:J988,SUMPRODUCT(MAX(ROW(E$1:E988)*(E989=E$1:E988)))))</f>
        <v> </v>
      </c>
      <c r="L989" s="27"/>
    </row>
    <row r="990" spans="1:12">
      <c r="A990" s="20" t="s">
        <v>592</v>
      </c>
      <c r="E990" s="22">
        <f>IF(D990="?OLD","!!!","")</f>
        <v/>
      </c>
      <c r="F990" s="23" t="str">
        <f>IF(OR(E990="",E990="!!!"),"",IF(NOT(ISNA(VLOOKUP(E990,E$1:E989,1,FALSE()))),"OLD",IF(AND(E990&lt;&gt;"",E990&lt;&gt;"!!!"),"NEW","")))</f>
        <v> </v>
      </c>
      <c r="G990" s="24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5" t="str">
        <f>IF(J990&lt;&gt;1,"",IF(I990="SBJ","CB","?"))</f>
        <v> </v>
      </c>
      <c r="I990" s="26" t="str">
        <f>IF(OR(E990="",E990="!!!",F990="NEW"),"",INDEX(B989:B$2,-1+SUMPRODUCT(MAX(ROW(E989:E$2)*(E990=E989:E$2)))))</f>
        <v> </v>
      </c>
      <c r="J990" s="26" t="str">
        <f>IF(OR(E990="",E990="!!!",F990="NEW"),"",COUNTBLANK(OFFSET(A$1,,,SUMPRODUCT(MAX(ROW(E$2:E990)*(E990=E$2:E990)))))-COUNTBLANK(OFFSET(A$1,,,SUMPRODUCT(MAX(ROW(E$1:E989)*(E2=E$1:E989))))))</f>
        <v> </v>
      </c>
      <c r="K990" s="26" t="str">
        <f>IF(OR(E990="",E990="!!!",F990="NEW"),"",INDEX(J$1:J989,SUMPRODUCT(MAX(ROW(E$1:E989)*(E990=E$1:E989)))))</f>
        <v> </v>
      </c>
      <c r="L990" s="27"/>
    </row>
    <row r="991" spans="1:12">
      <c r="A991" s="20"/>
    </row>
    <row r="992" spans="1:12">
      <c r="A992" s="20" t="s">
        <v>1117</v>
      </c>
    </row>
    <row r="993" spans="1:12">
      <c r="A993" s="20" t="s">
        <v>1118</v>
      </c>
      <c r="E993" s="22">
        <f>IF(D993="?OLD","!!!","")</f>
        <v/>
      </c>
      <c r="F993" s="23" t="str">
        <f>IF(OR(E993="",E993="!!!"),"",IF(NOT(ISNA(VLOOKUP(E993,E$1:E992,1,FALSE()))),"OLD",IF(AND(E993&lt;&gt;"",E993&lt;&gt;"!!!"),"NEW","")))</f>
        <v> </v>
      </c>
      <c r="G993" s="24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5" t="str">
        <f>IF(J993&lt;&gt;1,"",IF(I993="SBJ","CB","?"))</f>
        <v> </v>
      </c>
      <c r="I993" s="26" t="str">
        <f>IF(OR(E993="",E993="!!!",F993="NEW"),"",INDEX(B992:B$2,-1+SUMPRODUCT(MAX(ROW(E992:E$2)*(E993=E992:E$2)))))</f>
        <v> </v>
      </c>
      <c r="J993" s="26" t="str">
        <f>IF(OR(E993="",E993="!!!",F993="NEW"),"",COUNTBLANK(OFFSET(A$1,,,SUMPRODUCT(MAX(ROW(E$2:E993)*(E993=E$2:E993)))))-COUNTBLANK(OFFSET(A$1,,,SUMPRODUCT(MAX(ROW(E$1:E992)*(E2=E$1:E992))))))</f>
        <v> </v>
      </c>
      <c r="K993" s="26" t="str">
        <f>IF(OR(E993="",E993="!!!",F993="NEW"),"",INDEX(J$1:J992,SUMPRODUCT(MAX(ROW(E$1:E992)*(E993=E$1:E992)))))</f>
        <v> </v>
      </c>
      <c r="L993" s="27"/>
    </row>
    <row r="994" spans="1:12">
      <c r="A994" s="20" t="s">
        <v>1119</v>
      </c>
      <c r="B994" s="21" t="s">
        <v>578</v>
      </c>
      <c r="E994" s="22">
        <f>IF(D994="?OLD","!!!","")</f>
        <v/>
      </c>
      <c r="F994" s="23" t="str">
        <f>IF(OR(E994="",E994="!!!"),"",IF(NOT(ISNA(VLOOKUP(E994,E$1:E993,1,FALSE()))),"OLD",IF(AND(E994&lt;&gt;"",E994&lt;&gt;"!!!"),"NEW","")))</f>
        <v> </v>
      </c>
      <c r="G994" s="24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5" t="str">
        <f>IF(J994&lt;&gt;1,"",IF(I994="SBJ","CB","?"))</f>
        <v> </v>
      </c>
      <c r="I994" s="26" t="str">
        <f>IF(OR(E994="",E994="!!!",F994="NEW"),"",INDEX(B993:B$2,-1+SUMPRODUCT(MAX(ROW(E993:E$2)*(E994=E993:E$2)))))</f>
        <v> </v>
      </c>
      <c r="J994" s="26" t="str">
        <f>IF(OR(E994="",E994="!!!",F994="NEW"),"",COUNTBLANK(OFFSET(A$1,,,SUMPRODUCT(MAX(ROW(E$2:E994)*(E994=E$2:E994)))))-COUNTBLANK(OFFSET(A$1,,,SUMPRODUCT(MAX(ROW(E$1:E993)*(E2=E$1:E993))))))</f>
        <v> </v>
      </c>
      <c r="K994" s="26" t="str">
        <f>IF(OR(E994="",E994="!!!",F994="NEW"),"",INDEX(J$1:J993,SUMPRODUCT(MAX(ROW(E$1:E993)*(E994=E$1:E993)))))</f>
        <v> </v>
      </c>
      <c r="L994" s="27"/>
    </row>
    <row r="995" spans="1:12">
      <c r="A995" s="20" t="s">
        <v>583</v>
      </c>
      <c r="E995" s="22">
        <f>IF(D995="?OLD","!!!","")</f>
        <v/>
      </c>
      <c r="F995" s="23" t="str">
        <f>IF(OR(E995="",E995="!!!"),"",IF(NOT(ISNA(VLOOKUP(E995,E$1:E994,1,FALSE()))),"OLD",IF(AND(E995&lt;&gt;"",E995&lt;&gt;"!!!"),"NEW","")))</f>
        <v> </v>
      </c>
      <c r="G995" s="24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5" t="str">
        <f>IF(J995&lt;&gt;1,"",IF(I995="SBJ","CB","?"))</f>
        <v> </v>
      </c>
      <c r="I995" s="26" t="str">
        <f>IF(OR(E995="",E995="!!!",F995="NEW"),"",INDEX(B994:B$2,-1+SUMPRODUCT(MAX(ROW(E994:E$2)*(E995=E994:E$2)))))</f>
        <v> </v>
      </c>
      <c r="J995" s="26" t="str">
        <f>IF(OR(E995="",E995="!!!",F995="NEW"),"",COUNTBLANK(OFFSET(A$1,,,SUMPRODUCT(MAX(ROW(E$2:E995)*(E995=E$2:E995)))))-COUNTBLANK(OFFSET(A$1,,,SUMPRODUCT(MAX(ROW(E$1:E994)*(E2=E$1:E994))))))</f>
        <v> </v>
      </c>
      <c r="K995" s="26" t="str">
        <f>IF(OR(E995="",E995="!!!",F995="NEW"),"",INDEX(J$1:J994,SUMPRODUCT(MAX(ROW(E$1:E994)*(E995=E$1:E994)))))</f>
        <v> </v>
      </c>
      <c r="L995" s="27"/>
    </row>
    <row r="996" spans="1:12">
      <c r="A996" s="20" t="s">
        <v>580</v>
      </c>
      <c r="E996" s="22">
        <f>IF(D996="?OLD","!!!","")</f>
        <v/>
      </c>
      <c r="F996" s="23" t="str">
        <f>IF(OR(E996="",E996="!!!"),"",IF(NOT(ISNA(VLOOKUP(E996,E$1:E995,1,FALSE()))),"OLD",IF(AND(E996&lt;&gt;"",E996&lt;&gt;"!!!"),"NEW","")))</f>
        <v> </v>
      </c>
      <c r="G996" s="24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5" t="str">
        <f>IF(J996&lt;&gt;1,"",IF(I996="SBJ","CB","?"))</f>
        <v> </v>
      </c>
      <c r="I996" s="26" t="str">
        <f>IF(OR(E996="",E996="!!!",F996="NEW"),"",INDEX(B995:B$2,-1+SUMPRODUCT(MAX(ROW(E995:E$2)*(E996=E995:E$2)))))</f>
        <v> </v>
      </c>
      <c r="J996" s="26" t="str">
        <f>IF(OR(E996="",E996="!!!",F996="NEW"),"",COUNTBLANK(OFFSET(A$1,,,SUMPRODUCT(MAX(ROW(E$2:E996)*(E996=E$2:E996)))))-COUNTBLANK(OFFSET(A$1,,,SUMPRODUCT(MAX(ROW(E$1:E995)*(E2=E$1:E995))))))</f>
        <v> </v>
      </c>
      <c r="K996" s="26" t="str">
        <f>IF(OR(E996="",E996="!!!",F996="NEW"),"",INDEX(J$1:J995,SUMPRODUCT(MAX(ROW(E$1:E995)*(E996=E$1:E995)))))</f>
        <v> </v>
      </c>
      <c r="L996" s="27"/>
    </row>
    <row r="997" spans="1:12">
      <c r="A997" s="20" t="s">
        <v>1120</v>
      </c>
      <c r="E997" s="22">
        <f>IF(D997="?OLD","!!!","")</f>
        <v/>
      </c>
      <c r="F997" s="23" t="str">
        <f>IF(OR(E997="",E997="!!!"),"",IF(NOT(ISNA(VLOOKUP(E997,E$1:E996,1,FALSE()))),"OLD",IF(AND(E997&lt;&gt;"",E997&lt;&gt;"!!!"),"NEW","")))</f>
        <v> </v>
      </c>
      <c r="G997" s="24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5" t="str">
        <f>IF(J997&lt;&gt;1,"",IF(I997="SBJ","CB","?"))</f>
        <v> </v>
      </c>
      <c r="I997" s="26" t="str">
        <f>IF(OR(E997="",E997="!!!",F997="NEW"),"",INDEX(B996:B$2,-1+SUMPRODUCT(MAX(ROW(E996:E$2)*(E997=E996:E$2)))))</f>
        <v> </v>
      </c>
      <c r="J997" s="26" t="str">
        <f>IF(OR(E997="",E997="!!!",F997="NEW"),"",COUNTBLANK(OFFSET(A$1,,,SUMPRODUCT(MAX(ROW(E$2:E997)*(E997=E$2:E997)))))-COUNTBLANK(OFFSET(A$1,,,SUMPRODUCT(MAX(ROW(E$1:E996)*(E2=E$1:E996))))))</f>
        <v> </v>
      </c>
      <c r="K997" s="26" t="str">
        <f>IF(OR(E997="",E997="!!!",F997="NEW"),"",INDEX(J$1:J996,SUMPRODUCT(MAX(ROW(E$1:E996)*(E997=E$1:E996)))))</f>
        <v> </v>
      </c>
      <c r="L997" s="27"/>
    </row>
    <row r="998" spans="1:12">
      <c r="A998" s="20" t="s">
        <v>583</v>
      </c>
      <c r="E998" s="22">
        <f>IF(D998="?OLD","!!!","")</f>
        <v/>
      </c>
      <c r="F998" s="23" t="str">
        <f>IF(OR(E998="",E998="!!!"),"",IF(NOT(ISNA(VLOOKUP(E998,E$1:E997,1,FALSE()))),"OLD",IF(AND(E998&lt;&gt;"",E998&lt;&gt;"!!!"),"NEW","")))</f>
        <v> </v>
      </c>
      <c r="G998" s="24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5" t="str">
        <f>IF(J998&lt;&gt;1,"",IF(I998="SBJ","CB","?"))</f>
        <v> </v>
      </c>
      <c r="I998" s="26" t="str">
        <f>IF(OR(E998="",E998="!!!",F998="NEW"),"",INDEX(B997:B$2,-1+SUMPRODUCT(MAX(ROW(E997:E$2)*(E998=E997:E$2)))))</f>
        <v> </v>
      </c>
      <c r="J998" s="26" t="str">
        <f>IF(OR(E998="",E998="!!!",F998="NEW"),"",COUNTBLANK(OFFSET(A$1,,,SUMPRODUCT(MAX(ROW(E$2:E998)*(E998=E$2:E998)))))-COUNTBLANK(OFFSET(A$1,,,SUMPRODUCT(MAX(ROW(E$1:E997)*(E2=E$1:E997))))))</f>
        <v> </v>
      </c>
      <c r="K998" s="26" t="str">
        <f>IF(OR(E998="",E998="!!!",F998="NEW"),"",INDEX(J$1:J997,SUMPRODUCT(MAX(ROW(E$1:E997)*(E998=E$1:E997)))))</f>
        <v> </v>
      </c>
      <c r="L998" s="27"/>
    </row>
    <row r="999" spans="1:12">
      <c r="A999" s="20" t="s">
        <v>609</v>
      </c>
      <c r="E999" s="22">
        <f>IF(D999="?OLD","!!!","")</f>
        <v/>
      </c>
      <c r="F999" s="23" t="str">
        <f>IF(OR(E999="",E999="!!!"),"",IF(NOT(ISNA(VLOOKUP(E999,E$1:E998,1,FALSE()))),"OLD",IF(AND(E999&lt;&gt;"",E999&lt;&gt;"!!!"),"NEW","")))</f>
        <v> </v>
      </c>
      <c r="G999" s="24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5" t="str">
        <f>IF(J999&lt;&gt;1,"",IF(I999="SBJ","CB","?"))</f>
        <v> </v>
      </c>
      <c r="I999" s="26" t="str">
        <f>IF(OR(E999="",E999="!!!",F999="NEW"),"",INDEX(B998:B$2,-1+SUMPRODUCT(MAX(ROW(E998:E$2)*(E999=E998:E$2)))))</f>
        <v> </v>
      </c>
      <c r="J999" s="26" t="str">
        <f>IF(OR(E999="",E999="!!!",F999="NEW"),"",COUNTBLANK(OFFSET(A$1,,,SUMPRODUCT(MAX(ROW(E$2:E999)*(E999=E$2:E999)))))-COUNTBLANK(OFFSET(A$1,,,SUMPRODUCT(MAX(ROW(E$1:E998)*(E2=E$1:E998))))))</f>
        <v> </v>
      </c>
      <c r="K999" s="26" t="str">
        <f>IF(OR(E999="",E999="!!!",F999="NEW"),"",INDEX(J$1:J998,SUMPRODUCT(MAX(ROW(E$1:E998)*(E999=E$1:E998)))))</f>
        <v> </v>
      </c>
      <c r="L999" s="27"/>
    </row>
    <row r="1000" spans="1:12">
      <c r="A1000" s="20" t="s">
        <v>1121</v>
      </c>
      <c r="E1000" s="22">
        <f>IF(D1000="?OLD","!!!","")</f>
        <v/>
      </c>
      <c r="F1000" s="23" t="str">
        <f>IF(OR(E1000="",E1000="!!!"),"",IF(NOT(ISNA(VLOOKUP(E1000,E$1:E999,1,FALSE()))),"OLD",IF(AND(E1000&lt;&gt;"",E1000&lt;&gt;"!!!"),"NEW","")))</f>
        <v> </v>
      </c>
      <c r="G1000" s="24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5" t="str">
        <f>IF(J1000&lt;&gt;1,"",IF(I1000="SBJ","CB","?"))</f>
        <v> </v>
      </c>
      <c r="I1000" s="26" t="str">
        <f>IF(OR(E1000="",E1000="!!!",F1000="NEW"),"",INDEX(B999:B$2,-1+SUMPRODUCT(MAX(ROW(E999:E$2)*(E1000=E999:E$2)))))</f>
        <v> </v>
      </c>
      <c r="J1000" s="26" t="str">
        <f>IF(OR(E1000="",E1000="!!!",F1000="NEW"),"",COUNTBLANK(OFFSET(A$1,,,SUMPRODUCT(MAX(ROW(E$2:E1000)*(E1000=E$2:E1000)))))-COUNTBLANK(OFFSET(A$1,,,SUMPRODUCT(MAX(ROW(E$1:E999)*(E2=E$1:E999))))))</f>
        <v> </v>
      </c>
      <c r="K1000" s="26" t="str">
        <f>IF(OR(E1000="",E1000="!!!",F1000="NEW"),"",INDEX(J$1:J999,SUMPRODUCT(MAX(ROW(E$1:E999)*(E1000=E$1:E999)))))</f>
        <v> </v>
      </c>
      <c r="L1000" s="27"/>
    </row>
    <row r="1001" spans="1:12">
      <c r="A1001" s="20" t="s">
        <v>753</v>
      </c>
      <c r="E1001" s="22">
        <f>IF(D1001="?OLD","!!!","")</f>
        <v/>
      </c>
      <c r="F1001" s="23" t="str">
        <f>IF(OR(E1001="",E1001="!!!"),"",IF(NOT(ISNA(VLOOKUP(E1001,E$1:E1000,1,FALSE()))),"OLD",IF(AND(E1001&lt;&gt;"",E1001&lt;&gt;"!!!"),"NEW","")))</f>
        <v> </v>
      </c>
      <c r="G1001" s="24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5" t="str">
        <f>IF(J1001&lt;&gt;1,"",IF(I1001="SBJ","CB","?"))</f>
        <v> </v>
      </c>
      <c r="I1001" s="26" t="str">
        <f>IF(OR(E1001="",E1001="!!!",F1001="NEW"),"",INDEX(B1000:B$2,-1+SUMPRODUCT(MAX(ROW(E1000:E$2)*(E1001=E1000:E$2)))))</f>
        <v> </v>
      </c>
      <c r="J1001" s="26" t="str">
        <f>IF(OR(E1001="",E1001="!!!",F1001="NEW"),"",COUNTBLANK(OFFSET(A$1,,,SUMPRODUCT(MAX(ROW(E$2:E1001)*(E1001=E$2:E1001)))))-COUNTBLANK(OFFSET(A$1,,,SUMPRODUCT(MAX(ROW(E$1:E1000)*(E2=E$1:E1000))))))</f>
        <v> </v>
      </c>
      <c r="K1001" s="26" t="str">
        <f>IF(OR(E1001="",E1001="!!!",F1001="NEW"),"",INDEX(J$1:J1000,SUMPRODUCT(MAX(ROW(E$1:E1000)*(E1001=E$1:E1000)))))</f>
        <v> </v>
      </c>
      <c r="L1001" s="27"/>
    </row>
    <row r="1002" spans="1:12">
      <c r="A1002" s="20" t="s">
        <v>1122</v>
      </c>
      <c r="E1002" s="22">
        <f>IF(D1002="?OLD","!!!","")</f>
        <v/>
      </c>
      <c r="F1002" s="23" t="str">
        <f>IF(OR(E1002="",E1002="!!!"),"",IF(NOT(ISNA(VLOOKUP(E1002,E$1:E1001,1,FALSE()))),"OLD",IF(AND(E1002&lt;&gt;"",E1002&lt;&gt;"!!!"),"NEW","")))</f>
        <v> </v>
      </c>
      <c r="G1002" s="24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5" t="str">
        <f>IF(J1002&lt;&gt;1,"",IF(I1002="SBJ","CB","?"))</f>
        <v> </v>
      </c>
      <c r="I1002" s="26" t="str">
        <f>IF(OR(E1002="",E1002="!!!",F1002="NEW"),"",INDEX(B1001:B$2,-1+SUMPRODUCT(MAX(ROW(E1001:E$2)*(E1002=E1001:E$2)))))</f>
        <v> </v>
      </c>
      <c r="J1002" s="26" t="str">
        <f>IF(OR(E1002="",E1002="!!!",F1002="NEW"),"",COUNTBLANK(OFFSET(A$1,,,SUMPRODUCT(MAX(ROW(E$2:E1002)*(E1002=E$2:E1002)))))-COUNTBLANK(OFFSET(A$1,,,SUMPRODUCT(MAX(ROW(E$1:E1001)*(E2=E$1:E1001))))))</f>
        <v> </v>
      </c>
      <c r="K1002" s="26" t="str">
        <f>IF(OR(E1002="",E1002="!!!",F1002="NEW"),"",INDEX(J$1:J1001,SUMPRODUCT(MAX(ROW(E$1:E1001)*(E1002=E$1:E1001)))))</f>
        <v> </v>
      </c>
      <c r="L1002" s="27"/>
    </row>
    <row r="1003" spans="1:12">
      <c r="A1003" s="20" t="s">
        <v>1123</v>
      </c>
      <c r="B1003" s="21" t="s">
        <v>651</v>
      </c>
      <c r="C1003" s="21" t="s">
        <v>709</v>
      </c>
      <c r="D1003" s="21" t="s">
        <v>587</v>
      </c>
      <c r="E1003" s="22">
        <f>IF(D1003="?OLD","!!!","")</f>
        <v/>
      </c>
      <c r="F1003" s="23" t="str">
        <f>IF(OR(E1003="",E1003="!!!"),"",IF(NOT(ISNA(VLOOKUP(E1003,E$1:E1002,1,FALSE()))),"OLD",IF(AND(E1003&lt;&gt;"",E1003&lt;&gt;"!!!"),"NEW","")))</f>
        <v> </v>
      </c>
      <c r="G1003" s="24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5" t="str">
        <f>IF(J1003&lt;&gt;1,"",IF(I1003="SBJ","CB","?"))</f>
        <v> </v>
      </c>
      <c r="I1003" s="26" t="str">
        <f>IF(OR(E1003="",E1003="!!!",F1003="NEW"),"",INDEX(B1002:B$2,-1+SUMPRODUCT(MAX(ROW(E1002:E$2)*(E1003=E1002:E$2)))))</f>
        <v> </v>
      </c>
      <c r="J1003" s="26" t="str">
        <f>IF(OR(E1003="",E1003="!!!",F1003="NEW"),"",COUNTBLANK(OFFSET(A$1,,,SUMPRODUCT(MAX(ROW(E$2:E1003)*(E1003=E$2:E1003)))))-COUNTBLANK(OFFSET(A$1,,,SUMPRODUCT(MAX(ROW(E$1:E1002)*(E2=E$1:E1002))))))</f>
        <v> </v>
      </c>
      <c r="K1003" s="26" t="str">
        <f>IF(OR(E1003="",E1003="!!!",F1003="NEW"),"",INDEX(J$1:J1002,SUMPRODUCT(MAX(ROW(E$1:E1002)*(E1003=E$1:E1002)))))</f>
        <v> </v>
      </c>
      <c r="L1003" s="27"/>
    </row>
    <row r="1004" spans="1:12">
      <c r="A1004" s="20" t="s">
        <v>592</v>
      </c>
      <c r="E1004" s="22">
        <f>IF(D1004="?OLD","!!!","")</f>
        <v/>
      </c>
      <c r="F1004" s="23" t="str">
        <f>IF(OR(E1004="",E1004="!!!"),"",IF(NOT(ISNA(VLOOKUP(E1004,E$1:E1003,1,FALSE()))),"OLD",IF(AND(E1004&lt;&gt;"",E1004&lt;&gt;"!!!"),"NEW","")))</f>
        <v> </v>
      </c>
      <c r="G1004" s="24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5" t="str">
        <f>IF(J1004&lt;&gt;1,"",IF(I1004="SBJ","CB","?"))</f>
        <v> </v>
      </c>
      <c r="I1004" s="26" t="str">
        <f>IF(OR(E1004="",E1004="!!!",F1004="NEW"),"",INDEX(B1003:B$2,-1+SUMPRODUCT(MAX(ROW(E1003:E$2)*(E1004=E1003:E$2)))))</f>
        <v> </v>
      </c>
      <c r="J1004" s="26" t="str">
        <f>IF(OR(E1004="",E1004="!!!",F1004="NEW"),"",COUNTBLANK(OFFSET(A$1,,,SUMPRODUCT(MAX(ROW(E$2:E1004)*(E1004=E$2:E1004)))))-COUNTBLANK(OFFSET(A$1,,,SUMPRODUCT(MAX(ROW(E$1:E1003)*(E2=E$1:E1003))))))</f>
        <v> </v>
      </c>
      <c r="K1004" s="26" t="str">
        <f>IF(OR(E1004="",E1004="!!!",F1004="NEW"),"",INDEX(J$1:J1003,SUMPRODUCT(MAX(ROW(E$1:E1003)*(E1004=E$1:E1003)))))</f>
        <v> </v>
      </c>
      <c r="L1004" s="27"/>
    </row>
    <row r="1005" spans="1:12">
      <c r="A1005" s="20"/>
    </row>
    <row r="1006" spans="1:12">
      <c r="A1006" s="20" t="s">
        <v>1124</v>
      </c>
    </row>
    <row r="1007" spans="1:12">
      <c r="A1007" s="20" t="s">
        <v>1125</v>
      </c>
      <c r="E1007" s="22">
        <f>IF(D1007="?OLD","!!!","")</f>
        <v/>
      </c>
      <c r="F1007" s="23" t="str">
        <f>IF(OR(E1007="",E1007="!!!"),"",IF(NOT(ISNA(VLOOKUP(E1007,E$1:E1006,1,FALSE()))),"OLD",IF(AND(E1007&lt;&gt;"",E1007&lt;&gt;"!!!"),"NEW","")))</f>
        <v> </v>
      </c>
      <c r="G1007" s="24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5" t="str">
        <f>IF(J1007&lt;&gt;1,"",IF(I1007="SBJ","CB","?"))</f>
        <v> </v>
      </c>
      <c r="I1007" s="26" t="str">
        <f>IF(OR(E1007="",E1007="!!!",F1007="NEW"),"",INDEX(B1006:B$2,-1+SUMPRODUCT(MAX(ROW(E1006:E$2)*(E1007=E1006:E$2)))))</f>
        <v> </v>
      </c>
      <c r="J1007" s="26" t="str">
        <f>IF(OR(E1007="",E1007="!!!",F1007="NEW"),"",COUNTBLANK(OFFSET(A$1,,,SUMPRODUCT(MAX(ROW(E$2:E1007)*(E1007=E$2:E1007)))))-COUNTBLANK(OFFSET(A$1,,,SUMPRODUCT(MAX(ROW(E$1:E1006)*(E2=E$1:E1006))))))</f>
        <v> </v>
      </c>
      <c r="K1007" s="26" t="str">
        <f>IF(OR(E1007="",E1007="!!!",F1007="NEW"),"",INDEX(J$1:J1006,SUMPRODUCT(MAX(ROW(E$1:E1006)*(E1007=E$1:E1006)))))</f>
        <v> </v>
      </c>
      <c r="L1007" s="27"/>
    </row>
    <row r="1008" spans="1:12">
      <c r="A1008" s="20" t="s">
        <v>963</v>
      </c>
      <c r="B1008" s="21" t="s">
        <v>578</v>
      </c>
      <c r="E1008" s="22">
        <f>IF(D1008="?OLD","!!!","")</f>
        <v/>
      </c>
      <c r="F1008" s="23" t="str">
        <f>IF(OR(E1008="",E1008="!!!"),"",IF(NOT(ISNA(VLOOKUP(E1008,E$1:E1007,1,FALSE()))),"OLD",IF(AND(E1008&lt;&gt;"",E1008&lt;&gt;"!!!"),"NEW","")))</f>
        <v> </v>
      </c>
      <c r="G1008" s="24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5" t="str">
        <f>IF(J1008&lt;&gt;1,"",IF(I1008="SBJ","CB","?"))</f>
        <v> </v>
      </c>
      <c r="I1008" s="26" t="str">
        <f>IF(OR(E1008="",E1008="!!!",F1008="NEW"),"",INDEX(B1007:B$2,-1+SUMPRODUCT(MAX(ROW(E1007:E$2)*(E1008=E1007:E$2)))))</f>
        <v> </v>
      </c>
      <c r="J1008" s="26" t="str">
        <f>IF(OR(E1008="",E1008="!!!",F1008="NEW"),"",COUNTBLANK(OFFSET(A$1,,,SUMPRODUCT(MAX(ROW(E$2:E1008)*(E1008=E$2:E1008)))))-COUNTBLANK(OFFSET(A$1,,,SUMPRODUCT(MAX(ROW(E$1:E1007)*(E2=E$1:E1007))))))</f>
        <v> </v>
      </c>
      <c r="K1008" s="26" t="str">
        <f>IF(OR(E1008="",E1008="!!!",F1008="NEW"),"",INDEX(J$1:J1007,SUMPRODUCT(MAX(ROW(E$1:E1007)*(E1008=E$1:E1007)))))</f>
        <v> </v>
      </c>
      <c r="L1008" s="27"/>
    </row>
    <row r="1009" spans="1:12">
      <c r="A1009" s="20" t="s">
        <v>1126</v>
      </c>
      <c r="E1009" s="22">
        <f>IF(D1009="?OLD","!!!","")</f>
        <v/>
      </c>
      <c r="F1009" s="23" t="str">
        <f>IF(OR(E1009="",E1009="!!!"),"",IF(NOT(ISNA(VLOOKUP(E1009,E$1:E1008,1,FALSE()))),"OLD",IF(AND(E1009&lt;&gt;"",E1009&lt;&gt;"!!!"),"NEW","")))</f>
        <v> </v>
      </c>
      <c r="G1009" s="24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5" t="str">
        <f>IF(J1009&lt;&gt;1,"",IF(I1009="SBJ","CB","?"))</f>
        <v> </v>
      </c>
      <c r="I1009" s="26" t="str">
        <f>IF(OR(E1009="",E1009="!!!",F1009="NEW"),"",INDEX(B1008:B$2,-1+SUMPRODUCT(MAX(ROW(E1008:E$2)*(E1009=E1008:E$2)))))</f>
        <v> </v>
      </c>
      <c r="J1009" s="26" t="str">
        <f>IF(OR(E1009="",E1009="!!!",F1009="NEW"),"",COUNTBLANK(OFFSET(A$1,,,SUMPRODUCT(MAX(ROW(E$2:E1009)*(E1009=E$2:E1009)))))-COUNTBLANK(OFFSET(A$1,,,SUMPRODUCT(MAX(ROW(E$1:E1008)*(E2=E$1:E1008))))))</f>
        <v> </v>
      </c>
      <c r="K1009" s="26" t="str">
        <f>IF(OR(E1009="",E1009="!!!",F1009="NEW"),"",INDEX(J$1:J1008,SUMPRODUCT(MAX(ROW(E$1:E1008)*(E1009=E$1:E1008)))))</f>
        <v> </v>
      </c>
      <c r="L1009" s="27"/>
    </row>
    <row r="1010" spans="1:12">
      <c r="A1010" s="20" t="s">
        <v>1127</v>
      </c>
      <c r="B1010" s="21" t="s">
        <v>615</v>
      </c>
      <c r="C1010" s="21" t="s">
        <v>586</v>
      </c>
      <c r="D1010" s="21" t="s">
        <v>587</v>
      </c>
      <c r="E1010" s="22">
        <f>IF(D1010="?OLD","!!!","")</f>
        <v/>
      </c>
      <c r="F1010" s="23" t="str">
        <f>IF(OR(E1010="",E1010="!!!"),"",IF(NOT(ISNA(VLOOKUP(E1010,E$1:E1009,1,FALSE()))),"OLD",IF(AND(E1010&lt;&gt;"",E1010&lt;&gt;"!!!"),"NEW","")))</f>
        <v> </v>
      </c>
      <c r="G1010" s="24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5" t="str">
        <f>IF(J1010&lt;&gt;1,"",IF(I1010="SBJ","CB","?"))</f>
        <v> </v>
      </c>
      <c r="I1010" s="26" t="str">
        <f>IF(OR(E1010="",E1010="!!!",F1010="NEW"),"",INDEX(B1009:B$2,-1+SUMPRODUCT(MAX(ROW(E1009:E$2)*(E1010=E1009:E$2)))))</f>
        <v> </v>
      </c>
      <c r="J1010" s="26" t="str">
        <f>IF(OR(E1010="",E1010="!!!",F1010="NEW"),"",COUNTBLANK(OFFSET(A$1,,,SUMPRODUCT(MAX(ROW(E$2:E1010)*(E1010=E$2:E1010)))))-COUNTBLANK(OFFSET(A$1,,,SUMPRODUCT(MAX(ROW(E$1:E1009)*(E2=E$1:E1009))))))</f>
        <v> </v>
      </c>
      <c r="K1010" s="26" t="str">
        <f>IF(OR(E1010="",E1010="!!!",F1010="NEW"),"",INDEX(J$1:J1009,SUMPRODUCT(MAX(ROW(E$1:E1009)*(E1010=E$1:E1009)))))</f>
        <v> </v>
      </c>
      <c r="L1010" s="27"/>
    </row>
    <row r="1011" spans="1:12">
      <c r="A1011" s="20" t="s">
        <v>592</v>
      </c>
      <c r="E1011" s="22">
        <f>IF(D1011="?OLD","!!!","")</f>
        <v/>
      </c>
      <c r="F1011" s="23" t="str">
        <f>IF(OR(E1011="",E1011="!!!"),"",IF(NOT(ISNA(VLOOKUP(E1011,E$1:E1010,1,FALSE()))),"OLD",IF(AND(E1011&lt;&gt;"",E1011&lt;&gt;"!!!"),"NEW","")))</f>
        <v> </v>
      </c>
      <c r="G1011" s="24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5" t="str">
        <f>IF(J1011&lt;&gt;1,"",IF(I1011="SBJ","CB","?"))</f>
        <v> </v>
      </c>
      <c r="I1011" s="26" t="str">
        <f>IF(OR(E1011="",E1011="!!!",F1011="NEW"),"",INDEX(B1010:B$2,-1+SUMPRODUCT(MAX(ROW(E1010:E$2)*(E1011=E1010:E$2)))))</f>
        <v> </v>
      </c>
      <c r="J1011" s="26" t="str">
        <f>IF(OR(E1011="",E1011="!!!",F1011="NEW"),"",COUNTBLANK(OFFSET(A$1,,,SUMPRODUCT(MAX(ROW(E$2:E1011)*(E1011=E$2:E1011)))))-COUNTBLANK(OFFSET(A$1,,,SUMPRODUCT(MAX(ROW(E$1:E1010)*(E2=E$1:E1010))))))</f>
        <v> </v>
      </c>
      <c r="K1011" s="26" t="str">
        <f>IF(OR(E1011="",E1011="!!!",F1011="NEW"),"",INDEX(J$1:J1010,SUMPRODUCT(MAX(ROW(E$1:E1010)*(E1011=E$1:E1010)))))</f>
        <v> </v>
      </c>
      <c r="L1011" s="27"/>
    </row>
    <row r="1012" spans="1:12">
      <c r="A1012" s="20"/>
    </row>
    <row r="1013" spans="1:12">
      <c r="A1013" s="20" t="s">
        <v>1128</v>
      </c>
    </row>
    <row r="1014" spans="1:12">
      <c r="A1014" s="20" t="s">
        <v>676</v>
      </c>
      <c r="B1014" s="21" t="s">
        <v>578</v>
      </c>
      <c r="C1014" s="21" t="s">
        <v>613</v>
      </c>
      <c r="D1014" s="21" t="s">
        <v>587</v>
      </c>
      <c r="E1014" s="22">
        <f>IF(D1014="?OLD","!!!","")</f>
        <v/>
      </c>
      <c r="F1014" s="23" t="str">
        <f>IF(OR(E1014="",E1014="!!!"),"",IF(NOT(ISNA(VLOOKUP(E1014,E$1:E1013,1,FALSE()))),"OLD",IF(AND(E1014&lt;&gt;"",E1014&lt;&gt;"!!!"),"NEW","")))</f>
        <v> </v>
      </c>
      <c r="G1014" s="24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5" t="str">
        <f>IF(J1014&lt;&gt;1,"",IF(I1014="SBJ","CB","?"))</f>
        <v> </v>
      </c>
      <c r="I1014" s="26" t="str">
        <f>IF(OR(E1014="",E1014="!!!",F1014="NEW"),"",INDEX(B1013:B$2,-1+SUMPRODUCT(MAX(ROW(E1013:E$2)*(E1014=E1013:E$2)))))</f>
        <v> </v>
      </c>
      <c r="J1014" s="26" t="str">
        <f>IF(OR(E1014="",E1014="!!!",F1014="NEW"),"",COUNTBLANK(OFFSET(A$1,,,SUMPRODUCT(MAX(ROW(E$2:E1014)*(E1014=E$2:E1014)))))-COUNTBLANK(OFFSET(A$1,,,SUMPRODUCT(MAX(ROW(E$1:E1013)*(E2=E$1:E1013))))))</f>
        <v> </v>
      </c>
      <c r="K1014" s="26" t="str">
        <f>IF(OR(E1014="",E1014="!!!",F1014="NEW"),"",INDEX(J$1:J1013,SUMPRODUCT(MAX(ROW(E$1:E1013)*(E1014=E$1:E1013)))))</f>
        <v> </v>
      </c>
      <c r="L1014" s="27"/>
    </row>
    <row r="1015" spans="1:12">
      <c r="A1015" s="20" t="s">
        <v>1129</v>
      </c>
      <c r="E1015" s="22">
        <f>IF(D1015="?OLD","!!!","")</f>
        <v/>
      </c>
      <c r="F1015" s="23" t="str">
        <f>IF(OR(E1015="",E1015="!!!"),"",IF(NOT(ISNA(VLOOKUP(E1015,E$1:E1014,1,FALSE()))),"OLD",IF(AND(E1015&lt;&gt;"",E1015&lt;&gt;"!!!"),"NEW","")))</f>
        <v> </v>
      </c>
      <c r="G1015" s="24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5" t="str">
        <f>IF(J1015&lt;&gt;1,"",IF(I1015="SBJ","CB","?"))</f>
        <v> </v>
      </c>
      <c r="I1015" s="26" t="str">
        <f>IF(OR(E1015="",E1015="!!!",F1015="NEW"),"",INDEX(B1014:B$2,-1+SUMPRODUCT(MAX(ROW(E1014:E$2)*(E1015=E1014:E$2)))))</f>
        <v> </v>
      </c>
      <c r="J1015" s="26" t="str">
        <f>IF(OR(E1015="",E1015="!!!",F1015="NEW"),"",COUNTBLANK(OFFSET(A$1,,,SUMPRODUCT(MAX(ROW(E$2:E1015)*(E1015=E$2:E1015)))))-COUNTBLANK(OFFSET(A$1,,,SUMPRODUCT(MAX(ROW(E$1:E1014)*(E2=E$1:E1014))))))</f>
        <v> </v>
      </c>
      <c r="K1015" s="26" t="str">
        <f>IF(OR(E1015="",E1015="!!!",F1015="NEW"),"",INDEX(J$1:J1014,SUMPRODUCT(MAX(ROW(E$1:E1014)*(E1015=E$1:E1014)))))</f>
        <v> </v>
      </c>
      <c r="L1015" s="27"/>
    </row>
    <row r="1016" spans="1:12">
      <c r="A1016" s="20" t="s">
        <v>583</v>
      </c>
      <c r="E1016" s="22">
        <f>IF(D1016="?OLD","!!!","")</f>
        <v/>
      </c>
      <c r="F1016" s="23" t="str">
        <f>IF(OR(E1016="",E1016="!!!"),"",IF(NOT(ISNA(VLOOKUP(E1016,E$1:E1015,1,FALSE()))),"OLD",IF(AND(E1016&lt;&gt;"",E1016&lt;&gt;"!!!"),"NEW","")))</f>
        <v> </v>
      </c>
      <c r="G1016" s="24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5" t="str">
        <f>IF(J1016&lt;&gt;1,"",IF(I1016="SBJ","CB","?"))</f>
        <v> </v>
      </c>
      <c r="I1016" s="26" t="str">
        <f>IF(OR(E1016="",E1016="!!!",F1016="NEW"),"",INDEX(B1015:B$2,-1+SUMPRODUCT(MAX(ROW(E1015:E$2)*(E1016=E1015:E$2)))))</f>
        <v> </v>
      </c>
      <c r="J1016" s="26" t="str">
        <f>IF(OR(E1016="",E1016="!!!",F1016="NEW"),"",COUNTBLANK(OFFSET(A$1,,,SUMPRODUCT(MAX(ROW(E$2:E1016)*(E1016=E$2:E1016)))))-COUNTBLANK(OFFSET(A$1,,,SUMPRODUCT(MAX(ROW(E$1:E1015)*(E2=E$1:E1015))))))</f>
        <v> </v>
      </c>
      <c r="K1016" s="26" t="str">
        <f>IF(OR(E1016="",E1016="!!!",F1016="NEW"),"",INDEX(J$1:J1015,SUMPRODUCT(MAX(ROW(E$1:E1015)*(E1016=E$1:E1015)))))</f>
        <v> </v>
      </c>
      <c r="L1016" s="27"/>
    </row>
    <row r="1017" spans="1:12">
      <c r="A1017" s="20" t="s">
        <v>685</v>
      </c>
      <c r="B1017" s="21" t="s">
        <v>590</v>
      </c>
      <c r="C1017" s="21" t="s">
        <v>613</v>
      </c>
      <c r="D1017" s="21" t="s">
        <v>587</v>
      </c>
      <c r="E1017" s="22">
        <f>IF(D1017="?OLD","!!!","")</f>
        <v/>
      </c>
      <c r="F1017" s="23" t="str">
        <f>IF(OR(E1017="",E1017="!!!"),"",IF(NOT(ISNA(VLOOKUP(E1017,E$1:E1016,1,FALSE()))),"OLD",IF(AND(E1017&lt;&gt;"",E1017&lt;&gt;"!!!"),"NEW","")))</f>
        <v> </v>
      </c>
      <c r="G1017" s="24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5" t="str">
        <f>IF(J1017&lt;&gt;1,"",IF(I1017="SBJ","CB","?"))</f>
        <v> </v>
      </c>
      <c r="I1017" s="26" t="str">
        <f>IF(OR(E1017="",E1017="!!!",F1017="NEW"),"",INDEX(B1016:B$2,-1+SUMPRODUCT(MAX(ROW(E1016:E$2)*(E1017=E1016:E$2)))))</f>
        <v> </v>
      </c>
      <c r="J1017" s="26" t="str">
        <f>IF(OR(E1017="",E1017="!!!",F1017="NEW"),"",COUNTBLANK(OFFSET(A$1,,,SUMPRODUCT(MAX(ROW(E$2:E1017)*(E1017=E$2:E1017)))))-COUNTBLANK(OFFSET(A$1,,,SUMPRODUCT(MAX(ROW(E$1:E1016)*(E2=E$1:E1016))))))</f>
        <v> </v>
      </c>
      <c r="K1017" s="26" t="str">
        <f>IF(OR(E1017="",E1017="!!!",F1017="NEW"),"",INDEX(J$1:J1016,SUMPRODUCT(MAX(ROW(E$1:E1016)*(E1017=E$1:E1016)))))</f>
        <v> </v>
      </c>
      <c r="L1017" s="27"/>
    </row>
    <row r="1018" spans="1:12">
      <c r="A1018" s="20" t="s">
        <v>1130</v>
      </c>
      <c r="E1018" s="22">
        <f>IF(D1018="?OLD","!!!","")</f>
        <v/>
      </c>
      <c r="F1018" s="23" t="str">
        <f>IF(OR(E1018="",E1018="!!!"),"",IF(NOT(ISNA(VLOOKUP(E1018,E$1:E1017,1,FALSE()))),"OLD",IF(AND(E1018&lt;&gt;"",E1018&lt;&gt;"!!!"),"NEW","")))</f>
        <v> </v>
      </c>
      <c r="G1018" s="24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5" t="str">
        <f>IF(J1018&lt;&gt;1,"",IF(I1018="SBJ","CB","?"))</f>
        <v> </v>
      </c>
      <c r="I1018" s="26" t="str">
        <f>IF(OR(E1018="",E1018="!!!",F1018="NEW"),"",INDEX(B1017:B$2,-1+SUMPRODUCT(MAX(ROW(E1017:E$2)*(E1018=E1017:E$2)))))</f>
        <v> </v>
      </c>
      <c r="J1018" s="26" t="str">
        <f>IF(OR(E1018="",E1018="!!!",F1018="NEW"),"",COUNTBLANK(OFFSET(A$1,,,SUMPRODUCT(MAX(ROW(E$2:E1018)*(E1018=E$2:E1018)))))-COUNTBLANK(OFFSET(A$1,,,SUMPRODUCT(MAX(ROW(E$1:E1017)*(E2=E$1:E1017))))))</f>
        <v> </v>
      </c>
      <c r="K1018" s="26" t="str">
        <f>IF(OR(E1018="",E1018="!!!",F1018="NEW"),"",INDEX(J$1:J1017,SUMPRODUCT(MAX(ROW(E$1:E1017)*(E1018=E$1:E1017)))))</f>
        <v> </v>
      </c>
      <c r="L1018" s="27"/>
    </row>
    <row r="1019" spans="1:12">
      <c r="A1019" s="20" t="s">
        <v>1005</v>
      </c>
      <c r="B1019" s="21" t="s">
        <v>635</v>
      </c>
      <c r="E1019" s="22">
        <f>IF(D1019="?OLD","!!!","")</f>
        <v/>
      </c>
      <c r="F1019" s="23" t="str">
        <f>IF(OR(E1019="",E1019="!!!"),"",IF(NOT(ISNA(VLOOKUP(E1019,E$1:E1018,1,FALSE()))),"OLD",IF(AND(E1019&lt;&gt;"",E1019&lt;&gt;"!!!"),"NEW","")))</f>
        <v> </v>
      </c>
      <c r="G1019" s="24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5" t="str">
        <f>IF(J1019&lt;&gt;1,"",IF(I1019="SBJ","CB","?"))</f>
        <v> </v>
      </c>
      <c r="I1019" s="26" t="str">
        <f>IF(OR(E1019="",E1019="!!!",F1019="NEW"),"",INDEX(B1018:B$2,-1+SUMPRODUCT(MAX(ROW(E1018:E$2)*(E1019=E1018:E$2)))))</f>
        <v> </v>
      </c>
      <c r="J1019" s="26" t="str">
        <f>IF(OR(E1019="",E1019="!!!",F1019="NEW"),"",COUNTBLANK(OFFSET(A$1,,,SUMPRODUCT(MAX(ROW(E$2:E1019)*(E1019=E$2:E1019)))))-COUNTBLANK(OFFSET(A$1,,,SUMPRODUCT(MAX(ROW(E$1:E1018)*(E2=E$1:E1018))))))</f>
        <v> </v>
      </c>
      <c r="K1019" s="26" t="str">
        <f>IF(OR(E1019="",E1019="!!!",F1019="NEW"),"",INDEX(J$1:J1018,SUMPRODUCT(MAX(ROW(E$1:E1018)*(E1019=E$1:E1018)))))</f>
        <v> </v>
      </c>
      <c r="L1019" s="27"/>
    </row>
    <row r="1020" spans="1:12">
      <c r="A1020" s="20" t="s">
        <v>592</v>
      </c>
      <c r="E1020" s="22">
        <f>IF(D1020="?OLD","!!!","")</f>
        <v/>
      </c>
      <c r="F1020" s="23" t="str">
        <f>IF(OR(E1020="",E1020="!!!"),"",IF(NOT(ISNA(VLOOKUP(E1020,E$1:E1019,1,FALSE()))),"OLD",IF(AND(E1020&lt;&gt;"",E1020&lt;&gt;"!!!"),"NEW","")))</f>
        <v> </v>
      </c>
      <c r="G1020" s="24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5" t="str">
        <f>IF(J1020&lt;&gt;1,"",IF(I1020="SBJ","CB","?"))</f>
        <v> </v>
      </c>
      <c r="I1020" s="26" t="str">
        <f>IF(OR(E1020="",E1020="!!!",F1020="NEW"),"",INDEX(B1019:B$2,-1+SUMPRODUCT(MAX(ROW(E1019:E$2)*(E1020=E1019:E$2)))))</f>
        <v> </v>
      </c>
      <c r="J1020" s="26" t="str">
        <f>IF(OR(E1020="",E1020="!!!",F1020="NEW"),"",COUNTBLANK(OFFSET(A$1,,,SUMPRODUCT(MAX(ROW(E$2:E1020)*(E1020=E$2:E1020)))))-COUNTBLANK(OFFSET(A$1,,,SUMPRODUCT(MAX(ROW(E$1:E1019)*(E2=E$1:E1019))))))</f>
        <v> </v>
      </c>
      <c r="K1020" s="26" t="str">
        <f>IF(OR(E1020="",E1020="!!!",F1020="NEW"),"",INDEX(J$1:J1019,SUMPRODUCT(MAX(ROW(E$1:E1019)*(E1020=E$1:E1019)))))</f>
        <v> </v>
      </c>
      <c r="L1020" s="27"/>
    </row>
    <row r="1021" spans="1:12">
      <c r="A1021" s="20"/>
    </row>
    <row r="1022" spans="1:12">
      <c r="A1022" s="20" t="s">
        <v>1131</v>
      </c>
    </row>
    <row r="1023" spans="1:12">
      <c r="A1023" s="20" t="s">
        <v>1132</v>
      </c>
      <c r="B1023" s="21" t="s">
        <v>585</v>
      </c>
      <c r="C1023" s="21" t="s">
        <v>787</v>
      </c>
      <c r="D1023" s="21" t="s">
        <v>587</v>
      </c>
      <c r="E1023" s="22">
        <f>IF(D1023="?OLD","!!!","")</f>
        <v/>
      </c>
      <c r="F1023" s="23" t="str">
        <f>IF(OR(E1023="",E1023="!!!"),"",IF(NOT(ISNA(VLOOKUP(E1023,E$1:E1022,1,FALSE()))),"OLD",IF(AND(E1023&lt;&gt;"",E1023&lt;&gt;"!!!"),"NEW","")))</f>
        <v> </v>
      </c>
      <c r="G1023" s="24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5" t="str">
        <f>IF(J1023&lt;&gt;1,"",IF(I1023="SBJ","CB","?"))</f>
        <v> </v>
      </c>
      <c r="I1023" s="26" t="str">
        <f>IF(OR(E1023="",E1023="!!!",F1023="NEW"),"",INDEX(B1022:B$2,-1+SUMPRODUCT(MAX(ROW(E1022:E$2)*(E1023=E1022:E$2)))))</f>
        <v> </v>
      </c>
      <c r="J1023" s="26" t="str">
        <f>IF(OR(E1023="",E1023="!!!",F1023="NEW"),"",COUNTBLANK(OFFSET(A$1,,,SUMPRODUCT(MAX(ROW(E$2:E1023)*(E1023=E$2:E1023)))))-COUNTBLANK(OFFSET(A$1,,,SUMPRODUCT(MAX(ROW(E$1:E1022)*(E2=E$1:E1022))))))</f>
        <v> </v>
      </c>
      <c r="K1023" s="26" t="str">
        <f>IF(OR(E1023="",E1023="!!!",F1023="NEW"),"",INDEX(J$1:J1022,SUMPRODUCT(MAX(ROW(E$1:E1022)*(E1023=E$1:E1022)))))</f>
        <v> </v>
      </c>
      <c r="L1023" s="27"/>
    </row>
    <row r="1024" spans="1:12">
      <c r="A1024" s="20" t="s">
        <v>1133</v>
      </c>
      <c r="B1024" s="21" t="s">
        <v>578</v>
      </c>
      <c r="E1024" s="22">
        <f>IF(D1024="?OLD","!!!","")</f>
        <v/>
      </c>
      <c r="F1024" s="23" t="str">
        <f>IF(OR(E1024="",E1024="!!!"),"",IF(NOT(ISNA(VLOOKUP(E1024,E$1:E1023,1,FALSE()))),"OLD",IF(AND(E1024&lt;&gt;"",E1024&lt;&gt;"!!!"),"NEW","")))</f>
        <v> </v>
      </c>
      <c r="G1024" s="24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5" t="str">
        <f>IF(J1024&lt;&gt;1,"",IF(I1024="SBJ","CB","?"))</f>
        <v> </v>
      </c>
      <c r="I1024" s="26" t="str">
        <f>IF(OR(E1024="",E1024="!!!",F1024="NEW"),"",INDEX(B1023:B$2,-1+SUMPRODUCT(MAX(ROW(E1023:E$2)*(E1024=E1023:E$2)))))</f>
        <v> </v>
      </c>
      <c r="J1024" s="26" t="str">
        <f>IF(OR(E1024="",E1024="!!!",F1024="NEW"),"",COUNTBLANK(OFFSET(A$1,,,SUMPRODUCT(MAX(ROW(E$2:E1024)*(E1024=E$2:E1024)))))-COUNTBLANK(OFFSET(A$1,,,SUMPRODUCT(MAX(ROW(E$1:E1023)*(E2=E$1:E1023))))))</f>
        <v> </v>
      </c>
      <c r="K1024" s="26" t="str">
        <f>IF(OR(E1024="",E1024="!!!",F1024="NEW"),"",INDEX(J$1:J1023,SUMPRODUCT(MAX(ROW(E$1:E1023)*(E1024=E$1:E1023)))))</f>
        <v> </v>
      </c>
      <c r="L1024" s="27"/>
    </row>
    <row r="1025" spans="1:12">
      <c r="A1025" s="20" t="s">
        <v>580</v>
      </c>
      <c r="E1025" s="22">
        <f>IF(D1025="?OLD","!!!","")</f>
        <v/>
      </c>
      <c r="F1025" s="23" t="str">
        <f>IF(OR(E1025="",E1025="!!!"),"",IF(NOT(ISNA(VLOOKUP(E1025,E$1:E1024,1,FALSE()))),"OLD",IF(AND(E1025&lt;&gt;"",E1025&lt;&gt;"!!!"),"NEW","")))</f>
        <v> </v>
      </c>
      <c r="G1025" s="24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5" t="str">
        <f>IF(J1025&lt;&gt;1,"",IF(I1025="SBJ","CB","?"))</f>
        <v> </v>
      </c>
      <c r="I1025" s="26" t="str">
        <f>IF(OR(E1025="",E1025="!!!",F1025="NEW"),"",INDEX(B1024:B$2,-1+SUMPRODUCT(MAX(ROW(E1024:E$2)*(E1025=E1024:E$2)))))</f>
        <v> </v>
      </c>
      <c r="J1025" s="26" t="str">
        <f>IF(OR(E1025="",E1025="!!!",F1025="NEW"),"",COUNTBLANK(OFFSET(A$1,,,SUMPRODUCT(MAX(ROW(E$2:E1025)*(E1025=E$2:E1025)))))-COUNTBLANK(OFFSET(A$1,,,SUMPRODUCT(MAX(ROW(E$1:E1024)*(E2=E$1:E1024))))))</f>
        <v> </v>
      </c>
      <c r="K1025" s="26" t="str">
        <f>IF(OR(E1025="",E1025="!!!",F1025="NEW"),"",INDEX(J$1:J1024,SUMPRODUCT(MAX(ROW(E$1:E1024)*(E1025=E$1:E1024)))))</f>
        <v> </v>
      </c>
      <c r="L1025" s="27"/>
    </row>
    <row r="1026" spans="1:12">
      <c r="A1026" s="20" t="s">
        <v>719</v>
      </c>
      <c r="B1026" s="21" t="s">
        <v>651</v>
      </c>
      <c r="C1026" s="21" t="s">
        <v>586</v>
      </c>
      <c r="D1026" s="21" t="s">
        <v>587</v>
      </c>
      <c r="E1026" s="22">
        <f>IF(D1026="?OLD","!!!","")</f>
        <v/>
      </c>
      <c r="F1026" s="23" t="str">
        <f>IF(OR(E1026="",E1026="!!!"),"",IF(NOT(ISNA(VLOOKUP(E1026,E$1:E1025,1,FALSE()))),"OLD",IF(AND(E1026&lt;&gt;"",E1026&lt;&gt;"!!!"),"NEW","")))</f>
        <v> </v>
      </c>
      <c r="G1026" s="24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5" t="str">
        <f>IF(J1026&lt;&gt;1,"",IF(I1026="SBJ","CB","?"))</f>
        <v> </v>
      </c>
      <c r="I1026" s="26" t="str">
        <f>IF(OR(E1026="",E1026="!!!",F1026="NEW"),"",INDEX(B1025:B$2,-1+SUMPRODUCT(MAX(ROW(E1025:E$2)*(E1026=E1025:E$2)))))</f>
        <v> </v>
      </c>
      <c r="J1026" s="26" t="str">
        <f>IF(OR(E1026="",E1026="!!!",F1026="NEW"),"",COUNTBLANK(OFFSET(A$1,,,SUMPRODUCT(MAX(ROW(E$2:E1026)*(E1026=E$2:E1026)))))-COUNTBLANK(OFFSET(A$1,,,SUMPRODUCT(MAX(ROW(E$1:E1025)*(E2=E$1:E1025))))))</f>
        <v> </v>
      </c>
      <c r="K1026" s="26" t="str">
        <f>IF(OR(E1026="",E1026="!!!",F1026="NEW"),"",INDEX(J$1:J1025,SUMPRODUCT(MAX(ROW(E$1:E1025)*(E1026=E$1:E1025)))))</f>
        <v> </v>
      </c>
      <c r="L1026" s="27"/>
    </row>
    <row r="1027" spans="1:12">
      <c r="A1027" s="20" t="s">
        <v>583</v>
      </c>
      <c r="E1027" s="22">
        <f>IF(D1027="?OLD","!!!","")</f>
        <v/>
      </c>
      <c r="F1027" s="23" t="str">
        <f>IF(OR(E1027="",E1027="!!!"),"",IF(NOT(ISNA(VLOOKUP(E1027,E$1:E1026,1,FALSE()))),"OLD",IF(AND(E1027&lt;&gt;"",E1027&lt;&gt;"!!!"),"NEW","")))</f>
        <v> </v>
      </c>
      <c r="G1027" s="24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5" t="str">
        <f>IF(J1027&lt;&gt;1,"",IF(I1027="SBJ","CB","?"))</f>
        <v> </v>
      </c>
      <c r="I1027" s="26" t="str">
        <f>IF(OR(E1027="",E1027="!!!",F1027="NEW"),"",INDEX(B1026:B$2,-1+SUMPRODUCT(MAX(ROW(E1026:E$2)*(E1027=E1026:E$2)))))</f>
        <v> </v>
      </c>
      <c r="J1027" s="26" t="str">
        <f>IF(OR(E1027="",E1027="!!!",F1027="NEW"),"",COUNTBLANK(OFFSET(A$1,,,SUMPRODUCT(MAX(ROW(E$2:E1027)*(E1027=E$2:E1027)))))-COUNTBLANK(OFFSET(A$1,,,SUMPRODUCT(MAX(ROW(E$1:E1026)*(E2=E$1:E1026))))))</f>
        <v> </v>
      </c>
      <c r="K1027" s="26" t="str">
        <f>IF(OR(E1027="",E1027="!!!",F1027="NEW"),"",INDEX(J$1:J1026,SUMPRODUCT(MAX(ROW(E$1:E1026)*(E1027=E$1:E1026)))))</f>
        <v> </v>
      </c>
      <c r="L1027" s="27"/>
    </row>
    <row r="1028" spans="1:12">
      <c r="A1028" s="20" t="s">
        <v>999</v>
      </c>
      <c r="E1028" s="22">
        <f>IF(D1028="?OLD","!!!","")</f>
        <v/>
      </c>
      <c r="F1028" s="23" t="str">
        <f>IF(OR(E1028="",E1028="!!!"),"",IF(NOT(ISNA(VLOOKUP(E1028,E$1:E1027,1,FALSE()))),"OLD",IF(AND(E1028&lt;&gt;"",E1028&lt;&gt;"!!!"),"NEW","")))</f>
        <v> </v>
      </c>
      <c r="G1028" s="24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5" t="str">
        <f>IF(J1028&lt;&gt;1,"",IF(I1028="SBJ","CB","?"))</f>
        <v> </v>
      </c>
      <c r="I1028" s="26" t="str">
        <f>IF(OR(E1028="",E1028="!!!",F1028="NEW"),"",INDEX(B1027:B$2,-1+SUMPRODUCT(MAX(ROW(E1027:E$2)*(E1028=E1027:E$2)))))</f>
        <v> </v>
      </c>
      <c r="J1028" s="26" t="str">
        <f>IF(OR(E1028="",E1028="!!!",F1028="NEW"),"",COUNTBLANK(OFFSET(A$1,,,SUMPRODUCT(MAX(ROW(E$2:E1028)*(E1028=E$2:E1028)))))-COUNTBLANK(OFFSET(A$1,,,SUMPRODUCT(MAX(ROW(E$1:E1027)*(E2=E$1:E1027))))))</f>
        <v> </v>
      </c>
      <c r="K1028" s="26" t="str">
        <f>IF(OR(E1028="",E1028="!!!",F1028="NEW"),"",INDEX(J$1:J1027,SUMPRODUCT(MAX(ROW(E$1:E1027)*(E1028=E$1:E1027)))))</f>
        <v> </v>
      </c>
      <c r="L1028" s="27"/>
    </row>
    <row r="1029" spans="1:12">
      <c r="A1029" s="20" t="s">
        <v>607</v>
      </c>
      <c r="B1029" s="21" t="s">
        <v>590</v>
      </c>
      <c r="C1029" s="21" t="s">
        <v>613</v>
      </c>
      <c r="D1029" s="21" t="s">
        <v>587</v>
      </c>
      <c r="E1029" s="22">
        <f>IF(D1029="?OLD","!!!","")</f>
        <v/>
      </c>
      <c r="F1029" s="23" t="str">
        <f>IF(OR(E1029="",E1029="!!!"),"",IF(NOT(ISNA(VLOOKUP(E1029,E$1:E1028,1,FALSE()))),"OLD",IF(AND(E1029&lt;&gt;"",E1029&lt;&gt;"!!!"),"NEW","")))</f>
        <v> </v>
      </c>
      <c r="G1029" s="24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5" t="str">
        <f>IF(J1029&lt;&gt;1,"",IF(I1029="SBJ","CB","?"))</f>
        <v> </v>
      </c>
      <c r="I1029" s="26" t="str">
        <f>IF(OR(E1029="",E1029="!!!",F1029="NEW"),"",INDEX(B1028:B$2,-1+SUMPRODUCT(MAX(ROW(E1028:E$2)*(E1029=E1028:E$2)))))</f>
        <v> </v>
      </c>
      <c r="J1029" s="26" t="str">
        <f>IF(OR(E1029="",E1029="!!!",F1029="NEW"),"",COUNTBLANK(OFFSET(A$1,,,SUMPRODUCT(MAX(ROW(E$2:E1029)*(E1029=E$2:E1029)))))-COUNTBLANK(OFFSET(A$1,,,SUMPRODUCT(MAX(ROW(E$1:E1028)*(E2=E$1:E1028))))))</f>
        <v> </v>
      </c>
      <c r="K1029" s="26" t="str">
        <f>IF(OR(E1029="",E1029="!!!",F1029="NEW"),"",INDEX(J$1:J1028,SUMPRODUCT(MAX(ROW(E$1:E1028)*(E1029=E$1:E1028)))))</f>
        <v> </v>
      </c>
      <c r="L1029" s="27"/>
    </row>
    <row r="1030" spans="1:12">
      <c r="A1030" s="20" t="s">
        <v>1134</v>
      </c>
      <c r="E1030" s="22">
        <f>IF(D1030="?OLD","!!!","")</f>
        <v/>
      </c>
      <c r="F1030" s="23" t="str">
        <f>IF(OR(E1030="",E1030="!!!"),"",IF(NOT(ISNA(VLOOKUP(E1030,E$1:E1029,1,FALSE()))),"OLD",IF(AND(E1030&lt;&gt;"",E1030&lt;&gt;"!!!"),"NEW","")))</f>
        <v> </v>
      </c>
      <c r="G1030" s="24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5" t="str">
        <f>IF(J1030&lt;&gt;1,"",IF(I1030="SBJ","CB","?"))</f>
        <v> </v>
      </c>
      <c r="I1030" s="26" t="str">
        <f>IF(OR(E1030="",E1030="!!!",F1030="NEW"),"",INDEX(B1029:B$2,-1+SUMPRODUCT(MAX(ROW(E1029:E$2)*(E1030=E1029:E$2)))))</f>
        <v> </v>
      </c>
      <c r="J1030" s="26" t="str">
        <f>IF(OR(E1030="",E1030="!!!",F1030="NEW"),"",COUNTBLANK(OFFSET(A$1,,,SUMPRODUCT(MAX(ROW(E$2:E1030)*(E1030=E$2:E1030)))))-COUNTBLANK(OFFSET(A$1,,,SUMPRODUCT(MAX(ROW(E$1:E1029)*(E2=E$1:E1029))))))</f>
        <v> </v>
      </c>
      <c r="K1030" s="26" t="str">
        <f>IF(OR(E1030="",E1030="!!!",F1030="NEW"),"",INDEX(J$1:J1029,SUMPRODUCT(MAX(ROW(E$1:E1029)*(E1030=E$1:E1029)))))</f>
        <v> </v>
      </c>
      <c r="L1030" s="27"/>
    </row>
    <row r="1031" spans="1:12">
      <c r="A1031" s="20" t="s">
        <v>1135</v>
      </c>
      <c r="E1031" s="22">
        <f>IF(D1031="?OLD","!!!","")</f>
        <v/>
      </c>
      <c r="F1031" s="23" t="str">
        <f>IF(OR(E1031="",E1031="!!!"),"",IF(NOT(ISNA(VLOOKUP(E1031,E$1:E1030,1,FALSE()))),"OLD",IF(AND(E1031&lt;&gt;"",E1031&lt;&gt;"!!!"),"NEW","")))</f>
        <v> </v>
      </c>
      <c r="G1031" s="24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5" t="str">
        <f>IF(J1031&lt;&gt;1,"",IF(I1031="SBJ","CB","?"))</f>
        <v> </v>
      </c>
      <c r="I1031" s="26" t="str">
        <f>IF(OR(E1031="",E1031="!!!",F1031="NEW"),"",INDEX(B1030:B$2,-1+SUMPRODUCT(MAX(ROW(E1030:E$2)*(E1031=E1030:E$2)))))</f>
        <v> </v>
      </c>
      <c r="J1031" s="26" t="str">
        <f>IF(OR(E1031="",E1031="!!!",F1031="NEW"),"",COUNTBLANK(OFFSET(A$1,,,SUMPRODUCT(MAX(ROW(E$2:E1031)*(E1031=E$2:E1031)))))-COUNTBLANK(OFFSET(A$1,,,SUMPRODUCT(MAX(ROW(E$1:E1030)*(E2=E$1:E1030))))))</f>
        <v> </v>
      </c>
      <c r="K1031" s="26" t="str">
        <f>IF(OR(E1031="",E1031="!!!",F1031="NEW"),"",INDEX(J$1:J1030,SUMPRODUCT(MAX(ROW(E$1:E1030)*(E1031=E$1:E1030)))))</f>
        <v> </v>
      </c>
      <c r="L1031" s="27"/>
    </row>
    <row r="1032" spans="1:12">
      <c r="A1032" s="20" t="s">
        <v>583</v>
      </c>
      <c r="E1032" s="22">
        <f>IF(D1032="?OLD","!!!","")</f>
        <v/>
      </c>
      <c r="F1032" s="23" t="str">
        <f>IF(OR(E1032="",E1032="!!!"),"",IF(NOT(ISNA(VLOOKUP(E1032,E$1:E1031,1,FALSE()))),"OLD",IF(AND(E1032&lt;&gt;"",E1032&lt;&gt;"!!!"),"NEW","")))</f>
        <v> </v>
      </c>
      <c r="G1032" s="24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5" t="str">
        <f>IF(J1032&lt;&gt;1,"",IF(I1032="SBJ","CB","?"))</f>
        <v> </v>
      </c>
      <c r="I1032" s="26" t="str">
        <f>IF(OR(E1032="",E1032="!!!",F1032="NEW"),"",INDEX(B1031:B$2,-1+SUMPRODUCT(MAX(ROW(E1031:E$2)*(E1032=E1031:E$2)))))</f>
        <v> </v>
      </c>
      <c r="J1032" s="26" t="str">
        <f>IF(OR(E1032="",E1032="!!!",F1032="NEW"),"",COUNTBLANK(OFFSET(A$1,,,SUMPRODUCT(MAX(ROW(E$2:E1032)*(E1032=E$2:E1032)))))-COUNTBLANK(OFFSET(A$1,,,SUMPRODUCT(MAX(ROW(E$1:E1031)*(E2=E$1:E1031))))))</f>
        <v> </v>
      </c>
      <c r="K1032" s="26" t="str">
        <f>IF(OR(E1032="",E1032="!!!",F1032="NEW"),"",INDEX(J$1:J1031,SUMPRODUCT(MAX(ROW(E$1:E1031)*(E1032=E$1:E1031)))))</f>
        <v> </v>
      </c>
      <c r="L1032" s="27"/>
    </row>
    <row r="1033" spans="1:12">
      <c r="A1033" s="20" t="s">
        <v>1136</v>
      </c>
      <c r="E1033" s="22">
        <f>IF(D1033="?OLD","!!!","")</f>
        <v/>
      </c>
      <c r="F1033" s="23" t="str">
        <f>IF(OR(E1033="",E1033="!!!"),"",IF(NOT(ISNA(VLOOKUP(E1033,E$1:E1032,1,FALSE()))),"OLD",IF(AND(E1033&lt;&gt;"",E1033&lt;&gt;"!!!"),"NEW","")))</f>
        <v> </v>
      </c>
      <c r="G1033" s="24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5" t="str">
        <f>IF(J1033&lt;&gt;1,"",IF(I1033="SBJ","CB","?"))</f>
        <v> </v>
      </c>
      <c r="I1033" s="26" t="str">
        <f>IF(OR(E1033="",E1033="!!!",F1033="NEW"),"",INDEX(B1032:B$2,-1+SUMPRODUCT(MAX(ROW(E1032:E$2)*(E1033=E1032:E$2)))))</f>
        <v> </v>
      </c>
      <c r="J1033" s="26" t="str">
        <f>IF(OR(E1033="",E1033="!!!",F1033="NEW"),"",COUNTBLANK(OFFSET(A$1,,,SUMPRODUCT(MAX(ROW(E$2:E1033)*(E1033=E$2:E1033)))))-COUNTBLANK(OFFSET(A$1,,,SUMPRODUCT(MAX(ROW(E$1:E1032)*(E2=E$1:E1032))))))</f>
        <v> </v>
      </c>
      <c r="K1033" s="26" t="str">
        <f>IF(OR(E1033="",E1033="!!!",F1033="NEW"),"",INDEX(J$1:J1032,SUMPRODUCT(MAX(ROW(E$1:E1032)*(E1033=E$1:E1032)))))</f>
        <v> </v>
      </c>
      <c r="L1033" s="27"/>
    </row>
    <row r="1034" spans="1:12">
      <c r="A1034" s="20" t="s">
        <v>974</v>
      </c>
      <c r="E1034" s="22">
        <f>IF(D1034="?OLD","!!!","")</f>
        <v/>
      </c>
      <c r="F1034" s="23" t="str">
        <f>IF(OR(E1034="",E1034="!!!"),"",IF(NOT(ISNA(VLOOKUP(E1034,E$1:E1033,1,FALSE()))),"OLD",IF(AND(E1034&lt;&gt;"",E1034&lt;&gt;"!!!"),"NEW","")))</f>
        <v> </v>
      </c>
      <c r="G1034" s="24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5" t="str">
        <f>IF(J1034&lt;&gt;1,"",IF(I1034="SBJ","CB","?"))</f>
        <v> </v>
      </c>
      <c r="I1034" s="26" t="str">
        <f>IF(OR(E1034="",E1034="!!!",F1034="NEW"),"",INDEX(B1033:B$2,-1+SUMPRODUCT(MAX(ROW(E1033:E$2)*(E1034=E1033:E$2)))))</f>
        <v> </v>
      </c>
      <c r="J1034" s="26" t="str">
        <f>IF(OR(E1034="",E1034="!!!",F1034="NEW"),"",COUNTBLANK(OFFSET(A$1,,,SUMPRODUCT(MAX(ROW(E$2:E1034)*(E1034=E$2:E1034)))))-COUNTBLANK(OFFSET(A$1,,,SUMPRODUCT(MAX(ROW(E$1:E1033)*(E2=E$1:E1033))))))</f>
        <v> </v>
      </c>
      <c r="K1034" s="26" t="str">
        <f>IF(OR(E1034="",E1034="!!!",F1034="NEW"),"",INDEX(J$1:J1033,SUMPRODUCT(MAX(ROW(E$1:E1033)*(E1034=E$1:E1033)))))</f>
        <v> </v>
      </c>
      <c r="L1034" s="27"/>
    </row>
    <row r="1035" spans="1:12">
      <c r="A1035" s="20" t="s">
        <v>685</v>
      </c>
      <c r="B1035" s="21" t="s">
        <v>762</v>
      </c>
      <c r="C1035" s="21" t="s">
        <v>613</v>
      </c>
      <c r="D1035" s="21" t="s">
        <v>587</v>
      </c>
      <c r="E1035" s="22">
        <f>IF(D1035="?OLD","!!!","")</f>
        <v/>
      </c>
      <c r="F1035" s="23" t="str">
        <f>IF(OR(E1035="",E1035="!!!"),"",IF(NOT(ISNA(VLOOKUP(E1035,E$1:E1034,1,FALSE()))),"OLD",IF(AND(E1035&lt;&gt;"",E1035&lt;&gt;"!!!"),"NEW","")))</f>
        <v> </v>
      </c>
      <c r="G1035" s="24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5" t="str">
        <f>IF(J1035&lt;&gt;1,"",IF(I1035="SBJ","CB","?"))</f>
        <v> </v>
      </c>
      <c r="I1035" s="26" t="str">
        <f>IF(OR(E1035="",E1035="!!!",F1035="NEW"),"",INDEX(B1034:B$2,-1+SUMPRODUCT(MAX(ROW(E1034:E$2)*(E1035=E1034:E$2)))))</f>
        <v> </v>
      </c>
      <c r="J1035" s="26" t="str">
        <f>IF(OR(E1035="",E1035="!!!",F1035="NEW"),"",COUNTBLANK(OFFSET(A$1,,,SUMPRODUCT(MAX(ROW(E$2:E1035)*(E1035=E$2:E1035)))))-COUNTBLANK(OFFSET(A$1,,,SUMPRODUCT(MAX(ROW(E$1:E1034)*(E2=E$1:E1034))))))</f>
        <v> </v>
      </c>
      <c r="K1035" s="26" t="str">
        <f>IF(OR(E1035="",E1035="!!!",F1035="NEW"),"",INDEX(J$1:J1034,SUMPRODUCT(MAX(ROW(E$1:E1034)*(E1035=E$1:E1034)))))</f>
        <v> </v>
      </c>
      <c r="L1035" s="27"/>
    </row>
    <row r="1036" spans="1:12">
      <c r="A1036" s="20" t="s">
        <v>609</v>
      </c>
      <c r="E1036" s="22">
        <f>IF(D1036="?OLD","!!!","")</f>
        <v/>
      </c>
      <c r="F1036" s="23" t="str">
        <f>IF(OR(E1036="",E1036="!!!"),"",IF(NOT(ISNA(VLOOKUP(E1036,E$1:E1035,1,FALSE()))),"OLD",IF(AND(E1036&lt;&gt;"",E1036&lt;&gt;"!!!"),"NEW","")))</f>
        <v> </v>
      </c>
      <c r="G1036" s="24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5" t="str">
        <f>IF(J1036&lt;&gt;1,"",IF(I1036="SBJ","CB","?"))</f>
        <v> </v>
      </c>
      <c r="I1036" s="26" t="str">
        <f>IF(OR(E1036="",E1036="!!!",F1036="NEW"),"",INDEX(B1035:B$2,-1+SUMPRODUCT(MAX(ROW(E1035:E$2)*(E1036=E1035:E$2)))))</f>
        <v> </v>
      </c>
      <c r="J1036" s="26" t="str">
        <f>IF(OR(E1036="",E1036="!!!",F1036="NEW"),"",COUNTBLANK(OFFSET(A$1,,,SUMPRODUCT(MAX(ROW(E$2:E1036)*(E1036=E$2:E1036)))))-COUNTBLANK(OFFSET(A$1,,,SUMPRODUCT(MAX(ROW(E$1:E1035)*(E2=E$1:E1035))))))</f>
        <v> </v>
      </c>
      <c r="K1036" s="26" t="str">
        <f>IF(OR(E1036="",E1036="!!!",F1036="NEW"),"",INDEX(J$1:J1035,SUMPRODUCT(MAX(ROW(E$1:E1035)*(E1036=E$1:E1035)))))</f>
        <v> </v>
      </c>
      <c r="L1036" s="27"/>
    </row>
    <row r="1037" spans="1:12">
      <c r="A1037" s="20" t="s">
        <v>1137</v>
      </c>
      <c r="E1037" s="22">
        <f>IF(D1037="?OLD","!!!","")</f>
        <v/>
      </c>
      <c r="F1037" s="23" t="str">
        <f>IF(OR(E1037="",E1037="!!!"),"",IF(NOT(ISNA(VLOOKUP(E1037,E$1:E1036,1,FALSE()))),"OLD",IF(AND(E1037&lt;&gt;"",E1037&lt;&gt;"!!!"),"NEW","")))</f>
        <v> </v>
      </c>
      <c r="G1037" s="24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5" t="str">
        <f>IF(J1037&lt;&gt;1,"",IF(I1037="SBJ","CB","?"))</f>
        <v> </v>
      </c>
      <c r="I1037" s="26" t="str">
        <f>IF(OR(E1037="",E1037="!!!",F1037="NEW"),"",INDEX(B1036:B$2,-1+SUMPRODUCT(MAX(ROW(E1036:E$2)*(E1037=E1036:E$2)))))</f>
        <v> </v>
      </c>
      <c r="J1037" s="26" t="str">
        <f>IF(OR(E1037="",E1037="!!!",F1037="NEW"),"",COUNTBLANK(OFFSET(A$1,,,SUMPRODUCT(MAX(ROW(E$2:E1037)*(E1037=E$2:E1037)))))-COUNTBLANK(OFFSET(A$1,,,SUMPRODUCT(MAX(ROW(E$1:E1036)*(E2=E$1:E1036))))))</f>
        <v> </v>
      </c>
      <c r="K1037" s="26" t="str">
        <f>IF(OR(E1037="",E1037="!!!",F1037="NEW"),"",INDEX(J$1:J1036,SUMPRODUCT(MAX(ROW(E$1:E1036)*(E1037=E$1:E1036)))))</f>
        <v> </v>
      </c>
      <c r="L1037" s="27"/>
    </row>
    <row r="1038" spans="1:12">
      <c r="A1038" s="20" t="s">
        <v>583</v>
      </c>
      <c r="E1038" s="22">
        <f>IF(D1038="?OLD","!!!","")</f>
        <v/>
      </c>
      <c r="F1038" s="23" t="str">
        <f>IF(OR(E1038="",E1038="!!!"),"",IF(NOT(ISNA(VLOOKUP(E1038,E$1:E1037,1,FALSE()))),"OLD",IF(AND(E1038&lt;&gt;"",E1038&lt;&gt;"!!!"),"NEW","")))</f>
        <v> </v>
      </c>
      <c r="G1038" s="24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5" t="str">
        <f>IF(J1038&lt;&gt;1,"",IF(I1038="SBJ","CB","?"))</f>
        <v> </v>
      </c>
      <c r="I1038" s="26" t="str">
        <f>IF(OR(E1038="",E1038="!!!",F1038="NEW"),"",INDEX(B1037:B$2,-1+SUMPRODUCT(MAX(ROW(E1037:E$2)*(E1038=E1037:E$2)))))</f>
        <v> </v>
      </c>
      <c r="J1038" s="26" t="str">
        <f>IF(OR(E1038="",E1038="!!!",F1038="NEW"),"",COUNTBLANK(OFFSET(A$1,,,SUMPRODUCT(MAX(ROW(E$2:E1038)*(E1038=E$2:E1038)))))-COUNTBLANK(OFFSET(A$1,,,SUMPRODUCT(MAX(ROW(E$1:E1037)*(E2=E$1:E1037))))))</f>
        <v> </v>
      </c>
      <c r="K1038" s="26" t="str">
        <f>IF(OR(E1038="",E1038="!!!",F1038="NEW"),"",INDEX(J$1:J1037,SUMPRODUCT(MAX(ROW(E$1:E1037)*(E1038=E$1:E1037)))))</f>
        <v> </v>
      </c>
      <c r="L1038" s="27"/>
    </row>
    <row r="1039" spans="1:12">
      <c r="A1039" s="20" t="s">
        <v>685</v>
      </c>
      <c r="B1039" s="21" t="s">
        <v>605</v>
      </c>
      <c r="C1039" s="21" t="s">
        <v>613</v>
      </c>
      <c r="D1039" s="21" t="s">
        <v>587</v>
      </c>
      <c r="E1039" s="22">
        <f>IF(D1039="?OLD","!!!","")</f>
        <v/>
      </c>
      <c r="F1039" s="23" t="str">
        <f>IF(OR(E1039="",E1039="!!!"),"",IF(NOT(ISNA(VLOOKUP(E1039,E$1:E1038,1,FALSE()))),"OLD",IF(AND(E1039&lt;&gt;"",E1039&lt;&gt;"!!!"),"NEW","")))</f>
        <v> </v>
      </c>
      <c r="G1039" s="24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5" t="str">
        <f>IF(J1039&lt;&gt;1,"",IF(I1039="SBJ","CB","?"))</f>
        <v> </v>
      </c>
      <c r="I1039" s="26" t="str">
        <f>IF(OR(E1039="",E1039="!!!",F1039="NEW"),"",INDEX(B1038:B$2,-1+SUMPRODUCT(MAX(ROW(E1038:E$2)*(E1039=E1038:E$2)))))</f>
        <v> </v>
      </c>
      <c r="J1039" s="26" t="str">
        <f>IF(OR(E1039="",E1039="!!!",F1039="NEW"),"",COUNTBLANK(OFFSET(A$1,,,SUMPRODUCT(MAX(ROW(E$2:E1039)*(E1039=E$2:E1039)))))-COUNTBLANK(OFFSET(A$1,,,SUMPRODUCT(MAX(ROW(E$1:E1038)*(E2=E$1:E1038))))))</f>
        <v> </v>
      </c>
      <c r="K1039" s="26" t="str">
        <f>IF(OR(E1039="",E1039="!!!",F1039="NEW"),"",INDEX(J$1:J1038,SUMPRODUCT(MAX(ROW(E$1:E1038)*(E1039=E$1:E1038)))))</f>
        <v> </v>
      </c>
      <c r="L1039" s="27"/>
    </row>
    <row r="1040" spans="1:12">
      <c r="A1040" s="20" t="s">
        <v>1138</v>
      </c>
      <c r="E1040" s="22">
        <f>IF(D1040="?OLD","!!!","")</f>
        <v/>
      </c>
      <c r="F1040" s="23" t="str">
        <f>IF(OR(E1040="",E1040="!!!"),"",IF(NOT(ISNA(VLOOKUP(E1040,E$1:E1039,1,FALSE()))),"OLD",IF(AND(E1040&lt;&gt;"",E1040&lt;&gt;"!!!"),"NEW","")))</f>
        <v> </v>
      </c>
      <c r="G1040" s="24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5" t="str">
        <f>IF(J1040&lt;&gt;1,"",IF(I1040="SBJ","CB","?"))</f>
        <v> </v>
      </c>
      <c r="I1040" s="26" t="str">
        <f>IF(OR(E1040="",E1040="!!!",F1040="NEW"),"",INDEX(B1039:B$2,-1+SUMPRODUCT(MAX(ROW(E1039:E$2)*(E1040=E1039:E$2)))))</f>
        <v> </v>
      </c>
      <c r="J1040" s="26" t="str">
        <f>IF(OR(E1040="",E1040="!!!",F1040="NEW"),"",COUNTBLANK(OFFSET(A$1,,,SUMPRODUCT(MAX(ROW(E$2:E1040)*(E1040=E$2:E1040)))))-COUNTBLANK(OFFSET(A$1,,,SUMPRODUCT(MAX(ROW(E$1:E1039)*(E2=E$1:E1039))))))</f>
        <v> </v>
      </c>
      <c r="K1040" s="26" t="str">
        <f>IF(OR(E1040="",E1040="!!!",F1040="NEW"),"",INDEX(J$1:J1039,SUMPRODUCT(MAX(ROW(E$1:E1039)*(E1040=E$1:E1039)))))</f>
        <v> </v>
      </c>
      <c r="L1040" s="27"/>
    </row>
    <row r="1041" spans="1:12">
      <c r="A1041" s="20" t="s">
        <v>1139</v>
      </c>
      <c r="B1041" s="21" t="s">
        <v>892</v>
      </c>
      <c r="E1041" s="22">
        <f>IF(D1041="?OLD","!!!","")</f>
        <v/>
      </c>
      <c r="F1041" s="23" t="str">
        <f>IF(OR(E1041="",E1041="!!!"),"",IF(NOT(ISNA(VLOOKUP(E1041,E$1:E1040,1,FALSE()))),"OLD",IF(AND(E1041&lt;&gt;"",E1041&lt;&gt;"!!!"),"NEW","")))</f>
        <v> </v>
      </c>
      <c r="G1041" s="24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5" t="str">
        <f>IF(J1041&lt;&gt;1,"",IF(I1041="SBJ","CB","?"))</f>
        <v> </v>
      </c>
      <c r="I1041" s="26" t="str">
        <f>IF(OR(E1041="",E1041="!!!",F1041="NEW"),"",INDEX(B1040:B$2,-1+SUMPRODUCT(MAX(ROW(E1040:E$2)*(E1041=E1040:E$2)))))</f>
        <v> </v>
      </c>
      <c r="J1041" s="26" t="str">
        <f>IF(OR(E1041="",E1041="!!!",F1041="NEW"),"",COUNTBLANK(OFFSET(A$1,,,SUMPRODUCT(MAX(ROW(E$2:E1041)*(E1041=E$2:E1041)))))-COUNTBLANK(OFFSET(A$1,,,SUMPRODUCT(MAX(ROW(E$1:E1040)*(E2=E$1:E1040))))))</f>
        <v> </v>
      </c>
      <c r="K1041" s="26" t="str">
        <f>IF(OR(E1041="",E1041="!!!",F1041="NEW"),"",INDEX(J$1:J1040,SUMPRODUCT(MAX(ROW(E$1:E1040)*(E1041=E$1:E1040)))))</f>
        <v> </v>
      </c>
      <c r="L1041" s="27"/>
    </row>
    <row r="1042" spans="1:12">
      <c r="A1042" s="20" t="s">
        <v>592</v>
      </c>
      <c r="E1042" s="22">
        <f>IF(D1042="?OLD","!!!","")</f>
        <v/>
      </c>
      <c r="F1042" s="23" t="str">
        <f>IF(OR(E1042="",E1042="!!!"),"",IF(NOT(ISNA(VLOOKUP(E1042,E$1:E1041,1,FALSE()))),"OLD",IF(AND(E1042&lt;&gt;"",E1042&lt;&gt;"!!!"),"NEW","")))</f>
        <v> </v>
      </c>
      <c r="G1042" s="24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5" t="str">
        <f>IF(J1042&lt;&gt;1,"",IF(I1042="SBJ","CB","?"))</f>
        <v> </v>
      </c>
      <c r="I1042" s="26" t="str">
        <f>IF(OR(E1042="",E1042="!!!",F1042="NEW"),"",INDEX(B1041:B$2,-1+SUMPRODUCT(MAX(ROW(E1041:E$2)*(E1042=E1041:E$2)))))</f>
        <v> </v>
      </c>
      <c r="J1042" s="26" t="str">
        <f>IF(OR(E1042="",E1042="!!!",F1042="NEW"),"",COUNTBLANK(OFFSET(A$1,,,SUMPRODUCT(MAX(ROW(E$2:E1042)*(E1042=E$2:E1042)))))-COUNTBLANK(OFFSET(A$1,,,SUMPRODUCT(MAX(ROW(E$1:E1041)*(E2=E$1:E1041))))))</f>
        <v> </v>
      </c>
      <c r="K1042" s="26" t="str">
        <f>IF(OR(E1042="",E1042="!!!",F1042="NEW"),"",INDEX(J$1:J1041,SUMPRODUCT(MAX(ROW(E$1:E1041)*(E1042=E$1:E1041)))))</f>
        <v> </v>
      </c>
      <c r="L1042" s="27"/>
    </row>
    <row r="1043" spans="1:12">
      <c r="A1043" s="20"/>
    </row>
    <row r="1044" spans="1:12">
      <c r="A1044" s="20" t="s">
        <v>1140</v>
      </c>
    </row>
    <row r="1045" spans="1:12">
      <c r="A1045" s="20" t="s">
        <v>1141</v>
      </c>
      <c r="B1045" s="21" t="s">
        <v>578</v>
      </c>
      <c r="C1045" s="21" t="s">
        <v>800</v>
      </c>
      <c r="D1045" s="21" t="s">
        <v>587</v>
      </c>
      <c r="E1045" s="22">
        <f>IF(D1045="?OLD","!!!","")</f>
        <v/>
      </c>
      <c r="F1045" s="23" t="str">
        <f>IF(OR(E1045="",E1045="!!!"),"",IF(NOT(ISNA(VLOOKUP(E1045,E$1:E1044,1,FALSE()))),"OLD",IF(AND(E1045&lt;&gt;"",E1045&lt;&gt;"!!!"),"NEW","")))</f>
        <v> </v>
      </c>
      <c r="G1045" s="24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5" t="str">
        <f>IF(J1045&lt;&gt;1,"",IF(I1045="SBJ","CB","?"))</f>
        <v> </v>
      </c>
      <c r="I1045" s="26" t="str">
        <f>IF(OR(E1045="",E1045="!!!",F1045="NEW"),"",INDEX(B1044:B$2,-1+SUMPRODUCT(MAX(ROW(E1044:E$2)*(E1045=E1044:E$2)))))</f>
        <v> </v>
      </c>
      <c r="J1045" s="26" t="str">
        <f>IF(OR(E1045="",E1045="!!!",F1045="NEW"),"",COUNTBLANK(OFFSET(A$1,,,SUMPRODUCT(MAX(ROW(E$2:E1045)*(E1045=E$2:E1045)))))-COUNTBLANK(OFFSET(A$1,,,SUMPRODUCT(MAX(ROW(E$1:E1044)*(E2=E$1:E1044))))))</f>
        <v> </v>
      </c>
      <c r="K1045" s="26" t="str">
        <f>IF(OR(E1045="",E1045="!!!",F1045="NEW"),"",INDEX(J$1:J1044,SUMPRODUCT(MAX(ROW(E$1:E1044)*(E1045=E$1:E1044)))))</f>
        <v> </v>
      </c>
      <c r="L1045" s="27"/>
    </row>
    <row r="1046" spans="1:12">
      <c r="A1046" s="20" t="s">
        <v>1142</v>
      </c>
      <c r="B1046" s="21" t="s">
        <v>585</v>
      </c>
      <c r="C1046" s="21" t="s">
        <v>628</v>
      </c>
      <c r="D1046" s="21" t="s">
        <v>587</v>
      </c>
      <c r="E1046" s="22">
        <f>IF(D1046="?OLD","!!!","")</f>
        <v/>
      </c>
      <c r="F1046" s="23" t="str">
        <f>IF(OR(E1046="",E1046="!!!"),"",IF(NOT(ISNA(VLOOKUP(E1046,E$1:E1045,1,FALSE()))),"OLD",IF(AND(E1046&lt;&gt;"",E1046&lt;&gt;"!!!"),"NEW","")))</f>
        <v> </v>
      </c>
      <c r="G1046" s="24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5" t="str">
        <f>IF(J1046&lt;&gt;1,"",IF(I1046="SBJ","CB","?"))</f>
        <v> </v>
      </c>
      <c r="I1046" s="26" t="str">
        <f>IF(OR(E1046="",E1046="!!!",F1046="NEW"),"",INDEX(B1045:B$2,-1+SUMPRODUCT(MAX(ROW(E1045:E$2)*(E1046=E1045:E$2)))))</f>
        <v> </v>
      </c>
      <c r="J1046" s="26" t="str">
        <f>IF(OR(E1046="",E1046="!!!",F1046="NEW"),"",COUNTBLANK(OFFSET(A$1,,,SUMPRODUCT(MAX(ROW(E$2:E1046)*(E1046=E$2:E1046)))))-COUNTBLANK(OFFSET(A$1,,,SUMPRODUCT(MAX(ROW(E$1:E1045)*(E2=E$1:E1045))))))</f>
        <v> </v>
      </c>
      <c r="K1046" s="26" t="str">
        <f>IF(OR(E1046="",E1046="!!!",F1046="NEW"),"",INDEX(J$1:J1045,SUMPRODUCT(MAX(ROW(E$1:E1045)*(E1046=E$1:E1045)))))</f>
        <v> </v>
      </c>
      <c r="L1046" s="27"/>
    </row>
    <row r="1047" spans="1:12">
      <c r="A1047" s="20" t="s">
        <v>1143</v>
      </c>
      <c r="B1047" s="21" t="s">
        <v>585</v>
      </c>
      <c r="C1047" s="21" t="s">
        <v>628</v>
      </c>
      <c r="D1047" s="21" t="s">
        <v>587</v>
      </c>
      <c r="E1047" s="22">
        <f>IF(D1047="?OLD","!!!","")</f>
        <v/>
      </c>
      <c r="F1047" s="23" t="str">
        <f>IF(OR(E1047="",E1047="!!!"),"",IF(NOT(ISNA(VLOOKUP(E1047,E$1:E1046,1,FALSE()))),"OLD",IF(AND(E1047&lt;&gt;"",E1047&lt;&gt;"!!!"),"NEW","")))</f>
        <v> </v>
      </c>
      <c r="G1047" s="24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5" t="str">
        <f>IF(J1047&lt;&gt;1,"",IF(I1047="SBJ","CB","?"))</f>
        <v> </v>
      </c>
      <c r="I1047" s="26" t="str">
        <f>IF(OR(E1047="",E1047="!!!",F1047="NEW"),"",INDEX(B1046:B$2,-1+SUMPRODUCT(MAX(ROW(E1046:E$2)*(E1047=E1046:E$2)))))</f>
        <v> </v>
      </c>
      <c r="J1047" s="26" t="str">
        <f>IF(OR(E1047="",E1047="!!!",F1047="NEW"),"",COUNTBLANK(OFFSET(A$1,,,SUMPRODUCT(MAX(ROW(E$2:E1047)*(E1047=E$2:E1047)))))-COUNTBLANK(OFFSET(A$1,,,SUMPRODUCT(MAX(ROW(E$1:E1046)*(E2=E$1:E1046))))))</f>
        <v> </v>
      </c>
      <c r="K1047" s="26" t="str">
        <f>IF(OR(E1047="",E1047="!!!",F1047="NEW"),"",INDEX(J$1:J1046,SUMPRODUCT(MAX(ROW(E$1:E1046)*(E1047=E$1:E1046)))))</f>
        <v> </v>
      </c>
      <c r="L1047" s="27"/>
    </row>
    <row r="1048" spans="1:12">
      <c r="A1048" s="20" t="s">
        <v>931</v>
      </c>
      <c r="E1048" s="22">
        <f>IF(D1048="?OLD","!!!","")</f>
        <v/>
      </c>
      <c r="F1048" s="23" t="str">
        <f>IF(OR(E1048="",E1048="!!!"),"",IF(NOT(ISNA(VLOOKUP(E1048,E$1:E1047,1,FALSE()))),"OLD",IF(AND(E1048&lt;&gt;"",E1048&lt;&gt;"!!!"),"NEW","")))</f>
        <v> </v>
      </c>
      <c r="G1048" s="24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5" t="str">
        <f>IF(J1048&lt;&gt;1,"",IF(I1048="SBJ","CB","?"))</f>
        <v> </v>
      </c>
      <c r="I1048" s="26" t="str">
        <f>IF(OR(E1048="",E1048="!!!",F1048="NEW"),"",INDEX(B1047:B$2,-1+SUMPRODUCT(MAX(ROW(E1047:E$2)*(E1048=E1047:E$2)))))</f>
        <v> </v>
      </c>
      <c r="J1048" s="26" t="str">
        <f>IF(OR(E1048="",E1048="!!!",F1048="NEW"),"",COUNTBLANK(OFFSET(A$1,,,SUMPRODUCT(MAX(ROW(E$2:E1048)*(E1048=E$2:E1048)))))-COUNTBLANK(OFFSET(A$1,,,SUMPRODUCT(MAX(ROW(E$1:E1047)*(E2=E$1:E1047))))))</f>
        <v> </v>
      </c>
      <c r="K1048" s="26" t="str">
        <f>IF(OR(E1048="",E1048="!!!",F1048="NEW"),"",INDEX(J$1:J1047,SUMPRODUCT(MAX(ROW(E$1:E1047)*(E1048=E$1:E1047)))))</f>
        <v> </v>
      </c>
      <c r="L1048" s="27"/>
    </row>
    <row r="1049" spans="1:12">
      <c r="A1049" s="20" t="s">
        <v>741</v>
      </c>
      <c r="E1049" s="22">
        <f>IF(D1049="?OLD","!!!","")</f>
        <v/>
      </c>
      <c r="F1049" s="23" t="str">
        <f>IF(OR(E1049="",E1049="!!!"),"",IF(NOT(ISNA(VLOOKUP(E1049,E$1:E1048,1,FALSE()))),"OLD",IF(AND(E1049&lt;&gt;"",E1049&lt;&gt;"!!!"),"NEW","")))</f>
        <v> </v>
      </c>
      <c r="G1049" s="24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5" t="str">
        <f>IF(J1049&lt;&gt;1,"",IF(I1049="SBJ","CB","?"))</f>
        <v> </v>
      </c>
      <c r="I1049" s="26" t="str">
        <f>IF(OR(E1049="",E1049="!!!",F1049="NEW"),"",INDEX(B1048:B$2,-1+SUMPRODUCT(MAX(ROW(E1048:E$2)*(E1049=E1048:E$2)))))</f>
        <v> </v>
      </c>
      <c r="J1049" s="26" t="str">
        <f>IF(OR(E1049="",E1049="!!!",F1049="NEW"),"",COUNTBLANK(OFFSET(A$1,,,SUMPRODUCT(MAX(ROW(E$2:E1049)*(E1049=E$2:E1049)))))-COUNTBLANK(OFFSET(A$1,,,SUMPRODUCT(MAX(ROW(E$1:E1048)*(E2=E$1:E1048))))))</f>
        <v> </v>
      </c>
      <c r="K1049" s="26" t="str">
        <f>IF(OR(E1049="",E1049="!!!",F1049="NEW"),"",INDEX(J$1:J1048,SUMPRODUCT(MAX(ROW(E$1:E1048)*(E1049=E$1:E1048)))))</f>
        <v> </v>
      </c>
      <c r="L1049" s="27"/>
    </row>
    <row r="1050" spans="1:12">
      <c r="A1050" s="20" t="s">
        <v>1144</v>
      </c>
      <c r="B1050" s="21" t="s">
        <v>590</v>
      </c>
      <c r="C1050" s="21" t="s">
        <v>800</v>
      </c>
      <c r="D1050" s="21" t="s">
        <v>587</v>
      </c>
      <c r="E1050" s="22">
        <f>IF(D1050="?OLD","!!!","")</f>
        <v/>
      </c>
      <c r="F1050" s="23" t="str">
        <f>IF(OR(E1050="",E1050="!!!"),"",IF(NOT(ISNA(VLOOKUP(E1050,E$1:E1049,1,FALSE()))),"OLD",IF(AND(E1050&lt;&gt;"",E1050&lt;&gt;"!!!"),"NEW","")))</f>
        <v> </v>
      </c>
      <c r="G1050" s="24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5" t="str">
        <f>IF(J1050&lt;&gt;1,"",IF(I1050="SBJ","CB","?"))</f>
        <v> </v>
      </c>
      <c r="I1050" s="26" t="str">
        <f>IF(OR(E1050="",E1050="!!!",F1050="NEW"),"",INDEX(B1049:B$2,-1+SUMPRODUCT(MAX(ROW(E1049:E$2)*(E1050=E1049:E$2)))))</f>
        <v> </v>
      </c>
      <c r="J1050" s="26" t="str">
        <f>IF(OR(E1050="",E1050="!!!",F1050="NEW"),"",COUNTBLANK(OFFSET(A$1,,,SUMPRODUCT(MAX(ROW(E$2:E1050)*(E1050=E$2:E1050)))))-COUNTBLANK(OFFSET(A$1,,,SUMPRODUCT(MAX(ROW(E$1:E1049)*(E2=E$1:E1049))))))</f>
        <v> </v>
      </c>
      <c r="K1050" s="26" t="str">
        <f>IF(OR(E1050="",E1050="!!!",F1050="NEW"),"",INDEX(J$1:J1049,SUMPRODUCT(MAX(ROW(E$1:E1049)*(E1050=E$1:E1049)))))</f>
        <v> </v>
      </c>
      <c r="L1050" s="27"/>
    </row>
    <row r="1051" spans="1:12">
      <c r="A1051" s="20" t="s">
        <v>1142</v>
      </c>
      <c r="B1051" s="21" t="s">
        <v>601</v>
      </c>
      <c r="C1051" s="21" t="s">
        <v>628</v>
      </c>
      <c r="D1051" s="21" t="s">
        <v>587</v>
      </c>
      <c r="E1051" s="22">
        <f>IF(D1051="?OLD","!!!","")</f>
        <v/>
      </c>
      <c r="F1051" s="23" t="str">
        <f>IF(OR(E1051="",E1051="!!!"),"",IF(NOT(ISNA(VLOOKUP(E1051,E$1:E1050,1,FALSE()))),"OLD",IF(AND(E1051&lt;&gt;"",E1051&lt;&gt;"!!!"),"NEW","")))</f>
        <v> </v>
      </c>
      <c r="G1051" s="24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5" t="str">
        <f>IF(J1051&lt;&gt;1,"",IF(I1051="SBJ","CB","?"))</f>
        <v> </v>
      </c>
      <c r="I1051" s="26" t="str">
        <f>IF(OR(E1051="",E1051="!!!",F1051="NEW"),"",INDEX(B1050:B$2,-1+SUMPRODUCT(MAX(ROW(E1050:E$2)*(E1051=E1050:E$2)))))</f>
        <v> </v>
      </c>
      <c r="J1051" s="26" t="str">
        <f>IF(OR(E1051="",E1051="!!!",F1051="NEW"),"",COUNTBLANK(OFFSET(A$1,,,SUMPRODUCT(MAX(ROW(E$2:E1051)*(E1051=E$2:E1051)))))-COUNTBLANK(OFFSET(A$1,,,SUMPRODUCT(MAX(ROW(E$1:E1050)*(E2=E$1:E1050))))))</f>
        <v> </v>
      </c>
      <c r="K1051" s="26" t="str">
        <f>IF(OR(E1051="",E1051="!!!",F1051="NEW"),"",INDEX(J$1:J1050,SUMPRODUCT(MAX(ROW(E$1:E1050)*(E1051=E$1:E1050)))))</f>
        <v> </v>
      </c>
      <c r="L1051" s="27"/>
    </row>
    <row r="1052" spans="1:12">
      <c r="A1052" s="20" t="s">
        <v>1085</v>
      </c>
      <c r="B1052" s="21" t="s">
        <v>635</v>
      </c>
      <c r="C1052" s="21" t="s">
        <v>613</v>
      </c>
      <c r="D1052" s="21" t="s">
        <v>587</v>
      </c>
      <c r="E1052" s="22">
        <f>IF(D1052="?OLD","!!!","")</f>
        <v/>
      </c>
      <c r="F1052" s="23" t="str">
        <f>IF(OR(E1052="",E1052="!!!"),"",IF(NOT(ISNA(VLOOKUP(E1052,E$1:E1051,1,FALSE()))),"OLD",IF(AND(E1052&lt;&gt;"",E1052&lt;&gt;"!!!"),"NEW","")))</f>
        <v> </v>
      </c>
      <c r="G1052" s="24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5" t="str">
        <f>IF(J1052&lt;&gt;1,"",IF(I1052="SBJ","CB","?"))</f>
        <v> </v>
      </c>
      <c r="I1052" s="26" t="str">
        <f>IF(OR(E1052="",E1052="!!!",F1052="NEW"),"",INDEX(B1051:B$2,-1+SUMPRODUCT(MAX(ROW(E1051:E$2)*(E1052=E1051:E$2)))))</f>
        <v> </v>
      </c>
      <c r="J1052" s="26" t="str">
        <f>IF(OR(E1052="",E1052="!!!",F1052="NEW"),"",COUNTBLANK(OFFSET(A$1,,,SUMPRODUCT(MAX(ROW(E$2:E1052)*(E1052=E$2:E1052)))))-COUNTBLANK(OFFSET(A$1,,,SUMPRODUCT(MAX(ROW(E$1:E1051)*(E2=E$1:E1051))))))</f>
        <v> </v>
      </c>
      <c r="K1052" s="26" t="str">
        <f>IF(OR(E1052="",E1052="!!!",F1052="NEW"),"",INDEX(J$1:J1051,SUMPRODUCT(MAX(ROW(E$1:E1051)*(E1052=E$1:E1051)))))</f>
        <v> </v>
      </c>
      <c r="L1052" s="27"/>
    </row>
    <row r="1053" spans="1:12">
      <c r="A1053" s="20" t="s">
        <v>975</v>
      </c>
      <c r="E1053" s="22">
        <f>IF(D1053="?OLD","!!!","")</f>
        <v/>
      </c>
      <c r="F1053" s="23" t="str">
        <f>IF(OR(E1053="",E1053="!!!"),"",IF(NOT(ISNA(VLOOKUP(E1053,E$1:E1052,1,FALSE()))),"OLD",IF(AND(E1053&lt;&gt;"",E1053&lt;&gt;"!!!"),"NEW","")))</f>
        <v> </v>
      </c>
      <c r="G1053" s="24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5" t="str">
        <f>IF(J1053&lt;&gt;1,"",IF(I1053="SBJ","CB","?"))</f>
        <v> </v>
      </c>
      <c r="I1053" s="26" t="str">
        <f>IF(OR(E1053="",E1053="!!!",F1053="NEW"),"",INDEX(B1052:B$2,-1+SUMPRODUCT(MAX(ROW(E1052:E$2)*(E1053=E1052:E$2)))))</f>
        <v> </v>
      </c>
      <c r="J1053" s="26" t="str">
        <f>IF(OR(E1053="",E1053="!!!",F1053="NEW"),"",COUNTBLANK(OFFSET(A$1,,,SUMPRODUCT(MAX(ROW(E$2:E1053)*(E1053=E$2:E1053)))))-COUNTBLANK(OFFSET(A$1,,,SUMPRODUCT(MAX(ROW(E$1:E1052)*(E2=E$1:E1052))))))</f>
        <v> </v>
      </c>
      <c r="K1053" s="26" t="str">
        <f>IF(OR(E1053="",E1053="!!!",F1053="NEW"),"",INDEX(J$1:J1052,SUMPRODUCT(MAX(ROW(E$1:E1052)*(E1053=E$1:E1052)))))</f>
        <v> </v>
      </c>
      <c r="L1053" s="27"/>
    </row>
    <row r="1054" spans="1:12">
      <c r="A1054" s="20" t="s">
        <v>1145</v>
      </c>
      <c r="E1054" s="22">
        <f>IF(D1054="?OLD","!!!","")</f>
        <v/>
      </c>
      <c r="F1054" s="23" t="str">
        <f>IF(OR(E1054="",E1054="!!!"),"",IF(NOT(ISNA(VLOOKUP(E1054,E$1:E1053,1,FALSE()))),"OLD",IF(AND(E1054&lt;&gt;"",E1054&lt;&gt;"!!!"),"NEW","")))</f>
        <v> </v>
      </c>
      <c r="G1054" s="24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5" t="str">
        <f>IF(J1054&lt;&gt;1,"",IF(I1054="SBJ","CB","?"))</f>
        <v> </v>
      </c>
      <c r="I1054" s="26" t="str">
        <f>IF(OR(E1054="",E1054="!!!",F1054="NEW"),"",INDEX(B1053:B$2,-1+SUMPRODUCT(MAX(ROW(E1053:E$2)*(E1054=E1053:E$2)))))</f>
        <v> </v>
      </c>
      <c r="J1054" s="26" t="str">
        <f>IF(OR(E1054="",E1054="!!!",F1054="NEW"),"",COUNTBLANK(OFFSET(A$1,,,SUMPRODUCT(MAX(ROW(E$2:E1054)*(E1054=E$2:E1054)))))-COUNTBLANK(OFFSET(A$1,,,SUMPRODUCT(MAX(ROW(E$1:E1053)*(E2=E$1:E1053))))))</f>
        <v> </v>
      </c>
      <c r="K1054" s="26" t="str">
        <f>IF(OR(E1054="",E1054="!!!",F1054="NEW"),"",INDEX(J$1:J1053,SUMPRODUCT(MAX(ROW(E$1:E1053)*(E1054=E$1:E1053)))))</f>
        <v> </v>
      </c>
      <c r="L1054" s="27"/>
    </row>
    <row r="1055" spans="1:12">
      <c r="A1055" s="20" t="s">
        <v>609</v>
      </c>
      <c r="E1055" s="22">
        <f>IF(D1055="?OLD","!!!","")</f>
        <v/>
      </c>
      <c r="F1055" s="23" t="str">
        <f>IF(OR(E1055="",E1055="!!!"),"",IF(NOT(ISNA(VLOOKUP(E1055,E$1:E1054,1,FALSE()))),"OLD",IF(AND(E1055&lt;&gt;"",E1055&lt;&gt;"!!!"),"NEW","")))</f>
        <v> </v>
      </c>
      <c r="G1055" s="24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5" t="str">
        <f>IF(J1055&lt;&gt;1,"",IF(I1055="SBJ","CB","?"))</f>
        <v> </v>
      </c>
      <c r="I1055" s="26" t="str">
        <f>IF(OR(E1055="",E1055="!!!",F1055="NEW"),"",INDEX(B1054:B$2,-1+SUMPRODUCT(MAX(ROW(E1054:E$2)*(E1055=E1054:E$2)))))</f>
        <v> </v>
      </c>
      <c r="J1055" s="26" t="str">
        <f>IF(OR(E1055="",E1055="!!!",F1055="NEW"),"",COUNTBLANK(OFFSET(A$1,,,SUMPRODUCT(MAX(ROW(E$2:E1055)*(E1055=E$2:E1055)))))-COUNTBLANK(OFFSET(A$1,,,SUMPRODUCT(MAX(ROW(E$1:E1054)*(E2=E$1:E1054))))))</f>
        <v> </v>
      </c>
      <c r="K1055" s="26" t="str">
        <f>IF(OR(E1055="",E1055="!!!",F1055="NEW"),"",INDEX(J$1:J1054,SUMPRODUCT(MAX(ROW(E$1:E1054)*(E1055=E$1:E1054)))))</f>
        <v> </v>
      </c>
      <c r="L1055" s="27"/>
    </row>
    <row r="1056" spans="1:12">
      <c r="A1056" s="20" t="s">
        <v>1146</v>
      </c>
      <c r="E1056" s="22">
        <f>IF(D1056="?OLD","!!!","")</f>
        <v/>
      </c>
      <c r="F1056" s="23" t="str">
        <f>IF(OR(E1056="",E1056="!!!"),"",IF(NOT(ISNA(VLOOKUP(E1056,E$1:E1055,1,FALSE()))),"OLD",IF(AND(E1056&lt;&gt;"",E1056&lt;&gt;"!!!"),"NEW","")))</f>
        <v> </v>
      </c>
      <c r="G1056" s="24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5" t="str">
        <f>IF(J1056&lt;&gt;1,"",IF(I1056="SBJ","CB","?"))</f>
        <v> </v>
      </c>
      <c r="I1056" s="26" t="str">
        <f>IF(OR(E1056="",E1056="!!!",F1056="NEW"),"",INDEX(B1055:B$2,-1+SUMPRODUCT(MAX(ROW(E1055:E$2)*(E1056=E1055:E$2)))))</f>
        <v> </v>
      </c>
      <c r="J1056" s="26" t="str">
        <f>IF(OR(E1056="",E1056="!!!",F1056="NEW"),"",COUNTBLANK(OFFSET(A$1,,,SUMPRODUCT(MAX(ROW(E$2:E1056)*(E1056=E$2:E1056)))))-COUNTBLANK(OFFSET(A$1,,,SUMPRODUCT(MAX(ROW(E$1:E1055)*(E2=E$1:E1055))))))</f>
        <v> </v>
      </c>
      <c r="K1056" s="26" t="str">
        <f>IF(OR(E1056="",E1056="!!!",F1056="NEW"),"",INDEX(J$1:J1055,SUMPRODUCT(MAX(ROW(E$1:E1055)*(E1056=E$1:E1055)))))</f>
        <v> </v>
      </c>
      <c r="L1056" s="27"/>
    </row>
    <row r="1057" spans="1:12">
      <c r="A1057" s="20" t="s">
        <v>898</v>
      </c>
      <c r="B1057" s="21" t="s">
        <v>585</v>
      </c>
      <c r="C1057" s="21" t="s">
        <v>586</v>
      </c>
      <c r="D1057" s="21" t="s">
        <v>587</v>
      </c>
      <c r="E1057" s="22">
        <f>IF(D1057="?OLD","!!!","")</f>
        <v/>
      </c>
      <c r="F1057" s="23" t="str">
        <f>IF(OR(E1057="",E1057="!!!"),"",IF(NOT(ISNA(VLOOKUP(E1057,E$1:E1056,1,FALSE()))),"OLD",IF(AND(E1057&lt;&gt;"",E1057&lt;&gt;"!!!"),"NEW","")))</f>
        <v> </v>
      </c>
      <c r="G1057" s="24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5" t="str">
        <f>IF(J1057&lt;&gt;1,"",IF(I1057="SBJ","CB","?"))</f>
        <v> </v>
      </c>
      <c r="I1057" s="26" t="str">
        <f>IF(OR(E1057="",E1057="!!!",F1057="NEW"),"",INDEX(B1056:B$2,-1+SUMPRODUCT(MAX(ROW(E1056:E$2)*(E1057=E1056:E$2)))))</f>
        <v> </v>
      </c>
      <c r="J1057" s="26" t="str">
        <f>IF(OR(E1057="",E1057="!!!",F1057="NEW"),"",COUNTBLANK(OFFSET(A$1,,,SUMPRODUCT(MAX(ROW(E$2:E1057)*(E1057=E$2:E1057)))))-COUNTBLANK(OFFSET(A$1,,,SUMPRODUCT(MAX(ROW(E$1:E1056)*(E2=E$1:E1056))))))</f>
        <v> </v>
      </c>
      <c r="K1057" s="26" t="str">
        <f>IF(OR(E1057="",E1057="!!!",F1057="NEW"),"",INDEX(J$1:J1056,SUMPRODUCT(MAX(ROW(E$1:E1056)*(E1057=E$1:E1056)))))</f>
        <v> </v>
      </c>
      <c r="L1057" s="27"/>
    </row>
    <row r="1058" spans="1:12">
      <c r="A1058" s="20" t="s">
        <v>583</v>
      </c>
      <c r="E1058" s="22">
        <f>IF(D1058="?OLD","!!!","")</f>
        <v/>
      </c>
      <c r="F1058" s="23" t="str">
        <f>IF(OR(E1058="",E1058="!!!"),"",IF(NOT(ISNA(VLOOKUP(E1058,E$1:E1057,1,FALSE()))),"OLD",IF(AND(E1058&lt;&gt;"",E1058&lt;&gt;"!!!"),"NEW","")))</f>
        <v> </v>
      </c>
      <c r="G1058" s="24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5" t="str">
        <f>IF(J1058&lt;&gt;1,"",IF(I1058="SBJ","CB","?"))</f>
        <v> </v>
      </c>
      <c r="I1058" s="26" t="str">
        <f>IF(OR(E1058="",E1058="!!!",F1058="NEW"),"",INDEX(B1057:B$2,-1+SUMPRODUCT(MAX(ROW(E1057:E$2)*(E1058=E1057:E$2)))))</f>
        <v> </v>
      </c>
      <c r="J1058" s="26" t="str">
        <f>IF(OR(E1058="",E1058="!!!",F1058="NEW"),"",COUNTBLANK(OFFSET(A$1,,,SUMPRODUCT(MAX(ROW(E$2:E1058)*(E1058=E$2:E1058)))))-COUNTBLANK(OFFSET(A$1,,,SUMPRODUCT(MAX(ROW(E$1:E1057)*(E2=E$1:E1057))))))</f>
        <v> </v>
      </c>
      <c r="K1058" s="26" t="str">
        <f>IF(OR(E1058="",E1058="!!!",F1058="NEW"),"",INDEX(J$1:J1057,SUMPRODUCT(MAX(ROW(E$1:E1057)*(E1058=E$1:E1057)))))</f>
        <v> </v>
      </c>
      <c r="L1058" s="27"/>
    </row>
    <row r="1059" spans="1:12">
      <c r="A1059" s="20" t="s">
        <v>369</v>
      </c>
      <c r="B1059" s="21" t="s">
        <v>762</v>
      </c>
      <c r="C1059" s="21" t="s">
        <v>602</v>
      </c>
      <c r="E1059" s="22">
        <f>IF(D1059="?OLD","!!!","")</f>
        <v/>
      </c>
      <c r="F1059" s="23" t="str">
        <f>IF(OR(E1059="",E1059="!!!"),"",IF(NOT(ISNA(VLOOKUP(E1059,E$1:E1058,1,FALSE()))),"OLD",IF(AND(E1059&lt;&gt;"",E1059&lt;&gt;"!!!"),"NEW","")))</f>
        <v> </v>
      </c>
      <c r="G1059" s="24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5" t="str">
        <f>IF(J1059&lt;&gt;1,"",IF(I1059="SBJ","CB","?"))</f>
        <v> </v>
      </c>
      <c r="I1059" s="26" t="str">
        <f>IF(OR(E1059="",E1059="!!!",F1059="NEW"),"",INDEX(B1058:B$2,-1+SUMPRODUCT(MAX(ROW(E1058:E$2)*(E1059=E1058:E$2)))))</f>
        <v> </v>
      </c>
      <c r="J1059" s="26" t="str">
        <f>IF(OR(E1059="",E1059="!!!",F1059="NEW"),"",COUNTBLANK(OFFSET(A$1,,,SUMPRODUCT(MAX(ROW(E$2:E1059)*(E1059=E$2:E1059)))))-COUNTBLANK(OFFSET(A$1,,,SUMPRODUCT(MAX(ROW(E$1:E1058)*(E2=E$1:E1058))))))</f>
        <v> </v>
      </c>
      <c r="K1059" s="26" t="str">
        <f>IF(OR(E1059="",E1059="!!!",F1059="NEW"),"",INDEX(J$1:J1058,SUMPRODUCT(MAX(ROW(E$1:E1058)*(E1059=E$1:E1058)))))</f>
        <v> </v>
      </c>
      <c r="L1059" s="27"/>
    </row>
    <row r="1060" spans="1:12">
      <c r="A1060" s="20" t="s">
        <v>596</v>
      </c>
      <c r="E1060" s="22">
        <f>IF(D1060="?OLD","!!!","")</f>
        <v/>
      </c>
      <c r="F1060" s="23" t="str">
        <f>IF(OR(E1060="",E1060="!!!"),"",IF(NOT(ISNA(VLOOKUP(E1060,E$1:E1059,1,FALSE()))),"OLD",IF(AND(E1060&lt;&gt;"",E1060&lt;&gt;"!!!"),"NEW","")))</f>
        <v> </v>
      </c>
      <c r="G1060" s="24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5" t="str">
        <f>IF(J1060&lt;&gt;1,"",IF(I1060="SBJ","CB","?"))</f>
        <v> </v>
      </c>
      <c r="I1060" s="26" t="str">
        <f>IF(OR(E1060="",E1060="!!!",F1060="NEW"),"",INDEX(B1059:B$2,-1+SUMPRODUCT(MAX(ROW(E1059:E$2)*(E1060=E1059:E$2)))))</f>
        <v> </v>
      </c>
      <c r="J1060" s="26" t="str">
        <f>IF(OR(E1060="",E1060="!!!",F1060="NEW"),"",COUNTBLANK(OFFSET(A$1,,,SUMPRODUCT(MAX(ROW(E$2:E1060)*(E1060=E$2:E1060)))))-COUNTBLANK(OFFSET(A$1,,,SUMPRODUCT(MAX(ROW(E$1:E1059)*(E2=E$1:E1059))))))</f>
        <v> </v>
      </c>
      <c r="K1060" s="26" t="str">
        <f>IF(OR(E1060="",E1060="!!!",F1060="NEW"),"",INDEX(J$1:J1059,SUMPRODUCT(MAX(ROW(E$1:E1059)*(E1060=E$1:E1059)))))</f>
        <v> </v>
      </c>
      <c r="L1060" s="27"/>
    </row>
    <row r="1061" spans="1:12">
      <c r="A1061" s="20" t="s">
        <v>580</v>
      </c>
      <c r="E1061" s="22">
        <f>IF(D1061="?OLD","!!!","")</f>
        <v/>
      </c>
      <c r="F1061" s="23" t="str">
        <f>IF(OR(E1061="",E1061="!!!"),"",IF(NOT(ISNA(VLOOKUP(E1061,E$1:E1060,1,FALSE()))),"OLD",IF(AND(E1061&lt;&gt;"",E1061&lt;&gt;"!!!"),"NEW","")))</f>
        <v> </v>
      </c>
      <c r="G1061" s="24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5" t="str">
        <f>IF(J1061&lt;&gt;1,"",IF(I1061="SBJ","CB","?"))</f>
        <v> </v>
      </c>
      <c r="I1061" s="26" t="str">
        <f>IF(OR(E1061="",E1061="!!!",F1061="NEW"),"",INDEX(B1060:B$2,-1+SUMPRODUCT(MAX(ROW(E1060:E$2)*(E1061=E1060:E$2)))))</f>
        <v> </v>
      </c>
      <c r="J1061" s="26" t="str">
        <f>IF(OR(E1061="",E1061="!!!",F1061="NEW"),"",COUNTBLANK(OFFSET(A$1,,,SUMPRODUCT(MAX(ROW(E$2:E1061)*(E1061=E$2:E1061)))))-COUNTBLANK(OFFSET(A$1,,,SUMPRODUCT(MAX(ROW(E$1:E1060)*(E2=E$1:E1060))))))</f>
        <v> </v>
      </c>
      <c r="K1061" s="26" t="str">
        <f>IF(OR(E1061="",E1061="!!!",F1061="NEW"),"",INDEX(J$1:J1060,SUMPRODUCT(MAX(ROW(E$1:E1060)*(E1061=E$1:E1060)))))</f>
        <v> </v>
      </c>
      <c r="L1061" s="27"/>
    </row>
    <row r="1062" spans="1:12">
      <c r="A1062" s="20" t="s">
        <v>1147</v>
      </c>
      <c r="B1062" s="21" t="s">
        <v>645</v>
      </c>
      <c r="C1062" s="21" t="s">
        <v>628</v>
      </c>
      <c r="D1062" s="21" t="s">
        <v>587</v>
      </c>
      <c r="E1062" s="22">
        <f>IF(D1062="?OLD","!!!","")</f>
        <v/>
      </c>
      <c r="F1062" s="23" t="str">
        <f>IF(OR(E1062="",E1062="!!!"),"",IF(NOT(ISNA(VLOOKUP(E1062,E$1:E1061,1,FALSE()))),"OLD",IF(AND(E1062&lt;&gt;"",E1062&lt;&gt;"!!!"),"NEW","")))</f>
        <v> </v>
      </c>
      <c r="G1062" s="24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5" t="str">
        <f>IF(J1062&lt;&gt;1,"",IF(I1062="SBJ","CB","?"))</f>
        <v> </v>
      </c>
      <c r="I1062" s="26" t="str">
        <f>IF(OR(E1062="",E1062="!!!",F1062="NEW"),"",INDEX(B1061:B$2,-1+SUMPRODUCT(MAX(ROW(E1061:E$2)*(E1062=E1061:E$2)))))</f>
        <v> </v>
      </c>
      <c r="J1062" s="26" t="str">
        <f>IF(OR(E1062="",E1062="!!!",F1062="NEW"),"",COUNTBLANK(OFFSET(A$1,,,SUMPRODUCT(MAX(ROW(E$2:E1062)*(E1062=E$2:E1062)))))-COUNTBLANK(OFFSET(A$1,,,SUMPRODUCT(MAX(ROW(E$1:E1061)*(E2=E$1:E1061))))))</f>
        <v> </v>
      </c>
      <c r="K1062" s="26" t="str">
        <f>IF(OR(E1062="",E1062="!!!",F1062="NEW"),"",INDEX(J$1:J1061,SUMPRODUCT(MAX(ROW(E$1:E1061)*(E1062=E$1:E1061)))))</f>
        <v> </v>
      </c>
      <c r="L1062" s="27"/>
    </row>
    <row r="1063" spans="1:12">
      <c r="A1063" s="20" t="s">
        <v>592</v>
      </c>
      <c r="E1063" s="22">
        <f>IF(D1063="?OLD","!!!","")</f>
        <v/>
      </c>
      <c r="F1063" s="23" t="str">
        <f>IF(OR(E1063="",E1063="!!!"),"",IF(NOT(ISNA(VLOOKUP(E1063,E$1:E1062,1,FALSE()))),"OLD",IF(AND(E1063&lt;&gt;"",E1063&lt;&gt;"!!!"),"NEW","")))</f>
        <v> </v>
      </c>
      <c r="G1063" s="24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5" t="str">
        <f>IF(J1063&lt;&gt;1,"",IF(I1063="SBJ","CB","?"))</f>
        <v> </v>
      </c>
      <c r="I1063" s="26" t="str">
        <f>IF(OR(E1063="",E1063="!!!",F1063="NEW"),"",INDEX(B1062:B$2,-1+SUMPRODUCT(MAX(ROW(E1062:E$2)*(E1063=E1062:E$2)))))</f>
        <v> </v>
      </c>
      <c r="J1063" s="26" t="str">
        <f>IF(OR(E1063="",E1063="!!!",F1063="NEW"),"",COUNTBLANK(OFFSET(A$1,,,SUMPRODUCT(MAX(ROW(E$2:E1063)*(E1063=E$2:E1063)))))-COUNTBLANK(OFFSET(A$1,,,SUMPRODUCT(MAX(ROW(E$1:E1062)*(E2=E$1:E1062))))))</f>
        <v> </v>
      </c>
      <c r="K1063" s="26" t="str">
        <f>IF(OR(E1063="",E1063="!!!",F1063="NEW"),"",INDEX(J$1:J1062,SUMPRODUCT(MAX(ROW(E$1:E1062)*(E1063=E$1:E1062)))))</f>
        <v> </v>
      </c>
      <c r="L1063" s="27"/>
    </row>
    <row r="1064" spans="1:12">
      <c r="A1064" s="20"/>
    </row>
    <row r="1065" spans="1:12">
      <c r="A1065" s="20" t="s">
        <v>1148</v>
      </c>
    </row>
    <row r="1066" spans="1:12">
      <c r="A1066" s="20" t="s">
        <v>205</v>
      </c>
      <c r="E1066" s="22">
        <f>IF(D1066="?OLD","!!!","")</f>
        <v/>
      </c>
      <c r="F1066" s="23" t="str">
        <f>IF(OR(E1066="",E1066="!!!"),"",IF(NOT(ISNA(VLOOKUP(E1066,E$1:E1065,1,FALSE()))),"OLD",IF(AND(E1066&lt;&gt;"",E1066&lt;&gt;"!!!"),"NEW","")))</f>
        <v> </v>
      </c>
      <c r="G1066" s="24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5" t="str">
        <f>IF(J1066&lt;&gt;1,"",IF(I1066="SBJ","CB","?"))</f>
        <v> </v>
      </c>
      <c r="I1066" s="26" t="str">
        <f>IF(OR(E1066="",E1066="!!!",F1066="NEW"),"",INDEX(B1065:B$2,-1+SUMPRODUCT(MAX(ROW(E1065:E$2)*(E1066=E1065:E$2)))))</f>
        <v> </v>
      </c>
      <c r="J1066" s="26" t="str">
        <f>IF(OR(E1066="",E1066="!!!",F1066="NEW"),"",COUNTBLANK(OFFSET(A$1,,,SUMPRODUCT(MAX(ROW(E$2:E1066)*(E1066=E$2:E1066)))))-COUNTBLANK(OFFSET(A$1,,,SUMPRODUCT(MAX(ROW(E$1:E1065)*(E2=E$1:E1065))))))</f>
        <v> </v>
      </c>
      <c r="K1066" s="26" t="str">
        <f>IF(OR(E1066="",E1066="!!!",F1066="NEW"),"",INDEX(J$1:J1065,SUMPRODUCT(MAX(ROW(E$1:E1065)*(E1066=E$1:E1065)))))</f>
        <v> </v>
      </c>
      <c r="L1066" s="27"/>
    </row>
    <row r="1067" spans="1:12">
      <c r="A1067" s="20" t="s">
        <v>630</v>
      </c>
      <c r="E1067" s="22">
        <f>IF(D1067="?OLD","!!!","")</f>
        <v/>
      </c>
      <c r="F1067" s="23" t="str">
        <f>IF(OR(E1067="",E1067="!!!"),"",IF(NOT(ISNA(VLOOKUP(E1067,E$1:E1066,1,FALSE()))),"OLD",IF(AND(E1067&lt;&gt;"",E1067&lt;&gt;"!!!"),"NEW","")))</f>
        <v> </v>
      </c>
      <c r="G1067" s="24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5" t="str">
        <f>IF(J1067&lt;&gt;1,"",IF(I1067="SBJ","CB","?"))</f>
        <v> </v>
      </c>
      <c r="I1067" s="26" t="str">
        <f>IF(OR(E1067="",E1067="!!!",F1067="NEW"),"",INDEX(B1066:B$2,-1+SUMPRODUCT(MAX(ROW(E1066:E$2)*(E1067=E1066:E$2)))))</f>
        <v> </v>
      </c>
      <c r="J1067" s="26" t="str">
        <f>IF(OR(E1067="",E1067="!!!",F1067="NEW"),"",COUNTBLANK(OFFSET(A$1,,,SUMPRODUCT(MAX(ROW(E$2:E1067)*(E1067=E$2:E1067)))))-COUNTBLANK(OFFSET(A$1,,,SUMPRODUCT(MAX(ROW(E$1:E1066)*(E2=E$1:E1066))))))</f>
        <v> </v>
      </c>
      <c r="K1067" s="26" t="str">
        <f>IF(OR(E1067="",E1067="!!!",F1067="NEW"),"",INDEX(J$1:J1066,SUMPRODUCT(MAX(ROW(E$1:E1066)*(E1067=E$1:E1066)))))</f>
        <v> </v>
      </c>
      <c r="L1067" s="27"/>
    </row>
    <row r="1068" spans="1:12">
      <c r="A1068" s="20" t="s">
        <v>1149</v>
      </c>
      <c r="E1068" s="22">
        <f>IF(D1068="?OLD","!!!","")</f>
        <v/>
      </c>
      <c r="F1068" s="23" t="str">
        <f>IF(OR(E1068="",E1068="!!!"),"",IF(NOT(ISNA(VLOOKUP(E1068,E$1:E1067,1,FALSE()))),"OLD",IF(AND(E1068&lt;&gt;"",E1068&lt;&gt;"!!!"),"NEW","")))</f>
        <v> </v>
      </c>
      <c r="G1068" s="24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5" t="str">
        <f>IF(J1068&lt;&gt;1,"",IF(I1068="SBJ","CB","?"))</f>
        <v> </v>
      </c>
      <c r="I1068" s="26" t="str">
        <f>IF(OR(E1068="",E1068="!!!",F1068="NEW"),"",INDEX(B1067:B$2,-1+SUMPRODUCT(MAX(ROW(E1067:E$2)*(E1068=E1067:E$2)))))</f>
        <v> </v>
      </c>
      <c r="J1068" s="26" t="str">
        <f>IF(OR(E1068="",E1068="!!!",F1068="NEW"),"",COUNTBLANK(OFFSET(A$1,,,SUMPRODUCT(MAX(ROW(E$2:E1068)*(E1068=E$2:E1068)))))-COUNTBLANK(OFFSET(A$1,,,SUMPRODUCT(MAX(ROW(E$1:E1067)*(E2=E$1:E1067))))))</f>
        <v> </v>
      </c>
      <c r="K1068" s="26" t="str">
        <f>IF(OR(E1068="",E1068="!!!",F1068="NEW"),"",INDEX(J$1:J1067,SUMPRODUCT(MAX(ROW(E$1:E1067)*(E1068=E$1:E1067)))))</f>
        <v> </v>
      </c>
      <c r="L1068" s="27"/>
    </row>
    <row r="1069" spans="1:12">
      <c r="A1069" s="20" t="s">
        <v>1150</v>
      </c>
      <c r="E1069" s="22">
        <f>IF(D1069="?OLD","!!!","")</f>
        <v/>
      </c>
      <c r="F1069" s="23" t="str">
        <f>IF(OR(E1069="",E1069="!!!"),"",IF(NOT(ISNA(VLOOKUP(E1069,E$1:E1068,1,FALSE()))),"OLD",IF(AND(E1069&lt;&gt;"",E1069&lt;&gt;"!!!"),"NEW","")))</f>
        <v> </v>
      </c>
      <c r="G1069" s="24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5" t="str">
        <f>IF(J1069&lt;&gt;1,"",IF(I1069="SBJ","CB","?"))</f>
        <v> </v>
      </c>
      <c r="I1069" s="26" t="str">
        <f>IF(OR(E1069="",E1069="!!!",F1069="NEW"),"",INDEX(B1068:B$2,-1+SUMPRODUCT(MAX(ROW(E1068:E$2)*(E1069=E1068:E$2)))))</f>
        <v> </v>
      </c>
      <c r="J1069" s="26" t="str">
        <f>IF(OR(E1069="",E1069="!!!",F1069="NEW"),"",COUNTBLANK(OFFSET(A$1,,,SUMPRODUCT(MAX(ROW(E$2:E1069)*(E1069=E$2:E1069)))))-COUNTBLANK(OFFSET(A$1,,,SUMPRODUCT(MAX(ROW(E$1:E1068)*(E2=E$1:E1068))))))</f>
        <v> </v>
      </c>
      <c r="K1069" s="26" t="str">
        <f>IF(OR(E1069="",E1069="!!!",F1069="NEW"),"",INDEX(J$1:J1068,SUMPRODUCT(MAX(ROW(E$1:E1068)*(E1069=E$1:E1068)))))</f>
        <v> </v>
      </c>
      <c r="L1069" s="27"/>
    </row>
    <row r="1070" spans="1:12">
      <c r="A1070" s="20" t="s">
        <v>1151</v>
      </c>
      <c r="E1070" s="22">
        <f>IF(D1070="?OLD","!!!","")</f>
        <v/>
      </c>
      <c r="F1070" s="23" t="str">
        <f>IF(OR(E1070="",E1070="!!!"),"",IF(NOT(ISNA(VLOOKUP(E1070,E$1:E1069,1,FALSE()))),"OLD",IF(AND(E1070&lt;&gt;"",E1070&lt;&gt;"!!!"),"NEW","")))</f>
        <v> </v>
      </c>
      <c r="G1070" s="24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5" t="str">
        <f>IF(J1070&lt;&gt;1,"",IF(I1070="SBJ","CB","?"))</f>
        <v> </v>
      </c>
      <c r="I1070" s="26" t="str">
        <f>IF(OR(E1070="",E1070="!!!",F1070="NEW"),"",INDEX(B1069:B$2,-1+SUMPRODUCT(MAX(ROW(E1069:E$2)*(E1070=E1069:E$2)))))</f>
        <v> </v>
      </c>
      <c r="J1070" s="26" t="str">
        <f>IF(OR(E1070="",E1070="!!!",F1070="NEW"),"",COUNTBLANK(OFFSET(A$1,,,SUMPRODUCT(MAX(ROW(E$2:E1070)*(E1070=E$2:E1070)))))-COUNTBLANK(OFFSET(A$1,,,SUMPRODUCT(MAX(ROW(E$1:E1069)*(E2=E$1:E1069))))))</f>
        <v> </v>
      </c>
      <c r="K1070" s="26" t="str">
        <f>IF(OR(E1070="",E1070="!!!",F1070="NEW"),"",INDEX(J$1:J1069,SUMPRODUCT(MAX(ROW(E$1:E1069)*(E1070=E$1:E1069)))))</f>
        <v> </v>
      </c>
      <c r="L1070" s="27"/>
    </row>
    <row r="1071" spans="1:12">
      <c r="A1071" s="20" t="s">
        <v>592</v>
      </c>
      <c r="E1071" s="22">
        <f>IF(D1071="?OLD","!!!","")</f>
        <v/>
      </c>
      <c r="F1071" s="23" t="str">
        <f>IF(OR(E1071="",E1071="!!!"),"",IF(NOT(ISNA(VLOOKUP(E1071,E$1:E1070,1,FALSE()))),"OLD",IF(AND(E1071&lt;&gt;"",E1071&lt;&gt;"!!!"),"NEW","")))</f>
        <v> </v>
      </c>
      <c r="G1071" s="24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5" t="str">
        <f>IF(J1071&lt;&gt;1,"",IF(I1071="SBJ","CB","?"))</f>
        <v> </v>
      </c>
      <c r="I1071" s="26" t="str">
        <f>IF(OR(E1071="",E1071="!!!",F1071="NEW"),"",INDEX(B1070:B$2,-1+SUMPRODUCT(MAX(ROW(E1070:E$2)*(E1071=E1070:E$2)))))</f>
        <v> </v>
      </c>
      <c r="J1071" s="26" t="str">
        <f>IF(OR(E1071="",E1071="!!!",F1071="NEW"),"",COUNTBLANK(OFFSET(A$1,,,SUMPRODUCT(MAX(ROW(E$2:E1071)*(E1071=E$2:E1071)))))-COUNTBLANK(OFFSET(A$1,,,SUMPRODUCT(MAX(ROW(E$1:E1070)*(E2=E$1:E1070))))))</f>
        <v> </v>
      </c>
      <c r="K1071" s="26" t="str">
        <f>IF(OR(E1071="",E1071="!!!",F1071="NEW"),"",INDEX(J$1:J1070,SUMPRODUCT(MAX(ROW(E$1:E1070)*(E1071=E$1:E1070)))))</f>
        <v> </v>
      </c>
      <c r="L1071" s="27"/>
    </row>
    <row r="1072" spans="1:12">
      <c r="A1072" s="20"/>
    </row>
    <row r="1073" spans="1:12">
      <c r="A1073" s="20" t="s">
        <v>1152</v>
      </c>
    </row>
    <row r="1074" spans="1:12">
      <c r="A1074" s="20" t="s">
        <v>1153</v>
      </c>
      <c r="E1074" s="22">
        <f>IF(D1074="?OLD","!!!","")</f>
        <v/>
      </c>
      <c r="F1074" s="23" t="str">
        <f>IF(OR(E1074="",E1074="!!!"),"",IF(NOT(ISNA(VLOOKUP(E1074,E$1:E1073,1,FALSE()))),"OLD",IF(AND(E1074&lt;&gt;"",E1074&lt;&gt;"!!!"),"NEW","")))</f>
        <v> </v>
      </c>
      <c r="G1074" s="24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5" t="str">
        <f>IF(J1074&lt;&gt;1,"",IF(I1074="SBJ","CB","?"))</f>
        <v> </v>
      </c>
      <c r="I1074" s="26" t="str">
        <f>IF(OR(E1074="",E1074="!!!",F1074="NEW"),"",INDEX(B1073:B$2,-1+SUMPRODUCT(MAX(ROW(E1073:E$2)*(E1074=E1073:E$2)))))</f>
        <v> </v>
      </c>
      <c r="J1074" s="26" t="str">
        <f>IF(OR(E1074="",E1074="!!!",F1074="NEW"),"",COUNTBLANK(OFFSET(A$1,,,SUMPRODUCT(MAX(ROW(E$2:E1074)*(E1074=E$2:E1074)))))-COUNTBLANK(OFFSET(A$1,,,SUMPRODUCT(MAX(ROW(E$1:E1073)*(E2=E$1:E1073))))))</f>
        <v> </v>
      </c>
      <c r="K1074" s="26" t="str">
        <f>IF(OR(E1074="",E1074="!!!",F1074="NEW"),"",INDEX(J$1:J1073,SUMPRODUCT(MAX(ROW(E$1:E1073)*(E1074=E$1:E1073)))))</f>
        <v> </v>
      </c>
      <c r="L1074" s="27"/>
    </row>
    <row r="1075" spans="1:12">
      <c r="A1075" s="20" t="s">
        <v>1081</v>
      </c>
      <c r="E1075" s="22">
        <f>IF(D1075="?OLD","!!!","")</f>
        <v/>
      </c>
      <c r="F1075" s="23" t="str">
        <f>IF(OR(E1075="",E1075="!!!"),"",IF(NOT(ISNA(VLOOKUP(E1075,E$1:E1074,1,FALSE()))),"OLD",IF(AND(E1075&lt;&gt;"",E1075&lt;&gt;"!!!"),"NEW","")))</f>
        <v> </v>
      </c>
      <c r="G1075" s="24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5" t="str">
        <f>IF(J1075&lt;&gt;1,"",IF(I1075="SBJ","CB","?"))</f>
        <v> </v>
      </c>
      <c r="I1075" s="26" t="str">
        <f>IF(OR(E1075="",E1075="!!!",F1075="NEW"),"",INDEX(B1074:B$2,-1+SUMPRODUCT(MAX(ROW(E1074:E$2)*(E1075=E1074:E$2)))))</f>
        <v> </v>
      </c>
      <c r="J1075" s="26" t="str">
        <f>IF(OR(E1075="",E1075="!!!",F1075="NEW"),"",COUNTBLANK(OFFSET(A$1,,,SUMPRODUCT(MAX(ROW(E$2:E1075)*(E1075=E$2:E1075)))))-COUNTBLANK(OFFSET(A$1,,,SUMPRODUCT(MAX(ROW(E$1:E1074)*(E2=E$1:E1074))))))</f>
        <v> </v>
      </c>
      <c r="K1075" s="26" t="str">
        <f>IF(OR(E1075="",E1075="!!!",F1075="NEW"),"",INDEX(J$1:J1074,SUMPRODUCT(MAX(ROW(E$1:E1074)*(E1075=E$1:E1074)))))</f>
        <v> </v>
      </c>
      <c r="L1075" s="27"/>
    </row>
    <row r="1076" spans="1:12">
      <c r="A1076" s="20"/>
    </row>
    <row r="1077" spans="1:12">
      <c r="A1077" s="20" t="s">
        <v>1154</v>
      </c>
    </row>
    <row r="1078" spans="1:12">
      <c r="A1078" s="20" t="s">
        <v>1155</v>
      </c>
      <c r="E1078" s="22">
        <f>IF(D1078="?OLD","!!!","")</f>
        <v/>
      </c>
      <c r="F1078" s="23" t="str">
        <f>IF(OR(E1078="",E1078="!!!"),"",IF(NOT(ISNA(VLOOKUP(E1078,E$1:E1077,1,FALSE()))),"OLD",IF(AND(E1078&lt;&gt;"",E1078&lt;&gt;"!!!"),"NEW","")))</f>
        <v> </v>
      </c>
      <c r="G1078" s="24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5" t="str">
        <f>IF(J1078&lt;&gt;1,"",IF(I1078="SBJ","CB","?"))</f>
        <v> </v>
      </c>
      <c r="I1078" s="26" t="str">
        <f>IF(OR(E1078="",E1078="!!!",F1078="NEW"),"",INDEX(B1077:B$2,-1+SUMPRODUCT(MAX(ROW(E1077:E$2)*(E1078=E1077:E$2)))))</f>
        <v> </v>
      </c>
      <c r="J1078" s="26" t="str">
        <f>IF(OR(E1078="",E1078="!!!",F1078="NEW"),"",COUNTBLANK(OFFSET(A$1,,,SUMPRODUCT(MAX(ROW(E$2:E1078)*(E1078=E$2:E1078)))))-COUNTBLANK(OFFSET(A$1,,,SUMPRODUCT(MAX(ROW(E$1:E1077)*(E2=E$1:E1077))))))</f>
        <v> </v>
      </c>
      <c r="K1078" s="26" t="str">
        <f>IF(OR(E1078="",E1078="!!!",F1078="NEW"),"",INDEX(J$1:J1077,SUMPRODUCT(MAX(ROW(E$1:E1077)*(E1078=E$1:E1077)))))</f>
        <v> </v>
      </c>
      <c r="L1078" s="27"/>
    </row>
    <row r="1079" spans="1:12">
      <c r="A1079" s="20" t="s">
        <v>369</v>
      </c>
      <c r="E1079" s="22">
        <f>IF(D1079="?OLD","!!!","")</f>
        <v/>
      </c>
      <c r="F1079" s="23" t="str">
        <f>IF(OR(E1079="",E1079="!!!"),"",IF(NOT(ISNA(VLOOKUP(E1079,E$1:E1078,1,FALSE()))),"OLD",IF(AND(E1079&lt;&gt;"",E1079&lt;&gt;"!!!"),"NEW","")))</f>
        <v> </v>
      </c>
      <c r="G1079" s="24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5" t="str">
        <f>IF(J1079&lt;&gt;1,"",IF(I1079="SBJ","CB","?"))</f>
        <v> </v>
      </c>
      <c r="I1079" s="26" t="str">
        <f>IF(OR(E1079="",E1079="!!!",F1079="NEW"),"",INDEX(B1078:B$2,-1+SUMPRODUCT(MAX(ROW(E1078:E$2)*(E1079=E1078:E$2)))))</f>
        <v> </v>
      </c>
      <c r="J1079" s="26" t="str">
        <f>IF(OR(E1079="",E1079="!!!",F1079="NEW"),"",COUNTBLANK(OFFSET(A$1,,,SUMPRODUCT(MAX(ROW(E$2:E1079)*(E1079=E$2:E1079)))))-COUNTBLANK(OFFSET(A$1,,,SUMPRODUCT(MAX(ROW(E$1:E1078)*(E2=E$1:E1078))))))</f>
        <v> </v>
      </c>
      <c r="K1079" s="26" t="str">
        <f>IF(OR(E1079="",E1079="!!!",F1079="NEW"),"",INDEX(J$1:J1078,SUMPRODUCT(MAX(ROW(E$1:E1078)*(E1079=E$1:E1078)))))</f>
        <v> </v>
      </c>
      <c r="L1079" s="27"/>
    </row>
    <row r="1080" spans="1:12">
      <c r="A1080" s="20" t="s">
        <v>1156</v>
      </c>
      <c r="B1080" s="21" t="s">
        <v>578</v>
      </c>
      <c r="E1080" s="22">
        <f>IF(D1080="?OLD","!!!","")</f>
        <v/>
      </c>
      <c r="F1080" s="23" t="str">
        <f>IF(OR(E1080="",E1080="!!!"),"",IF(NOT(ISNA(VLOOKUP(E1080,E$1:E1079,1,FALSE()))),"OLD",IF(AND(E1080&lt;&gt;"",E1080&lt;&gt;"!!!"),"NEW","")))</f>
        <v> </v>
      </c>
      <c r="G1080" s="24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5" t="str">
        <f>IF(J1080&lt;&gt;1,"",IF(I1080="SBJ","CB","?"))</f>
        <v> </v>
      </c>
      <c r="I1080" s="26" t="str">
        <f>IF(OR(E1080="",E1080="!!!",F1080="NEW"),"",INDEX(B1079:B$2,-1+SUMPRODUCT(MAX(ROW(E1079:E$2)*(E1080=E1079:E$2)))))</f>
        <v> </v>
      </c>
      <c r="J1080" s="26" t="str">
        <f>IF(OR(E1080="",E1080="!!!",F1080="NEW"),"",COUNTBLANK(OFFSET(A$1,,,SUMPRODUCT(MAX(ROW(E$2:E1080)*(E1080=E$2:E1080)))))-COUNTBLANK(OFFSET(A$1,,,SUMPRODUCT(MAX(ROW(E$1:E1079)*(E2=E$1:E1079))))))</f>
        <v> </v>
      </c>
      <c r="K1080" s="26" t="str">
        <f>IF(OR(E1080="",E1080="!!!",F1080="NEW"),"",INDEX(J$1:J1079,SUMPRODUCT(MAX(ROW(E$1:E1079)*(E1080=E$1:E1079)))))</f>
        <v> </v>
      </c>
      <c r="L1080" s="27"/>
    </row>
    <row r="1081" spans="1:12">
      <c r="A1081" s="20" t="s">
        <v>753</v>
      </c>
      <c r="E1081" s="22">
        <f>IF(D1081="?OLD","!!!","")</f>
        <v/>
      </c>
      <c r="F1081" s="23" t="str">
        <f>IF(OR(E1081="",E1081="!!!"),"",IF(NOT(ISNA(VLOOKUP(E1081,E$1:E1080,1,FALSE()))),"OLD",IF(AND(E1081&lt;&gt;"",E1081&lt;&gt;"!!!"),"NEW","")))</f>
        <v> </v>
      </c>
      <c r="G1081" s="24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5" t="str">
        <f>IF(J1081&lt;&gt;1,"",IF(I1081="SBJ","CB","?"))</f>
        <v> </v>
      </c>
      <c r="I1081" s="26" t="str">
        <f>IF(OR(E1081="",E1081="!!!",F1081="NEW"),"",INDEX(B1080:B$2,-1+SUMPRODUCT(MAX(ROW(E1080:E$2)*(E1081=E1080:E$2)))))</f>
        <v> </v>
      </c>
      <c r="J1081" s="26" t="str">
        <f>IF(OR(E1081="",E1081="!!!",F1081="NEW"),"",COUNTBLANK(OFFSET(A$1,,,SUMPRODUCT(MAX(ROW(E$2:E1081)*(E1081=E$2:E1081)))))-COUNTBLANK(OFFSET(A$1,,,SUMPRODUCT(MAX(ROW(E$1:E1080)*(E2=E$1:E1080))))))</f>
        <v> </v>
      </c>
      <c r="K1081" s="26" t="str">
        <f>IF(OR(E1081="",E1081="!!!",F1081="NEW"),"",INDEX(J$1:J1080,SUMPRODUCT(MAX(ROW(E$1:E1080)*(E1081=E$1:E1080)))))</f>
        <v> </v>
      </c>
      <c r="L1081" s="27"/>
    </row>
    <row r="1082" spans="1:12">
      <c r="A1082" s="20" t="s">
        <v>1157</v>
      </c>
      <c r="E1082" s="22">
        <f>IF(D1082="?OLD","!!!","")</f>
        <v/>
      </c>
      <c r="F1082" s="23" t="str">
        <f>IF(OR(E1082="",E1082="!!!"),"",IF(NOT(ISNA(VLOOKUP(E1082,E$1:E1081,1,FALSE()))),"OLD",IF(AND(E1082&lt;&gt;"",E1082&lt;&gt;"!!!"),"NEW","")))</f>
        <v> </v>
      </c>
      <c r="G1082" s="24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5" t="str">
        <f>IF(J1082&lt;&gt;1,"",IF(I1082="SBJ","CB","?"))</f>
        <v> </v>
      </c>
      <c r="I1082" s="26" t="str">
        <f>IF(OR(E1082="",E1082="!!!",F1082="NEW"),"",INDEX(B1081:B$2,-1+SUMPRODUCT(MAX(ROW(E1081:E$2)*(E1082=E1081:E$2)))))</f>
        <v> </v>
      </c>
      <c r="J1082" s="26" t="str">
        <f>IF(OR(E1082="",E1082="!!!",F1082="NEW"),"",COUNTBLANK(OFFSET(A$1,,,SUMPRODUCT(MAX(ROW(E$2:E1082)*(E1082=E$2:E1082)))))-COUNTBLANK(OFFSET(A$1,,,SUMPRODUCT(MAX(ROW(E$1:E1081)*(E2=E$1:E1081))))))</f>
        <v> </v>
      </c>
      <c r="K1082" s="26" t="str">
        <f>IF(OR(E1082="",E1082="!!!",F1082="NEW"),"",INDEX(J$1:J1081,SUMPRODUCT(MAX(ROW(E$1:E1081)*(E1082=E$1:E1081)))))</f>
        <v> </v>
      </c>
      <c r="L1082" s="27"/>
    </row>
    <row r="1083" spans="1:12">
      <c r="A1083" s="20" t="s">
        <v>617</v>
      </c>
      <c r="E1083" s="22">
        <f>IF(D1083="?OLD","!!!","")</f>
        <v/>
      </c>
      <c r="F1083" s="23" t="str">
        <f>IF(OR(E1083="",E1083="!!!"),"",IF(NOT(ISNA(VLOOKUP(E1083,E$1:E1082,1,FALSE()))),"OLD",IF(AND(E1083&lt;&gt;"",E1083&lt;&gt;"!!!"),"NEW","")))</f>
        <v> </v>
      </c>
      <c r="G1083" s="24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5" t="str">
        <f>IF(J1083&lt;&gt;1,"",IF(I1083="SBJ","CB","?"))</f>
        <v> </v>
      </c>
      <c r="I1083" s="26" t="str">
        <f>IF(OR(E1083="",E1083="!!!",F1083="NEW"),"",INDEX(B1082:B$2,-1+SUMPRODUCT(MAX(ROW(E1082:E$2)*(E1083=E1082:E$2)))))</f>
        <v> </v>
      </c>
      <c r="J1083" s="26" t="str">
        <f>IF(OR(E1083="",E1083="!!!",F1083="NEW"),"",COUNTBLANK(OFFSET(A$1,,,SUMPRODUCT(MAX(ROW(E$2:E1083)*(E1083=E$2:E1083)))))-COUNTBLANK(OFFSET(A$1,,,SUMPRODUCT(MAX(ROW(E$1:E1082)*(E2=E$1:E1082))))))</f>
        <v> </v>
      </c>
      <c r="K1083" s="26" t="str">
        <f>IF(OR(E1083="",E1083="!!!",F1083="NEW"),"",INDEX(J$1:J1082,SUMPRODUCT(MAX(ROW(E$1:E1082)*(E1083=E$1:E1082)))))</f>
        <v> </v>
      </c>
      <c r="L1083" s="27"/>
    </row>
    <row r="1084" spans="1:12">
      <c r="A1084" s="20" t="s">
        <v>483</v>
      </c>
      <c r="E1084" s="22">
        <f>IF(D1084="?OLD","!!!","")</f>
        <v/>
      </c>
      <c r="F1084" s="23" t="str">
        <f>IF(OR(E1084="",E1084="!!!"),"",IF(NOT(ISNA(VLOOKUP(E1084,E$1:E1083,1,FALSE()))),"OLD",IF(AND(E1084&lt;&gt;"",E1084&lt;&gt;"!!!"),"NEW","")))</f>
        <v> </v>
      </c>
      <c r="G1084" s="24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5" t="str">
        <f>IF(J1084&lt;&gt;1,"",IF(I1084="SBJ","CB","?"))</f>
        <v> </v>
      </c>
      <c r="I1084" s="26" t="str">
        <f>IF(OR(E1084="",E1084="!!!",F1084="NEW"),"",INDEX(B1083:B$2,-1+SUMPRODUCT(MAX(ROW(E1083:E$2)*(E1084=E1083:E$2)))))</f>
        <v> </v>
      </c>
      <c r="J1084" s="26" t="str">
        <f>IF(OR(E1084="",E1084="!!!",F1084="NEW"),"",COUNTBLANK(OFFSET(A$1,,,SUMPRODUCT(MAX(ROW(E$2:E1084)*(E1084=E$2:E1084)))))-COUNTBLANK(OFFSET(A$1,,,SUMPRODUCT(MAX(ROW(E$1:E1083)*(E2=E$1:E1083))))))</f>
        <v> </v>
      </c>
      <c r="K1084" s="26" t="str">
        <f>IF(OR(E1084="",E1084="!!!",F1084="NEW"),"",INDEX(J$1:J1083,SUMPRODUCT(MAX(ROW(E$1:E1083)*(E1084=E$1:E1083)))))</f>
        <v> </v>
      </c>
      <c r="L1084" s="27"/>
    </row>
    <row r="1085" spans="1:12">
      <c r="A1085" s="20" t="s">
        <v>1158</v>
      </c>
      <c r="E1085" s="22">
        <f>IF(D1085="?OLD","!!!","")</f>
        <v/>
      </c>
      <c r="F1085" s="23" t="str">
        <f>IF(OR(E1085="",E1085="!!!"),"",IF(NOT(ISNA(VLOOKUP(E1085,E$1:E1084,1,FALSE()))),"OLD",IF(AND(E1085&lt;&gt;"",E1085&lt;&gt;"!!!"),"NEW","")))</f>
        <v> </v>
      </c>
      <c r="G1085" s="24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5" t="str">
        <f>IF(J1085&lt;&gt;1,"",IF(I1085="SBJ","CB","?"))</f>
        <v> </v>
      </c>
      <c r="I1085" s="26" t="str">
        <f>IF(OR(E1085="",E1085="!!!",F1085="NEW"),"",INDEX(B1084:B$2,-1+SUMPRODUCT(MAX(ROW(E1084:E$2)*(E1085=E1084:E$2)))))</f>
        <v> </v>
      </c>
      <c r="J1085" s="26" t="str">
        <f>IF(OR(E1085="",E1085="!!!",F1085="NEW"),"",COUNTBLANK(OFFSET(A$1,,,SUMPRODUCT(MAX(ROW(E$2:E1085)*(E1085=E$2:E1085)))))-COUNTBLANK(OFFSET(A$1,,,SUMPRODUCT(MAX(ROW(E$1:E1084)*(E2=E$1:E1084))))))</f>
        <v> </v>
      </c>
      <c r="K1085" s="26" t="str">
        <f>IF(OR(E1085="",E1085="!!!",F1085="NEW"),"",INDEX(J$1:J1084,SUMPRODUCT(MAX(ROW(E$1:E1084)*(E1085=E$1:E1084)))))</f>
        <v> </v>
      </c>
      <c r="L1085" s="27"/>
    </row>
    <row r="1086" spans="1:12">
      <c r="A1086" s="20" t="s">
        <v>583</v>
      </c>
      <c r="E1086" s="22">
        <f>IF(D1086="?OLD","!!!","")</f>
        <v/>
      </c>
      <c r="F1086" s="23" t="str">
        <f>IF(OR(E1086="",E1086="!!!"),"",IF(NOT(ISNA(VLOOKUP(E1086,E$1:E1085,1,FALSE()))),"OLD",IF(AND(E1086&lt;&gt;"",E1086&lt;&gt;"!!!"),"NEW","")))</f>
        <v> </v>
      </c>
      <c r="G1086" s="24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5" t="str">
        <f>IF(J1086&lt;&gt;1,"",IF(I1086="SBJ","CB","?"))</f>
        <v> </v>
      </c>
      <c r="I1086" s="26" t="str">
        <f>IF(OR(E1086="",E1086="!!!",F1086="NEW"),"",INDEX(B1085:B$2,-1+SUMPRODUCT(MAX(ROW(E1085:E$2)*(E1086=E1085:E$2)))))</f>
        <v> </v>
      </c>
      <c r="J1086" s="26" t="str">
        <f>IF(OR(E1086="",E1086="!!!",F1086="NEW"),"",COUNTBLANK(OFFSET(A$1,,,SUMPRODUCT(MAX(ROW(E$2:E1086)*(E1086=E$2:E1086)))))-COUNTBLANK(OFFSET(A$1,,,SUMPRODUCT(MAX(ROW(E$1:E1085)*(E2=E$1:E1085))))))</f>
        <v> </v>
      </c>
      <c r="K1086" s="26" t="str">
        <f>IF(OR(E1086="",E1086="!!!",F1086="NEW"),"",INDEX(J$1:J1085,SUMPRODUCT(MAX(ROW(E$1:E1085)*(E1086=E$1:E1085)))))</f>
        <v> </v>
      </c>
      <c r="L1086" s="27"/>
    </row>
    <row r="1087" spans="1:12">
      <c r="A1087" s="20" t="s">
        <v>1159</v>
      </c>
      <c r="B1087" s="21" t="s">
        <v>590</v>
      </c>
      <c r="E1087" s="22">
        <f>IF(D1087="?OLD","!!!","")</f>
        <v/>
      </c>
      <c r="F1087" s="23" t="str">
        <f>IF(OR(E1087="",E1087="!!!"),"",IF(NOT(ISNA(VLOOKUP(E1087,E$1:E1086,1,FALSE()))),"OLD",IF(AND(E1087&lt;&gt;"",E1087&lt;&gt;"!!!"),"NEW","")))</f>
        <v> </v>
      </c>
      <c r="G1087" s="24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5" t="str">
        <f>IF(J1087&lt;&gt;1,"",IF(I1087="SBJ","CB","?"))</f>
        <v> </v>
      </c>
      <c r="I1087" s="26" t="str">
        <f>IF(OR(E1087="",E1087="!!!",F1087="NEW"),"",INDEX(B1086:B$2,-1+SUMPRODUCT(MAX(ROW(E1086:E$2)*(E1087=E1086:E$2)))))</f>
        <v> </v>
      </c>
      <c r="J1087" s="26" t="str">
        <f>IF(OR(E1087="",E1087="!!!",F1087="NEW"),"",COUNTBLANK(OFFSET(A$1,,,SUMPRODUCT(MAX(ROW(E$2:E1087)*(E1087=E$2:E1087)))))-COUNTBLANK(OFFSET(A$1,,,SUMPRODUCT(MAX(ROW(E$1:E1086)*(E2=E$1:E1086))))))</f>
        <v> </v>
      </c>
      <c r="K1087" s="26" t="str">
        <f>IF(OR(E1087="",E1087="!!!",F1087="NEW"),"",INDEX(J$1:J1086,SUMPRODUCT(MAX(ROW(E$1:E1086)*(E1087=E$1:E1086)))))</f>
        <v> </v>
      </c>
      <c r="L1087" s="27"/>
    </row>
    <row r="1088" spans="1:12">
      <c r="A1088" s="20" t="s">
        <v>617</v>
      </c>
      <c r="E1088" s="22">
        <f>IF(D1088="?OLD","!!!","")</f>
        <v/>
      </c>
      <c r="F1088" s="23" t="str">
        <f>IF(OR(E1088="",E1088="!!!"),"",IF(NOT(ISNA(VLOOKUP(E1088,E$1:E1087,1,FALSE()))),"OLD",IF(AND(E1088&lt;&gt;"",E1088&lt;&gt;"!!!"),"NEW","")))</f>
        <v> </v>
      </c>
      <c r="G1088" s="24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5" t="str">
        <f>IF(J1088&lt;&gt;1,"",IF(I1088="SBJ","CB","?"))</f>
        <v> </v>
      </c>
      <c r="I1088" s="26" t="str">
        <f>IF(OR(E1088="",E1088="!!!",F1088="NEW"),"",INDEX(B1087:B$2,-1+SUMPRODUCT(MAX(ROW(E1087:E$2)*(E1088=E1087:E$2)))))</f>
        <v> </v>
      </c>
      <c r="J1088" s="26" t="str">
        <f>IF(OR(E1088="",E1088="!!!",F1088="NEW"),"",COUNTBLANK(OFFSET(A$1,,,SUMPRODUCT(MAX(ROW(E$2:E1088)*(E1088=E$2:E1088)))))-COUNTBLANK(OFFSET(A$1,,,SUMPRODUCT(MAX(ROW(E$1:E1087)*(E2=E$1:E1087))))))</f>
        <v> </v>
      </c>
      <c r="K1088" s="26" t="str">
        <f>IF(OR(E1088="",E1088="!!!",F1088="NEW"),"",INDEX(J$1:J1087,SUMPRODUCT(MAX(ROW(E$1:E1087)*(E1088=E$1:E1087)))))</f>
        <v> </v>
      </c>
      <c r="L1088" s="27"/>
    </row>
    <row r="1089" spans="1:12">
      <c r="A1089" s="20" t="s">
        <v>315</v>
      </c>
      <c r="E1089" s="22">
        <f>IF(D1089="?OLD","!!!","")</f>
        <v/>
      </c>
      <c r="F1089" s="23" t="str">
        <f>IF(OR(E1089="",E1089="!!!"),"",IF(NOT(ISNA(VLOOKUP(E1089,E$1:E1088,1,FALSE()))),"OLD",IF(AND(E1089&lt;&gt;"",E1089&lt;&gt;"!!!"),"NEW","")))</f>
        <v> </v>
      </c>
      <c r="G1089" s="24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5" t="str">
        <f>IF(J1089&lt;&gt;1,"",IF(I1089="SBJ","CB","?"))</f>
        <v> </v>
      </c>
      <c r="I1089" s="26" t="str">
        <f>IF(OR(E1089="",E1089="!!!",F1089="NEW"),"",INDEX(B1088:B$2,-1+SUMPRODUCT(MAX(ROW(E1088:E$2)*(E1089=E1088:E$2)))))</f>
        <v> </v>
      </c>
      <c r="J1089" s="26" t="str">
        <f>IF(OR(E1089="",E1089="!!!",F1089="NEW"),"",COUNTBLANK(OFFSET(A$1,,,SUMPRODUCT(MAX(ROW(E$2:E1089)*(E1089=E$2:E1089)))))-COUNTBLANK(OFFSET(A$1,,,SUMPRODUCT(MAX(ROW(E$1:E1088)*(E2=E$1:E1088))))))</f>
        <v> </v>
      </c>
      <c r="K1089" s="26" t="str">
        <f>IF(OR(E1089="",E1089="!!!",F1089="NEW"),"",INDEX(J$1:J1088,SUMPRODUCT(MAX(ROW(E$1:E1088)*(E1089=E$1:E1088)))))</f>
        <v> </v>
      </c>
      <c r="L1089" s="27"/>
    </row>
    <row r="1090" spans="1:12">
      <c r="A1090" s="20" t="s">
        <v>583</v>
      </c>
      <c r="E1090" s="22">
        <f>IF(D1090="?OLD","!!!","")</f>
        <v/>
      </c>
      <c r="F1090" s="23" t="str">
        <f>IF(OR(E1090="",E1090="!!!"),"",IF(NOT(ISNA(VLOOKUP(E1090,E$1:E1089,1,FALSE()))),"OLD",IF(AND(E1090&lt;&gt;"",E1090&lt;&gt;"!!!"),"NEW","")))</f>
        <v> </v>
      </c>
      <c r="G1090" s="24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5" t="str">
        <f>IF(J1090&lt;&gt;1,"",IF(I1090="SBJ","CB","?"))</f>
        <v> </v>
      </c>
      <c r="I1090" s="26" t="str">
        <f>IF(OR(E1090="",E1090="!!!",F1090="NEW"),"",INDEX(B1089:B$2,-1+SUMPRODUCT(MAX(ROW(E1089:E$2)*(E1090=E1089:E$2)))))</f>
        <v> </v>
      </c>
      <c r="J1090" s="26" t="str">
        <f>IF(OR(E1090="",E1090="!!!",F1090="NEW"),"",COUNTBLANK(OFFSET(A$1,,,SUMPRODUCT(MAX(ROW(E$2:E1090)*(E1090=E$2:E1090)))))-COUNTBLANK(OFFSET(A$1,,,SUMPRODUCT(MAX(ROW(E$1:E1089)*(E2=E$1:E1089))))))</f>
        <v> </v>
      </c>
      <c r="K1090" s="26" t="str">
        <f>IF(OR(E1090="",E1090="!!!",F1090="NEW"),"",INDEX(J$1:J1089,SUMPRODUCT(MAX(ROW(E$1:E1089)*(E1090=E$1:E1089)))))</f>
        <v> </v>
      </c>
      <c r="L1090" s="27"/>
    </row>
    <row r="1091" spans="1:12">
      <c r="A1091" s="20" t="s">
        <v>999</v>
      </c>
      <c r="E1091" s="22">
        <f>IF(D1091="?OLD","!!!","")</f>
        <v/>
      </c>
      <c r="F1091" s="23" t="str">
        <f>IF(OR(E1091="",E1091="!!!"),"",IF(NOT(ISNA(VLOOKUP(E1091,E$1:E1090,1,FALSE()))),"OLD",IF(AND(E1091&lt;&gt;"",E1091&lt;&gt;"!!!"),"NEW","")))</f>
        <v> </v>
      </c>
      <c r="G1091" s="24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5" t="str">
        <f>IF(J1091&lt;&gt;1,"",IF(I1091="SBJ","CB","?"))</f>
        <v> </v>
      </c>
      <c r="I1091" s="26" t="str">
        <f>IF(OR(E1091="",E1091="!!!",F1091="NEW"),"",INDEX(B1090:B$2,-1+SUMPRODUCT(MAX(ROW(E1090:E$2)*(E1091=E1090:E$2)))))</f>
        <v> </v>
      </c>
      <c r="J1091" s="26" t="str">
        <f>IF(OR(E1091="",E1091="!!!",F1091="NEW"),"",COUNTBLANK(OFFSET(A$1,,,SUMPRODUCT(MAX(ROW(E$2:E1091)*(E1091=E$2:E1091)))))-COUNTBLANK(OFFSET(A$1,,,SUMPRODUCT(MAX(ROW(E$1:E1090)*(E2=E$1:E1090))))))</f>
        <v> </v>
      </c>
      <c r="K1091" s="26" t="str">
        <f>IF(OR(E1091="",E1091="!!!",F1091="NEW"),"",INDEX(J$1:J1090,SUMPRODUCT(MAX(ROW(E$1:E1090)*(E1091=E$1:E1090)))))</f>
        <v> </v>
      </c>
      <c r="L1091" s="27"/>
    </row>
    <row r="1092" spans="1:12">
      <c r="A1092" s="20" t="s">
        <v>1160</v>
      </c>
      <c r="B1092" s="21" t="s">
        <v>762</v>
      </c>
      <c r="E1092" s="22">
        <f>IF(D1092="?OLD","!!!","")</f>
        <v/>
      </c>
      <c r="F1092" s="23" t="str">
        <f>IF(OR(E1092="",E1092="!!!"),"",IF(NOT(ISNA(VLOOKUP(E1092,E$1:E1091,1,FALSE()))),"OLD",IF(AND(E1092&lt;&gt;"",E1092&lt;&gt;"!!!"),"NEW","")))</f>
        <v> </v>
      </c>
      <c r="G1092" s="24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5" t="str">
        <f>IF(J1092&lt;&gt;1,"",IF(I1092="SBJ","CB","?"))</f>
        <v> </v>
      </c>
      <c r="I1092" s="26" t="str">
        <f>IF(OR(E1092="",E1092="!!!",F1092="NEW"),"",INDEX(B1091:B$2,-1+SUMPRODUCT(MAX(ROW(E1091:E$2)*(E1092=E1091:E$2)))))</f>
        <v> </v>
      </c>
      <c r="J1092" s="26" t="str">
        <f>IF(OR(E1092="",E1092="!!!",F1092="NEW"),"",COUNTBLANK(OFFSET(A$1,,,SUMPRODUCT(MAX(ROW(E$2:E1092)*(E1092=E$2:E1092)))))-COUNTBLANK(OFFSET(A$1,,,SUMPRODUCT(MAX(ROW(E$1:E1091)*(E2=E$1:E1091))))))</f>
        <v> </v>
      </c>
      <c r="K1092" s="26" t="str">
        <f>IF(OR(E1092="",E1092="!!!",F1092="NEW"),"",INDEX(J$1:J1091,SUMPRODUCT(MAX(ROW(E$1:E1091)*(E1092=E$1:E1091)))))</f>
        <v> </v>
      </c>
      <c r="L1092" s="27"/>
    </row>
    <row r="1093" spans="1:12">
      <c r="A1093" s="20" t="s">
        <v>1161</v>
      </c>
      <c r="E1093" s="22">
        <f>IF(D1093="?OLD","!!!","")</f>
        <v/>
      </c>
      <c r="F1093" s="23" t="str">
        <f>IF(OR(E1093="",E1093="!!!"),"",IF(NOT(ISNA(VLOOKUP(E1093,E$1:E1092,1,FALSE()))),"OLD",IF(AND(E1093&lt;&gt;"",E1093&lt;&gt;"!!!"),"NEW","")))</f>
        <v> </v>
      </c>
      <c r="G1093" s="24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5" t="str">
        <f>IF(J1093&lt;&gt;1,"",IF(I1093="SBJ","CB","?"))</f>
        <v> </v>
      </c>
      <c r="I1093" s="26" t="str">
        <f>IF(OR(E1093="",E1093="!!!",F1093="NEW"),"",INDEX(B1092:B$2,-1+SUMPRODUCT(MAX(ROW(E1092:E$2)*(E1093=E1092:E$2)))))</f>
        <v> </v>
      </c>
      <c r="J1093" s="26" t="str">
        <f>IF(OR(E1093="",E1093="!!!",F1093="NEW"),"",COUNTBLANK(OFFSET(A$1,,,SUMPRODUCT(MAX(ROW(E$2:E1093)*(E1093=E$2:E1093)))))-COUNTBLANK(OFFSET(A$1,,,SUMPRODUCT(MAX(ROW(E$1:E1092)*(E2=E$1:E1092))))))</f>
        <v> </v>
      </c>
      <c r="K1093" s="26" t="str">
        <f>IF(OR(E1093="",E1093="!!!",F1093="NEW"),"",INDEX(J$1:J1092,SUMPRODUCT(MAX(ROW(E$1:E1092)*(E1093=E$1:E1092)))))</f>
        <v> </v>
      </c>
      <c r="L1093" s="27"/>
    </row>
    <row r="1094" spans="1:12">
      <c r="A1094" s="20" t="s">
        <v>1162</v>
      </c>
      <c r="B1094" s="21" t="s">
        <v>695</v>
      </c>
      <c r="E1094" s="22">
        <f>IF(D1094="?OLD","!!!","")</f>
        <v/>
      </c>
      <c r="F1094" s="23" t="str">
        <f>IF(OR(E1094="",E1094="!!!"),"",IF(NOT(ISNA(VLOOKUP(E1094,E$1:E1093,1,FALSE()))),"OLD",IF(AND(E1094&lt;&gt;"",E1094&lt;&gt;"!!!"),"NEW","")))</f>
        <v> </v>
      </c>
      <c r="G1094" s="24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5" t="str">
        <f>IF(J1094&lt;&gt;1,"",IF(I1094="SBJ","CB","?"))</f>
        <v> </v>
      </c>
      <c r="I1094" s="26" t="str">
        <f>IF(OR(E1094="",E1094="!!!",F1094="NEW"),"",INDEX(B1093:B$2,-1+SUMPRODUCT(MAX(ROW(E1093:E$2)*(E1094=E1093:E$2)))))</f>
        <v> </v>
      </c>
      <c r="J1094" s="26" t="str">
        <f>IF(OR(E1094="",E1094="!!!",F1094="NEW"),"",COUNTBLANK(OFFSET(A$1,,,SUMPRODUCT(MAX(ROW(E$2:E1094)*(E1094=E$2:E1094)))))-COUNTBLANK(OFFSET(A$1,,,SUMPRODUCT(MAX(ROW(E$1:E1093)*(E2=E$1:E1093))))))</f>
        <v> </v>
      </c>
      <c r="K1094" s="26" t="str">
        <f>IF(OR(E1094="",E1094="!!!",F1094="NEW"),"",INDEX(J$1:J1093,SUMPRODUCT(MAX(ROW(E$1:E1093)*(E1094=E$1:E1093)))))</f>
        <v> </v>
      </c>
      <c r="L1094" s="27"/>
    </row>
    <row r="1095" spans="1:12">
      <c r="A1095" s="20" t="s">
        <v>1163</v>
      </c>
      <c r="E1095" s="22">
        <f>IF(D1095="?OLD","!!!","")</f>
        <v/>
      </c>
      <c r="F1095" s="23" t="str">
        <f>IF(OR(E1095="",E1095="!!!"),"",IF(NOT(ISNA(VLOOKUP(E1095,E$1:E1094,1,FALSE()))),"OLD",IF(AND(E1095&lt;&gt;"",E1095&lt;&gt;"!!!"),"NEW","")))</f>
        <v> </v>
      </c>
      <c r="G1095" s="24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5" t="str">
        <f>IF(J1095&lt;&gt;1,"",IF(I1095="SBJ","CB","?"))</f>
        <v> </v>
      </c>
      <c r="I1095" s="26" t="str">
        <f>IF(OR(E1095="",E1095="!!!",F1095="NEW"),"",INDEX(B1094:B$2,-1+SUMPRODUCT(MAX(ROW(E1094:E$2)*(E1095=E1094:E$2)))))</f>
        <v> </v>
      </c>
      <c r="J1095" s="26" t="str">
        <f>IF(OR(E1095="",E1095="!!!",F1095="NEW"),"",COUNTBLANK(OFFSET(A$1,,,SUMPRODUCT(MAX(ROW(E$2:E1095)*(E1095=E$2:E1095)))))-COUNTBLANK(OFFSET(A$1,,,SUMPRODUCT(MAX(ROW(E$1:E1094)*(E2=E$1:E1094))))))</f>
        <v> </v>
      </c>
      <c r="K1095" s="26" t="str">
        <f>IF(OR(E1095="",E1095="!!!",F1095="NEW"),"",INDEX(J$1:J1094,SUMPRODUCT(MAX(ROW(E$1:E1094)*(E1095=E$1:E1094)))))</f>
        <v> </v>
      </c>
      <c r="L1095" s="27"/>
    </row>
    <row r="1096" spans="1:12">
      <c r="A1096" s="20" t="s">
        <v>1164</v>
      </c>
      <c r="E1096" s="22">
        <f>IF(D1096="?OLD","!!!","")</f>
        <v/>
      </c>
      <c r="F1096" s="23" t="str">
        <f>IF(OR(E1096="",E1096="!!!"),"",IF(NOT(ISNA(VLOOKUP(E1096,E$1:E1095,1,FALSE()))),"OLD",IF(AND(E1096&lt;&gt;"",E1096&lt;&gt;"!!!"),"NEW","")))</f>
        <v> </v>
      </c>
      <c r="G1096" s="24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5" t="str">
        <f>IF(J1096&lt;&gt;1,"",IF(I1096="SBJ","CB","?"))</f>
        <v> </v>
      </c>
      <c r="I1096" s="26" t="str">
        <f>IF(OR(E1096="",E1096="!!!",F1096="NEW"),"",INDEX(B1095:B$2,-1+SUMPRODUCT(MAX(ROW(E1095:E$2)*(E1096=E1095:E$2)))))</f>
        <v> </v>
      </c>
      <c r="J1096" s="26" t="str">
        <f>IF(OR(E1096="",E1096="!!!",F1096="NEW"),"",COUNTBLANK(OFFSET(A$1,,,SUMPRODUCT(MAX(ROW(E$2:E1096)*(E1096=E$2:E1096)))))-COUNTBLANK(OFFSET(A$1,,,SUMPRODUCT(MAX(ROW(E$1:E1095)*(E2=E$1:E1095))))))</f>
        <v> </v>
      </c>
      <c r="K1096" s="26" t="str">
        <f>IF(OR(E1096="",E1096="!!!",F1096="NEW"),"",INDEX(J$1:J1095,SUMPRODUCT(MAX(ROW(E$1:E1095)*(E1096=E$1:E1095)))))</f>
        <v> </v>
      </c>
      <c r="L1096" s="27"/>
    </row>
    <row r="1097" spans="1:12">
      <c r="A1097" s="20" t="s">
        <v>1165</v>
      </c>
      <c r="E1097" s="22">
        <f>IF(D1097="?OLD","!!!","")</f>
        <v/>
      </c>
      <c r="F1097" s="23" t="str">
        <f>IF(OR(E1097="",E1097="!!!"),"",IF(NOT(ISNA(VLOOKUP(E1097,E$1:E1096,1,FALSE()))),"OLD",IF(AND(E1097&lt;&gt;"",E1097&lt;&gt;"!!!"),"NEW","")))</f>
        <v> </v>
      </c>
      <c r="G1097" s="24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5" t="str">
        <f>IF(J1097&lt;&gt;1,"",IF(I1097="SBJ","CB","?"))</f>
        <v> </v>
      </c>
      <c r="I1097" s="26" t="str">
        <f>IF(OR(E1097="",E1097="!!!",F1097="NEW"),"",INDEX(B1096:B$2,-1+SUMPRODUCT(MAX(ROW(E1096:E$2)*(E1097=E1096:E$2)))))</f>
        <v> </v>
      </c>
      <c r="J1097" s="26" t="str">
        <f>IF(OR(E1097="",E1097="!!!",F1097="NEW"),"",COUNTBLANK(OFFSET(A$1,,,SUMPRODUCT(MAX(ROW(E$2:E1097)*(E1097=E$2:E1097)))))-COUNTBLANK(OFFSET(A$1,,,SUMPRODUCT(MAX(ROW(E$1:E1096)*(E2=E$1:E1096))))))</f>
        <v> </v>
      </c>
      <c r="K1097" s="26" t="str">
        <f>IF(OR(E1097="",E1097="!!!",F1097="NEW"),"",INDEX(J$1:J1096,SUMPRODUCT(MAX(ROW(E$1:E1096)*(E1097=E$1:E1096)))))</f>
        <v> </v>
      </c>
      <c r="L1097" s="27"/>
    </row>
    <row r="1098" spans="1:12">
      <c r="A1098" s="20" t="s">
        <v>592</v>
      </c>
      <c r="E1098" s="22">
        <f>IF(D1098="?OLD","!!!","")</f>
        <v/>
      </c>
      <c r="F1098" s="23" t="str">
        <f>IF(OR(E1098="",E1098="!!!"),"",IF(NOT(ISNA(VLOOKUP(E1098,E$1:E1097,1,FALSE()))),"OLD",IF(AND(E1098&lt;&gt;"",E1098&lt;&gt;"!!!"),"NEW","")))</f>
        <v> </v>
      </c>
      <c r="G1098" s="24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5" t="str">
        <f>IF(J1098&lt;&gt;1,"",IF(I1098="SBJ","CB","?"))</f>
        <v> </v>
      </c>
      <c r="I1098" s="26" t="str">
        <f>IF(OR(E1098="",E1098="!!!",F1098="NEW"),"",INDEX(B1097:B$2,-1+SUMPRODUCT(MAX(ROW(E1097:E$2)*(E1098=E1097:E$2)))))</f>
        <v> </v>
      </c>
      <c r="J1098" s="26" t="str">
        <f>IF(OR(E1098="",E1098="!!!",F1098="NEW"),"",COUNTBLANK(OFFSET(A$1,,,SUMPRODUCT(MAX(ROW(E$2:E1098)*(E1098=E$2:E1098)))))-COUNTBLANK(OFFSET(A$1,,,SUMPRODUCT(MAX(ROW(E$1:E1097)*(E2=E$1:E1097))))))</f>
        <v> </v>
      </c>
      <c r="K1098" s="26" t="str">
        <f>IF(OR(E1098="",E1098="!!!",F1098="NEW"),"",INDEX(J$1:J1097,SUMPRODUCT(MAX(ROW(E$1:E1097)*(E1098=E$1:E1097)))))</f>
        <v> </v>
      </c>
      <c r="L1098" s="27"/>
    </row>
    <row r="1099" spans="1:12">
      <c r="A1099" s="20"/>
    </row>
    <row r="1100" spans="1:12">
      <c r="A1100" s="20" t="s">
        <v>1166</v>
      </c>
    </row>
    <row r="1101" spans="1:12">
      <c r="A1101" s="20" t="s">
        <v>1032</v>
      </c>
      <c r="E1101" s="22">
        <f>IF(D1101="?OLD","!!!","")</f>
        <v/>
      </c>
      <c r="F1101" s="23" t="str">
        <f>IF(OR(E1101="",E1101="!!!"),"",IF(NOT(ISNA(VLOOKUP(E1101,E$1:E1100,1,FALSE()))),"OLD",IF(AND(E1101&lt;&gt;"",E1101&lt;&gt;"!!!"),"NEW","")))</f>
        <v> </v>
      </c>
      <c r="G1101" s="24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5" t="str">
        <f>IF(J1101&lt;&gt;1,"",IF(I1101="SBJ","CB","?"))</f>
        <v> </v>
      </c>
      <c r="I1101" s="26" t="str">
        <f>IF(OR(E1101="",E1101="!!!",F1101="NEW"),"",INDEX(B1100:B$2,-1+SUMPRODUCT(MAX(ROW(E1100:E$2)*(E1101=E1100:E$2)))))</f>
        <v> </v>
      </c>
      <c r="J1101" s="26" t="str">
        <f>IF(OR(E1101="",E1101="!!!",F1101="NEW"),"",COUNTBLANK(OFFSET(A$1,,,SUMPRODUCT(MAX(ROW(E$2:E1101)*(E1101=E$2:E1101)))))-COUNTBLANK(OFFSET(A$1,,,SUMPRODUCT(MAX(ROW(E$1:E1100)*(E2=E$1:E1100))))))</f>
        <v> </v>
      </c>
      <c r="K1101" s="26" t="str">
        <f>IF(OR(E1101="",E1101="!!!",F1101="NEW"),"",INDEX(J$1:J1100,SUMPRODUCT(MAX(ROW(E$1:E1100)*(E1101=E$1:E1100)))))</f>
        <v> </v>
      </c>
      <c r="L1101" s="27"/>
    </row>
    <row r="1102" spans="1:12">
      <c r="A1102" s="20" t="s">
        <v>656</v>
      </c>
      <c r="B1102" s="21" t="s">
        <v>578</v>
      </c>
      <c r="C1102" s="21" t="s">
        <v>586</v>
      </c>
      <c r="D1102" s="21" t="s">
        <v>587</v>
      </c>
      <c r="E1102" s="22">
        <f>IF(D1102="?OLD","!!!","")</f>
        <v/>
      </c>
      <c r="F1102" s="23" t="str">
        <f>IF(OR(E1102="",E1102="!!!"),"",IF(NOT(ISNA(VLOOKUP(E1102,E$1:E1101,1,FALSE()))),"OLD",IF(AND(E1102&lt;&gt;"",E1102&lt;&gt;"!!!"),"NEW","")))</f>
        <v> </v>
      </c>
      <c r="G1102" s="24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5" t="str">
        <f>IF(J1102&lt;&gt;1,"",IF(I1102="SBJ","CB","?"))</f>
        <v> </v>
      </c>
      <c r="I1102" s="26" t="str">
        <f>IF(OR(E1102="",E1102="!!!",F1102="NEW"),"",INDEX(B1101:B$2,-1+SUMPRODUCT(MAX(ROW(E1101:E$2)*(E1102=E1101:E$2)))))</f>
        <v> </v>
      </c>
      <c r="J1102" s="26" t="str">
        <f>IF(OR(E1102="",E1102="!!!",F1102="NEW"),"",COUNTBLANK(OFFSET(A$1,,,SUMPRODUCT(MAX(ROW(E$2:E1102)*(E1102=E$2:E1102)))))-COUNTBLANK(OFFSET(A$1,,,SUMPRODUCT(MAX(ROW(E$1:E1101)*(E2=E$1:E1101))))))</f>
        <v> </v>
      </c>
      <c r="K1102" s="26" t="str">
        <f>IF(OR(E1102="",E1102="!!!",F1102="NEW"),"",INDEX(J$1:J1101,SUMPRODUCT(MAX(ROW(E$1:E1101)*(E1102=E$1:E1101)))))</f>
        <v> </v>
      </c>
      <c r="L1102" s="27"/>
    </row>
    <row r="1103" spans="1:12">
      <c r="A1103" s="20" t="s">
        <v>136</v>
      </c>
      <c r="B1103" s="21" t="s">
        <v>651</v>
      </c>
      <c r="C1103" s="21" t="s">
        <v>586</v>
      </c>
      <c r="D1103" s="21" t="s">
        <v>587</v>
      </c>
      <c r="E1103" s="22">
        <f>IF(D1103="?OLD","!!!","")</f>
        <v/>
      </c>
      <c r="F1103" s="23" t="str">
        <f>IF(OR(E1103="",E1103="!!!"),"",IF(NOT(ISNA(VLOOKUP(E1103,E$1:E1102,1,FALSE()))),"OLD",IF(AND(E1103&lt;&gt;"",E1103&lt;&gt;"!!!"),"NEW","")))</f>
        <v> </v>
      </c>
      <c r="G1103" s="24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5" t="str">
        <f>IF(J1103&lt;&gt;1,"",IF(I1103="SBJ","CB","?"))</f>
        <v> </v>
      </c>
      <c r="I1103" s="26" t="str">
        <f>IF(OR(E1103="",E1103="!!!",F1103="NEW"),"",INDEX(B1102:B$2,-1+SUMPRODUCT(MAX(ROW(E1102:E$2)*(E1103=E1102:E$2)))))</f>
        <v> </v>
      </c>
      <c r="J1103" s="26" t="str">
        <f>IF(OR(E1103="",E1103="!!!",F1103="NEW"),"",COUNTBLANK(OFFSET(A$1,,,SUMPRODUCT(MAX(ROW(E$2:E1103)*(E1103=E$2:E1103)))))-COUNTBLANK(OFFSET(A$1,,,SUMPRODUCT(MAX(ROW(E$1:E1102)*(E2=E$1:E1102))))))</f>
        <v> </v>
      </c>
      <c r="K1103" s="26" t="str">
        <f>IF(OR(E1103="",E1103="!!!",F1103="NEW"),"",INDEX(J$1:J1102,SUMPRODUCT(MAX(ROW(E$1:E1102)*(E1103=E$1:E1102)))))</f>
        <v> </v>
      </c>
      <c r="L1103" s="27"/>
    </row>
    <row r="1104" spans="1:12">
      <c r="A1104" s="20" t="s">
        <v>583</v>
      </c>
      <c r="E1104" s="22">
        <f>IF(D1104="?OLD","!!!","")</f>
        <v/>
      </c>
      <c r="F1104" s="23" t="str">
        <f>IF(OR(E1104="",E1104="!!!"),"",IF(NOT(ISNA(VLOOKUP(E1104,E$1:E1103,1,FALSE()))),"OLD",IF(AND(E1104&lt;&gt;"",E1104&lt;&gt;"!!!"),"NEW","")))</f>
        <v> </v>
      </c>
      <c r="G1104" s="24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5" t="str">
        <f>IF(J1104&lt;&gt;1,"",IF(I1104="SBJ","CB","?"))</f>
        <v> </v>
      </c>
      <c r="I1104" s="26" t="str">
        <f>IF(OR(E1104="",E1104="!!!",F1104="NEW"),"",INDEX(B1103:B$2,-1+SUMPRODUCT(MAX(ROW(E1103:E$2)*(E1104=E1103:E$2)))))</f>
        <v> </v>
      </c>
      <c r="J1104" s="26" t="str">
        <f>IF(OR(E1104="",E1104="!!!",F1104="NEW"),"",COUNTBLANK(OFFSET(A$1,,,SUMPRODUCT(MAX(ROW(E$2:E1104)*(E1104=E$2:E1104)))))-COUNTBLANK(OFFSET(A$1,,,SUMPRODUCT(MAX(ROW(E$1:E1103)*(E2=E$1:E1103))))))</f>
        <v> </v>
      </c>
      <c r="K1104" s="26" t="str">
        <f>IF(OR(E1104="",E1104="!!!",F1104="NEW"),"",INDEX(J$1:J1103,SUMPRODUCT(MAX(ROW(E$1:E1103)*(E1104=E$1:E1103)))))</f>
        <v> </v>
      </c>
      <c r="L1104" s="27"/>
    </row>
    <row r="1105" spans="1:12">
      <c r="A1105" s="20" t="s">
        <v>369</v>
      </c>
      <c r="E1105" s="22">
        <f>IF(D1105="?OLD","!!!","")</f>
        <v/>
      </c>
      <c r="F1105" s="23" t="str">
        <f>IF(OR(E1105="",E1105="!!!"),"",IF(NOT(ISNA(VLOOKUP(E1105,E$1:E1104,1,FALSE()))),"OLD",IF(AND(E1105&lt;&gt;"",E1105&lt;&gt;"!!!"),"NEW","")))</f>
        <v> </v>
      </c>
      <c r="G1105" s="24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5" t="str">
        <f>IF(J1105&lt;&gt;1,"",IF(I1105="SBJ","CB","?"))</f>
        <v> </v>
      </c>
      <c r="I1105" s="26" t="str">
        <f>IF(OR(E1105="",E1105="!!!",F1105="NEW"),"",INDEX(B1104:B$2,-1+SUMPRODUCT(MAX(ROW(E1104:E$2)*(E1105=E1104:E$2)))))</f>
        <v> </v>
      </c>
      <c r="J1105" s="26" t="str">
        <f>IF(OR(E1105="",E1105="!!!",F1105="NEW"),"",COUNTBLANK(OFFSET(A$1,,,SUMPRODUCT(MAX(ROW(E$2:E1105)*(E1105=E$2:E1105)))))-COUNTBLANK(OFFSET(A$1,,,SUMPRODUCT(MAX(ROW(E$1:E1104)*(E2=E$1:E1104))))))</f>
        <v> </v>
      </c>
      <c r="K1105" s="26" t="str">
        <f>IF(OR(E1105="",E1105="!!!",F1105="NEW"),"",INDEX(J$1:J1104,SUMPRODUCT(MAX(ROW(E$1:E1104)*(E1105=E$1:E1104)))))</f>
        <v> </v>
      </c>
      <c r="L1105" s="27"/>
    </row>
    <row r="1106" spans="1:12">
      <c r="A1106" s="20" t="s">
        <v>653</v>
      </c>
      <c r="B1106" s="21" t="s">
        <v>590</v>
      </c>
      <c r="C1106" s="21" t="s">
        <v>613</v>
      </c>
      <c r="D1106" s="21" t="s">
        <v>587</v>
      </c>
      <c r="E1106" s="22">
        <f>IF(D1106="?OLD","!!!","")</f>
        <v/>
      </c>
      <c r="F1106" s="23" t="str">
        <f>IF(OR(E1106="",E1106="!!!"),"",IF(NOT(ISNA(VLOOKUP(E1106,E$1:E1105,1,FALSE()))),"OLD",IF(AND(E1106&lt;&gt;"",E1106&lt;&gt;"!!!"),"NEW","")))</f>
        <v> </v>
      </c>
      <c r="G1106" s="24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5" t="str">
        <f>IF(J1106&lt;&gt;1,"",IF(I1106="SBJ","CB","?"))</f>
        <v> </v>
      </c>
      <c r="I1106" s="26" t="str">
        <f>IF(OR(E1106="",E1106="!!!",F1106="NEW"),"",INDEX(B1105:B$2,-1+SUMPRODUCT(MAX(ROW(E1105:E$2)*(E1106=E1105:E$2)))))</f>
        <v> </v>
      </c>
      <c r="J1106" s="26" t="str">
        <f>IF(OR(E1106="",E1106="!!!",F1106="NEW"),"",COUNTBLANK(OFFSET(A$1,,,SUMPRODUCT(MAX(ROW(E$2:E1106)*(E1106=E$2:E1106)))))-COUNTBLANK(OFFSET(A$1,,,SUMPRODUCT(MAX(ROW(E$1:E1105)*(E2=E$1:E1105))))))</f>
        <v> </v>
      </c>
      <c r="K1106" s="26" t="str">
        <f>IF(OR(E1106="",E1106="!!!",F1106="NEW"),"",INDEX(J$1:J1105,SUMPRODUCT(MAX(ROW(E$1:E1105)*(E1106=E$1:E1105)))))</f>
        <v> </v>
      </c>
      <c r="L1106" s="27"/>
    </row>
    <row r="1107" spans="1:12">
      <c r="A1107" s="20" t="s">
        <v>617</v>
      </c>
      <c r="E1107" s="22">
        <f>IF(D1107="?OLD","!!!","")</f>
        <v/>
      </c>
      <c r="F1107" s="23" t="str">
        <f>IF(OR(E1107="",E1107="!!!"),"",IF(NOT(ISNA(VLOOKUP(E1107,E$1:E1106,1,FALSE()))),"OLD",IF(AND(E1107&lt;&gt;"",E1107&lt;&gt;"!!!"),"NEW","")))</f>
        <v> </v>
      </c>
      <c r="G1107" s="24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5" t="str">
        <f>IF(J1107&lt;&gt;1,"",IF(I1107="SBJ","CB","?"))</f>
        <v> </v>
      </c>
      <c r="I1107" s="26" t="str">
        <f>IF(OR(E1107="",E1107="!!!",F1107="NEW"),"",INDEX(B1106:B$2,-1+SUMPRODUCT(MAX(ROW(E1106:E$2)*(E1107=E1106:E$2)))))</f>
        <v> </v>
      </c>
      <c r="J1107" s="26" t="str">
        <f>IF(OR(E1107="",E1107="!!!",F1107="NEW"),"",COUNTBLANK(OFFSET(A$1,,,SUMPRODUCT(MAX(ROW(E$2:E1107)*(E1107=E$2:E1107)))))-COUNTBLANK(OFFSET(A$1,,,SUMPRODUCT(MAX(ROW(E$1:E1106)*(E2=E$1:E1106))))))</f>
        <v> </v>
      </c>
      <c r="K1107" s="26" t="str">
        <f>IF(OR(E1107="",E1107="!!!",F1107="NEW"),"",INDEX(J$1:J1106,SUMPRODUCT(MAX(ROW(E$1:E1106)*(E1107=E$1:E1106)))))</f>
        <v> </v>
      </c>
      <c r="L1107" s="27"/>
    </row>
    <row r="1108" spans="1:12">
      <c r="A1108" s="20" t="s">
        <v>1167</v>
      </c>
      <c r="E1108" s="22">
        <f>IF(D1108="?OLD","!!!","")</f>
        <v/>
      </c>
      <c r="F1108" s="23" t="str">
        <f>IF(OR(E1108="",E1108="!!!"),"",IF(NOT(ISNA(VLOOKUP(E1108,E$1:E1107,1,FALSE()))),"OLD",IF(AND(E1108&lt;&gt;"",E1108&lt;&gt;"!!!"),"NEW","")))</f>
        <v> </v>
      </c>
      <c r="G1108" s="24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5" t="str">
        <f>IF(J1108&lt;&gt;1,"",IF(I1108="SBJ","CB","?"))</f>
        <v> </v>
      </c>
      <c r="I1108" s="26" t="str">
        <f>IF(OR(E1108="",E1108="!!!",F1108="NEW"),"",INDEX(B1107:B$2,-1+SUMPRODUCT(MAX(ROW(E1107:E$2)*(E1108=E1107:E$2)))))</f>
        <v> </v>
      </c>
      <c r="J1108" s="26" t="str">
        <f>IF(OR(E1108="",E1108="!!!",F1108="NEW"),"",COUNTBLANK(OFFSET(A$1,,,SUMPRODUCT(MAX(ROW(E$2:E1108)*(E1108=E$2:E1108)))))-COUNTBLANK(OFFSET(A$1,,,SUMPRODUCT(MAX(ROW(E$1:E1107)*(E2=E$1:E1107))))))</f>
        <v> </v>
      </c>
      <c r="K1108" s="26" t="str">
        <f>IF(OR(E1108="",E1108="!!!",F1108="NEW"),"",INDEX(J$1:J1107,SUMPRODUCT(MAX(ROW(E$1:E1107)*(E1108=E$1:E1107)))))</f>
        <v> </v>
      </c>
      <c r="L1108" s="27"/>
    </row>
    <row r="1109" spans="1:12">
      <c r="A1109" s="20" t="s">
        <v>592</v>
      </c>
      <c r="E1109" s="22">
        <f>IF(D1109="?OLD","!!!","")</f>
        <v/>
      </c>
      <c r="F1109" s="23" t="str">
        <f>IF(OR(E1109="",E1109="!!!"),"",IF(NOT(ISNA(VLOOKUP(E1109,E$1:E1108,1,FALSE()))),"OLD",IF(AND(E1109&lt;&gt;"",E1109&lt;&gt;"!!!"),"NEW","")))</f>
        <v> </v>
      </c>
      <c r="G1109" s="24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5" t="str">
        <f>IF(J1109&lt;&gt;1,"",IF(I1109="SBJ","CB","?"))</f>
        <v> </v>
      </c>
      <c r="I1109" s="26" t="str">
        <f>IF(OR(E1109="",E1109="!!!",F1109="NEW"),"",INDEX(B1108:B$2,-1+SUMPRODUCT(MAX(ROW(E1108:E$2)*(E1109=E1108:E$2)))))</f>
        <v> </v>
      </c>
      <c r="J1109" s="26" t="str">
        <f>IF(OR(E1109="",E1109="!!!",F1109="NEW"),"",COUNTBLANK(OFFSET(A$1,,,SUMPRODUCT(MAX(ROW(E$2:E1109)*(E1109=E$2:E1109)))))-COUNTBLANK(OFFSET(A$1,,,SUMPRODUCT(MAX(ROW(E$1:E1108)*(E2=E$1:E1108))))))</f>
        <v> </v>
      </c>
      <c r="K1109" s="26" t="str">
        <f>IF(OR(E1109="",E1109="!!!",F1109="NEW"),"",INDEX(J$1:J1108,SUMPRODUCT(MAX(ROW(E$1:E1108)*(E1109=E$1:E1108)))))</f>
        <v> </v>
      </c>
      <c r="L1109" s="27"/>
    </row>
    <row r="1110" spans="1:12">
      <c r="A1110" s="20"/>
    </row>
    <row r="1111" spans="1:12">
      <c r="A1111" s="20" t="s">
        <v>1168</v>
      </c>
    </row>
    <row r="1112" spans="1:12">
      <c r="A1112" s="20" t="s">
        <v>594</v>
      </c>
      <c r="B1112" s="21" t="s">
        <v>578</v>
      </c>
      <c r="C1112" s="21" t="s">
        <v>586</v>
      </c>
      <c r="D1112" s="21" t="s">
        <v>587</v>
      </c>
      <c r="E1112" s="22">
        <f>IF(D1112="?OLD","!!!","")</f>
        <v/>
      </c>
      <c r="F1112" s="23" t="str">
        <f>IF(OR(E1112="",E1112="!!!"),"",IF(NOT(ISNA(VLOOKUP(E1112,E$1:E1111,1,FALSE()))),"OLD",IF(AND(E1112&lt;&gt;"",E1112&lt;&gt;"!!!"),"NEW","")))</f>
        <v> </v>
      </c>
      <c r="G1112" s="24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5" t="str">
        <f>IF(J1112&lt;&gt;1,"",IF(I1112="SBJ","CB","?"))</f>
        <v> </v>
      </c>
      <c r="I1112" s="26" t="str">
        <f>IF(OR(E1112="",E1112="!!!",F1112="NEW"),"",INDEX(B1111:B$2,-1+SUMPRODUCT(MAX(ROW(E1111:E$2)*(E1112=E1111:E$2)))))</f>
        <v> </v>
      </c>
      <c r="J1112" s="26" t="str">
        <f>IF(OR(E1112="",E1112="!!!",F1112="NEW"),"",COUNTBLANK(OFFSET(A$1,,,SUMPRODUCT(MAX(ROW(E$2:E1112)*(E1112=E$2:E1112)))))-COUNTBLANK(OFFSET(A$1,,,SUMPRODUCT(MAX(ROW(E$1:E1111)*(E2=E$1:E1111))))))</f>
        <v> </v>
      </c>
      <c r="K1112" s="26" t="str">
        <f>IF(OR(E1112="",E1112="!!!",F1112="NEW"),"",INDEX(J$1:J1111,SUMPRODUCT(MAX(ROW(E$1:E1111)*(E1112=E$1:E1111)))))</f>
        <v> </v>
      </c>
      <c r="L1112" s="27"/>
    </row>
    <row r="1113" spans="1:12">
      <c r="A1113" s="20" t="s">
        <v>1169</v>
      </c>
      <c r="E1113" s="22">
        <f>IF(D1113="?OLD","!!!","")</f>
        <v/>
      </c>
      <c r="F1113" s="23" t="str">
        <f>IF(OR(E1113="",E1113="!!!"),"",IF(NOT(ISNA(VLOOKUP(E1113,E$1:E1112,1,FALSE()))),"OLD",IF(AND(E1113&lt;&gt;"",E1113&lt;&gt;"!!!"),"NEW","")))</f>
        <v> </v>
      </c>
      <c r="G1113" s="24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5" t="str">
        <f>IF(J1113&lt;&gt;1,"",IF(I1113="SBJ","CB","?"))</f>
        <v> </v>
      </c>
      <c r="I1113" s="26" t="str">
        <f>IF(OR(E1113="",E1113="!!!",F1113="NEW"),"",INDEX(B1112:B$2,-1+SUMPRODUCT(MAX(ROW(E1112:E$2)*(E1113=E1112:E$2)))))</f>
        <v> </v>
      </c>
      <c r="J1113" s="26" t="str">
        <f>IF(OR(E1113="",E1113="!!!",F1113="NEW"),"",COUNTBLANK(OFFSET(A$1,,,SUMPRODUCT(MAX(ROW(E$2:E1113)*(E1113=E$2:E1113)))))-COUNTBLANK(OFFSET(A$1,,,SUMPRODUCT(MAX(ROW(E$1:E1112)*(E2=E$1:E1112))))))</f>
        <v> </v>
      </c>
      <c r="K1113" s="26" t="str">
        <f>IF(OR(E1113="",E1113="!!!",F1113="NEW"),"",INDEX(J$1:J1112,SUMPRODUCT(MAX(ROW(E$1:E1112)*(E1113=E$1:E1112)))))</f>
        <v> </v>
      </c>
      <c r="L1113" s="27"/>
    </row>
    <row r="1114" spans="1:12">
      <c r="A1114" s="20" t="s">
        <v>1170</v>
      </c>
      <c r="E1114" s="22">
        <f>IF(D1114="?OLD","!!!","")</f>
        <v/>
      </c>
      <c r="F1114" s="23" t="str">
        <f>IF(OR(E1114="",E1114="!!!"),"",IF(NOT(ISNA(VLOOKUP(E1114,E$1:E1113,1,FALSE()))),"OLD",IF(AND(E1114&lt;&gt;"",E1114&lt;&gt;"!!!"),"NEW","")))</f>
        <v> </v>
      </c>
      <c r="G1114" s="24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5" t="str">
        <f>IF(J1114&lt;&gt;1,"",IF(I1114="SBJ","CB","?"))</f>
        <v> </v>
      </c>
      <c r="I1114" s="26" t="str">
        <f>IF(OR(E1114="",E1114="!!!",F1114="NEW"),"",INDEX(B1113:B$2,-1+SUMPRODUCT(MAX(ROW(E1113:E$2)*(E1114=E1113:E$2)))))</f>
        <v> </v>
      </c>
      <c r="J1114" s="26" t="str">
        <f>IF(OR(E1114="",E1114="!!!",F1114="NEW"),"",COUNTBLANK(OFFSET(A$1,,,SUMPRODUCT(MAX(ROW(E$2:E1114)*(E1114=E$2:E1114)))))-COUNTBLANK(OFFSET(A$1,,,SUMPRODUCT(MAX(ROW(E$1:E1113)*(E2=E$1:E1113))))))</f>
        <v> </v>
      </c>
      <c r="K1114" s="26" t="str">
        <f>IF(OR(E1114="",E1114="!!!",F1114="NEW"),"",INDEX(J$1:J1113,SUMPRODUCT(MAX(ROW(E$1:E1113)*(E1114=E$1:E1113)))))</f>
        <v> </v>
      </c>
      <c r="L1114" s="27"/>
    </row>
    <row r="1115" spans="1:12">
      <c r="A1115" s="20" t="s">
        <v>580</v>
      </c>
      <c r="E1115" s="22">
        <f>IF(D1115="?OLD","!!!","")</f>
        <v/>
      </c>
      <c r="F1115" s="23" t="str">
        <f>IF(OR(E1115="",E1115="!!!"),"",IF(NOT(ISNA(VLOOKUP(E1115,E$1:E1114,1,FALSE()))),"OLD",IF(AND(E1115&lt;&gt;"",E1115&lt;&gt;"!!!"),"NEW","")))</f>
        <v> </v>
      </c>
      <c r="G1115" s="24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5" t="str">
        <f>IF(J1115&lt;&gt;1,"",IF(I1115="SBJ","CB","?"))</f>
        <v> </v>
      </c>
      <c r="I1115" s="26" t="str">
        <f>IF(OR(E1115="",E1115="!!!",F1115="NEW"),"",INDEX(B1114:B$2,-1+SUMPRODUCT(MAX(ROW(E1114:E$2)*(E1115=E1114:E$2)))))</f>
        <v> </v>
      </c>
      <c r="J1115" s="26" t="str">
        <f>IF(OR(E1115="",E1115="!!!",F1115="NEW"),"",COUNTBLANK(OFFSET(A$1,,,SUMPRODUCT(MAX(ROW(E$2:E1115)*(E1115=E$2:E1115)))))-COUNTBLANK(OFFSET(A$1,,,SUMPRODUCT(MAX(ROW(E$1:E1114)*(E2=E$1:E1114))))))</f>
        <v> </v>
      </c>
      <c r="K1115" s="26" t="str">
        <f>IF(OR(E1115="",E1115="!!!",F1115="NEW"),"",INDEX(J$1:J1114,SUMPRODUCT(MAX(ROW(E$1:E1114)*(E1115=E$1:E1114)))))</f>
        <v> </v>
      </c>
      <c r="L1115" s="27"/>
    </row>
    <row r="1116" spans="1:12">
      <c r="A1116" s="20" t="s">
        <v>719</v>
      </c>
      <c r="E1116" s="22">
        <f>IF(D1116="?OLD","!!!","")</f>
        <v/>
      </c>
      <c r="F1116" s="23" t="str">
        <f>IF(OR(E1116="",E1116="!!!"),"",IF(NOT(ISNA(VLOOKUP(E1116,E$1:E1115,1,FALSE()))),"OLD",IF(AND(E1116&lt;&gt;"",E1116&lt;&gt;"!!!"),"NEW","")))</f>
        <v> </v>
      </c>
      <c r="G1116" s="24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5" t="str">
        <f>IF(J1116&lt;&gt;1,"",IF(I1116="SBJ","CB","?"))</f>
        <v> </v>
      </c>
      <c r="I1116" s="26" t="str">
        <f>IF(OR(E1116="",E1116="!!!",F1116="NEW"),"",INDEX(B1115:B$2,-1+SUMPRODUCT(MAX(ROW(E1115:E$2)*(E1116=E1115:E$2)))))</f>
        <v> </v>
      </c>
      <c r="J1116" s="26" t="str">
        <f>IF(OR(E1116="",E1116="!!!",F1116="NEW"),"",COUNTBLANK(OFFSET(A$1,,,SUMPRODUCT(MAX(ROW(E$2:E1116)*(E1116=E$2:E1116)))))-COUNTBLANK(OFFSET(A$1,,,SUMPRODUCT(MAX(ROW(E$1:E1115)*(E2=E$1:E1115))))))</f>
        <v> </v>
      </c>
      <c r="K1116" s="26" t="str">
        <f>IF(OR(E1116="",E1116="!!!",F1116="NEW"),"",INDEX(J$1:J1115,SUMPRODUCT(MAX(ROW(E$1:E1115)*(E1116=E$1:E1115)))))</f>
        <v> </v>
      </c>
      <c r="L1116" s="27"/>
    </row>
    <row r="1117" spans="1:12">
      <c r="A1117" s="20" t="s">
        <v>1171</v>
      </c>
      <c r="E1117" s="22">
        <f>IF(D1117="?OLD","!!!","")</f>
        <v/>
      </c>
      <c r="F1117" s="23" t="str">
        <f>IF(OR(E1117="",E1117="!!!"),"",IF(NOT(ISNA(VLOOKUP(E1117,E$1:E1116,1,FALSE()))),"OLD",IF(AND(E1117&lt;&gt;"",E1117&lt;&gt;"!!!"),"NEW","")))</f>
        <v> </v>
      </c>
      <c r="G1117" s="24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5" t="str">
        <f>IF(J1117&lt;&gt;1,"",IF(I1117="SBJ","CB","?"))</f>
        <v> </v>
      </c>
      <c r="I1117" s="26" t="str">
        <f>IF(OR(E1117="",E1117="!!!",F1117="NEW"),"",INDEX(B1116:B$2,-1+SUMPRODUCT(MAX(ROW(E1116:E$2)*(E1117=E1116:E$2)))))</f>
        <v> </v>
      </c>
      <c r="J1117" s="26" t="str">
        <f>IF(OR(E1117="",E1117="!!!",F1117="NEW"),"",COUNTBLANK(OFFSET(A$1,,,SUMPRODUCT(MAX(ROW(E$2:E1117)*(E1117=E$2:E1117)))))-COUNTBLANK(OFFSET(A$1,,,SUMPRODUCT(MAX(ROW(E$1:E1116)*(E2=E$1:E1116))))))</f>
        <v> </v>
      </c>
      <c r="K1117" s="26" t="str">
        <f>IF(OR(E1117="",E1117="!!!",F1117="NEW"),"",INDEX(J$1:J1116,SUMPRODUCT(MAX(ROW(E$1:E1116)*(E1117=E$1:E1116)))))</f>
        <v> </v>
      </c>
      <c r="L1117" s="27"/>
    </row>
    <row r="1118" spans="1:12">
      <c r="A1118" s="20" t="s">
        <v>1172</v>
      </c>
      <c r="E1118" s="22">
        <f>IF(D1118="?OLD","!!!","")</f>
        <v/>
      </c>
      <c r="F1118" s="23" t="str">
        <f>IF(OR(E1118="",E1118="!!!"),"",IF(NOT(ISNA(VLOOKUP(E1118,E$1:E1117,1,FALSE()))),"OLD",IF(AND(E1118&lt;&gt;"",E1118&lt;&gt;"!!!"),"NEW","")))</f>
        <v> </v>
      </c>
      <c r="G1118" s="24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5" t="str">
        <f>IF(J1118&lt;&gt;1,"",IF(I1118="SBJ","CB","?"))</f>
        <v> </v>
      </c>
      <c r="I1118" s="26" t="str">
        <f>IF(OR(E1118="",E1118="!!!",F1118="NEW"),"",INDEX(B1117:B$2,-1+SUMPRODUCT(MAX(ROW(E1117:E$2)*(E1118=E1117:E$2)))))</f>
        <v> </v>
      </c>
      <c r="J1118" s="26" t="str">
        <f>IF(OR(E1118="",E1118="!!!",F1118="NEW"),"",COUNTBLANK(OFFSET(A$1,,,SUMPRODUCT(MAX(ROW(E$2:E1118)*(E1118=E$2:E1118)))))-COUNTBLANK(OFFSET(A$1,,,SUMPRODUCT(MAX(ROW(E$1:E1117)*(E2=E$1:E1117))))))</f>
        <v> </v>
      </c>
      <c r="K1118" s="26" t="str">
        <f>IF(OR(E1118="",E1118="!!!",F1118="NEW"),"",INDEX(J$1:J1117,SUMPRODUCT(MAX(ROW(E$1:E1117)*(E1118=E$1:E1117)))))</f>
        <v> </v>
      </c>
      <c r="L1118" s="27"/>
    </row>
    <row r="1119" spans="1:12">
      <c r="A1119" s="20" t="s">
        <v>1173</v>
      </c>
      <c r="B1119" s="21" t="s">
        <v>585</v>
      </c>
      <c r="C1119" s="21" t="s">
        <v>709</v>
      </c>
      <c r="D1119" s="21" t="s">
        <v>587</v>
      </c>
      <c r="E1119" s="22">
        <f>IF(D1119="?OLD","!!!","")</f>
        <v/>
      </c>
      <c r="F1119" s="23" t="str">
        <f>IF(OR(E1119="",E1119="!!!"),"",IF(NOT(ISNA(VLOOKUP(E1119,E$1:E1118,1,FALSE()))),"OLD",IF(AND(E1119&lt;&gt;"",E1119&lt;&gt;"!!!"),"NEW","")))</f>
        <v> </v>
      </c>
      <c r="G1119" s="24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5" t="str">
        <f>IF(J1119&lt;&gt;1,"",IF(I1119="SBJ","CB","?"))</f>
        <v> </v>
      </c>
      <c r="I1119" s="26" t="str">
        <f>IF(OR(E1119="",E1119="!!!",F1119="NEW"),"",INDEX(B1118:B$2,-1+SUMPRODUCT(MAX(ROW(E1118:E$2)*(E1119=E1118:E$2)))))</f>
        <v> </v>
      </c>
      <c r="J1119" s="26" t="str">
        <f>IF(OR(E1119="",E1119="!!!",F1119="NEW"),"",COUNTBLANK(OFFSET(A$1,,,SUMPRODUCT(MAX(ROW(E$2:E1119)*(E1119=E$2:E1119)))))-COUNTBLANK(OFFSET(A$1,,,SUMPRODUCT(MAX(ROW(E$1:E1118)*(E2=E$1:E1118))))))</f>
        <v> </v>
      </c>
      <c r="K1119" s="26" t="str">
        <f>IF(OR(E1119="",E1119="!!!",F1119="NEW"),"",INDEX(J$1:J1118,SUMPRODUCT(MAX(ROW(E$1:E1118)*(E1119=E$1:E1118)))))</f>
        <v> </v>
      </c>
      <c r="L1119" s="27"/>
    </row>
    <row r="1120" spans="1:12">
      <c r="A1120" s="20" t="s">
        <v>1174</v>
      </c>
      <c r="E1120" s="22">
        <f>IF(D1120="?OLD","!!!","")</f>
        <v/>
      </c>
      <c r="F1120" s="23" t="str">
        <f>IF(OR(E1120="",E1120="!!!"),"",IF(NOT(ISNA(VLOOKUP(E1120,E$1:E1119,1,FALSE()))),"OLD",IF(AND(E1120&lt;&gt;"",E1120&lt;&gt;"!!!"),"NEW","")))</f>
        <v> </v>
      </c>
      <c r="G1120" s="24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5" t="str">
        <f>IF(J1120&lt;&gt;1,"",IF(I1120="SBJ","CB","?"))</f>
        <v> </v>
      </c>
      <c r="I1120" s="26" t="str">
        <f>IF(OR(E1120="",E1120="!!!",F1120="NEW"),"",INDEX(B1119:B$2,-1+SUMPRODUCT(MAX(ROW(E1119:E$2)*(E1120=E1119:E$2)))))</f>
        <v> </v>
      </c>
      <c r="J1120" s="26" t="str">
        <f>IF(OR(E1120="",E1120="!!!",F1120="NEW"),"",COUNTBLANK(OFFSET(A$1,,,SUMPRODUCT(MAX(ROW(E$2:E1120)*(E1120=E$2:E1120)))))-COUNTBLANK(OFFSET(A$1,,,SUMPRODUCT(MAX(ROW(E$1:E1119)*(E2=E$1:E1119))))))</f>
        <v> </v>
      </c>
      <c r="K1120" s="26" t="str">
        <f>IF(OR(E1120="",E1120="!!!",F1120="NEW"),"",INDEX(J$1:J1119,SUMPRODUCT(MAX(ROW(E$1:E1119)*(E1120=E$1:E1119)))))</f>
        <v> </v>
      </c>
      <c r="L1120" s="27"/>
    </row>
    <row r="1121" spans="1:12">
      <c r="A1121" s="20" t="s">
        <v>583</v>
      </c>
      <c r="E1121" s="22">
        <f>IF(D1121="?OLD","!!!","")</f>
        <v/>
      </c>
      <c r="F1121" s="23" t="str">
        <f>IF(OR(E1121="",E1121="!!!"),"",IF(NOT(ISNA(VLOOKUP(E1121,E$1:E1120,1,FALSE()))),"OLD",IF(AND(E1121&lt;&gt;"",E1121&lt;&gt;"!!!"),"NEW","")))</f>
        <v> </v>
      </c>
      <c r="G1121" s="24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5" t="str">
        <f>IF(J1121&lt;&gt;1,"",IF(I1121="SBJ","CB","?"))</f>
        <v> </v>
      </c>
      <c r="I1121" s="26" t="str">
        <f>IF(OR(E1121="",E1121="!!!",F1121="NEW"),"",INDEX(B1120:B$2,-1+SUMPRODUCT(MAX(ROW(E1120:E$2)*(E1121=E1120:E$2)))))</f>
        <v> </v>
      </c>
      <c r="J1121" s="26" t="str">
        <f>IF(OR(E1121="",E1121="!!!",F1121="NEW"),"",COUNTBLANK(OFFSET(A$1,,,SUMPRODUCT(MAX(ROW(E$2:E1121)*(E1121=E$2:E1121)))))-COUNTBLANK(OFFSET(A$1,,,SUMPRODUCT(MAX(ROW(E$1:E1120)*(E2=E$1:E1120))))))</f>
        <v> </v>
      </c>
      <c r="K1121" s="26" t="str">
        <f>IF(OR(E1121="",E1121="!!!",F1121="NEW"),"",INDEX(J$1:J1120,SUMPRODUCT(MAX(ROW(E$1:E1120)*(E1121=E$1:E1120)))))</f>
        <v> </v>
      </c>
      <c r="L1121" s="27"/>
    </row>
    <row r="1122" spans="1:12">
      <c r="A1122" s="20" t="s">
        <v>1175</v>
      </c>
      <c r="E1122" s="22">
        <f>IF(D1122="?OLD","!!!","")</f>
        <v/>
      </c>
      <c r="F1122" s="23" t="str">
        <f>IF(OR(E1122="",E1122="!!!"),"",IF(NOT(ISNA(VLOOKUP(E1122,E$1:E1121,1,FALSE()))),"OLD",IF(AND(E1122&lt;&gt;"",E1122&lt;&gt;"!!!"),"NEW","")))</f>
        <v> </v>
      </c>
      <c r="G1122" s="24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5" t="str">
        <f>IF(J1122&lt;&gt;1,"",IF(I1122="SBJ","CB","?"))</f>
        <v> </v>
      </c>
      <c r="I1122" s="26" t="str">
        <f>IF(OR(E1122="",E1122="!!!",F1122="NEW"),"",INDEX(B1121:B$2,-1+SUMPRODUCT(MAX(ROW(E1121:E$2)*(E1122=E1121:E$2)))))</f>
        <v> </v>
      </c>
      <c r="J1122" s="26" t="str">
        <f>IF(OR(E1122="",E1122="!!!",F1122="NEW"),"",COUNTBLANK(OFFSET(A$1,,,SUMPRODUCT(MAX(ROW(E$2:E1122)*(E1122=E$2:E1122)))))-COUNTBLANK(OFFSET(A$1,,,SUMPRODUCT(MAX(ROW(E$1:E1121)*(E2=E$1:E1121))))))</f>
        <v> </v>
      </c>
      <c r="K1122" s="26" t="str">
        <f>IF(OR(E1122="",E1122="!!!",F1122="NEW"),"",INDEX(J$1:J1121,SUMPRODUCT(MAX(ROW(E$1:E1121)*(E1122=E$1:E1121)))))</f>
        <v> </v>
      </c>
      <c r="L1122" s="27"/>
    </row>
    <row r="1123" spans="1:12">
      <c r="A1123" s="20" t="s">
        <v>1176</v>
      </c>
      <c r="E1123" s="22">
        <f>IF(D1123="?OLD","!!!","")</f>
        <v/>
      </c>
      <c r="F1123" s="23" t="str">
        <f>IF(OR(E1123="",E1123="!!!"),"",IF(NOT(ISNA(VLOOKUP(E1123,E$1:E1122,1,FALSE()))),"OLD",IF(AND(E1123&lt;&gt;"",E1123&lt;&gt;"!!!"),"NEW","")))</f>
        <v> </v>
      </c>
      <c r="G1123" s="24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5" t="str">
        <f>IF(J1123&lt;&gt;1,"",IF(I1123="SBJ","CB","?"))</f>
        <v> </v>
      </c>
      <c r="I1123" s="26" t="str">
        <f>IF(OR(E1123="",E1123="!!!",F1123="NEW"),"",INDEX(B1122:B$2,-1+SUMPRODUCT(MAX(ROW(E1122:E$2)*(E1123=E1122:E$2)))))</f>
        <v> </v>
      </c>
      <c r="J1123" s="26" t="str">
        <f>IF(OR(E1123="",E1123="!!!",F1123="NEW"),"",COUNTBLANK(OFFSET(A$1,,,SUMPRODUCT(MAX(ROW(E$2:E1123)*(E1123=E$2:E1123)))))-COUNTBLANK(OFFSET(A$1,,,SUMPRODUCT(MAX(ROW(E$1:E1122)*(E2=E$1:E1122))))))</f>
        <v> </v>
      </c>
      <c r="K1123" s="26" t="str">
        <f>IF(OR(E1123="",E1123="!!!",F1123="NEW"),"",INDEX(J$1:J1122,SUMPRODUCT(MAX(ROW(E$1:E1122)*(E1123=E$1:E1122)))))</f>
        <v> </v>
      </c>
      <c r="L1123" s="27"/>
    </row>
    <row r="1124" spans="1:12">
      <c r="A1124" s="20" t="s">
        <v>592</v>
      </c>
      <c r="E1124" s="22">
        <f>IF(D1124="?OLD","!!!","")</f>
        <v/>
      </c>
      <c r="F1124" s="23" t="str">
        <f>IF(OR(E1124="",E1124="!!!"),"",IF(NOT(ISNA(VLOOKUP(E1124,E$1:E1123,1,FALSE()))),"OLD",IF(AND(E1124&lt;&gt;"",E1124&lt;&gt;"!!!"),"NEW","")))</f>
        <v> </v>
      </c>
      <c r="G1124" s="24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5" t="str">
        <f>IF(J1124&lt;&gt;1,"",IF(I1124="SBJ","CB","?"))</f>
        <v> </v>
      </c>
      <c r="I1124" s="26" t="str">
        <f>IF(OR(E1124="",E1124="!!!",F1124="NEW"),"",INDEX(B1123:B$2,-1+SUMPRODUCT(MAX(ROW(E1123:E$2)*(E1124=E1123:E$2)))))</f>
        <v> </v>
      </c>
      <c r="J1124" s="26" t="str">
        <f>IF(OR(E1124="",E1124="!!!",F1124="NEW"),"",COUNTBLANK(OFFSET(A$1,,,SUMPRODUCT(MAX(ROW(E$2:E1124)*(E1124=E$2:E1124)))))-COUNTBLANK(OFFSET(A$1,,,SUMPRODUCT(MAX(ROW(E$1:E1123)*(E2=E$1:E1123))))))</f>
        <v> </v>
      </c>
      <c r="K1124" s="26" t="str">
        <f>IF(OR(E1124="",E1124="!!!",F1124="NEW"),"",INDEX(J$1:J1123,SUMPRODUCT(MAX(ROW(E$1:E1123)*(E1124=E$1:E1123)))))</f>
        <v> </v>
      </c>
      <c r="L1124" s="27"/>
    </row>
    <row r="1125" spans="1:12">
      <c r="A1125" s="20"/>
    </row>
    <row r="1126" spans="1:12">
      <c r="A1126" s="20" t="s">
        <v>1177</v>
      </c>
    </row>
    <row r="1127" spans="1:12">
      <c r="A1127" s="20" t="s">
        <v>1178</v>
      </c>
      <c r="B1127" s="21" t="s">
        <v>578</v>
      </c>
      <c r="C1127" s="21" t="s">
        <v>628</v>
      </c>
      <c r="D1127" s="21" t="s">
        <v>587</v>
      </c>
      <c r="E1127" s="22">
        <f>IF(D1127="?OLD","!!!","")</f>
        <v/>
      </c>
      <c r="F1127" s="23" t="str">
        <f>IF(OR(E1127="",E1127="!!!"),"",IF(NOT(ISNA(VLOOKUP(E1127,E$1:E1126,1,FALSE()))),"OLD",IF(AND(E1127&lt;&gt;"",E1127&lt;&gt;"!!!"),"NEW","")))</f>
        <v> </v>
      </c>
      <c r="G1127" s="24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5" t="str">
        <f>IF(J1127&lt;&gt;1,"",IF(I1127="SBJ","CB","?"))</f>
        <v> </v>
      </c>
      <c r="I1127" s="26" t="str">
        <f>IF(OR(E1127="",E1127="!!!",F1127="NEW"),"",INDEX(B1126:B$2,-1+SUMPRODUCT(MAX(ROW(E1126:E$2)*(E1127=E1126:E$2)))))</f>
        <v> </v>
      </c>
      <c r="J1127" s="26" t="str">
        <f>IF(OR(E1127="",E1127="!!!",F1127="NEW"),"",COUNTBLANK(OFFSET(A$1,,,SUMPRODUCT(MAX(ROW(E$2:E1127)*(E1127=E$2:E1127)))))-COUNTBLANK(OFFSET(A$1,,,SUMPRODUCT(MAX(ROW(E$1:E1126)*(E2=E$1:E1126))))))</f>
        <v> </v>
      </c>
      <c r="K1127" s="26" t="str">
        <f>IF(OR(E1127="",E1127="!!!",F1127="NEW"),"",INDEX(J$1:J1126,SUMPRODUCT(MAX(ROW(E$1:E1126)*(E1127=E$1:E1126)))))</f>
        <v> </v>
      </c>
      <c r="L1127" s="27"/>
    </row>
    <row r="1128" spans="1:12">
      <c r="A1128" s="20" t="s">
        <v>583</v>
      </c>
      <c r="E1128" s="22">
        <f>IF(D1128="?OLD","!!!","")</f>
        <v/>
      </c>
      <c r="F1128" s="23" t="str">
        <f>IF(OR(E1128="",E1128="!!!"),"",IF(NOT(ISNA(VLOOKUP(E1128,E$1:E1127,1,FALSE()))),"OLD",IF(AND(E1128&lt;&gt;"",E1128&lt;&gt;"!!!"),"NEW","")))</f>
        <v> </v>
      </c>
      <c r="G1128" s="24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5" t="str">
        <f>IF(J1128&lt;&gt;1,"",IF(I1128="SBJ","CB","?"))</f>
        <v> </v>
      </c>
      <c r="I1128" s="26" t="str">
        <f>IF(OR(E1128="",E1128="!!!",F1128="NEW"),"",INDEX(B1127:B$2,-1+SUMPRODUCT(MAX(ROW(E1127:E$2)*(E1128=E1127:E$2)))))</f>
        <v> </v>
      </c>
      <c r="J1128" s="26" t="str">
        <f>IF(OR(E1128="",E1128="!!!",F1128="NEW"),"",COUNTBLANK(OFFSET(A$1,,,SUMPRODUCT(MAX(ROW(E$2:E1128)*(E1128=E$2:E1128)))))-COUNTBLANK(OFFSET(A$1,,,SUMPRODUCT(MAX(ROW(E$1:E1127)*(E2=E$1:E1127))))))</f>
        <v> </v>
      </c>
      <c r="K1128" s="26" t="str">
        <f>IF(OR(E1128="",E1128="!!!",F1128="NEW"),"",INDEX(J$1:J1127,SUMPRODUCT(MAX(ROW(E$1:E1127)*(E1128=E$1:E1127)))))</f>
        <v> </v>
      </c>
      <c r="L1128" s="27"/>
    </row>
    <row r="1129" spans="1:12">
      <c r="A1129" s="20" t="s">
        <v>1179</v>
      </c>
      <c r="B1129" s="21" t="s">
        <v>585</v>
      </c>
      <c r="C1129" s="21" t="s">
        <v>628</v>
      </c>
      <c r="D1129" s="21" t="s">
        <v>587</v>
      </c>
      <c r="E1129" s="22">
        <f>IF(D1129="?OLD","!!!","")</f>
        <v/>
      </c>
      <c r="F1129" s="23" t="str">
        <f>IF(OR(E1129="",E1129="!!!"),"",IF(NOT(ISNA(VLOOKUP(E1129,E$1:E1128,1,FALSE()))),"OLD",IF(AND(E1129&lt;&gt;"",E1129&lt;&gt;"!!!"),"NEW","")))</f>
        <v> </v>
      </c>
      <c r="G1129" s="24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5" t="str">
        <f>IF(J1129&lt;&gt;1,"",IF(I1129="SBJ","CB","?"))</f>
        <v> </v>
      </c>
      <c r="I1129" s="26" t="str">
        <f>IF(OR(E1129="",E1129="!!!",F1129="NEW"),"",INDEX(B1128:B$2,-1+SUMPRODUCT(MAX(ROW(E1128:E$2)*(E1129=E1128:E$2)))))</f>
        <v> </v>
      </c>
      <c r="J1129" s="26" t="str">
        <f>IF(OR(E1129="",E1129="!!!",F1129="NEW"),"",COUNTBLANK(OFFSET(A$1,,,SUMPRODUCT(MAX(ROW(E$2:E1129)*(E1129=E$2:E1129)))))-COUNTBLANK(OFFSET(A$1,,,SUMPRODUCT(MAX(ROW(E$1:E1128)*(E2=E$1:E1128))))))</f>
        <v> </v>
      </c>
      <c r="K1129" s="26" t="str">
        <f>IF(OR(E1129="",E1129="!!!",F1129="NEW"),"",INDEX(J$1:J1128,SUMPRODUCT(MAX(ROW(E$1:E1128)*(E1129=E$1:E1128)))))</f>
        <v> </v>
      </c>
      <c r="L1129" s="27"/>
    </row>
    <row r="1130" spans="1:12">
      <c r="A1130" s="20" t="s">
        <v>583</v>
      </c>
      <c r="E1130" s="22">
        <f>IF(D1130="?OLD","!!!","")</f>
        <v/>
      </c>
      <c r="F1130" s="23" t="str">
        <f>IF(OR(E1130="",E1130="!!!"),"",IF(NOT(ISNA(VLOOKUP(E1130,E$1:E1129,1,FALSE()))),"OLD",IF(AND(E1130&lt;&gt;"",E1130&lt;&gt;"!!!"),"NEW","")))</f>
        <v> </v>
      </c>
      <c r="G1130" s="24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5" t="str">
        <f>IF(J1130&lt;&gt;1,"",IF(I1130="SBJ","CB","?"))</f>
        <v> </v>
      </c>
      <c r="I1130" s="26" t="str">
        <f>IF(OR(E1130="",E1130="!!!",F1130="NEW"),"",INDEX(B1129:B$2,-1+SUMPRODUCT(MAX(ROW(E1129:E$2)*(E1130=E1129:E$2)))))</f>
        <v> </v>
      </c>
      <c r="J1130" s="26" t="str">
        <f>IF(OR(E1130="",E1130="!!!",F1130="NEW"),"",COUNTBLANK(OFFSET(A$1,,,SUMPRODUCT(MAX(ROW(E$2:E1130)*(E1130=E$2:E1130)))))-COUNTBLANK(OFFSET(A$1,,,SUMPRODUCT(MAX(ROW(E$1:E1129)*(E2=E$1:E1129))))))</f>
        <v> </v>
      </c>
      <c r="K1130" s="26" t="str">
        <f>IF(OR(E1130="",E1130="!!!",F1130="NEW"),"",INDEX(J$1:J1129,SUMPRODUCT(MAX(ROW(E$1:E1129)*(E1130=E$1:E1129)))))</f>
        <v> </v>
      </c>
      <c r="L1130" s="27"/>
    </row>
    <row r="1131" spans="1:12">
      <c r="A1131" s="20" t="s">
        <v>1180</v>
      </c>
      <c r="B1131" s="21" t="s">
        <v>585</v>
      </c>
      <c r="C1131" s="21" t="s">
        <v>628</v>
      </c>
      <c r="D1131" s="21" t="s">
        <v>587</v>
      </c>
      <c r="E1131" s="22">
        <f>IF(D1131="?OLD","!!!","")</f>
        <v/>
      </c>
      <c r="F1131" s="23" t="str">
        <f>IF(OR(E1131="",E1131="!!!"),"",IF(NOT(ISNA(VLOOKUP(E1131,E$1:E1130,1,FALSE()))),"OLD",IF(AND(E1131&lt;&gt;"",E1131&lt;&gt;"!!!"),"NEW","")))</f>
        <v> </v>
      </c>
      <c r="G1131" s="24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5" t="str">
        <f>IF(J1131&lt;&gt;1,"",IF(I1131="SBJ","CB","?"))</f>
        <v> </v>
      </c>
      <c r="I1131" s="26" t="str">
        <f>IF(OR(E1131="",E1131="!!!",F1131="NEW"),"",INDEX(B1130:B$2,-1+SUMPRODUCT(MAX(ROW(E1130:E$2)*(E1131=E1130:E$2)))))</f>
        <v> </v>
      </c>
      <c r="J1131" s="26" t="str">
        <f>IF(OR(E1131="",E1131="!!!",F1131="NEW"),"",COUNTBLANK(OFFSET(A$1,,,SUMPRODUCT(MAX(ROW(E$2:E1131)*(E1131=E$2:E1131)))))-COUNTBLANK(OFFSET(A$1,,,SUMPRODUCT(MAX(ROW(E$1:E1130)*(E2=E$1:E1130))))))</f>
        <v> </v>
      </c>
      <c r="K1131" s="26" t="str">
        <f>IF(OR(E1131="",E1131="!!!",F1131="NEW"),"",INDEX(J$1:J1130,SUMPRODUCT(MAX(ROW(E$1:E1130)*(E1131=E$1:E1130)))))</f>
        <v> </v>
      </c>
      <c r="L1131" s="27"/>
    </row>
    <row r="1132" spans="1:12">
      <c r="A1132" s="20" t="s">
        <v>733</v>
      </c>
      <c r="E1132" s="22">
        <f>IF(D1132="?OLD","!!!","")</f>
        <v/>
      </c>
      <c r="F1132" s="23" t="str">
        <f>IF(OR(E1132="",E1132="!!!"),"",IF(NOT(ISNA(VLOOKUP(E1132,E$1:E1131,1,FALSE()))),"OLD",IF(AND(E1132&lt;&gt;"",E1132&lt;&gt;"!!!"),"NEW","")))</f>
        <v> </v>
      </c>
      <c r="G1132" s="24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5" t="str">
        <f>IF(J1132&lt;&gt;1,"",IF(I1132="SBJ","CB","?"))</f>
        <v> </v>
      </c>
      <c r="I1132" s="26" t="str">
        <f>IF(OR(E1132="",E1132="!!!",F1132="NEW"),"",INDEX(B1131:B$2,-1+SUMPRODUCT(MAX(ROW(E1131:E$2)*(E1132=E1131:E$2)))))</f>
        <v> </v>
      </c>
      <c r="J1132" s="26" t="str">
        <f>IF(OR(E1132="",E1132="!!!",F1132="NEW"),"",COUNTBLANK(OFFSET(A$1,,,SUMPRODUCT(MAX(ROW(E$2:E1132)*(E1132=E$2:E1132)))))-COUNTBLANK(OFFSET(A$1,,,SUMPRODUCT(MAX(ROW(E$1:E1131)*(E2=E$1:E1131))))))</f>
        <v> </v>
      </c>
      <c r="K1132" s="26" t="str">
        <f>IF(OR(E1132="",E1132="!!!",F1132="NEW"),"",INDEX(J$1:J1131,SUMPRODUCT(MAX(ROW(E$1:E1131)*(E1132=E$1:E1131)))))</f>
        <v> </v>
      </c>
      <c r="L1132" s="27"/>
    </row>
    <row r="1133" spans="1:12">
      <c r="A1133" s="20" t="s">
        <v>1181</v>
      </c>
      <c r="E1133" s="22">
        <f>IF(D1133="?OLD","!!!","")</f>
        <v/>
      </c>
      <c r="F1133" s="23" t="str">
        <f>IF(OR(E1133="",E1133="!!!"),"",IF(NOT(ISNA(VLOOKUP(E1133,E$1:E1132,1,FALSE()))),"OLD",IF(AND(E1133&lt;&gt;"",E1133&lt;&gt;"!!!"),"NEW","")))</f>
        <v> </v>
      </c>
      <c r="G1133" s="24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5" t="str">
        <f>IF(J1133&lt;&gt;1,"",IF(I1133="SBJ","CB","?"))</f>
        <v> </v>
      </c>
      <c r="I1133" s="26" t="str">
        <f>IF(OR(E1133="",E1133="!!!",F1133="NEW"),"",INDEX(B1132:B$2,-1+SUMPRODUCT(MAX(ROW(E1132:E$2)*(E1133=E1132:E$2)))))</f>
        <v> </v>
      </c>
      <c r="J1133" s="26" t="str">
        <f>IF(OR(E1133="",E1133="!!!",F1133="NEW"),"",COUNTBLANK(OFFSET(A$1,,,SUMPRODUCT(MAX(ROW(E$2:E1133)*(E1133=E$2:E1133)))))-COUNTBLANK(OFFSET(A$1,,,SUMPRODUCT(MAX(ROW(E$1:E1132)*(E2=E$1:E1132))))))</f>
        <v> </v>
      </c>
      <c r="K1133" s="26" t="str">
        <f>IF(OR(E1133="",E1133="!!!",F1133="NEW"),"",INDEX(J$1:J1132,SUMPRODUCT(MAX(ROW(E$1:E1132)*(E1133=E$1:E1132)))))</f>
        <v> </v>
      </c>
      <c r="L1133" s="27"/>
    </row>
    <row r="1134" spans="1:12">
      <c r="A1134" s="20" t="s">
        <v>1182</v>
      </c>
      <c r="E1134" s="22">
        <f>IF(D1134="?OLD","!!!","")</f>
        <v/>
      </c>
      <c r="F1134" s="23" t="str">
        <f>IF(OR(E1134="",E1134="!!!"),"",IF(NOT(ISNA(VLOOKUP(E1134,E$1:E1133,1,FALSE()))),"OLD",IF(AND(E1134&lt;&gt;"",E1134&lt;&gt;"!!!"),"NEW","")))</f>
        <v> </v>
      </c>
      <c r="G1134" s="24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5" t="str">
        <f>IF(J1134&lt;&gt;1,"",IF(I1134="SBJ","CB","?"))</f>
        <v> </v>
      </c>
      <c r="I1134" s="26" t="str">
        <f>IF(OR(E1134="",E1134="!!!",F1134="NEW"),"",INDEX(B1133:B$2,-1+SUMPRODUCT(MAX(ROW(E1133:E$2)*(E1134=E1133:E$2)))))</f>
        <v> </v>
      </c>
      <c r="J1134" s="26" t="str">
        <f>IF(OR(E1134="",E1134="!!!",F1134="NEW"),"",COUNTBLANK(OFFSET(A$1,,,SUMPRODUCT(MAX(ROW(E$2:E1134)*(E1134=E$2:E1134)))))-COUNTBLANK(OFFSET(A$1,,,SUMPRODUCT(MAX(ROW(E$1:E1133)*(E2=E$1:E1133))))))</f>
        <v> </v>
      </c>
      <c r="K1134" s="26" t="str">
        <f>IF(OR(E1134="",E1134="!!!",F1134="NEW"),"",INDEX(J$1:J1133,SUMPRODUCT(MAX(ROW(E$1:E1133)*(E1134=E$1:E1133)))))</f>
        <v> </v>
      </c>
      <c r="L1134" s="27"/>
    </row>
    <row r="1135" spans="1:12">
      <c r="A1135" s="20" t="s">
        <v>677</v>
      </c>
      <c r="E1135" s="22">
        <f>IF(D1135="?OLD","!!!","")</f>
        <v/>
      </c>
      <c r="F1135" s="23" t="str">
        <f>IF(OR(E1135="",E1135="!!!"),"",IF(NOT(ISNA(VLOOKUP(E1135,E$1:E1134,1,FALSE()))),"OLD",IF(AND(E1135&lt;&gt;"",E1135&lt;&gt;"!!!"),"NEW","")))</f>
        <v> </v>
      </c>
      <c r="G1135" s="24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5" t="str">
        <f>IF(J1135&lt;&gt;1,"",IF(I1135="SBJ","CB","?"))</f>
        <v> </v>
      </c>
      <c r="I1135" s="26" t="str">
        <f>IF(OR(E1135="",E1135="!!!",F1135="NEW"),"",INDEX(B1134:B$2,-1+SUMPRODUCT(MAX(ROW(E1134:E$2)*(E1135=E1134:E$2)))))</f>
        <v> </v>
      </c>
      <c r="J1135" s="26" t="str">
        <f>IF(OR(E1135="",E1135="!!!",F1135="NEW"),"",COUNTBLANK(OFFSET(A$1,,,SUMPRODUCT(MAX(ROW(E$2:E1135)*(E1135=E$2:E1135)))))-COUNTBLANK(OFFSET(A$1,,,SUMPRODUCT(MAX(ROW(E$1:E1134)*(E2=E$1:E1134))))))</f>
        <v> </v>
      </c>
      <c r="K1135" s="26" t="str">
        <f>IF(OR(E1135="",E1135="!!!",F1135="NEW"),"",INDEX(J$1:J1134,SUMPRODUCT(MAX(ROW(E$1:E1134)*(E1135=E$1:E1134)))))</f>
        <v> </v>
      </c>
      <c r="L1135" s="27"/>
    </row>
    <row r="1136" spans="1:12">
      <c r="A1136" s="20" t="s">
        <v>1183</v>
      </c>
      <c r="B1136" s="21" t="s">
        <v>651</v>
      </c>
      <c r="C1136" s="21" t="s">
        <v>1184</v>
      </c>
      <c r="E1136" s="22">
        <f>IF(D1136="?OLD","!!!","")</f>
        <v/>
      </c>
      <c r="F1136" s="23" t="str">
        <f>IF(OR(E1136="",E1136="!!!"),"",IF(NOT(ISNA(VLOOKUP(E1136,E$1:E1135,1,FALSE()))),"OLD",IF(AND(E1136&lt;&gt;"",E1136&lt;&gt;"!!!"),"NEW","")))</f>
        <v> </v>
      </c>
      <c r="G1136" s="24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5" t="str">
        <f>IF(J1136&lt;&gt;1,"",IF(I1136="SBJ","CB","?"))</f>
        <v> </v>
      </c>
      <c r="I1136" s="26" t="str">
        <f>IF(OR(E1136="",E1136="!!!",F1136="NEW"),"",INDEX(B1135:B$2,-1+SUMPRODUCT(MAX(ROW(E1135:E$2)*(E1136=E1135:E$2)))))</f>
        <v> </v>
      </c>
      <c r="J1136" s="26" t="str">
        <f>IF(OR(E1136="",E1136="!!!",F1136="NEW"),"",COUNTBLANK(OFFSET(A$1,,,SUMPRODUCT(MAX(ROW(E$2:E1136)*(E1136=E$2:E1136)))))-COUNTBLANK(OFFSET(A$1,,,SUMPRODUCT(MAX(ROW(E$1:E1135)*(E2=E$1:E1135))))))</f>
        <v> </v>
      </c>
      <c r="K1136" s="26" t="str">
        <f>IF(OR(E1136="",E1136="!!!",F1136="NEW"),"",INDEX(J$1:J1135,SUMPRODUCT(MAX(ROW(E$1:E1135)*(E1136=E$1:E1135)))))</f>
        <v> </v>
      </c>
      <c r="L1136" s="27"/>
    </row>
    <row r="1137" spans="1:12">
      <c r="A1137" s="20" t="s">
        <v>1185</v>
      </c>
      <c r="E1137" s="22">
        <f>IF(D1137="?OLD","!!!","")</f>
        <v/>
      </c>
      <c r="F1137" s="23" t="str">
        <f>IF(OR(E1137="",E1137="!!!"),"",IF(NOT(ISNA(VLOOKUP(E1137,E$1:E1136,1,FALSE()))),"OLD",IF(AND(E1137&lt;&gt;"",E1137&lt;&gt;"!!!"),"NEW","")))</f>
        <v> </v>
      </c>
      <c r="G1137" s="24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5" t="str">
        <f>IF(J1137&lt;&gt;1,"",IF(I1137="SBJ","CB","?"))</f>
        <v> </v>
      </c>
      <c r="I1137" s="26" t="str">
        <f>IF(OR(E1137="",E1137="!!!",F1137="NEW"),"",INDEX(B1136:B$2,-1+SUMPRODUCT(MAX(ROW(E1136:E$2)*(E1137=E1136:E$2)))))</f>
        <v> </v>
      </c>
      <c r="J1137" s="26" t="str">
        <f>IF(OR(E1137="",E1137="!!!",F1137="NEW"),"",COUNTBLANK(OFFSET(A$1,,,SUMPRODUCT(MAX(ROW(E$2:E1137)*(E1137=E$2:E1137)))))-COUNTBLANK(OFFSET(A$1,,,SUMPRODUCT(MAX(ROW(E$1:E1136)*(E2=E$1:E1136))))))</f>
        <v> </v>
      </c>
      <c r="K1137" s="26" t="str">
        <f>IF(OR(E1137="",E1137="!!!",F1137="NEW"),"",INDEX(J$1:J1136,SUMPRODUCT(MAX(ROW(E$1:E1136)*(E1137=E$1:E1136)))))</f>
        <v> </v>
      </c>
      <c r="L1137" s="27"/>
    </row>
    <row r="1138" spans="1:12">
      <c r="A1138" s="20" t="s">
        <v>583</v>
      </c>
      <c r="E1138" s="22">
        <f>IF(D1138="?OLD","!!!","")</f>
        <v/>
      </c>
      <c r="F1138" s="23" t="str">
        <f>IF(OR(E1138="",E1138="!!!"),"",IF(NOT(ISNA(VLOOKUP(E1138,E$1:E1137,1,FALSE()))),"OLD",IF(AND(E1138&lt;&gt;"",E1138&lt;&gt;"!!!"),"NEW","")))</f>
        <v> </v>
      </c>
      <c r="G1138" s="24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5" t="str">
        <f>IF(J1138&lt;&gt;1,"",IF(I1138="SBJ","CB","?"))</f>
        <v> </v>
      </c>
      <c r="I1138" s="26" t="str">
        <f>IF(OR(E1138="",E1138="!!!",F1138="NEW"),"",INDEX(B1137:B$2,-1+SUMPRODUCT(MAX(ROW(E1137:E$2)*(E1138=E1137:E$2)))))</f>
        <v> </v>
      </c>
      <c r="J1138" s="26" t="str">
        <f>IF(OR(E1138="",E1138="!!!",F1138="NEW"),"",COUNTBLANK(OFFSET(A$1,,,SUMPRODUCT(MAX(ROW(E$2:E1138)*(E1138=E$2:E1138)))))-COUNTBLANK(OFFSET(A$1,,,SUMPRODUCT(MAX(ROW(E$1:E1137)*(E2=E$1:E1137))))))</f>
        <v> </v>
      </c>
      <c r="K1138" s="26" t="str">
        <f>IF(OR(E1138="",E1138="!!!",F1138="NEW"),"",INDEX(J$1:J1137,SUMPRODUCT(MAX(ROW(E$1:E1137)*(E1138=E$1:E1137)))))</f>
        <v> </v>
      </c>
      <c r="L1138" s="27"/>
    </row>
    <row r="1139" spans="1:12">
      <c r="A1139" s="20" t="s">
        <v>733</v>
      </c>
      <c r="E1139" s="22">
        <f>IF(D1139="?OLD","!!!","")</f>
        <v/>
      </c>
      <c r="F1139" s="23" t="str">
        <f>IF(OR(E1139="",E1139="!!!"),"",IF(NOT(ISNA(VLOOKUP(E1139,E$1:E1138,1,FALSE()))),"OLD",IF(AND(E1139&lt;&gt;"",E1139&lt;&gt;"!!!"),"NEW","")))</f>
        <v> </v>
      </c>
      <c r="G1139" s="24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5" t="str">
        <f>IF(J1139&lt;&gt;1,"",IF(I1139="SBJ","CB","?"))</f>
        <v> </v>
      </c>
      <c r="I1139" s="26" t="str">
        <f>IF(OR(E1139="",E1139="!!!",F1139="NEW"),"",INDEX(B1138:B$2,-1+SUMPRODUCT(MAX(ROW(E1138:E$2)*(E1139=E1138:E$2)))))</f>
        <v> </v>
      </c>
      <c r="J1139" s="26" t="str">
        <f>IF(OR(E1139="",E1139="!!!",F1139="NEW"),"",COUNTBLANK(OFFSET(A$1,,,SUMPRODUCT(MAX(ROW(E$2:E1139)*(E1139=E$2:E1139)))))-COUNTBLANK(OFFSET(A$1,,,SUMPRODUCT(MAX(ROW(E$1:E1138)*(E2=E$1:E1138))))))</f>
        <v> </v>
      </c>
      <c r="K1139" s="26" t="str">
        <f>IF(OR(E1139="",E1139="!!!",F1139="NEW"),"",INDEX(J$1:J1138,SUMPRODUCT(MAX(ROW(E$1:E1138)*(E1139=E$1:E1138)))))</f>
        <v> </v>
      </c>
      <c r="L1139" s="27"/>
    </row>
    <row r="1140" spans="1:12">
      <c r="A1140" s="20" t="s">
        <v>1186</v>
      </c>
      <c r="E1140" s="22">
        <f>IF(D1140="?OLD","!!!","")</f>
        <v/>
      </c>
      <c r="F1140" s="23" t="str">
        <f>IF(OR(E1140="",E1140="!!!"),"",IF(NOT(ISNA(VLOOKUP(E1140,E$1:E1139,1,FALSE()))),"OLD",IF(AND(E1140&lt;&gt;"",E1140&lt;&gt;"!!!"),"NEW","")))</f>
        <v> </v>
      </c>
      <c r="G1140" s="24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5" t="str">
        <f>IF(J1140&lt;&gt;1,"",IF(I1140="SBJ","CB","?"))</f>
        <v> </v>
      </c>
      <c r="I1140" s="26" t="str">
        <f>IF(OR(E1140="",E1140="!!!",F1140="NEW"),"",INDEX(B1139:B$2,-1+SUMPRODUCT(MAX(ROW(E1139:E$2)*(E1140=E1139:E$2)))))</f>
        <v> </v>
      </c>
      <c r="J1140" s="26" t="str">
        <f>IF(OR(E1140="",E1140="!!!",F1140="NEW"),"",COUNTBLANK(OFFSET(A$1,,,SUMPRODUCT(MAX(ROW(E$2:E1140)*(E1140=E$2:E1140)))))-COUNTBLANK(OFFSET(A$1,,,SUMPRODUCT(MAX(ROW(E$1:E1139)*(E2=E$1:E1139))))))</f>
        <v> </v>
      </c>
      <c r="K1140" s="26" t="str">
        <f>IF(OR(E1140="",E1140="!!!",F1140="NEW"),"",INDEX(J$1:J1139,SUMPRODUCT(MAX(ROW(E$1:E1139)*(E1140=E$1:E1139)))))</f>
        <v> </v>
      </c>
      <c r="L1140" s="27"/>
    </row>
    <row r="1141" spans="1:12">
      <c r="A1141" s="20" t="s">
        <v>592</v>
      </c>
      <c r="E1141" s="22">
        <f>IF(D1141="?OLD","!!!","")</f>
        <v/>
      </c>
      <c r="F1141" s="23" t="str">
        <f>IF(OR(E1141="",E1141="!!!"),"",IF(NOT(ISNA(VLOOKUP(E1141,E$1:E1140,1,FALSE()))),"OLD",IF(AND(E1141&lt;&gt;"",E1141&lt;&gt;"!!!"),"NEW","")))</f>
        <v> </v>
      </c>
      <c r="G1141" s="24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5" t="str">
        <f>IF(J1141&lt;&gt;1,"",IF(I1141="SBJ","CB","?"))</f>
        <v> </v>
      </c>
      <c r="I1141" s="26" t="str">
        <f>IF(OR(E1141="",E1141="!!!",F1141="NEW"),"",INDEX(B1140:B$2,-1+SUMPRODUCT(MAX(ROW(E1140:E$2)*(E1141=E1140:E$2)))))</f>
        <v> </v>
      </c>
      <c r="J1141" s="26" t="str">
        <f>IF(OR(E1141="",E1141="!!!",F1141="NEW"),"",COUNTBLANK(OFFSET(A$1,,,SUMPRODUCT(MAX(ROW(E$2:E1141)*(E1141=E$2:E1141)))))-COUNTBLANK(OFFSET(A$1,,,SUMPRODUCT(MAX(ROW(E$1:E1140)*(E2=E$1:E1140))))))</f>
        <v> </v>
      </c>
      <c r="K1141" s="26" t="str">
        <f>IF(OR(E1141="",E1141="!!!",F1141="NEW"),"",INDEX(J$1:J1140,SUMPRODUCT(MAX(ROW(E$1:E1140)*(E1141=E$1:E1140)))))</f>
        <v> </v>
      </c>
      <c r="L1141" s="27"/>
    </row>
    <row r="1142" spans="1:12">
      <c r="A1142" s="20"/>
    </row>
    <row r="1143" spans="1:12">
      <c r="A1143" s="20" t="s">
        <v>1187</v>
      </c>
    </row>
    <row r="1144" spans="1:12">
      <c r="A1144" s="20" t="s">
        <v>1188</v>
      </c>
      <c r="E1144" s="22">
        <f>IF(D1144="?OLD","!!!","")</f>
        <v/>
      </c>
      <c r="F1144" s="23" t="str">
        <f>IF(OR(E1144="",E1144="!!!"),"",IF(NOT(ISNA(VLOOKUP(E1144,E$1:E1143,1,FALSE()))),"OLD",IF(AND(E1144&lt;&gt;"",E1144&lt;&gt;"!!!"),"NEW","")))</f>
        <v> </v>
      </c>
      <c r="G1144" s="24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5" t="str">
        <f>IF(J1144&lt;&gt;1,"",IF(I1144="SBJ","CB","?"))</f>
        <v> </v>
      </c>
      <c r="I1144" s="26" t="str">
        <f>IF(OR(E1144="",E1144="!!!",F1144="NEW"),"",INDEX(B1143:B$2,-1+SUMPRODUCT(MAX(ROW(E1143:E$2)*(E1144=E1143:E$2)))))</f>
        <v> </v>
      </c>
      <c r="J1144" s="26" t="str">
        <f>IF(OR(E1144="",E1144="!!!",F1144="NEW"),"",COUNTBLANK(OFFSET(A$1,,,SUMPRODUCT(MAX(ROW(E$2:E1144)*(E1144=E$2:E1144)))))-COUNTBLANK(OFFSET(A$1,,,SUMPRODUCT(MAX(ROW(E$1:E1143)*(E2=E$1:E1143))))))</f>
        <v> </v>
      </c>
      <c r="K1144" s="26" t="str">
        <f>IF(OR(E1144="",E1144="!!!",F1144="NEW"),"",INDEX(J$1:J1143,SUMPRODUCT(MAX(ROW(E$1:E1143)*(E1144=E$1:E1143)))))</f>
        <v> </v>
      </c>
      <c r="L1144" s="27"/>
    </row>
    <row r="1145" spans="1:12">
      <c r="A1145" s="20" t="s">
        <v>963</v>
      </c>
      <c r="B1145" s="21" t="s">
        <v>578</v>
      </c>
      <c r="E1145" s="22">
        <f>IF(D1145="?OLD","!!!","")</f>
        <v/>
      </c>
      <c r="F1145" s="23" t="str">
        <f>IF(OR(E1145="",E1145="!!!"),"",IF(NOT(ISNA(VLOOKUP(E1145,E$1:E1144,1,FALSE()))),"OLD",IF(AND(E1145&lt;&gt;"",E1145&lt;&gt;"!!!"),"NEW","")))</f>
        <v> </v>
      </c>
      <c r="G1145" s="24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5" t="str">
        <f>IF(J1145&lt;&gt;1,"",IF(I1145="SBJ","CB","?"))</f>
        <v> </v>
      </c>
      <c r="I1145" s="26" t="str">
        <f>IF(OR(E1145="",E1145="!!!",F1145="NEW"),"",INDEX(B1144:B$2,-1+SUMPRODUCT(MAX(ROW(E1144:E$2)*(E1145=E1144:E$2)))))</f>
        <v> </v>
      </c>
      <c r="J1145" s="26" t="str">
        <f>IF(OR(E1145="",E1145="!!!",F1145="NEW"),"",COUNTBLANK(OFFSET(A$1,,,SUMPRODUCT(MAX(ROW(E$2:E1145)*(E1145=E$2:E1145)))))-COUNTBLANK(OFFSET(A$1,,,SUMPRODUCT(MAX(ROW(E$1:E1144)*(E2=E$1:E1144))))))</f>
        <v> </v>
      </c>
      <c r="K1145" s="26" t="str">
        <f>IF(OR(E1145="",E1145="!!!",F1145="NEW"),"",INDEX(J$1:J1144,SUMPRODUCT(MAX(ROW(E$1:E1144)*(E1145=E$1:E1144)))))</f>
        <v> </v>
      </c>
      <c r="L1145" s="27"/>
    </row>
    <row r="1146" spans="1:12">
      <c r="A1146" s="20" t="s">
        <v>617</v>
      </c>
      <c r="E1146" s="22">
        <f>IF(D1146="?OLD","!!!","")</f>
        <v/>
      </c>
      <c r="F1146" s="23" t="str">
        <f>IF(OR(E1146="",E1146="!!!"),"",IF(NOT(ISNA(VLOOKUP(E1146,E$1:E1145,1,FALSE()))),"OLD",IF(AND(E1146&lt;&gt;"",E1146&lt;&gt;"!!!"),"NEW","")))</f>
        <v> </v>
      </c>
      <c r="G1146" s="24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5" t="str">
        <f>IF(J1146&lt;&gt;1,"",IF(I1146="SBJ","CB","?"))</f>
        <v> </v>
      </c>
      <c r="I1146" s="26" t="str">
        <f>IF(OR(E1146="",E1146="!!!",F1146="NEW"),"",INDEX(B1145:B$2,-1+SUMPRODUCT(MAX(ROW(E1145:E$2)*(E1146=E1145:E$2)))))</f>
        <v> </v>
      </c>
      <c r="J1146" s="26" t="str">
        <f>IF(OR(E1146="",E1146="!!!",F1146="NEW"),"",COUNTBLANK(OFFSET(A$1,,,SUMPRODUCT(MAX(ROW(E$2:E1146)*(E1146=E$2:E1146)))))-COUNTBLANK(OFFSET(A$1,,,SUMPRODUCT(MAX(ROW(E$1:E1145)*(E2=E$1:E1145))))))</f>
        <v> </v>
      </c>
      <c r="K1146" s="26" t="str">
        <f>IF(OR(E1146="",E1146="!!!",F1146="NEW"),"",INDEX(J$1:J1145,SUMPRODUCT(MAX(ROW(E$1:E1145)*(E1146=E$1:E1145)))))</f>
        <v> </v>
      </c>
      <c r="L1146" s="27"/>
    </row>
    <row r="1147" spans="1:12">
      <c r="A1147" s="20" t="s">
        <v>483</v>
      </c>
      <c r="E1147" s="22">
        <f>IF(D1147="?OLD","!!!","")</f>
        <v/>
      </c>
      <c r="F1147" s="23" t="str">
        <f>IF(OR(E1147="",E1147="!!!"),"",IF(NOT(ISNA(VLOOKUP(E1147,E$1:E1146,1,FALSE()))),"OLD",IF(AND(E1147&lt;&gt;"",E1147&lt;&gt;"!!!"),"NEW","")))</f>
        <v> </v>
      </c>
      <c r="G1147" s="24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5" t="str">
        <f>IF(J1147&lt;&gt;1,"",IF(I1147="SBJ","CB","?"))</f>
        <v> </v>
      </c>
      <c r="I1147" s="26" t="str">
        <f>IF(OR(E1147="",E1147="!!!",F1147="NEW"),"",INDEX(B1146:B$2,-1+SUMPRODUCT(MAX(ROW(E1146:E$2)*(E1147=E1146:E$2)))))</f>
        <v> </v>
      </c>
      <c r="J1147" s="26" t="str">
        <f>IF(OR(E1147="",E1147="!!!",F1147="NEW"),"",COUNTBLANK(OFFSET(A$1,,,SUMPRODUCT(MAX(ROW(E$2:E1147)*(E1147=E$2:E1147)))))-COUNTBLANK(OFFSET(A$1,,,SUMPRODUCT(MAX(ROW(E$1:E1146)*(E2=E$1:E1146))))))</f>
        <v> </v>
      </c>
      <c r="K1147" s="26" t="str">
        <f>IF(OR(E1147="",E1147="!!!",F1147="NEW"),"",INDEX(J$1:J1146,SUMPRODUCT(MAX(ROW(E$1:E1146)*(E1147=E$1:E1146)))))</f>
        <v> </v>
      </c>
      <c r="L1147" s="27"/>
    </row>
    <row r="1148" spans="1:12">
      <c r="A1148" s="20" t="s">
        <v>1189</v>
      </c>
      <c r="E1148" s="22">
        <f>IF(D1148="?OLD","!!!","")</f>
        <v/>
      </c>
      <c r="F1148" s="23" t="str">
        <f>IF(OR(E1148="",E1148="!!!"),"",IF(NOT(ISNA(VLOOKUP(E1148,E$1:E1147,1,FALSE()))),"OLD",IF(AND(E1148&lt;&gt;"",E1148&lt;&gt;"!!!"),"NEW","")))</f>
        <v> </v>
      </c>
      <c r="G1148" s="24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5" t="str">
        <f>IF(J1148&lt;&gt;1,"",IF(I1148="SBJ","CB","?"))</f>
        <v> </v>
      </c>
      <c r="I1148" s="26" t="str">
        <f>IF(OR(E1148="",E1148="!!!",F1148="NEW"),"",INDEX(B1147:B$2,-1+SUMPRODUCT(MAX(ROW(E1147:E$2)*(E1148=E1147:E$2)))))</f>
        <v> </v>
      </c>
      <c r="J1148" s="26" t="str">
        <f>IF(OR(E1148="",E1148="!!!",F1148="NEW"),"",COUNTBLANK(OFFSET(A$1,,,SUMPRODUCT(MAX(ROW(E$2:E1148)*(E1148=E$2:E1148)))))-COUNTBLANK(OFFSET(A$1,,,SUMPRODUCT(MAX(ROW(E$1:E1147)*(E2=E$1:E1147))))))</f>
        <v> </v>
      </c>
      <c r="K1148" s="26" t="str">
        <f>IF(OR(E1148="",E1148="!!!",F1148="NEW"),"",INDEX(J$1:J1147,SUMPRODUCT(MAX(ROW(E$1:E1147)*(E1148=E$1:E1147)))))</f>
        <v> </v>
      </c>
      <c r="L1148" s="27"/>
    </row>
    <row r="1149" spans="1:12">
      <c r="A1149" s="20" t="s">
        <v>592</v>
      </c>
      <c r="E1149" s="22">
        <f>IF(D1149="?OLD","!!!","")</f>
        <v/>
      </c>
      <c r="F1149" s="23" t="str">
        <f>IF(OR(E1149="",E1149="!!!"),"",IF(NOT(ISNA(VLOOKUP(E1149,E$1:E1148,1,FALSE()))),"OLD",IF(AND(E1149&lt;&gt;"",E1149&lt;&gt;"!!!"),"NEW","")))</f>
        <v> </v>
      </c>
      <c r="G1149" s="24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5" t="str">
        <f>IF(J1149&lt;&gt;1,"",IF(I1149="SBJ","CB","?"))</f>
        <v> </v>
      </c>
      <c r="I1149" s="26" t="str">
        <f>IF(OR(E1149="",E1149="!!!",F1149="NEW"),"",INDEX(B1148:B$2,-1+SUMPRODUCT(MAX(ROW(E1148:E$2)*(E1149=E1148:E$2)))))</f>
        <v> </v>
      </c>
      <c r="J1149" s="26" t="str">
        <f>IF(OR(E1149="",E1149="!!!",F1149="NEW"),"",COUNTBLANK(OFFSET(A$1,,,SUMPRODUCT(MAX(ROW(E$2:E1149)*(E1149=E$2:E1149)))))-COUNTBLANK(OFFSET(A$1,,,SUMPRODUCT(MAX(ROW(E$1:E1148)*(E2=E$1:E1148))))))</f>
        <v> </v>
      </c>
      <c r="K1149" s="26" t="str">
        <f>IF(OR(E1149="",E1149="!!!",F1149="NEW"),"",INDEX(J$1:J1148,SUMPRODUCT(MAX(ROW(E$1:E1148)*(E1149=E$1:E1148)))))</f>
        <v> </v>
      </c>
      <c r="L1149" s="27"/>
    </row>
    <row r="1150" spans="1:12">
      <c r="A1150" s="20"/>
    </row>
    <row r="1151" spans="1:12">
      <c r="A1151" s="20" t="s">
        <v>1190</v>
      </c>
    </row>
    <row r="1152" spans="1:12">
      <c r="A1152" s="20" t="s">
        <v>676</v>
      </c>
      <c r="B1152" s="21" t="s">
        <v>578</v>
      </c>
      <c r="C1152" s="21" t="s">
        <v>613</v>
      </c>
      <c r="D1152" s="21" t="s">
        <v>587</v>
      </c>
      <c r="E1152" s="22">
        <f>IF(D1152="?OLD","!!!","")</f>
        <v/>
      </c>
      <c r="F1152" s="23" t="str">
        <f>IF(OR(E1152="",E1152="!!!"),"",IF(NOT(ISNA(VLOOKUP(E1152,E$1:E1151,1,FALSE()))),"OLD",IF(AND(E1152&lt;&gt;"",E1152&lt;&gt;"!!!"),"NEW","")))</f>
        <v> </v>
      </c>
      <c r="G1152" s="24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5" t="str">
        <f>IF(J1152&lt;&gt;1,"",IF(I1152="SBJ","CB","?"))</f>
        <v> </v>
      </c>
      <c r="I1152" s="26" t="str">
        <f>IF(OR(E1152="",E1152="!!!",F1152="NEW"),"",INDEX(B1151:B$2,-1+SUMPRODUCT(MAX(ROW(E1151:E$2)*(E1152=E1151:E$2)))))</f>
        <v> </v>
      </c>
      <c r="J1152" s="26" t="str">
        <f>IF(OR(E1152="",E1152="!!!",F1152="NEW"),"",COUNTBLANK(OFFSET(A$1,,,SUMPRODUCT(MAX(ROW(E$2:E1152)*(E1152=E$2:E1152)))))-COUNTBLANK(OFFSET(A$1,,,SUMPRODUCT(MAX(ROW(E$1:E1151)*(E2=E$1:E1151))))))</f>
        <v> </v>
      </c>
      <c r="K1152" s="26" t="str">
        <f>IF(OR(E1152="",E1152="!!!",F1152="NEW"),"",INDEX(J$1:J1151,SUMPRODUCT(MAX(ROW(E$1:E1151)*(E1152=E$1:E1151)))))</f>
        <v> </v>
      </c>
      <c r="L1152" s="27"/>
    </row>
    <row r="1153" spans="1:12">
      <c r="A1153" s="20" t="s">
        <v>617</v>
      </c>
      <c r="E1153" s="22">
        <f>IF(D1153="?OLD","!!!","")</f>
        <v/>
      </c>
      <c r="F1153" s="23" t="str">
        <f>IF(OR(E1153="",E1153="!!!"),"",IF(NOT(ISNA(VLOOKUP(E1153,E$1:E1152,1,FALSE()))),"OLD",IF(AND(E1153&lt;&gt;"",E1153&lt;&gt;"!!!"),"NEW","")))</f>
        <v> </v>
      </c>
      <c r="G1153" s="24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5" t="str">
        <f>IF(J1153&lt;&gt;1,"",IF(I1153="SBJ","CB","?"))</f>
        <v> </v>
      </c>
      <c r="I1153" s="26" t="str">
        <f>IF(OR(E1153="",E1153="!!!",F1153="NEW"),"",INDEX(B1152:B$2,-1+SUMPRODUCT(MAX(ROW(E1152:E$2)*(E1153=E1152:E$2)))))</f>
        <v> </v>
      </c>
      <c r="J1153" s="26" t="str">
        <f>IF(OR(E1153="",E1153="!!!",F1153="NEW"),"",COUNTBLANK(OFFSET(A$1,,,SUMPRODUCT(MAX(ROW(E$2:E1153)*(E1153=E$2:E1153)))))-COUNTBLANK(OFFSET(A$1,,,SUMPRODUCT(MAX(ROW(E$1:E1152)*(E2=E$1:E1152))))))</f>
        <v> </v>
      </c>
      <c r="K1153" s="26" t="str">
        <f>IF(OR(E1153="",E1153="!!!",F1153="NEW"),"",INDEX(J$1:J1152,SUMPRODUCT(MAX(ROW(E$1:E1152)*(E1153=E$1:E1152)))))</f>
        <v> </v>
      </c>
      <c r="L1153" s="27"/>
    </row>
    <row r="1154" spans="1:12">
      <c r="A1154" s="20" t="s">
        <v>1004</v>
      </c>
      <c r="E1154" s="22">
        <f>IF(D1154="?OLD","!!!","")</f>
        <v/>
      </c>
      <c r="F1154" s="23" t="str">
        <f>IF(OR(E1154="",E1154="!!!"),"",IF(NOT(ISNA(VLOOKUP(E1154,E$1:E1153,1,FALSE()))),"OLD",IF(AND(E1154&lt;&gt;"",E1154&lt;&gt;"!!!"),"NEW","")))</f>
        <v> </v>
      </c>
      <c r="G1154" s="24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5" t="str">
        <f>IF(J1154&lt;&gt;1,"",IF(I1154="SBJ","CB","?"))</f>
        <v> </v>
      </c>
      <c r="I1154" s="26" t="str">
        <f>IF(OR(E1154="",E1154="!!!",F1154="NEW"),"",INDEX(B1153:B$2,-1+SUMPRODUCT(MAX(ROW(E1153:E$2)*(E1154=E1153:E$2)))))</f>
        <v> </v>
      </c>
      <c r="J1154" s="26" t="str">
        <f>IF(OR(E1154="",E1154="!!!",F1154="NEW"),"",COUNTBLANK(OFFSET(A$1,,,SUMPRODUCT(MAX(ROW(E$2:E1154)*(E1154=E$2:E1154)))))-COUNTBLANK(OFFSET(A$1,,,SUMPRODUCT(MAX(ROW(E$1:E1153)*(E2=E$1:E1153))))))</f>
        <v> </v>
      </c>
      <c r="K1154" s="26" t="str">
        <f>IF(OR(E1154="",E1154="!!!",F1154="NEW"),"",INDEX(J$1:J1153,SUMPRODUCT(MAX(ROW(E$1:E1153)*(E1154=E$1:E1153)))))</f>
        <v> </v>
      </c>
      <c r="L1154" s="27"/>
    </row>
    <row r="1155" spans="1:12">
      <c r="A1155" s="20" t="s">
        <v>1191</v>
      </c>
      <c r="B1155" s="21" t="s">
        <v>635</v>
      </c>
      <c r="E1155" s="22">
        <f>IF(D1155="?OLD","!!!","")</f>
        <v/>
      </c>
      <c r="F1155" s="23" t="str">
        <f>IF(OR(E1155="",E1155="!!!"),"",IF(NOT(ISNA(VLOOKUP(E1155,E$1:E1154,1,FALSE()))),"OLD",IF(AND(E1155&lt;&gt;"",E1155&lt;&gt;"!!!"),"NEW","")))</f>
        <v> </v>
      </c>
      <c r="G1155" s="24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5" t="str">
        <f>IF(J1155&lt;&gt;1,"",IF(I1155="SBJ","CB","?"))</f>
        <v> </v>
      </c>
      <c r="I1155" s="26" t="str">
        <f>IF(OR(E1155="",E1155="!!!",F1155="NEW"),"",INDEX(B1154:B$2,-1+SUMPRODUCT(MAX(ROW(E1154:E$2)*(E1155=E1154:E$2)))))</f>
        <v> </v>
      </c>
      <c r="J1155" s="26" t="str">
        <f>IF(OR(E1155="",E1155="!!!",F1155="NEW"),"",COUNTBLANK(OFFSET(A$1,,,SUMPRODUCT(MAX(ROW(E$2:E1155)*(E1155=E$2:E1155)))))-COUNTBLANK(OFFSET(A$1,,,SUMPRODUCT(MAX(ROW(E$1:E1154)*(E2=E$1:E1154))))))</f>
        <v> </v>
      </c>
      <c r="K1155" s="26" t="str">
        <f>IF(OR(E1155="",E1155="!!!",F1155="NEW"),"",INDEX(J$1:J1154,SUMPRODUCT(MAX(ROW(E$1:E1154)*(E1155=E$1:E1154)))))</f>
        <v> </v>
      </c>
      <c r="L1155" s="27"/>
    </row>
    <row r="1156" spans="1:12">
      <c r="A1156" s="20" t="s">
        <v>583</v>
      </c>
      <c r="E1156" s="22">
        <f>IF(D1156="?OLD","!!!","")</f>
        <v/>
      </c>
      <c r="F1156" s="23" t="str">
        <f>IF(OR(E1156="",E1156="!!!"),"",IF(NOT(ISNA(VLOOKUP(E1156,E$1:E1155,1,FALSE()))),"OLD",IF(AND(E1156&lt;&gt;"",E1156&lt;&gt;"!!!"),"NEW","")))</f>
        <v> </v>
      </c>
      <c r="G1156" s="24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5" t="str">
        <f>IF(J1156&lt;&gt;1,"",IF(I1156="SBJ","CB","?"))</f>
        <v> </v>
      </c>
      <c r="I1156" s="26" t="str">
        <f>IF(OR(E1156="",E1156="!!!",F1156="NEW"),"",INDEX(B1155:B$2,-1+SUMPRODUCT(MAX(ROW(E1155:E$2)*(E1156=E1155:E$2)))))</f>
        <v> </v>
      </c>
      <c r="J1156" s="26" t="str">
        <f>IF(OR(E1156="",E1156="!!!",F1156="NEW"),"",COUNTBLANK(OFFSET(A$1,,,SUMPRODUCT(MAX(ROW(E$2:E1156)*(E1156=E$2:E1156)))))-COUNTBLANK(OFFSET(A$1,,,SUMPRODUCT(MAX(ROW(E$1:E1155)*(E2=E$1:E1155))))))</f>
        <v> </v>
      </c>
      <c r="K1156" s="26" t="str">
        <f>IF(OR(E1156="",E1156="!!!",F1156="NEW"),"",INDEX(J$1:J1155,SUMPRODUCT(MAX(ROW(E$1:E1155)*(E1156=E$1:E1155)))))</f>
        <v> </v>
      </c>
      <c r="L1156" s="27"/>
    </row>
    <row r="1157" spans="1:12">
      <c r="A1157" s="20" t="s">
        <v>685</v>
      </c>
      <c r="B1157" s="21" t="s">
        <v>590</v>
      </c>
      <c r="C1157" s="21" t="s">
        <v>613</v>
      </c>
      <c r="D1157" s="21" t="s">
        <v>587</v>
      </c>
      <c r="E1157" s="22">
        <f>IF(D1157="?OLD","!!!","")</f>
        <v/>
      </c>
      <c r="F1157" s="23" t="str">
        <f>IF(OR(E1157="",E1157="!!!"),"",IF(NOT(ISNA(VLOOKUP(E1157,E$1:E1156,1,FALSE()))),"OLD",IF(AND(E1157&lt;&gt;"",E1157&lt;&gt;"!!!"),"NEW","")))</f>
        <v> </v>
      </c>
      <c r="G1157" s="24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5" t="str">
        <f>IF(J1157&lt;&gt;1,"",IF(I1157="SBJ","CB","?"))</f>
        <v> </v>
      </c>
      <c r="I1157" s="26" t="str">
        <f>IF(OR(E1157="",E1157="!!!",F1157="NEW"),"",INDEX(B1156:B$2,-1+SUMPRODUCT(MAX(ROW(E1156:E$2)*(E1157=E1156:E$2)))))</f>
        <v> </v>
      </c>
      <c r="J1157" s="26" t="str">
        <f>IF(OR(E1157="",E1157="!!!",F1157="NEW"),"",COUNTBLANK(OFFSET(A$1,,,SUMPRODUCT(MAX(ROW(E$2:E1157)*(E1157=E$2:E1157)))))-COUNTBLANK(OFFSET(A$1,,,SUMPRODUCT(MAX(ROW(E$1:E1156)*(E2=E$1:E1156))))))</f>
        <v> </v>
      </c>
      <c r="K1157" s="26" t="str">
        <f>IF(OR(E1157="",E1157="!!!",F1157="NEW"),"",INDEX(J$1:J1156,SUMPRODUCT(MAX(ROW(E$1:E1156)*(E1157=E$1:E1156)))))</f>
        <v> </v>
      </c>
      <c r="L1157" s="27"/>
    </row>
    <row r="1158" spans="1:12">
      <c r="A1158" s="20" t="s">
        <v>617</v>
      </c>
      <c r="E1158" s="22">
        <f>IF(D1158="?OLD","!!!","")</f>
        <v/>
      </c>
      <c r="F1158" s="23" t="str">
        <f>IF(OR(E1158="",E1158="!!!"),"",IF(NOT(ISNA(VLOOKUP(E1158,E$1:E1157,1,FALSE()))),"OLD",IF(AND(E1158&lt;&gt;"",E1158&lt;&gt;"!!!"),"NEW","")))</f>
        <v> </v>
      </c>
      <c r="G1158" s="24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5" t="str">
        <f>IF(J1158&lt;&gt;1,"",IF(I1158="SBJ","CB","?"))</f>
        <v> </v>
      </c>
      <c r="I1158" s="26" t="str">
        <f>IF(OR(E1158="",E1158="!!!",F1158="NEW"),"",INDEX(B1157:B$2,-1+SUMPRODUCT(MAX(ROW(E1157:E$2)*(E1158=E1157:E$2)))))</f>
        <v> </v>
      </c>
      <c r="J1158" s="26" t="str">
        <f>IF(OR(E1158="",E1158="!!!",F1158="NEW"),"",COUNTBLANK(OFFSET(A$1,,,SUMPRODUCT(MAX(ROW(E$2:E1158)*(E1158=E$2:E1158)))))-COUNTBLANK(OFFSET(A$1,,,SUMPRODUCT(MAX(ROW(E$1:E1157)*(E2=E$1:E1157))))))</f>
        <v> </v>
      </c>
      <c r="K1158" s="26" t="str">
        <f>IF(OR(E1158="",E1158="!!!",F1158="NEW"),"",INDEX(J$1:J1157,SUMPRODUCT(MAX(ROW(E$1:E1157)*(E1158=E$1:E1157)))))</f>
        <v> </v>
      </c>
      <c r="L1158" s="27"/>
    </row>
    <row r="1159" spans="1:12">
      <c r="A1159" s="20" t="s">
        <v>1192</v>
      </c>
      <c r="E1159" s="22">
        <f>IF(D1159="?OLD","!!!","")</f>
        <v/>
      </c>
      <c r="F1159" s="23" t="str">
        <f>IF(OR(E1159="",E1159="!!!"),"",IF(NOT(ISNA(VLOOKUP(E1159,E$1:E1158,1,FALSE()))),"OLD",IF(AND(E1159&lt;&gt;"",E1159&lt;&gt;"!!!"),"NEW","")))</f>
        <v> </v>
      </c>
      <c r="G1159" s="24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5" t="str">
        <f>IF(J1159&lt;&gt;1,"",IF(I1159="SBJ","CB","?"))</f>
        <v> </v>
      </c>
      <c r="I1159" s="26" t="str">
        <f>IF(OR(E1159="",E1159="!!!",F1159="NEW"),"",INDEX(B1158:B$2,-1+SUMPRODUCT(MAX(ROW(E1158:E$2)*(E1159=E1158:E$2)))))</f>
        <v> </v>
      </c>
      <c r="J1159" s="26" t="str">
        <f>IF(OR(E1159="",E1159="!!!",F1159="NEW"),"",COUNTBLANK(OFFSET(A$1,,,SUMPRODUCT(MAX(ROW(E$2:E1159)*(E1159=E$2:E1159)))))-COUNTBLANK(OFFSET(A$1,,,SUMPRODUCT(MAX(ROW(E$1:E1158)*(E2=E$1:E1158))))))</f>
        <v> </v>
      </c>
      <c r="K1159" s="26" t="str">
        <f>IF(OR(E1159="",E1159="!!!",F1159="NEW"),"",INDEX(J$1:J1158,SUMPRODUCT(MAX(ROW(E$1:E1158)*(E1159=E$1:E1158)))))</f>
        <v> </v>
      </c>
      <c r="L1159" s="27"/>
    </row>
    <row r="1160" spans="1:12">
      <c r="A1160" s="20" t="s">
        <v>580</v>
      </c>
      <c r="E1160" s="22">
        <f>IF(D1160="?OLD","!!!","")</f>
        <v/>
      </c>
      <c r="F1160" s="23" t="str">
        <f>IF(OR(E1160="",E1160="!!!"),"",IF(NOT(ISNA(VLOOKUP(E1160,E$1:E1159,1,FALSE()))),"OLD",IF(AND(E1160&lt;&gt;"",E1160&lt;&gt;"!!!"),"NEW","")))</f>
        <v> </v>
      </c>
      <c r="G1160" s="24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5" t="str">
        <f>IF(J1160&lt;&gt;1,"",IF(I1160="SBJ","CB","?"))</f>
        <v> </v>
      </c>
      <c r="I1160" s="26" t="str">
        <f>IF(OR(E1160="",E1160="!!!",F1160="NEW"),"",INDEX(B1159:B$2,-1+SUMPRODUCT(MAX(ROW(E1159:E$2)*(E1160=E1159:E$2)))))</f>
        <v> </v>
      </c>
      <c r="J1160" s="26" t="str">
        <f>IF(OR(E1160="",E1160="!!!",F1160="NEW"),"",COUNTBLANK(OFFSET(A$1,,,SUMPRODUCT(MAX(ROW(E$2:E1160)*(E1160=E$2:E1160)))))-COUNTBLANK(OFFSET(A$1,,,SUMPRODUCT(MAX(ROW(E$1:E1159)*(E2=E$1:E1159))))))</f>
        <v> </v>
      </c>
      <c r="K1160" s="26" t="str">
        <f>IF(OR(E1160="",E1160="!!!",F1160="NEW"),"",INDEX(J$1:J1159,SUMPRODUCT(MAX(ROW(E$1:E1159)*(E1160=E$1:E1159)))))</f>
        <v> </v>
      </c>
      <c r="L1160" s="27"/>
    </row>
    <row r="1161" spans="1:12">
      <c r="A1161" s="20" t="s">
        <v>1193</v>
      </c>
      <c r="E1161" s="22">
        <f>IF(D1161="?OLD","!!!","")</f>
        <v/>
      </c>
      <c r="F1161" s="23" t="str">
        <f>IF(OR(E1161="",E1161="!!!"),"",IF(NOT(ISNA(VLOOKUP(E1161,E$1:E1160,1,FALSE()))),"OLD",IF(AND(E1161&lt;&gt;"",E1161&lt;&gt;"!!!"),"NEW","")))</f>
        <v> </v>
      </c>
      <c r="G1161" s="24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5" t="str">
        <f>IF(J1161&lt;&gt;1,"",IF(I1161="SBJ","CB","?"))</f>
        <v> </v>
      </c>
      <c r="I1161" s="26" t="str">
        <f>IF(OR(E1161="",E1161="!!!",F1161="NEW"),"",INDEX(B1160:B$2,-1+SUMPRODUCT(MAX(ROW(E1160:E$2)*(E1161=E1160:E$2)))))</f>
        <v> </v>
      </c>
      <c r="J1161" s="26" t="str">
        <f>IF(OR(E1161="",E1161="!!!",F1161="NEW"),"",COUNTBLANK(OFFSET(A$1,,,SUMPRODUCT(MAX(ROW(E$2:E1161)*(E1161=E$2:E1161)))))-COUNTBLANK(OFFSET(A$1,,,SUMPRODUCT(MAX(ROW(E$1:E1160)*(E2=E$1:E1160))))))</f>
        <v> </v>
      </c>
      <c r="K1161" s="26" t="str">
        <f>IF(OR(E1161="",E1161="!!!",F1161="NEW"),"",INDEX(J$1:J1160,SUMPRODUCT(MAX(ROW(E$1:E1160)*(E1161=E$1:E1160)))))</f>
        <v> </v>
      </c>
      <c r="L1161" s="27"/>
    </row>
    <row r="1162" spans="1:12">
      <c r="A1162" s="20" t="s">
        <v>1194</v>
      </c>
      <c r="B1162" s="21" t="s">
        <v>892</v>
      </c>
      <c r="E1162" s="22">
        <f>IF(D1162="?OLD","!!!","")</f>
        <v/>
      </c>
      <c r="F1162" s="23" t="str">
        <f>IF(OR(E1162="",E1162="!!!"),"",IF(NOT(ISNA(VLOOKUP(E1162,E$1:E1161,1,FALSE()))),"OLD",IF(AND(E1162&lt;&gt;"",E1162&lt;&gt;"!!!"),"NEW","")))</f>
        <v> </v>
      </c>
      <c r="G1162" s="24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5" t="str">
        <f>IF(J1162&lt;&gt;1,"",IF(I1162="SBJ","CB","?"))</f>
        <v> </v>
      </c>
      <c r="I1162" s="26" t="str">
        <f>IF(OR(E1162="",E1162="!!!",F1162="NEW"),"",INDEX(B1161:B$2,-1+SUMPRODUCT(MAX(ROW(E1161:E$2)*(E1162=E1161:E$2)))))</f>
        <v> </v>
      </c>
      <c r="J1162" s="26" t="str">
        <f>IF(OR(E1162="",E1162="!!!",F1162="NEW"),"",COUNTBLANK(OFFSET(A$1,,,SUMPRODUCT(MAX(ROW(E$2:E1162)*(E1162=E$2:E1162)))))-COUNTBLANK(OFFSET(A$1,,,SUMPRODUCT(MAX(ROW(E$1:E1161)*(E2=E$1:E1161))))))</f>
        <v> </v>
      </c>
      <c r="K1162" s="26" t="str">
        <f>IF(OR(E1162="",E1162="!!!",F1162="NEW"),"",INDEX(J$1:J1161,SUMPRODUCT(MAX(ROW(E$1:E1161)*(E1162=E$1:E1161)))))</f>
        <v> </v>
      </c>
      <c r="L1162" s="27"/>
    </row>
    <row r="1163" spans="1:12">
      <c r="A1163" s="20" t="s">
        <v>583</v>
      </c>
      <c r="E1163" s="22">
        <f>IF(D1163="?OLD","!!!","")</f>
        <v/>
      </c>
      <c r="F1163" s="23" t="str">
        <f>IF(OR(E1163="",E1163="!!!"),"",IF(NOT(ISNA(VLOOKUP(E1163,E$1:E1162,1,FALSE()))),"OLD",IF(AND(E1163&lt;&gt;"",E1163&lt;&gt;"!!!"),"NEW","")))</f>
        <v> </v>
      </c>
      <c r="G1163" s="24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5" t="str">
        <f>IF(J1163&lt;&gt;1,"",IF(I1163="SBJ","CB","?"))</f>
        <v> </v>
      </c>
      <c r="I1163" s="26" t="str">
        <f>IF(OR(E1163="",E1163="!!!",F1163="NEW"),"",INDEX(B1162:B$2,-1+SUMPRODUCT(MAX(ROW(E1162:E$2)*(E1163=E1162:E$2)))))</f>
        <v> </v>
      </c>
      <c r="J1163" s="26" t="str">
        <f>IF(OR(E1163="",E1163="!!!",F1163="NEW"),"",COUNTBLANK(OFFSET(A$1,,,SUMPRODUCT(MAX(ROW(E$2:E1163)*(E1163=E$2:E1163)))))-COUNTBLANK(OFFSET(A$1,,,SUMPRODUCT(MAX(ROW(E$1:E1162)*(E2=E$1:E1162))))))</f>
        <v> </v>
      </c>
      <c r="K1163" s="26" t="str">
        <f>IF(OR(E1163="",E1163="!!!",F1163="NEW"),"",INDEX(J$1:J1162,SUMPRODUCT(MAX(ROW(E$1:E1162)*(E1163=E$1:E1162)))))</f>
        <v> </v>
      </c>
      <c r="L1163" s="27"/>
    </row>
    <row r="1164" spans="1:12">
      <c r="A1164" s="20" t="s">
        <v>1195</v>
      </c>
      <c r="E1164" s="22">
        <f>IF(D1164="?OLD","!!!","")</f>
        <v/>
      </c>
      <c r="F1164" s="23" t="str">
        <f>IF(OR(E1164="",E1164="!!!"),"",IF(NOT(ISNA(VLOOKUP(E1164,E$1:E1163,1,FALSE()))),"OLD",IF(AND(E1164&lt;&gt;"",E1164&lt;&gt;"!!!"),"NEW","")))</f>
        <v> </v>
      </c>
      <c r="G1164" s="24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5" t="str">
        <f>IF(J1164&lt;&gt;1,"",IF(I1164="SBJ","CB","?"))</f>
        <v> </v>
      </c>
      <c r="I1164" s="26" t="str">
        <f>IF(OR(E1164="",E1164="!!!",F1164="NEW"),"",INDEX(B1163:B$2,-1+SUMPRODUCT(MAX(ROW(E1163:E$2)*(E1164=E1163:E$2)))))</f>
        <v> </v>
      </c>
      <c r="J1164" s="26" t="str">
        <f>IF(OR(E1164="",E1164="!!!",F1164="NEW"),"",COUNTBLANK(OFFSET(A$1,,,SUMPRODUCT(MAX(ROW(E$2:E1164)*(E1164=E$2:E1164)))))-COUNTBLANK(OFFSET(A$1,,,SUMPRODUCT(MAX(ROW(E$1:E1163)*(E2=E$1:E1163))))))</f>
        <v> </v>
      </c>
      <c r="K1164" s="26" t="str">
        <f>IF(OR(E1164="",E1164="!!!",F1164="NEW"),"",INDEX(J$1:J1163,SUMPRODUCT(MAX(ROW(E$1:E1163)*(E1164=E$1:E1163)))))</f>
        <v> </v>
      </c>
      <c r="L1164" s="27"/>
    </row>
    <row r="1165" spans="1:12">
      <c r="A1165" s="20" t="s">
        <v>630</v>
      </c>
      <c r="E1165" s="22">
        <f>IF(D1165="?OLD","!!!","")</f>
        <v/>
      </c>
      <c r="F1165" s="23" t="str">
        <f>IF(OR(E1165="",E1165="!!!"),"",IF(NOT(ISNA(VLOOKUP(E1165,E$1:E1164,1,FALSE()))),"OLD",IF(AND(E1165&lt;&gt;"",E1165&lt;&gt;"!!!"),"NEW","")))</f>
        <v> </v>
      </c>
      <c r="G1165" s="24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5" t="str">
        <f>IF(J1165&lt;&gt;1,"",IF(I1165="SBJ","CB","?"))</f>
        <v> </v>
      </c>
      <c r="I1165" s="26" t="str">
        <f>IF(OR(E1165="",E1165="!!!",F1165="NEW"),"",INDEX(B1164:B$2,-1+SUMPRODUCT(MAX(ROW(E1164:E$2)*(E1165=E1164:E$2)))))</f>
        <v> </v>
      </c>
      <c r="J1165" s="26" t="str">
        <f>IF(OR(E1165="",E1165="!!!",F1165="NEW"),"",COUNTBLANK(OFFSET(A$1,,,SUMPRODUCT(MAX(ROW(E$2:E1165)*(E1165=E$2:E1165)))))-COUNTBLANK(OFFSET(A$1,,,SUMPRODUCT(MAX(ROW(E$1:E1164)*(E2=E$1:E1164))))))</f>
        <v> </v>
      </c>
      <c r="K1165" s="26" t="str">
        <f>IF(OR(E1165="",E1165="!!!",F1165="NEW"),"",INDEX(J$1:J1164,SUMPRODUCT(MAX(ROW(E$1:E1164)*(E1165=E$1:E1164)))))</f>
        <v> </v>
      </c>
      <c r="L1165" s="27"/>
    </row>
    <row r="1166" spans="1:12">
      <c r="A1166" s="20" t="s">
        <v>1196</v>
      </c>
      <c r="E1166" s="22">
        <f>IF(D1166="?OLD","!!!","")</f>
        <v/>
      </c>
      <c r="F1166" s="23" t="str">
        <f>IF(OR(E1166="",E1166="!!!"),"",IF(NOT(ISNA(VLOOKUP(E1166,E$1:E1165,1,FALSE()))),"OLD",IF(AND(E1166&lt;&gt;"",E1166&lt;&gt;"!!!"),"NEW","")))</f>
        <v> </v>
      </c>
      <c r="G1166" s="24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5" t="str">
        <f>IF(J1166&lt;&gt;1,"",IF(I1166="SBJ","CB","?"))</f>
        <v> </v>
      </c>
      <c r="I1166" s="26" t="str">
        <f>IF(OR(E1166="",E1166="!!!",F1166="NEW"),"",INDEX(B1165:B$2,-1+SUMPRODUCT(MAX(ROW(E1165:E$2)*(E1166=E1165:E$2)))))</f>
        <v> </v>
      </c>
      <c r="J1166" s="26" t="str">
        <f>IF(OR(E1166="",E1166="!!!",F1166="NEW"),"",COUNTBLANK(OFFSET(A$1,,,SUMPRODUCT(MAX(ROW(E$2:E1166)*(E1166=E$2:E1166)))))-COUNTBLANK(OFFSET(A$1,,,SUMPRODUCT(MAX(ROW(E$1:E1165)*(E2=E$1:E1165))))))</f>
        <v> </v>
      </c>
      <c r="K1166" s="26" t="str">
        <f>IF(OR(E1166="",E1166="!!!",F1166="NEW"),"",INDEX(J$1:J1165,SUMPRODUCT(MAX(ROW(E$1:E1165)*(E1166=E$1:E1165)))))</f>
        <v> </v>
      </c>
      <c r="L1166" s="27"/>
    </row>
    <row r="1167" spans="1:12">
      <c r="A1167" s="20" t="s">
        <v>1197</v>
      </c>
      <c r="E1167" s="22">
        <f>IF(D1167="?OLD","!!!","")</f>
        <v/>
      </c>
      <c r="F1167" s="23" t="str">
        <f>IF(OR(E1167="",E1167="!!!"),"",IF(NOT(ISNA(VLOOKUP(E1167,E$1:E1166,1,FALSE()))),"OLD",IF(AND(E1167&lt;&gt;"",E1167&lt;&gt;"!!!"),"NEW","")))</f>
        <v> </v>
      </c>
      <c r="G1167" s="24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5" t="str">
        <f>IF(J1167&lt;&gt;1,"",IF(I1167="SBJ","CB","?"))</f>
        <v> </v>
      </c>
      <c r="I1167" s="26" t="str">
        <f>IF(OR(E1167="",E1167="!!!",F1167="NEW"),"",INDEX(B1166:B$2,-1+SUMPRODUCT(MAX(ROW(E1166:E$2)*(E1167=E1166:E$2)))))</f>
        <v> </v>
      </c>
      <c r="J1167" s="26" t="str">
        <f>IF(OR(E1167="",E1167="!!!",F1167="NEW"),"",COUNTBLANK(OFFSET(A$1,,,SUMPRODUCT(MAX(ROW(E$2:E1167)*(E1167=E$2:E1167)))))-COUNTBLANK(OFFSET(A$1,,,SUMPRODUCT(MAX(ROW(E$1:E1166)*(E2=E$1:E1166))))))</f>
        <v> </v>
      </c>
      <c r="K1167" s="26" t="str">
        <f>IF(OR(E1167="",E1167="!!!",F1167="NEW"),"",INDEX(J$1:J1166,SUMPRODUCT(MAX(ROW(E$1:E1166)*(E1167=E$1:E1166)))))</f>
        <v> </v>
      </c>
      <c r="L1167" s="27"/>
    </row>
    <row r="1168" spans="1:12">
      <c r="A1168" s="20" t="s">
        <v>630</v>
      </c>
      <c r="E1168" s="22">
        <f>IF(D1168="?OLD","!!!","")</f>
        <v/>
      </c>
      <c r="F1168" s="23" t="str">
        <f>IF(OR(E1168="",E1168="!!!"),"",IF(NOT(ISNA(VLOOKUP(E1168,E$1:E1167,1,FALSE()))),"OLD",IF(AND(E1168&lt;&gt;"",E1168&lt;&gt;"!!!"),"NEW","")))</f>
        <v> </v>
      </c>
      <c r="G1168" s="24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5" t="str">
        <f>IF(J1168&lt;&gt;1,"",IF(I1168="SBJ","CB","?"))</f>
        <v> </v>
      </c>
      <c r="I1168" s="26" t="str">
        <f>IF(OR(E1168="",E1168="!!!",F1168="NEW"),"",INDEX(B1167:B$2,-1+SUMPRODUCT(MAX(ROW(E1167:E$2)*(E1168=E1167:E$2)))))</f>
        <v> </v>
      </c>
      <c r="J1168" s="26" t="str">
        <f>IF(OR(E1168="",E1168="!!!",F1168="NEW"),"",COUNTBLANK(OFFSET(A$1,,,SUMPRODUCT(MAX(ROW(E$2:E1168)*(E1168=E$2:E1168)))))-COUNTBLANK(OFFSET(A$1,,,SUMPRODUCT(MAX(ROW(E$1:E1167)*(E2=E$1:E1167))))))</f>
        <v> </v>
      </c>
      <c r="K1168" s="26" t="str">
        <f>IF(OR(E1168="",E1168="!!!",F1168="NEW"),"",INDEX(J$1:J1167,SUMPRODUCT(MAX(ROW(E$1:E1167)*(E1168=E$1:E1167)))))</f>
        <v> </v>
      </c>
      <c r="L1168" s="27"/>
    </row>
    <row r="1169" spans="1:12">
      <c r="A1169" s="20" t="s">
        <v>402</v>
      </c>
      <c r="E1169" s="22">
        <f>IF(D1169="?OLD","!!!","")</f>
        <v/>
      </c>
      <c r="F1169" s="23" t="str">
        <f>IF(OR(E1169="",E1169="!!!"),"",IF(NOT(ISNA(VLOOKUP(E1169,E$1:E1168,1,FALSE()))),"OLD",IF(AND(E1169&lt;&gt;"",E1169&lt;&gt;"!!!"),"NEW","")))</f>
        <v> </v>
      </c>
      <c r="G1169" s="24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5" t="str">
        <f>IF(J1169&lt;&gt;1,"",IF(I1169="SBJ","CB","?"))</f>
        <v> </v>
      </c>
      <c r="I1169" s="26" t="str">
        <f>IF(OR(E1169="",E1169="!!!",F1169="NEW"),"",INDEX(B1168:B$2,-1+SUMPRODUCT(MAX(ROW(E1168:E$2)*(E1169=E1168:E$2)))))</f>
        <v> </v>
      </c>
      <c r="J1169" s="26" t="str">
        <f>IF(OR(E1169="",E1169="!!!",F1169="NEW"),"",COUNTBLANK(OFFSET(A$1,,,SUMPRODUCT(MAX(ROW(E$2:E1169)*(E1169=E$2:E1169)))))-COUNTBLANK(OFFSET(A$1,,,SUMPRODUCT(MAX(ROW(E$1:E1168)*(E2=E$1:E1168))))))</f>
        <v> </v>
      </c>
      <c r="K1169" s="26" t="str">
        <f>IF(OR(E1169="",E1169="!!!",F1169="NEW"),"",INDEX(J$1:J1168,SUMPRODUCT(MAX(ROW(E$1:E1168)*(E1169=E$1:E1168)))))</f>
        <v> </v>
      </c>
      <c r="L1169" s="27"/>
    </row>
    <row r="1170" spans="1:12">
      <c r="A1170" s="20" t="s">
        <v>1198</v>
      </c>
      <c r="B1170" s="21" t="s">
        <v>1045</v>
      </c>
      <c r="C1170" s="21" t="s">
        <v>613</v>
      </c>
      <c r="D1170" s="21" t="s">
        <v>587</v>
      </c>
      <c r="E1170" s="22">
        <f>IF(D1170="?OLD","!!!","")</f>
        <v/>
      </c>
      <c r="F1170" s="23" t="str">
        <f>IF(OR(E1170="",E1170="!!!"),"",IF(NOT(ISNA(VLOOKUP(E1170,E$1:E1169,1,FALSE()))),"OLD",IF(AND(E1170&lt;&gt;"",E1170&lt;&gt;"!!!"),"NEW","")))</f>
        <v> </v>
      </c>
      <c r="G1170" s="24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5" t="str">
        <f>IF(J1170&lt;&gt;1,"",IF(I1170="SBJ","CB","?"))</f>
        <v> </v>
      </c>
      <c r="I1170" s="26" t="str">
        <f>IF(OR(E1170="",E1170="!!!",F1170="NEW"),"",INDEX(B1169:B$2,-1+SUMPRODUCT(MAX(ROW(E1169:E$2)*(E1170=E1169:E$2)))))</f>
        <v> </v>
      </c>
      <c r="J1170" s="26" t="str">
        <f>IF(OR(E1170="",E1170="!!!",F1170="NEW"),"",COUNTBLANK(OFFSET(A$1,,,SUMPRODUCT(MAX(ROW(E$2:E1170)*(E1170=E$2:E1170)))))-COUNTBLANK(OFFSET(A$1,,,SUMPRODUCT(MAX(ROW(E$1:E1169)*(E2=E$1:E1169))))))</f>
        <v> </v>
      </c>
      <c r="K1170" s="26" t="str">
        <f>IF(OR(E1170="",E1170="!!!",F1170="NEW"),"",INDEX(J$1:J1169,SUMPRODUCT(MAX(ROW(E$1:E1169)*(E1170=E$1:E1169)))))</f>
        <v> </v>
      </c>
      <c r="L1170" s="27"/>
    </row>
    <row r="1171" spans="1:12">
      <c r="A1171" s="20" t="s">
        <v>754</v>
      </c>
      <c r="E1171" s="22">
        <f>IF(D1171="?OLD","!!!","")</f>
        <v/>
      </c>
      <c r="F1171" s="23" t="str">
        <f>IF(OR(E1171="",E1171="!!!"),"",IF(NOT(ISNA(VLOOKUP(E1171,E$1:E1170,1,FALSE()))),"OLD",IF(AND(E1171&lt;&gt;"",E1171&lt;&gt;"!!!"),"NEW","")))</f>
        <v> </v>
      </c>
      <c r="G1171" s="24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5" t="str">
        <f>IF(J1171&lt;&gt;1,"",IF(I1171="SBJ","CB","?"))</f>
        <v> </v>
      </c>
      <c r="I1171" s="26" t="str">
        <f>IF(OR(E1171="",E1171="!!!",F1171="NEW"),"",INDEX(B1170:B$2,-1+SUMPRODUCT(MAX(ROW(E1170:E$2)*(E1171=E1170:E$2)))))</f>
        <v> </v>
      </c>
      <c r="J1171" s="26" t="str">
        <f>IF(OR(E1171="",E1171="!!!",F1171="NEW"),"",COUNTBLANK(OFFSET(A$1,,,SUMPRODUCT(MAX(ROW(E$2:E1171)*(E1171=E$2:E1171)))))-COUNTBLANK(OFFSET(A$1,,,SUMPRODUCT(MAX(ROW(E$1:E1170)*(E2=E$1:E1170))))))</f>
        <v> </v>
      </c>
      <c r="K1171" s="26" t="str">
        <f>IF(OR(E1171="",E1171="!!!",F1171="NEW"),"",INDEX(J$1:J1170,SUMPRODUCT(MAX(ROW(E$1:E1170)*(E1171=E$1:E1170)))))</f>
        <v> </v>
      </c>
      <c r="L1171" s="27"/>
    </row>
    <row r="1172" spans="1:12">
      <c r="A1172" s="20" t="s">
        <v>592</v>
      </c>
      <c r="E1172" s="22">
        <f>IF(D1172="?OLD","!!!","")</f>
        <v/>
      </c>
      <c r="F1172" s="23" t="str">
        <f>IF(OR(E1172="",E1172="!!!"),"",IF(NOT(ISNA(VLOOKUP(E1172,E$1:E1171,1,FALSE()))),"OLD",IF(AND(E1172&lt;&gt;"",E1172&lt;&gt;"!!!"),"NEW","")))</f>
        <v> </v>
      </c>
      <c r="G1172" s="24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5" t="str">
        <f>IF(J1172&lt;&gt;1,"",IF(I1172="SBJ","CB","?"))</f>
        <v> </v>
      </c>
      <c r="I1172" s="26" t="str">
        <f>IF(OR(E1172="",E1172="!!!",F1172="NEW"),"",INDEX(B1171:B$2,-1+SUMPRODUCT(MAX(ROW(E1171:E$2)*(E1172=E1171:E$2)))))</f>
        <v> </v>
      </c>
      <c r="J1172" s="26" t="str">
        <f>IF(OR(E1172="",E1172="!!!",F1172="NEW"),"",COUNTBLANK(OFFSET(A$1,,,SUMPRODUCT(MAX(ROW(E$2:E1172)*(E1172=E$2:E1172)))))-COUNTBLANK(OFFSET(A$1,,,SUMPRODUCT(MAX(ROW(E$1:E1171)*(E2=E$1:E1171))))))</f>
        <v> </v>
      </c>
      <c r="K1172" s="26" t="str">
        <f>IF(OR(E1172="",E1172="!!!",F1172="NEW"),"",INDEX(J$1:J1171,SUMPRODUCT(MAX(ROW(E$1:E1171)*(E1172=E$1:E1171)))))</f>
        <v> </v>
      </c>
      <c r="L1172" s="27"/>
    </row>
    <row r="1173" spans="1:12">
      <c r="A1173" s="20"/>
    </row>
    <row r="1174" spans="1:12">
      <c r="A1174" s="20" t="s">
        <v>1199</v>
      </c>
    </row>
    <row r="1175" spans="1:12">
      <c r="A1175" s="20" t="s">
        <v>765</v>
      </c>
      <c r="B1175" s="21" t="s">
        <v>578</v>
      </c>
      <c r="C1175" s="21" t="s">
        <v>613</v>
      </c>
      <c r="D1175" s="21" t="s">
        <v>587</v>
      </c>
      <c r="E1175" s="22">
        <f>IF(D1175="?OLD","!!!","")</f>
        <v/>
      </c>
      <c r="F1175" s="23" t="str">
        <f>IF(OR(E1175="",E1175="!!!"),"",IF(NOT(ISNA(VLOOKUP(E1175,E$1:E1174,1,FALSE()))),"OLD",IF(AND(E1175&lt;&gt;"",E1175&lt;&gt;"!!!"),"NEW","")))</f>
        <v> </v>
      </c>
      <c r="G1175" s="24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5" t="str">
        <f>IF(J1175&lt;&gt;1,"",IF(I1175="SBJ","CB","?"))</f>
        <v> </v>
      </c>
      <c r="I1175" s="26" t="str">
        <f>IF(OR(E1175="",E1175="!!!",F1175="NEW"),"",INDEX(B1174:B$2,-1+SUMPRODUCT(MAX(ROW(E1174:E$2)*(E1175=E1174:E$2)))))</f>
        <v> </v>
      </c>
      <c r="J1175" s="26" t="str">
        <f>IF(OR(E1175="",E1175="!!!",F1175="NEW"),"",COUNTBLANK(OFFSET(A$1,,,SUMPRODUCT(MAX(ROW(E$2:E1175)*(E1175=E$2:E1175)))))-COUNTBLANK(OFFSET(A$1,,,SUMPRODUCT(MAX(ROW(E$1:E1174)*(E2=E$1:E1174))))))</f>
        <v> </v>
      </c>
      <c r="K1175" s="26" t="str">
        <f>IF(OR(E1175="",E1175="!!!",F1175="NEW"),"",INDEX(J$1:J1174,SUMPRODUCT(MAX(ROW(E$1:E1174)*(E1175=E$1:E1174)))))</f>
        <v> </v>
      </c>
      <c r="L1175" s="27"/>
    </row>
    <row r="1176" spans="1:12">
      <c r="A1176" s="20" t="s">
        <v>1200</v>
      </c>
      <c r="E1176" s="22">
        <f>IF(D1176="?OLD","!!!","")</f>
        <v/>
      </c>
      <c r="F1176" s="23" t="str">
        <f>IF(OR(E1176="",E1176="!!!"),"",IF(NOT(ISNA(VLOOKUP(E1176,E$1:E1175,1,FALSE()))),"OLD",IF(AND(E1176&lt;&gt;"",E1176&lt;&gt;"!!!"),"NEW","")))</f>
        <v> </v>
      </c>
      <c r="G1176" s="24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5" t="str">
        <f>IF(J1176&lt;&gt;1,"",IF(I1176="SBJ","CB","?"))</f>
        <v> </v>
      </c>
      <c r="I1176" s="26" t="str">
        <f>IF(OR(E1176="",E1176="!!!",F1176="NEW"),"",INDEX(B1175:B$2,-1+SUMPRODUCT(MAX(ROW(E1175:E$2)*(E1176=E1175:E$2)))))</f>
        <v> </v>
      </c>
      <c r="J1176" s="26" t="str">
        <f>IF(OR(E1176="",E1176="!!!",F1176="NEW"),"",COUNTBLANK(OFFSET(A$1,,,SUMPRODUCT(MAX(ROW(E$2:E1176)*(E1176=E$2:E1176)))))-COUNTBLANK(OFFSET(A$1,,,SUMPRODUCT(MAX(ROW(E$1:E1175)*(E2=E$1:E1175))))))</f>
        <v> </v>
      </c>
      <c r="K1176" s="26" t="str">
        <f>IF(OR(E1176="",E1176="!!!",F1176="NEW"),"",INDEX(J$1:J1175,SUMPRODUCT(MAX(ROW(E$1:E1175)*(E1176=E$1:E1175)))))</f>
        <v> </v>
      </c>
      <c r="L1176" s="27"/>
    </row>
    <row r="1177" spans="1:12">
      <c r="A1177" s="20" t="s">
        <v>656</v>
      </c>
      <c r="B1177" s="21" t="s">
        <v>615</v>
      </c>
      <c r="C1177" s="21" t="s">
        <v>586</v>
      </c>
      <c r="D1177" s="21" t="s">
        <v>587</v>
      </c>
      <c r="E1177" s="22">
        <f>IF(D1177="?OLD","!!!","")</f>
        <v/>
      </c>
      <c r="F1177" s="23" t="str">
        <f>IF(OR(E1177="",E1177="!!!"),"",IF(NOT(ISNA(VLOOKUP(E1177,E$1:E1176,1,FALSE()))),"OLD",IF(AND(E1177&lt;&gt;"",E1177&lt;&gt;"!!!"),"NEW","")))</f>
        <v> </v>
      </c>
      <c r="G1177" s="24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5" t="str">
        <f>IF(J1177&lt;&gt;1,"",IF(I1177="SBJ","CB","?"))</f>
        <v> </v>
      </c>
      <c r="I1177" s="26" t="str">
        <f>IF(OR(E1177="",E1177="!!!",F1177="NEW"),"",INDEX(B1176:B$2,-1+SUMPRODUCT(MAX(ROW(E1176:E$2)*(E1177=E1176:E$2)))))</f>
        <v> </v>
      </c>
      <c r="J1177" s="26" t="str">
        <f>IF(OR(E1177="",E1177="!!!",F1177="NEW"),"",COUNTBLANK(OFFSET(A$1,,,SUMPRODUCT(MAX(ROW(E$2:E1177)*(E1177=E$2:E1177)))))-COUNTBLANK(OFFSET(A$1,,,SUMPRODUCT(MAX(ROW(E$1:E1176)*(E2=E$1:E1176))))))</f>
        <v> </v>
      </c>
      <c r="K1177" s="26" t="str">
        <f>IF(OR(E1177="",E1177="!!!",F1177="NEW"),"",INDEX(J$1:J1176,SUMPRODUCT(MAX(ROW(E$1:E1176)*(E1177=E$1:E1176)))))</f>
        <v> </v>
      </c>
      <c r="L1177" s="27"/>
    </row>
    <row r="1178" spans="1:12">
      <c r="A1178" s="20" t="s">
        <v>1201</v>
      </c>
      <c r="E1178" s="22">
        <f>IF(D1178="?OLD","!!!","")</f>
        <v/>
      </c>
      <c r="F1178" s="23" t="str">
        <f>IF(OR(E1178="",E1178="!!!"),"",IF(NOT(ISNA(VLOOKUP(E1178,E$1:E1177,1,FALSE()))),"OLD",IF(AND(E1178&lt;&gt;"",E1178&lt;&gt;"!!!"),"NEW","")))</f>
        <v> </v>
      </c>
      <c r="G1178" s="24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5" t="str">
        <f>IF(J1178&lt;&gt;1,"",IF(I1178="SBJ","CB","?"))</f>
        <v> </v>
      </c>
      <c r="I1178" s="26" t="str">
        <f>IF(OR(E1178="",E1178="!!!",F1178="NEW"),"",INDEX(B1177:B$2,-1+SUMPRODUCT(MAX(ROW(E1177:E$2)*(E1178=E1177:E$2)))))</f>
        <v> </v>
      </c>
      <c r="J1178" s="26" t="str">
        <f>IF(OR(E1178="",E1178="!!!",F1178="NEW"),"",COUNTBLANK(OFFSET(A$1,,,SUMPRODUCT(MAX(ROW(E$2:E1178)*(E1178=E$2:E1178)))))-COUNTBLANK(OFFSET(A$1,,,SUMPRODUCT(MAX(ROW(E$1:E1177)*(E2=E$1:E1177))))))</f>
        <v> </v>
      </c>
      <c r="K1178" s="26" t="str">
        <f>IF(OR(E1178="",E1178="!!!",F1178="NEW"),"",INDEX(J$1:J1177,SUMPRODUCT(MAX(ROW(E$1:E1177)*(E1178=E$1:E1177)))))</f>
        <v> </v>
      </c>
      <c r="L1178" s="27"/>
    </row>
    <row r="1179" spans="1:12">
      <c r="A1179" s="20" t="s">
        <v>1202</v>
      </c>
      <c r="B1179" s="21" t="s">
        <v>651</v>
      </c>
      <c r="C1179" s="21" t="s">
        <v>646</v>
      </c>
      <c r="E1179" s="22">
        <f>IF(D1179="?OLD","!!!","")</f>
        <v/>
      </c>
      <c r="F1179" s="23" t="str">
        <f>IF(OR(E1179="",E1179="!!!"),"",IF(NOT(ISNA(VLOOKUP(E1179,E$1:E1178,1,FALSE()))),"OLD",IF(AND(E1179&lt;&gt;"",E1179&lt;&gt;"!!!"),"NEW","")))</f>
        <v> </v>
      </c>
      <c r="G1179" s="24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5" t="str">
        <f>IF(J1179&lt;&gt;1,"",IF(I1179="SBJ","CB","?"))</f>
        <v> </v>
      </c>
      <c r="I1179" s="26" t="str">
        <f>IF(OR(E1179="",E1179="!!!",F1179="NEW"),"",INDEX(B1178:B$2,-1+SUMPRODUCT(MAX(ROW(E1178:E$2)*(E1179=E1178:E$2)))))</f>
        <v> </v>
      </c>
      <c r="J1179" s="26" t="str">
        <f>IF(OR(E1179="",E1179="!!!",F1179="NEW"),"",COUNTBLANK(OFFSET(A$1,,,SUMPRODUCT(MAX(ROW(E$2:E1179)*(E1179=E$2:E1179)))))-COUNTBLANK(OFFSET(A$1,,,SUMPRODUCT(MAX(ROW(E$1:E1178)*(E2=E$1:E1178))))))</f>
        <v> </v>
      </c>
      <c r="K1179" s="26" t="str">
        <f>IF(OR(E1179="",E1179="!!!",F1179="NEW"),"",INDEX(J$1:J1178,SUMPRODUCT(MAX(ROW(E$1:E1178)*(E1179=E$1:E1178)))))</f>
        <v> </v>
      </c>
      <c r="L1179" s="27"/>
    </row>
    <row r="1180" spans="1:12">
      <c r="A1180" s="20" t="s">
        <v>673</v>
      </c>
      <c r="E1180" s="22">
        <f>IF(D1180="?OLD","!!!","")</f>
        <v/>
      </c>
      <c r="F1180" s="23" t="str">
        <f>IF(OR(E1180="",E1180="!!!"),"",IF(NOT(ISNA(VLOOKUP(E1180,E$1:E1179,1,FALSE()))),"OLD",IF(AND(E1180&lt;&gt;"",E1180&lt;&gt;"!!!"),"NEW","")))</f>
        <v> </v>
      </c>
      <c r="G1180" s="24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5" t="str">
        <f>IF(J1180&lt;&gt;1,"",IF(I1180="SBJ","CB","?"))</f>
        <v> </v>
      </c>
      <c r="I1180" s="26" t="str">
        <f>IF(OR(E1180="",E1180="!!!",F1180="NEW"),"",INDEX(B1179:B$2,-1+SUMPRODUCT(MAX(ROW(E1179:E$2)*(E1180=E1179:E$2)))))</f>
        <v> </v>
      </c>
      <c r="J1180" s="26" t="str">
        <f>IF(OR(E1180="",E1180="!!!",F1180="NEW"),"",COUNTBLANK(OFFSET(A$1,,,SUMPRODUCT(MAX(ROW(E$2:E1180)*(E1180=E$2:E1180)))))-COUNTBLANK(OFFSET(A$1,,,SUMPRODUCT(MAX(ROW(E$1:E1179)*(E2=E$1:E1179))))))</f>
        <v> </v>
      </c>
      <c r="K1180" s="26" t="str">
        <f>IF(OR(E1180="",E1180="!!!",F1180="NEW"),"",INDEX(J$1:J1179,SUMPRODUCT(MAX(ROW(E$1:E1179)*(E1180=E$1:E1179)))))</f>
        <v> </v>
      </c>
      <c r="L1180" s="27"/>
    </row>
    <row r="1181" spans="1:12">
      <c r="A1181" s="20" t="s">
        <v>674</v>
      </c>
      <c r="E1181" s="22">
        <f>IF(D1181="?OLD","!!!","")</f>
        <v/>
      </c>
      <c r="F1181" s="23" t="str">
        <f>IF(OR(E1181="",E1181="!!!"),"",IF(NOT(ISNA(VLOOKUP(E1181,E$1:E1180,1,FALSE()))),"OLD",IF(AND(E1181&lt;&gt;"",E1181&lt;&gt;"!!!"),"NEW","")))</f>
        <v> </v>
      </c>
      <c r="G1181" s="24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5" t="str">
        <f>IF(J1181&lt;&gt;1,"",IF(I1181="SBJ","CB","?"))</f>
        <v> </v>
      </c>
      <c r="I1181" s="26" t="str">
        <f>IF(OR(E1181="",E1181="!!!",F1181="NEW"),"",INDEX(B1180:B$2,-1+SUMPRODUCT(MAX(ROW(E1180:E$2)*(E1181=E1180:E$2)))))</f>
        <v> </v>
      </c>
      <c r="J1181" s="26" t="str">
        <f>IF(OR(E1181="",E1181="!!!",F1181="NEW"),"",COUNTBLANK(OFFSET(A$1,,,SUMPRODUCT(MAX(ROW(E$2:E1181)*(E1181=E$2:E1181)))))-COUNTBLANK(OFFSET(A$1,,,SUMPRODUCT(MAX(ROW(E$1:E1180)*(E2=E$1:E1180))))))</f>
        <v> </v>
      </c>
      <c r="K1181" s="26" t="str">
        <f>IF(OR(E1181="",E1181="!!!",F1181="NEW"),"",INDEX(J$1:J1180,SUMPRODUCT(MAX(ROW(E$1:E1180)*(E1181=E$1:E1180)))))</f>
        <v> </v>
      </c>
      <c r="L1181" s="27"/>
    </row>
    <row r="1182" spans="1:12">
      <c r="A1182" s="20" t="s">
        <v>583</v>
      </c>
      <c r="E1182" s="22">
        <f>IF(D1182="?OLD","!!!","")</f>
        <v/>
      </c>
      <c r="F1182" s="23" t="str">
        <f>IF(OR(E1182="",E1182="!!!"),"",IF(NOT(ISNA(VLOOKUP(E1182,E$1:E1181,1,FALSE()))),"OLD",IF(AND(E1182&lt;&gt;"",E1182&lt;&gt;"!!!"),"NEW","")))</f>
        <v> </v>
      </c>
      <c r="G1182" s="24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5" t="str">
        <f>IF(J1182&lt;&gt;1,"",IF(I1182="SBJ","CB","?"))</f>
        <v> </v>
      </c>
      <c r="I1182" s="26" t="str">
        <f>IF(OR(E1182="",E1182="!!!",F1182="NEW"),"",INDEX(B1181:B$2,-1+SUMPRODUCT(MAX(ROW(E1181:E$2)*(E1182=E1181:E$2)))))</f>
        <v> </v>
      </c>
      <c r="J1182" s="26" t="str">
        <f>IF(OR(E1182="",E1182="!!!",F1182="NEW"),"",COUNTBLANK(OFFSET(A$1,,,SUMPRODUCT(MAX(ROW(E$2:E1182)*(E1182=E$2:E1182)))))-COUNTBLANK(OFFSET(A$1,,,SUMPRODUCT(MAX(ROW(E$1:E1181)*(E2=E$1:E1181))))))</f>
        <v> </v>
      </c>
      <c r="K1182" s="26" t="str">
        <f>IF(OR(E1182="",E1182="!!!",F1182="NEW"),"",INDEX(J$1:J1181,SUMPRODUCT(MAX(ROW(E$1:E1181)*(E1182=E$1:E1181)))))</f>
        <v> </v>
      </c>
      <c r="L1182" s="27"/>
    </row>
    <row r="1183" spans="1:12">
      <c r="A1183" s="20" t="s">
        <v>962</v>
      </c>
      <c r="E1183" s="22">
        <f>IF(D1183="?OLD","!!!","")</f>
        <v/>
      </c>
      <c r="F1183" s="23" t="str">
        <f>IF(OR(E1183="",E1183="!!!"),"",IF(NOT(ISNA(VLOOKUP(E1183,E$1:E1182,1,FALSE()))),"OLD",IF(AND(E1183&lt;&gt;"",E1183&lt;&gt;"!!!"),"NEW","")))</f>
        <v> </v>
      </c>
      <c r="G1183" s="24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5" t="str">
        <f>IF(J1183&lt;&gt;1,"",IF(I1183="SBJ","CB","?"))</f>
        <v> </v>
      </c>
      <c r="I1183" s="26" t="str">
        <f>IF(OR(E1183="",E1183="!!!",F1183="NEW"),"",INDEX(B1182:B$2,-1+SUMPRODUCT(MAX(ROW(E1182:E$2)*(E1183=E1182:E$2)))))</f>
        <v> </v>
      </c>
      <c r="J1183" s="26" t="str">
        <f>IF(OR(E1183="",E1183="!!!",F1183="NEW"),"",COUNTBLANK(OFFSET(A$1,,,SUMPRODUCT(MAX(ROW(E$2:E1183)*(E1183=E$2:E1183)))))-COUNTBLANK(OFFSET(A$1,,,SUMPRODUCT(MAX(ROW(E$1:E1182)*(E2=E$1:E1182))))))</f>
        <v> </v>
      </c>
      <c r="K1183" s="26" t="str">
        <f>IF(OR(E1183="",E1183="!!!",F1183="NEW"),"",INDEX(J$1:J1182,SUMPRODUCT(MAX(ROW(E$1:E1182)*(E1183=E$1:E1182)))))</f>
        <v> </v>
      </c>
      <c r="L1183" s="27"/>
    </row>
    <row r="1184" spans="1:12">
      <c r="A1184" s="20" t="s">
        <v>1203</v>
      </c>
      <c r="B1184" s="21" t="s">
        <v>590</v>
      </c>
      <c r="C1184" s="21" t="s">
        <v>628</v>
      </c>
      <c r="D1184" s="21" t="s">
        <v>587</v>
      </c>
      <c r="E1184" s="22">
        <f>IF(D1184="?OLD","!!!","")</f>
        <v/>
      </c>
      <c r="F1184" s="23" t="str">
        <f>IF(OR(E1184="",E1184="!!!"),"",IF(NOT(ISNA(VLOOKUP(E1184,E$1:E1183,1,FALSE()))),"OLD",IF(AND(E1184&lt;&gt;"",E1184&lt;&gt;"!!!"),"NEW","")))</f>
        <v> </v>
      </c>
      <c r="G1184" s="24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5" t="str">
        <f>IF(J1184&lt;&gt;1,"",IF(I1184="SBJ","CB","?"))</f>
        <v> </v>
      </c>
      <c r="I1184" s="26" t="str">
        <f>IF(OR(E1184="",E1184="!!!",F1184="NEW"),"",INDEX(B1183:B$2,-1+SUMPRODUCT(MAX(ROW(E1183:E$2)*(E1184=E1183:E$2)))))</f>
        <v> </v>
      </c>
      <c r="J1184" s="26" t="str">
        <f>IF(OR(E1184="",E1184="!!!",F1184="NEW"),"",COUNTBLANK(OFFSET(A$1,,,SUMPRODUCT(MAX(ROW(E$2:E1184)*(E1184=E$2:E1184)))))-COUNTBLANK(OFFSET(A$1,,,SUMPRODUCT(MAX(ROW(E$1:E1183)*(E2=E$1:E1183))))))</f>
        <v> </v>
      </c>
      <c r="K1184" s="26" t="str">
        <f>IF(OR(E1184="",E1184="!!!",F1184="NEW"),"",INDEX(J$1:J1183,SUMPRODUCT(MAX(ROW(E$1:E1183)*(E1184=E$1:E1183)))))</f>
        <v> </v>
      </c>
      <c r="L1184" s="27"/>
    </row>
    <row r="1185" spans="1:12">
      <c r="A1185" s="20" t="s">
        <v>1204</v>
      </c>
      <c r="B1185" s="21" t="s">
        <v>601</v>
      </c>
      <c r="C1185" s="21" t="s">
        <v>628</v>
      </c>
      <c r="D1185" s="21" t="s">
        <v>587</v>
      </c>
      <c r="E1185" s="22">
        <f>IF(D1185="?OLD","!!!","")</f>
        <v/>
      </c>
      <c r="F1185" s="23" t="str">
        <f>IF(OR(E1185="",E1185="!!!"),"",IF(NOT(ISNA(VLOOKUP(E1185,E$1:E1184,1,FALSE()))),"OLD",IF(AND(E1185&lt;&gt;"",E1185&lt;&gt;"!!!"),"NEW","")))</f>
        <v> </v>
      </c>
      <c r="G1185" s="24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5" t="str">
        <f>IF(J1185&lt;&gt;1,"",IF(I1185="SBJ","CB","?"))</f>
        <v> </v>
      </c>
      <c r="I1185" s="26" t="str">
        <f>IF(OR(E1185="",E1185="!!!",F1185="NEW"),"",INDEX(B1184:B$2,-1+SUMPRODUCT(MAX(ROW(E1184:E$2)*(E1185=E1184:E$2)))))</f>
        <v> </v>
      </c>
      <c r="J1185" s="26" t="str">
        <f>IF(OR(E1185="",E1185="!!!",F1185="NEW"),"",COUNTBLANK(OFFSET(A$1,,,SUMPRODUCT(MAX(ROW(E$2:E1185)*(E1185=E$2:E1185)))))-COUNTBLANK(OFFSET(A$1,,,SUMPRODUCT(MAX(ROW(E$1:E1184)*(E2=E$1:E1184))))))</f>
        <v> </v>
      </c>
      <c r="K1185" s="26" t="str">
        <f>IF(OR(E1185="",E1185="!!!",F1185="NEW"),"",INDEX(J$1:J1184,SUMPRODUCT(MAX(ROW(E$1:E1184)*(E1185=E$1:E1184)))))</f>
        <v> </v>
      </c>
      <c r="L1185" s="27"/>
    </row>
    <row r="1186" spans="1:12">
      <c r="A1186" s="20" t="s">
        <v>655</v>
      </c>
      <c r="E1186" s="22">
        <f>IF(D1186="?OLD","!!!","")</f>
        <v/>
      </c>
      <c r="F1186" s="23" t="str">
        <f>IF(OR(E1186="",E1186="!!!"),"",IF(NOT(ISNA(VLOOKUP(E1186,E$1:E1185,1,FALSE()))),"OLD",IF(AND(E1186&lt;&gt;"",E1186&lt;&gt;"!!!"),"NEW","")))</f>
        <v> </v>
      </c>
      <c r="G1186" s="24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5" t="str">
        <f>IF(J1186&lt;&gt;1,"",IF(I1186="SBJ","CB","?"))</f>
        <v> </v>
      </c>
      <c r="I1186" s="26" t="str">
        <f>IF(OR(E1186="",E1186="!!!",F1186="NEW"),"",INDEX(B1185:B$2,-1+SUMPRODUCT(MAX(ROW(E1185:E$2)*(E1186=E1185:E$2)))))</f>
        <v> </v>
      </c>
      <c r="J1186" s="26" t="str">
        <f>IF(OR(E1186="",E1186="!!!",F1186="NEW"),"",COUNTBLANK(OFFSET(A$1,,,SUMPRODUCT(MAX(ROW(E$2:E1186)*(E1186=E$2:E1186)))))-COUNTBLANK(OFFSET(A$1,,,SUMPRODUCT(MAX(ROW(E$1:E1185)*(E2=E$1:E1185))))))</f>
        <v> </v>
      </c>
      <c r="K1186" s="26" t="str">
        <f>IF(OR(E1186="",E1186="!!!",F1186="NEW"),"",INDEX(J$1:J1185,SUMPRODUCT(MAX(ROW(E$1:E1185)*(E1186=E$1:E1185)))))</f>
        <v> </v>
      </c>
      <c r="L1186" s="27"/>
    </row>
    <row r="1187" spans="1:12">
      <c r="A1187" s="20" t="s">
        <v>1205</v>
      </c>
      <c r="E1187" s="22">
        <f>IF(D1187="?OLD","!!!","")</f>
        <v/>
      </c>
      <c r="F1187" s="23" t="str">
        <f>IF(OR(E1187="",E1187="!!!"),"",IF(NOT(ISNA(VLOOKUP(E1187,E$1:E1186,1,FALSE()))),"OLD",IF(AND(E1187&lt;&gt;"",E1187&lt;&gt;"!!!"),"NEW","")))</f>
        <v> </v>
      </c>
      <c r="G1187" s="24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5" t="str">
        <f>IF(J1187&lt;&gt;1,"",IF(I1187="SBJ","CB","?"))</f>
        <v> </v>
      </c>
      <c r="I1187" s="26" t="str">
        <f>IF(OR(E1187="",E1187="!!!",F1187="NEW"),"",INDEX(B1186:B$2,-1+SUMPRODUCT(MAX(ROW(E1186:E$2)*(E1187=E1186:E$2)))))</f>
        <v> </v>
      </c>
      <c r="J1187" s="26" t="str">
        <f>IF(OR(E1187="",E1187="!!!",F1187="NEW"),"",COUNTBLANK(OFFSET(A$1,,,SUMPRODUCT(MAX(ROW(E$2:E1187)*(E1187=E$2:E1187)))))-COUNTBLANK(OFFSET(A$1,,,SUMPRODUCT(MAX(ROW(E$1:E1186)*(E2=E$1:E1186))))))</f>
        <v> </v>
      </c>
      <c r="K1187" s="26" t="str">
        <f>IF(OR(E1187="",E1187="!!!",F1187="NEW"),"",INDEX(J$1:J1186,SUMPRODUCT(MAX(ROW(E$1:E1186)*(E1187=E$1:E1186)))))</f>
        <v> </v>
      </c>
      <c r="L1187" s="27"/>
    </row>
    <row r="1188" spans="1:12">
      <c r="A1188" s="20" t="s">
        <v>1095</v>
      </c>
      <c r="B1188" s="21" t="s">
        <v>601</v>
      </c>
      <c r="C1188" s="21" t="s">
        <v>800</v>
      </c>
      <c r="D1188" s="21" t="s">
        <v>587</v>
      </c>
      <c r="E1188" s="22">
        <f>IF(D1188="?OLD","!!!","")</f>
        <v/>
      </c>
      <c r="F1188" s="23" t="str">
        <f>IF(OR(E1188="",E1188="!!!"),"",IF(NOT(ISNA(VLOOKUP(E1188,E$1:E1187,1,FALSE()))),"OLD",IF(AND(E1188&lt;&gt;"",E1188&lt;&gt;"!!!"),"NEW","")))</f>
        <v> </v>
      </c>
      <c r="G1188" s="24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5" t="str">
        <f>IF(J1188&lt;&gt;1,"",IF(I1188="SBJ","CB","?"))</f>
        <v> </v>
      </c>
      <c r="I1188" s="26" t="str">
        <f>IF(OR(E1188="",E1188="!!!",F1188="NEW"),"",INDEX(B1187:B$2,-1+SUMPRODUCT(MAX(ROW(E1187:E$2)*(E1188=E1187:E$2)))))</f>
        <v> </v>
      </c>
      <c r="J1188" s="26" t="str">
        <f>IF(OR(E1188="",E1188="!!!",F1188="NEW"),"",COUNTBLANK(OFFSET(A$1,,,SUMPRODUCT(MAX(ROW(E$2:E1188)*(E1188=E$2:E1188)))))-COUNTBLANK(OFFSET(A$1,,,SUMPRODUCT(MAX(ROW(E$1:E1187)*(E2=E$1:E1187))))))</f>
        <v> </v>
      </c>
      <c r="K1188" s="26" t="str">
        <f>IF(OR(E1188="",E1188="!!!",F1188="NEW"),"",INDEX(J$1:J1187,SUMPRODUCT(MAX(ROW(E$1:E1187)*(E1188=E$1:E1187)))))</f>
        <v> </v>
      </c>
      <c r="L1188" s="27"/>
    </row>
    <row r="1189" spans="1:12">
      <c r="A1189" s="20" t="s">
        <v>1206</v>
      </c>
      <c r="B1189" s="21" t="s">
        <v>645</v>
      </c>
      <c r="C1189" s="21" t="s">
        <v>628</v>
      </c>
      <c r="D1189" s="21" t="s">
        <v>587</v>
      </c>
      <c r="E1189" s="22">
        <f>IF(D1189="?OLD","!!!","")</f>
        <v/>
      </c>
      <c r="F1189" s="23" t="str">
        <f>IF(OR(E1189="",E1189="!!!"),"",IF(NOT(ISNA(VLOOKUP(E1189,E$1:E1188,1,FALSE()))),"OLD",IF(AND(E1189&lt;&gt;"",E1189&lt;&gt;"!!!"),"NEW","")))</f>
        <v> </v>
      </c>
      <c r="G1189" s="24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5" t="str">
        <f>IF(J1189&lt;&gt;1,"",IF(I1189="SBJ","CB","?"))</f>
        <v> </v>
      </c>
      <c r="I1189" s="26" t="str">
        <f>IF(OR(E1189="",E1189="!!!",F1189="NEW"),"",INDEX(B1188:B$2,-1+SUMPRODUCT(MAX(ROW(E1188:E$2)*(E1189=E1188:E$2)))))</f>
        <v> </v>
      </c>
      <c r="J1189" s="26" t="str">
        <f>IF(OR(E1189="",E1189="!!!",F1189="NEW"),"",COUNTBLANK(OFFSET(A$1,,,SUMPRODUCT(MAX(ROW(E$2:E1189)*(E1189=E$2:E1189)))))-COUNTBLANK(OFFSET(A$1,,,SUMPRODUCT(MAX(ROW(E$1:E1188)*(E2=E$1:E1188))))))</f>
        <v> </v>
      </c>
      <c r="K1189" s="26" t="str">
        <f>IF(OR(E1189="",E1189="!!!",F1189="NEW"),"",INDEX(J$1:J1188,SUMPRODUCT(MAX(ROW(E$1:E1188)*(E1189=E$1:E1188)))))</f>
        <v> </v>
      </c>
      <c r="L1189" s="27"/>
    </row>
    <row r="1190" spans="1:12">
      <c r="A1190" s="20" t="s">
        <v>580</v>
      </c>
      <c r="E1190" s="22">
        <f>IF(D1190="?OLD","!!!","")</f>
        <v/>
      </c>
      <c r="F1190" s="23" t="str">
        <f>IF(OR(E1190="",E1190="!!!"),"",IF(NOT(ISNA(VLOOKUP(E1190,E$1:E1189,1,FALSE()))),"OLD",IF(AND(E1190&lt;&gt;"",E1190&lt;&gt;"!!!"),"NEW","")))</f>
        <v> </v>
      </c>
      <c r="G1190" s="24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5" t="str">
        <f>IF(J1190&lt;&gt;1,"",IF(I1190="SBJ","CB","?"))</f>
        <v> </v>
      </c>
      <c r="I1190" s="26" t="str">
        <f>IF(OR(E1190="",E1190="!!!",F1190="NEW"),"",INDEX(B1189:B$2,-1+SUMPRODUCT(MAX(ROW(E1189:E$2)*(E1190=E1189:E$2)))))</f>
        <v> </v>
      </c>
      <c r="J1190" s="26" t="str">
        <f>IF(OR(E1190="",E1190="!!!",F1190="NEW"),"",COUNTBLANK(OFFSET(A$1,,,SUMPRODUCT(MAX(ROW(E$2:E1190)*(E1190=E$2:E1190)))))-COUNTBLANK(OFFSET(A$1,,,SUMPRODUCT(MAX(ROW(E$1:E1189)*(E2=E$1:E1189))))))</f>
        <v> </v>
      </c>
      <c r="K1190" s="26" t="str">
        <f>IF(OR(E1190="",E1190="!!!",F1190="NEW"),"",INDEX(J$1:J1189,SUMPRODUCT(MAX(ROW(E$1:E1189)*(E1190=E$1:E1189)))))</f>
        <v> </v>
      </c>
      <c r="L1190" s="27"/>
    </row>
    <row r="1191" spans="1:12">
      <c r="A1191" s="20" t="s">
        <v>1207</v>
      </c>
      <c r="E1191" s="22">
        <f>IF(D1191="?OLD","!!!","")</f>
        <v/>
      </c>
      <c r="F1191" s="23" t="str">
        <f>IF(OR(E1191="",E1191="!!!"),"",IF(NOT(ISNA(VLOOKUP(E1191,E$1:E1190,1,FALSE()))),"OLD",IF(AND(E1191&lt;&gt;"",E1191&lt;&gt;"!!!"),"NEW","")))</f>
        <v> </v>
      </c>
      <c r="G1191" s="24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5" t="str">
        <f>IF(J1191&lt;&gt;1,"",IF(I1191="SBJ","CB","?"))</f>
        <v> </v>
      </c>
      <c r="I1191" s="26" t="str">
        <f>IF(OR(E1191="",E1191="!!!",F1191="NEW"),"",INDEX(B1190:B$2,-1+SUMPRODUCT(MAX(ROW(E1190:E$2)*(E1191=E1190:E$2)))))</f>
        <v> </v>
      </c>
      <c r="J1191" s="26" t="str">
        <f>IF(OR(E1191="",E1191="!!!",F1191="NEW"),"",COUNTBLANK(OFFSET(A$1,,,SUMPRODUCT(MAX(ROW(E$2:E1191)*(E1191=E$2:E1191)))))-COUNTBLANK(OFFSET(A$1,,,SUMPRODUCT(MAX(ROW(E$1:E1190)*(E2=E$1:E1190))))))</f>
        <v> </v>
      </c>
      <c r="K1191" s="26" t="str">
        <f>IF(OR(E1191="",E1191="!!!",F1191="NEW"),"",INDEX(J$1:J1190,SUMPRODUCT(MAX(ROW(E$1:E1190)*(E1191=E$1:E1190)))))</f>
        <v> </v>
      </c>
      <c r="L1191" s="27"/>
    </row>
    <row r="1192" spans="1:12">
      <c r="A1192" s="20" t="s">
        <v>630</v>
      </c>
      <c r="E1192" s="22">
        <f>IF(D1192="?OLD","!!!","")</f>
        <v/>
      </c>
      <c r="F1192" s="23" t="str">
        <f>IF(OR(E1192="",E1192="!!!"),"",IF(NOT(ISNA(VLOOKUP(E1192,E$1:E1191,1,FALSE()))),"OLD",IF(AND(E1192&lt;&gt;"",E1192&lt;&gt;"!!!"),"NEW","")))</f>
        <v> </v>
      </c>
      <c r="G1192" s="24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5" t="str">
        <f>IF(J1192&lt;&gt;1,"",IF(I1192="SBJ","CB","?"))</f>
        <v> </v>
      </c>
      <c r="I1192" s="26" t="str">
        <f>IF(OR(E1192="",E1192="!!!",F1192="NEW"),"",INDEX(B1191:B$2,-1+SUMPRODUCT(MAX(ROW(E1191:E$2)*(E1192=E1191:E$2)))))</f>
        <v> </v>
      </c>
      <c r="J1192" s="26" t="str">
        <f>IF(OR(E1192="",E1192="!!!",F1192="NEW"),"",COUNTBLANK(OFFSET(A$1,,,SUMPRODUCT(MAX(ROW(E$2:E1192)*(E1192=E$2:E1192)))))-COUNTBLANK(OFFSET(A$1,,,SUMPRODUCT(MAX(ROW(E$1:E1191)*(E2=E$1:E1191))))))</f>
        <v> </v>
      </c>
      <c r="K1192" s="26" t="str">
        <f>IF(OR(E1192="",E1192="!!!",F1192="NEW"),"",INDEX(J$1:J1191,SUMPRODUCT(MAX(ROW(E$1:E1191)*(E1192=E$1:E1191)))))</f>
        <v> </v>
      </c>
      <c r="L1192" s="27"/>
    </row>
    <row r="1193" spans="1:12">
      <c r="A1193" s="20" t="s">
        <v>1208</v>
      </c>
      <c r="E1193" s="22">
        <f>IF(D1193="?OLD","!!!","")</f>
        <v/>
      </c>
      <c r="F1193" s="23" t="str">
        <f>IF(OR(E1193="",E1193="!!!"),"",IF(NOT(ISNA(VLOOKUP(E1193,E$1:E1192,1,FALSE()))),"OLD",IF(AND(E1193&lt;&gt;"",E1193&lt;&gt;"!!!"),"NEW","")))</f>
        <v> </v>
      </c>
      <c r="G1193" s="24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5" t="str">
        <f>IF(J1193&lt;&gt;1,"",IF(I1193="SBJ","CB","?"))</f>
        <v> </v>
      </c>
      <c r="I1193" s="26" t="str">
        <f>IF(OR(E1193="",E1193="!!!",F1193="NEW"),"",INDEX(B1192:B$2,-1+SUMPRODUCT(MAX(ROW(E1192:E$2)*(E1193=E1192:E$2)))))</f>
        <v> </v>
      </c>
      <c r="J1193" s="26" t="str">
        <f>IF(OR(E1193="",E1193="!!!",F1193="NEW"),"",COUNTBLANK(OFFSET(A$1,,,SUMPRODUCT(MAX(ROW(E$2:E1193)*(E1193=E$2:E1193)))))-COUNTBLANK(OFFSET(A$1,,,SUMPRODUCT(MAX(ROW(E$1:E1192)*(E2=E$1:E1192))))))</f>
        <v> </v>
      </c>
      <c r="K1193" s="26" t="str">
        <f>IF(OR(E1193="",E1193="!!!",F1193="NEW"),"",INDEX(J$1:J1192,SUMPRODUCT(MAX(ROW(E$1:E1192)*(E1193=E$1:E1192)))))</f>
        <v> </v>
      </c>
      <c r="L1193" s="27"/>
    </row>
    <row r="1194" spans="1:12">
      <c r="A1194" s="20" t="s">
        <v>655</v>
      </c>
      <c r="E1194" s="22">
        <f>IF(D1194="?OLD","!!!","")</f>
        <v/>
      </c>
      <c r="F1194" s="23" t="str">
        <f>IF(OR(E1194="",E1194="!!!"),"",IF(NOT(ISNA(VLOOKUP(E1194,E$1:E1193,1,FALSE()))),"OLD",IF(AND(E1194&lt;&gt;"",E1194&lt;&gt;"!!!"),"NEW","")))</f>
        <v> </v>
      </c>
      <c r="G1194" s="24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5" t="str">
        <f>IF(J1194&lt;&gt;1,"",IF(I1194="SBJ","CB","?"))</f>
        <v> </v>
      </c>
      <c r="I1194" s="26" t="str">
        <f>IF(OR(E1194="",E1194="!!!",F1194="NEW"),"",INDEX(B1193:B$2,-1+SUMPRODUCT(MAX(ROW(E1193:E$2)*(E1194=E1193:E$2)))))</f>
        <v> </v>
      </c>
      <c r="J1194" s="26" t="str">
        <f>IF(OR(E1194="",E1194="!!!",F1194="NEW"),"",COUNTBLANK(OFFSET(A$1,,,SUMPRODUCT(MAX(ROW(E$2:E1194)*(E1194=E$2:E1194)))))-COUNTBLANK(OFFSET(A$1,,,SUMPRODUCT(MAX(ROW(E$1:E1193)*(E2=E$1:E1193))))))</f>
        <v> </v>
      </c>
      <c r="K1194" s="26" t="str">
        <f>IF(OR(E1194="",E1194="!!!",F1194="NEW"),"",INDEX(J$1:J1193,SUMPRODUCT(MAX(ROW(E$1:E1193)*(E1194=E$1:E1193)))))</f>
        <v> </v>
      </c>
      <c r="L1194" s="27"/>
    </row>
    <row r="1195" spans="1:12">
      <c r="A1195" s="20" t="s">
        <v>1209</v>
      </c>
      <c r="E1195" s="22">
        <f>IF(D1195="?OLD","!!!","")</f>
        <v/>
      </c>
      <c r="F1195" s="23" t="str">
        <f>IF(OR(E1195="",E1195="!!!"),"",IF(NOT(ISNA(VLOOKUP(E1195,E$1:E1194,1,FALSE()))),"OLD",IF(AND(E1195&lt;&gt;"",E1195&lt;&gt;"!!!"),"NEW","")))</f>
        <v> </v>
      </c>
      <c r="G1195" s="24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5" t="str">
        <f>IF(J1195&lt;&gt;1,"",IF(I1195="SBJ","CB","?"))</f>
        <v> </v>
      </c>
      <c r="I1195" s="26" t="str">
        <f>IF(OR(E1195="",E1195="!!!",F1195="NEW"),"",INDEX(B1194:B$2,-1+SUMPRODUCT(MAX(ROW(E1194:E$2)*(E1195=E1194:E$2)))))</f>
        <v> </v>
      </c>
      <c r="J1195" s="26" t="str">
        <f>IF(OR(E1195="",E1195="!!!",F1195="NEW"),"",COUNTBLANK(OFFSET(A$1,,,SUMPRODUCT(MAX(ROW(E$2:E1195)*(E1195=E$2:E1195)))))-COUNTBLANK(OFFSET(A$1,,,SUMPRODUCT(MAX(ROW(E$1:E1194)*(E2=E$1:E1194))))))</f>
        <v> </v>
      </c>
      <c r="K1195" s="26" t="str">
        <f>IF(OR(E1195="",E1195="!!!",F1195="NEW"),"",INDEX(J$1:J1194,SUMPRODUCT(MAX(ROW(E$1:E1194)*(E1195=E$1:E1194)))))</f>
        <v> </v>
      </c>
      <c r="L1195" s="27"/>
    </row>
    <row r="1196" spans="1:12">
      <c r="A1196" s="20" t="s">
        <v>1210</v>
      </c>
      <c r="E1196" s="22">
        <f>IF(D1196="?OLD","!!!","")</f>
        <v/>
      </c>
      <c r="F1196" s="23" t="str">
        <f>IF(OR(E1196="",E1196="!!!"),"",IF(NOT(ISNA(VLOOKUP(E1196,E$1:E1195,1,FALSE()))),"OLD",IF(AND(E1196&lt;&gt;"",E1196&lt;&gt;"!!!"),"NEW","")))</f>
        <v> </v>
      </c>
      <c r="G1196" s="24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5" t="str">
        <f>IF(J1196&lt;&gt;1,"",IF(I1196="SBJ","CB","?"))</f>
        <v> </v>
      </c>
      <c r="I1196" s="26" t="str">
        <f>IF(OR(E1196="",E1196="!!!",F1196="NEW"),"",INDEX(B1195:B$2,-1+SUMPRODUCT(MAX(ROW(E1195:E$2)*(E1196=E1195:E$2)))))</f>
        <v> </v>
      </c>
      <c r="J1196" s="26" t="str">
        <f>IF(OR(E1196="",E1196="!!!",F1196="NEW"),"",COUNTBLANK(OFFSET(A$1,,,SUMPRODUCT(MAX(ROW(E$2:E1196)*(E1196=E$2:E1196)))))-COUNTBLANK(OFFSET(A$1,,,SUMPRODUCT(MAX(ROW(E$1:E1195)*(E2=E$1:E1195))))))</f>
        <v> </v>
      </c>
      <c r="K1196" s="26" t="str">
        <f>IF(OR(E1196="",E1196="!!!",F1196="NEW"),"",INDEX(J$1:J1195,SUMPRODUCT(MAX(ROW(E$1:E1195)*(E1196=E$1:E1195)))))</f>
        <v> </v>
      </c>
      <c r="L1196" s="27"/>
    </row>
    <row r="1197" spans="1:12">
      <c r="A1197" s="20" t="s">
        <v>1211</v>
      </c>
      <c r="E1197" s="22">
        <f>IF(D1197="?OLD","!!!","")</f>
        <v/>
      </c>
      <c r="F1197" s="23" t="str">
        <f>IF(OR(E1197="",E1197="!!!"),"",IF(NOT(ISNA(VLOOKUP(E1197,E$1:E1196,1,FALSE()))),"OLD",IF(AND(E1197&lt;&gt;"",E1197&lt;&gt;"!!!"),"NEW","")))</f>
        <v> </v>
      </c>
      <c r="G1197" s="24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5" t="str">
        <f>IF(J1197&lt;&gt;1,"",IF(I1197="SBJ","CB","?"))</f>
        <v> </v>
      </c>
      <c r="I1197" s="26" t="str">
        <f>IF(OR(E1197="",E1197="!!!",F1197="NEW"),"",INDEX(B1196:B$2,-1+SUMPRODUCT(MAX(ROW(E1196:E$2)*(E1197=E1196:E$2)))))</f>
        <v> </v>
      </c>
      <c r="J1197" s="26" t="str">
        <f>IF(OR(E1197="",E1197="!!!",F1197="NEW"),"",COUNTBLANK(OFFSET(A$1,,,SUMPRODUCT(MAX(ROW(E$2:E1197)*(E1197=E$2:E1197)))))-COUNTBLANK(OFFSET(A$1,,,SUMPRODUCT(MAX(ROW(E$1:E1196)*(E2=E$1:E1196))))))</f>
        <v> </v>
      </c>
      <c r="K1197" s="26" t="str">
        <f>IF(OR(E1197="",E1197="!!!",F1197="NEW"),"",INDEX(J$1:J1196,SUMPRODUCT(MAX(ROW(E$1:E1196)*(E1197=E$1:E1196)))))</f>
        <v> </v>
      </c>
      <c r="L1197" s="27"/>
    </row>
    <row r="1198" spans="1:12">
      <c r="A1198" s="20" t="s">
        <v>580</v>
      </c>
      <c r="E1198" s="22">
        <f>IF(D1198="?OLD","!!!","")</f>
        <v/>
      </c>
      <c r="F1198" s="23" t="str">
        <f>IF(OR(E1198="",E1198="!!!"),"",IF(NOT(ISNA(VLOOKUP(E1198,E$1:E1197,1,FALSE()))),"OLD",IF(AND(E1198&lt;&gt;"",E1198&lt;&gt;"!!!"),"NEW","")))</f>
        <v> </v>
      </c>
      <c r="G1198" s="24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5" t="str">
        <f>IF(J1198&lt;&gt;1,"",IF(I1198="SBJ","CB","?"))</f>
        <v> </v>
      </c>
      <c r="I1198" s="26" t="str">
        <f>IF(OR(E1198="",E1198="!!!",F1198="NEW"),"",INDEX(B1197:B$2,-1+SUMPRODUCT(MAX(ROW(E1197:E$2)*(E1198=E1197:E$2)))))</f>
        <v> </v>
      </c>
      <c r="J1198" s="26" t="str">
        <f>IF(OR(E1198="",E1198="!!!",F1198="NEW"),"",COUNTBLANK(OFFSET(A$1,,,SUMPRODUCT(MAX(ROW(E$2:E1198)*(E1198=E$2:E1198)))))-COUNTBLANK(OFFSET(A$1,,,SUMPRODUCT(MAX(ROW(E$1:E1197)*(E2=E$1:E1197))))))</f>
        <v> </v>
      </c>
      <c r="K1198" s="26" t="str">
        <f>IF(OR(E1198="",E1198="!!!",F1198="NEW"),"",INDEX(J$1:J1197,SUMPRODUCT(MAX(ROW(E$1:E1197)*(E1198=E$1:E1197)))))</f>
        <v> </v>
      </c>
      <c r="L1198" s="27"/>
    </row>
    <row r="1199" spans="1:12">
      <c r="A1199" s="20" t="s">
        <v>1212</v>
      </c>
      <c r="E1199" s="22">
        <f>IF(D1199="?OLD","!!!","")</f>
        <v/>
      </c>
      <c r="F1199" s="23" t="str">
        <f>IF(OR(E1199="",E1199="!!!"),"",IF(NOT(ISNA(VLOOKUP(E1199,E$1:E1198,1,FALSE()))),"OLD",IF(AND(E1199&lt;&gt;"",E1199&lt;&gt;"!!!"),"NEW","")))</f>
        <v> </v>
      </c>
      <c r="G1199" s="24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5" t="str">
        <f>IF(J1199&lt;&gt;1,"",IF(I1199="SBJ","CB","?"))</f>
        <v> </v>
      </c>
      <c r="I1199" s="26" t="str">
        <f>IF(OR(E1199="",E1199="!!!",F1199="NEW"),"",INDEX(B1198:B$2,-1+SUMPRODUCT(MAX(ROW(E1198:E$2)*(E1199=E1198:E$2)))))</f>
        <v> </v>
      </c>
      <c r="J1199" s="26" t="str">
        <f>IF(OR(E1199="",E1199="!!!",F1199="NEW"),"",COUNTBLANK(OFFSET(A$1,,,SUMPRODUCT(MAX(ROW(E$2:E1199)*(E1199=E$2:E1199)))))-COUNTBLANK(OFFSET(A$1,,,SUMPRODUCT(MAX(ROW(E$1:E1198)*(E2=E$1:E1198))))))</f>
        <v> </v>
      </c>
      <c r="K1199" s="26" t="str">
        <f>IF(OR(E1199="",E1199="!!!",F1199="NEW"),"",INDEX(J$1:J1198,SUMPRODUCT(MAX(ROW(E$1:E1198)*(E1199=E$1:E1198)))))</f>
        <v> </v>
      </c>
      <c r="L1199" s="27"/>
    </row>
    <row r="1200" spans="1:12">
      <c r="A1200" s="20" t="s">
        <v>1213</v>
      </c>
      <c r="E1200" s="22">
        <f>IF(D1200="?OLD","!!!","")</f>
        <v/>
      </c>
      <c r="F1200" s="23" t="str">
        <f>IF(OR(E1200="",E1200="!!!"),"",IF(NOT(ISNA(VLOOKUP(E1200,E$1:E1199,1,FALSE()))),"OLD",IF(AND(E1200&lt;&gt;"",E1200&lt;&gt;"!!!"),"NEW","")))</f>
        <v> </v>
      </c>
      <c r="G1200" s="24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5" t="str">
        <f>IF(J1200&lt;&gt;1,"",IF(I1200="SBJ","CB","?"))</f>
        <v> </v>
      </c>
      <c r="I1200" s="26" t="str">
        <f>IF(OR(E1200="",E1200="!!!",F1200="NEW"),"",INDEX(B1199:B$2,-1+SUMPRODUCT(MAX(ROW(E1199:E$2)*(E1200=E1199:E$2)))))</f>
        <v> </v>
      </c>
      <c r="J1200" s="26" t="str">
        <f>IF(OR(E1200="",E1200="!!!",F1200="NEW"),"",COUNTBLANK(OFFSET(A$1,,,SUMPRODUCT(MAX(ROW(E$2:E1200)*(E1200=E$2:E1200)))))-COUNTBLANK(OFFSET(A$1,,,SUMPRODUCT(MAX(ROW(E$1:E1199)*(E2=E$1:E1199))))))</f>
        <v> </v>
      </c>
      <c r="K1200" s="26" t="str">
        <f>IF(OR(E1200="",E1200="!!!",F1200="NEW"),"",INDEX(J$1:J1199,SUMPRODUCT(MAX(ROW(E$1:E1199)*(E1200=E$1:E1199)))))</f>
        <v> </v>
      </c>
      <c r="L1200" s="27"/>
    </row>
    <row r="1201" spans="1:12">
      <c r="A1201" s="20" t="s">
        <v>1214</v>
      </c>
      <c r="E1201" s="22">
        <f>IF(D1201="?OLD","!!!","")</f>
        <v/>
      </c>
      <c r="F1201" s="23" t="str">
        <f>IF(OR(E1201="",E1201="!!!"),"",IF(NOT(ISNA(VLOOKUP(E1201,E$1:E1200,1,FALSE()))),"OLD",IF(AND(E1201&lt;&gt;"",E1201&lt;&gt;"!!!"),"NEW","")))</f>
        <v> </v>
      </c>
      <c r="G1201" s="24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5" t="str">
        <f>IF(J1201&lt;&gt;1,"",IF(I1201="SBJ","CB","?"))</f>
        <v> </v>
      </c>
      <c r="I1201" s="26" t="str">
        <f>IF(OR(E1201="",E1201="!!!",F1201="NEW"),"",INDEX(B1200:B$2,-1+SUMPRODUCT(MAX(ROW(E1200:E$2)*(E1201=E1200:E$2)))))</f>
        <v> </v>
      </c>
      <c r="J1201" s="26" t="str">
        <f>IF(OR(E1201="",E1201="!!!",F1201="NEW"),"",COUNTBLANK(OFFSET(A$1,,,SUMPRODUCT(MAX(ROW(E$2:E1201)*(E1201=E$2:E1201)))))-COUNTBLANK(OFFSET(A$1,,,SUMPRODUCT(MAX(ROW(E$1:E1200)*(E2=E$1:E1200))))))</f>
        <v> </v>
      </c>
      <c r="K1201" s="26" t="str">
        <f>IF(OR(E1201="",E1201="!!!",F1201="NEW"),"",INDEX(J$1:J1200,SUMPRODUCT(MAX(ROW(E$1:E1200)*(E1201=E$1:E1200)))))</f>
        <v> </v>
      </c>
      <c r="L1201" s="27"/>
    </row>
    <row r="1202" spans="1:12">
      <c r="A1202" s="20" t="s">
        <v>1215</v>
      </c>
      <c r="E1202" s="22">
        <f>IF(D1202="?OLD","!!!","")</f>
        <v/>
      </c>
      <c r="F1202" s="23" t="str">
        <f>IF(OR(E1202="",E1202="!!!"),"",IF(NOT(ISNA(VLOOKUP(E1202,E$1:E1201,1,FALSE()))),"OLD",IF(AND(E1202&lt;&gt;"",E1202&lt;&gt;"!!!"),"NEW","")))</f>
        <v> </v>
      </c>
      <c r="G1202" s="24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5" t="str">
        <f>IF(J1202&lt;&gt;1,"",IF(I1202="SBJ","CB","?"))</f>
        <v> </v>
      </c>
      <c r="I1202" s="26" t="str">
        <f>IF(OR(E1202="",E1202="!!!",F1202="NEW"),"",INDEX(B1201:B$2,-1+SUMPRODUCT(MAX(ROW(E1201:E$2)*(E1202=E1201:E$2)))))</f>
        <v> </v>
      </c>
      <c r="J1202" s="26" t="str">
        <f>IF(OR(E1202="",E1202="!!!",F1202="NEW"),"",COUNTBLANK(OFFSET(A$1,,,SUMPRODUCT(MAX(ROW(E$2:E1202)*(E1202=E$2:E1202)))))-COUNTBLANK(OFFSET(A$1,,,SUMPRODUCT(MAX(ROW(E$1:E1201)*(E2=E$1:E1201))))))</f>
        <v> </v>
      </c>
      <c r="K1202" s="26" t="str">
        <f>IF(OR(E1202="",E1202="!!!",F1202="NEW"),"",INDEX(J$1:J1201,SUMPRODUCT(MAX(ROW(E$1:E1201)*(E1202=E$1:E1201)))))</f>
        <v> </v>
      </c>
      <c r="L1202" s="27"/>
    </row>
    <row r="1203" spans="1:12">
      <c r="A1203" s="20" t="s">
        <v>1216</v>
      </c>
      <c r="E1203" s="22">
        <f>IF(D1203="?OLD","!!!","")</f>
        <v/>
      </c>
      <c r="F1203" s="23" t="str">
        <f>IF(OR(E1203="",E1203="!!!"),"",IF(NOT(ISNA(VLOOKUP(E1203,E$1:E1202,1,FALSE()))),"OLD",IF(AND(E1203&lt;&gt;"",E1203&lt;&gt;"!!!"),"NEW","")))</f>
        <v> </v>
      </c>
      <c r="G1203" s="24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5" t="str">
        <f>IF(J1203&lt;&gt;1,"",IF(I1203="SBJ","CB","?"))</f>
        <v> </v>
      </c>
      <c r="I1203" s="26" t="str">
        <f>IF(OR(E1203="",E1203="!!!",F1203="NEW"),"",INDEX(B1202:B$2,-1+SUMPRODUCT(MAX(ROW(E1202:E$2)*(E1203=E1202:E$2)))))</f>
        <v> </v>
      </c>
      <c r="J1203" s="26" t="str">
        <f>IF(OR(E1203="",E1203="!!!",F1203="NEW"),"",COUNTBLANK(OFFSET(A$1,,,SUMPRODUCT(MAX(ROW(E$2:E1203)*(E1203=E$2:E1203)))))-COUNTBLANK(OFFSET(A$1,,,SUMPRODUCT(MAX(ROW(E$1:E1202)*(E2=E$1:E1202))))))</f>
        <v> </v>
      </c>
      <c r="K1203" s="26" t="str">
        <f>IF(OR(E1203="",E1203="!!!",F1203="NEW"),"",INDEX(J$1:J1202,SUMPRODUCT(MAX(ROW(E$1:E1202)*(E1203=E$1:E1202)))))</f>
        <v> </v>
      </c>
      <c r="L1203" s="27"/>
    </row>
    <row r="1204" spans="1:12">
      <c r="A1204" s="20" t="s">
        <v>1217</v>
      </c>
      <c r="E1204" s="22">
        <f>IF(D1204="?OLD","!!!","")</f>
        <v/>
      </c>
      <c r="F1204" s="23" t="str">
        <f>IF(OR(E1204="",E1204="!!!"),"",IF(NOT(ISNA(VLOOKUP(E1204,E$1:E1203,1,FALSE()))),"OLD",IF(AND(E1204&lt;&gt;"",E1204&lt;&gt;"!!!"),"NEW","")))</f>
        <v> </v>
      </c>
      <c r="G1204" s="24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5" t="str">
        <f>IF(J1204&lt;&gt;1,"",IF(I1204="SBJ","CB","?"))</f>
        <v> </v>
      </c>
      <c r="I1204" s="26" t="str">
        <f>IF(OR(E1204="",E1204="!!!",F1204="NEW"),"",INDEX(B1203:B$2,-1+SUMPRODUCT(MAX(ROW(E1203:E$2)*(E1204=E1203:E$2)))))</f>
        <v> </v>
      </c>
      <c r="J1204" s="26" t="str">
        <f>IF(OR(E1204="",E1204="!!!",F1204="NEW"),"",COUNTBLANK(OFFSET(A$1,,,SUMPRODUCT(MAX(ROW(E$2:E1204)*(E1204=E$2:E1204)))))-COUNTBLANK(OFFSET(A$1,,,SUMPRODUCT(MAX(ROW(E$1:E1203)*(E2=E$1:E1203))))))</f>
        <v> </v>
      </c>
      <c r="K1204" s="26" t="str">
        <f>IF(OR(E1204="",E1204="!!!",F1204="NEW"),"",INDEX(J$1:J1203,SUMPRODUCT(MAX(ROW(E$1:E1203)*(E1204=E$1:E1203)))))</f>
        <v> </v>
      </c>
      <c r="L1204" s="27"/>
    </row>
    <row r="1205" spans="1:12">
      <c r="A1205" s="20" t="s">
        <v>1218</v>
      </c>
      <c r="B1205" s="21" t="s">
        <v>601</v>
      </c>
      <c r="C1205" s="21" t="s">
        <v>646</v>
      </c>
      <c r="E1205" s="22">
        <f>IF(D1205="?OLD","!!!","")</f>
        <v/>
      </c>
      <c r="F1205" s="23" t="str">
        <f>IF(OR(E1205="",E1205="!!!"),"",IF(NOT(ISNA(VLOOKUP(E1205,E$1:E1204,1,FALSE()))),"OLD",IF(AND(E1205&lt;&gt;"",E1205&lt;&gt;"!!!"),"NEW","")))</f>
        <v> </v>
      </c>
      <c r="G1205" s="24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5" t="str">
        <f>IF(J1205&lt;&gt;1,"",IF(I1205="SBJ","CB","?"))</f>
        <v> </v>
      </c>
      <c r="I1205" s="26" t="str">
        <f>IF(OR(E1205="",E1205="!!!",F1205="NEW"),"",INDEX(B1204:B$2,-1+SUMPRODUCT(MAX(ROW(E1204:E$2)*(E1205=E1204:E$2)))))</f>
        <v> </v>
      </c>
      <c r="J1205" s="26" t="str">
        <f>IF(OR(E1205="",E1205="!!!",F1205="NEW"),"",COUNTBLANK(OFFSET(A$1,,,SUMPRODUCT(MAX(ROW(E$2:E1205)*(E1205=E$2:E1205)))))-COUNTBLANK(OFFSET(A$1,,,SUMPRODUCT(MAX(ROW(E$1:E1204)*(E2=E$1:E1204))))))</f>
        <v> </v>
      </c>
      <c r="K1205" s="26" t="str">
        <f>IF(OR(E1205="",E1205="!!!",F1205="NEW"),"",INDEX(J$1:J1204,SUMPRODUCT(MAX(ROW(E$1:E1204)*(E1205=E$1:E1204)))))</f>
        <v> </v>
      </c>
      <c r="L1205" s="27"/>
    </row>
    <row r="1206" spans="1:12">
      <c r="A1206" s="20" t="s">
        <v>741</v>
      </c>
      <c r="E1206" s="22">
        <f>IF(D1206="?OLD","!!!","")</f>
        <v/>
      </c>
      <c r="F1206" s="23" t="str">
        <f>IF(OR(E1206="",E1206="!!!"),"",IF(NOT(ISNA(VLOOKUP(E1206,E$1:E1205,1,FALSE()))),"OLD",IF(AND(E1206&lt;&gt;"",E1206&lt;&gt;"!!!"),"NEW","")))</f>
        <v> </v>
      </c>
      <c r="G1206" s="24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5" t="str">
        <f>IF(J1206&lt;&gt;1,"",IF(I1206="SBJ","CB","?"))</f>
        <v> </v>
      </c>
      <c r="I1206" s="26" t="str">
        <f>IF(OR(E1206="",E1206="!!!",F1206="NEW"),"",INDEX(B1205:B$2,-1+SUMPRODUCT(MAX(ROW(E1205:E$2)*(E1206=E1205:E$2)))))</f>
        <v> </v>
      </c>
      <c r="J1206" s="26" t="str">
        <f>IF(OR(E1206="",E1206="!!!",F1206="NEW"),"",COUNTBLANK(OFFSET(A$1,,,SUMPRODUCT(MAX(ROW(E$2:E1206)*(E1206=E$2:E1206)))))-COUNTBLANK(OFFSET(A$1,,,SUMPRODUCT(MAX(ROW(E$1:E1205)*(E2=E$1:E1205))))))</f>
        <v> </v>
      </c>
      <c r="K1206" s="26" t="str">
        <f>IF(OR(E1206="",E1206="!!!",F1206="NEW"),"",INDEX(J$1:J1205,SUMPRODUCT(MAX(ROW(E$1:E1205)*(E1206=E$1:E1205)))))</f>
        <v> </v>
      </c>
      <c r="L1206" s="27"/>
    </row>
    <row r="1207" spans="1:12">
      <c r="A1207" s="20" t="s">
        <v>1219</v>
      </c>
      <c r="E1207" s="22">
        <f>IF(D1207="?OLD","!!!","")</f>
        <v/>
      </c>
      <c r="F1207" s="23" t="str">
        <f>IF(OR(E1207="",E1207="!!!"),"",IF(NOT(ISNA(VLOOKUP(E1207,E$1:E1206,1,FALSE()))),"OLD",IF(AND(E1207&lt;&gt;"",E1207&lt;&gt;"!!!"),"NEW","")))</f>
        <v> </v>
      </c>
      <c r="G1207" s="24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5" t="str">
        <f>IF(J1207&lt;&gt;1,"",IF(I1207="SBJ","CB","?"))</f>
        <v> </v>
      </c>
      <c r="I1207" s="26" t="str">
        <f>IF(OR(E1207="",E1207="!!!",F1207="NEW"),"",INDEX(B1206:B$2,-1+SUMPRODUCT(MAX(ROW(E1206:E$2)*(E1207=E1206:E$2)))))</f>
        <v> </v>
      </c>
      <c r="J1207" s="26" t="str">
        <f>IF(OR(E1207="",E1207="!!!",F1207="NEW"),"",COUNTBLANK(OFFSET(A$1,,,SUMPRODUCT(MAX(ROW(E$2:E1207)*(E1207=E$2:E1207)))))-COUNTBLANK(OFFSET(A$1,,,SUMPRODUCT(MAX(ROW(E$1:E1206)*(E2=E$1:E1206))))))</f>
        <v> </v>
      </c>
      <c r="K1207" s="26" t="str">
        <f>IF(OR(E1207="",E1207="!!!",F1207="NEW"),"",INDEX(J$1:J1206,SUMPRODUCT(MAX(ROW(E$1:E1206)*(E1207=E$1:E1206)))))</f>
        <v> </v>
      </c>
      <c r="L1207" s="27"/>
    </row>
    <row r="1208" spans="1:12">
      <c r="A1208" s="20" t="s">
        <v>1220</v>
      </c>
      <c r="E1208" s="22">
        <f>IF(D1208="?OLD","!!!","")</f>
        <v/>
      </c>
      <c r="F1208" s="23" t="str">
        <f>IF(OR(E1208="",E1208="!!!"),"",IF(NOT(ISNA(VLOOKUP(E1208,E$1:E1207,1,FALSE()))),"OLD",IF(AND(E1208&lt;&gt;"",E1208&lt;&gt;"!!!"),"NEW","")))</f>
        <v> </v>
      </c>
      <c r="G1208" s="24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5" t="str">
        <f>IF(J1208&lt;&gt;1,"",IF(I1208="SBJ","CB","?"))</f>
        <v> </v>
      </c>
      <c r="I1208" s="26" t="str">
        <f>IF(OR(E1208="",E1208="!!!",F1208="NEW"),"",INDEX(B1207:B$2,-1+SUMPRODUCT(MAX(ROW(E1207:E$2)*(E1208=E1207:E$2)))))</f>
        <v> </v>
      </c>
      <c r="J1208" s="26" t="str">
        <f>IF(OR(E1208="",E1208="!!!",F1208="NEW"),"",COUNTBLANK(OFFSET(A$1,,,SUMPRODUCT(MAX(ROW(E$2:E1208)*(E1208=E$2:E1208)))))-COUNTBLANK(OFFSET(A$1,,,SUMPRODUCT(MAX(ROW(E$1:E1207)*(E2=E$1:E1207))))))</f>
        <v> </v>
      </c>
      <c r="K1208" s="26" t="str">
        <f>IF(OR(E1208="",E1208="!!!",F1208="NEW"),"",INDEX(J$1:J1207,SUMPRODUCT(MAX(ROW(E$1:E1207)*(E1208=E$1:E1207)))))</f>
        <v> </v>
      </c>
      <c r="L1208" s="27"/>
    </row>
    <row r="1209" spans="1:12">
      <c r="A1209" s="20" t="s">
        <v>583</v>
      </c>
      <c r="E1209" s="22">
        <f>IF(D1209="?OLD","!!!","")</f>
        <v/>
      </c>
      <c r="F1209" s="23" t="str">
        <f>IF(OR(E1209="",E1209="!!!"),"",IF(NOT(ISNA(VLOOKUP(E1209,E$1:E1208,1,FALSE()))),"OLD",IF(AND(E1209&lt;&gt;"",E1209&lt;&gt;"!!!"),"NEW","")))</f>
        <v> </v>
      </c>
      <c r="G1209" s="24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5" t="str">
        <f>IF(J1209&lt;&gt;1,"",IF(I1209="SBJ","CB","?"))</f>
        <v> </v>
      </c>
      <c r="I1209" s="26" t="str">
        <f>IF(OR(E1209="",E1209="!!!",F1209="NEW"),"",INDEX(B1208:B$2,-1+SUMPRODUCT(MAX(ROW(E1208:E$2)*(E1209=E1208:E$2)))))</f>
        <v> </v>
      </c>
      <c r="J1209" s="26" t="str">
        <f>IF(OR(E1209="",E1209="!!!",F1209="NEW"),"",COUNTBLANK(OFFSET(A$1,,,SUMPRODUCT(MAX(ROW(E$2:E1209)*(E1209=E$2:E1209)))))-COUNTBLANK(OFFSET(A$1,,,SUMPRODUCT(MAX(ROW(E$1:E1208)*(E2=E$1:E1208))))))</f>
        <v> </v>
      </c>
      <c r="K1209" s="26" t="str">
        <f>IF(OR(E1209="",E1209="!!!",F1209="NEW"),"",INDEX(J$1:J1208,SUMPRODUCT(MAX(ROW(E$1:E1208)*(E1209=E$1:E1208)))))</f>
        <v> </v>
      </c>
      <c r="L1209" s="27"/>
    </row>
    <row r="1210" spans="1:12">
      <c r="A1210" s="20" t="s">
        <v>1221</v>
      </c>
      <c r="E1210" s="22">
        <f>IF(D1210="?OLD","!!!","")</f>
        <v/>
      </c>
      <c r="F1210" s="23" t="str">
        <f>IF(OR(E1210="",E1210="!!!"),"",IF(NOT(ISNA(VLOOKUP(E1210,E$1:E1209,1,FALSE()))),"OLD",IF(AND(E1210&lt;&gt;"",E1210&lt;&gt;"!!!"),"NEW","")))</f>
        <v> </v>
      </c>
      <c r="G1210" s="24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5" t="str">
        <f>IF(J1210&lt;&gt;1,"",IF(I1210="SBJ","CB","?"))</f>
        <v> </v>
      </c>
      <c r="I1210" s="26" t="str">
        <f>IF(OR(E1210="",E1210="!!!",F1210="NEW"),"",INDEX(B1209:B$2,-1+SUMPRODUCT(MAX(ROW(E1209:E$2)*(E1210=E1209:E$2)))))</f>
        <v> </v>
      </c>
      <c r="J1210" s="26" t="str">
        <f>IF(OR(E1210="",E1210="!!!",F1210="NEW"),"",COUNTBLANK(OFFSET(A$1,,,SUMPRODUCT(MAX(ROW(E$2:E1210)*(E1210=E$2:E1210)))))-COUNTBLANK(OFFSET(A$1,,,SUMPRODUCT(MAX(ROW(E$1:E1209)*(E2=E$1:E1209))))))</f>
        <v> </v>
      </c>
      <c r="K1210" s="26" t="str">
        <f>IF(OR(E1210="",E1210="!!!",F1210="NEW"),"",INDEX(J$1:J1209,SUMPRODUCT(MAX(ROW(E$1:E1209)*(E1210=E$1:E1209)))))</f>
        <v> </v>
      </c>
      <c r="L1210" s="27"/>
    </row>
    <row r="1211" spans="1:12">
      <c r="A1211" s="20" t="s">
        <v>583</v>
      </c>
      <c r="E1211" s="22">
        <f>IF(D1211="?OLD","!!!","")</f>
        <v/>
      </c>
      <c r="F1211" s="23" t="str">
        <f>IF(OR(E1211="",E1211="!!!"),"",IF(NOT(ISNA(VLOOKUP(E1211,E$1:E1210,1,FALSE()))),"OLD",IF(AND(E1211&lt;&gt;"",E1211&lt;&gt;"!!!"),"NEW","")))</f>
        <v> </v>
      </c>
      <c r="G1211" s="24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5" t="str">
        <f>IF(J1211&lt;&gt;1,"",IF(I1211="SBJ","CB","?"))</f>
        <v> </v>
      </c>
      <c r="I1211" s="26" t="str">
        <f>IF(OR(E1211="",E1211="!!!",F1211="NEW"),"",INDEX(B1210:B$2,-1+SUMPRODUCT(MAX(ROW(E1210:E$2)*(E1211=E1210:E$2)))))</f>
        <v> </v>
      </c>
      <c r="J1211" s="26" t="str">
        <f>IF(OR(E1211="",E1211="!!!",F1211="NEW"),"",COUNTBLANK(OFFSET(A$1,,,SUMPRODUCT(MAX(ROW(E$2:E1211)*(E1211=E$2:E1211)))))-COUNTBLANK(OFFSET(A$1,,,SUMPRODUCT(MAX(ROW(E$1:E1210)*(E2=E$1:E1210))))))</f>
        <v> </v>
      </c>
      <c r="K1211" s="26" t="str">
        <f>IF(OR(E1211="",E1211="!!!",F1211="NEW"),"",INDEX(J$1:J1210,SUMPRODUCT(MAX(ROW(E$1:E1210)*(E1211=E$1:E1210)))))</f>
        <v> </v>
      </c>
      <c r="L1211" s="27"/>
    </row>
    <row r="1212" spans="1:12">
      <c r="A1212" s="20" t="s">
        <v>1222</v>
      </c>
      <c r="E1212" s="22">
        <f>IF(D1212="?OLD","!!!","")</f>
        <v/>
      </c>
      <c r="F1212" s="23" t="str">
        <f>IF(OR(E1212="",E1212="!!!"),"",IF(NOT(ISNA(VLOOKUP(E1212,E$1:E1211,1,FALSE()))),"OLD",IF(AND(E1212&lt;&gt;"",E1212&lt;&gt;"!!!"),"NEW","")))</f>
        <v> </v>
      </c>
      <c r="G1212" s="24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5" t="str">
        <f>IF(J1212&lt;&gt;1,"",IF(I1212="SBJ","CB","?"))</f>
        <v> </v>
      </c>
      <c r="I1212" s="26" t="str">
        <f>IF(OR(E1212="",E1212="!!!",F1212="NEW"),"",INDEX(B1211:B$2,-1+SUMPRODUCT(MAX(ROW(E1211:E$2)*(E1212=E1211:E$2)))))</f>
        <v> </v>
      </c>
      <c r="J1212" s="26" t="str">
        <f>IF(OR(E1212="",E1212="!!!",F1212="NEW"),"",COUNTBLANK(OFFSET(A$1,,,SUMPRODUCT(MAX(ROW(E$2:E1212)*(E1212=E$2:E1212)))))-COUNTBLANK(OFFSET(A$1,,,SUMPRODUCT(MAX(ROW(E$1:E1211)*(E2=E$1:E1211))))))</f>
        <v> </v>
      </c>
      <c r="K1212" s="26" t="str">
        <f>IF(OR(E1212="",E1212="!!!",F1212="NEW"),"",INDEX(J$1:J1211,SUMPRODUCT(MAX(ROW(E$1:E1211)*(E1212=E$1:E1211)))))</f>
        <v> </v>
      </c>
      <c r="L1212" s="27"/>
    </row>
    <row r="1213" spans="1:12">
      <c r="A1213" s="20" t="s">
        <v>592</v>
      </c>
      <c r="E1213" s="22">
        <f>IF(D1213="?OLD","!!!","")</f>
        <v/>
      </c>
      <c r="F1213" s="23" t="str">
        <f>IF(OR(E1213="",E1213="!!!"),"",IF(NOT(ISNA(VLOOKUP(E1213,E$1:E1212,1,FALSE()))),"OLD",IF(AND(E1213&lt;&gt;"",E1213&lt;&gt;"!!!"),"NEW","")))</f>
        <v> </v>
      </c>
      <c r="G1213" s="24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5" t="str">
        <f>IF(J1213&lt;&gt;1,"",IF(I1213="SBJ","CB","?"))</f>
        <v> </v>
      </c>
      <c r="I1213" s="26" t="str">
        <f>IF(OR(E1213="",E1213="!!!",F1213="NEW"),"",INDEX(B1212:B$2,-1+SUMPRODUCT(MAX(ROW(E1212:E$2)*(E1213=E1212:E$2)))))</f>
        <v> </v>
      </c>
      <c r="J1213" s="26" t="str">
        <f>IF(OR(E1213="",E1213="!!!",F1213="NEW"),"",COUNTBLANK(OFFSET(A$1,,,SUMPRODUCT(MAX(ROW(E$2:E1213)*(E1213=E$2:E1213)))))-COUNTBLANK(OFFSET(A$1,,,SUMPRODUCT(MAX(ROW(E$1:E1212)*(E2=E$1:E1212))))))</f>
        <v> </v>
      </c>
      <c r="K1213" s="26" t="str">
        <f>IF(OR(E1213="",E1213="!!!",F1213="NEW"),"",INDEX(J$1:J1212,SUMPRODUCT(MAX(ROW(E$1:E1212)*(E1213=E$1:E1212)))))</f>
        <v> </v>
      </c>
      <c r="L1213" s="27"/>
    </row>
    <row r="1214" spans="1:12">
      <c r="A1214" s="20"/>
    </row>
    <row r="1215" spans="1:12">
      <c r="A1215" s="20" t="s">
        <v>1223</v>
      </c>
    </row>
    <row r="1216" spans="1:12">
      <c r="A1216" s="20" t="s">
        <v>676</v>
      </c>
      <c r="B1216" s="21" t="s">
        <v>578</v>
      </c>
      <c r="C1216" s="21" t="s">
        <v>613</v>
      </c>
      <c r="D1216" s="21" t="s">
        <v>587</v>
      </c>
      <c r="E1216" s="22">
        <f>IF(D1216="?OLD","!!!","")</f>
        <v/>
      </c>
      <c r="F1216" s="23" t="str">
        <f>IF(OR(E1216="",E1216="!!!"),"",IF(NOT(ISNA(VLOOKUP(E1216,E$1:E1215,1,FALSE()))),"OLD",IF(AND(E1216&lt;&gt;"",E1216&lt;&gt;"!!!"),"NEW","")))</f>
        <v> </v>
      </c>
      <c r="G1216" s="24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5" t="str">
        <f>IF(J1216&lt;&gt;1,"",IF(I1216="SBJ","CB","?"))</f>
        <v> </v>
      </c>
      <c r="I1216" s="26" t="str">
        <f>IF(OR(E1216="",E1216="!!!",F1216="NEW"),"",INDEX(B1215:B$2,-1+SUMPRODUCT(MAX(ROW(E1215:E$2)*(E1216=E1215:E$2)))))</f>
        <v> </v>
      </c>
      <c r="J1216" s="26" t="str">
        <f>IF(OR(E1216="",E1216="!!!",F1216="NEW"),"",COUNTBLANK(OFFSET(A$1,,,SUMPRODUCT(MAX(ROW(E$2:E1216)*(E1216=E$2:E1216)))))-COUNTBLANK(OFFSET(A$1,,,SUMPRODUCT(MAX(ROW(E$1:E1215)*(E2=E$1:E1215))))))</f>
        <v> </v>
      </c>
      <c r="K1216" s="26" t="str">
        <f>IF(OR(E1216="",E1216="!!!",F1216="NEW"),"",INDEX(J$1:J1215,SUMPRODUCT(MAX(ROW(E$1:E1215)*(E1216=E$1:E1215)))))</f>
        <v> </v>
      </c>
      <c r="L1216" s="27"/>
    </row>
    <row r="1217" spans="1:12">
      <c r="A1217" s="20" t="s">
        <v>1224</v>
      </c>
      <c r="E1217" s="22">
        <f>IF(D1217="?OLD","!!!","")</f>
        <v/>
      </c>
      <c r="F1217" s="23" t="str">
        <f>IF(OR(E1217="",E1217="!!!"),"",IF(NOT(ISNA(VLOOKUP(E1217,E$1:E1216,1,FALSE()))),"OLD",IF(AND(E1217&lt;&gt;"",E1217&lt;&gt;"!!!"),"NEW","")))</f>
        <v> </v>
      </c>
      <c r="G1217" s="24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5" t="str">
        <f>IF(J1217&lt;&gt;1,"",IF(I1217="SBJ","CB","?"))</f>
        <v> </v>
      </c>
      <c r="I1217" s="26" t="str">
        <f>IF(OR(E1217="",E1217="!!!",F1217="NEW"),"",INDEX(B1216:B$2,-1+SUMPRODUCT(MAX(ROW(E1216:E$2)*(E1217=E1216:E$2)))))</f>
        <v> </v>
      </c>
      <c r="J1217" s="26" t="str">
        <f>IF(OR(E1217="",E1217="!!!",F1217="NEW"),"",COUNTBLANK(OFFSET(A$1,,,SUMPRODUCT(MAX(ROW(E$2:E1217)*(E1217=E$2:E1217)))))-COUNTBLANK(OFFSET(A$1,,,SUMPRODUCT(MAX(ROW(E$1:E1216)*(E2=E$1:E1216))))))</f>
        <v> </v>
      </c>
      <c r="K1217" s="26" t="str">
        <f>IF(OR(E1217="",E1217="!!!",F1217="NEW"),"",INDEX(J$1:J1216,SUMPRODUCT(MAX(ROW(E$1:E1216)*(E1217=E$1:E1216)))))</f>
        <v> </v>
      </c>
      <c r="L1217" s="27"/>
    </row>
    <row r="1218" spans="1:12">
      <c r="A1218" s="20" t="s">
        <v>687</v>
      </c>
      <c r="E1218" s="22">
        <f>IF(D1218="?OLD","!!!","")</f>
        <v/>
      </c>
      <c r="F1218" s="23" t="str">
        <f>IF(OR(E1218="",E1218="!!!"),"",IF(NOT(ISNA(VLOOKUP(E1218,E$1:E1217,1,FALSE()))),"OLD",IF(AND(E1218&lt;&gt;"",E1218&lt;&gt;"!!!"),"NEW","")))</f>
        <v> </v>
      </c>
      <c r="G1218" s="24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5" t="str">
        <f>IF(J1218&lt;&gt;1,"",IF(I1218="SBJ","CB","?"))</f>
        <v> </v>
      </c>
      <c r="I1218" s="26" t="str">
        <f>IF(OR(E1218="",E1218="!!!",F1218="NEW"),"",INDEX(B1217:B$2,-1+SUMPRODUCT(MAX(ROW(E1217:E$2)*(E1218=E1217:E$2)))))</f>
        <v> </v>
      </c>
      <c r="J1218" s="26" t="str">
        <f>IF(OR(E1218="",E1218="!!!",F1218="NEW"),"",COUNTBLANK(OFFSET(A$1,,,SUMPRODUCT(MAX(ROW(E$2:E1218)*(E1218=E$2:E1218)))))-COUNTBLANK(OFFSET(A$1,,,SUMPRODUCT(MAX(ROW(E$1:E1217)*(E2=E$1:E1217))))))</f>
        <v> </v>
      </c>
      <c r="K1218" s="26" t="str">
        <f>IF(OR(E1218="",E1218="!!!",F1218="NEW"),"",INDEX(J$1:J1217,SUMPRODUCT(MAX(ROW(E$1:E1217)*(E1218=E$1:E1217)))))</f>
        <v> </v>
      </c>
      <c r="L1218" s="27"/>
    </row>
    <row r="1219" spans="1:12">
      <c r="A1219" s="20" t="s">
        <v>619</v>
      </c>
      <c r="E1219" s="22">
        <f>IF(D1219="?OLD","!!!","")</f>
        <v/>
      </c>
      <c r="F1219" s="23" t="str">
        <f>IF(OR(E1219="",E1219="!!!"),"",IF(NOT(ISNA(VLOOKUP(E1219,E$1:E1218,1,FALSE()))),"OLD",IF(AND(E1219&lt;&gt;"",E1219&lt;&gt;"!!!"),"NEW","")))</f>
        <v> </v>
      </c>
      <c r="G1219" s="24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5" t="str">
        <f>IF(J1219&lt;&gt;1,"",IF(I1219="SBJ","CB","?"))</f>
        <v> </v>
      </c>
      <c r="I1219" s="26" t="str">
        <f>IF(OR(E1219="",E1219="!!!",F1219="NEW"),"",INDEX(B1218:B$2,-1+SUMPRODUCT(MAX(ROW(E1218:E$2)*(E1219=E1218:E$2)))))</f>
        <v> </v>
      </c>
      <c r="J1219" s="26" t="str">
        <f>IF(OR(E1219="",E1219="!!!",F1219="NEW"),"",COUNTBLANK(OFFSET(A$1,,,SUMPRODUCT(MAX(ROW(E$2:E1219)*(E1219=E$2:E1219)))))-COUNTBLANK(OFFSET(A$1,,,SUMPRODUCT(MAX(ROW(E$1:E1218)*(E2=E$1:E1218))))))</f>
        <v> </v>
      </c>
      <c r="K1219" s="26" t="str">
        <f>IF(OR(E1219="",E1219="!!!",F1219="NEW"),"",INDEX(J$1:J1218,SUMPRODUCT(MAX(ROW(E$1:E1218)*(E1219=E$1:E1218)))))</f>
        <v> </v>
      </c>
      <c r="L1219" s="27"/>
    </row>
    <row r="1220" spans="1:12">
      <c r="A1220" s="20" t="s">
        <v>1225</v>
      </c>
      <c r="E1220" s="22">
        <f>IF(D1220="?OLD","!!!","")</f>
        <v/>
      </c>
      <c r="F1220" s="23" t="str">
        <f>IF(OR(E1220="",E1220="!!!"),"",IF(NOT(ISNA(VLOOKUP(E1220,E$1:E1219,1,FALSE()))),"OLD",IF(AND(E1220&lt;&gt;"",E1220&lt;&gt;"!!!"),"NEW","")))</f>
        <v> </v>
      </c>
      <c r="G1220" s="24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5" t="str">
        <f>IF(J1220&lt;&gt;1,"",IF(I1220="SBJ","CB","?"))</f>
        <v> </v>
      </c>
      <c r="I1220" s="26" t="str">
        <f>IF(OR(E1220="",E1220="!!!",F1220="NEW"),"",INDEX(B1219:B$2,-1+SUMPRODUCT(MAX(ROW(E1219:E$2)*(E1220=E1219:E$2)))))</f>
        <v> </v>
      </c>
      <c r="J1220" s="26" t="str">
        <f>IF(OR(E1220="",E1220="!!!",F1220="NEW"),"",COUNTBLANK(OFFSET(A$1,,,SUMPRODUCT(MAX(ROW(E$2:E1220)*(E1220=E$2:E1220)))))-COUNTBLANK(OFFSET(A$1,,,SUMPRODUCT(MAX(ROW(E$1:E1219)*(E2=E$1:E1219))))))</f>
        <v> </v>
      </c>
      <c r="K1220" s="26" t="str">
        <f>IF(OR(E1220="",E1220="!!!",F1220="NEW"),"",INDEX(J$1:J1219,SUMPRODUCT(MAX(ROW(E$1:E1219)*(E1220=E$1:E1219)))))</f>
        <v> </v>
      </c>
      <c r="L1220" s="27"/>
    </row>
    <row r="1221" spans="1:12">
      <c r="A1221" s="20" t="s">
        <v>718</v>
      </c>
      <c r="E1221" s="22">
        <f>IF(D1221="?OLD","!!!","")</f>
        <v/>
      </c>
      <c r="F1221" s="23" t="str">
        <f>IF(OR(E1221="",E1221="!!!"),"",IF(NOT(ISNA(VLOOKUP(E1221,E$1:E1220,1,FALSE()))),"OLD",IF(AND(E1221&lt;&gt;"",E1221&lt;&gt;"!!!"),"NEW","")))</f>
        <v> </v>
      </c>
      <c r="G1221" s="24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5" t="str">
        <f>IF(J1221&lt;&gt;1,"",IF(I1221="SBJ","CB","?"))</f>
        <v> </v>
      </c>
      <c r="I1221" s="26" t="str">
        <f>IF(OR(E1221="",E1221="!!!",F1221="NEW"),"",INDEX(B1220:B$2,-1+SUMPRODUCT(MAX(ROW(E1220:E$2)*(E1221=E1220:E$2)))))</f>
        <v> </v>
      </c>
      <c r="J1221" s="26" t="str">
        <f>IF(OR(E1221="",E1221="!!!",F1221="NEW"),"",COUNTBLANK(OFFSET(A$1,,,SUMPRODUCT(MAX(ROW(E$2:E1221)*(E1221=E$2:E1221)))))-COUNTBLANK(OFFSET(A$1,,,SUMPRODUCT(MAX(ROW(E$1:E1220)*(E2=E$1:E1220))))))</f>
        <v> </v>
      </c>
      <c r="K1221" s="26" t="str">
        <f>IF(OR(E1221="",E1221="!!!",F1221="NEW"),"",INDEX(J$1:J1220,SUMPRODUCT(MAX(ROW(E$1:E1220)*(E1221=E$1:E1220)))))</f>
        <v> </v>
      </c>
      <c r="L1221" s="27"/>
    </row>
    <row r="1222" spans="1:12">
      <c r="A1222" s="20" t="s">
        <v>1226</v>
      </c>
      <c r="E1222" s="22">
        <f>IF(D1222="?OLD","!!!","")</f>
        <v/>
      </c>
      <c r="F1222" s="23" t="str">
        <f>IF(OR(E1222="",E1222="!!!"),"",IF(NOT(ISNA(VLOOKUP(E1222,E$1:E1221,1,FALSE()))),"OLD",IF(AND(E1222&lt;&gt;"",E1222&lt;&gt;"!!!"),"NEW","")))</f>
        <v> </v>
      </c>
      <c r="G1222" s="24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5" t="str">
        <f>IF(J1222&lt;&gt;1,"",IF(I1222="SBJ","CB","?"))</f>
        <v> </v>
      </c>
      <c r="I1222" s="26" t="str">
        <f>IF(OR(E1222="",E1222="!!!",F1222="NEW"),"",INDEX(B1221:B$2,-1+SUMPRODUCT(MAX(ROW(E1221:E$2)*(E1222=E1221:E$2)))))</f>
        <v> </v>
      </c>
      <c r="J1222" s="26" t="str">
        <f>IF(OR(E1222="",E1222="!!!",F1222="NEW"),"",COUNTBLANK(OFFSET(A$1,,,SUMPRODUCT(MAX(ROW(E$2:E1222)*(E1222=E$2:E1222)))))-COUNTBLANK(OFFSET(A$1,,,SUMPRODUCT(MAX(ROW(E$1:E1221)*(E2=E$1:E1221))))))</f>
        <v> </v>
      </c>
      <c r="K1222" s="26" t="str">
        <f>IF(OR(E1222="",E1222="!!!",F1222="NEW"),"",INDEX(J$1:J1221,SUMPRODUCT(MAX(ROW(E$1:E1221)*(E1222=E$1:E1221)))))</f>
        <v> </v>
      </c>
      <c r="L1222" s="27"/>
    </row>
    <row r="1223" spans="1:12">
      <c r="A1223" s="20" t="s">
        <v>948</v>
      </c>
      <c r="E1223" s="22">
        <f>IF(D1223="?OLD","!!!","")</f>
        <v/>
      </c>
      <c r="F1223" s="23" t="str">
        <f>IF(OR(E1223="",E1223="!!!"),"",IF(NOT(ISNA(VLOOKUP(E1223,E$1:E1222,1,FALSE()))),"OLD",IF(AND(E1223&lt;&gt;"",E1223&lt;&gt;"!!!"),"NEW","")))</f>
        <v> </v>
      </c>
      <c r="G1223" s="24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5" t="str">
        <f>IF(J1223&lt;&gt;1,"",IF(I1223="SBJ","CB","?"))</f>
        <v> </v>
      </c>
      <c r="I1223" s="26" t="str">
        <f>IF(OR(E1223="",E1223="!!!",F1223="NEW"),"",INDEX(B1222:B$2,-1+SUMPRODUCT(MAX(ROW(E1222:E$2)*(E1223=E1222:E$2)))))</f>
        <v> </v>
      </c>
      <c r="J1223" s="26" t="str">
        <f>IF(OR(E1223="",E1223="!!!",F1223="NEW"),"",COUNTBLANK(OFFSET(A$1,,,SUMPRODUCT(MAX(ROW(E$2:E1223)*(E1223=E$2:E1223)))))-COUNTBLANK(OFFSET(A$1,,,SUMPRODUCT(MAX(ROW(E$1:E1222)*(E2=E$1:E1222))))))</f>
        <v> </v>
      </c>
      <c r="K1223" s="26" t="str">
        <f>IF(OR(E1223="",E1223="!!!",F1223="NEW"),"",INDEX(J$1:J1222,SUMPRODUCT(MAX(ROW(E$1:E1222)*(E1223=E$1:E1222)))))</f>
        <v> </v>
      </c>
      <c r="L1223" s="27"/>
    </row>
    <row r="1224" spans="1:12">
      <c r="A1224" s="20" t="s">
        <v>1227</v>
      </c>
      <c r="E1224" s="22">
        <f>IF(D1224="?OLD","!!!","")</f>
        <v/>
      </c>
      <c r="F1224" s="23" t="str">
        <f>IF(OR(E1224="",E1224="!!!"),"",IF(NOT(ISNA(VLOOKUP(E1224,E$1:E1223,1,FALSE()))),"OLD",IF(AND(E1224&lt;&gt;"",E1224&lt;&gt;"!!!"),"NEW","")))</f>
        <v> </v>
      </c>
      <c r="G1224" s="24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5" t="str">
        <f>IF(J1224&lt;&gt;1,"",IF(I1224="SBJ","CB","?"))</f>
        <v> </v>
      </c>
      <c r="I1224" s="26" t="str">
        <f>IF(OR(E1224="",E1224="!!!",F1224="NEW"),"",INDEX(B1223:B$2,-1+SUMPRODUCT(MAX(ROW(E1223:E$2)*(E1224=E1223:E$2)))))</f>
        <v> </v>
      </c>
      <c r="J1224" s="26" t="str">
        <f>IF(OR(E1224="",E1224="!!!",F1224="NEW"),"",COUNTBLANK(OFFSET(A$1,,,SUMPRODUCT(MAX(ROW(E$2:E1224)*(E1224=E$2:E1224)))))-COUNTBLANK(OFFSET(A$1,,,SUMPRODUCT(MAX(ROW(E$1:E1223)*(E2=E$1:E1223))))))</f>
        <v> </v>
      </c>
      <c r="K1224" s="26" t="str">
        <f>IF(OR(E1224="",E1224="!!!",F1224="NEW"),"",INDEX(J$1:J1223,SUMPRODUCT(MAX(ROW(E$1:E1223)*(E1224=E$1:E1223)))))</f>
        <v> </v>
      </c>
      <c r="L1224" s="27"/>
    </row>
    <row r="1225" spans="1:12">
      <c r="A1225" s="20" t="s">
        <v>1228</v>
      </c>
      <c r="E1225" s="22">
        <f>IF(D1225="?OLD","!!!","")</f>
        <v/>
      </c>
      <c r="F1225" s="23" t="str">
        <f>IF(OR(E1225="",E1225="!!!"),"",IF(NOT(ISNA(VLOOKUP(E1225,E$1:E1224,1,FALSE()))),"OLD",IF(AND(E1225&lt;&gt;"",E1225&lt;&gt;"!!!"),"NEW","")))</f>
        <v> </v>
      </c>
      <c r="G1225" s="24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5" t="str">
        <f>IF(J1225&lt;&gt;1,"",IF(I1225="SBJ","CB","?"))</f>
        <v> </v>
      </c>
      <c r="I1225" s="26" t="str">
        <f>IF(OR(E1225="",E1225="!!!",F1225="NEW"),"",INDEX(B1224:B$2,-1+SUMPRODUCT(MAX(ROW(E1224:E$2)*(E1225=E1224:E$2)))))</f>
        <v> </v>
      </c>
      <c r="J1225" s="26" t="str">
        <f>IF(OR(E1225="",E1225="!!!",F1225="NEW"),"",COUNTBLANK(OFFSET(A$1,,,SUMPRODUCT(MAX(ROW(E$2:E1225)*(E1225=E$2:E1225)))))-COUNTBLANK(OFFSET(A$1,,,SUMPRODUCT(MAX(ROW(E$1:E1224)*(E2=E$1:E1224))))))</f>
        <v> </v>
      </c>
      <c r="K1225" s="26" t="str">
        <f>IF(OR(E1225="",E1225="!!!",F1225="NEW"),"",INDEX(J$1:J1224,SUMPRODUCT(MAX(ROW(E$1:E1224)*(E1225=E$1:E1224)))))</f>
        <v> </v>
      </c>
      <c r="L1225" s="27"/>
    </row>
    <row r="1226" spans="1:12">
      <c r="A1226" s="20" t="s">
        <v>592</v>
      </c>
      <c r="E1226" s="22">
        <f>IF(D1226="?OLD","!!!","")</f>
        <v/>
      </c>
      <c r="F1226" s="23" t="str">
        <f>IF(OR(E1226="",E1226="!!!"),"",IF(NOT(ISNA(VLOOKUP(E1226,E$1:E1225,1,FALSE()))),"OLD",IF(AND(E1226&lt;&gt;"",E1226&lt;&gt;"!!!"),"NEW","")))</f>
        <v> </v>
      </c>
      <c r="G1226" s="24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5" t="str">
        <f>IF(J1226&lt;&gt;1,"",IF(I1226="SBJ","CB","?"))</f>
        <v> </v>
      </c>
      <c r="I1226" s="26" t="str">
        <f>IF(OR(E1226="",E1226="!!!",F1226="NEW"),"",INDEX(B1225:B$2,-1+SUMPRODUCT(MAX(ROW(E1225:E$2)*(E1226=E1225:E$2)))))</f>
        <v> </v>
      </c>
      <c r="J1226" s="26" t="str">
        <f>IF(OR(E1226="",E1226="!!!",F1226="NEW"),"",COUNTBLANK(OFFSET(A$1,,,SUMPRODUCT(MAX(ROW(E$2:E1226)*(E1226=E$2:E1226)))))-COUNTBLANK(OFFSET(A$1,,,SUMPRODUCT(MAX(ROW(E$1:E1225)*(E2=E$1:E1225))))))</f>
        <v> </v>
      </c>
      <c r="K1226" s="26" t="str">
        <f>IF(OR(E1226="",E1226="!!!",F1226="NEW"),"",INDEX(J$1:J1225,SUMPRODUCT(MAX(ROW(E$1:E1225)*(E1226=E$1:E1225)))))</f>
        <v> </v>
      </c>
      <c r="L1226" s="27"/>
    </row>
    <row r="1227" spans="1:12">
      <c r="A1227" s="20"/>
    </row>
    <row r="1228" spans="1:12">
      <c r="A1228" s="20" t="s">
        <v>1229</v>
      </c>
    </row>
    <row r="1229" spans="1:12">
      <c r="A1229" s="20" t="s">
        <v>1032</v>
      </c>
      <c r="E1229" s="22">
        <f>IF(D1229="?OLD","!!!","")</f>
        <v/>
      </c>
      <c r="F1229" s="23" t="str">
        <f>IF(OR(E1229="",E1229="!!!"),"",IF(NOT(ISNA(VLOOKUP(E1229,E$1:E1228,1,FALSE()))),"OLD",IF(AND(E1229&lt;&gt;"",E1229&lt;&gt;"!!!"),"NEW","")))</f>
        <v> </v>
      </c>
      <c r="G1229" s="24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5" t="str">
        <f>IF(J1229&lt;&gt;1,"",IF(I1229="SBJ","CB","?"))</f>
        <v> </v>
      </c>
      <c r="I1229" s="26" t="str">
        <f>IF(OR(E1229="",E1229="!!!",F1229="NEW"),"",INDEX(B1228:B$2,-1+SUMPRODUCT(MAX(ROW(E1228:E$2)*(E1229=E1228:E$2)))))</f>
        <v> </v>
      </c>
      <c r="J1229" s="26" t="str">
        <f>IF(OR(E1229="",E1229="!!!",F1229="NEW"),"",COUNTBLANK(OFFSET(A$1,,,SUMPRODUCT(MAX(ROW(E$2:E1229)*(E1229=E$2:E1229)))))-COUNTBLANK(OFFSET(A$1,,,SUMPRODUCT(MAX(ROW(E$1:E1228)*(E2=E$1:E1228))))))</f>
        <v> </v>
      </c>
      <c r="K1229" s="26" t="str">
        <f>IF(OR(E1229="",E1229="!!!",F1229="NEW"),"",INDEX(J$1:J1228,SUMPRODUCT(MAX(ROW(E$1:E1228)*(E1229=E$1:E1228)))))</f>
        <v> </v>
      </c>
      <c r="L1229" s="27"/>
    </row>
    <row r="1230" spans="1:12">
      <c r="A1230" s="20" t="s">
        <v>1230</v>
      </c>
      <c r="B1230" s="21" t="s">
        <v>578</v>
      </c>
      <c r="E1230" s="22">
        <f>IF(D1230="?OLD","!!!","")</f>
        <v/>
      </c>
      <c r="F1230" s="23" t="str">
        <f>IF(OR(E1230="",E1230="!!!"),"",IF(NOT(ISNA(VLOOKUP(E1230,E$1:E1229,1,FALSE()))),"OLD",IF(AND(E1230&lt;&gt;"",E1230&lt;&gt;"!!!"),"NEW","")))</f>
        <v> </v>
      </c>
      <c r="G1230" s="24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5" t="str">
        <f>IF(J1230&lt;&gt;1,"",IF(I1230="SBJ","CB","?"))</f>
        <v> </v>
      </c>
      <c r="I1230" s="26" t="str">
        <f>IF(OR(E1230="",E1230="!!!",F1230="NEW"),"",INDEX(B1229:B$2,-1+SUMPRODUCT(MAX(ROW(E1229:E$2)*(E1230=E1229:E$2)))))</f>
        <v> </v>
      </c>
      <c r="J1230" s="26" t="str">
        <f>IF(OR(E1230="",E1230="!!!",F1230="NEW"),"",COUNTBLANK(OFFSET(A$1,,,SUMPRODUCT(MAX(ROW(E$2:E1230)*(E1230=E$2:E1230)))))-COUNTBLANK(OFFSET(A$1,,,SUMPRODUCT(MAX(ROW(E$1:E1229)*(E2=E$1:E1229))))))</f>
        <v> </v>
      </c>
      <c r="K1230" s="26" t="str">
        <f>IF(OR(E1230="",E1230="!!!",F1230="NEW"),"",INDEX(J$1:J1229,SUMPRODUCT(MAX(ROW(E$1:E1229)*(E1230=E$1:E1229)))))</f>
        <v> </v>
      </c>
      <c r="L1230" s="27"/>
    </row>
    <row r="1231" spans="1:12">
      <c r="A1231" s="20" t="s">
        <v>607</v>
      </c>
      <c r="B1231" s="21" t="s">
        <v>615</v>
      </c>
      <c r="C1231" s="21" t="s">
        <v>613</v>
      </c>
      <c r="D1231" s="21" t="s">
        <v>587</v>
      </c>
      <c r="E1231" s="22">
        <f>IF(D1231="?OLD","!!!","")</f>
        <v/>
      </c>
      <c r="F1231" s="23" t="str">
        <f>IF(OR(E1231="",E1231="!!!"),"",IF(NOT(ISNA(VLOOKUP(E1231,E$1:E1230,1,FALSE()))),"OLD",IF(AND(E1231&lt;&gt;"",E1231&lt;&gt;"!!!"),"NEW","")))</f>
        <v> </v>
      </c>
      <c r="G1231" s="24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5" t="str">
        <f>IF(J1231&lt;&gt;1,"",IF(I1231="SBJ","CB","?"))</f>
        <v> </v>
      </c>
      <c r="I1231" s="26" t="str">
        <f>IF(OR(E1231="",E1231="!!!",F1231="NEW"),"",INDEX(B1230:B$2,-1+SUMPRODUCT(MAX(ROW(E1230:E$2)*(E1231=E1230:E$2)))))</f>
        <v> </v>
      </c>
      <c r="J1231" s="26" t="str">
        <f>IF(OR(E1231="",E1231="!!!",F1231="NEW"),"",COUNTBLANK(OFFSET(A$1,,,SUMPRODUCT(MAX(ROW(E$2:E1231)*(E1231=E$2:E1231)))))-COUNTBLANK(OFFSET(A$1,,,SUMPRODUCT(MAX(ROW(E$1:E1230)*(E2=E$1:E1230))))))</f>
        <v> </v>
      </c>
      <c r="K1231" s="26" t="str">
        <f>IF(OR(E1231="",E1231="!!!",F1231="NEW"),"",INDEX(J$1:J1230,SUMPRODUCT(MAX(ROW(E$1:E1230)*(E1231=E$1:E1230)))))</f>
        <v> </v>
      </c>
      <c r="L1231" s="27"/>
    </row>
    <row r="1232" spans="1:12">
      <c r="A1232" s="20" t="s">
        <v>1231</v>
      </c>
      <c r="E1232" s="22">
        <f>IF(D1232="?OLD","!!!","")</f>
        <v/>
      </c>
      <c r="F1232" s="23" t="str">
        <f>IF(OR(E1232="",E1232="!!!"),"",IF(NOT(ISNA(VLOOKUP(E1232,E$1:E1231,1,FALSE()))),"OLD",IF(AND(E1232&lt;&gt;"",E1232&lt;&gt;"!!!"),"NEW","")))</f>
        <v> </v>
      </c>
      <c r="G1232" s="24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5" t="str">
        <f>IF(J1232&lt;&gt;1,"",IF(I1232="SBJ","CB","?"))</f>
        <v> </v>
      </c>
      <c r="I1232" s="26" t="str">
        <f>IF(OR(E1232="",E1232="!!!",F1232="NEW"),"",INDEX(B1231:B$2,-1+SUMPRODUCT(MAX(ROW(E1231:E$2)*(E1232=E1231:E$2)))))</f>
        <v> </v>
      </c>
      <c r="J1232" s="26" t="str">
        <f>IF(OR(E1232="",E1232="!!!",F1232="NEW"),"",COUNTBLANK(OFFSET(A$1,,,SUMPRODUCT(MAX(ROW(E$2:E1232)*(E1232=E$2:E1232)))))-COUNTBLANK(OFFSET(A$1,,,SUMPRODUCT(MAX(ROW(E$1:E1231)*(E2=E$1:E1231))))))</f>
        <v> </v>
      </c>
      <c r="K1232" s="26" t="str">
        <f>IF(OR(E1232="",E1232="!!!",F1232="NEW"),"",INDEX(J$1:J1231,SUMPRODUCT(MAX(ROW(E$1:E1231)*(E1232=E$1:E1231)))))</f>
        <v> </v>
      </c>
      <c r="L1232" s="27"/>
    </row>
    <row r="1233" spans="1:12">
      <c r="A1233" s="20" t="s">
        <v>630</v>
      </c>
      <c r="E1233" s="22">
        <f>IF(D1233="?OLD","!!!","")</f>
        <v/>
      </c>
      <c r="F1233" s="23" t="str">
        <f>IF(OR(E1233="",E1233="!!!"),"",IF(NOT(ISNA(VLOOKUP(E1233,E$1:E1232,1,FALSE()))),"OLD",IF(AND(E1233&lt;&gt;"",E1233&lt;&gt;"!!!"),"NEW","")))</f>
        <v> </v>
      </c>
      <c r="G1233" s="24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5" t="str">
        <f>IF(J1233&lt;&gt;1,"",IF(I1233="SBJ","CB","?"))</f>
        <v> </v>
      </c>
      <c r="I1233" s="26" t="str">
        <f>IF(OR(E1233="",E1233="!!!",F1233="NEW"),"",INDEX(B1232:B$2,-1+SUMPRODUCT(MAX(ROW(E1232:E$2)*(E1233=E1232:E$2)))))</f>
        <v> </v>
      </c>
      <c r="J1233" s="26" t="str">
        <f>IF(OR(E1233="",E1233="!!!",F1233="NEW"),"",COUNTBLANK(OFFSET(A$1,,,SUMPRODUCT(MAX(ROW(E$2:E1233)*(E1233=E$2:E1233)))))-COUNTBLANK(OFFSET(A$1,,,SUMPRODUCT(MAX(ROW(E$1:E1232)*(E2=E$1:E1232))))))</f>
        <v> </v>
      </c>
      <c r="K1233" s="26" t="str">
        <f>IF(OR(E1233="",E1233="!!!",F1233="NEW"),"",INDEX(J$1:J1232,SUMPRODUCT(MAX(ROW(E$1:E1232)*(E1233=E$1:E1232)))))</f>
        <v> </v>
      </c>
      <c r="L1233" s="27"/>
    </row>
    <row r="1234" spans="1:12">
      <c r="A1234" s="20" t="s">
        <v>1231</v>
      </c>
      <c r="E1234" s="22">
        <f>IF(D1234="?OLD","!!!","")</f>
        <v/>
      </c>
      <c r="F1234" s="23" t="str">
        <f>IF(OR(E1234="",E1234="!!!"),"",IF(NOT(ISNA(VLOOKUP(E1234,E$1:E1233,1,FALSE()))),"OLD",IF(AND(E1234&lt;&gt;"",E1234&lt;&gt;"!!!"),"NEW","")))</f>
        <v> </v>
      </c>
      <c r="G1234" s="24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5" t="str">
        <f>IF(J1234&lt;&gt;1,"",IF(I1234="SBJ","CB","?"))</f>
        <v> </v>
      </c>
      <c r="I1234" s="26" t="str">
        <f>IF(OR(E1234="",E1234="!!!",F1234="NEW"),"",INDEX(B1233:B$2,-1+SUMPRODUCT(MAX(ROW(E1233:E$2)*(E1234=E1233:E$2)))))</f>
        <v> </v>
      </c>
      <c r="J1234" s="26" t="str">
        <f>IF(OR(E1234="",E1234="!!!",F1234="NEW"),"",COUNTBLANK(OFFSET(A$1,,,SUMPRODUCT(MAX(ROW(E$2:E1234)*(E1234=E$2:E1234)))))-COUNTBLANK(OFFSET(A$1,,,SUMPRODUCT(MAX(ROW(E$1:E1233)*(E2=E$1:E1233))))))</f>
        <v> </v>
      </c>
      <c r="K1234" s="26" t="str">
        <f>IF(OR(E1234="",E1234="!!!",F1234="NEW"),"",INDEX(J$1:J1233,SUMPRODUCT(MAX(ROW(E$1:E1233)*(E1234=E$1:E1233)))))</f>
        <v> </v>
      </c>
      <c r="L1234" s="27"/>
    </row>
    <row r="1235" spans="1:12">
      <c r="A1235" s="20" t="s">
        <v>592</v>
      </c>
      <c r="E1235" s="22">
        <f>IF(D1235="?OLD","!!!","")</f>
        <v/>
      </c>
      <c r="F1235" s="23" t="str">
        <f>IF(OR(E1235="",E1235="!!!"),"",IF(NOT(ISNA(VLOOKUP(E1235,E$1:E1234,1,FALSE()))),"OLD",IF(AND(E1235&lt;&gt;"",E1235&lt;&gt;"!!!"),"NEW","")))</f>
        <v> </v>
      </c>
      <c r="G1235" s="24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5" t="str">
        <f>IF(J1235&lt;&gt;1,"",IF(I1235="SBJ","CB","?"))</f>
        <v> </v>
      </c>
      <c r="I1235" s="26" t="str">
        <f>IF(OR(E1235="",E1235="!!!",F1235="NEW"),"",INDEX(B1234:B$2,-1+SUMPRODUCT(MAX(ROW(E1234:E$2)*(E1235=E1234:E$2)))))</f>
        <v> </v>
      </c>
      <c r="J1235" s="26" t="str">
        <f>IF(OR(E1235="",E1235="!!!",F1235="NEW"),"",COUNTBLANK(OFFSET(A$1,,,SUMPRODUCT(MAX(ROW(E$2:E1235)*(E1235=E$2:E1235)))))-COUNTBLANK(OFFSET(A$1,,,SUMPRODUCT(MAX(ROW(E$1:E1234)*(E2=E$1:E1234))))))</f>
        <v> </v>
      </c>
      <c r="K1235" s="26" t="str">
        <f>IF(OR(E1235="",E1235="!!!",F1235="NEW"),"",INDEX(J$1:J1234,SUMPRODUCT(MAX(ROW(E$1:E1234)*(E1235=E$1:E1234)))))</f>
        <v> </v>
      </c>
      <c r="L1235" s="27"/>
    </row>
    <row r="1236" spans="1:12">
      <c r="A1236" s="20"/>
    </row>
    <row r="1237" spans="1:12">
      <c r="A1237" s="20" t="s">
        <v>1232</v>
      </c>
    </row>
    <row r="1238" spans="1:12">
      <c r="A1238" s="20" t="s">
        <v>1125</v>
      </c>
      <c r="E1238" s="22">
        <f>IF(D1238="?OLD","!!!","")</f>
        <v/>
      </c>
      <c r="F1238" s="23" t="str">
        <f>IF(OR(E1238="",E1238="!!!"),"",IF(NOT(ISNA(VLOOKUP(E1238,E$1:E1237,1,FALSE()))),"OLD",IF(AND(E1238&lt;&gt;"",E1238&lt;&gt;"!!!"),"NEW","")))</f>
        <v> </v>
      </c>
      <c r="G1238" s="24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5" t="str">
        <f>IF(J1238&lt;&gt;1,"",IF(I1238="SBJ","CB","?"))</f>
        <v> </v>
      </c>
      <c r="I1238" s="26" t="str">
        <f>IF(OR(E1238="",E1238="!!!",F1238="NEW"),"",INDEX(B1237:B$2,-1+SUMPRODUCT(MAX(ROW(E1237:E$2)*(E1238=E1237:E$2)))))</f>
        <v> </v>
      </c>
      <c r="J1238" s="26" t="str">
        <f>IF(OR(E1238="",E1238="!!!",F1238="NEW"),"",COUNTBLANK(OFFSET(A$1,,,SUMPRODUCT(MAX(ROW(E$2:E1238)*(E1238=E$2:E1238)))))-COUNTBLANK(OFFSET(A$1,,,SUMPRODUCT(MAX(ROW(E$1:E1237)*(E2=E$1:E1237))))))</f>
        <v> </v>
      </c>
      <c r="K1238" s="26" t="str">
        <f>IF(OR(E1238="",E1238="!!!",F1238="NEW"),"",INDEX(J$1:J1237,SUMPRODUCT(MAX(ROW(E$1:E1237)*(E1238=E$1:E1237)))))</f>
        <v> </v>
      </c>
      <c r="L1238" s="27"/>
    </row>
    <row r="1239" spans="1:12">
      <c r="A1239" s="20" t="s">
        <v>1204</v>
      </c>
      <c r="B1239" s="21" t="s">
        <v>578</v>
      </c>
      <c r="C1239" s="21" t="s">
        <v>628</v>
      </c>
      <c r="D1239" s="21" t="s">
        <v>587</v>
      </c>
      <c r="E1239" s="22">
        <f>IF(D1239="?OLD","!!!","")</f>
        <v/>
      </c>
      <c r="F1239" s="23" t="str">
        <f>IF(OR(E1239="",E1239="!!!"),"",IF(NOT(ISNA(VLOOKUP(E1239,E$1:E1238,1,FALSE()))),"OLD",IF(AND(E1239&lt;&gt;"",E1239&lt;&gt;"!!!"),"NEW","")))</f>
        <v> </v>
      </c>
      <c r="G1239" s="24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5" t="str">
        <f>IF(J1239&lt;&gt;1,"",IF(I1239="SBJ","CB","?"))</f>
        <v> </v>
      </c>
      <c r="I1239" s="26" t="str">
        <f>IF(OR(E1239="",E1239="!!!",F1239="NEW"),"",INDEX(B1238:B$2,-1+SUMPRODUCT(MAX(ROW(E1238:E$2)*(E1239=E1238:E$2)))))</f>
        <v> </v>
      </c>
      <c r="J1239" s="26" t="str">
        <f>IF(OR(E1239="",E1239="!!!",F1239="NEW"),"",COUNTBLANK(OFFSET(A$1,,,SUMPRODUCT(MAX(ROW(E$2:E1239)*(E1239=E$2:E1239)))))-COUNTBLANK(OFFSET(A$1,,,SUMPRODUCT(MAX(ROW(E$1:E1238)*(E2=E$1:E1238))))))</f>
        <v> </v>
      </c>
      <c r="K1239" s="26" t="str">
        <f>IF(OR(E1239="",E1239="!!!",F1239="NEW"),"",INDEX(J$1:J1238,SUMPRODUCT(MAX(ROW(E$1:E1238)*(E1239=E$1:E1238)))))</f>
        <v> </v>
      </c>
      <c r="L1239" s="27"/>
    </row>
    <row r="1240" spans="1:12">
      <c r="A1240" s="20" t="s">
        <v>607</v>
      </c>
      <c r="E1240" s="22">
        <f>IF(D1240="?OLD","!!!","")</f>
        <v/>
      </c>
      <c r="F1240" s="23" t="str">
        <f>IF(OR(E1240="",E1240="!!!"),"",IF(NOT(ISNA(VLOOKUP(E1240,E$1:E1239,1,FALSE()))),"OLD",IF(AND(E1240&lt;&gt;"",E1240&lt;&gt;"!!!"),"NEW","")))</f>
        <v> </v>
      </c>
      <c r="G1240" s="24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5" t="str">
        <f>IF(J1240&lt;&gt;1,"",IF(I1240="SBJ","CB","?"))</f>
        <v> </v>
      </c>
      <c r="I1240" s="26" t="str">
        <f>IF(OR(E1240="",E1240="!!!",F1240="NEW"),"",INDEX(B1239:B$2,-1+SUMPRODUCT(MAX(ROW(E1239:E$2)*(E1240=E1239:E$2)))))</f>
        <v> </v>
      </c>
      <c r="J1240" s="26" t="str">
        <f>IF(OR(E1240="",E1240="!!!",F1240="NEW"),"",COUNTBLANK(OFFSET(A$1,,,SUMPRODUCT(MAX(ROW(E$2:E1240)*(E1240=E$2:E1240)))))-COUNTBLANK(OFFSET(A$1,,,SUMPRODUCT(MAX(ROW(E$1:E1239)*(E2=E$1:E1239))))))</f>
        <v> </v>
      </c>
      <c r="K1240" s="26" t="str">
        <f>IF(OR(E1240="",E1240="!!!",F1240="NEW"),"",INDEX(J$1:J1239,SUMPRODUCT(MAX(ROW(E$1:E1239)*(E1240=E$1:E1239)))))</f>
        <v> </v>
      </c>
      <c r="L1240" s="27"/>
    </row>
    <row r="1241" spans="1:12">
      <c r="A1241" s="20" t="s">
        <v>1233</v>
      </c>
      <c r="E1241" s="22">
        <f>IF(D1241="?OLD","!!!","")</f>
        <v/>
      </c>
      <c r="F1241" s="23" t="str">
        <f>IF(OR(E1241="",E1241="!!!"),"",IF(NOT(ISNA(VLOOKUP(E1241,E$1:E1240,1,FALSE()))),"OLD",IF(AND(E1241&lt;&gt;"",E1241&lt;&gt;"!!!"),"NEW","")))</f>
        <v> </v>
      </c>
      <c r="G1241" s="24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5" t="str">
        <f>IF(J1241&lt;&gt;1,"",IF(I1241="SBJ","CB","?"))</f>
        <v> </v>
      </c>
      <c r="I1241" s="26" t="str">
        <f>IF(OR(E1241="",E1241="!!!",F1241="NEW"),"",INDEX(B1240:B$2,-1+SUMPRODUCT(MAX(ROW(E1240:E$2)*(E1241=E1240:E$2)))))</f>
        <v> </v>
      </c>
      <c r="J1241" s="26" t="str">
        <f>IF(OR(E1241="",E1241="!!!",F1241="NEW"),"",COUNTBLANK(OFFSET(A$1,,,SUMPRODUCT(MAX(ROW(E$2:E1241)*(E1241=E$2:E1241)))))-COUNTBLANK(OFFSET(A$1,,,SUMPRODUCT(MAX(ROW(E$1:E1240)*(E2=E$1:E1240))))))</f>
        <v> </v>
      </c>
      <c r="K1241" s="26" t="str">
        <f>IF(OR(E1241="",E1241="!!!",F1241="NEW"),"",INDEX(J$1:J1240,SUMPRODUCT(MAX(ROW(E$1:E1240)*(E1241=E$1:E1240)))))</f>
        <v> </v>
      </c>
      <c r="L1241" s="27"/>
    </row>
    <row r="1242" spans="1:12">
      <c r="A1242" s="20" t="s">
        <v>630</v>
      </c>
      <c r="E1242" s="22">
        <f>IF(D1242="?OLD","!!!","")</f>
        <v/>
      </c>
      <c r="F1242" s="23" t="str">
        <f>IF(OR(E1242="",E1242="!!!"),"",IF(NOT(ISNA(VLOOKUP(E1242,E$1:E1241,1,FALSE()))),"OLD",IF(AND(E1242&lt;&gt;"",E1242&lt;&gt;"!!!"),"NEW","")))</f>
        <v> </v>
      </c>
      <c r="G1242" s="24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5" t="str">
        <f>IF(J1242&lt;&gt;1,"",IF(I1242="SBJ","CB","?"))</f>
        <v> </v>
      </c>
      <c r="I1242" s="26" t="str">
        <f>IF(OR(E1242="",E1242="!!!",F1242="NEW"),"",INDEX(B1241:B$2,-1+SUMPRODUCT(MAX(ROW(E1241:E$2)*(E1242=E1241:E$2)))))</f>
        <v> </v>
      </c>
      <c r="J1242" s="26" t="str">
        <f>IF(OR(E1242="",E1242="!!!",F1242="NEW"),"",COUNTBLANK(OFFSET(A$1,,,SUMPRODUCT(MAX(ROW(E$2:E1242)*(E1242=E$2:E1242)))))-COUNTBLANK(OFFSET(A$1,,,SUMPRODUCT(MAX(ROW(E$1:E1241)*(E2=E$1:E1241))))))</f>
        <v> </v>
      </c>
      <c r="K1242" s="26" t="str">
        <f>IF(OR(E1242="",E1242="!!!",F1242="NEW"),"",INDEX(J$1:J1241,SUMPRODUCT(MAX(ROW(E$1:E1241)*(E1242=E$1:E1241)))))</f>
        <v> </v>
      </c>
      <c r="L1242" s="27"/>
    </row>
    <row r="1243" spans="1:12">
      <c r="A1243" s="20" t="s">
        <v>1233</v>
      </c>
      <c r="E1243" s="22">
        <f>IF(D1243="?OLD","!!!","")</f>
        <v/>
      </c>
      <c r="F1243" s="23" t="str">
        <f>IF(OR(E1243="",E1243="!!!"),"",IF(NOT(ISNA(VLOOKUP(E1243,E$1:E1242,1,FALSE()))),"OLD",IF(AND(E1243&lt;&gt;"",E1243&lt;&gt;"!!!"),"NEW","")))</f>
        <v> </v>
      </c>
      <c r="G1243" s="24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5" t="str">
        <f>IF(J1243&lt;&gt;1,"",IF(I1243="SBJ","CB","?"))</f>
        <v> </v>
      </c>
      <c r="I1243" s="26" t="str">
        <f>IF(OR(E1243="",E1243="!!!",F1243="NEW"),"",INDEX(B1242:B$2,-1+SUMPRODUCT(MAX(ROW(E1242:E$2)*(E1243=E1242:E$2)))))</f>
        <v> </v>
      </c>
      <c r="J1243" s="26" t="str">
        <f>IF(OR(E1243="",E1243="!!!",F1243="NEW"),"",COUNTBLANK(OFFSET(A$1,,,SUMPRODUCT(MAX(ROW(E$2:E1243)*(E1243=E$2:E1243)))))-COUNTBLANK(OFFSET(A$1,,,SUMPRODUCT(MAX(ROW(E$1:E1242)*(E2=E$1:E1242))))))</f>
        <v> </v>
      </c>
      <c r="K1243" s="26" t="str">
        <f>IF(OR(E1243="",E1243="!!!",F1243="NEW"),"",INDEX(J$1:J1242,SUMPRODUCT(MAX(ROW(E$1:E1242)*(E1243=E$1:E1242)))))</f>
        <v> </v>
      </c>
      <c r="L1243" s="27"/>
    </row>
    <row r="1244" spans="1:12">
      <c r="A1244" s="20" t="s">
        <v>583</v>
      </c>
      <c r="E1244" s="22">
        <f>IF(D1244="?OLD","!!!","")</f>
        <v/>
      </c>
      <c r="F1244" s="23" t="str">
        <f>IF(OR(E1244="",E1244="!!!"),"",IF(NOT(ISNA(VLOOKUP(E1244,E$1:E1243,1,FALSE()))),"OLD",IF(AND(E1244&lt;&gt;"",E1244&lt;&gt;"!!!"),"NEW","")))</f>
        <v> </v>
      </c>
      <c r="G1244" s="24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5" t="str">
        <f>IF(J1244&lt;&gt;1,"",IF(I1244="SBJ","CB","?"))</f>
        <v> </v>
      </c>
      <c r="I1244" s="26" t="str">
        <f>IF(OR(E1244="",E1244="!!!",F1244="NEW"),"",INDEX(B1243:B$2,-1+SUMPRODUCT(MAX(ROW(E1243:E$2)*(E1244=E1243:E$2)))))</f>
        <v> </v>
      </c>
      <c r="J1244" s="26" t="str">
        <f>IF(OR(E1244="",E1244="!!!",F1244="NEW"),"",COUNTBLANK(OFFSET(A$1,,,SUMPRODUCT(MAX(ROW(E$2:E1244)*(E1244=E$2:E1244)))))-COUNTBLANK(OFFSET(A$1,,,SUMPRODUCT(MAX(ROW(E$1:E1243)*(E2=E$1:E1243))))))</f>
        <v> </v>
      </c>
      <c r="K1244" s="26" t="str">
        <f>IF(OR(E1244="",E1244="!!!",F1244="NEW"),"",INDEX(J$1:J1243,SUMPRODUCT(MAX(ROW(E$1:E1243)*(E1244=E$1:E1243)))))</f>
        <v> </v>
      </c>
      <c r="L1244" s="27"/>
    </row>
    <row r="1245" spans="1:12">
      <c r="A1245" s="20" t="s">
        <v>630</v>
      </c>
      <c r="E1245" s="22">
        <f>IF(D1245="?OLD","!!!","")</f>
        <v/>
      </c>
      <c r="F1245" s="23" t="str">
        <f>IF(OR(E1245="",E1245="!!!"),"",IF(NOT(ISNA(VLOOKUP(E1245,E$1:E1244,1,FALSE()))),"OLD",IF(AND(E1245&lt;&gt;"",E1245&lt;&gt;"!!!"),"NEW","")))</f>
        <v> </v>
      </c>
      <c r="G1245" s="24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5" t="str">
        <f>IF(J1245&lt;&gt;1,"",IF(I1245="SBJ","CB","?"))</f>
        <v> </v>
      </c>
      <c r="I1245" s="26" t="str">
        <f>IF(OR(E1245="",E1245="!!!",F1245="NEW"),"",INDEX(B1244:B$2,-1+SUMPRODUCT(MAX(ROW(E1244:E$2)*(E1245=E1244:E$2)))))</f>
        <v> </v>
      </c>
      <c r="J1245" s="26" t="str">
        <f>IF(OR(E1245="",E1245="!!!",F1245="NEW"),"",COUNTBLANK(OFFSET(A$1,,,SUMPRODUCT(MAX(ROW(E$2:E1245)*(E1245=E$2:E1245)))))-COUNTBLANK(OFFSET(A$1,,,SUMPRODUCT(MAX(ROW(E$1:E1244)*(E2=E$1:E1244))))))</f>
        <v> </v>
      </c>
      <c r="K1245" s="26" t="str">
        <f>IF(OR(E1245="",E1245="!!!",F1245="NEW"),"",INDEX(J$1:J1244,SUMPRODUCT(MAX(ROW(E$1:E1244)*(E1245=E$1:E1244)))))</f>
        <v> </v>
      </c>
      <c r="L1245" s="27"/>
    </row>
    <row r="1246" spans="1:12">
      <c r="A1246" s="20" t="s">
        <v>580</v>
      </c>
      <c r="E1246" s="22">
        <f>IF(D1246="?OLD","!!!","")</f>
        <v/>
      </c>
      <c r="F1246" s="23" t="str">
        <f>IF(OR(E1246="",E1246="!!!"),"",IF(NOT(ISNA(VLOOKUP(E1246,E$1:E1245,1,FALSE()))),"OLD",IF(AND(E1246&lt;&gt;"",E1246&lt;&gt;"!!!"),"NEW","")))</f>
        <v> </v>
      </c>
      <c r="G1246" s="24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5" t="str">
        <f>IF(J1246&lt;&gt;1,"",IF(I1246="SBJ","CB","?"))</f>
        <v> </v>
      </c>
      <c r="I1246" s="26" t="str">
        <f>IF(OR(E1246="",E1246="!!!",F1246="NEW"),"",INDEX(B1245:B$2,-1+SUMPRODUCT(MAX(ROW(E1245:E$2)*(E1246=E1245:E$2)))))</f>
        <v> </v>
      </c>
      <c r="J1246" s="26" t="str">
        <f>IF(OR(E1246="",E1246="!!!",F1246="NEW"),"",COUNTBLANK(OFFSET(A$1,,,SUMPRODUCT(MAX(ROW(E$2:E1246)*(E1246=E$2:E1246)))))-COUNTBLANK(OFFSET(A$1,,,SUMPRODUCT(MAX(ROW(E$1:E1245)*(E2=E$1:E1245))))))</f>
        <v> </v>
      </c>
      <c r="K1246" s="26" t="str">
        <f>IF(OR(E1246="",E1246="!!!",F1246="NEW"),"",INDEX(J$1:J1245,SUMPRODUCT(MAX(ROW(E$1:E1245)*(E1246=E$1:E1245)))))</f>
        <v> </v>
      </c>
      <c r="L1246" s="27"/>
    </row>
    <row r="1247" spans="1:12">
      <c r="A1247" s="20" t="s">
        <v>1234</v>
      </c>
      <c r="E1247" s="22">
        <f>IF(D1247="?OLD","!!!","")</f>
        <v/>
      </c>
      <c r="F1247" s="23" t="str">
        <f>IF(OR(E1247="",E1247="!!!"),"",IF(NOT(ISNA(VLOOKUP(E1247,E$1:E1246,1,FALSE()))),"OLD",IF(AND(E1247&lt;&gt;"",E1247&lt;&gt;"!!!"),"NEW","")))</f>
        <v> </v>
      </c>
      <c r="G1247" s="24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5" t="str">
        <f>IF(J1247&lt;&gt;1,"",IF(I1247="SBJ","CB","?"))</f>
        <v> </v>
      </c>
      <c r="I1247" s="26" t="str">
        <f>IF(OR(E1247="",E1247="!!!",F1247="NEW"),"",INDEX(B1246:B$2,-1+SUMPRODUCT(MAX(ROW(E1246:E$2)*(E1247=E1246:E$2)))))</f>
        <v> </v>
      </c>
      <c r="J1247" s="26" t="str">
        <f>IF(OR(E1247="",E1247="!!!",F1247="NEW"),"",COUNTBLANK(OFFSET(A$1,,,SUMPRODUCT(MAX(ROW(E$2:E1247)*(E1247=E$2:E1247)))))-COUNTBLANK(OFFSET(A$1,,,SUMPRODUCT(MAX(ROW(E$1:E1246)*(E2=E$1:E1246))))))</f>
        <v> </v>
      </c>
      <c r="K1247" s="26" t="str">
        <f>IF(OR(E1247="",E1247="!!!",F1247="NEW"),"",INDEX(J$1:J1246,SUMPRODUCT(MAX(ROW(E$1:E1246)*(E1247=E$1:E1246)))))</f>
        <v> </v>
      </c>
      <c r="L1247" s="27"/>
    </row>
    <row r="1248" spans="1:12">
      <c r="A1248" s="20" t="s">
        <v>1235</v>
      </c>
      <c r="E1248" s="22">
        <f>IF(D1248="?OLD","!!!","")</f>
        <v/>
      </c>
      <c r="F1248" s="23" t="str">
        <f>IF(OR(E1248="",E1248="!!!"),"",IF(NOT(ISNA(VLOOKUP(E1248,E$1:E1247,1,FALSE()))),"OLD",IF(AND(E1248&lt;&gt;"",E1248&lt;&gt;"!!!"),"NEW","")))</f>
        <v> </v>
      </c>
      <c r="G1248" s="24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5" t="str">
        <f>IF(J1248&lt;&gt;1,"",IF(I1248="SBJ","CB","?"))</f>
        <v> </v>
      </c>
      <c r="I1248" s="26" t="str">
        <f>IF(OR(E1248="",E1248="!!!",F1248="NEW"),"",INDEX(B1247:B$2,-1+SUMPRODUCT(MAX(ROW(E1247:E$2)*(E1248=E1247:E$2)))))</f>
        <v> </v>
      </c>
      <c r="J1248" s="26" t="str">
        <f>IF(OR(E1248="",E1248="!!!",F1248="NEW"),"",COUNTBLANK(OFFSET(A$1,,,SUMPRODUCT(MAX(ROW(E$2:E1248)*(E1248=E$2:E1248)))))-COUNTBLANK(OFFSET(A$1,,,SUMPRODUCT(MAX(ROW(E$1:E1247)*(E2=E$1:E1247))))))</f>
        <v> </v>
      </c>
      <c r="K1248" s="26" t="str">
        <f>IF(OR(E1248="",E1248="!!!",F1248="NEW"),"",INDEX(J$1:J1247,SUMPRODUCT(MAX(ROW(E$1:E1247)*(E1248=E$1:E1247)))))</f>
        <v> </v>
      </c>
      <c r="L1248" s="27"/>
    </row>
    <row r="1249" spans="1:12">
      <c r="A1249" s="20" t="s">
        <v>1236</v>
      </c>
      <c r="B1249" s="21" t="s">
        <v>590</v>
      </c>
      <c r="C1249" s="21" t="s">
        <v>613</v>
      </c>
      <c r="D1249" s="21" t="s">
        <v>587</v>
      </c>
      <c r="E1249" s="22">
        <f>IF(D1249="?OLD","!!!","")</f>
        <v/>
      </c>
      <c r="F1249" s="23" t="str">
        <f>IF(OR(E1249="",E1249="!!!"),"",IF(NOT(ISNA(VLOOKUP(E1249,E$1:E1248,1,FALSE()))),"OLD",IF(AND(E1249&lt;&gt;"",E1249&lt;&gt;"!!!"),"NEW","")))</f>
        <v> </v>
      </c>
      <c r="G1249" s="24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5" t="str">
        <f>IF(J1249&lt;&gt;1,"",IF(I1249="SBJ","CB","?"))</f>
        <v> </v>
      </c>
      <c r="I1249" s="26" t="str">
        <f>IF(OR(E1249="",E1249="!!!",F1249="NEW"),"",INDEX(B1248:B$2,-1+SUMPRODUCT(MAX(ROW(E1248:E$2)*(E1249=E1248:E$2)))))</f>
        <v> </v>
      </c>
      <c r="J1249" s="26" t="str">
        <f>IF(OR(E1249="",E1249="!!!",F1249="NEW"),"",COUNTBLANK(OFFSET(A$1,,,SUMPRODUCT(MAX(ROW(E$2:E1249)*(E1249=E$2:E1249)))))-COUNTBLANK(OFFSET(A$1,,,SUMPRODUCT(MAX(ROW(E$1:E1248)*(E2=E$1:E1248))))))</f>
        <v> </v>
      </c>
      <c r="K1249" s="26" t="str">
        <f>IF(OR(E1249="",E1249="!!!",F1249="NEW"),"",INDEX(J$1:J1248,SUMPRODUCT(MAX(ROW(E$1:E1248)*(E1249=E$1:E1248)))))</f>
        <v> </v>
      </c>
      <c r="L1249" s="27"/>
    </row>
    <row r="1250" spans="1:12">
      <c r="A1250" s="20" t="s">
        <v>931</v>
      </c>
      <c r="E1250" s="22">
        <f>IF(D1250="?OLD","!!!","")</f>
        <v/>
      </c>
      <c r="F1250" s="23" t="str">
        <f>IF(OR(E1250="",E1250="!!!"),"",IF(NOT(ISNA(VLOOKUP(E1250,E$1:E1249,1,FALSE()))),"OLD",IF(AND(E1250&lt;&gt;"",E1250&lt;&gt;"!!!"),"NEW","")))</f>
        <v> </v>
      </c>
      <c r="G1250" s="24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5" t="str">
        <f>IF(J1250&lt;&gt;1,"",IF(I1250="SBJ","CB","?"))</f>
        <v> </v>
      </c>
      <c r="I1250" s="26" t="str">
        <f>IF(OR(E1250="",E1250="!!!",F1250="NEW"),"",INDEX(B1249:B$2,-1+SUMPRODUCT(MAX(ROW(E1249:E$2)*(E1250=E1249:E$2)))))</f>
        <v> </v>
      </c>
      <c r="J1250" s="26" t="str">
        <f>IF(OR(E1250="",E1250="!!!",F1250="NEW"),"",COUNTBLANK(OFFSET(A$1,,,SUMPRODUCT(MAX(ROW(E$2:E1250)*(E1250=E$2:E1250)))))-COUNTBLANK(OFFSET(A$1,,,SUMPRODUCT(MAX(ROW(E$1:E1249)*(E2=E$1:E1249))))))</f>
        <v> </v>
      </c>
      <c r="K1250" s="26" t="str">
        <f>IF(OR(E1250="",E1250="!!!",F1250="NEW"),"",INDEX(J$1:J1249,SUMPRODUCT(MAX(ROW(E$1:E1249)*(E1250=E$1:E1249)))))</f>
        <v> </v>
      </c>
      <c r="L1250" s="27"/>
    </row>
    <row r="1251" spans="1:12">
      <c r="A1251" s="20" t="s">
        <v>741</v>
      </c>
      <c r="E1251" s="22">
        <f>IF(D1251="?OLD","!!!","")</f>
        <v/>
      </c>
      <c r="F1251" s="23" t="str">
        <f>IF(OR(E1251="",E1251="!!!"),"",IF(NOT(ISNA(VLOOKUP(E1251,E$1:E1250,1,FALSE()))),"OLD",IF(AND(E1251&lt;&gt;"",E1251&lt;&gt;"!!!"),"NEW","")))</f>
        <v> </v>
      </c>
      <c r="G1251" s="24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5" t="str">
        <f>IF(J1251&lt;&gt;1,"",IF(I1251="SBJ","CB","?"))</f>
        <v> </v>
      </c>
      <c r="I1251" s="26" t="str">
        <f>IF(OR(E1251="",E1251="!!!",F1251="NEW"),"",INDEX(B1250:B$2,-1+SUMPRODUCT(MAX(ROW(E1250:E$2)*(E1251=E1250:E$2)))))</f>
        <v> </v>
      </c>
      <c r="J1251" s="26" t="str">
        <f>IF(OR(E1251="",E1251="!!!",F1251="NEW"),"",COUNTBLANK(OFFSET(A$1,,,SUMPRODUCT(MAX(ROW(E$2:E1251)*(E1251=E$2:E1251)))))-COUNTBLANK(OFFSET(A$1,,,SUMPRODUCT(MAX(ROW(E$1:E1250)*(E2=E$1:E1250))))))</f>
        <v> </v>
      </c>
      <c r="K1251" s="26" t="str">
        <f>IF(OR(E1251="",E1251="!!!",F1251="NEW"),"",INDEX(J$1:J1250,SUMPRODUCT(MAX(ROW(E$1:E1250)*(E1251=E$1:E1250)))))</f>
        <v> </v>
      </c>
      <c r="L1251" s="27"/>
    </row>
    <row r="1252" spans="1:12">
      <c r="A1252" s="20" t="s">
        <v>1237</v>
      </c>
      <c r="E1252" s="22">
        <f>IF(D1252="?OLD","!!!","")</f>
        <v/>
      </c>
      <c r="F1252" s="23" t="str">
        <f>IF(OR(E1252="",E1252="!!!"),"",IF(NOT(ISNA(VLOOKUP(E1252,E$1:E1251,1,FALSE()))),"OLD",IF(AND(E1252&lt;&gt;"",E1252&lt;&gt;"!!!"),"NEW","")))</f>
        <v> </v>
      </c>
      <c r="G1252" s="24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5" t="str">
        <f>IF(J1252&lt;&gt;1,"",IF(I1252="SBJ","CB","?"))</f>
        <v> </v>
      </c>
      <c r="I1252" s="26" t="str">
        <f>IF(OR(E1252="",E1252="!!!",F1252="NEW"),"",INDEX(B1251:B$2,-1+SUMPRODUCT(MAX(ROW(E1251:E$2)*(E1252=E1251:E$2)))))</f>
        <v> </v>
      </c>
      <c r="J1252" s="26" t="str">
        <f>IF(OR(E1252="",E1252="!!!",F1252="NEW"),"",COUNTBLANK(OFFSET(A$1,,,SUMPRODUCT(MAX(ROW(E$2:E1252)*(E1252=E$2:E1252)))))-COUNTBLANK(OFFSET(A$1,,,SUMPRODUCT(MAX(ROW(E$1:E1251)*(E2=E$1:E1251))))))</f>
        <v> </v>
      </c>
      <c r="K1252" s="26" t="str">
        <f>IF(OR(E1252="",E1252="!!!",F1252="NEW"),"",INDEX(J$1:J1251,SUMPRODUCT(MAX(ROW(E$1:E1251)*(E1252=E$1:E1251)))))</f>
        <v> </v>
      </c>
      <c r="L1252" s="27"/>
    </row>
    <row r="1253" spans="1:12">
      <c r="A1253" s="20" t="s">
        <v>583</v>
      </c>
      <c r="E1253" s="22">
        <f>IF(D1253="?OLD","!!!","")</f>
        <v/>
      </c>
      <c r="F1253" s="23" t="str">
        <f>IF(OR(E1253="",E1253="!!!"),"",IF(NOT(ISNA(VLOOKUP(E1253,E$1:E1252,1,FALSE()))),"OLD",IF(AND(E1253&lt;&gt;"",E1253&lt;&gt;"!!!"),"NEW","")))</f>
        <v> </v>
      </c>
      <c r="G1253" s="24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5" t="str">
        <f>IF(J1253&lt;&gt;1,"",IF(I1253="SBJ","CB","?"))</f>
        <v> </v>
      </c>
      <c r="I1253" s="26" t="str">
        <f>IF(OR(E1253="",E1253="!!!",F1253="NEW"),"",INDEX(B1252:B$2,-1+SUMPRODUCT(MAX(ROW(E1252:E$2)*(E1253=E1252:E$2)))))</f>
        <v> </v>
      </c>
      <c r="J1253" s="26" t="str">
        <f>IF(OR(E1253="",E1253="!!!",F1253="NEW"),"",COUNTBLANK(OFFSET(A$1,,,SUMPRODUCT(MAX(ROW(E$2:E1253)*(E1253=E$2:E1253)))))-COUNTBLANK(OFFSET(A$1,,,SUMPRODUCT(MAX(ROW(E$1:E1252)*(E2=E$1:E1252))))))</f>
        <v> </v>
      </c>
      <c r="K1253" s="26" t="str">
        <f>IF(OR(E1253="",E1253="!!!",F1253="NEW"),"",INDEX(J$1:J1252,SUMPRODUCT(MAX(ROW(E$1:E1252)*(E1253=E$1:E1252)))))</f>
        <v> </v>
      </c>
      <c r="L1253" s="27"/>
    </row>
    <row r="1254" spans="1:12">
      <c r="A1254" s="20" t="s">
        <v>1238</v>
      </c>
      <c r="E1254" s="22">
        <f>IF(D1254="?OLD","!!!","")</f>
        <v/>
      </c>
      <c r="F1254" s="23" t="str">
        <f>IF(OR(E1254="",E1254="!!!"),"",IF(NOT(ISNA(VLOOKUP(E1254,E$1:E1253,1,FALSE()))),"OLD",IF(AND(E1254&lt;&gt;"",E1254&lt;&gt;"!!!"),"NEW","")))</f>
        <v> </v>
      </c>
      <c r="G1254" s="24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5" t="str">
        <f>IF(J1254&lt;&gt;1,"",IF(I1254="SBJ","CB","?"))</f>
        <v> </v>
      </c>
      <c r="I1254" s="26" t="str">
        <f>IF(OR(E1254="",E1254="!!!",F1254="NEW"),"",INDEX(B1253:B$2,-1+SUMPRODUCT(MAX(ROW(E1253:E$2)*(E1254=E1253:E$2)))))</f>
        <v> </v>
      </c>
      <c r="J1254" s="26" t="str">
        <f>IF(OR(E1254="",E1254="!!!",F1254="NEW"),"",COUNTBLANK(OFFSET(A$1,,,SUMPRODUCT(MAX(ROW(E$2:E1254)*(E1254=E$2:E1254)))))-COUNTBLANK(OFFSET(A$1,,,SUMPRODUCT(MAX(ROW(E$1:E1253)*(E2=E$1:E1253))))))</f>
        <v> </v>
      </c>
      <c r="K1254" s="26" t="str">
        <f>IF(OR(E1254="",E1254="!!!",F1254="NEW"),"",INDEX(J$1:J1253,SUMPRODUCT(MAX(ROW(E$1:E1253)*(E1254=E$1:E1253)))))</f>
        <v> </v>
      </c>
      <c r="L1254" s="27"/>
    </row>
    <row r="1255" spans="1:12">
      <c r="A1255" s="20" t="s">
        <v>1239</v>
      </c>
      <c r="B1255" s="21" t="s">
        <v>695</v>
      </c>
      <c r="C1255" s="21" t="s">
        <v>613</v>
      </c>
      <c r="D1255" s="21" t="s">
        <v>587</v>
      </c>
      <c r="E1255" s="22">
        <f>IF(D1255="?OLD","!!!","")</f>
        <v/>
      </c>
      <c r="F1255" s="23" t="str">
        <f>IF(OR(E1255="",E1255="!!!"),"",IF(NOT(ISNA(VLOOKUP(E1255,E$1:E1254,1,FALSE()))),"OLD",IF(AND(E1255&lt;&gt;"",E1255&lt;&gt;"!!!"),"NEW","")))</f>
        <v> </v>
      </c>
      <c r="G1255" s="24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5" t="str">
        <f>IF(J1255&lt;&gt;1,"",IF(I1255="SBJ","CB","?"))</f>
        <v> </v>
      </c>
      <c r="I1255" s="26" t="str">
        <f>IF(OR(E1255="",E1255="!!!",F1255="NEW"),"",INDEX(B1254:B$2,-1+SUMPRODUCT(MAX(ROW(E1254:E$2)*(E1255=E1254:E$2)))))</f>
        <v> </v>
      </c>
      <c r="J1255" s="26" t="str">
        <f>IF(OR(E1255="",E1255="!!!",F1255="NEW"),"",COUNTBLANK(OFFSET(A$1,,,SUMPRODUCT(MAX(ROW(E$2:E1255)*(E1255=E$2:E1255)))))-COUNTBLANK(OFFSET(A$1,,,SUMPRODUCT(MAX(ROW(E$1:E1254)*(E2=E$1:E1254))))))</f>
        <v> </v>
      </c>
      <c r="K1255" s="26" t="str">
        <f>IF(OR(E1255="",E1255="!!!",F1255="NEW"),"",INDEX(J$1:J1254,SUMPRODUCT(MAX(ROW(E$1:E1254)*(E1255=E$1:E1254)))))</f>
        <v> </v>
      </c>
      <c r="L1255" s="27"/>
    </row>
    <row r="1256" spans="1:12">
      <c r="A1256" s="20" t="s">
        <v>688</v>
      </c>
      <c r="E1256" s="22">
        <f>IF(D1256="?OLD","!!!","")</f>
        <v/>
      </c>
      <c r="F1256" s="23" t="str">
        <f>IF(OR(E1256="",E1256="!!!"),"",IF(NOT(ISNA(VLOOKUP(E1256,E$1:E1255,1,FALSE()))),"OLD",IF(AND(E1256&lt;&gt;"",E1256&lt;&gt;"!!!"),"NEW","")))</f>
        <v> </v>
      </c>
      <c r="G1256" s="24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5" t="str">
        <f>IF(J1256&lt;&gt;1,"",IF(I1256="SBJ","CB","?"))</f>
        <v> </v>
      </c>
      <c r="I1256" s="26" t="str">
        <f>IF(OR(E1256="",E1256="!!!",F1256="NEW"),"",INDEX(B1255:B$2,-1+SUMPRODUCT(MAX(ROW(E1255:E$2)*(E1256=E1255:E$2)))))</f>
        <v> </v>
      </c>
      <c r="J1256" s="26" t="str">
        <f>IF(OR(E1256="",E1256="!!!",F1256="NEW"),"",COUNTBLANK(OFFSET(A$1,,,SUMPRODUCT(MAX(ROW(E$2:E1256)*(E1256=E$2:E1256)))))-COUNTBLANK(OFFSET(A$1,,,SUMPRODUCT(MAX(ROW(E$1:E1255)*(E2=E$1:E1255))))))</f>
        <v> </v>
      </c>
      <c r="K1256" s="26" t="str">
        <f>IF(OR(E1256="",E1256="!!!",F1256="NEW"),"",INDEX(J$1:J1255,SUMPRODUCT(MAX(ROW(E$1:E1255)*(E1256=E$1:E1255)))))</f>
        <v> </v>
      </c>
      <c r="L1256" s="27"/>
    </row>
    <row r="1257" spans="1:12">
      <c r="A1257" s="20" t="s">
        <v>1240</v>
      </c>
      <c r="E1257" s="22">
        <f>IF(D1257="?OLD","!!!","")</f>
        <v/>
      </c>
      <c r="F1257" s="23" t="str">
        <f>IF(OR(E1257="",E1257="!!!"),"",IF(NOT(ISNA(VLOOKUP(E1257,E$1:E1256,1,FALSE()))),"OLD",IF(AND(E1257&lt;&gt;"",E1257&lt;&gt;"!!!"),"NEW","")))</f>
        <v> </v>
      </c>
      <c r="G1257" s="24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5" t="str">
        <f>IF(J1257&lt;&gt;1,"",IF(I1257="SBJ","CB","?"))</f>
        <v> </v>
      </c>
      <c r="I1257" s="26" t="str">
        <f>IF(OR(E1257="",E1257="!!!",F1257="NEW"),"",INDEX(B1256:B$2,-1+SUMPRODUCT(MAX(ROW(E1256:E$2)*(E1257=E1256:E$2)))))</f>
        <v> </v>
      </c>
      <c r="J1257" s="26" t="str">
        <f>IF(OR(E1257="",E1257="!!!",F1257="NEW"),"",COUNTBLANK(OFFSET(A$1,,,SUMPRODUCT(MAX(ROW(E$2:E1257)*(E1257=E$2:E1257)))))-COUNTBLANK(OFFSET(A$1,,,SUMPRODUCT(MAX(ROW(E$1:E1256)*(E2=E$1:E1256))))))</f>
        <v> </v>
      </c>
      <c r="K1257" s="26" t="str">
        <f>IF(OR(E1257="",E1257="!!!",F1257="NEW"),"",INDEX(J$1:J1256,SUMPRODUCT(MAX(ROW(E$1:E1256)*(E1257=E$1:E1256)))))</f>
        <v> </v>
      </c>
      <c r="L1257" s="27"/>
    </row>
    <row r="1258" spans="1:12">
      <c r="A1258" s="20" t="s">
        <v>1241</v>
      </c>
      <c r="E1258" s="22">
        <f>IF(D1258="?OLD","!!!","")</f>
        <v/>
      </c>
      <c r="F1258" s="23" t="str">
        <f>IF(OR(E1258="",E1258="!!!"),"",IF(NOT(ISNA(VLOOKUP(E1258,E$1:E1257,1,FALSE()))),"OLD",IF(AND(E1258&lt;&gt;"",E1258&lt;&gt;"!!!"),"NEW","")))</f>
        <v> </v>
      </c>
      <c r="G1258" s="24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5" t="str">
        <f>IF(J1258&lt;&gt;1,"",IF(I1258="SBJ","CB","?"))</f>
        <v> </v>
      </c>
      <c r="I1258" s="26" t="str">
        <f>IF(OR(E1258="",E1258="!!!",F1258="NEW"),"",INDEX(B1257:B$2,-1+SUMPRODUCT(MAX(ROW(E1257:E$2)*(E1258=E1257:E$2)))))</f>
        <v> </v>
      </c>
      <c r="J1258" s="26" t="str">
        <f>IF(OR(E1258="",E1258="!!!",F1258="NEW"),"",COUNTBLANK(OFFSET(A$1,,,SUMPRODUCT(MAX(ROW(E$2:E1258)*(E1258=E$2:E1258)))))-COUNTBLANK(OFFSET(A$1,,,SUMPRODUCT(MAX(ROW(E$1:E1257)*(E2=E$1:E1257))))))</f>
        <v> </v>
      </c>
      <c r="K1258" s="26" t="str">
        <f>IF(OR(E1258="",E1258="!!!",F1258="NEW"),"",INDEX(J$1:J1257,SUMPRODUCT(MAX(ROW(E$1:E1257)*(E1258=E$1:E1257)))))</f>
        <v> </v>
      </c>
      <c r="L1258" s="27"/>
    </row>
    <row r="1259" spans="1:12">
      <c r="A1259" s="20" t="s">
        <v>583</v>
      </c>
      <c r="E1259" s="22">
        <f>IF(D1259="?OLD","!!!","")</f>
        <v/>
      </c>
      <c r="F1259" s="23" t="str">
        <f>IF(OR(E1259="",E1259="!!!"),"",IF(NOT(ISNA(VLOOKUP(E1259,E$1:E1258,1,FALSE()))),"OLD",IF(AND(E1259&lt;&gt;"",E1259&lt;&gt;"!!!"),"NEW","")))</f>
        <v> </v>
      </c>
      <c r="G1259" s="24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5" t="str">
        <f>IF(J1259&lt;&gt;1,"",IF(I1259="SBJ","CB","?"))</f>
        <v> </v>
      </c>
      <c r="I1259" s="26" t="str">
        <f>IF(OR(E1259="",E1259="!!!",F1259="NEW"),"",INDEX(B1258:B$2,-1+SUMPRODUCT(MAX(ROW(E1258:E$2)*(E1259=E1258:E$2)))))</f>
        <v> </v>
      </c>
      <c r="J1259" s="26" t="str">
        <f>IF(OR(E1259="",E1259="!!!",F1259="NEW"),"",COUNTBLANK(OFFSET(A$1,,,SUMPRODUCT(MAX(ROW(E$2:E1259)*(E1259=E$2:E1259)))))-COUNTBLANK(OFFSET(A$1,,,SUMPRODUCT(MAX(ROW(E$1:E1258)*(E2=E$1:E1258))))))</f>
        <v> </v>
      </c>
      <c r="K1259" s="26" t="str">
        <f>IF(OR(E1259="",E1259="!!!",F1259="NEW"),"",INDEX(J$1:J1258,SUMPRODUCT(MAX(ROW(E$1:E1258)*(E1259=E$1:E1258)))))</f>
        <v> </v>
      </c>
      <c r="L1259" s="27"/>
    </row>
    <row r="1260" spans="1:12">
      <c r="A1260" s="20" t="s">
        <v>630</v>
      </c>
      <c r="E1260" s="22">
        <f>IF(D1260="?OLD","!!!","")</f>
        <v/>
      </c>
      <c r="F1260" s="23" t="str">
        <f>IF(OR(E1260="",E1260="!!!"),"",IF(NOT(ISNA(VLOOKUP(E1260,E$1:E1259,1,FALSE()))),"OLD",IF(AND(E1260&lt;&gt;"",E1260&lt;&gt;"!!!"),"NEW","")))</f>
        <v> </v>
      </c>
      <c r="G1260" s="24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5" t="str">
        <f>IF(J1260&lt;&gt;1,"",IF(I1260="SBJ","CB","?"))</f>
        <v> </v>
      </c>
      <c r="I1260" s="26" t="str">
        <f>IF(OR(E1260="",E1260="!!!",F1260="NEW"),"",INDEX(B1259:B$2,-1+SUMPRODUCT(MAX(ROW(E1259:E$2)*(E1260=E1259:E$2)))))</f>
        <v> </v>
      </c>
      <c r="J1260" s="26" t="str">
        <f>IF(OR(E1260="",E1260="!!!",F1260="NEW"),"",COUNTBLANK(OFFSET(A$1,,,SUMPRODUCT(MAX(ROW(E$2:E1260)*(E1260=E$2:E1260)))))-COUNTBLANK(OFFSET(A$1,,,SUMPRODUCT(MAX(ROW(E$1:E1259)*(E2=E$1:E1259))))))</f>
        <v> </v>
      </c>
      <c r="K1260" s="26" t="str">
        <f>IF(OR(E1260="",E1260="!!!",F1260="NEW"),"",INDEX(J$1:J1259,SUMPRODUCT(MAX(ROW(E$1:E1259)*(E1260=E$1:E1259)))))</f>
        <v> </v>
      </c>
      <c r="L1260" s="27"/>
    </row>
    <row r="1261" spans="1:12">
      <c r="A1261" s="20" t="s">
        <v>716</v>
      </c>
      <c r="B1261" s="21" t="s">
        <v>762</v>
      </c>
      <c r="C1261" s="21" t="s">
        <v>613</v>
      </c>
      <c r="D1261" s="21" t="s">
        <v>587</v>
      </c>
      <c r="E1261" s="22">
        <f>IF(D1261="?OLD","!!!","")</f>
        <v/>
      </c>
      <c r="F1261" s="23" t="str">
        <f>IF(OR(E1261="",E1261="!!!"),"",IF(NOT(ISNA(VLOOKUP(E1261,E$1:E1260,1,FALSE()))),"OLD",IF(AND(E1261&lt;&gt;"",E1261&lt;&gt;"!!!"),"NEW","")))</f>
        <v> </v>
      </c>
      <c r="G1261" s="24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5" t="str">
        <f>IF(J1261&lt;&gt;1,"",IF(I1261="SBJ","CB","?"))</f>
        <v> </v>
      </c>
      <c r="I1261" s="26" t="str">
        <f>IF(OR(E1261="",E1261="!!!",F1261="NEW"),"",INDEX(B1260:B$2,-1+SUMPRODUCT(MAX(ROW(E1260:E$2)*(E1261=E1260:E$2)))))</f>
        <v> </v>
      </c>
      <c r="J1261" s="26" t="str">
        <f>IF(OR(E1261="",E1261="!!!",F1261="NEW"),"",COUNTBLANK(OFFSET(A$1,,,SUMPRODUCT(MAX(ROW(E$2:E1261)*(E1261=E$2:E1261)))))-COUNTBLANK(OFFSET(A$1,,,SUMPRODUCT(MAX(ROW(E$1:E1260)*(E2=E$1:E1260))))))</f>
        <v> </v>
      </c>
      <c r="K1261" s="26" t="str">
        <f>IF(OR(E1261="",E1261="!!!",F1261="NEW"),"",INDEX(J$1:J1260,SUMPRODUCT(MAX(ROW(E$1:E1260)*(E1261=E$1:E1260)))))</f>
        <v> </v>
      </c>
      <c r="L1261" s="27"/>
    </row>
    <row r="1262" spans="1:12">
      <c r="A1262" s="20" t="s">
        <v>1242</v>
      </c>
      <c r="E1262" s="22">
        <f>IF(D1262="?OLD","!!!","")</f>
        <v/>
      </c>
      <c r="F1262" s="23" t="str">
        <f>IF(OR(E1262="",E1262="!!!"),"",IF(NOT(ISNA(VLOOKUP(E1262,E$1:E1261,1,FALSE()))),"OLD",IF(AND(E1262&lt;&gt;"",E1262&lt;&gt;"!!!"),"NEW","")))</f>
        <v> </v>
      </c>
      <c r="G1262" s="24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5" t="str">
        <f>IF(J1262&lt;&gt;1,"",IF(I1262="SBJ","CB","?"))</f>
        <v> </v>
      </c>
      <c r="I1262" s="26" t="str">
        <f>IF(OR(E1262="",E1262="!!!",F1262="NEW"),"",INDEX(B1261:B$2,-1+SUMPRODUCT(MAX(ROW(E1261:E$2)*(E1262=E1261:E$2)))))</f>
        <v> </v>
      </c>
      <c r="J1262" s="26" t="str">
        <f>IF(OR(E1262="",E1262="!!!",F1262="NEW"),"",COUNTBLANK(OFFSET(A$1,,,SUMPRODUCT(MAX(ROW(E$2:E1262)*(E1262=E$2:E1262)))))-COUNTBLANK(OFFSET(A$1,,,SUMPRODUCT(MAX(ROW(E$1:E1261)*(E2=E$1:E1261))))))</f>
        <v> </v>
      </c>
      <c r="K1262" s="26" t="str">
        <f>IF(OR(E1262="",E1262="!!!",F1262="NEW"),"",INDEX(J$1:J1261,SUMPRODUCT(MAX(ROW(E$1:E1261)*(E1262=E$1:E1261)))))</f>
        <v> </v>
      </c>
      <c r="L1262" s="27"/>
    </row>
    <row r="1263" spans="1:12">
      <c r="A1263" s="20" t="s">
        <v>1243</v>
      </c>
      <c r="B1263" s="21" t="s">
        <v>722</v>
      </c>
      <c r="C1263" s="21" t="s">
        <v>787</v>
      </c>
      <c r="D1263" s="21" t="s">
        <v>587</v>
      </c>
      <c r="E1263" s="22">
        <f>IF(D1263="?OLD","!!!","")</f>
        <v/>
      </c>
      <c r="F1263" s="23" t="str">
        <f>IF(OR(E1263="",E1263="!!!"),"",IF(NOT(ISNA(VLOOKUP(E1263,E$1:E1262,1,FALSE()))),"OLD",IF(AND(E1263&lt;&gt;"",E1263&lt;&gt;"!!!"),"NEW","")))</f>
        <v> </v>
      </c>
      <c r="G1263" s="24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5" t="str">
        <f>IF(J1263&lt;&gt;1,"",IF(I1263="SBJ","CB","?"))</f>
        <v> </v>
      </c>
      <c r="I1263" s="26" t="str">
        <f>IF(OR(E1263="",E1263="!!!",F1263="NEW"),"",INDEX(B1262:B$2,-1+SUMPRODUCT(MAX(ROW(E1262:E$2)*(E1263=E1262:E$2)))))</f>
        <v> </v>
      </c>
      <c r="J1263" s="26" t="str">
        <f>IF(OR(E1263="",E1263="!!!",F1263="NEW"),"",COUNTBLANK(OFFSET(A$1,,,SUMPRODUCT(MAX(ROW(E$2:E1263)*(E1263=E$2:E1263)))))-COUNTBLANK(OFFSET(A$1,,,SUMPRODUCT(MAX(ROW(E$1:E1262)*(E2=E$1:E1262))))))</f>
        <v> </v>
      </c>
      <c r="K1263" s="26" t="str">
        <f>IF(OR(E1263="",E1263="!!!",F1263="NEW"),"",INDEX(J$1:J1262,SUMPRODUCT(MAX(ROW(E$1:E1262)*(E1263=E$1:E1262)))))</f>
        <v> </v>
      </c>
      <c r="L1263" s="27"/>
    </row>
    <row r="1264" spans="1:12">
      <c r="A1264" s="20" t="s">
        <v>1244</v>
      </c>
      <c r="E1264" s="22">
        <f>IF(D1264="?OLD","!!!","")</f>
        <v/>
      </c>
      <c r="F1264" s="23" t="str">
        <f>IF(OR(E1264="",E1264="!!!"),"",IF(NOT(ISNA(VLOOKUP(E1264,E$1:E1263,1,FALSE()))),"OLD",IF(AND(E1264&lt;&gt;"",E1264&lt;&gt;"!!!"),"NEW","")))</f>
        <v> </v>
      </c>
      <c r="G1264" s="24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5" t="str">
        <f>IF(J1264&lt;&gt;1,"",IF(I1264="SBJ","CB","?"))</f>
        <v> </v>
      </c>
      <c r="I1264" s="26" t="str">
        <f>IF(OR(E1264="",E1264="!!!",F1264="NEW"),"",INDEX(B1263:B$2,-1+SUMPRODUCT(MAX(ROW(E1263:E$2)*(E1264=E1263:E$2)))))</f>
        <v> </v>
      </c>
      <c r="J1264" s="26" t="str">
        <f>IF(OR(E1264="",E1264="!!!",F1264="NEW"),"",COUNTBLANK(OFFSET(A$1,,,SUMPRODUCT(MAX(ROW(E$2:E1264)*(E1264=E$2:E1264)))))-COUNTBLANK(OFFSET(A$1,,,SUMPRODUCT(MAX(ROW(E$1:E1263)*(E2=E$1:E1263))))))</f>
        <v> </v>
      </c>
      <c r="K1264" s="26" t="str">
        <f>IF(OR(E1264="",E1264="!!!",F1264="NEW"),"",INDEX(J$1:J1263,SUMPRODUCT(MAX(ROW(E$1:E1263)*(E1264=E$1:E1263)))))</f>
        <v> </v>
      </c>
      <c r="L1264" s="27"/>
    </row>
    <row r="1265" spans="1:12">
      <c r="A1265" s="20" t="s">
        <v>592</v>
      </c>
      <c r="E1265" s="22">
        <f>IF(D1265="?OLD","!!!","")</f>
        <v/>
      </c>
      <c r="F1265" s="23" t="str">
        <f>IF(OR(E1265="",E1265="!!!"),"",IF(NOT(ISNA(VLOOKUP(E1265,E$1:E1264,1,FALSE()))),"OLD",IF(AND(E1265&lt;&gt;"",E1265&lt;&gt;"!!!"),"NEW","")))</f>
        <v> </v>
      </c>
      <c r="G1265" s="24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5" t="str">
        <f>IF(J1265&lt;&gt;1,"",IF(I1265="SBJ","CB","?"))</f>
        <v> </v>
      </c>
      <c r="I1265" s="26" t="str">
        <f>IF(OR(E1265="",E1265="!!!",F1265="NEW"),"",INDEX(B1264:B$2,-1+SUMPRODUCT(MAX(ROW(E1264:E$2)*(E1265=E1264:E$2)))))</f>
        <v> </v>
      </c>
      <c r="J1265" s="26" t="str">
        <f>IF(OR(E1265="",E1265="!!!",F1265="NEW"),"",COUNTBLANK(OFFSET(A$1,,,SUMPRODUCT(MAX(ROW(E$2:E1265)*(E1265=E$2:E1265)))))-COUNTBLANK(OFFSET(A$1,,,SUMPRODUCT(MAX(ROW(E$1:E1264)*(E2=E$1:E1264))))))</f>
        <v> </v>
      </c>
      <c r="K1265" s="26" t="str">
        <f>IF(OR(E1265="",E1265="!!!",F1265="NEW"),"",INDEX(J$1:J1264,SUMPRODUCT(MAX(ROW(E$1:E1264)*(E1265=E$1:E1264)))))</f>
        <v> </v>
      </c>
      <c r="L1265" s="27"/>
    </row>
    <row r="1266" spans="1:12">
      <c r="A1266" s="20"/>
    </row>
    <row r="1267" spans="1:12">
      <c r="A1267" s="20" t="s">
        <v>1245</v>
      </c>
    </row>
    <row r="1268" spans="1:12">
      <c r="A1268" s="20" t="s">
        <v>815</v>
      </c>
      <c r="E1268" s="22">
        <f>IF(D1268="?OLD","!!!","")</f>
        <v/>
      </c>
      <c r="F1268" s="23" t="str">
        <f>IF(OR(E1268="",E1268="!!!"),"",IF(NOT(ISNA(VLOOKUP(E1268,E$1:E1267,1,FALSE()))),"OLD",IF(AND(E1268&lt;&gt;"",E1268&lt;&gt;"!!!"),"NEW","")))</f>
        <v> </v>
      </c>
      <c r="G1268" s="24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5" t="str">
        <f>IF(J1268&lt;&gt;1,"",IF(I1268="SBJ","CB","?"))</f>
        <v> </v>
      </c>
      <c r="I1268" s="26" t="str">
        <f>IF(OR(E1268="",E1268="!!!",F1268="NEW"),"",INDEX(B1267:B$2,-1+SUMPRODUCT(MAX(ROW(E1267:E$2)*(E1268=E1267:E$2)))))</f>
        <v> </v>
      </c>
      <c r="J1268" s="26" t="str">
        <f>IF(OR(E1268="",E1268="!!!",F1268="NEW"),"",COUNTBLANK(OFFSET(A$1,,,SUMPRODUCT(MAX(ROW(E$2:E1268)*(E1268=E$2:E1268)))))-COUNTBLANK(OFFSET(A$1,,,SUMPRODUCT(MAX(ROW(E$1:E1267)*(E2=E$1:E1267))))))</f>
        <v> </v>
      </c>
      <c r="K1268" s="26" t="str">
        <f>IF(OR(E1268="",E1268="!!!",F1268="NEW"),"",INDEX(J$1:J1267,SUMPRODUCT(MAX(ROW(E$1:E1267)*(E1268=E$1:E1267)))))</f>
        <v> </v>
      </c>
      <c r="L1268" s="27"/>
    </row>
    <row r="1269" spans="1:12">
      <c r="A1269" s="20" t="s">
        <v>1246</v>
      </c>
      <c r="E1269" s="22">
        <f>IF(D1269="?OLD","!!!","")</f>
        <v/>
      </c>
      <c r="F1269" s="23" t="str">
        <f>IF(OR(E1269="",E1269="!!!"),"",IF(NOT(ISNA(VLOOKUP(E1269,E$1:E1268,1,FALSE()))),"OLD",IF(AND(E1269&lt;&gt;"",E1269&lt;&gt;"!!!"),"NEW","")))</f>
        <v> </v>
      </c>
      <c r="G1269" s="24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5" t="str">
        <f>IF(J1269&lt;&gt;1,"",IF(I1269="SBJ","CB","?"))</f>
        <v> </v>
      </c>
      <c r="I1269" s="26" t="str">
        <f>IF(OR(E1269="",E1269="!!!",F1269="NEW"),"",INDEX(B1268:B$2,-1+SUMPRODUCT(MAX(ROW(E1268:E$2)*(E1269=E1268:E$2)))))</f>
        <v> </v>
      </c>
      <c r="J1269" s="26" t="str">
        <f>IF(OR(E1269="",E1269="!!!",F1269="NEW"),"",COUNTBLANK(OFFSET(A$1,,,SUMPRODUCT(MAX(ROW(E$2:E1269)*(E1269=E$2:E1269)))))-COUNTBLANK(OFFSET(A$1,,,SUMPRODUCT(MAX(ROW(E$1:E1268)*(E2=E$1:E1268))))))</f>
        <v> </v>
      </c>
      <c r="K1269" s="26" t="str">
        <f>IF(OR(E1269="",E1269="!!!",F1269="NEW"),"",INDEX(J$1:J1268,SUMPRODUCT(MAX(ROW(E$1:E1268)*(E1269=E$1:E1268)))))</f>
        <v> </v>
      </c>
      <c r="L1269" s="27"/>
    </row>
    <row r="1270" spans="1:12">
      <c r="A1270" s="20" t="s">
        <v>817</v>
      </c>
      <c r="E1270" s="22">
        <f>IF(D1270="?OLD","!!!","")</f>
        <v/>
      </c>
      <c r="F1270" s="23" t="str">
        <f>IF(OR(E1270="",E1270="!!!"),"",IF(NOT(ISNA(VLOOKUP(E1270,E$1:E1269,1,FALSE()))),"OLD",IF(AND(E1270&lt;&gt;"",E1270&lt;&gt;"!!!"),"NEW","")))</f>
        <v> </v>
      </c>
      <c r="G1270" s="24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5" t="str">
        <f>IF(J1270&lt;&gt;1,"",IF(I1270="SBJ","CB","?"))</f>
        <v> </v>
      </c>
      <c r="I1270" s="26" t="str">
        <f>IF(OR(E1270="",E1270="!!!",F1270="NEW"),"",INDEX(B1269:B$2,-1+SUMPRODUCT(MAX(ROW(E1269:E$2)*(E1270=E1269:E$2)))))</f>
        <v> </v>
      </c>
      <c r="J1270" s="26" t="str">
        <f>IF(OR(E1270="",E1270="!!!",F1270="NEW"),"",COUNTBLANK(OFFSET(A$1,,,SUMPRODUCT(MAX(ROW(E$2:E1270)*(E1270=E$2:E1270)))))-COUNTBLANK(OFFSET(A$1,,,SUMPRODUCT(MAX(ROW(E$1:E1269)*(E2=E$1:E1269))))))</f>
        <v> </v>
      </c>
      <c r="K1270" s="26" t="str">
        <f>IF(OR(E1270="",E1270="!!!",F1270="NEW"),"",INDEX(J$1:J1269,SUMPRODUCT(MAX(ROW(E$1:E1269)*(E1270=E$1:E1269)))))</f>
        <v> </v>
      </c>
      <c r="L1270" s="27"/>
    </row>
    <row r="1271" spans="1:12">
      <c r="A1271" s="20" t="s">
        <v>1247</v>
      </c>
      <c r="E1271" s="22">
        <f>IF(D1271="?OLD","!!!","")</f>
        <v/>
      </c>
      <c r="F1271" s="23" t="str">
        <f>IF(OR(E1271="",E1271="!!!"),"",IF(NOT(ISNA(VLOOKUP(E1271,E$1:E1270,1,FALSE()))),"OLD",IF(AND(E1271&lt;&gt;"",E1271&lt;&gt;"!!!"),"NEW","")))</f>
        <v> </v>
      </c>
      <c r="G1271" s="24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5" t="str">
        <f>IF(J1271&lt;&gt;1,"",IF(I1271="SBJ","CB","?"))</f>
        <v> </v>
      </c>
      <c r="I1271" s="26" t="str">
        <f>IF(OR(E1271="",E1271="!!!",F1271="NEW"),"",INDEX(B1270:B$2,-1+SUMPRODUCT(MAX(ROW(E1270:E$2)*(E1271=E1270:E$2)))))</f>
        <v> </v>
      </c>
      <c r="J1271" s="26" t="str">
        <f>IF(OR(E1271="",E1271="!!!",F1271="NEW"),"",COUNTBLANK(OFFSET(A$1,,,SUMPRODUCT(MAX(ROW(E$2:E1271)*(E1271=E$2:E1271)))))-COUNTBLANK(OFFSET(A$1,,,SUMPRODUCT(MAX(ROW(E$1:E1270)*(E2=E$1:E1270))))))</f>
        <v> </v>
      </c>
      <c r="K1271" s="26" t="str">
        <f>IF(OR(E1271="",E1271="!!!",F1271="NEW"),"",INDEX(J$1:J1270,SUMPRODUCT(MAX(ROW(E$1:E1270)*(E1271=E$1:E1270)))))</f>
        <v> </v>
      </c>
      <c r="L1271" s="27"/>
    </row>
    <row r="1272" spans="1:12">
      <c r="A1272" s="20" t="s">
        <v>733</v>
      </c>
      <c r="E1272" s="22">
        <f>IF(D1272="?OLD","!!!","")</f>
        <v/>
      </c>
      <c r="F1272" s="23" t="str">
        <f>IF(OR(E1272="",E1272="!!!"),"",IF(NOT(ISNA(VLOOKUP(E1272,E$1:E1271,1,FALSE()))),"OLD",IF(AND(E1272&lt;&gt;"",E1272&lt;&gt;"!!!"),"NEW","")))</f>
        <v> </v>
      </c>
      <c r="G1272" s="24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5" t="str">
        <f>IF(J1272&lt;&gt;1,"",IF(I1272="SBJ","CB","?"))</f>
        <v> </v>
      </c>
      <c r="I1272" s="26" t="str">
        <f>IF(OR(E1272="",E1272="!!!",F1272="NEW"),"",INDEX(B1271:B$2,-1+SUMPRODUCT(MAX(ROW(E1271:E$2)*(E1272=E1271:E$2)))))</f>
        <v> </v>
      </c>
      <c r="J1272" s="26" t="str">
        <f>IF(OR(E1272="",E1272="!!!",F1272="NEW"),"",COUNTBLANK(OFFSET(A$1,,,SUMPRODUCT(MAX(ROW(E$2:E1272)*(E1272=E$2:E1272)))))-COUNTBLANK(OFFSET(A$1,,,SUMPRODUCT(MAX(ROW(E$1:E1271)*(E2=E$1:E1271))))))</f>
        <v> </v>
      </c>
      <c r="K1272" s="26" t="str">
        <f>IF(OR(E1272="",E1272="!!!",F1272="NEW"),"",INDEX(J$1:J1271,SUMPRODUCT(MAX(ROW(E$1:E1271)*(E1272=E$1:E1271)))))</f>
        <v> </v>
      </c>
      <c r="L1272" s="27"/>
    </row>
    <row r="1273" spans="1:12">
      <c r="A1273" s="20" t="s">
        <v>1248</v>
      </c>
      <c r="E1273" s="22">
        <f>IF(D1273="?OLD","!!!","")</f>
        <v/>
      </c>
      <c r="F1273" s="23" t="str">
        <f>IF(OR(E1273="",E1273="!!!"),"",IF(NOT(ISNA(VLOOKUP(E1273,E$1:E1272,1,FALSE()))),"OLD",IF(AND(E1273&lt;&gt;"",E1273&lt;&gt;"!!!"),"NEW","")))</f>
        <v> </v>
      </c>
      <c r="G1273" s="24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5" t="str">
        <f>IF(J1273&lt;&gt;1,"",IF(I1273="SBJ","CB","?"))</f>
        <v> </v>
      </c>
      <c r="I1273" s="26" t="str">
        <f>IF(OR(E1273="",E1273="!!!",F1273="NEW"),"",INDEX(B1272:B$2,-1+SUMPRODUCT(MAX(ROW(E1272:E$2)*(E1273=E1272:E$2)))))</f>
        <v> </v>
      </c>
      <c r="J1273" s="26" t="str">
        <f>IF(OR(E1273="",E1273="!!!",F1273="NEW"),"",COUNTBLANK(OFFSET(A$1,,,SUMPRODUCT(MAX(ROW(E$2:E1273)*(E1273=E$2:E1273)))))-COUNTBLANK(OFFSET(A$1,,,SUMPRODUCT(MAX(ROW(E$1:E1272)*(E2=E$1:E1272))))))</f>
        <v> </v>
      </c>
      <c r="K1273" s="26" t="str">
        <f>IF(OR(E1273="",E1273="!!!",F1273="NEW"),"",INDEX(J$1:J1272,SUMPRODUCT(MAX(ROW(E$1:E1272)*(E1273=E$1:E1272)))))</f>
        <v> </v>
      </c>
      <c r="L1273" s="27"/>
    </row>
    <row r="1274" spans="1:12">
      <c r="A1274" s="20" t="s">
        <v>963</v>
      </c>
      <c r="B1274" s="21" t="s">
        <v>578</v>
      </c>
      <c r="E1274" s="22">
        <f>IF(D1274="?OLD","!!!","")</f>
        <v/>
      </c>
      <c r="F1274" s="23" t="str">
        <f>IF(OR(E1274="",E1274="!!!"),"",IF(NOT(ISNA(VLOOKUP(E1274,E$1:E1273,1,FALSE()))),"OLD",IF(AND(E1274&lt;&gt;"",E1274&lt;&gt;"!!!"),"NEW","")))</f>
        <v> </v>
      </c>
      <c r="G1274" s="24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5" t="str">
        <f>IF(J1274&lt;&gt;1,"",IF(I1274="SBJ","CB","?"))</f>
        <v> </v>
      </c>
      <c r="I1274" s="26" t="str">
        <f>IF(OR(E1274="",E1274="!!!",F1274="NEW"),"",INDEX(B1273:B$2,-1+SUMPRODUCT(MAX(ROW(E1273:E$2)*(E1274=E1273:E$2)))))</f>
        <v> </v>
      </c>
      <c r="J1274" s="26" t="str">
        <f>IF(OR(E1274="",E1274="!!!",F1274="NEW"),"",COUNTBLANK(OFFSET(A$1,,,SUMPRODUCT(MAX(ROW(E$2:E1274)*(E1274=E$2:E1274)))))-COUNTBLANK(OFFSET(A$1,,,SUMPRODUCT(MAX(ROW(E$1:E1273)*(E2=E$1:E1273))))))</f>
        <v> </v>
      </c>
      <c r="K1274" s="26" t="str">
        <f>IF(OR(E1274="",E1274="!!!",F1274="NEW"),"",INDEX(J$1:J1273,SUMPRODUCT(MAX(ROW(E$1:E1273)*(E1274=E$1:E1273)))))</f>
        <v> </v>
      </c>
      <c r="L1274" s="27"/>
    </row>
    <row r="1275" spans="1:12">
      <c r="A1275" s="20" t="s">
        <v>592</v>
      </c>
      <c r="E1275" s="22">
        <f>IF(D1275="?OLD","!!!","")</f>
        <v/>
      </c>
      <c r="F1275" s="23" t="str">
        <f>IF(OR(E1275="",E1275="!!!"),"",IF(NOT(ISNA(VLOOKUP(E1275,E$1:E1274,1,FALSE()))),"OLD",IF(AND(E1275&lt;&gt;"",E1275&lt;&gt;"!!!"),"NEW","")))</f>
        <v> </v>
      </c>
      <c r="G1275" s="24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5" t="str">
        <f>IF(J1275&lt;&gt;1,"",IF(I1275="SBJ","CB","?"))</f>
        <v> </v>
      </c>
      <c r="I1275" s="26" t="str">
        <f>IF(OR(E1275="",E1275="!!!",F1275="NEW"),"",INDEX(B1274:B$2,-1+SUMPRODUCT(MAX(ROW(E1274:E$2)*(E1275=E1274:E$2)))))</f>
        <v> </v>
      </c>
      <c r="J1275" s="26" t="str">
        <f>IF(OR(E1275="",E1275="!!!",F1275="NEW"),"",COUNTBLANK(OFFSET(A$1,,,SUMPRODUCT(MAX(ROW(E$2:E1275)*(E1275=E$2:E1275)))))-COUNTBLANK(OFFSET(A$1,,,SUMPRODUCT(MAX(ROW(E$1:E1274)*(E2=E$1:E1274))))))</f>
        <v> </v>
      </c>
      <c r="K1275" s="26" t="str">
        <f>IF(OR(E1275="",E1275="!!!",F1275="NEW"),"",INDEX(J$1:J1274,SUMPRODUCT(MAX(ROW(E$1:E1274)*(E1275=E$1:E1274)))))</f>
        <v> </v>
      </c>
      <c r="L1275" s="27"/>
    </row>
    <row r="1276" spans="1:12">
      <c r="A1276" s="20"/>
    </row>
    <row r="1277" spans="1:12">
      <c r="A1277" s="20" t="s">
        <v>1249</v>
      </c>
    </row>
    <row r="1278" spans="1:12">
      <c r="A1278" s="20" t="s">
        <v>676</v>
      </c>
      <c r="B1278" s="21" t="s">
        <v>578</v>
      </c>
      <c r="C1278" s="21" t="s">
        <v>613</v>
      </c>
      <c r="D1278" s="21" t="s">
        <v>587</v>
      </c>
      <c r="E1278" s="22">
        <f>IF(D1278="?OLD","!!!","")</f>
        <v/>
      </c>
      <c r="F1278" s="23" t="str">
        <f>IF(OR(E1278="",E1278="!!!"),"",IF(NOT(ISNA(VLOOKUP(E1278,E$1:E1277,1,FALSE()))),"OLD",IF(AND(E1278&lt;&gt;"",E1278&lt;&gt;"!!!"),"NEW","")))</f>
        <v> </v>
      </c>
      <c r="G1278" s="24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5" t="str">
        <f>IF(J1278&lt;&gt;1,"",IF(I1278="SBJ","CB","?"))</f>
        <v> </v>
      </c>
      <c r="I1278" s="26" t="str">
        <f>IF(OR(E1278="",E1278="!!!",F1278="NEW"),"",INDEX(B1277:B$2,-1+SUMPRODUCT(MAX(ROW(E1277:E$2)*(E1278=E1277:E$2)))))</f>
        <v> </v>
      </c>
      <c r="J1278" s="26" t="str">
        <f>IF(OR(E1278="",E1278="!!!",F1278="NEW"),"",COUNTBLANK(OFFSET(A$1,,,SUMPRODUCT(MAX(ROW(E$2:E1278)*(E1278=E$2:E1278)))))-COUNTBLANK(OFFSET(A$1,,,SUMPRODUCT(MAX(ROW(E$1:E1277)*(E2=E$1:E1277))))))</f>
        <v> </v>
      </c>
      <c r="K1278" s="26" t="str">
        <f>IF(OR(E1278="",E1278="!!!",F1278="NEW"),"",INDEX(J$1:J1277,SUMPRODUCT(MAX(ROW(E$1:E1277)*(E1278=E$1:E1277)))))</f>
        <v> </v>
      </c>
      <c r="L1278" s="27"/>
    </row>
    <row r="1279" spans="1:12">
      <c r="A1279" s="20" t="s">
        <v>1250</v>
      </c>
      <c r="E1279" s="22">
        <f>IF(D1279="?OLD","!!!","")</f>
        <v/>
      </c>
      <c r="F1279" s="23" t="str">
        <f>IF(OR(E1279="",E1279="!!!"),"",IF(NOT(ISNA(VLOOKUP(E1279,E$1:E1278,1,FALSE()))),"OLD",IF(AND(E1279&lt;&gt;"",E1279&lt;&gt;"!!!"),"NEW","")))</f>
        <v> </v>
      </c>
      <c r="G1279" s="24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5" t="str">
        <f>IF(J1279&lt;&gt;1,"",IF(I1279="SBJ","CB","?"))</f>
        <v> </v>
      </c>
      <c r="I1279" s="26" t="str">
        <f>IF(OR(E1279="",E1279="!!!",F1279="NEW"),"",INDEX(B1278:B$2,-1+SUMPRODUCT(MAX(ROW(E1278:E$2)*(E1279=E1278:E$2)))))</f>
        <v> </v>
      </c>
      <c r="J1279" s="26" t="str">
        <f>IF(OR(E1279="",E1279="!!!",F1279="NEW"),"",COUNTBLANK(OFFSET(A$1,,,SUMPRODUCT(MAX(ROW(E$2:E1279)*(E1279=E$2:E1279)))))-COUNTBLANK(OFFSET(A$1,,,SUMPRODUCT(MAX(ROW(E$1:E1278)*(E2=E$1:E1278))))))</f>
        <v> </v>
      </c>
      <c r="K1279" s="26" t="str">
        <f>IF(OR(E1279="",E1279="!!!",F1279="NEW"),"",INDEX(J$1:J1278,SUMPRODUCT(MAX(ROW(E$1:E1278)*(E1279=E$1:E1278)))))</f>
        <v> </v>
      </c>
      <c r="L1279" s="27"/>
    </row>
    <row r="1280" spans="1:12">
      <c r="A1280" s="20" t="s">
        <v>1251</v>
      </c>
      <c r="B1280" s="21" t="s">
        <v>615</v>
      </c>
      <c r="E1280" s="22">
        <f>IF(D1280="?OLD","!!!","")</f>
        <v/>
      </c>
      <c r="F1280" s="23" t="str">
        <f>IF(OR(E1280="",E1280="!!!"),"",IF(NOT(ISNA(VLOOKUP(E1280,E$1:E1279,1,FALSE()))),"OLD",IF(AND(E1280&lt;&gt;"",E1280&lt;&gt;"!!!"),"NEW","")))</f>
        <v> </v>
      </c>
      <c r="G1280" s="24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5" t="str">
        <f>IF(J1280&lt;&gt;1,"",IF(I1280="SBJ","CB","?"))</f>
        <v> </v>
      </c>
      <c r="I1280" s="26" t="str">
        <f>IF(OR(E1280="",E1280="!!!",F1280="NEW"),"",INDEX(B1279:B$2,-1+SUMPRODUCT(MAX(ROW(E1279:E$2)*(E1280=E1279:E$2)))))</f>
        <v> </v>
      </c>
      <c r="J1280" s="26" t="str">
        <f>IF(OR(E1280="",E1280="!!!",F1280="NEW"),"",COUNTBLANK(OFFSET(A$1,,,SUMPRODUCT(MAX(ROW(E$2:E1280)*(E1280=E$2:E1280)))))-COUNTBLANK(OFFSET(A$1,,,SUMPRODUCT(MAX(ROW(E$1:E1279)*(E2=E$1:E1279))))))</f>
        <v> </v>
      </c>
      <c r="K1280" s="26" t="str">
        <f>IF(OR(E1280="",E1280="!!!",F1280="NEW"),"",INDEX(J$1:J1279,SUMPRODUCT(MAX(ROW(E$1:E1279)*(E1280=E$1:E1279)))))</f>
        <v> </v>
      </c>
      <c r="L1280" s="27"/>
    </row>
    <row r="1281" spans="1:12">
      <c r="A1281" s="20" t="s">
        <v>583</v>
      </c>
      <c r="E1281" s="22">
        <f>IF(D1281="?OLD","!!!","")</f>
        <v/>
      </c>
      <c r="F1281" s="23" t="str">
        <f>IF(OR(E1281="",E1281="!!!"),"",IF(NOT(ISNA(VLOOKUP(E1281,E$1:E1280,1,FALSE()))),"OLD",IF(AND(E1281&lt;&gt;"",E1281&lt;&gt;"!!!"),"NEW","")))</f>
        <v> </v>
      </c>
      <c r="G1281" s="24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5" t="str">
        <f>IF(J1281&lt;&gt;1,"",IF(I1281="SBJ","CB","?"))</f>
        <v> </v>
      </c>
      <c r="I1281" s="26" t="str">
        <f>IF(OR(E1281="",E1281="!!!",F1281="NEW"),"",INDEX(B1280:B$2,-1+SUMPRODUCT(MAX(ROW(E1280:E$2)*(E1281=E1280:E$2)))))</f>
        <v> </v>
      </c>
      <c r="J1281" s="26" t="str">
        <f>IF(OR(E1281="",E1281="!!!",F1281="NEW"),"",COUNTBLANK(OFFSET(A$1,,,SUMPRODUCT(MAX(ROW(E$2:E1281)*(E1281=E$2:E1281)))))-COUNTBLANK(OFFSET(A$1,,,SUMPRODUCT(MAX(ROW(E$1:E1280)*(E2=E$1:E1280))))))</f>
        <v> </v>
      </c>
      <c r="K1281" s="26" t="str">
        <f>IF(OR(E1281="",E1281="!!!",F1281="NEW"),"",INDEX(J$1:J1280,SUMPRODUCT(MAX(ROW(E$1:E1280)*(E1281=E$1:E1280)))))</f>
        <v> </v>
      </c>
      <c r="L1281" s="27"/>
    </row>
    <row r="1282" spans="1:12">
      <c r="A1282" s="20" t="s">
        <v>685</v>
      </c>
      <c r="B1282" s="21" t="s">
        <v>590</v>
      </c>
      <c r="C1282" s="21" t="s">
        <v>613</v>
      </c>
      <c r="D1282" s="21" t="s">
        <v>587</v>
      </c>
      <c r="E1282" s="22">
        <f>IF(D1282="?OLD","!!!","")</f>
        <v/>
      </c>
      <c r="F1282" s="23" t="str">
        <f>IF(OR(E1282="",E1282="!!!"),"",IF(NOT(ISNA(VLOOKUP(E1282,E$1:E1281,1,FALSE()))),"OLD",IF(AND(E1282&lt;&gt;"",E1282&lt;&gt;"!!!"),"NEW","")))</f>
        <v> </v>
      </c>
      <c r="G1282" s="24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5" t="str">
        <f>IF(J1282&lt;&gt;1,"",IF(I1282="SBJ","CB","?"))</f>
        <v> </v>
      </c>
      <c r="I1282" s="26" t="str">
        <f>IF(OR(E1282="",E1282="!!!",F1282="NEW"),"",INDEX(B1281:B$2,-1+SUMPRODUCT(MAX(ROW(E1281:E$2)*(E1282=E1281:E$2)))))</f>
        <v> </v>
      </c>
      <c r="J1282" s="26" t="str">
        <f>IF(OR(E1282="",E1282="!!!",F1282="NEW"),"",COUNTBLANK(OFFSET(A$1,,,SUMPRODUCT(MAX(ROW(E$2:E1282)*(E1282=E$2:E1282)))))-COUNTBLANK(OFFSET(A$1,,,SUMPRODUCT(MAX(ROW(E$1:E1281)*(E2=E$1:E1281))))))</f>
        <v> </v>
      </c>
      <c r="K1282" s="26" t="str">
        <f>IF(OR(E1282="",E1282="!!!",F1282="NEW"),"",INDEX(J$1:J1281,SUMPRODUCT(MAX(ROW(E$1:E1281)*(E1282=E$1:E1281)))))</f>
        <v> </v>
      </c>
      <c r="L1282" s="27"/>
    </row>
    <row r="1283" spans="1:12">
      <c r="A1283" s="20" t="s">
        <v>1252</v>
      </c>
      <c r="E1283" s="22">
        <f>IF(D1283="?OLD","!!!","")</f>
        <v/>
      </c>
      <c r="F1283" s="23" t="str">
        <f>IF(OR(E1283="",E1283="!!!"),"",IF(NOT(ISNA(VLOOKUP(E1283,E$1:E1282,1,FALSE()))),"OLD",IF(AND(E1283&lt;&gt;"",E1283&lt;&gt;"!!!"),"NEW","")))</f>
        <v> </v>
      </c>
      <c r="G1283" s="24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5" t="str">
        <f>IF(J1283&lt;&gt;1,"",IF(I1283="SBJ","CB","?"))</f>
        <v> </v>
      </c>
      <c r="I1283" s="26" t="str">
        <f>IF(OR(E1283="",E1283="!!!",F1283="NEW"),"",INDEX(B1282:B$2,-1+SUMPRODUCT(MAX(ROW(E1282:E$2)*(E1283=E1282:E$2)))))</f>
        <v> </v>
      </c>
      <c r="J1283" s="26" t="str">
        <f>IF(OR(E1283="",E1283="!!!",F1283="NEW"),"",COUNTBLANK(OFFSET(A$1,,,SUMPRODUCT(MAX(ROW(E$2:E1283)*(E1283=E$2:E1283)))))-COUNTBLANK(OFFSET(A$1,,,SUMPRODUCT(MAX(ROW(E$1:E1282)*(E2=E$1:E1282))))))</f>
        <v> </v>
      </c>
      <c r="K1283" s="26" t="str">
        <f>IF(OR(E1283="",E1283="!!!",F1283="NEW"),"",INDEX(J$1:J1282,SUMPRODUCT(MAX(ROW(E$1:E1282)*(E1283=E$1:E1282)))))</f>
        <v> </v>
      </c>
      <c r="L1283" s="27"/>
    </row>
    <row r="1284" spans="1:12">
      <c r="A1284" s="20" t="s">
        <v>315</v>
      </c>
      <c r="E1284" s="22">
        <f>IF(D1284="?OLD","!!!","")</f>
        <v/>
      </c>
      <c r="F1284" s="23" t="str">
        <f>IF(OR(E1284="",E1284="!!!"),"",IF(NOT(ISNA(VLOOKUP(E1284,E$1:E1283,1,FALSE()))),"OLD",IF(AND(E1284&lt;&gt;"",E1284&lt;&gt;"!!!"),"NEW","")))</f>
        <v> </v>
      </c>
      <c r="G1284" s="24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5" t="str">
        <f>IF(J1284&lt;&gt;1,"",IF(I1284="SBJ","CB","?"))</f>
        <v> </v>
      </c>
      <c r="I1284" s="26" t="str">
        <f>IF(OR(E1284="",E1284="!!!",F1284="NEW"),"",INDEX(B1283:B$2,-1+SUMPRODUCT(MAX(ROW(E1283:E$2)*(E1284=E1283:E$2)))))</f>
        <v> </v>
      </c>
      <c r="J1284" s="26" t="str">
        <f>IF(OR(E1284="",E1284="!!!",F1284="NEW"),"",COUNTBLANK(OFFSET(A$1,,,SUMPRODUCT(MAX(ROW(E$2:E1284)*(E1284=E$2:E1284)))))-COUNTBLANK(OFFSET(A$1,,,SUMPRODUCT(MAX(ROW(E$1:E1283)*(E2=E$1:E1283))))))</f>
        <v> </v>
      </c>
      <c r="K1284" s="26" t="str">
        <f>IF(OR(E1284="",E1284="!!!",F1284="NEW"),"",INDEX(J$1:J1283,SUMPRODUCT(MAX(ROW(E$1:E1283)*(E1284=E$1:E1283)))))</f>
        <v> </v>
      </c>
      <c r="L1284" s="27"/>
    </row>
    <row r="1285" spans="1:12">
      <c r="A1285" s="20" t="s">
        <v>1159</v>
      </c>
      <c r="B1285" s="21" t="s">
        <v>892</v>
      </c>
      <c r="E1285" s="22">
        <f>IF(D1285="?OLD","!!!","")</f>
        <v/>
      </c>
      <c r="F1285" s="23" t="str">
        <f>IF(OR(E1285="",E1285="!!!"),"",IF(NOT(ISNA(VLOOKUP(E1285,E$1:E1284,1,FALSE()))),"OLD",IF(AND(E1285&lt;&gt;"",E1285&lt;&gt;"!!!"),"NEW","")))</f>
        <v> </v>
      </c>
      <c r="G1285" s="24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5" t="str">
        <f>IF(J1285&lt;&gt;1,"",IF(I1285="SBJ","CB","?"))</f>
        <v> </v>
      </c>
      <c r="I1285" s="26" t="str">
        <f>IF(OR(E1285="",E1285="!!!",F1285="NEW"),"",INDEX(B1284:B$2,-1+SUMPRODUCT(MAX(ROW(E1284:E$2)*(E1285=E1284:E$2)))))</f>
        <v> </v>
      </c>
      <c r="J1285" s="26" t="str">
        <f>IF(OR(E1285="",E1285="!!!",F1285="NEW"),"",COUNTBLANK(OFFSET(A$1,,,SUMPRODUCT(MAX(ROW(E$2:E1285)*(E1285=E$2:E1285)))))-COUNTBLANK(OFFSET(A$1,,,SUMPRODUCT(MAX(ROW(E$1:E1284)*(E2=E$1:E1284))))))</f>
        <v> </v>
      </c>
      <c r="K1285" s="26" t="str">
        <f>IF(OR(E1285="",E1285="!!!",F1285="NEW"),"",INDEX(J$1:J1284,SUMPRODUCT(MAX(ROW(E$1:E1284)*(E1285=E$1:E1284)))))</f>
        <v> </v>
      </c>
      <c r="L1285" s="27"/>
    </row>
    <row r="1286" spans="1:12">
      <c r="A1286" s="20" t="s">
        <v>592</v>
      </c>
      <c r="E1286" s="22">
        <f>IF(D1286="?OLD","!!!","")</f>
        <v/>
      </c>
      <c r="F1286" s="23" t="str">
        <f>IF(OR(E1286="",E1286="!!!"),"",IF(NOT(ISNA(VLOOKUP(E1286,E$1:E1285,1,FALSE()))),"OLD",IF(AND(E1286&lt;&gt;"",E1286&lt;&gt;"!!!"),"NEW","")))</f>
        <v> </v>
      </c>
      <c r="G1286" s="24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5" t="str">
        <f>IF(J1286&lt;&gt;1,"",IF(I1286="SBJ","CB","?"))</f>
        <v> </v>
      </c>
      <c r="I1286" s="26" t="str">
        <f>IF(OR(E1286="",E1286="!!!",F1286="NEW"),"",INDEX(B1285:B$2,-1+SUMPRODUCT(MAX(ROW(E1285:E$2)*(E1286=E1285:E$2)))))</f>
        <v> </v>
      </c>
      <c r="J1286" s="26" t="str">
        <f>IF(OR(E1286="",E1286="!!!",F1286="NEW"),"",COUNTBLANK(OFFSET(A$1,,,SUMPRODUCT(MAX(ROW(E$2:E1286)*(E1286=E$2:E1286)))))-COUNTBLANK(OFFSET(A$1,,,SUMPRODUCT(MAX(ROW(E$1:E1285)*(E2=E$1:E1285))))))</f>
        <v> </v>
      </c>
      <c r="K1286" s="26" t="str">
        <f>IF(OR(E1286="",E1286="!!!",F1286="NEW"),"",INDEX(J$1:J1285,SUMPRODUCT(MAX(ROW(E$1:E1285)*(E1286=E$1:E1285)))))</f>
        <v> </v>
      </c>
      <c r="L1286" s="27"/>
    </row>
    <row r="1287" spans="1:12">
      <c r="A1287" s="20"/>
    </row>
    <row r="1288" spans="1:12">
      <c r="A1288" s="20" t="s">
        <v>1253</v>
      </c>
    </row>
    <row r="1289" spans="1:12">
      <c r="A1289" s="20" t="s">
        <v>1254</v>
      </c>
      <c r="E1289" s="22">
        <f>IF(D1289="?OLD","!!!","")</f>
        <v/>
      </c>
      <c r="F1289" s="23" t="str">
        <f>IF(OR(E1289="",E1289="!!!"),"",IF(NOT(ISNA(VLOOKUP(E1289,E$1:E1288,1,FALSE()))),"OLD",IF(AND(E1289&lt;&gt;"",E1289&lt;&gt;"!!!"),"NEW","")))</f>
        <v> </v>
      </c>
      <c r="G1289" s="24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5" t="str">
        <f>IF(J1289&lt;&gt;1,"",IF(I1289="SBJ","CB","?"))</f>
        <v> </v>
      </c>
      <c r="I1289" s="26" t="str">
        <f>IF(OR(E1289="",E1289="!!!",F1289="NEW"),"",INDEX(B1288:B$2,-1+SUMPRODUCT(MAX(ROW(E1288:E$2)*(E1289=E1288:E$2)))))</f>
        <v> </v>
      </c>
      <c r="J1289" s="26" t="str">
        <f>IF(OR(E1289="",E1289="!!!",F1289="NEW"),"",COUNTBLANK(OFFSET(A$1,,,SUMPRODUCT(MAX(ROW(E$2:E1289)*(E1289=E$2:E1289)))))-COUNTBLANK(OFFSET(A$1,,,SUMPRODUCT(MAX(ROW(E$1:E1288)*(E2=E$1:E1288))))))</f>
        <v> </v>
      </c>
      <c r="K1289" s="26" t="str">
        <f>IF(OR(E1289="",E1289="!!!",F1289="NEW"),"",INDEX(J$1:J1288,SUMPRODUCT(MAX(ROW(E$1:E1288)*(E1289=E$1:E1288)))))</f>
        <v> </v>
      </c>
      <c r="L1289" s="27"/>
    </row>
    <row r="1290" spans="1:12">
      <c r="A1290" s="20" t="s">
        <v>588</v>
      </c>
      <c r="E1290" s="22">
        <f>IF(D1290="?OLD","!!!","")</f>
        <v/>
      </c>
      <c r="F1290" s="23" t="str">
        <f>IF(OR(E1290="",E1290="!!!"),"",IF(NOT(ISNA(VLOOKUP(E1290,E$1:E1289,1,FALSE()))),"OLD",IF(AND(E1290&lt;&gt;"",E1290&lt;&gt;"!!!"),"NEW","")))</f>
        <v> </v>
      </c>
      <c r="G1290" s="24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5" t="str">
        <f>IF(J1290&lt;&gt;1,"",IF(I1290="SBJ","CB","?"))</f>
        <v> </v>
      </c>
      <c r="I1290" s="26" t="str">
        <f>IF(OR(E1290="",E1290="!!!",F1290="NEW"),"",INDEX(B1289:B$2,-1+SUMPRODUCT(MAX(ROW(E1289:E$2)*(E1290=E1289:E$2)))))</f>
        <v> </v>
      </c>
      <c r="J1290" s="26" t="str">
        <f>IF(OR(E1290="",E1290="!!!",F1290="NEW"),"",COUNTBLANK(OFFSET(A$1,,,SUMPRODUCT(MAX(ROW(E$2:E1290)*(E1290=E$2:E1290)))))-COUNTBLANK(OFFSET(A$1,,,SUMPRODUCT(MAX(ROW(E$1:E1289)*(E2=E$1:E1289))))))</f>
        <v> </v>
      </c>
      <c r="K1290" s="26" t="str">
        <f>IF(OR(E1290="",E1290="!!!",F1290="NEW"),"",INDEX(J$1:J1289,SUMPRODUCT(MAX(ROW(E$1:E1289)*(E1290=E$1:E1289)))))</f>
        <v> </v>
      </c>
      <c r="L1290" s="27"/>
    </row>
    <row r="1291" spans="1:12">
      <c r="A1291" s="20" t="s">
        <v>1255</v>
      </c>
      <c r="E1291" s="22">
        <f>IF(D1291="?OLD","!!!","")</f>
        <v/>
      </c>
      <c r="F1291" s="23" t="str">
        <f>IF(OR(E1291="",E1291="!!!"),"",IF(NOT(ISNA(VLOOKUP(E1291,E$1:E1290,1,FALSE()))),"OLD",IF(AND(E1291&lt;&gt;"",E1291&lt;&gt;"!!!"),"NEW","")))</f>
        <v> </v>
      </c>
      <c r="G1291" s="24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5" t="str">
        <f>IF(J1291&lt;&gt;1,"",IF(I1291="SBJ","CB","?"))</f>
        <v> </v>
      </c>
      <c r="I1291" s="26" t="str">
        <f>IF(OR(E1291="",E1291="!!!",F1291="NEW"),"",INDEX(B1290:B$2,-1+SUMPRODUCT(MAX(ROW(E1290:E$2)*(E1291=E1290:E$2)))))</f>
        <v> </v>
      </c>
      <c r="J1291" s="26" t="str">
        <f>IF(OR(E1291="",E1291="!!!",F1291="NEW"),"",COUNTBLANK(OFFSET(A$1,,,SUMPRODUCT(MAX(ROW(E$2:E1291)*(E1291=E$2:E1291)))))-COUNTBLANK(OFFSET(A$1,,,SUMPRODUCT(MAX(ROW(E$1:E1290)*(E2=E$1:E1290))))))</f>
        <v> </v>
      </c>
      <c r="K1291" s="26" t="str">
        <f>IF(OR(E1291="",E1291="!!!",F1291="NEW"),"",INDEX(J$1:J1290,SUMPRODUCT(MAX(ROW(E$1:E1290)*(E1291=E$1:E1290)))))</f>
        <v> </v>
      </c>
      <c r="L1291" s="27"/>
    </row>
    <row r="1292" spans="1:12">
      <c r="A1292" s="20" t="s">
        <v>583</v>
      </c>
      <c r="E1292" s="22">
        <f>IF(D1292="?OLD","!!!","")</f>
        <v/>
      </c>
      <c r="F1292" s="23" t="str">
        <f>IF(OR(E1292="",E1292="!!!"),"",IF(NOT(ISNA(VLOOKUP(E1292,E$1:E1291,1,FALSE()))),"OLD",IF(AND(E1292&lt;&gt;"",E1292&lt;&gt;"!!!"),"NEW","")))</f>
        <v> </v>
      </c>
      <c r="G1292" s="24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5" t="str">
        <f>IF(J1292&lt;&gt;1,"",IF(I1292="SBJ","CB","?"))</f>
        <v> </v>
      </c>
      <c r="I1292" s="26" t="str">
        <f>IF(OR(E1292="",E1292="!!!",F1292="NEW"),"",INDEX(B1291:B$2,-1+SUMPRODUCT(MAX(ROW(E1291:E$2)*(E1292=E1291:E$2)))))</f>
        <v> </v>
      </c>
      <c r="J1292" s="26" t="str">
        <f>IF(OR(E1292="",E1292="!!!",F1292="NEW"),"",COUNTBLANK(OFFSET(A$1,,,SUMPRODUCT(MAX(ROW(E$2:E1292)*(E1292=E$2:E1292)))))-COUNTBLANK(OFFSET(A$1,,,SUMPRODUCT(MAX(ROW(E$1:E1291)*(E2=E$1:E1291))))))</f>
        <v> </v>
      </c>
      <c r="K1292" s="26" t="str">
        <f>IF(OR(E1292="",E1292="!!!",F1292="NEW"),"",INDEX(J$1:J1291,SUMPRODUCT(MAX(ROW(E$1:E1291)*(E1292=E$1:E1291)))))</f>
        <v> </v>
      </c>
      <c r="L1292" s="27"/>
    </row>
    <row r="1293" spans="1:12">
      <c r="A1293" s="20" t="s">
        <v>588</v>
      </c>
      <c r="E1293" s="22">
        <f>IF(D1293="?OLD","!!!","")</f>
        <v/>
      </c>
      <c r="F1293" s="23" t="str">
        <f>IF(OR(E1293="",E1293="!!!"),"",IF(NOT(ISNA(VLOOKUP(E1293,E$1:E1292,1,FALSE()))),"OLD",IF(AND(E1293&lt;&gt;"",E1293&lt;&gt;"!!!"),"NEW","")))</f>
        <v> </v>
      </c>
      <c r="G1293" s="24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5" t="str">
        <f>IF(J1293&lt;&gt;1,"",IF(I1293="SBJ","CB","?"))</f>
        <v> </v>
      </c>
      <c r="I1293" s="26" t="str">
        <f>IF(OR(E1293="",E1293="!!!",F1293="NEW"),"",INDEX(B1292:B$2,-1+SUMPRODUCT(MAX(ROW(E1292:E$2)*(E1293=E1292:E$2)))))</f>
        <v> </v>
      </c>
      <c r="J1293" s="26" t="str">
        <f>IF(OR(E1293="",E1293="!!!",F1293="NEW"),"",COUNTBLANK(OFFSET(A$1,,,SUMPRODUCT(MAX(ROW(E$2:E1293)*(E1293=E$2:E1293)))))-COUNTBLANK(OFFSET(A$1,,,SUMPRODUCT(MAX(ROW(E$1:E1292)*(E2=E$1:E1292))))))</f>
        <v> </v>
      </c>
      <c r="K1293" s="26" t="str">
        <f>IF(OR(E1293="",E1293="!!!",F1293="NEW"),"",INDEX(J$1:J1292,SUMPRODUCT(MAX(ROW(E$1:E1292)*(E1293=E$1:E1292)))))</f>
        <v> </v>
      </c>
      <c r="L1293" s="27"/>
    </row>
    <row r="1294" spans="1:12">
      <c r="A1294" s="20" t="s">
        <v>1256</v>
      </c>
      <c r="E1294" s="22">
        <f>IF(D1294="?OLD","!!!","")</f>
        <v/>
      </c>
      <c r="F1294" s="23" t="str">
        <f>IF(OR(E1294="",E1294="!!!"),"",IF(NOT(ISNA(VLOOKUP(E1294,E$1:E1293,1,FALSE()))),"OLD",IF(AND(E1294&lt;&gt;"",E1294&lt;&gt;"!!!"),"NEW","")))</f>
        <v> </v>
      </c>
      <c r="G1294" s="24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5" t="str">
        <f>IF(J1294&lt;&gt;1,"",IF(I1294="SBJ","CB","?"))</f>
        <v> </v>
      </c>
      <c r="I1294" s="26" t="str">
        <f>IF(OR(E1294="",E1294="!!!",F1294="NEW"),"",INDEX(B1293:B$2,-1+SUMPRODUCT(MAX(ROW(E1293:E$2)*(E1294=E1293:E$2)))))</f>
        <v> </v>
      </c>
      <c r="J1294" s="26" t="str">
        <f>IF(OR(E1294="",E1294="!!!",F1294="NEW"),"",COUNTBLANK(OFFSET(A$1,,,SUMPRODUCT(MAX(ROW(E$2:E1294)*(E1294=E$2:E1294)))))-COUNTBLANK(OFFSET(A$1,,,SUMPRODUCT(MAX(ROW(E$1:E1293)*(E2=E$1:E1293))))))</f>
        <v> </v>
      </c>
      <c r="K1294" s="26" t="str">
        <f>IF(OR(E1294="",E1294="!!!",F1294="NEW"),"",INDEX(J$1:J1293,SUMPRODUCT(MAX(ROW(E$1:E1293)*(E1294=E$1:E1293)))))</f>
        <v> </v>
      </c>
      <c r="L1294" s="27"/>
    </row>
    <row r="1295" spans="1:12">
      <c r="A1295" s="20" t="s">
        <v>1257</v>
      </c>
      <c r="B1295" s="21" t="s">
        <v>578</v>
      </c>
      <c r="E1295" s="22">
        <f>IF(D1295="?OLD","!!!","")</f>
        <v/>
      </c>
      <c r="F1295" s="23" t="str">
        <f>IF(OR(E1295="",E1295="!!!"),"",IF(NOT(ISNA(VLOOKUP(E1295,E$1:E1294,1,FALSE()))),"OLD",IF(AND(E1295&lt;&gt;"",E1295&lt;&gt;"!!!"),"NEW","")))</f>
        <v> </v>
      </c>
      <c r="G1295" s="24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5" t="str">
        <f>IF(J1295&lt;&gt;1,"",IF(I1295="SBJ","CB","?"))</f>
        <v> </v>
      </c>
      <c r="I1295" s="26" t="str">
        <f>IF(OR(E1295="",E1295="!!!",F1295="NEW"),"",INDEX(B1294:B$2,-1+SUMPRODUCT(MAX(ROW(E1294:E$2)*(E1295=E1294:E$2)))))</f>
        <v> </v>
      </c>
      <c r="J1295" s="26" t="str">
        <f>IF(OR(E1295="",E1295="!!!",F1295="NEW"),"",COUNTBLANK(OFFSET(A$1,,,SUMPRODUCT(MAX(ROW(E$2:E1295)*(E1295=E$2:E1295)))))-COUNTBLANK(OFFSET(A$1,,,SUMPRODUCT(MAX(ROW(E$1:E1294)*(E2=E$1:E1294))))))</f>
        <v> </v>
      </c>
      <c r="K1295" s="26" t="str">
        <f>IF(OR(E1295="",E1295="!!!",F1295="NEW"),"",INDEX(J$1:J1294,SUMPRODUCT(MAX(ROW(E$1:E1294)*(E1295=E$1:E1294)))))</f>
        <v> </v>
      </c>
      <c r="L1295" s="27"/>
    </row>
    <row r="1296" spans="1:12">
      <c r="A1296" s="20" t="s">
        <v>580</v>
      </c>
      <c r="E1296" s="22">
        <f>IF(D1296="?OLD","!!!","")</f>
        <v/>
      </c>
      <c r="F1296" s="23" t="str">
        <f>IF(OR(E1296="",E1296="!!!"),"",IF(NOT(ISNA(VLOOKUP(E1296,E$1:E1295,1,FALSE()))),"OLD",IF(AND(E1296&lt;&gt;"",E1296&lt;&gt;"!!!"),"NEW","")))</f>
        <v> </v>
      </c>
      <c r="G1296" s="24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5" t="str">
        <f>IF(J1296&lt;&gt;1,"",IF(I1296="SBJ","CB","?"))</f>
        <v> </v>
      </c>
      <c r="I1296" s="26" t="str">
        <f>IF(OR(E1296="",E1296="!!!",F1296="NEW"),"",INDEX(B1295:B$2,-1+SUMPRODUCT(MAX(ROW(E1295:E$2)*(E1296=E1295:E$2)))))</f>
        <v> </v>
      </c>
      <c r="J1296" s="26" t="str">
        <f>IF(OR(E1296="",E1296="!!!",F1296="NEW"),"",COUNTBLANK(OFFSET(A$1,,,SUMPRODUCT(MAX(ROW(E$2:E1296)*(E1296=E$2:E1296)))))-COUNTBLANK(OFFSET(A$1,,,SUMPRODUCT(MAX(ROW(E$1:E1295)*(E2=E$1:E1295))))))</f>
        <v> </v>
      </c>
      <c r="K1296" s="26" t="str">
        <f>IF(OR(E1296="",E1296="!!!",F1296="NEW"),"",INDEX(J$1:J1295,SUMPRODUCT(MAX(ROW(E$1:E1295)*(E1296=E$1:E1295)))))</f>
        <v> </v>
      </c>
      <c r="L1296" s="27"/>
    </row>
    <row r="1297" spans="1:12">
      <c r="A1297" s="20" t="s">
        <v>795</v>
      </c>
      <c r="E1297" s="22">
        <f>IF(D1297="?OLD","!!!","")</f>
        <v/>
      </c>
      <c r="F1297" s="23" t="str">
        <f>IF(OR(E1297="",E1297="!!!"),"",IF(NOT(ISNA(VLOOKUP(E1297,E$1:E1296,1,FALSE()))),"OLD",IF(AND(E1297&lt;&gt;"",E1297&lt;&gt;"!!!"),"NEW","")))</f>
        <v> </v>
      </c>
      <c r="G1297" s="24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5" t="str">
        <f>IF(J1297&lt;&gt;1,"",IF(I1297="SBJ","CB","?"))</f>
        <v> </v>
      </c>
      <c r="I1297" s="26" t="str">
        <f>IF(OR(E1297="",E1297="!!!",F1297="NEW"),"",INDEX(B1296:B$2,-1+SUMPRODUCT(MAX(ROW(E1296:E$2)*(E1297=E1296:E$2)))))</f>
        <v> </v>
      </c>
      <c r="J1297" s="26" t="str">
        <f>IF(OR(E1297="",E1297="!!!",F1297="NEW"),"",COUNTBLANK(OFFSET(A$1,,,SUMPRODUCT(MAX(ROW(E$2:E1297)*(E1297=E$2:E1297)))))-COUNTBLANK(OFFSET(A$1,,,SUMPRODUCT(MAX(ROW(E$1:E1296)*(E2=E$1:E1296))))))</f>
        <v> </v>
      </c>
      <c r="K1297" s="26" t="str">
        <f>IF(OR(E1297="",E1297="!!!",F1297="NEW"),"",INDEX(J$1:J1296,SUMPRODUCT(MAX(ROW(E$1:E1296)*(E1297=E$1:E1296)))))</f>
        <v> </v>
      </c>
      <c r="L1297" s="27"/>
    </row>
    <row r="1298" spans="1:12">
      <c r="A1298" s="20" t="s">
        <v>1258</v>
      </c>
      <c r="B1298" s="21" t="s">
        <v>585</v>
      </c>
      <c r="C1298" s="21" t="s">
        <v>586</v>
      </c>
      <c r="E1298" s="22">
        <f>IF(D1298="?OLD","!!!","")</f>
        <v/>
      </c>
      <c r="F1298" s="23" t="str">
        <f>IF(OR(E1298="",E1298="!!!"),"",IF(NOT(ISNA(VLOOKUP(E1298,E$1:E1297,1,FALSE()))),"OLD",IF(AND(E1298&lt;&gt;"",E1298&lt;&gt;"!!!"),"NEW","")))</f>
        <v> </v>
      </c>
      <c r="G1298" s="24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5" t="str">
        <f>IF(J1298&lt;&gt;1,"",IF(I1298="SBJ","CB","?"))</f>
        <v> </v>
      </c>
      <c r="I1298" s="26" t="str">
        <f>IF(OR(E1298="",E1298="!!!",F1298="NEW"),"",INDEX(B1297:B$2,-1+SUMPRODUCT(MAX(ROW(E1297:E$2)*(E1298=E1297:E$2)))))</f>
        <v> </v>
      </c>
      <c r="J1298" s="26" t="str">
        <f>IF(OR(E1298="",E1298="!!!",F1298="NEW"),"",COUNTBLANK(OFFSET(A$1,,,SUMPRODUCT(MAX(ROW(E$2:E1298)*(E1298=E$2:E1298)))))-COUNTBLANK(OFFSET(A$1,,,SUMPRODUCT(MAX(ROW(E$1:E1297)*(E2=E$1:E1297))))))</f>
        <v> </v>
      </c>
      <c r="K1298" s="26" t="str">
        <f>IF(OR(E1298="",E1298="!!!",F1298="NEW"),"",INDEX(J$1:J1297,SUMPRODUCT(MAX(ROW(E$1:E1297)*(E1298=E$1:E1297)))))</f>
        <v> </v>
      </c>
      <c r="L1298" s="27"/>
    </row>
    <row r="1299" spans="1:12">
      <c r="A1299" s="20" t="s">
        <v>592</v>
      </c>
      <c r="E1299" s="22">
        <f>IF(D1299="?OLD","!!!","")</f>
        <v/>
      </c>
      <c r="F1299" s="23" t="str">
        <f>IF(OR(E1299="",E1299="!!!"),"",IF(NOT(ISNA(VLOOKUP(E1299,E$1:E1298,1,FALSE()))),"OLD",IF(AND(E1299&lt;&gt;"",E1299&lt;&gt;"!!!"),"NEW","")))</f>
        <v> </v>
      </c>
      <c r="G1299" s="24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5" t="str">
        <f>IF(J1299&lt;&gt;1,"",IF(I1299="SBJ","CB","?"))</f>
        <v> </v>
      </c>
      <c r="I1299" s="26" t="str">
        <f>IF(OR(E1299="",E1299="!!!",F1299="NEW"),"",INDEX(B1298:B$2,-1+SUMPRODUCT(MAX(ROW(E1298:E$2)*(E1299=E1298:E$2)))))</f>
        <v> </v>
      </c>
      <c r="J1299" s="26" t="str">
        <f>IF(OR(E1299="",E1299="!!!",F1299="NEW"),"",COUNTBLANK(OFFSET(A$1,,,SUMPRODUCT(MAX(ROW(E$2:E1299)*(E1299=E$2:E1299)))))-COUNTBLANK(OFFSET(A$1,,,SUMPRODUCT(MAX(ROW(E$1:E1298)*(E2=E$1:E1298))))))</f>
        <v> </v>
      </c>
      <c r="K1299" s="26" t="str">
        <f>IF(OR(E1299="",E1299="!!!",F1299="NEW"),"",INDEX(J$1:J1298,SUMPRODUCT(MAX(ROW(E$1:E1298)*(E1299=E$1:E1298)))))</f>
        <v> </v>
      </c>
      <c r="L1299" s="27"/>
    </row>
    <row r="1300" spans="1:12">
      <c r="A1300" s="20"/>
    </row>
    <row r="1301" spans="1:12">
      <c r="A1301" s="20" t="s">
        <v>1259</v>
      </c>
    </row>
    <row r="1302" spans="1:12">
      <c r="A1302" s="20" t="s">
        <v>1260</v>
      </c>
      <c r="B1302" s="21" t="s">
        <v>578</v>
      </c>
      <c r="C1302" s="21" t="s">
        <v>628</v>
      </c>
      <c r="D1302" s="21" t="s">
        <v>587</v>
      </c>
      <c r="E1302" s="22">
        <f>IF(D1302="?OLD","!!!","")</f>
        <v/>
      </c>
      <c r="F1302" s="23" t="str">
        <f>IF(OR(E1302="",E1302="!!!"),"",IF(NOT(ISNA(VLOOKUP(E1302,E$1:E1301,1,FALSE()))),"OLD",IF(AND(E1302&lt;&gt;"",E1302&lt;&gt;"!!!"),"NEW","")))</f>
        <v> </v>
      </c>
      <c r="G1302" s="24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5" t="str">
        <f>IF(J1302&lt;&gt;1,"",IF(I1302="SBJ","CB","?"))</f>
        <v> </v>
      </c>
      <c r="I1302" s="26" t="str">
        <f>IF(OR(E1302="",E1302="!!!",F1302="NEW"),"",INDEX(B1301:B$2,-1+SUMPRODUCT(MAX(ROW(E1301:E$2)*(E1302=E1301:E$2)))))</f>
        <v> </v>
      </c>
      <c r="J1302" s="26" t="str">
        <f>IF(OR(E1302="",E1302="!!!",F1302="NEW"),"",COUNTBLANK(OFFSET(A$1,,,SUMPRODUCT(MAX(ROW(E$2:E1302)*(E1302=E$2:E1302)))))-COUNTBLANK(OFFSET(A$1,,,SUMPRODUCT(MAX(ROW(E$1:E1301)*(E2=E$1:E1301))))))</f>
        <v> </v>
      </c>
      <c r="K1302" s="26" t="str">
        <f>IF(OR(E1302="",E1302="!!!",F1302="NEW"),"",INDEX(J$1:J1301,SUMPRODUCT(MAX(ROW(E$1:E1301)*(E1302=E$1:E1301)))))</f>
        <v> </v>
      </c>
      <c r="L1302" s="27"/>
    </row>
    <row r="1303" spans="1:12">
      <c r="A1303" s="20" t="s">
        <v>1261</v>
      </c>
      <c r="B1303" s="21" t="s">
        <v>585</v>
      </c>
      <c r="C1303" s="21" t="s">
        <v>628</v>
      </c>
      <c r="D1303" s="21" t="s">
        <v>587</v>
      </c>
      <c r="E1303" s="22">
        <f>IF(D1303="?OLD","!!!","")</f>
        <v/>
      </c>
      <c r="F1303" s="23" t="str">
        <f>IF(OR(E1303="",E1303="!!!"),"",IF(NOT(ISNA(VLOOKUP(E1303,E$1:E1302,1,FALSE()))),"OLD",IF(AND(E1303&lt;&gt;"",E1303&lt;&gt;"!!!"),"NEW","")))</f>
        <v> </v>
      </c>
      <c r="G1303" s="24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5" t="str">
        <f>IF(J1303&lt;&gt;1,"",IF(I1303="SBJ","CB","?"))</f>
        <v> </v>
      </c>
      <c r="I1303" s="26" t="str">
        <f>IF(OR(E1303="",E1303="!!!",F1303="NEW"),"",INDEX(B1302:B$2,-1+SUMPRODUCT(MAX(ROW(E1302:E$2)*(E1303=E1302:E$2)))))</f>
        <v> </v>
      </c>
      <c r="J1303" s="26" t="str">
        <f>IF(OR(E1303="",E1303="!!!",F1303="NEW"),"",COUNTBLANK(OFFSET(A$1,,,SUMPRODUCT(MAX(ROW(E$2:E1303)*(E1303=E$2:E1303)))))-COUNTBLANK(OFFSET(A$1,,,SUMPRODUCT(MAX(ROW(E$1:E1302)*(E2=E$1:E1302))))))</f>
        <v> </v>
      </c>
      <c r="K1303" s="26" t="str">
        <f>IF(OR(E1303="",E1303="!!!",F1303="NEW"),"",INDEX(J$1:J1302,SUMPRODUCT(MAX(ROW(E$1:E1302)*(E1303=E$1:E1302)))))</f>
        <v> </v>
      </c>
      <c r="L1303" s="27"/>
    </row>
    <row r="1304" spans="1:12">
      <c r="A1304" s="20" t="s">
        <v>580</v>
      </c>
      <c r="E1304" s="22">
        <f>IF(D1304="?OLD","!!!","")</f>
        <v/>
      </c>
      <c r="F1304" s="23" t="str">
        <f>IF(OR(E1304="",E1304="!!!"),"",IF(NOT(ISNA(VLOOKUP(E1304,E$1:E1303,1,FALSE()))),"OLD",IF(AND(E1304&lt;&gt;"",E1304&lt;&gt;"!!!"),"NEW","")))</f>
        <v> </v>
      </c>
      <c r="G1304" s="24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5" t="str">
        <f>IF(J1304&lt;&gt;1,"",IF(I1304="SBJ","CB","?"))</f>
        <v> </v>
      </c>
      <c r="I1304" s="26" t="str">
        <f>IF(OR(E1304="",E1304="!!!",F1304="NEW"),"",INDEX(B1303:B$2,-1+SUMPRODUCT(MAX(ROW(E1303:E$2)*(E1304=E1303:E$2)))))</f>
        <v> </v>
      </c>
      <c r="J1304" s="26" t="str">
        <f>IF(OR(E1304="",E1304="!!!",F1304="NEW"),"",COUNTBLANK(OFFSET(A$1,,,SUMPRODUCT(MAX(ROW(E$2:E1304)*(E1304=E$2:E1304)))))-COUNTBLANK(OFFSET(A$1,,,SUMPRODUCT(MAX(ROW(E$1:E1303)*(E2=E$1:E1303))))))</f>
        <v> </v>
      </c>
      <c r="K1304" s="26" t="str">
        <f>IF(OR(E1304="",E1304="!!!",F1304="NEW"),"",INDEX(J$1:J1303,SUMPRODUCT(MAX(ROW(E$1:E1303)*(E1304=E$1:E1303)))))</f>
        <v> </v>
      </c>
      <c r="L1304" s="27"/>
    </row>
    <row r="1305" spans="1:12">
      <c r="A1305" s="20" t="s">
        <v>1262</v>
      </c>
      <c r="B1305" s="21" t="s">
        <v>651</v>
      </c>
      <c r="C1305" s="21" t="s">
        <v>628</v>
      </c>
      <c r="D1305" s="21" t="s">
        <v>587</v>
      </c>
      <c r="E1305" s="22">
        <f>IF(D1305="?OLD","!!!","")</f>
        <v/>
      </c>
      <c r="F1305" s="23" t="str">
        <f>IF(OR(E1305="",E1305="!!!"),"",IF(NOT(ISNA(VLOOKUP(E1305,E$1:E1304,1,FALSE()))),"OLD",IF(AND(E1305&lt;&gt;"",E1305&lt;&gt;"!!!"),"NEW","")))</f>
        <v> </v>
      </c>
      <c r="G1305" s="24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5" t="str">
        <f>IF(J1305&lt;&gt;1,"",IF(I1305="SBJ","CB","?"))</f>
        <v> </v>
      </c>
      <c r="I1305" s="26" t="str">
        <f>IF(OR(E1305="",E1305="!!!",F1305="NEW"),"",INDEX(B1304:B$2,-1+SUMPRODUCT(MAX(ROW(E1304:E$2)*(E1305=E1304:E$2)))))</f>
        <v> </v>
      </c>
      <c r="J1305" s="26" t="str">
        <f>IF(OR(E1305="",E1305="!!!",F1305="NEW"),"",COUNTBLANK(OFFSET(A$1,,,SUMPRODUCT(MAX(ROW(E$2:E1305)*(E1305=E$2:E1305)))))-COUNTBLANK(OFFSET(A$1,,,SUMPRODUCT(MAX(ROW(E$1:E1304)*(E2=E$1:E1304))))))</f>
        <v> </v>
      </c>
      <c r="K1305" s="26" t="str">
        <f>IF(OR(E1305="",E1305="!!!",F1305="NEW"),"",INDEX(J$1:J1304,SUMPRODUCT(MAX(ROW(E$1:E1304)*(E1305=E$1:E1304)))))</f>
        <v> </v>
      </c>
      <c r="L1305" s="27"/>
    </row>
    <row r="1306" spans="1:12">
      <c r="A1306" s="20" t="s">
        <v>1263</v>
      </c>
      <c r="E1306" s="22">
        <f>IF(D1306="?OLD","!!!","")</f>
        <v/>
      </c>
      <c r="F1306" s="23" t="str">
        <f>IF(OR(E1306="",E1306="!!!"),"",IF(NOT(ISNA(VLOOKUP(E1306,E$1:E1305,1,FALSE()))),"OLD",IF(AND(E1306&lt;&gt;"",E1306&lt;&gt;"!!!"),"NEW","")))</f>
        <v> </v>
      </c>
      <c r="G1306" s="24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5" t="str">
        <f>IF(J1306&lt;&gt;1,"",IF(I1306="SBJ","CB","?"))</f>
        <v> </v>
      </c>
      <c r="I1306" s="26" t="str">
        <f>IF(OR(E1306="",E1306="!!!",F1306="NEW"),"",INDEX(B1305:B$2,-1+SUMPRODUCT(MAX(ROW(E1305:E$2)*(E1306=E1305:E$2)))))</f>
        <v> </v>
      </c>
      <c r="J1306" s="26" t="str">
        <f>IF(OR(E1306="",E1306="!!!",F1306="NEW"),"",COUNTBLANK(OFFSET(A$1,,,SUMPRODUCT(MAX(ROW(E$2:E1306)*(E1306=E$2:E1306)))))-COUNTBLANK(OFFSET(A$1,,,SUMPRODUCT(MAX(ROW(E$1:E1305)*(E2=E$1:E1305))))))</f>
        <v> </v>
      </c>
      <c r="K1306" s="26" t="str">
        <f>IF(OR(E1306="",E1306="!!!",F1306="NEW"),"",INDEX(J$1:J1305,SUMPRODUCT(MAX(ROW(E$1:E1305)*(E1306=E$1:E1305)))))</f>
        <v> </v>
      </c>
      <c r="L1306" s="27"/>
    </row>
    <row r="1307" spans="1:12">
      <c r="A1307" s="20" t="s">
        <v>820</v>
      </c>
      <c r="B1307" s="21" t="s">
        <v>615</v>
      </c>
      <c r="E1307" s="22">
        <f>IF(D1307="?OLD","!!!","")</f>
        <v/>
      </c>
      <c r="F1307" s="23" t="str">
        <f>IF(OR(E1307="",E1307="!!!"),"",IF(NOT(ISNA(VLOOKUP(E1307,E$1:E1306,1,FALSE()))),"OLD",IF(AND(E1307&lt;&gt;"",E1307&lt;&gt;"!!!"),"NEW","")))</f>
        <v> </v>
      </c>
      <c r="G1307" s="24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5" t="str">
        <f>IF(J1307&lt;&gt;1,"",IF(I1307="SBJ","CB","?"))</f>
        <v> </v>
      </c>
      <c r="I1307" s="26" t="str">
        <f>IF(OR(E1307="",E1307="!!!",F1307="NEW"),"",INDEX(B1306:B$2,-1+SUMPRODUCT(MAX(ROW(E1306:E$2)*(E1307=E1306:E$2)))))</f>
        <v> </v>
      </c>
      <c r="J1307" s="26" t="str">
        <f>IF(OR(E1307="",E1307="!!!",F1307="NEW"),"",COUNTBLANK(OFFSET(A$1,,,SUMPRODUCT(MAX(ROW(E$2:E1307)*(E1307=E$2:E1307)))))-COUNTBLANK(OFFSET(A$1,,,SUMPRODUCT(MAX(ROW(E$1:E1306)*(E2=E$1:E1306))))))</f>
        <v> </v>
      </c>
      <c r="K1307" s="26" t="str">
        <f>IF(OR(E1307="",E1307="!!!",F1307="NEW"),"",INDEX(J$1:J1306,SUMPRODUCT(MAX(ROW(E$1:E1306)*(E1307=E$1:E1306)))))</f>
        <v> </v>
      </c>
      <c r="L1307" s="27"/>
    </row>
    <row r="1308" spans="1:12">
      <c r="A1308" s="20" t="s">
        <v>1264</v>
      </c>
      <c r="E1308" s="22">
        <f>IF(D1308="?OLD","!!!","")</f>
        <v/>
      </c>
      <c r="F1308" s="23" t="str">
        <f>IF(OR(E1308="",E1308="!!!"),"",IF(NOT(ISNA(VLOOKUP(E1308,E$1:E1307,1,FALSE()))),"OLD",IF(AND(E1308&lt;&gt;"",E1308&lt;&gt;"!!!"),"NEW","")))</f>
        <v> </v>
      </c>
      <c r="G1308" s="24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5" t="str">
        <f>IF(J1308&lt;&gt;1,"",IF(I1308="SBJ","CB","?"))</f>
        <v> </v>
      </c>
      <c r="I1308" s="26" t="str">
        <f>IF(OR(E1308="",E1308="!!!",F1308="NEW"),"",INDEX(B1307:B$2,-1+SUMPRODUCT(MAX(ROW(E1307:E$2)*(E1308=E1307:E$2)))))</f>
        <v> </v>
      </c>
      <c r="J1308" s="26" t="str">
        <f>IF(OR(E1308="",E1308="!!!",F1308="NEW"),"",COUNTBLANK(OFFSET(A$1,,,SUMPRODUCT(MAX(ROW(E$2:E1308)*(E1308=E$2:E1308)))))-COUNTBLANK(OFFSET(A$1,,,SUMPRODUCT(MAX(ROW(E$1:E1307)*(E2=E$1:E1307))))))</f>
        <v> </v>
      </c>
      <c r="K1308" s="26" t="str">
        <f>IF(OR(E1308="",E1308="!!!",F1308="NEW"),"",INDEX(J$1:J1307,SUMPRODUCT(MAX(ROW(E$1:E1307)*(E1308=E$1:E1307)))))</f>
        <v> </v>
      </c>
      <c r="L1308" s="27"/>
    </row>
    <row r="1309" spans="1:12">
      <c r="A1309" s="20" t="s">
        <v>592</v>
      </c>
      <c r="E1309" s="22">
        <f>IF(D1309="?OLD","!!!","")</f>
        <v/>
      </c>
      <c r="F1309" s="23" t="str">
        <f>IF(OR(E1309="",E1309="!!!"),"",IF(NOT(ISNA(VLOOKUP(E1309,E$1:E1308,1,FALSE()))),"OLD",IF(AND(E1309&lt;&gt;"",E1309&lt;&gt;"!!!"),"NEW","")))</f>
        <v> </v>
      </c>
      <c r="G1309" s="24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5" t="str">
        <f>IF(J1309&lt;&gt;1,"",IF(I1309="SBJ","CB","?"))</f>
        <v> </v>
      </c>
      <c r="I1309" s="26" t="str">
        <f>IF(OR(E1309="",E1309="!!!",F1309="NEW"),"",INDEX(B1308:B$2,-1+SUMPRODUCT(MAX(ROW(E1308:E$2)*(E1309=E1308:E$2)))))</f>
        <v> </v>
      </c>
      <c r="J1309" s="26" t="str">
        <f>IF(OR(E1309="",E1309="!!!",F1309="NEW"),"",COUNTBLANK(OFFSET(A$1,,,SUMPRODUCT(MAX(ROW(E$2:E1309)*(E1309=E$2:E1309)))))-COUNTBLANK(OFFSET(A$1,,,SUMPRODUCT(MAX(ROW(E$1:E1308)*(E2=E$1:E1308))))))</f>
        <v> </v>
      </c>
      <c r="K1309" s="26" t="str">
        <f>IF(OR(E1309="",E1309="!!!",F1309="NEW"),"",INDEX(J$1:J1308,SUMPRODUCT(MAX(ROW(E$1:E1308)*(E1309=E$1:E1308)))))</f>
        <v> </v>
      </c>
      <c r="L1309" s="27"/>
    </row>
    <row r="1310" spans="1:12">
      <c r="A1310" s="20"/>
    </row>
    <row r="1311" spans="1:12">
      <c r="A1311" s="20" t="s">
        <v>1265</v>
      </c>
    </row>
    <row r="1312" spans="1:12">
      <c r="A1312" s="20" t="s">
        <v>1266</v>
      </c>
      <c r="E1312" s="22">
        <f>IF(D1312="?OLD","!!!","")</f>
        <v/>
      </c>
      <c r="F1312" s="23" t="str">
        <f>IF(OR(E1312="",E1312="!!!"),"",IF(NOT(ISNA(VLOOKUP(E1312,E$1:E1311,1,FALSE()))),"OLD",IF(AND(E1312&lt;&gt;"",E1312&lt;&gt;"!!!"),"NEW","")))</f>
        <v> </v>
      </c>
      <c r="G1312" s="24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5" t="str">
        <f>IF(J1312&lt;&gt;1,"",IF(I1312="SBJ","CB","?"))</f>
        <v> </v>
      </c>
      <c r="I1312" s="26" t="str">
        <f>IF(OR(E1312="",E1312="!!!",F1312="NEW"),"",INDEX(B1311:B$2,-1+SUMPRODUCT(MAX(ROW(E1311:E$2)*(E1312=E1311:E$2)))))</f>
        <v> </v>
      </c>
      <c r="J1312" s="26" t="str">
        <f>IF(OR(E1312="",E1312="!!!",F1312="NEW"),"",COUNTBLANK(OFFSET(A$1,,,SUMPRODUCT(MAX(ROW(E$2:E1312)*(E1312=E$2:E1312)))))-COUNTBLANK(OFFSET(A$1,,,SUMPRODUCT(MAX(ROW(E$1:E1311)*(E2=E$1:E1311))))))</f>
        <v> </v>
      </c>
      <c r="K1312" s="26" t="str">
        <f>IF(OR(E1312="",E1312="!!!",F1312="NEW"),"",INDEX(J$1:J1311,SUMPRODUCT(MAX(ROW(E$1:E1311)*(E1312=E$1:E1311)))))</f>
        <v> </v>
      </c>
      <c r="L1312" s="27"/>
    </row>
    <row r="1313" spans="1:12">
      <c r="A1313" s="20" t="s">
        <v>265</v>
      </c>
      <c r="E1313" s="22">
        <f>IF(D1313="?OLD","!!!","")</f>
        <v/>
      </c>
      <c r="F1313" s="23" t="str">
        <f>IF(OR(E1313="",E1313="!!!"),"",IF(NOT(ISNA(VLOOKUP(E1313,E$1:E1312,1,FALSE()))),"OLD",IF(AND(E1313&lt;&gt;"",E1313&lt;&gt;"!!!"),"NEW","")))</f>
        <v> </v>
      </c>
      <c r="G1313" s="24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5" t="str">
        <f>IF(J1313&lt;&gt;1,"",IF(I1313="SBJ","CB","?"))</f>
        <v> </v>
      </c>
      <c r="I1313" s="26" t="str">
        <f>IF(OR(E1313="",E1313="!!!",F1313="NEW"),"",INDEX(B1312:B$2,-1+SUMPRODUCT(MAX(ROW(E1312:E$2)*(E1313=E1312:E$2)))))</f>
        <v> </v>
      </c>
      <c r="J1313" s="26" t="str">
        <f>IF(OR(E1313="",E1313="!!!",F1313="NEW"),"",COUNTBLANK(OFFSET(A$1,,,SUMPRODUCT(MAX(ROW(E$2:E1313)*(E1313=E$2:E1313)))))-COUNTBLANK(OFFSET(A$1,,,SUMPRODUCT(MAX(ROW(E$1:E1312)*(E2=E$1:E1312))))))</f>
        <v> </v>
      </c>
      <c r="K1313" s="26" t="str">
        <f>IF(OR(E1313="",E1313="!!!",F1313="NEW"),"",INDEX(J$1:J1312,SUMPRODUCT(MAX(ROW(E$1:E1312)*(E1313=E$1:E1312)))))</f>
        <v> </v>
      </c>
      <c r="L1313" s="27"/>
    </row>
    <row r="1314" spans="1:12">
      <c r="A1314" s="20" t="s">
        <v>583</v>
      </c>
      <c r="E1314" s="22">
        <f>IF(D1314="?OLD","!!!","")</f>
        <v/>
      </c>
      <c r="F1314" s="23" t="str">
        <f>IF(OR(E1314="",E1314="!!!"),"",IF(NOT(ISNA(VLOOKUP(E1314,E$1:E1313,1,FALSE()))),"OLD",IF(AND(E1314&lt;&gt;"",E1314&lt;&gt;"!!!"),"NEW","")))</f>
        <v> </v>
      </c>
      <c r="G1314" s="24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5" t="str">
        <f>IF(J1314&lt;&gt;1,"",IF(I1314="SBJ","CB","?"))</f>
        <v> </v>
      </c>
      <c r="I1314" s="26" t="str">
        <f>IF(OR(E1314="",E1314="!!!",F1314="NEW"),"",INDEX(B1313:B$2,-1+SUMPRODUCT(MAX(ROW(E1313:E$2)*(E1314=E1313:E$2)))))</f>
        <v> </v>
      </c>
      <c r="J1314" s="26" t="str">
        <f>IF(OR(E1314="",E1314="!!!",F1314="NEW"),"",COUNTBLANK(OFFSET(A$1,,,SUMPRODUCT(MAX(ROW(E$2:E1314)*(E1314=E$2:E1314)))))-COUNTBLANK(OFFSET(A$1,,,SUMPRODUCT(MAX(ROW(E$1:E1313)*(E2=E$1:E1313))))))</f>
        <v> </v>
      </c>
      <c r="K1314" s="26" t="str">
        <f>IF(OR(E1314="",E1314="!!!",F1314="NEW"),"",INDEX(J$1:J1313,SUMPRODUCT(MAX(ROW(E$1:E1313)*(E1314=E$1:E1313)))))</f>
        <v> </v>
      </c>
      <c r="L1314" s="27"/>
    </row>
    <row r="1315" spans="1:12">
      <c r="A1315" s="20" t="s">
        <v>1267</v>
      </c>
      <c r="E1315" s="22">
        <f>IF(D1315="?OLD","!!!","")</f>
        <v/>
      </c>
      <c r="F1315" s="23" t="str">
        <f>IF(OR(E1315="",E1315="!!!"),"",IF(NOT(ISNA(VLOOKUP(E1315,E$1:E1314,1,FALSE()))),"OLD",IF(AND(E1315&lt;&gt;"",E1315&lt;&gt;"!!!"),"NEW","")))</f>
        <v> </v>
      </c>
      <c r="G1315" s="24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5" t="str">
        <f>IF(J1315&lt;&gt;1,"",IF(I1315="SBJ","CB","?"))</f>
        <v> </v>
      </c>
      <c r="I1315" s="26" t="str">
        <f>IF(OR(E1315="",E1315="!!!",F1315="NEW"),"",INDEX(B1314:B$2,-1+SUMPRODUCT(MAX(ROW(E1314:E$2)*(E1315=E1314:E$2)))))</f>
        <v> </v>
      </c>
      <c r="J1315" s="26" t="str">
        <f>IF(OR(E1315="",E1315="!!!",F1315="NEW"),"",COUNTBLANK(OFFSET(A$1,,,SUMPRODUCT(MAX(ROW(E$2:E1315)*(E1315=E$2:E1315)))))-COUNTBLANK(OFFSET(A$1,,,SUMPRODUCT(MAX(ROW(E$1:E1314)*(E2=E$1:E1314))))))</f>
        <v> </v>
      </c>
      <c r="K1315" s="26" t="str">
        <f>IF(OR(E1315="",E1315="!!!",F1315="NEW"),"",INDEX(J$1:J1314,SUMPRODUCT(MAX(ROW(E$1:E1314)*(E1315=E$1:E1314)))))</f>
        <v> </v>
      </c>
      <c r="L1315" s="27"/>
    </row>
    <row r="1316" spans="1:12">
      <c r="A1316" s="20" t="s">
        <v>580</v>
      </c>
      <c r="E1316" s="22">
        <f>IF(D1316="?OLD","!!!","")</f>
        <v/>
      </c>
      <c r="F1316" s="23" t="str">
        <f>IF(OR(E1316="",E1316="!!!"),"",IF(NOT(ISNA(VLOOKUP(E1316,E$1:E1315,1,FALSE()))),"OLD",IF(AND(E1316&lt;&gt;"",E1316&lt;&gt;"!!!"),"NEW","")))</f>
        <v> </v>
      </c>
      <c r="G1316" s="24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5" t="str">
        <f>IF(J1316&lt;&gt;1,"",IF(I1316="SBJ","CB","?"))</f>
        <v> </v>
      </c>
      <c r="I1316" s="26" t="str">
        <f>IF(OR(E1316="",E1316="!!!",F1316="NEW"),"",INDEX(B1315:B$2,-1+SUMPRODUCT(MAX(ROW(E1315:E$2)*(E1316=E1315:E$2)))))</f>
        <v> </v>
      </c>
      <c r="J1316" s="26" t="str">
        <f>IF(OR(E1316="",E1316="!!!",F1316="NEW"),"",COUNTBLANK(OFFSET(A$1,,,SUMPRODUCT(MAX(ROW(E$2:E1316)*(E1316=E$2:E1316)))))-COUNTBLANK(OFFSET(A$1,,,SUMPRODUCT(MAX(ROW(E$1:E1315)*(E2=E$1:E1315))))))</f>
        <v> </v>
      </c>
      <c r="K1316" s="26" t="str">
        <f>IF(OR(E1316="",E1316="!!!",F1316="NEW"),"",INDEX(J$1:J1315,SUMPRODUCT(MAX(ROW(E$1:E1315)*(E1316=E$1:E1315)))))</f>
        <v> </v>
      </c>
      <c r="L1316" s="27"/>
    </row>
    <row r="1317" spans="1:12">
      <c r="A1317" s="20" t="s">
        <v>1268</v>
      </c>
      <c r="E1317" s="22">
        <f>IF(D1317="?OLD","!!!","")</f>
        <v/>
      </c>
      <c r="F1317" s="23" t="str">
        <f>IF(OR(E1317="",E1317="!!!"),"",IF(NOT(ISNA(VLOOKUP(E1317,E$1:E1316,1,FALSE()))),"OLD",IF(AND(E1317&lt;&gt;"",E1317&lt;&gt;"!!!"),"NEW","")))</f>
        <v> </v>
      </c>
      <c r="G1317" s="24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5" t="str">
        <f>IF(J1317&lt;&gt;1,"",IF(I1317="SBJ","CB","?"))</f>
        <v> </v>
      </c>
      <c r="I1317" s="26" t="str">
        <f>IF(OR(E1317="",E1317="!!!",F1317="NEW"),"",INDEX(B1316:B$2,-1+SUMPRODUCT(MAX(ROW(E1316:E$2)*(E1317=E1316:E$2)))))</f>
        <v> </v>
      </c>
      <c r="J1317" s="26" t="str">
        <f>IF(OR(E1317="",E1317="!!!",F1317="NEW"),"",COUNTBLANK(OFFSET(A$1,,,SUMPRODUCT(MAX(ROW(E$2:E1317)*(E1317=E$2:E1317)))))-COUNTBLANK(OFFSET(A$1,,,SUMPRODUCT(MAX(ROW(E$1:E1316)*(E2=E$1:E1316))))))</f>
        <v> </v>
      </c>
      <c r="K1317" s="26" t="str">
        <f>IF(OR(E1317="",E1317="!!!",F1317="NEW"),"",INDEX(J$1:J1316,SUMPRODUCT(MAX(ROW(E$1:E1316)*(E1317=E$1:E1316)))))</f>
        <v> </v>
      </c>
      <c r="L1317" s="27"/>
    </row>
    <row r="1318" spans="1:12">
      <c r="A1318" s="20" t="s">
        <v>1269</v>
      </c>
      <c r="B1318" s="21" t="s">
        <v>585</v>
      </c>
      <c r="C1318" s="21" t="s">
        <v>1270</v>
      </c>
      <c r="E1318" s="22">
        <f>IF(D1318="?OLD","!!!","")</f>
        <v/>
      </c>
      <c r="F1318" s="23" t="str">
        <f>IF(OR(E1318="",E1318="!!!"),"",IF(NOT(ISNA(VLOOKUP(E1318,E$1:E1317,1,FALSE()))),"OLD",IF(AND(E1318&lt;&gt;"",E1318&lt;&gt;"!!!"),"NEW","")))</f>
        <v> </v>
      </c>
      <c r="G1318" s="24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5" t="str">
        <f>IF(J1318&lt;&gt;1,"",IF(I1318="SBJ","CB","?"))</f>
        <v> </v>
      </c>
      <c r="I1318" s="26" t="str">
        <f>IF(OR(E1318="",E1318="!!!",F1318="NEW"),"",INDEX(B1317:B$2,-1+SUMPRODUCT(MAX(ROW(E1317:E$2)*(E1318=E1317:E$2)))))</f>
        <v> </v>
      </c>
      <c r="J1318" s="26" t="str">
        <f>IF(OR(E1318="",E1318="!!!",F1318="NEW"),"",COUNTBLANK(OFFSET(A$1,,,SUMPRODUCT(MAX(ROW(E$2:E1318)*(E1318=E$2:E1318)))))-COUNTBLANK(OFFSET(A$1,,,SUMPRODUCT(MAX(ROW(E$1:E1317)*(E2=E$1:E1317))))))</f>
        <v> </v>
      </c>
      <c r="K1318" s="26" t="str">
        <f>IF(OR(E1318="",E1318="!!!",F1318="NEW"),"",INDEX(J$1:J1317,SUMPRODUCT(MAX(ROW(E$1:E1317)*(E1318=E$1:E1317)))))</f>
        <v> </v>
      </c>
      <c r="L1318" s="27"/>
    </row>
    <row r="1319" spans="1:12">
      <c r="A1319" s="20" t="s">
        <v>1236</v>
      </c>
      <c r="B1319" s="21" t="s">
        <v>590</v>
      </c>
      <c r="C1319" s="21" t="s">
        <v>613</v>
      </c>
      <c r="D1319" s="21" t="s">
        <v>587</v>
      </c>
      <c r="E1319" s="22">
        <f>IF(D1319="?OLD","!!!","")</f>
        <v/>
      </c>
      <c r="F1319" s="23" t="str">
        <f>IF(OR(E1319="",E1319="!!!"),"",IF(NOT(ISNA(VLOOKUP(E1319,E$1:E1318,1,FALSE()))),"OLD",IF(AND(E1319&lt;&gt;"",E1319&lt;&gt;"!!!"),"NEW","")))</f>
        <v> </v>
      </c>
      <c r="G1319" s="24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5" t="str">
        <f>IF(J1319&lt;&gt;1,"",IF(I1319="SBJ","CB","?"))</f>
        <v> </v>
      </c>
      <c r="I1319" s="26" t="str">
        <f>IF(OR(E1319="",E1319="!!!",F1319="NEW"),"",INDEX(B1318:B$2,-1+SUMPRODUCT(MAX(ROW(E1318:E$2)*(E1319=E1318:E$2)))))</f>
        <v> </v>
      </c>
      <c r="J1319" s="26" t="str">
        <f>IF(OR(E1319="",E1319="!!!",F1319="NEW"),"",COUNTBLANK(OFFSET(A$1,,,SUMPRODUCT(MAX(ROW(E$2:E1319)*(E1319=E$2:E1319)))))-COUNTBLANK(OFFSET(A$1,,,SUMPRODUCT(MAX(ROW(E$1:E1318)*(E2=E$1:E1318))))))</f>
        <v> </v>
      </c>
      <c r="K1319" s="26" t="str">
        <f>IF(OR(E1319="",E1319="!!!",F1319="NEW"),"",INDEX(J$1:J1318,SUMPRODUCT(MAX(ROW(E$1:E1318)*(E1319=E$1:E1318)))))</f>
        <v> </v>
      </c>
      <c r="L1319" s="27"/>
    </row>
    <row r="1320" spans="1:12">
      <c r="A1320" s="20" t="s">
        <v>1271</v>
      </c>
      <c r="B1320" s="21" t="s">
        <v>635</v>
      </c>
      <c r="C1320" s="21" t="s">
        <v>613</v>
      </c>
      <c r="D1320" s="21" t="s">
        <v>587</v>
      </c>
      <c r="E1320" s="22">
        <f>IF(D1320="?OLD","!!!","")</f>
        <v/>
      </c>
      <c r="F1320" s="23" t="str">
        <f>IF(OR(E1320="",E1320="!!!"),"",IF(NOT(ISNA(VLOOKUP(E1320,E$1:E1319,1,FALSE()))),"OLD",IF(AND(E1320&lt;&gt;"",E1320&lt;&gt;"!!!"),"NEW","")))</f>
        <v> </v>
      </c>
      <c r="G1320" s="24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5" t="str">
        <f>IF(J1320&lt;&gt;1,"",IF(I1320="SBJ","CB","?"))</f>
        <v> </v>
      </c>
      <c r="I1320" s="26" t="str">
        <f>IF(OR(E1320="",E1320="!!!",F1320="NEW"),"",INDEX(B1319:B$2,-1+SUMPRODUCT(MAX(ROW(E1319:E$2)*(E1320=E1319:E$2)))))</f>
        <v> </v>
      </c>
      <c r="J1320" s="26" t="str">
        <f>IF(OR(E1320="",E1320="!!!",F1320="NEW"),"",COUNTBLANK(OFFSET(A$1,,,SUMPRODUCT(MAX(ROW(E$2:E1320)*(E1320=E$2:E1320)))))-COUNTBLANK(OFFSET(A$1,,,SUMPRODUCT(MAX(ROW(E$1:E1319)*(E2=E$1:E1319))))))</f>
        <v> </v>
      </c>
      <c r="K1320" s="26" t="str">
        <f>IF(OR(E1320="",E1320="!!!",F1320="NEW"),"",INDEX(J$1:J1319,SUMPRODUCT(MAX(ROW(E$1:E1319)*(E1320=E$1:E1319)))))</f>
        <v> </v>
      </c>
      <c r="L1320" s="27"/>
    </row>
    <row r="1321" spans="1:12">
      <c r="A1321" s="20" t="s">
        <v>630</v>
      </c>
      <c r="E1321" s="22">
        <f>IF(D1321="?OLD","!!!","")</f>
        <v/>
      </c>
      <c r="F1321" s="23" t="str">
        <f>IF(OR(E1321="",E1321="!!!"),"",IF(NOT(ISNA(VLOOKUP(E1321,E$1:E1320,1,FALSE()))),"OLD",IF(AND(E1321&lt;&gt;"",E1321&lt;&gt;"!!!"),"NEW","")))</f>
        <v> </v>
      </c>
      <c r="G1321" s="24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5" t="str">
        <f>IF(J1321&lt;&gt;1,"",IF(I1321="SBJ","CB","?"))</f>
        <v> </v>
      </c>
      <c r="I1321" s="26" t="str">
        <f>IF(OR(E1321="",E1321="!!!",F1321="NEW"),"",INDEX(B1320:B$2,-1+SUMPRODUCT(MAX(ROW(E1320:E$2)*(E1321=E1320:E$2)))))</f>
        <v> </v>
      </c>
      <c r="J1321" s="26" t="str">
        <f>IF(OR(E1321="",E1321="!!!",F1321="NEW"),"",COUNTBLANK(OFFSET(A$1,,,SUMPRODUCT(MAX(ROW(E$2:E1321)*(E1321=E$2:E1321)))))-COUNTBLANK(OFFSET(A$1,,,SUMPRODUCT(MAX(ROW(E$1:E1320)*(E2=E$1:E1320))))))</f>
        <v> </v>
      </c>
      <c r="K1321" s="26" t="str">
        <f>IF(OR(E1321="",E1321="!!!",F1321="NEW"),"",INDEX(J$1:J1320,SUMPRODUCT(MAX(ROW(E$1:E1320)*(E1321=E$1:E1320)))))</f>
        <v> </v>
      </c>
      <c r="L1321" s="27"/>
    </row>
    <row r="1322" spans="1:12">
      <c r="A1322" s="20" t="s">
        <v>944</v>
      </c>
      <c r="E1322" s="22">
        <f>IF(D1322="?OLD","!!!","")</f>
        <v/>
      </c>
      <c r="F1322" s="23" t="str">
        <f>IF(OR(E1322="",E1322="!!!"),"",IF(NOT(ISNA(VLOOKUP(E1322,E$1:E1321,1,FALSE()))),"OLD",IF(AND(E1322&lt;&gt;"",E1322&lt;&gt;"!!!"),"NEW","")))</f>
        <v> </v>
      </c>
      <c r="G1322" s="24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5" t="str">
        <f>IF(J1322&lt;&gt;1,"",IF(I1322="SBJ","CB","?"))</f>
        <v> </v>
      </c>
      <c r="I1322" s="26" t="str">
        <f>IF(OR(E1322="",E1322="!!!",F1322="NEW"),"",INDEX(B1321:B$2,-1+SUMPRODUCT(MAX(ROW(E1321:E$2)*(E1322=E1321:E$2)))))</f>
        <v> </v>
      </c>
      <c r="J1322" s="26" t="str">
        <f>IF(OR(E1322="",E1322="!!!",F1322="NEW"),"",COUNTBLANK(OFFSET(A$1,,,SUMPRODUCT(MAX(ROW(E$2:E1322)*(E1322=E$2:E1322)))))-COUNTBLANK(OFFSET(A$1,,,SUMPRODUCT(MAX(ROW(E$1:E1321)*(E2=E$1:E1321))))))</f>
        <v> </v>
      </c>
      <c r="K1322" s="26" t="str">
        <f>IF(OR(E1322="",E1322="!!!",F1322="NEW"),"",INDEX(J$1:J1321,SUMPRODUCT(MAX(ROW(E$1:E1321)*(E1322=E$1:E1321)))))</f>
        <v> </v>
      </c>
      <c r="L1322" s="27"/>
    </row>
    <row r="1323" spans="1:12">
      <c r="A1323" s="20" t="s">
        <v>592</v>
      </c>
      <c r="E1323" s="22">
        <f>IF(D1323="?OLD","!!!","")</f>
        <v/>
      </c>
      <c r="F1323" s="23" t="str">
        <f>IF(OR(E1323="",E1323="!!!"),"",IF(NOT(ISNA(VLOOKUP(E1323,E$1:E1322,1,FALSE()))),"OLD",IF(AND(E1323&lt;&gt;"",E1323&lt;&gt;"!!!"),"NEW","")))</f>
        <v> </v>
      </c>
      <c r="G1323" s="24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5" t="str">
        <f>IF(J1323&lt;&gt;1,"",IF(I1323="SBJ","CB","?"))</f>
        <v> </v>
      </c>
      <c r="I1323" s="26" t="str">
        <f>IF(OR(E1323="",E1323="!!!",F1323="NEW"),"",INDEX(B1322:B$2,-1+SUMPRODUCT(MAX(ROW(E1322:E$2)*(E1323=E1322:E$2)))))</f>
        <v> </v>
      </c>
      <c r="J1323" s="26" t="str">
        <f>IF(OR(E1323="",E1323="!!!",F1323="NEW"),"",COUNTBLANK(OFFSET(A$1,,,SUMPRODUCT(MAX(ROW(E$2:E1323)*(E1323=E$2:E1323)))))-COUNTBLANK(OFFSET(A$1,,,SUMPRODUCT(MAX(ROW(E$1:E1322)*(E2=E$1:E1322))))))</f>
        <v> </v>
      </c>
      <c r="K1323" s="26" t="str">
        <f>IF(OR(E1323="",E1323="!!!",F1323="NEW"),"",INDEX(J$1:J1322,SUMPRODUCT(MAX(ROW(E$1:E1322)*(E1323=E$1:E1322)))))</f>
        <v> </v>
      </c>
      <c r="L1323" s="27"/>
    </row>
    <row r="1324" spans="1:12">
      <c r="A1324" s="20"/>
    </row>
    <row r="1325" spans="1:12">
      <c r="A1325" s="20" t="s">
        <v>1272</v>
      </c>
    </row>
    <row r="1326" spans="1:12">
      <c r="A1326" s="20" t="s">
        <v>1273</v>
      </c>
      <c r="B1326" s="21" t="s">
        <v>578</v>
      </c>
      <c r="C1326" s="21" t="s">
        <v>613</v>
      </c>
      <c r="D1326" s="21" t="s">
        <v>587</v>
      </c>
      <c r="E1326" s="22">
        <f>IF(D1326="?OLD","!!!","")</f>
        <v/>
      </c>
      <c r="F1326" s="23" t="str">
        <f>IF(OR(E1326="",E1326="!!!"),"",IF(NOT(ISNA(VLOOKUP(E1326,E$1:E1325,1,FALSE()))),"OLD",IF(AND(E1326&lt;&gt;"",E1326&lt;&gt;"!!!"),"NEW","")))</f>
        <v> </v>
      </c>
      <c r="G1326" s="24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5" t="str">
        <f>IF(J1326&lt;&gt;1,"",IF(I1326="SBJ","CB","?"))</f>
        <v> </v>
      </c>
      <c r="I1326" s="26" t="str">
        <f>IF(OR(E1326="",E1326="!!!",F1326="NEW"),"",INDEX(B1325:B$2,-1+SUMPRODUCT(MAX(ROW(E1325:E$2)*(E1326=E1325:E$2)))))</f>
        <v> </v>
      </c>
      <c r="J1326" s="26" t="str">
        <f>IF(OR(E1326="",E1326="!!!",F1326="NEW"),"",COUNTBLANK(OFFSET(A$1,,,SUMPRODUCT(MAX(ROW(E$2:E1326)*(E1326=E$2:E1326)))))-COUNTBLANK(OFFSET(A$1,,,SUMPRODUCT(MAX(ROW(E$1:E1325)*(E2=E$1:E1325))))))</f>
        <v> </v>
      </c>
      <c r="K1326" s="26" t="str">
        <f>IF(OR(E1326="",E1326="!!!",F1326="NEW"),"",INDEX(J$1:J1325,SUMPRODUCT(MAX(ROW(E$1:E1325)*(E1326=E$1:E1325)))))</f>
        <v> </v>
      </c>
      <c r="L1326" s="27"/>
    </row>
    <row r="1327" spans="1:12">
      <c r="A1327" s="20" t="s">
        <v>1274</v>
      </c>
      <c r="E1327" s="22">
        <f>IF(D1327="?OLD","!!!","")</f>
        <v/>
      </c>
      <c r="F1327" s="23" t="str">
        <f>IF(OR(E1327="",E1327="!!!"),"",IF(NOT(ISNA(VLOOKUP(E1327,E$1:E1326,1,FALSE()))),"OLD",IF(AND(E1327&lt;&gt;"",E1327&lt;&gt;"!!!"),"NEW","")))</f>
        <v> </v>
      </c>
      <c r="G1327" s="24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5" t="str">
        <f>IF(J1327&lt;&gt;1,"",IF(I1327="SBJ","CB","?"))</f>
        <v> </v>
      </c>
      <c r="I1327" s="26" t="str">
        <f>IF(OR(E1327="",E1327="!!!",F1327="NEW"),"",INDEX(B1326:B$2,-1+SUMPRODUCT(MAX(ROW(E1326:E$2)*(E1327=E1326:E$2)))))</f>
        <v> </v>
      </c>
      <c r="J1327" s="26" t="str">
        <f>IF(OR(E1327="",E1327="!!!",F1327="NEW"),"",COUNTBLANK(OFFSET(A$1,,,SUMPRODUCT(MAX(ROW(E$2:E1327)*(E1327=E$2:E1327)))))-COUNTBLANK(OFFSET(A$1,,,SUMPRODUCT(MAX(ROW(E$1:E1326)*(E2=E$1:E1326))))))</f>
        <v> </v>
      </c>
      <c r="K1327" s="26" t="str">
        <f>IF(OR(E1327="",E1327="!!!",F1327="NEW"),"",INDEX(J$1:J1326,SUMPRODUCT(MAX(ROW(E$1:E1326)*(E1327=E$1:E1326)))))</f>
        <v> </v>
      </c>
      <c r="L1327" s="27"/>
    </row>
    <row r="1328" spans="1:12">
      <c r="A1328" s="20" t="s">
        <v>592</v>
      </c>
      <c r="E1328" s="22">
        <f>IF(D1328="?OLD","!!!","")</f>
        <v/>
      </c>
      <c r="F1328" s="23" t="str">
        <f>IF(OR(E1328="",E1328="!!!"),"",IF(NOT(ISNA(VLOOKUP(E1328,E$1:E1327,1,FALSE()))),"OLD",IF(AND(E1328&lt;&gt;"",E1328&lt;&gt;"!!!"),"NEW","")))</f>
        <v> </v>
      </c>
      <c r="G1328" s="24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5" t="str">
        <f>IF(J1328&lt;&gt;1,"",IF(I1328="SBJ","CB","?"))</f>
        <v> </v>
      </c>
      <c r="I1328" s="26" t="str">
        <f>IF(OR(E1328="",E1328="!!!",F1328="NEW"),"",INDEX(B1327:B$2,-1+SUMPRODUCT(MAX(ROW(E1327:E$2)*(E1328=E1327:E$2)))))</f>
        <v> </v>
      </c>
      <c r="J1328" s="26" t="str">
        <f>IF(OR(E1328="",E1328="!!!",F1328="NEW"),"",COUNTBLANK(OFFSET(A$1,,,SUMPRODUCT(MAX(ROW(E$2:E1328)*(E1328=E$2:E1328)))))-COUNTBLANK(OFFSET(A$1,,,SUMPRODUCT(MAX(ROW(E$1:E1327)*(E2=E$1:E1327))))))</f>
        <v> </v>
      </c>
      <c r="K1328" s="26" t="str">
        <f>IF(OR(E1328="",E1328="!!!",F1328="NEW"),"",INDEX(J$1:J1327,SUMPRODUCT(MAX(ROW(E$1:E1327)*(E1328=E$1:E1327)))))</f>
        <v> </v>
      </c>
      <c r="L1328" s="27"/>
    </row>
    <row r="1329" spans="1:12">
      <c r="A1329" s="20"/>
    </row>
    <row r="1330" spans="1:12">
      <c r="A1330" s="20" t="s">
        <v>1275</v>
      </c>
    </row>
    <row r="1331" spans="1:12">
      <c r="A1331" s="20" t="s">
        <v>1273</v>
      </c>
      <c r="B1331" s="21" t="s">
        <v>578</v>
      </c>
      <c r="C1331" s="21" t="s">
        <v>613</v>
      </c>
      <c r="D1331" s="21" t="s">
        <v>587</v>
      </c>
      <c r="E1331" s="22">
        <f>IF(D1331="?OLD","!!!","")</f>
        <v/>
      </c>
      <c r="F1331" s="23" t="str">
        <f>IF(OR(E1331="",E1331="!!!"),"",IF(NOT(ISNA(VLOOKUP(E1331,E$1:E1330,1,FALSE()))),"OLD",IF(AND(E1331&lt;&gt;"",E1331&lt;&gt;"!!!"),"NEW","")))</f>
        <v> </v>
      </c>
      <c r="G1331" s="24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5" t="str">
        <f>IF(J1331&lt;&gt;1,"",IF(I1331="SBJ","CB","?"))</f>
        <v> </v>
      </c>
      <c r="I1331" s="26" t="str">
        <f>IF(OR(E1331="",E1331="!!!",F1331="NEW"),"",INDEX(B1330:B$2,-1+SUMPRODUCT(MAX(ROW(E1330:E$2)*(E1331=E1330:E$2)))))</f>
        <v> </v>
      </c>
      <c r="J1331" s="26" t="str">
        <f>IF(OR(E1331="",E1331="!!!",F1331="NEW"),"",COUNTBLANK(OFFSET(A$1,,,SUMPRODUCT(MAX(ROW(E$2:E1331)*(E1331=E$2:E1331)))))-COUNTBLANK(OFFSET(A$1,,,SUMPRODUCT(MAX(ROW(E$1:E1330)*(E2=E$1:E1330))))))</f>
        <v> </v>
      </c>
      <c r="K1331" s="26" t="str">
        <f>IF(OR(E1331="",E1331="!!!",F1331="NEW"),"",INDEX(J$1:J1330,SUMPRODUCT(MAX(ROW(E$1:E1330)*(E1331=E$1:E1330)))))</f>
        <v> </v>
      </c>
      <c r="L1331" s="27"/>
    </row>
    <row r="1332" spans="1:12">
      <c r="A1332" s="20" t="s">
        <v>273</v>
      </c>
      <c r="E1332" s="22">
        <f>IF(D1332="?OLD","!!!","")</f>
        <v/>
      </c>
      <c r="F1332" s="23" t="str">
        <f>IF(OR(E1332="",E1332="!!!"),"",IF(NOT(ISNA(VLOOKUP(E1332,E$1:E1331,1,FALSE()))),"OLD",IF(AND(E1332&lt;&gt;"",E1332&lt;&gt;"!!!"),"NEW","")))</f>
        <v> </v>
      </c>
      <c r="G1332" s="24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5" t="str">
        <f>IF(J1332&lt;&gt;1,"",IF(I1332="SBJ","CB","?"))</f>
        <v> </v>
      </c>
      <c r="I1332" s="26" t="str">
        <f>IF(OR(E1332="",E1332="!!!",F1332="NEW"),"",INDEX(B1331:B$2,-1+SUMPRODUCT(MAX(ROW(E1331:E$2)*(E1332=E1331:E$2)))))</f>
        <v> </v>
      </c>
      <c r="J1332" s="26" t="str">
        <f>IF(OR(E1332="",E1332="!!!",F1332="NEW"),"",COUNTBLANK(OFFSET(A$1,,,SUMPRODUCT(MAX(ROW(E$2:E1332)*(E1332=E$2:E1332)))))-COUNTBLANK(OFFSET(A$1,,,SUMPRODUCT(MAX(ROW(E$1:E1331)*(E2=E$1:E1331))))))</f>
        <v> </v>
      </c>
      <c r="K1332" s="26" t="str">
        <f>IF(OR(E1332="",E1332="!!!",F1332="NEW"),"",INDEX(J$1:J1331,SUMPRODUCT(MAX(ROW(E$1:E1331)*(E1332=E$1:E1331)))))</f>
        <v> </v>
      </c>
      <c r="L1332" s="27"/>
    </row>
    <row r="1333" spans="1:12">
      <c r="A1333" s="20" t="s">
        <v>592</v>
      </c>
      <c r="E1333" s="22">
        <f>IF(D1333="?OLD","!!!","")</f>
        <v/>
      </c>
      <c r="F1333" s="23" t="str">
        <f>IF(OR(E1333="",E1333="!!!"),"",IF(NOT(ISNA(VLOOKUP(E1333,E$1:E1332,1,FALSE()))),"OLD",IF(AND(E1333&lt;&gt;"",E1333&lt;&gt;"!!!"),"NEW","")))</f>
        <v> </v>
      </c>
      <c r="G1333" s="24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5" t="str">
        <f>IF(J1333&lt;&gt;1,"",IF(I1333="SBJ","CB","?"))</f>
        <v> </v>
      </c>
      <c r="I1333" s="26" t="str">
        <f>IF(OR(E1333="",E1333="!!!",F1333="NEW"),"",INDEX(B1332:B$2,-1+SUMPRODUCT(MAX(ROW(E1332:E$2)*(E1333=E1332:E$2)))))</f>
        <v> </v>
      </c>
      <c r="J1333" s="26" t="str">
        <f>IF(OR(E1333="",E1333="!!!",F1333="NEW"),"",COUNTBLANK(OFFSET(A$1,,,SUMPRODUCT(MAX(ROW(E$2:E1333)*(E1333=E$2:E1333)))))-COUNTBLANK(OFFSET(A$1,,,SUMPRODUCT(MAX(ROW(E$1:E1332)*(E2=E$1:E1332))))))</f>
        <v> </v>
      </c>
      <c r="K1333" s="26" t="str">
        <f>IF(OR(E1333="",E1333="!!!",F1333="NEW"),"",INDEX(J$1:J1332,SUMPRODUCT(MAX(ROW(E$1:E1332)*(E1333=E$1:E1332)))))</f>
        <v> </v>
      </c>
      <c r="L1333" s="27"/>
    </row>
    <row r="1334" spans="1:12">
      <c r="A1334" s="20"/>
    </row>
    <row r="1335" spans="1:12">
      <c r="A1335" s="20" t="s">
        <v>1276</v>
      </c>
    </row>
    <row r="1336" spans="1:12">
      <c r="A1336" s="20" t="s">
        <v>1273</v>
      </c>
      <c r="B1336" s="21" t="s">
        <v>578</v>
      </c>
      <c r="C1336" s="21" t="s">
        <v>613</v>
      </c>
      <c r="D1336" s="21" t="s">
        <v>587</v>
      </c>
      <c r="E1336" s="22">
        <f>IF(D1336="?OLD","!!!","")</f>
        <v/>
      </c>
      <c r="F1336" s="23" t="str">
        <f>IF(OR(E1336="",E1336="!!!"),"",IF(NOT(ISNA(VLOOKUP(E1336,E$1:E1335,1,FALSE()))),"OLD",IF(AND(E1336&lt;&gt;"",E1336&lt;&gt;"!!!"),"NEW","")))</f>
        <v> </v>
      </c>
      <c r="G1336" s="24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5" t="str">
        <f>IF(J1336&lt;&gt;1,"",IF(I1336="SBJ","CB","?"))</f>
        <v> </v>
      </c>
      <c r="I1336" s="26" t="str">
        <f>IF(OR(E1336="",E1336="!!!",F1336="NEW"),"",INDEX(B1335:B$2,-1+SUMPRODUCT(MAX(ROW(E1335:E$2)*(E1336=E1335:E$2)))))</f>
        <v> </v>
      </c>
      <c r="J1336" s="26" t="str">
        <f>IF(OR(E1336="",E1336="!!!",F1336="NEW"),"",COUNTBLANK(OFFSET(A$1,,,SUMPRODUCT(MAX(ROW(E$2:E1336)*(E1336=E$2:E1336)))))-COUNTBLANK(OFFSET(A$1,,,SUMPRODUCT(MAX(ROW(E$1:E1335)*(E2=E$1:E1335))))))</f>
        <v> </v>
      </c>
      <c r="K1336" s="26" t="str">
        <f>IF(OR(E1336="",E1336="!!!",F1336="NEW"),"",INDEX(J$1:J1335,SUMPRODUCT(MAX(ROW(E$1:E1335)*(E1336=E$1:E1335)))))</f>
        <v> </v>
      </c>
      <c r="L1336" s="27"/>
    </row>
    <row r="1337" spans="1:12">
      <c r="A1337" s="20" t="s">
        <v>1277</v>
      </c>
      <c r="E1337" s="22">
        <f>IF(D1337="?OLD","!!!","")</f>
        <v/>
      </c>
      <c r="F1337" s="23" t="str">
        <f>IF(OR(E1337="",E1337="!!!"),"",IF(NOT(ISNA(VLOOKUP(E1337,E$1:E1336,1,FALSE()))),"OLD",IF(AND(E1337&lt;&gt;"",E1337&lt;&gt;"!!!"),"NEW","")))</f>
        <v> </v>
      </c>
      <c r="G1337" s="24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5" t="str">
        <f>IF(J1337&lt;&gt;1,"",IF(I1337="SBJ","CB","?"))</f>
        <v> </v>
      </c>
      <c r="I1337" s="26" t="str">
        <f>IF(OR(E1337="",E1337="!!!",F1337="NEW"),"",INDEX(B1336:B$2,-1+SUMPRODUCT(MAX(ROW(E1336:E$2)*(E1337=E1336:E$2)))))</f>
        <v> </v>
      </c>
      <c r="J1337" s="26" t="str">
        <f>IF(OR(E1337="",E1337="!!!",F1337="NEW"),"",COUNTBLANK(OFFSET(A$1,,,SUMPRODUCT(MAX(ROW(E$2:E1337)*(E1337=E$2:E1337)))))-COUNTBLANK(OFFSET(A$1,,,SUMPRODUCT(MAX(ROW(E$1:E1336)*(E2=E$1:E1336))))))</f>
        <v> </v>
      </c>
      <c r="K1337" s="26" t="str">
        <f>IF(OR(E1337="",E1337="!!!",F1337="NEW"),"",INDEX(J$1:J1336,SUMPRODUCT(MAX(ROW(E$1:E1336)*(E1337=E$1:E1336)))))</f>
        <v> </v>
      </c>
      <c r="L1337" s="27"/>
    </row>
    <row r="1338" spans="1:12">
      <c r="A1338" s="20" t="s">
        <v>753</v>
      </c>
      <c r="E1338" s="22">
        <f>IF(D1338="?OLD","!!!","")</f>
        <v/>
      </c>
      <c r="F1338" s="23" t="str">
        <f>IF(OR(E1338="",E1338="!!!"),"",IF(NOT(ISNA(VLOOKUP(E1338,E$1:E1337,1,FALSE()))),"OLD",IF(AND(E1338&lt;&gt;"",E1338&lt;&gt;"!!!"),"NEW","")))</f>
        <v> </v>
      </c>
      <c r="G1338" s="24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5" t="str">
        <f>IF(J1338&lt;&gt;1,"",IF(I1338="SBJ","CB","?"))</f>
        <v> </v>
      </c>
      <c r="I1338" s="26" t="str">
        <f>IF(OR(E1338="",E1338="!!!",F1338="NEW"),"",INDEX(B1337:B$2,-1+SUMPRODUCT(MAX(ROW(E1337:E$2)*(E1338=E1337:E$2)))))</f>
        <v> </v>
      </c>
      <c r="J1338" s="26" t="str">
        <f>IF(OR(E1338="",E1338="!!!",F1338="NEW"),"",COUNTBLANK(OFFSET(A$1,,,SUMPRODUCT(MAX(ROW(E$2:E1338)*(E1338=E$2:E1338)))))-COUNTBLANK(OFFSET(A$1,,,SUMPRODUCT(MAX(ROW(E$1:E1337)*(E2=E$1:E1337))))))</f>
        <v> </v>
      </c>
      <c r="K1338" s="26" t="str">
        <f>IF(OR(E1338="",E1338="!!!",F1338="NEW"),"",INDEX(J$1:J1337,SUMPRODUCT(MAX(ROW(E$1:E1337)*(E1338=E$1:E1337)))))</f>
        <v> </v>
      </c>
      <c r="L1338" s="27"/>
    </row>
    <row r="1339" spans="1:12">
      <c r="A1339" s="20" t="s">
        <v>1278</v>
      </c>
      <c r="E1339" s="22">
        <f>IF(D1339="?OLD","!!!","")</f>
        <v/>
      </c>
      <c r="F1339" s="23" t="str">
        <f>IF(OR(E1339="",E1339="!!!"),"",IF(NOT(ISNA(VLOOKUP(E1339,E$1:E1338,1,FALSE()))),"OLD",IF(AND(E1339&lt;&gt;"",E1339&lt;&gt;"!!!"),"NEW","")))</f>
        <v> </v>
      </c>
      <c r="G1339" s="24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5" t="str">
        <f>IF(J1339&lt;&gt;1,"",IF(I1339="SBJ","CB","?"))</f>
        <v> </v>
      </c>
      <c r="I1339" s="26" t="str">
        <f>IF(OR(E1339="",E1339="!!!",F1339="NEW"),"",INDEX(B1338:B$2,-1+SUMPRODUCT(MAX(ROW(E1338:E$2)*(E1339=E1338:E$2)))))</f>
        <v> </v>
      </c>
      <c r="J1339" s="26" t="str">
        <f>IF(OR(E1339="",E1339="!!!",F1339="NEW"),"",COUNTBLANK(OFFSET(A$1,,,SUMPRODUCT(MAX(ROW(E$2:E1339)*(E1339=E$2:E1339)))))-COUNTBLANK(OFFSET(A$1,,,SUMPRODUCT(MAX(ROW(E$1:E1338)*(E2=E$1:E1338))))))</f>
        <v> </v>
      </c>
      <c r="K1339" s="26" t="str">
        <f>IF(OR(E1339="",E1339="!!!",F1339="NEW"),"",INDEX(J$1:J1338,SUMPRODUCT(MAX(ROW(E$1:E1338)*(E1339=E$1:E1338)))))</f>
        <v> </v>
      </c>
      <c r="L1339" s="27"/>
    </row>
    <row r="1340" spans="1:12">
      <c r="A1340" s="20" t="s">
        <v>753</v>
      </c>
      <c r="E1340" s="22">
        <f>IF(D1340="?OLD","!!!","")</f>
        <v/>
      </c>
      <c r="F1340" s="23" t="str">
        <f>IF(OR(E1340="",E1340="!!!"),"",IF(NOT(ISNA(VLOOKUP(E1340,E$1:E1339,1,FALSE()))),"OLD",IF(AND(E1340&lt;&gt;"",E1340&lt;&gt;"!!!"),"NEW","")))</f>
        <v> </v>
      </c>
      <c r="G1340" s="24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5" t="str">
        <f>IF(J1340&lt;&gt;1,"",IF(I1340="SBJ","CB","?"))</f>
        <v> </v>
      </c>
      <c r="I1340" s="26" t="str">
        <f>IF(OR(E1340="",E1340="!!!",F1340="NEW"),"",INDEX(B1339:B$2,-1+SUMPRODUCT(MAX(ROW(E1339:E$2)*(E1340=E1339:E$2)))))</f>
        <v> </v>
      </c>
      <c r="J1340" s="26" t="str">
        <f>IF(OR(E1340="",E1340="!!!",F1340="NEW"),"",COUNTBLANK(OFFSET(A$1,,,SUMPRODUCT(MAX(ROW(E$2:E1340)*(E1340=E$2:E1340)))))-COUNTBLANK(OFFSET(A$1,,,SUMPRODUCT(MAX(ROW(E$1:E1339)*(E2=E$1:E1339))))))</f>
        <v> </v>
      </c>
      <c r="K1340" s="26" t="str">
        <f>IF(OR(E1340="",E1340="!!!",F1340="NEW"),"",INDEX(J$1:J1339,SUMPRODUCT(MAX(ROW(E$1:E1339)*(E1340=E$1:E1339)))))</f>
        <v> </v>
      </c>
      <c r="L1340" s="27"/>
    </row>
    <row r="1341" spans="1:12">
      <c r="A1341" s="20" t="s">
        <v>1279</v>
      </c>
      <c r="E1341" s="22">
        <f>IF(D1341="?OLD","!!!","")</f>
        <v/>
      </c>
      <c r="F1341" s="23" t="str">
        <f>IF(OR(E1341="",E1341="!!!"),"",IF(NOT(ISNA(VLOOKUP(E1341,E$1:E1340,1,FALSE()))),"OLD",IF(AND(E1341&lt;&gt;"",E1341&lt;&gt;"!!!"),"NEW","")))</f>
        <v> </v>
      </c>
      <c r="G1341" s="24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5" t="str">
        <f>IF(J1341&lt;&gt;1,"",IF(I1341="SBJ","CB","?"))</f>
        <v> </v>
      </c>
      <c r="I1341" s="26" t="str">
        <f>IF(OR(E1341="",E1341="!!!",F1341="NEW"),"",INDEX(B1340:B$2,-1+SUMPRODUCT(MAX(ROW(E1340:E$2)*(E1341=E1340:E$2)))))</f>
        <v> </v>
      </c>
      <c r="J1341" s="26" t="str">
        <f>IF(OR(E1341="",E1341="!!!",F1341="NEW"),"",COUNTBLANK(OFFSET(A$1,,,SUMPRODUCT(MAX(ROW(E$2:E1341)*(E1341=E$2:E1341)))))-COUNTBLANK(OFFSET(A$1,,,SUMPRODUCT(MAX(ROW(E$1:E1340)*(E2=E$1:E1340))))))</f>
        <v> </v>
      </c>
      <c r="K1341" s="26" t="str">
        <f>IF(OR(E1341="",E1341="!!!",F1341="NEW"),"",INDEX(J$1:J1340,SUMPRODUCT(MAX(ROW(E$1:E1340)*(E1341=E$1:E1340)))))</f>
        <v> </v>
      </c>
      <c r="L1341" s="27"/>
    </row>
    <row r="1342" spans="1:12">
      <c r="A1342" s="20" t="s">
        <v>583</v>
      </c>
      <c r="E1342" s="22">
        <f>IF(D1342="?OLD","!!!","")</f>
        <v/>
      </c>
      <c r="F1342" s="23" t="str">
        <f>IF(OR(E1342="",E1342="!!!"),"",IF(NOT(ISNA(VLOOKUP(E1342,E$1:E1341,1,FALSE()))),"OLD",IF(AND(E1342&lt;&gt;"",E1342&lt;&gt;"!!!"),"NEW","")))</f>
        <v> </v>
      </c>
      <c r="G1342" s="24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5" t="str">
        <f>IF(J1342&lt;&gt;1,"",IF(I1342="SBJ","CB","?"))</f>
        <v> </v>
      </c>
      <c r="I1342" s="26" t="str">
        <f>IF(OR(E1342="",E1342="!!!",F1342="NEW"),"",INDEX(B1341:B$2,-1+SUMPRODUCT(MAX(ROW(E1341:E$2)*(E1342=E1341:E$2)))))</f>
        <v> </v>
      </c>
      <c r="J1342" s="26" t="str">
        <f>IF(OR(E1342="",E1342="!!!",F1342="NEW"),"",COUNTBLANK(OFFSET(A$1,,,SUMPRODUCT(MAX(ROW(E$2:E1342)*(E1342=E$2:E1342)))))-COUNTBLANK(OFFSET(A$1,,,SUMPRODUCT(MAX(ROW(E$1:E1341)*(E2=E$1:E1341))))))</f>
        <v> </v>
      </c>
      <c r="K1342" s="26" t="str">
        <f>IF(OR(E1342="",E1342="!!!",F1342="NEW"),"",INDEX(J$1:J1341,SUMPRODUCT(MAX(ROW(E$1:E1341)*(E1342=E$1:E1341)))))</f>
        <v> </v>
      </c>
      <c r="L1342" s="27"/>
    </row>
    <row r="1343" spans="1:12">
      <c r="A1343" s="20" t="s">
        <v>1267</v>
      </c>
      <c r="E1343" s="22">
        <f>IF(D1343="?OLD","!!!","")</f>
        <v/>
      </c>
      <c r="F1343" s="23" t="str">
        <f>IF(OR(E1343="",E1343="!!!"),"",IF(NOT(ISNA(VLOOKUP(E1343,E$1:E1342,1,FALSE()))),"OLD",IF(AND(E1343&lt;&gt;"",E1343&lt;&gt;"!!!"),"NEW","")))</f>
        <v> </v>
      </c>
      <c r="G1343" s="24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5" t="str">
        <f>IF(J1343&lt;&gt;1,"",IF(I1343="SBJ","CB","?"))</f>
        <v> </v>
      </c>
      <c r="I1343" s="26" t="str">
        <f>IF(OR(E1343="",E1343="!!!",F1343="NEW"),"",INDEX(B1342:B$2,-1+SUMPRODUCT(MAX(ROW(E1342:E$2)*(E1343=E1342:E$2)))))</f>
        <v> </v>
      </c>
      <c r="J1343" s="26" t="str">
        <f>IF(OR(E1343="",E1343="!!!",F1343="NEW"),"",COUNTBLANK(OFFSET(A$1,,,SUMPRODUCT(MAX(ROW(E$2:E1343)*(E1343=E$2:E1343)))))-COUNTBLANK(OFFSET(A$1,,,SUMPRODUCT(MAX(ROW(E$1:E1342)*(E2=E$1:E1342))))))</f>
        <v> </v>
      </c>
      <c r="K1343" s="26" t="str">
        <f>IF(OR(E1343="",E1343="!!!",F1343="NEW"),"",INDEX(J$1:J1342,SUMPRODUCT(MAX(ROW(E$1:E1342)*(E1343=E$1:E1342)))))</f>
        <v> </v>
      </c>
      <c r="L1343" s="27"/>
    </row>
    <row r="1344" spans="1:12">
      <c r="A1344" s="20" t="s">
        <v>580</v>
      </c>
      <c r="E1344" s="22">
        <f>IF(D1344="?OLD","!!!","")</f>
        <v/>
      </c>
      <c r="F1344" s="23" t="str">
        <f>IF(OR(E1344="",E1344="!!!"),"",IF(NOT(ISNA(VLOOKUP(E1344,E$1:E1343,1,FALSE()))),"OLD",IF(AND(E1344&lt;&gt;"",E1344&lt;&gt;"!!!"),"NEW","")))</f>
        <v> </v>
      </c>
      <c r="G1344" s="24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5" t="str">
        <f>IF(J1344&lt;&gt;1,"",IF(I1344="SBJ","CB","?"))</f>
        <v> </v>
      </c>
      <c r="I1344" s="26" t="str">
        <f>IF(OR(E1344="",E1344="!!!",F1344="NEW"),"",INDEX(B1343:B$2,-1+SUMPRODUCT(MAX(ROW(E1343:E$2)*(E1344=E1343:E$2)))))</f>
        <v> </v>
      </c>
      <c r="J1344" s="26" t="str">
        <f>IF(OR(E1344="",E1344="!!!",F1344="NEW"),"",COUNTBLANK(OFFSET(A$1,,,SUMPRODUCT(MAX(ROW(E$2:E1344)*(E1344=E$2:E1344)))))-COUNTBLANK(OFFSET(A$1,,,SUMPRODUCT(MAX(ROW(E$1:E1343)*(E2=E$1:E1343))))))</f>
        <v> </v>
      </c>
      <c r="K1344" s="26" t="str">
        <f>IF(OR(E1344="",E1344="!!!",F1344="NEW"),"",INDEX(J$1:J1343,SUMPRODUCT(MAX(ROW(E$1:E1343)*(E1344=E$1:E1343)))))</f>
        <v> </v>
      </c>
      <c r="L1344" s="27"/>
    </row>
    <row r="1345" spans="1:12">
      <c r="A1345" s="20" t="s">
        <v>136</v>
      </c>
      <c r="E1345" s="22">
        <f>IF(D1345="?OLD","!!!","")</f>
        <v/>
      </c>
      <c r="F1345" s="23" t="str">
        <f>IF(OR(E1345="",E1345="!!!"),"",IF(NOT(ISNA(VLOOKUP(E1345,E$1:E1344,1,FALSE()))),"OLD",IF(AND(E1345&lt;&gt;"",E1345&lt;&gt;"!!!"),"NEW","")))</f>
        <v> </v>
      </c>
      <c r="G1345" s="24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5" t="str">
        <f>IF(J1345&lt;&gt;1,"",IF(I1345="SBJ","CB","?"))</f>
        <v> </v>
      </c>
      <c r="I1345" s="26" t="str">
        <f>IF(OR(E1345="",E1345="!!!",F1345="NEW"),"",INDEX(B1344:B$2,-1+SUMPRODUCT(MAX(ROW(E1344:E$2)*(E1345=E1344:E$2)))))</f>
        <v> </v>
      </c>
      <c r="J1345" s="26" t="str">
        <f>IF(OR(E1345="",E1345="!!!",F1345="NEW"),"",COUNTBLANK(OFFSET(A$1,,,SUMPRODUCT(MAX(ROW(E$2:E1345)*(E1345=E$2:E1345)))))-COUNTBLANK(OFFSET(A$1,,,SUMPRODUCT(MAX(ROW(E$1:E1344)*(E2=E$1:E1344))))))</f>
        <v> </v>
      </c>
      <c r="K1345" s="26" t="str">
        <f>IF(OR(E1345="",E1345="!!!",F1345="NEW"),"",INDEX(J$1:J1344,SUMPRODUCT(MAX(ROW(E$1:E1344)*(E1345=E$1:E1344)))))</f>
        <v> </v>
      </c>
      <c r="L1345" s="27"/>
    </row>
    <row r="1346" spans="1:12">
      <c r="A1346" s="20" t="s">
        <v>778</v>
      </c>
      <c r="E1346" s="22">
        <f>IF(D1346="?OLD","!!!","")</f>
        <v/>
      </c>
      <c r="F1346" s="23" t="str">
        <f>IF(OR(E1346="",E1346="!!!"),"",IF(NOT(ISNA(VLOOKUP(E1346,E$1:E1345,1,FALSE()))),"OLD",IF(AND(E1346&lt;&gt;"",E1346&lt;&gt;"!!!"),"NEW","")))</f>
        <v> </v>
      </c>
      <c r="G1346" s="24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5" t="str">
        <f>IF(J1346&lt;&gt;1,"",IF(I1346="SBJ","CB","?"))</f>
        <v> </v>
      </c>
      <c r="I1346" s="26" t="str">
        <f>IF(OR(E1346="",E1346="!!!",F1346="NEW"),"",INDEX(B1345:B$2,-1+SUMPRODUCT(MAX(ROW(E1345:E$2)*(E1346=E1345:E$2)))))</f>
        <v> </v>
      </c>
      <c r="J1346" s="26" t="str">
        <f>IF(OR(E1346="",E1346="!!!",F1346="NEW"),"",COUNTBLANK(OFFSET(A$1,,,SUMPRODUCT(MAX(ROW(E$2:E1346)*(E1346=E$2:E1346)))))-COUNTBLANK(OFFSET(A$1,,,SUMPRODUCT(MAX(ROW(E$1:E1345)*(E2=E$1:E1345))))))</f>
        <v> </v>
      </c>
      <c r="K1346" s="26" t="str">
        <f>IF(OR(E1346="",E1346="!!!",F1346="NEW"),"",INDEX(J$1:J1345,SUMPRODUCT(MAX(ROW(E$1:E1345)*(E1346=E$1:E1345)))))</f>
        <v> </v>
      </c>
      <c r="L1346" s="27"/>
    </row>
    <row r="1347" spans="1:12">
      <c r="A1347" s="20" t="s">
        <v>779</v>
      </c>
      <c r="B1347" s="21" t="s">
        <v>585</v>
      </c>
      <c r="C1347" s="21" t="s">
        <v>709</v>
      </c>
      <c r="D1347" s="21" t="s">
        <v>587</v>
      </c>
      <c r="E1347" s="22">
        <f>IF(D1347="?OLD","!!!","")</f>
        <v/>
      </c>
      <c r="F1347" s="23" t="str">
        <f>IF(OR(E1347="",E1347="!!!"),"",IF(NOT(ISNA(VLOOKUP(E1347,E$1:E1346,1,FALSE()))),"OLD",IF(AND(E1347&lt;&gt;"",E1347&lt;&gt;"!!!"),"NEW","")))</f>
        <v> </v>
      </c>
      <c r="G1347" s="24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5" t="str">
        <f>IF(J1347&lt;&gt;1,"",IF(I1347="SBJ","CB","?"))</f>
        <v> </v>
      </c>
      <c r="I1347" s="26" t="str">
        <f>IF(OR(E1347="",E1347="!!!",F1347="NEW"),"",INDEX(B1346:B$2,-1+SUMPRODUCT(MAX(ROW(E1346:E$2)*(E1347=E1346:E$2)))))</f>
        <v> </v>
      </c>
      <c r="J1347" s="26" t="str">
        <f>IF(OR(E1347="",E1347="!!!",F1347="NEW"),"",COUNTBLANK(OFFSET(A$1,,,SUMPRODUCT(MAX(ROW(E$2:E1347)*(E1347=E$2:E1347)))))-COUNTBLANK(OFFSET(A$1,,,SUMPRODUCT(MAX(ROW(E$1:E1346)*(E2=E$1:E1346))))))</f>
        <v> </v>
      </c>
      <c r="K1347" s="26" t="str">
        <f>IF(OR(E1347="",E1347="!!!",F1347="NEW"),"",INDEX(J$1:J1346,SUMPRODUCT(MAX(ROW(E$1:E1346)*(E1347=E$1:E1346)))))</f>
        <v> </v>
      </c>
      <c r="L1347" s="27"/>
    </row>
    <row r="1348" spans="1:12">
      <c r="A1348" s="20" t="s">
        <v>1236</v>
      </c>
      <c r="B1348" s="21" t="s">
        <v>590</v>
      </c>
      <c r="C1348" s="21" t="s">
        <v>613</v>
      </c>
      <c r="D1348" s="21" t="s">
        <v>587</v>
      </c>
      <c r="E1348" s="22">
        <f>IF(D1348="?OLD","!!!","")</f>
        <v/>
      </c>
      <c r="F1348" s="23" t="str">
        <f>IF(OR(E1348="",E1348="!!!"),"",IF(NOT(ISNA(VLOOKUP(E1348,E$1:E1347,1,FALSE()))),"OLD",IF(AND(E1348&lt;&gt;"",E1348&lt;&gt;"!!!"),"NEW","")))</f>
        <v> </v>
      </c>
      <c r="G1348" s="24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5" t="str">
        <f>IF(J1348&lt;&gt;1,"",IF(I1348="SBJ","CB","?"))</f>
        <v> </v>
      </c>
      <c r="I1348" s="26" t="str">
        <f>IF(OR(E1348="",E1348="!!!",F1348="NEW"),"",INDEX(B1347:B$2,-1+SUMPRODUCT(MAX(ROW(E1347:E$2)*(E1348=E1347:E$2)))))</f>
        <v> </v>
      </c>
      <c r="J1348" s="26" t="str">
        <f>IF(OR(E1348="",E1348="!!!",F1348="NEW"),"",COUNTBLANK(OFFSET(A$1,,,SUMPRODUCT(MAX(ROW(E$2:E1348)*(E1348=E$2:E1348)))))-COUNTBLANK(OFFSET(A$1,,,SUMPRODUCT(MAX(ROW(E$1:E1347)*(E2=E$1:E1347))))))</f>
        <v> </v>
      </c>
      <c r="K1348" s="26" t="str">
        <f>IF(OR(E1348="",E1348="!!!",F1348="NEW"),"",INDEX(J$1:J1347,SUMPRODUCT(MAX(ROW(E$1:E1347)*(E1348=E$1:E1347)))))</f>
        <v> </v>
      </c>
      <c r="L1348" s="27"/>
    </row>
    <row r="1349" spans="1:12">
      <c r="A1349" s="20" t="s">
        <v>580</v>
      </c>
      <c r="E1349" s="22">
        <f>IF(D1349="?OLD","!!!","")</f>
        <v/>
      </c>
      <c r="F1349" s="23" t="str">
        <f>IF(OR(E1349="",E1349="!!!"),"",IF(NOT(ISNA(VLOOKUP(E1349,E$1:E1348,1,FALSE()))),"OLD",IF(AND(E1349&lt;&gt;"",E1349&lt;&gt;"!!!"),"NEW","")))</f>
        <v> </v>
      </c>
      <c r="G1349" s="24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5" t="str">
        <f>IF(J1349&lt;&gt;1,"",IF(I1349="SBJ","CB","?"))</f>
        <v> </v>
      </c>
      <c r="I1349" s="26" t="str">
        <f>IF(OR(E1349="",E1349="!!!",F1349="NEW"),"",INDEX(B1348:B$2,-1+SUMPRODUCT(MAX(ROW(E1348:E$2)*(E1349=E1348:E$2)))))</f>
        <v> </v>
      </c>
      <c r="J1349" s="26" t="str">
        <f>IF(OR(E1349="",E1349="!!!",F1349="NEW"),"",COUNTBLANK(OFFSET(A$1,,,SUMPRODUCT(MAX(ROW(E$2:E1349)*(E1349=E$2:E1349)))))-COUNTBLANK(OFFSET(A$1,,,SUMPRODUCT(MAX(ROW(E$1:E1348)*(E2=E$1:E1348))))))</f>
        <v> </v>
      </c>
      <c r="K1349" s="26" t="str">
        <f>IF(OR(E1349="",E1349="!!!",F1349="NEW"),"",INDEX(J$1:J1348,SUMPRODUCT(MAX(ROW(E$1:E1348)*(E1349=E$1:E1348)))))</f>
        <v> </v>
      </c>
      <c r="L1349" s="27"/>
    </row>
    <row r="1350" spans="1:12">
      <c r="A1350" s="20" t="s">
        <v>1268</v>
      </c>
      <c r="E1350" s="22">
        <f>IF(D1350="?OLD","!!!","")</f>
        <v/>
      </c>
      <c r="F1350" s="23" t="str">
        <f>IF(OR(E1350="",E1350="!!!"),"",IF(NOT(ISNA(VLOOKUP(E1350,E$1:E1349,1,FALSE()))),"OLD",IF(AND(E1350&lt;&gt;"",E1350&lt;&gt;"!!!"),"NEW","")))</f>
        <v> </v>
      </c>
      <c r="G1350" s="24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5" t="str">
        <f>IF(J1350&lt;&gt;1,"",IF(I1350="SBJ","CB","?"))</f>
        <v> </v>
      </c>
      <c r="I1350" s="26" t="str">
        <f>IF(OR(E1350="",E1350="!!!",F1350="NEW"),"",INDEX(B1349:B$2,-1+SUMPRODUCT(MAX(ROW(E1349:E$2)*(E1350=E1349:E$2)))))</f>
        <v> </v>
      </c>
      <c r="J1350" s="26" t="str">
        <f>IF(OR(E1350="",E1350="!!!",F1350="NEW"),"",COUNTBLANK(OFFSET(A$1,,,SUMPRODUCT(MAX(ROW(E$2:E1350)*(E1350=E$2:E1350)))))-COUNTBLANK(OFFSET(A$1,,,SUMPRODUCT(MAX(ROW(E$1:E1349)*(E2=E$1:E1349))))))</f>
        <v> </v>
      </c>
      <c r="K1350" s="26" t="str">
        <f>IF(OR(E1350="",E1350="!!!",F1350="NEW"),"",INDEX(J$1:J1349,SUMPRODUCT(MAX(ROW(E$1:E1349)*(E1350=E$1:E1349)))))</f>
        <v> </v>
      </c>
      <c r="L1350" s="27"/>
    </row>
    <row r="1351" spans="1:12">
      <c r="A1351" s="20" t="s">
        <v>1269</v>
      </c>
      <c r="B1351" s="21" t="s">
        <v>585</v>
      </c>
      <c r="C1351" s="21" t="s">
        <v>1270</v>
      </c>
      <c r="E1351" s="22">
        <f>IF(D1351="?OLD","!!!","")</f>
        <v/>
      </c>
      <c r="F1351" s="23" t="str">
        <f>IF(OR(E1351="",E1351="!!!"),"",IF(NOT(ISNA(VLOOKUP(E1351,E$1:E1350,1,FALSE()))),"OLD",IF(AND(E1351&lt;&gt;"",E1351&lt;&gt;"!!!"),"NEW","")))</f>
        <v> </v>
      </c>
      <c r="G1351" s="24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5" t="str">
        <f>IF(J1351&lt;&gt;1,"",IF(I1351="SBJ","CB","?"))</f>
        <v> </v>
      </c>
      <c r="I1351" s="26" t="str">
        <f>IF(OR(E1351="",E1351="!!!",F1351="NEW"),"",INDEX(B1350:B$2,-1+SUMPRODUCT(MAX(ROW(E1350:E$2)*(E1351=E1350:E$2)))))</f>
        <v> </v>
      </c>
      <c r="J1351" s="26" t="str">
        <f>IF(OR(E1351="",E1351="!!!",F1351="NEW"),"",COUNTBLANK(OFFSET(A$1,,,SUMPRODUCT(MAX(ROW(E$2:E1351)*(E1351=E$2:E1351)))))-COUNTBLANK(OFFSET(A$1,,,SUMPRODUCT(MAX(ROW(E$1:E1350)*(E2=E$1:E1350))))))</f>
        <v> </v>
      </c>
      <c r="K1351" s="26" t="str">
        <f>IF(OR(E1351="",E1351="!!!",F1351="NEW"),"",INDEX(J$1:J1350,SUMPRODUCT(MAX(ROW(E$1:E1350)*(E1351=E$1:E1350)))))</f>
        <v> </v>
      </c>
      <c r="L1351" s="27"/>
    </row>
    <row r="1352" spans="1:12">
      <c r="A1352" s="20" t="s">
        <v>1280</v>
      </c>
      <c r="E1352" s="22">
        <f>IF(D1352="?OLD","!!!","")</f>
        <v/>
      </c>
      <c r="F1352" s="23" t="str">
        <f>IF(OR(E1352="",E1352="!!!"),"",IF(NOT(ISNA(VLOOKUP(E1352,E$1:E1351,1,FALSE()))),"OLD",IF(AND(E1352&lt;&gt;"",E1352&lt;&gt;"!!!"),"NEW","")))</f>
        <v> </v>
      </c>
      <c r="G1352" s="24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5" t="str">
        <f>IF(J1352&lt;&gt;1,"",IF(I1352="SBJ","CB","?"))</f>
        <v> </v>
      </c>
      <c r="I1352" s="26" t="str">
        <f>IF(OR(E1352="",E1352="!!!",F1352="NEW"),"",INDEX(B1351:B$2,-1+SUMPRODUCT(MAX(ROW(E1351:E$2)*(E1352=E1351:E$2)))))</f>
        <v> </v>
      </c>
      <c r="J1352" s="26" t="str">
        <f>IF(OR(E1352="",E1352="!!!",F1352="NEW"),"",COUNTBLANK(OFFSET(A$1,,,SUMPRODUCT(MAX(ROW(E$2:E1352)*(E1352=E$2:E1352)))))-COUNTBLANK(OFFSET(A$1,,,SUMPRODUCT(MAX(ROW(E$1:E1351)*(E2=E$1:E1351))))))</f>
        <v> </v>
      </c>
      <c r="K1352" s="26" t="str">
        <f>IF(OR(E1352="",E1352="!!!",F1352="NEW"),"",INDEX(J$1:J1351,SUMPRODUCT(MAX(ROW(E$1:E1351)*(E1352=E$1:E1351)))))</f>
        <v> </v>
      </c>
      <c r="L1352" s="27"/>
    </row>
    <row r="1353" spans="1:12">
      <c r="A1353" s="20" t="s">
        <v>592</v>
      </c>
      <c r="E1353" s="22">
        <f>IF(D1353="?OLD","!!!","")</f>
        <v/>
      </c>
      <c r="F1353" s="23" t="str">
        <f>IF(OR(E1353="",E1353="!!!"),"",IF(NOT(ISNA(VLOOKUP(E1353,E$1:E1352,1,FALSE()))),"OLD",IF(AND(E1353&lt;&gt;"",E1353&lt;&gt;"!!!"),"NEW","")))</f>
        <v> </v>
      </c>
      <c r="G1353" s="24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5" t="str">
        <f>IF(J1353&lt;&gt;1,"",IF(I1353="SBJ","CB","?"))</f>
        <v> </v>
      </c>
      <c r="I1353" s="26" t="str">
        <f>IF(OR(E1353="",E1353="!!!",F1353="NEW"),"",INDEX(B1352:B$2,-1+SUMPRODUCT(MAX(ROW(E1352:E$2)*(E1353=E1352:E$2)))))</f>
        <v> </v>
      </c>
      <c r="J1353" s="26" t="str">
        <f>IF(OR(E1353="",E1353="!!!",F1353="NEW"),"",COUNTBLANK(OFFSET(A$1,,,SUMPRODUCT(MAX(ROW(E$2:E1353)*(E1353=E$2:E1353)))))-COUNTBLANK(OFFSET(A$1,,,SUMPRODUCT(MAX(ROW(E$1:E1352)*(E2=E$1:E1352))))))</f>
        <v> </v>
      </c>
      <c r="K1353" s="26" t="str">
        <f>IF(OR(E1353="",E1353="!!!",F1353="NEW"),"",INDEX(J$1:J1352,SUMPRODUCT(MAX(ROW(E$1:E1352)*(E1353=E$1:E1352)))))</f>
        <v> </v>
      </c>
      <c r="L1353" s="27"/>
    </row>
    <row r="1354" spans="1:12">
      <c r="A1354" s="20"/>
    </row>
    <row r="1355" spans="1:12">
      <c r="A1355" s="20" t="s">
        <v>1281</v>
      </c>
    </row>
    <row r="1356" spans="1:12">
      <c r="A1356" s="20" t="s">
        <v>1282</v>
      </c>
      <c r="B1356" s="21" t="s">
        <v>578</v>
      </c>
      <c r="E1356" s="22">
        <f>IF(D1356="?OLD","!!!","")</f>
        <v/>
      </c>
      <c r="F1356" s="23" t="str">
        <f>IF(OR(E1356="",E1356="!!!"),"",IF(NOT(ISNA(VLOOKUP(E1356,E$1:E1355,1,FALSE()))),"OLD",IF(AND(E1356&lt;&gt;"",E1356&lt;&gt;"!!!"),"NEW","")))</f>
        <v> </v>
      </c>
      <c r="G1356" s="24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5" t="str">
        <f>IF(J1356&lt;&gt;1,"",IF(I1356="SBJ","CB","?"))</f>
        <v> </v>
      </c>
      <c r="I1356" s="26" t="str">
        <f>IF(OR(E1356="",E1356="!!!",F1356="NEW"),"",INDEX(B1355:B$2,-1+SUMPRODUCT(MAX(ROW(E1355:E$2)*(E1356=E1355:E$2)))))</f>
        <v> </v>
      </c>
      <c r="J1356" s="26" t="str">
        <f>IF(OR(E1356="",E1356="!!!",F1356="NEW"),"",COUNTBLANK(OFFSET(A$1,,,SUMPRODUCT(MAX(ROW(E$2:E1356)*(E1356=E$2:E1356)))))-COUNTBLANK(OFFSET(A$1,,,SUMPRODUCT(MAX(ROW(E$1:E1355)*(E2=E$1:E1355))))))</f>
        <v> </v>
      </c>
      <c r="K1356" s="26" t="str">
        <f>IF(OR(E1356="",E1356="!!!",F1356="NEW"),"",INDEX(J$1:J1355,SUMPRODUCT(MAX(ROW(E$1:E1355)*(E1356=E$1:E1355)))))</f>
        <v> </v>
      </c>
      <c r="L1356" s="27"/>
    </row>
    <row r="1357" spans="1:12">
      <c r="A1357" s="20" t="s">
        <v>580</v>
      </c>
      <c r="E1357" s="22">
        <f>IF(D1357="?OLD","!!!","")</f>
        <v/>
      </c>
      <c r="F1357" s="23" t="str">
        <f>IF(OR(E1357="",E1357="!!!"),"",IF(NOT(ISNA(VLOOKUP(E1357,E$1:E1356,1,FALSE()))),"OLD",IF(AND(E1357&lt;&gt;"",E1357&lt;&gt;"!!!"),"NEW","")))</f>
        <v> </v>
      </c>
      <c r="G1357" s="24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5" t="str">
        <f>IF(J1357&lt;&gt;1,"",IF(I1357="SBJ","CB","?"))</f>
        <v> </v>
      </c>
      <c r="I1357" s="26" t="str">
        <f>IF(OR(E1357="",E1357="!!!",F1357="NEW"),"",INDEX(B1356:B$2,-1+SUMPRODUCT(MAX(ROW(E1356:E$2)*(E1357=E1356:E$2)))))</f>
        <v> </v>
      </c>
      <c r="J1357" s="26" t="str">
        <f>IF(OR(E1357="",E1357="!!!",F1357="NEW"),"",COUNTBLANK(OFFSET(A$1,,,SUMPRODUCT(MAX(ROW(E$2:E1357)*(E1357=E$2:E1357)))))-COUNTBLANK(OFFSET(A$1,,,SUMPRODUCT(MAX(ROW(E$1:E1356)*(E2=E$1:E1356))))))</f>
        <v> </v>
      </c>
      <c r="K1357" s="26" t="str">
        <f>IF(OR(E1357="",E1357="!!!",F1357="NEW"),"",INDEX(J$1:J1356,SUMPRODUCT(MAX(ROW(E$1:E1356)*(E1357=E$1:E1356)))))</f>
        <v> </v>
      </c>
      <c r="L1357" s="27"/>
    </row>
    <row r="1358" spans="1:12">
      <c r="A1358" s="20" t="s">
        <v>1283</v>
      </c>
      <c r="B1358" s="21" t="s">
        <v>585</v>
      </c>
      <c r="C1358" s="21" t="s">
        <v>628</v>
      </c>
      <c r="D1358" s="21" t="s">
        <v>587</v>
      </c>
      <c r="E1358" s="22">
        <f>IF(D1358="?OLD","!!!","")</f>
        <v/>
      </c>
      <c r="F1358" s="23" t="str">
        <f>IF(OR(E1358="",E1358="!!!"),"",IF(NOT(ISNA(VLOOKUP(E1358,E$1:E1357,1,FALSE()))),"OLD",IF(AND(E1358&lt;&gt;"",E1358&lt;&gt;"!!!"),"NEW","")))</f>
        <v> </v>
      </c>
      <c r="G1358" s="24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5" t="str">
        <f>IF(J1358&lt;&gt;1,"",IF(I1358="SBJ","CB","?"))</f>
        <v> </v>
      </c>
      <c r="I1358" s="26" t="str">
        <f>IF(OR(E1358="",E1358="!!!",F1358="NEW"),"",INDEX(B1357:B$2,-1+SUMPRODUCT(MAX(ROW(E1357:E$2)*(E1358=E1357:E$2)))))</f>
        <v> </v>
      </c>
      <c r="J1358" s="26" t="str">
        <f>IF(OR(E1358="",E1358="!!!",F1358="NEW"),"",COUNTBLANK(OFFSET(A$1,,,SUMPRODUCT(MAX(ROW(E$2:E1358)*(E1358=E$2:E1358)))))-COUNTBLANK(OFFSET(A$1,,,SUMPRODUCT(MAX(ROW(E$1:E1357)*(E2=E$1:E1357))))))</f>
        <v> </v>
      </c>
      <c r="K1358" s="26" t="str">
        <f>IF(OR(E1358="",E1358="!!!",F1358="NEW"),"",INDEX(J$1:J1357,SUMPRODUCT(MAX(ROW(E$1:E1357)*(E1358=E$1:E1357)))))</f>
        <v> </v>
      </c>
      <c r="L1358" s="27"/>
    </row>
    <row r="1359" spans="1:12">
      <c r="A1359" s="20" t="s">
        <v>1209</v>
      </c>
      <c r="E1359" s="22">
        <f>IF(D1359="?OLD","!!!","")</f>
        <v/>
      </c>
      <c r="F1359" s="23" t="str">
        <f>IF(OR(E1359="",E1359="!!!"),"",IF(NOT(ISNA(VLOOKUP(E1359,E$1:E1358,1,FALSE()))),"OLD",IF(AND(E1359&lt;&gt;"",E1359&lt;&gt;"!!!"),"NEW","")))</f>
        <v> </v>
      </c>
      <c r="G1359" s="24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5" t="str">
        <f>IF(J1359&lt;&gt;1,"",IF(I1359="SBJ","CB","?"))</f>
        <v> </v>
      </c>
      <c r="I1359" s="26" t="str">
        <f>IF(OR(E1359="",E1359="!!!",F1359="NEW"),"",INDEX(B1358:B$2,-1+SUMPRODUCT(MAX(ROW(E1358:E$2)*(E1359=E1358:E$2)))))</f>
        <v> </v>
      </c>
      <c r="J1359" s="26" t="str">
        <f>IF(OR(E1359="",E1359="!!!",F1359="NEW"),"",COUNTBLANK(OFFSET(A$1,,,SUMPRODUCT(MAX(ROW(E$2:E1359)*(E1359=E$2:E1359)))))-COUNTBLANK(OFFSET(A$1,,,SUMPRODUCT(MAX(ROW(E$1:E1358)*(E2=E$1:E1358))))))</f>
        <v> </v>
      </c>
      <c r="K1359" s="26" t="str">
        <f>IF(OR(E1359="",E1359="!!!",F1359="NEW"),"",INDEX(J$1:J1358,SUMPRODUCT(MAX(ROW(E$1:E1358)*(E1359=E$1:E1358)))))</f>
        <v> </v>
      </c>
      <c r="L1359" s="27"/>
    </row>
    <row r="1360" spans="1:12">
      <c r="A1360" s="20" t="s">
        <v>1284</v>
      </c>
      <c r="E1360" s="22">
        <f>IF(D1360="?OLD","!!!","")</f>
        <v/>
      </c>
      <c r="F1360" s="23" t="str">
        <f>IF(OR(E1360="",E1360="!!!"),"",IF(NOT(ISNA(VLOOKUP(E1360,E$1:E1359,1,FALSE()))),"OLD",IF(AND(E1360&lt;&gt;"",E1360&lt;&gt;"!!!"),"NEW","")))</f>
        <v> </v>
      </c>
      <c r="G1360" s="24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5" t="str">
        <f>IF(J1360&lt;&gt;1,"",IF(I1360="SBJ","CB","?"))</f>
        <v> </v>
      </c>
      <c r="I1360" s="26" t="str">
        <f>IF(OR(E1360="",E1360="!!!",F1360="NEW"),"",INDEX(B1359:B$2,-1+SUMPRODUCT(MAX(ROW(E1359:E$2)*(E1360=E1359:E$2)))))</f>
        <v> </v>
      </c>
      <c r="J1360" s="26" t="str">
        <f>IF(OR(E1360="",E1360="!!!",F1360="NEW"),"",COUNTBLANK(OFFSET(A$1,,,SUMPRODUCT(MAX(ROW(E$2:E1360)*(E1360=E$2:E1360)))))-COUNTBLANK(OFFSET(A$1,,,SUMPRODUCT(MAX(ROW(E$1:E1359)*(E2=E$1:E1359))))))</f>
        <v> </v>
      </c>
      <c r="K1360" s="26" t="str">
        <f>IF(OR(E1360="",E1360="!!!",F1360="NEW"),"",INDEX(J$1:J1359,SUMPRODUCT(MAX(ROW(E$1:E1359)*(E1360=E$1:E1359)))))</f>
        <v> </v>
      </c>
      <c r="L1360" s="27"/>
    </row>
    <row r="1361" spans="1:12">
      <c r="A1361" s="20" t="s">
        <v>583</v>
      </c>
      <c r="E1361" s="22">
        <f>IF(D1361="?OLD","!!!","")</f>
        <v/>
      </c>
      <c r="F1361" s="23" t="str">
        <f>IF(OR(E1361="",E1361="!!!"),"",IF(NOT(ISNA(VLOOKUP(E1361,E$1:E1360,1,FALSE()))),"OLD",IF(AND(E1361&lt;&gt;"",E1361&lt;&gt;"!!!"),"NEW","")))</f>
        <v> </v>
      </c>
      <c r="G1361" s="24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5" t="str">
        <f>IF(J1361&lt;&gt;1,"",IF(I1361="SBJ","CB","?"))</f>
        <v> </v>
      </c>
      <c r="I1361" s="26" t="str">
        <f>IF(OR(E1361="",E1361="!!!",F1361="NEW"),"",INDEX(B1360:B$2,-1+SUMPRODUCT(MAX(ROW(E1360:E$2)*(E1361=E1360:E$2)))))</f>
        <v> </v>
      </c>
      <c r="J1361" s="26" t="str">
        <f>IF(OR(E1361="",E1361="!!!",F1361="NEW"),"",COUNTBLANK(OFFSET(A$1,,,SUMPRODUCT(MAX(ROW(E$2:E1361)*(E1361=E$2:E1361)))))-COUNTBLANK(OFFSET(A$1,,,SUMPRODUCT(MAX(ROW(E$1:E1360)*(E2=E$1:E1360))))))</f>
        <v> </v>
      </c>
      <c r="K1361" s="26" t="str">
        <f>IF(OR(E1361="",E1361="!!!",F1361="NEW"),"",INDEX(J$1:J1360,SUMPRODUCT(MAX(ROW(E$1:E1360)*(E1361=E$1:E1360)))))</f>
        <v> </v>
      </c>
      <c r="L1361" s="27"/>
    </row>
    <row r="1362" spans="1:12">
      <c r="A1362" s="20" t="s">
        <v>1052</v>
      </c>
      <c r="E1362" s="22">
        <f>IF(D1362="?OLD","!!!","")</f>
        <v/>
      </c>
      <c r="F1362" s="23" t="str">
        <f>IF(OR(E1362="",E1362="!!!"),"",IF(NOT(ISNA(VLOOKUP(E1362,E$1:E1361,1,FALSE()))),"OLD",IF(AND(E1362&lt;&gt;"",E1362&lt;&gt;"!!!"),"NEW","")))</f>
        <v> </v>
      </c>
      <c r="G1362" s="24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5" t="str">
        <f>IF(J1362&lt;&gt;1,"",IF(I1362="SBJ","CB","?"))</f>
        <v> </v>
      </c>
      <c r="I1362" s="26" t="str">
        <f>IF(OR(E1362="",E1362="!!!",F1362="NEW"),"",INDEX(B1361:B$2,-1+SUMPRODUCT(MAX(ROW(E1361:E$2)*(E1362=E1361:E$2)))))</f>
        <v> </v>
      </c>
      <c r="J1362" s="26" t="str">
        <f>IF(OR(E1362="",E1362="!!!",F1362="NEW"),"",COUNTBLANK(OFFSET(A$1,,,SUMPRODUCT(MAX(ROW(E$2:E1362)*(E1362=E$2:E1362)))))-COUNTBLANK(OFFSET(A$1,,,SUMPRODUCT(MAX(ROW(E$1:E1361)*(E2=E$1:E1361))))))</f>
        <v> </v>
      </c>
      <c r="K1362" s="26" t="str">
        <f>IF(OR(E1362="",E1362="!!!",F1362="NEW"),"",INDEX(J$1:J1361,SUMPRODUCT(MAX(ROW(E$1:E1361)*(E1362=E$1:E1361)))))</f>
        <v> </v>
      </c>
      <c r="L1362" s="27"/>
    </row>
    <row r="1363" spans="1:12">
      <c r="A1363" s="20" t="s">
        <v>1236</v>
      </c>
      <c r="B1363" s="21" t="s">
        <v>590</v>
      </c>
      <c r="C1363" s="21" t="s">
        <v>613</v>
      </c>
      <c r="D1363" s="21" t="s">
        <v>587</v>
      </c>
      <c r="E1363" s="22">
        <f>IF(D1363="?OLD","!!!","")</f>
        <v/>
      </c>
      <c r="F1363" s="23" t="str">
        <f>IF(OR(E1363="",E1363="!!!"),"",IF(NOT(ISNA(VLOOKUP(E1363,E$1:E1362,1,FALSE()))),"OLD",IF(AND(E1363&lt;&gt;"",E1363&lt;&gt;"!!!"),"NEW","")))</f>
        <v> </v>
      </c>
      <c r="G1363" s="24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5" t="str">
        <f>IF(J1363&lt;&gt;1,"",IF(I1363="SBJ","CB","?"))</f>
        <v> </v>
      </c>
      <c r="I1363" s="26" t="str">
        <f>IF(OR(E1363="",E1363="!!!",F1363="NEW"),"",INDEX(B1362:B$2,-1+SUMPRODUCT(MAX(ROW(E1362:E$2)*(E1363=E1362:E$2)))))</f>
        <v> </v>
      </c>
      <c r="J1363" s="26" t="str">
        <f>IF(OR(E1363="",E1363="!!!",F1363="NEW"),"",COUNTBLANK(OFFSET(A$1,,,SUMPRODUCT(MAX(ROW(E$2:E1363)*(E1363=E$2:E1363)))))-COUNTBLANK(OFFSET(A$1,,,SUMPRODUCT(MAX(ROW(E$1:E1362)*(E2=E$1:E1362))))))</f>
        <v> </v>
      </c>
      <c r="K1363" s="26" t="str">
        <f>IF(OR(E1363="",E1363="!!!",F1363="NEW"),"",INDEX(J$1:J1362,SUMPRODUCT(MAX(ROW(E$1:E1362)*(E1363=E$1:E1362)))))</f>
        <v> </v>
      </c>
      <c r="L1363" s="27"/>
    </row>
    <row r="1364" spans="1:12">
      <c r="A1364" s="20" t="s">
        <v>1209</v>
      </c>
      <c r="E1364" s="22">
        <f>IF(D1364="?OLD","!!!","")</f>
        <v/>
      </c>
      <c r="F1364" s="23" t="str">
        <f>IF(OR(E1364="",E1364="!!!"),"",IF(NOT(ISNA(VLOOKUP(E1364,E$1:E1363,1,FALSE()))),"OLD",IF(AND(E1364&lt;&gt;"",E1364&lt;&gt;"!!!"),"NEW","")))</f>
        <v> </v>
      </c>
      <c r="G1364" s="24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5" t="str">
        <f>IF(J1364&lt;&gt;1,"",IF(I1364="SBJ","CB","?"))</f>
        <v> </v>
      </c>
      <c r="I1364" s="26" t="str">
        <f>IF(OR(E1364="",E1364="!!!",F1364="NEW"),"",INDEX(B1363:B$2,-1+SUMPRODUCT(MAX(ROW(E1363:E$2)*(E1364=E1363:E$2)))))</f>
        <v> </v>
      </c>
      <c r="J1364" s="26" t="str">
        <f>IF(OR(E1364="",E1364="!!!",F1364="NEW"),"",COUNTBLANK(OFFSET(A$1,,,SUMPRODUCT(MAX(ROW(E$2:E1364)*(E1364=E$2:E1364)))))-COUNTBLANK(OFFSET(A$1,,,SUMPRODUCT(MAX(ROW(E$1:E1363)*(E2=E$1:E1363))))))</f>
        <v> </v>
      </c>
      <c r="K1364" s="26" t="str">
        <f>IF(OR(E1364="",E1364="!!!",F1364="NEW"),"",INDEX(J$1:J1363,SUMPRODUCT(MAX(ROW(E$1:E1363)*(E1364=E$1:E1363)))))</f>
        <v> </v>
      </c>
      <c r="L1364" s="27"/>
    </row>
    <row r="1365" spans="1:12">
      <c r="A1365" s="20" t="s">
        <v>1285</v>
      </c>
      <c r="E1365" s="22">
        <f>IF(D1365="?OLD","!!!","")</f>
        <v/>
      </c>
      <c r="F1365" s="23" t="str">
        <f>IF(OR(E1365="",E1365="!!!"),"",IF(NOT(ISNA(VLOOKUP(E1365,E$1:E1364,1,FALSE()))),"OLD",IF(AND(E1365&lt;&gt;"",E1365&lt;&gt;"!!!"),"NEW","")))</f>
        <v> </v>
      </c>
      <c r="G1365" s="24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5" t="str">
        <f>IF(J1365&lt;&gt;1,"",IF(I1365="SBJ","CB","?"))</f>
        <v> </v>
      </c>
      <c r="I1365" s="26" t="str">
        <f>IF(OR(E1365="",E1365="!!!",F1365="NEW"),"",INDEX(B1364:B$2,-1+SUMPRODUCT(MAX(ROW(E1364:E$2)*(E1365=E1364:E$2)))))</f>
        <v> </v>
      </c>
      <c r="J1365" s="26" t="str">
        <f>IF(OR(E1365="",E1365="!!!",F1365="NEW"),"",COUNTBLANK(OFFSET(A$1,,,SUMPRODUCT(MAX(ROW(E$2:E1365)*(E1365=E$2:E1365)))))-COUNTBLANK(OFFSET(A$1,,,SUMPRODUCT(MAX(ROW(E$1:E1364)*(E2=E$1:E1364))))))</f>
        <v> </v>
      </c>
      <c r="K1365" s="26" t="str">
        <f>IF(OR(E1365="",E1365="!!!",F1365="NEW"),"",INDEX(J$1:J1364,SUMPRODUCT(MAX(ROW(E$1:E1364)*(E1365=E$1:E1364)))))</f>
        <v> </v>
      </c>
      <c r="L1365" s="27"/>
    </row>
    <row r="1366" spans="1:12">
      <c r="A1366" s="20" t="s">
        <v>583</v>
      </c>
      <c r="E1366" s="22">
        <f>IF(D1366="?OLD","!!!","")</f>
        <v/>
      </c>
      <c r="F1366" s="23" t="str">
        <f>IF(OR(E1366="",E1366="!!!"),"",IF(NOT(ISNA(VLOOKUP(E1366,E$1:E1365,1,FALSE()))),"OLD",IF(AND(E1366&lt;&gt;"",E1366&lt;&gt;"!!!"),"NEW","")))</f>
        <v> </v>
      </c>
      <c r="G1366" s="24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5" t="str">
        <f>IF(J1366&lt;&gt;1,"",IF(I1366="SBJ","CB","?"))</f>
        <v> </v>
      </c>
      <c r="I1366" s="26" t="str">
        <f>IF(OR(E1366="",E1366="!!!",F1366="NEW"),"",INDEX(B1365:B$2,-1+SUMPRODUCT(MAX(ROW(E1365:E$2)*(E1366=E1365:E$2)))))</f>
        <v> </v>
      </c>
      <c r="J1366" s="26" t="str">
        <f>IF(OR(E1366="",E1366="!!!",F1366="NEW"),"",COUNTBLANK(OFFSET(A$1,,,SUMPRODUCT(MAX(ROW(E$2:E1366)*(E1366=E$2:E1366)))))-COUNTBLANK(OFFSET(A$1,,,SUMPRODUCT(MAX(ROW(E$1:E1365)*(E2=E$1:E1365))))))</f>
        <v> </v>
      </c>
      <c r="K1366" s="26" t="str">
        <f>IF(OR(E1366="",E1366="!!!",F1366="NEW"),"",INDEX(J$1:J1365,SUMPRODUCT(MAX(ROW(E$1:E1365)*(E1366=E$1:E1365)))))</f>
        <v> </v>
      </c>
      <c r="L1366" s="27"/>
    </row>
    <row r="1367" spans="1:12">
      <c r="A1367" s="20" t="s">
        <v>630</v>
      </c>
      <c r="E1367" s="22">
        <f>IF(D1367="?OLD","!!!","")</f>
        <v/>
      </c>
      <c r="F1367" s="23" t="str">
        <f>IF(OR(E1367="",E1367="!!!"),"",IF(NOT(ISNA(VLOOKUP(E1367,E$1:E1366,1,FALSE()))),"OLD",IF(AND(E1367&lt;&gt;"",E1367&lt;&gt;"!!!"),"NEW","")))</f>
        <v> </v>
      </c>
      <c r="G1367" s="24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5" t="str">
        <f>IF(J1367&lt;&gt;1,"",IF(I1367="SBJ","CB","?"))</f>
        <v> </v>
      </c>
      <c r="I1367" s="26" t="str">
        <f>IF(OR(E1367="",E1367="!!!",F1367="NEW"),"",INDEX(B1366:B$2,-1+SUMPRODUCT(MAX(ROW(E1366:E$2)*(E1367=E1366:E$2)))))</f>
        <v> </v>
      </c>
      <c r="J1367" s="26" t="str">
        <f>IF(OR(E1367="",E1367="!!!",F1367="NEW"),"",COUNTBLANK(OFFSET(A$1,,,SUMPRODUCT(MAX(ROW(E$2:E1367)*(E1367=E$2:E1367)))))-COUNTBLANK(OFFSET(A$1,,,SUMPRODUCT(MAX(ROW(E$1:E1366)*(E2=E$1:E1366))))))</f>
        <v> </v>
      </c>
      <c r="K1367" s="26" t="str">
        <f>IF(OR(E1367="",E1367="!!!",F1367="NEW"),"",INDEX(J$1:J1366,SUMPRODUCT(MAX(ROW(E$1:E1366)*(E1367=E$1:E1366)))))</f>
        <v> </v>
      </c>
      <c r="L1367" s="27"/>
    </row>
    <row r="1368" spans="1:12">
      <c r="A1368" s="20" t="s">
        <v>748</v>
      </c>
      <c r="E1368" s="22">
        <f>IF(D1368="?OLD","!!!","")</f>
        <v/>
      </c>
      <c r="F1368" s="23" t="str">
        <f>IF(OR(E1368="",E1368="!!!"),"",IF(NOT(ISNA(VLOOKUP(E1368,E$1:E1367,1,FALSE()))),"OLD",IF(AND(E1368&lt;&gt;"",E1368&lt;&gt;"!!!"),"NEW","")))</f>
        <v> </v>
      </c>
      <c r="G1368" s="24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5" t="str">
        <f>IF(J1368&lt;&gt;1,"",IF(I1368="SBJ","CB","?"))</f>
        <v> </v>
      </c>
      <c r="I1368" s="26" t="str">
        <f>IF(OR(E1368="",E1368="!!!",F1368="NEW"),"",INDEX(B1367:B$2,-1+SUMPRODUCT(MAX(ROW(E1367:E$2)*(E1368=E1367:E$2)))))</f>
        <v> </v>
      </c>
      <c r="J1368" s="26" t="str">
        <f>IF(OR(E1368="",E1368="!!!",F1368="NEW"),"",COUNTBLANK(OFFSET(A$1,,,SUMPRODUCT(MAX(ROW(E$2:E1368)*(E1368=E$2:E1368)))))-COUNTBLANK(OFFSET(A$1,,,SUMPRODUCT(MAX(ROW(E$1:E1367)*(E2=E$1:E1367))))))</f>
        <v> </v>
      </c>
      <c r="K1368" s="26" t="str">
        <f>IF(OR(E1368="",E1368="!!!",F1368="NEW"),"",INDEX(J$1:J1367,SUMPRODUCT(MAX(ROW(E$1:E1367)*(E1368=E$1:E1367)))))</f>
        <v> </v>
      </c>
      <c r="L1368" s="27"/>
    </row>
    <row r="1369" spans="1:12">
      <c r="A1369" s="20" t="s">
        <v>1236</v>
      </c>
      <c r="B1369" s="21" t="s">
        <v>590</v>
      </c>
      <c r="C1369" s="21" t="s">
        <v>613</v>
      </c>
      <c r="D1369" s="21" t="s">
        <v>587</v>
      </c>
      <c r="E1369" s="22">
        <f>IF(D1369="?OLD","!!!","")</f>
        <v/>
      </c>
      <c r="F1369" s="23" t="str">
        <f>IF(OR(E1369="",E1369="!!!"),"",IF(NOT(ISNA(VLOOKUP(E1369,E$1:E1368,1,FALSE()))),"OLD",IF(AND(E1369&lt;&gt;"",E1369&lt;&gt;"!!!"),"NEW","")))</f>
        <v> </v>
      </c>
      <c r="G1369" s="24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5" t="str">
        <f>IF(J1369&lt;&gt;1,"",IF(I1369="SBJ","CB","?"))</f>
        <v> </v>
      </c>
      <c r="I1369" s="26" t="str">
        <f>IF(OR(E1369="",E1369="!!!",F1369="NEW"),"",INDEX(B1368:B$2,-1+SUMPRODUCT(MAX(ROW(E1368:E$2)*(E1369=E1368:E$2)))))</f>
        <v> </v>
      </c>
      <c r="J1369" s="26" t="str">
        <f>IF(OR(E1369="",E1369="!!!",F1369="NEW"),"",COUNTBLANK(OFFSET(A$1,,,SUMPRODUCT(MAX(ROW(E$2:E1369)*(E1369=E$2:E1369)))))-COUNTBLANK(OFFSET(A$1,,,SUMPRODUCT(MAX(ROW(E$1:E1368)*(E2=E$1:E1368))))))</f>
        <v> </v>
      </c>
      <c r="K1369" s="26" t="str">
        <f>IF(OR(E1369="",E1369="!!!",F1369="NEW"),"",INDEX(J$1:J1368,SUMPRODUCT(MAX(ROW(E$1:E1368)*(E1369=E$1:E1368)))))</f>
        <v> </v>
      </c>
      <c r="L1369" s="27"/>
    </row>
    <row r="1370" spans="1:12">
      <c r="A1370" s="20" t="s">
        <v>1209</v>
      </c>
      <c r="E1370" s="22">
        <f>IF(D1370="?OLD","!!!","")</f>
        <v/>
      </c>
      <c r="F1370" s="23" t="str">
        <f>IF(OR(E1370="",E1370="!!!"),"",IF(NOT(ISNA(VLOOKUP(E1370,E$1:E1369,1,FALSE()))),"OLD",IF(AND(E1370&lt;&gt;"",E1370&lt;&gt;"!!!"),"NEW","")))</f>
        <v> </v>
      </c>
      <c r="G1370" s="24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5" t="str">
        <f>IF(J1370&lt;&gt;1,"",IF(I1370="SBJ","CB","?"))</f>
        <v> </v>
      </c>
      <c r="I1370" s="26" t="str">
        <f>IF(OR(E1370="",E1370="!!!",F1370="NEW"),"",INDEX(B1369:B$2,-1+SUMPRODUCT(MAX(ROW(E1369:E$2)*(E1370=E1369:E$2)))))</f>
        <v> </v>
      </c>
      <c r="J1370" s="26" t="str">
        <f>IF(OR(E1370="",E1370="!!!",F1370="NEW"),"",COUNTBLANK(OFFSET(A$1,,,SUMPRODUCT(MAX(ROW(E$2:E1370)*(E1370=E$2:E1370)))))-COUNTBLANK(OFFSET(A$1,,,SUMPRODUCT(MAX(ROW(E$1:E1369)*(E2=E$1:E1369))))))</f>
        <v> </v>
      </c>
      <c r="K1370" s="26" t="str">
        <f>IF(OR(E1370="",E1370="!!!",F1370="NEW"),"",INDEX(J$1:J1369,SUMPRODUCT(MAX(ROW(E$1:E1369)*(E1370=E$1:E1369)))))</f>
        <v> </v>
      </c>
      <c r="L1370" s="27"/>
    </row>
    <row r="1371" spans="1:12">
      <c r="A1371" s="20" t="s">
        <v>1286</v>
      </c>
      <c r="E1371" s="22">
        <f>IF(D1371="?OLD","!!!","")</f>
        <v/>
      </c>
      <c r="F1371" s="23" t="str">
        <f>IF(OR(E1371="",E1371="!!!"),"",IF(NOT(ISNA(VLOOKUP(E1371,E$1:E1370,1,FALSE()))),"OLD",IF(AND(E1371&lt;&gt;"",E1371&lt;&gt;"!!!"),"NEW","")))</f>
        <v> </v>
      </c>
      <c r="G1371" s="24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5" t="str">
        <f>IF(J1371&lt;&gt;1,"",IF(I1371="SBJ","CB","?"))</f>
        <v> </v>
      </c>
      <c r="I1371" s="26" t="str">
        <f>IF(OR(E1371="",E1371="!!!",F1371="NEW"),"",INDEX(B1370:B$2,-1+SUMPRODUCT(MAX(ROW(E1370:E$2)*(E1371=E1370:E$2)))))</f>
        <v> </v>
      </c>
      <c r="J1371" s="26" t="str">
        <f>IF(OR(E1371="",E1371="!!!",F1371="NEW"),"",COUNTBLANK(OFFSET(A$1,,,SUMPRODUCT(MAX(ROW(E$2:E1371)*(E1371=E$2:E1371)))))-COUNTBLANK(OFFSET(A$1,,,SUMPRODUCT(MAX(ROW(E$1:E1370)*(E2=E$1:E1370))))))</f>
        <v> </v>
      </c>
      <c r="K1371" s="26" t="str">
        <f>IF(OR(E1371="",E1371="!!!",F1371="NEW"),"",INDEX(J$1:J1370,SUMPRODUCT(MAX(ROW(E$1:E1370)*(E1371=E$1:E1370)))))</f>
        <v> </v>
      </c>
      <c r="L1371" s="27"/>
    </row>
    <row r="1372" spans="1:12">
      <c r="A1372" s="20" t="s">
        <v>1287</v>
      </c>
      <c r="E1372" s="22">
        <f>IF(D1372="?OLD","!!!","")</f>
        <v/>
      </c>
      <c r="F1372" s="23" t="str">
        <f>IF(OR(E1372="",E1372="!!!"),"",IF(NOT(ISNA(VLOOKUP(E1372,E$1:E1371,1,FALSE()))),"OLD",IF(AND(E1372&lt;&gt;"",E1372&lt;&gt;"!!!"),"NEW","")))</f>
        <v> </v>
      </c>
      <c r="G1372" s="24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5" t="str">
        <f>IF(J1372&lt;&gt;1,"",IF(I1372="SBJ","CB","?"))</f>
        <v> </v>
      </c>
      <c r="I1372" s="26" t="str">
        <f>IF(OR(E1372="",E1372="!!!",F1372="NEW"),"",INDEX(B1371:B$2,-1+SUMPRODUCT(MAX(ROW(E1371:E$2)*(E1372=E1371:E$2)))))</f>
        <v> </v>
      </c>
      <c r="J1372" s="26" t="str">
        <f>IF(OR(E1372="",E1372="!!!",F1372="NEW"),"",COUNTBLANK(OFFSET(A$1,,,SUMPRODUCT(MAX(ROW(E$2:E1372)*(E1372=E$2:E1372)))))-COUNTBLANK(OFFSET(A$1,,,SUMPRODUCT(MAX(ROW(E$1:E1371)*(E2=E$1:E1371))))))</f>
        <v> </v>
      </c>
      <c r="K1372" s="26" t="str">
        <f>IF(OR(E1372="",E1372="!!!",F1372="NEW"),"",INDEX(J$1:J1371,SUMPRODUCT(MAX(ROW(E$1:E1371)*(E1372=E$1:E1371)))))</f>
        <v> </v>
      </c>
      <c r="L1372" s="27"/>
    </row>
    <row r="1373" spans="1:12">
      <c r="A1373" s="20" t="s">
        <v>592</v>
      </c>
      <c r="E1373" s="22">
        <f>IF(D1373="?OLD","!!!","")</f>
        <v/>
      </c>
      <c r="F1373" s="23" t="str">
        <f>IF(OR(E1373="",E1373="!!!"),"",IF(NOT(ISNA(VLOOKUP(E1373,E$1:E1372,1,FALSE()))),"OLD",IF(AND(E1373&lt;&gt;"",E1373&lt;&gt;"!!!"),"NEW","")))</f>
        <v> </v>
      </c>
      <c r="G1373" s="24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5" t="str">
        <f>IF(J1373&lt;&gt;1,"",IF(I1373="SBJ","CB","?"))</f>
        <v> </v>
      </c>
      <c r="I1373" s="26" t="str">
        <f>IF(OR(E1373="",E1373="!!!",F1373="NEW"),"",INDEX(B1372:B$2,-1+SUMPRODUCT(MAX(ROW(E1372:E$2)*(E1373=E1372:E$2)))))</f>
        <v> </v>
      </c>
      <c r="J1373" s="26" t="str">
        <f>IF(OR(E1373="",E1373="!!!",F1373="NEW"),"",COUNTBLANK(OFFSET(A$1,,,SUMPRODUCT(MAX(ROW(E$2:E1373)*(E1373=E$2:E1373)))))-COUNTBLANK(OFFSET(A$1,,,SUMPRODUCT(MAX(ROW(E$1:E1372)*(E2=E$1:E1372))))))</f>
        <v> </v>
      </c>
      <c r="K1373" s="26" t="str">
        <f>IF(OR(E1373="",E1373="!!!",F1373="NEW"),"",INDEX(J$1:J1372,SUMPRODUCT(MAX(ROW(E$1:E1372)*(E1373=E$1:E1372)))))</f>
        <v> </v>
      </c>
      <c r="L1373" s="27"/>
    </row>
    <row r="1374" spans="1:12">
      <c r="A1374" s="20"/>
    </row>
    <row r="1375" spans="1:12">
      <c r="A1375" s="20" t="s">
        <v>1288</v>
      </c>
    </row>
    <row r="1376" spans="1:12">
      <c r="A1376" s="20" t="s">
        <v>1273</v>
      </c>
      <c r="B1376" s="21" t="s">
        <v>578</v>
      </c>
      <c r="C1376" s="21" t="s">
        <v>613</v>
      </c>
      <c r="D1376" s="21" t="s">
        <v>587</v>
      </c>
      <c r="E1376" s="22">
        <f>IF(D1376="?OLD","!!!","")</f>
        <v/>
      </c>
      <c r="F1376" s="23" t="str">
        <f>IF(OR(E1376="",E1376="!!!"),"",IF(NOT(ISNA(VLOOKUP(E1376,E$1:E1375,1,FALSE()))),"OLD",IF(AND(E1376&lt;&gt;"",E1376&lt;&gt;"!!!"),"NEW","")))</f>
        <v> </v>
      </c>
      <c r="G1376" s="24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5" t="str">
        <f>IF(J1376&lt;&gt;1,"",IF(I1376="SBJ","CB","?"))</f>
        <v> </v>
      </c>
      <c r="I1376" s="26" t="str">
        <f>IF(OR(E1376="",E1376="!!!",F1376="NEW"),"",INDEX(B1375:B$2,-1+SUMPRODUCT(MAX(ROW(E1375:E$2)*(E1376=E1375:E$2)))))</f>
        <v> </v>
      </c>
      <c r="J1376" s="26" t="str">
        <f>IF(OR(E1376="",E1376="!!!",F1376="NEW"),"",COUNTBLANK(OFFSET(A$1,,,SUMPRODUCT(MAX(ROW(E$2:E1376)*(E1376=E$2:E1376)))))-COUNTBLANK(OFFSET(A$1,,,SUMPRODUCT(MAX(ROW(E$1:E1375)*(E2=E$1:E1375))))))</f>
        <v> </v>
      </c>
      <c r="K1376" s="26" t="str">
        <f>IF(OR(E1376="",E1376="!!!",F1376="NEW"),"",INDEX(J$1:J1375,SUMPRODUCT(MAX(ROW(E$1:E1375)*(E1376=E$1:E1375)))))</f>
        <v> </v>
      </c>
      <c r="L1376" s="27"/>
    </row>
    <row r="1377" spans="1:12">
      <c r="A1377" s="20" t="s">
        <v>1289</v>
      </c>
      <c r="E1377" s="22">
        <f>IF(D1377="?OLD","!!!","")</f>
        <v/>
      </c>
      <c r="F1377" s="23" t="str">
        <f>IF(OR(E1377="",E1377="!!!"),"",IF(NOT(ISNA(VLOOKUP(E1377,E$1:E1376,1,FALSE()))),"OLD",IF(AND(E1377&lt;&gt;"",E1377&lt;&gt;"!!!"),"NEW","")))</f>
        <v> </v>
      </c>
      <c r="G1377" s="24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5" t="str">
        <f>IF(J1377&lt;&gt;1,"",IF(I1377="SBJ","CB","?"))</f>
        <v> </v>
      </c>
      <c r="I1377" s="26" t="str">
        <f>IF(OR(E1377="",E1377="!!!",F1377="NEW"),"",INDEX(B1376:B$2,-1+SUMPRODUCT(MAX(ROW(E1376:E$2)*(E1377=E1376:E$2)))))</f>
        <v> </v>
      </c>
      <c r="J1377" s="26" t="str">
        <f>IF(OR(E1377="",E1377="!!!",F1377="NEW"),"",COUNTBLANK(OFFSET(A$1,,,SUMPRODUCT(MAX(ROW(E$2:E1377)*(E1377=E$2:E1377)))))-COUNTBLANK(OFFSET(A$1,,,SUMPRODUCT(MAX(ROW(E$1:E1376)*(E2=E$1:E1376))))))</f>
        <v> </v>
      </c>
      <c r="K1377" s="26" t="str">
        <f>IF(OR(E1377="",E1377="!!!",F1377="NEW"),"",INDEX(J$1:J1376,SUMPRODUCT(MAX(ROW(E$1:E1376)*(E1377=E$1:E1376)))))</f>
        <v> </v>
      </c>
      <c r="L1377" s="27"/>
    </row>
    <row r="1378" spans="1:12">
      <c r="A1378" s="20" t="s">
        <v>583</v>
      </c>
      <c r="E1378" s="22">
        <f>IF(D1378="?OLD","!!!","")</f>
        <v/>
      </c>
      <c r="F1378" s="23" t="str">
        <f>IF(OR(E1378="",E1378="!!!"),"",IF(NOT(ISNA(VLOOKUP(E1378,E$1:E1377,1,FALSE()))),"OLD",IF(AND(E1378&lt;&gt;"",E1378&lt;&gt;"!!!"),"NEW","")))</f>
        <v> </v>
      </c>
      <c r="G1378" s="24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5" t="str">
        <f>IF(J1378&lt;&gt;1,"",IF(I1378="SBJ","CB","?"))</f>
        <v> </v>
      </c>
      <c r="I1378" s="26" t="str">
        <f>IF(OR(E1378="",E1378="!!!",F1378="NEW"),"",INDEX(B1377:B$2,-1+SUMPRODUCT(MAX(ROW(E1377:E$2)*(E1378=E1377:E$2)))))</f>
        <v> </v>
      </c>
      <c r="J1378" s="26" t="str">
        <f>IF(OR(E1378="",E1378="!!!",F1378="NEW"),"",COUNTBLANK(OFFSET(A$1,,,SUMPRODUCT(MAX(ROW(E$2:E1378)*(E1378=E$2:E1378)))))-COUNTBLANK(OFFSET(A$1,,,SUMPRODUCT(MAX(ROW(E$1:E1377)*(E2=E$1:E1377))))))</f>
        <v> </v>
      </c>
      <c r="K1378" s="26" t="str">
        <f>IF(OR(E1378="",E1378="!!!",F1378="NEW"),"",INDEX(J$1:J1377,SUMPRODUCT(MAX(ROW(E$1:E1377)*(E1378=E$1:E1377)))))</f>
        <v> </v>
      </c>
      <c r="L1378" s="27"/>
    </row>
    <row r="1379" spans="1:12">
      <c r="A1379" s="20" t="s">
        <v>369</v>
      </c>
      <c r="E1379" s="22">
        <f>IF(D1379="?OLD","!!!","")</f>
        <v/>
      </c>
      <c r="F1379" s="23" t="str">
        <f>IF(OR(E1379="",E1379="!!!"),"",IF(NOT(ISNA(VLOOKUP(E1379,E$1:E1378,1,FALSE()))),"OLD",IF(AND(E1379&lt;&gt;"",E1379&lt;&gt;"!!!"),"NEW","")))</f>
        <v> </v>
      </c>
      <c r="G1379" s="24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5" t="str">
        <f>IF(J1379&lt;&gt;1,"",IF(I1379="SBJ","CB","?"))</f>
        <v> </v>
      </c>
      <c r="I1379" s="26" t="str">
        <f>IF(OR(E1379="",E1379="!!!",F1379="NEW"),"",INDEX(B1378:B$2,-1+SUMPRODUCT(MAX(ROW(E1378:E$2)*(E1379=E1378:E$2)))))</f>
        <v> </v>
      </c>
      <c r="J1379" s="26" t="str">
        <f>IF(OR(E1379="",E1379="!!!",F1379="NEW"),"",COUNTBLANK(OFFSET(A$1,,,SUMPRODUCT(MAX(ROW(E$2:E1379)*(E1379=E$2:E1379)))))-COUNTBLANK(OFFSET(A$1,,,SUMPRODUCT(MAX(ROW(E$1:E1378)*(E2=E$1:E1378))))))</f>
        <v> </v>
      </c>
      <c r="K1379" s="26" t="str">
        <f>IF(OR(E1379="",E1379="!!!",F1379="NEW"),"",INDEX(J$1:J1378,SUMPRODUCT(MAX(ROW(E$1:E1378)*(E1379=E$1:E1378)))))</f>
        <v> </v>
      </c>
      <c r="L1379" s="27"/>
    </row>
    <row r="1380" spans="1:12">
      <c r="A1380" s="20" t="s">
        <v>1197</v>
      </c>
      <c r="B1380" s="21" t="s">
        <v>590</v>
      </c>
      <c r="E1380" s="22">
        <f>IF(D1380="?OLD","!!!","")</f>
        <v/>
      </c>
      <c r="F1380" s="23" t="str">
        <f>IF(OR(E1380="",E1380="!!!"),"",IF(NOT(ISNA(VLOOKUP(E1380,E$1:E1379,1,FALSE()))),"OLD",IF(AND(E1380&lt;&gt;"",E1380&lt;&gt;"!!!"),"NEW","")))</f>
        <v> </v>
      </c>
      <c r="G1380" s="24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5" t="str">
        <f>IF(J1380&lt;&gt;1,"",IF(I1380="SBJ","CB","?"))</f>
        <v> </v>
      </c>
      <c r="I1380" s="26" t="str">
        <f>IF(OR(E1380="",E1380="!!!",F1380="NEW"),"",INDEX(B1379:B$2,-1+SUMPRODUCT(MAX(ROW(E1379:E$2)*(E1380=E1379:E$2)))))</f>
        <v> </v>
      </c>
      <c r="J1380" s="26" t="str">
        <f>IF(OR(E1380="",E1380="!!!",F1380="NEW"),"",COUNTBLANK(OFFSET(A$1,,,SUMPRODUCT(MAX(ROW(E$2:E1380)*(E1380=E$2:E1380)))))-COUNTBLANK(OFFSET(A$1,,,SUMPRODUCT(MAX(ROW(E$1:E1379)*(E2=E$1:E1379))))))</f>
        <v> </v>
      </c>
      <c r="K1380" s="26" t="str">
        <f>IF(OR(E1380="",E1380="!!!",F1380="NEW"),"",INDEX(J$1:J1379,SUMPRODUCT(MAX(ROW(E$1:E1379)*(E1380=E$1:E1379)))))</f>
        <v> </v>
      </c>
      <c r="L1380" s="27"/>
    </row>
    <row r="1381" spans="1:12">
      <c r="A1381" s="20" t="s">
        <v>948</v>
      </c>
      <c r="E1381" s="22">
        <f>IF(D1381="?OLD","!!!","")</f>
        <v/>
      </c>
      <c r="F1381" s="23" t="str">
        <f>IF(OR(E1381="",E1381="!!!"),"",IF(NOT(ISNA(VLOOKUP(E1381,E$1:E1380,1,FALSE()))),"OLD",IF(AND(E1381&lt;&gt;"",E1381&lt;&gt;"!!!"),"NEW","")))</f>
        <v> </v>
      </c>
      <c r="G1381" s="24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5" t="str">
        <f>IF(J1381&lt;&gt;1,"",IF(I1381="SBJ","CB","?"))</f>
        <v> </v>
      </c>
      <c r="I1381" s="26" t="str">
        <f>IF(OR(E1381="",E1381="!!!",F1381="NEW"),"",INDEX(B1380:B$2,-1+SUMPRODUCT(MAX(ROW(E1380:E$2)*(E1381=E1380:E$2)))))</f>
        <v> </v>
      </c>
      <c r="J1381" s="26" t="str">
        <f>IF(OR(E1381="",E1381="!!!",F1381="NEW"),"",COUNTBLANK(OFFSET(A$1,,,SUMPRODUCT(MAX(ROW(E$2:E1381)*(E1381=E$2:E1381)))))-COUNTBLANK(OFFSET(A$1,,,SUMPRODUCT(MAX(ROW(E$1:E1380)*(E2=E$1:E1380))))))</f>
        <v> </v>
      </c>
      <c r="K1381" s="26" t="str">
        <f>IF(OR(E1381="",E1381="!!!",F1381="NEW"),"",INDEX(J$1:J1380,SUMPRODUCT(MAX(ROW(E$1:E1380)*(E1381=E$1:E1380)))))</f>
        <v> </v>
      </c>
      <c r="L1381" s="27"/>
    </row>
    <row r="1382" spans="1:12">
      <c r="A1382" s="20" t="s">
        <v>1290</v>
      </c>
      <c r="E1382" s="22">
        <f>IF(D1382="?OLD","!!!","")</f>
        <v/>
      </c>
      <c r="F1382" s="23" t="str">
        <f>IF(OR(E1382="",E1382="!!!"),"",IF(NOT(ISNA(VLOOKUP(E1382,E$1:E1381,1,FALSE()))),"OLD",IF(AND(E1382&lt;&gt;"",E1382&lt;&gt;"!!!"),"NEW","")))</f>
        <v> </v>
      </c>
      <c r="G1382" s="24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5" t="str">
        <f>IF(J1382&lt;&gt;1,"",IF(I1382="SBJ","CB","?"))</f>
        <v> </v>
      </c>
      <c r="I1382" s="26" t="str">
        <f>IF(OR(E1382="",E1382="!!!",F1382="NEW"),"",INDEX(B1381:B$2,-1+SUMPRODUCT(MAX(ROW(E1381:E$2)*(E1382=E1381:E$2)))))</f>
        <v> </v>
      </c>
      <c r="J1382" s="26" t="str">
        <f>IF(OR(E1382="",E1382="!!!",F1382="NEW"),"",COUNTBLANK(OFFSET(A$1,,,SUMPRODUCT(MAX(ROW(E$2:E1382)*(E1382=E$2:E1382)))))-COUNTBLANK(OFFSET(A$1,,,SUMPRODUCT(MAX(ROW(E$1:E1381)*(E2=E$1:E1381))))))</f>
        <v> </v>
      </c>
      <c r="K1382" s="26" t="str">
        <f>IF(OR(E1382="",E1382="!!!",F1382="NEW"),"",INDEX(J$1:J1381,SUMPRODUCT(MAX(ROW(E$1:E1381)*(E1382=E$1:E1381)))))</f>
        <v> </v>
      </c>
      <c r="L1382" s="27"/>
    </row>
    <row r="1383" spans="1:12">
      <c r="A1383" s="20" t="s">
        <v>1116</v>
      </c>
      <c r="B1383" s="21" t="s">
        <v>601</v>
      </c>
      <c r="C1383" s="21" t="s">
        <v>1270</v>
      </c>
      <c r="E1383" s="22">
        <f>IF(D1383="?OLD","!!!","")</f>
        <v/>
      </c>
      <c r="F1383" s="23" t="str">
        <f>IF(OR(E1383="",E1383="!!!"),"",IF(NOT(ISNA(VLOOKUP(E1383,E$1:E1382,1,FALSE()))),"OLD",IF(AND(E1383&lt;&gt;"",E1383&lt;&gt;"!!!"),"NEW","")))</f>
        <v> </v>
      </c>
      <c r="G1383" s="24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5" t="str">
        <f>IF(J1383&lt;&gt;1,"",IF(I1383="SBJ","CB","?"))</f>
        <v> </v>
      </c>
      <c r="I1383" s="26" t="str">
        <f>IF(OR(E1383="",E1383="!!!",F1383="NEW"),"",INDEX(B1382:B$2,-1+SUMPRODUCT(MAX(ROW(E1382:E$2)*(E1383=E1382:E$2)))))</f>
        <v> </v>
      </c>
      <c r="J1383" s="26" t="str">
        <f>IF(OR(E1383="",E1383="!!!",F1383="NEW"),"",COUNTBLANK(OFFSET(A$1,,,SUMPRODUCT(MAX(ROW(E$2:E1383)*(E1383=E$2:E1383)))))-COUNTBLANK(OFFSET(A$1,,,SUMPRODUCT(MAX(ROW(E$1:E1382)*(E2=E$1:E1382))))))</f>
        <v> </v>
      </c>
      <c r="K1383" s="26" t="str">
        <f>IF(OR(E1383="",E1383="!!!",F1383="NEW"),"",INDEX(J$1:J1382,SUMPRODUCT(MAX(ROW(E$1:E1382)*(E1383=E$1:E1382)))))</f>
        <v> </v>
      </c>
      <c r="L1383" s="27"/>
    </row>
    <row r="1384" spans="1:12">
      <c r="A1384" s="20" t="s">
        <v>1291</v>
      </c>
      <c r="E1384" s="22">
        <f>IF(D1384="?OLD","!!!","")</f>
        <v/>
      </c>
      <c r="F1384" s="23" t="str">
        <f>IF(OR(E1384="",E1384="!!!"),"",IF(NOT(ISNA(VLOOKUP(E1384,E$1:E1383,1,FALSE()))),"OLD",IF(AND(E1384&lt;&gt;"",E1384&lt;&gt;"!!!"),"NEW","")))</f>
        <v> </v>
      </c>
      <c r="G1384" s="24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5" t="str">
        <f>IF(J1384&lt;&gt;1,"",IF(I1384="SBJ","CB","?"))</f>
        <v> </v>
      </c>
      <c r="I1384" s="26" t="str">
        <f>IF(OR(E1384="",E1384="!!!",F1384="NEW"),"",INDEX(B1383:B$2,-1+SUMPRODUCT(MAX(ROW(E1383:E$2)*(E1384=E1383:E$2)))))</f>
        <v> </v>
      </c>
      <c r="J1384" s="26" t="str">
        <f>IF(OR(E1384="",E1384="!!!",F1384="NEW"),"",COUNTBLANK(OFFSET(A$1,,,SUMPRODUCT(MAX(ROW(E$2:E1384)*(E1384=E$2:E1384)))))-COUNTBLANK(OFFSET(A$1,,,SUMPRODUCT(MAX(ROW(E$1:E1383)*(E2=E$1:E1383))))))</f>
        <v> </v>
      </c>
      <c r="K1384" s="26" t="str">
        <f>IF(OR(E1384="",E1384="!!!",F1384="NEW"),"",INDEX(J$1:J1383,SUMPRODUCT(MAX(ROW(E$1:E1383)*(E1384=E$1:E1383)))))</f>
        <v> </v>
      </c>
      <c r="L1384" s="27"/>
    </row>
    <row r="1385" spans="1:12">
      <c r="A1385" s="20" t="s">
        <v>1292</v>
      </c>
      <c r="E1385" s="22">
        <f>IF(D1385="?OLD","!!!","")</f>
        <v/>
      </c>
      <c r="F1385" s="23" t="str">
        <f>IF(OR(E1385="",E1385="!!!"),"",IF(NOT(ISNA(VLOOKUP(E1385,E$1:E1384,1,FALSE()))),"OLD",IF(AND(E1385&lt;&gt;"",E1385&lt;&gt;"!!!"),"NEW","")))</f>
        <v> </v>
      </c>
      <c r="G1385" s="24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5" t="str">
        <f>IF(J1385&lt;&gt;1,"",IF(I1385="SBJ","CB","?"))</f>
        <v> </v>
      </c>
      <c r="I1385" s="26" t="str">
        <f>IF(OR(E1385="",E1385="!!!",F1385="NEW"),"",INDEX(B1384:B$2,-1+SUMPRODUCT(MAX(ROW(E1384:E$2)*(E1385=E1384:E$2)))))</f>
        <v> </v>
      </c>
      <c r="J1385" s="26" t="str">
        <f>IF(OR(E1385="",E1385="!!!",F1385="NEW"),"",COUNTBLANK(OFFSET(A$1,,,SUMPRODUCT(MAX(ROW(E$2:E1385)*(E1385=E$2:E1385)))))-COUNTBLANK(OFFSET(A$1,,,SUMPRODUCT(MAX(ROW(E$1:E1384)*(E2=E$1:E1384))))))</f>
        <v> </v>
      </c>
      <c r="K1385" s="26" t="str">
        <f>IF(OR(E1385="",E1385="!!!",F1385="NEW"),"",INDEX(J$1:J1384,SUMPRODUCT(MAX(ROW(E$1:E1384)*(E1385=E$1:E1384)))))</f>
        <v> </v>
      </c>
      <c r="L1385" s="27"/>
    </row>
    <row r="1386" spans="1:12">
      <c r="A1386" s="20" t="s">
        <v>592</v>
      </c>
      <c r="E1386" s="22">
        <f>IF(D1386="?OLD","!!!","")</f>
        <v/>
      </c>
      <c r="F1386" s="23" t="str">
        <f>IF(OR(E1386="",E1386="!!!"),"",IF(NOT(ISNA(VLOOKUP(E1386,E$1:E1385,1,FALSE()))),"OLD",IF(AND(E1386&lt;&gt;"",E1386&lt;&gt;"!!!"),"NEW","")))</f>
        <v> </v>
      </c>
      <c r="G1386" s="24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5" t="str">
        <f>IF(J1386&lt;&gt;1,"",IF(I1386="SBJ","CB","?"))</f>
        <v> </v>
      </c>
      <c r="I1386" s="26" t="str">
        <f>IF(OR(E1386="",E1386="!!!",F1386="NEW"),"",INDEX(B1385:B$2,-1+SUMPRODUCT(MAX(ROW(E1385:E$2)*(E1386=E1385:E$2)))))</f>
        <v> </v>
      </c>
      <c r="J1386" s="26" t="str">
        <f>IF(OR(E1386="",E1386="!!!",F1386="NEW"),"",COUNTBLANK(OFFSET(A$1,,,SUMPRODUCT(MAX(ROW(E$2:E1386)*(E1386=E$2:E1386)))))-COUNTBLANK(OFFSET(A$1,,,SUMPRODUCT(MAX(ROW(E$1:E1385)*(E2=E$1:E1385))))))</f>
        <v> </v>
      </c>
      <c r="K1386" s="26" t="str">
        <f>IF(OR(E1386="",E1386="!!!",F1386="NEW"),"",INDEX(J$1:J1385,SUMPRODUCT(MAX(ROW(E$1:E1385)*(E1386=E$1:E1385)))))</f>
        <v> </v>
      </c>
      <c r="L1386" s="27"/>
    </row>
    <row r="1387" spans="1:12">
      <c r="A1387" s="20"/>
    </row>
    <row r="1388" spans="1:12">
      <c r="A1388" s="20" t="s">
        <v>1293</v>
      </c>
    </row>
    <row r="1389" spans="1:12">
      <c r="A1389" s="20" t="s">
        <v>288</v>
      </c>
      <c r="B1389" s="21" t="s">
        <v>651</v>
      </c>
      <c r="C1389" s="21" t="s">
        <v>628</v>
      </c>
      <c r="D1389" s="21" t="s">
        <v>587</v>
      </c>
      <c r="E1389" s="22">
        <f>IF(D1389="?OLD","!!!","")</f>
        <v/>
      </c>
      <c r="F1389" s="23" t="str">
        <f>IF(OR(E1389="",E1389="!!!"),"",IF(NOT(ISNA(VLOOKUP(E1389,E$1:E1388,1,FALSE()))),"OLD",IF(AND(E1389&lt;&gt;"",E1389&lt;&gt;"!!!"),"NEW","")))</f>
        <v> </v>
      </c>
      <c r="G1389" s="24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5" t="str">
        <f>IF(J1389&lt;&gt;1,"",IF(I1389="SBJ","CB","?"))</f>
        <v> </v>
      </c>
      <c r="I1389" s="26" t="str">
        <f>IF(OR(E1389="",E1389="!!!",F1389="NEW"),"",INDEX(B1388:B$2,-1+SUMPRODUCT(MAX(ROW(E1388:E$2)*(E1389=E1388:E$2)))))</f>
        <v> </v>
      </c>
      <c r="J1389" s="26" t="str">
        <f>IF(OR(E1389="",E1389="!!!",F1389="NEW"),"",COUNTBLANK(OFFSET(A$1,,,SUMPRODUCT(MAX(ROW(E$2:E1389)*(E1389=E$2:E1389)))))-COUNTBLANK(OFFSET(A$1,,,SUMPRODUCT(MAX(ROW(E$1:E1388)*(E2=E$1:E1388))))))</f>
        <v> </v>
      </c>
      <c r="K1389" s="26" t="str">
        <f>IF(OR(E1389="",E1389="!!!",F1389="NEW"),"",INDEX(J$1:J1388,SUMPRODUCT(MAX(ROW(E$1:E1388)*(E1389=E$1:E1388)))))</f>
        <v> </v>
      </c>
      <c r="L1389" s="27"/>
    </row>
    <row r="1390" spans="1:12">
      <c r="A1390" s="20" t="s">
        <v>655</v>
      </c>
      <c r="E1390" s="22">
        <f>IF(D1390="?OLD","!!!","")</f>
        <v/>
      </c>
      <c r="F1390" s="23" t="str">
        <f>IF(OR(E1390="",E1390="!!!"),"",IF(NOT(ISNA(VLOOKUP(E1390,E$1:E1389,1,FALSE()))),"OLD",IF(AND(E1390&lt;&gt;"",E1390&lt;&gt;"!!!"),"NEW","")))</f>
        <v> </v>
      </c>
      <c r="G1390" s="24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5" t="str">
        <f>IF(J1390&lt;&gt;1,"",IF(I1390="SBJ","CB","?"))</f>
        <v> </v>
      </c>
      <c r="I1390" s="26" t="str">
        <f>IF(OR(E1390="",E1390="!!!",F1390="NEW"),"",INDEX(B1389:B$2,-1+SUMPRODUCT(MAX(ROW(E1389:E$2)*(E1390=E1389:E$2)))))</f>
        <v> </v>
      </c>
      <c r="J1390" s="26" t="str">
        <f>IF(OR(E1390="",E1390="!!!",F1390="NEW"),"",COUNTBLANK(OFFSET(A$1,,,SUMPRODUCT(MAX(ROW(E$2:E1390)*(E1390=E$2:E1390)))))-COUNTBLANK(OFFSET(A$1,,,SUMPRODUCT(MAX(ROW(E$1:E1389)*(E2=E$1:E1389))))))</f>
        <v> </v>
      </c>
      <c r="K1390" s="26" t="str">
        <f>IF(OR(E1390="",E1390="!!!",F1390="NEW"),"",INDEX(J$1:J1389,SUMPRODUCT(MAX(ROW(E$1:E1389)*(E1390=E$1:E1389)))))</f>
        <v> </v>
      </c>
      <c r="L1390" s="27"/>
    </row>
    <row r="1391" spans="1:12">
      <c r="A1391" s="20" t="s">
        <v>1095</v>
      </c>
      <c r="B1391" s="21" t="s">
        <v>651</v>
      </c>
      <c r="C1391" s="21" t="s">
        <v>800</v>
      </c>
      <c r="D1391" s="21" t="s">
        <v>587</v>
      </c>
      <c r="E1391" s="22">
        <f>IF(D1391="?OLD","!!!","")</f>
        <v/>
      </c>
      <c r="F1391" s="23" t="str">
        <f>IF(OR(E1391="",E1391="!!!"),"",IF(NOT(ISNA(VLOOKUP(E1391,E$1:E1390,1,FALSE()))),"OLD",IF(AND(E1391&lt;&gt;"",E1391&lt;&gt;"!!!"),"NEW","")))</f>
        <v> </v>
      </c>
      <c r="G1391" s="24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5" t="str">
        <f>IF(J1391&lt;&gt;1,"",IF(I1391="SBJ","CB","?"))</f>
        <v> </v>
      </c>
      <c r="I1391" s="26" t="str">
        <f>IF(OR(E1391="",E1391="!!!",F1391="NEW"),"",INDEX(B1390:B$2,-1+SUMPRODUCT(MAX(ROW(E1390:E$2)*(E1391=E1390:E$2)))))</f>
        <v> </v>
      </c>
      <c r="J1391" s="26" t="str">
        <f>IF(OR(E1391="",E1391="!!!",F1391="NEW"),"",COUNTBLANK(OFFSET(A$1,,,SUMPRODUCT(MAX(ROW(E$2:E1391)*(E1391=E$2:E1391)))))-COUNTBLANK(OFFSET(A$1,,,SUMPRODUCT(MAX(ROW(E$1:E1390)*(E2=E$1:E1390))))))</f>
        <v> </v>
      </c>
      <c r="K1391" s="26" t="str">
        <f>IF(OR(E1391="",E1391="!!!",F1391="NEW"),"",INDEX(J$1:J1390,SUMPRODUCT(MAX(ROW(E$1:E1390)*(E1391=E$1:E1390)))))</f>
        <v> </v>
      </c>
      <c r="L1391" s="27"/>
    </row>
    <row r="1392" spans="1:12">
      <c r="A1392" s="20" t="s">
        <v>1294</v>
      </c>
      <c r="B1392" s="21" t="s">
        <v>585</v>
      </c>
      <c r="C1392" s="21" t="s">
        <v>628</v>
      </c>
      <c r="D1392" s="21" t="s">
        <v>587</v>
      </c>
      <c r="E1392" s="22">
        <f>IF(D1392="?OLD","!!!","")</f>
        <v/>
      </c>
      <c r="F1392" s="23" t="str">
        <f>IF(OR(E1392="",E1392="!!!"),"",IF(NOT(ISNA(VLOOKUP(E1392,E$1:E1391,1,FALSE()))),"OLD",IF(AND(E1392&lt;&gt;"",E1392&lt;&gt;"!!!"),"NEW","")))</f>
        <v> </v>
      </c>
      <c r="G1392" s="24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5" t="str">
        <f>IF(J1392&lt;&gt;1,"",IF(I1392="SBJ","CB","?"))</f>
        <v> </v>
      </c>
      <c r="I1392" s="26" t="str">
        <f>IF(OR(E1392="",E1392="!!!",F1392="NEW"),"",INDEX(B1391:B$2,-1+SUMPRODUCT(MAX(ROW(E1391:E$2)*(E1392=E1391:E$2)))))</f>
        <v> </v>
      </c>
      <c r="J1392" s="26" t="str">
        <f>IF(OR(E1392="",E1392="!!!",F1392="NEW"),"",COUNTBLANK(OFFSET(A$1,,,SUMPRODUCT(MAX(ROW(E$2:E1392)*(E1392=E$2:E1392)))))-COUNTBLANK(OFFSET(A$1,,,SUMPRODUCT(MAX(ROW(E$1:E1391)*(E2=E$1:E1391))))))</f>
        <v> </v>
      </c>
      <c r="K1392" s="26" t="str">
        <f>IF(OR(E1392="",E1392="!!!",F1392="NEW"),"",INDEX(J$1:J1391,SUMPRODUCT(MAX(ROW(E$1:E1391)*(E1392=E$1:E1391)))))</f>
        <v> </v>
      </c>
      <c r="L1392" s="27"/>
    </row>
    <row r="1393" spans="1:12">
      <c r="A1393" s="20" t="s">
        <v>1295</v>
      </c>
      <c r="E1393" s="22">
        <f>IF(D1393="?OLD","!!!","")</f>
        <v/>
      </c>
      <c r="F1393" s="23" t="str">
        <f>IF(OR(E1393="",E1393="!!!"),"",IF(NOT(ISNA(VLOOKUP(E1393,E$1:E1392,1,FALSE()))),"OLD",IF(AND(E1393&lt;&gt;"",E1393&lt;&gt;"!!!"),"NEW","")))</f>
        <v> </v>
      </c>
      <c r="G1393" s="24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5" t="str">
        <f>IF(J1393&lt;&gt;1,"",IF(I1393="SBJ","CB","?"))</f>
        <v> </v>
      </c>
      <c r="I1393" s="26" t="str">
        <f>IF(OR(E1393="",E1393="!!!",F1393="NEW"),"",INDEX(B1392:B$2,-1+SUMPRODUCT(MAX(ROW(E1392:E$2)*(E1393=E1392:E$2)))))</f>
        <v> </v>
      </c>
      <c r="J1393" s="26" t="str">
        <f>IF(OR(E1393="",E1393="!!!",F1393="NEW"),"",COUNTBLANK(OFFSET(A$1,,,SUMPRODUCT(MAX(ROW(E$2:E1393)*(E1393=E$2:E1393)))))-COUNTBLANK(OFFSET(A$1,,,SUMPRODUCT(MAX(ROW(E$1:E1392)*(E2=E$1:E1392))))))</f>
        <v> </v>
      </c>
      <c r="K1393" s="26" t="str">
        <f>IF(OR(E1393="",E1393="!!!",F1393="NEW"),"",INDEX(J$1:J1392,SUMPRODUCT(MAX(ROW(E$1:E1392)*(E1393=E$1:E1392)))))</f>
        <v> </v>
      </c>
      <c r="L1393" s="27"/>
    </row>
    <row r="1394" spans="1:12">
      <c r="A1394" s="20" t="s">
        <v>84</v>
      </c>
      <c r="E1394" s="22">
        <f>IF(D1394="?OLD","!!!","")</f>
        <v/>
      </c>
      <c r="F1394" s="23" t="str">
        <f>IF(OR(E1394="",E1394="!!!"),"",IF(NOT(ISNA(VLOOKUP(E1394,E$1:E1393,1,FALSE()))),"OLD",IF(AND(E1394&lt;&gt;"",E1394&lt;&gt;"!!!"),"NEW","")))</f>
        <v> </v>
      </c>
      <c r="G1394" s="24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5" t="str">
        <f>IF(J1394&lt;&gt;1,"",IF(I1394="SBJ","CB","?"))</f>
        <v> </v>
      </c>
      <c r="I1394" s="26" t="str">
        <f>IF(OR(E1394="",E1394="!!!",F1394="NEW"),"",INDEX(B1393:B$2,-1+SUMPRODUCT(MAX(ROW(E1393:E$2)*(E1394=E1393:E$2)))))</f>
        <v> </v>
      </c>
      <c r="J1394" s="26" t="str">
        <f>IF(OR(E1394="",E1394="!!!",F1394="NEW"),"",COUNTBLANK(OFFSET(A$1,,,SUMPRODUCT(MAX(ROW(E$2:E1394)*(E1394=E$2:E1394)))))-COUNTBLANK(OFFSET(A$1,,,SUMPRODUCT(MAX(ROW(E$1:E1393)*(E2=E$1:E1393))))))</f>
        <v> </v>
      </c>
      <c r="K1394" s="26" t="str">
        <f>IF(OR(E1394="",E1394="!!!",F1394="NEW"),"",INDEX(J$1:J1393,SUMPRODUCT(MAX(ROW(E$1:E1393)*(E1394=E$1:E1393)))))</f>
        <v> </v>
      </c>
      <c r="L1394" s="27"/>
    </row>
    <row r="1395" spans="1:12">
      <c r="A1395" s="20" t="s">
        <v>673</v>
      </c>
      <c r="B1395" s="21" t="s">
        <v>651</v>
      </c>
      <c r="C1395" s="21" t="s">
        <v>646</v>
      </c>
      <c r="E1395" s="22">
        <f>IF(D1395="?OLD","!!!","")</f>
        <v/>
      </c>
      <c r="F1395" s="23" t="str">
        <f>IF(OR(E1395="",E1395="!!!"),"",IF(NOT(ISNA(VLOOKUP(E1395,E$1:E1394,1,FALSE()))),"OLD",IF(AND(E1395&lt;&gt;"",E1395&lt;&gt;"!!!"),"NEW","")))</f>
        <v> </v>
      </c>
      <c r="G1395" s="24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5" t="str">
        <f>IF(J1395&lt;&gt;1,"",IF(I1395="SBJ","CB","?"))</f>
        <v> </v>
      </c>
      <c r="I1395" s="26" t="str">
        <f>IF(OR(E1395="",E1395="!!!",F1395="NEW"),"",INDEX(B1394:B$2,-1+SUMPRODUCT(MAX(ROW(E1394:E$2)*(E1395=E1394:E$2)))))</f>
        <v> </v>
      </c>
      <c r="J1395" s="26" t="str">
        <f>IF(OR(E1395="",E1395="!!!",F1395="NEW"),"",COUNTBLANK(OFFSET(A$1,,,SUMPRODUCT(MAX(ROW(E$2:E1395)*(E1395=E$2:E1395)))))-COUNTBLANK(OFFSET(A$1,,,SUMPRODUCT(MAX(ROW(E$1:E1394)*(E2=E$1:E1394))))))</f>
        <v> </v>
      </c>
      <c r="K1395" s="26" t="str">
        <f>IF(OR(E1395="",E1395="!!!",F1395="NEW"),"",INDEX(J$1:J1394,SUMPRODUCT(MAX(ROW(E$1:E1394)*(E1395=E$1:E1394)))))</f>
        <v> </v>
      </c>
      <c r="L1395" s="27"/>
    </row>
    <row r="1396" spans="1:12">
      <c r="A1396" s="20" t="s">
        <v>655</v>
      </c>
      <c r="E1396" s="22">
        <f>IF(D1396="?OLD","!!!","")</f>
        <v/>
      </c>
      <c r="F1396" s="23" t="str">
        <f>IF(OR(E1396="",E1396="!!!"),"",IF(NOT(ISNA(VLOOKUP(E1396,E$1:E1395,1,FALSE()))),"OLD",IF(AND(E1396&lt;&gt;"",E1396&lt;&gt;"!!!"),"NEW","")))</f>
        <v> </v>
      </c>
      <c r="G1396" s="24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5" t="str">
        <f>IF(J1396&lt;&gt;1,"",IF(I1396="SBJ","CB","?"))</f>
        <v> </v>
      </c>
      <c r="I1396" s="26" t="str">
        <f>IF(OR(E1396="",E1396="!!!",F1396="NEW"),"",INDEX(B1395:B$2,-1+SUMPRODUCT(MAX(ROW(E1395:E$2)*(E1396=E1395:E$2)))))</f>
        <v> </v>
      </c>
      <c r="J1396" s="26" t="str">
        <f>IF(OR(E1396="",E1396="!!!",F1396="NEW"),"",COUNTBLANK(OFFSET(A$1,,,SUMPRODUCT(MAX(ROW(E$2:E1396)*(E1396=E$2:E1396)))))-COUNTBLANK(OFFSET(A$1,,,SUMPRODUCT(MAX(ROW(E$1:E1395)*(E2=E$1:E1395))))))</f>
        <v> </v>
      </c>
      <c r="K1396" s="26" t="str">
        <f>IF(OR(E1396="",E1396="!!!",F1396="NEW"),"",INDEX(J$1:J1395,SUMPRODUCT(MAX(ROW(E$1:E1395)*(E1396=E$1:E1395)))))</f>
        <v> </v>
      </c>
      <c r="L1396" s="27"/>
    </row>
    <row r="1397" spans="1:12">
      <c r="A1397" s="20" t="s">
        <v>1296</v>
      </c>
      <c r="E1397" s="22">
        <f>IF(D1397="?OLD","!!!","")</f>
        <v/>
      </c>
      <c r="F1397" s="23" t="str">
        <f>IF(OR(E1397="",E1397="!!!"),"",IF(NOT(ISNA(VLOOKUP(E1397,E$1:E1396,1,FALSE()))),"OLD",IF(AND(E1397&lt;&gt;"",E1397&lt;&gt;"!!!"),"NEW","")))</f>
        <v> </v>
      </c>
      <c r="G1397" s="24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5" t="str">
        <f>IF(J1397&lt;&gt;1,"",IF(I1397="SBJ","CB","?"))</f>
        <v> </v>
      </c>
      <c r="I1397" s="26" t="str">
        <f>IF(OR(E1397="",E1397="!!!",F1397="NEW"),"",INDEX(B1396:B$2,-1+SUMPRODUCT(MAX(ROW(E1396:E$2)*(E1397=E1396:E$2)))))</f>
        <v> </v>
      </c>
      <c r="J1397" s="26" t="str">
        <f>IF(OR(E1397="",E1397="!!!",F1397="NEW"),"",COUNTBLANK(OFFSET(A$1,,,SUMPRODUCT(MAX(ROW(E$2:E1397)*(E1397=E$2:E1397)))))-COUNTBLANK(OFFSET(A$1,,,SUMPRODUCT(MAX(ROW(E$1:E1396)*(E2=E$1:E1396))))))</f>
        <v> </v>
      </c>
      <c r="K1397" s="26" t="str">
        <f>IF(OR(E1397="",E1397="!!!",F1397="NEW"),"",INDEX(J$1:J1396,SUMPRODUCT(MAX(ROW(E$1:E1396)*(E1397=E$1:E1396)))))</f>
        <v> </v>
      </c>
      <c r="L1397" s="27"/>
    </row>
    <row r="1398" spans="1:12">
      <c r="A1398" s="20" t="s">
        <v>630</v>
      </c>
      <c r="E1398" s="22">
        <f>IF(D1398="?OLD","!!!","")</f>
        <v/>
      </c>
      <c r="F1398" s="23" t="str">
        <f>IF(OR(E1398="",E1398="!!!"),"",IF(NOT(ISNA(VLOOKUP(E1398,E$1:E1397,1,FALSE()))),"OLD",IF(AND(E1398&lt;&gt;"",E1398&lt;&gt;"!!!"),"NEW","")))</f>
        <v> </v>
      </c>
      <c r="G1398" s="24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5" t="str">
        <f>IF(J1398&lt;&gt;1,"",IF(I1398="SBJ","CB","?"))</f>
        <v> </v>
      </c>
      <c r="I1398" s="26" t="str">
        <f>IF(OR(E1398="",E1398="!!!",F1398="NEW"),"",INDEX(B1397:B$2,-1+SUMPRODUCT(MAX(ROW(E1397:E$2)*(E1398=E1397:E$2)))))</f>
        <v> </v>
      </c>
      <c r="J1398" s="26" t="str">
        <f>IF(OR(E1398="",E1398="!!!",F1398="NEW"),"",COUNTBLANK(OFFSET(A$1,,,SUMPRODUCT(MAX(ROW(E$2:E1398)*(E1398=E$2:E1398)))))-COUNTBLANK(OFFSET(A$1,,,SUMPRODUCT(MAX(ROW(E$1:E1397)*(E2=E$1:E1397))))))</f>
        <v> </v>
      </c>
      <c r="K1398" s="26" t="str">
        <f>IF(OR(E1398="",E1398="!!!",F1398="NEW"),"",INDEX(J$1:J1397,SUMPRODUCT(MAX(ROW(E$1:E1397)*(E1398=E$1:E1397)))))</f>
        <v> </v>
      </c>
      <c r="L1398" s="27"/>
    </row>
    <row r="1399" spans="1:12">
      <c r="A1399" s="20" t="s">
        <v>1297</v>
      </c>
      <c r="E1399" s="22">
        <f>IF(D1399="?OLD","!!!","")</f>
        <v/>
      </c>
      <c r="F1399" s="23" t="str">
        <f>IF(OR(E1399="",E1399="!!!"),"",IF(NOT(ISNA(VLOOKUP(E1399,E$1:E1398,1,FALSE()))),"OLD",IF(AND(E1399&lt;&gt;"",E1399&lt;&gt;"!!!"),"NEW","")))</f>
        <v> </v>
      </c>
      <c r="G1399" s="24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5" t="str">
        <f>IF(J1399&lt;&gt;1,"",IF(I1399="SBJ","CB","?"))</f>
        <v> </v>
      </c>
      <c r="I1399" s="26" t="str">
        <f>IF(OR(E1399="",E1399="!!!",F1399="NEW"),"",INDEX(B1398:B$2,-1+SUMPRODUCT(MAX(ROW(E1398:E$2)*(E1399=E1398:E$2)))))</f>
        <v> </v>
      </c>
      <c r="J1399" s="26" t="str">
        <f>IF(OR(E1399="",E1399="!!!",F1399="NEW"),"",COUNTBLANK(OFFSET(A$1,,,SUMPRODUCT(MAX(ROW(E$2:E1399)*(E1399=E$2:E1399)))))-COUNTBLANK(OFFSET(A$1,,,SUMPRODUCT(MAX(ROW(E$1:E1398)*(E2=E$1:E1398))))))</f>
        <v> </v>
      </c>
      <c r="K1399" s="26" t="str">
        <f>IF(OR(E1399="",E1399="!!!",F1399="NEW"),"",INDEX(J$1:J1398,SUMPRODUCT(MAX(ROW(E$1:E1398)*(E1399=E$1:E1398)))))</f>
        <v> </v>
      </c>
      <c r="L1399" s="27"/>
    </row>
    <row r="1400" spans="1:12">
      <c r="A1400" s="20" t="s">
        <v>1298</v>
      </c>
      <c r="E1400" s="22">
        <f>IF(D1400="?OLD","!!!","")</f>
        <v/>
      </c>
      <c r="F1400" s="23" t="str">
        <f>IF(OR(E1400="",E1400="!!!"),"",IF(NOT(ISNA(VLOOKUP(E1400,E$1:E1399,1,FALSE()))),"OLD",IF(AND(E1400&lt;&gt;"",E1400&lt;&gt;"!!!"),"NEW","")))</f>
        <v> </v>
      </c>
      <c r="G1400" s="24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5" t="str">
        <f>IF(J1400&lt;&gt;1,"",IF(I1400="SBJ","CB","?"))</f>
        <v> </v>
      </c>
      <c r="I1400" s="26" t="str">
        <f>IF(OR(E1400="",E1400="!!!",F1400="NEW"),"",INDEX(B1399:B$2,-1+SUMPRODUCT(MAX(ROW(E1399:E$2)*(E1400=E1399:E$2)))))</f>
        <v> </v>
      </c>
      <c r="J1400" s="26" t="str">
        <f>IF(OR(E1400="",E1400="!!!",F1400="NEW"),"",COUNTBLANK(OFFSET(A$1,,,SUMPRODUCT(MAX(ROW(E$2:E1400)*(E1400=E$2:E1400)))))-COUNTBLANK(OFFSET(A$1,,,SUMPRODUCT(MAX(ROW(E$1:E1399)*(E2=E$1:E1399))))))</f>
        <v> </v>
      </c>
      <c r="K1400" s="26" t="str">
        <f>IF(OR(E1400="",E1400="!!!",F1400="NEW"),"",INDEX(J$1:J1399,SUMPRODUCT(MAX(ROW(E$1:E1399)*(E1400=E$1:E1399)))))</f>
        <v> </v>
      </c>
      <c r="L1400" s="27"/>
    </row>
    <row r="1401" spans="1:12">
      <c r="A1401" s="20" t="s">
        <v>1299</v>
      </c>
      <c r="E1401" s="22">
        <f>IF(D1401="?OLD","!!!","")</f>
        <v/>
      </c>
      <c r="F1401" s="23" t="str">
        <f>IF(OR(E1401="",E1401="!!!"),"",IF(NOT(ISNA(VLOOKUP(E1401,E$1:E1400,1,FALSE()))),"OLD",IF(AND(E1401&lt;&gt;"",E1401&lt;&gt;"!!!"),"NEW","")))</f>
        <v> </v>
      </c>
      <c r="G1401" s="24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5" t="str">
        <f>IF(J1401&lt;&gt;1,"",IF(I1401="SBJ","CB","?"))</f>
        <v> </v>
      </c>
      <c r="I1401" s="26" t="str">
        <f>IF(OR(E1401="",E1401="!!!",F1401="NEW"),"",INDEX(B1400:B$2,-1+SUMPRODUCT(MAX(ROW(E1400:E$2)*(E1401=E1400:E$2)))))</f>
        <v> </v>
      </c>
      <c r="J1401" s="26" t="str">
        <f>IF(OR(E1401="",E1401="!!!",F1401="NEW"),"",COUNTBLANK(OFFSET(A$1,,,SUMPRODUCT(MAX(ROW(E$2:E1401)*(E1401=E$2:E1401)))))-COUNTBLANK(OFFSET(A$1,,,SUMPRODUCT(MAX(ROW(E$1:E1400)*(E2=E$1:E1400))))))</f>
        <v> </v>
      </c>
      <c r="K1401" s="26" t="str">
        <f>IF(OR(E1401="",E1401="!!!",F1401="NEW"),"",INDEX(J$1:J1400,SUMPRODUCT(MAX(ROW(E$1:E1400)*(E1401=E$1:E1400)))))</f>
        <v> </v>
      </c>
      <c r="L1401" s="27"/>
    </row>
    <row r="1402" spans="1:12">
      <c r="A1402" s="20" t="s">
        <v>1300</v>
      </c>
      <c r="B1402" s="21" t="s">
        <v>1045</v>
      </c>
      <c r="E1402" s="22">
        <f>IF(D1402="?OLD","!!!","")</f>
        <v/>
      </c>
      <c r="F1402" s="23" t="str">
        <f>IF(OR(E1402="",E1402="!!!"),"",IF(NOT(ISNA(VLOOKUP(E1402,E$1:E1401,1,FALSE()))),"OLD",IF(AND(E1402&lt;&gt;"",E1402&lt;&gt;"!!!"),"NEW","")))</f>
        <v> </v>
      </c>
      <c r="G1402" s="24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5" t="str">
        <f>IF(J1402&lt;&gt;1,"",IF(I1402="SBJ","CB","?"))</f>
        <v> </v>
      </c>
      <c r="I1402" s="26" t="str">
        <f>IF(OR(E1402="",E1402="!!!",F1402="NEW"),"",INDEX(B1401:B$2,-1+SUMPRODUCT(MAX(ROW(E1401:E$2)*(E1402=E1401:E$2)))))</f>
        <v> </v>
      </c>
      <c r="J1402" s="26" t="str">
        <f>IF(OR(E1402="",E1402="!!!",F1402="NEW"),"",COUNTBLANK(OFFSET(A$1,,,SUMPRODUCT(MAX(ROW(E$2:E1402)*(E1402=E$2:E1402)))))-COUNTBLANK(OFFSET(A$1,,,SUMPRODUCT(MAX(ROW(E$1:E1401)*(E2=E$1:E1401))))))</f>
        <v> </v>
      </c>
      <c r="K1402" s="26" t="str">
        <f>IF(OR(E1402="",E1402="!!!",F1402="NEW"),"",INDEX(J$1:J1401,SUMPRODUCT(MAX(ROW(E$1:E1401)*(E1402=E$1:E1401)))))</f>
        <v> </v>
      </c>
      <c r="L1402" s="27"/>
    </row>
    <row r="1403" spans="1:12">
      <c r="A1403" s="20" t="s">
        <v>619</v>
      </c>
      <c r="E1403" s="22">
        <f>IF(D1403="?OLD","!!!","")</f>
        <v/>
      </c>
      <c r="F1403" s="23" t="str">
        <f>IF(OR(E1403="",E1403="!!!"),"",IF(NOT(ISNA(VLOOKUP(E1403,E$1:E1402,1,FALSE()))),"OLD",IF(AND(E1403&lt;&gt;"",E1403&lt;&gt;"!!!"),"NEW","")))</f>
        <v> </v>
      </c>
      <c r="G1403" s="24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5" t="str">
        <f>IF(J1403&lt;&gt;1,"",IF(I1403="SBJ","CB","?"))</f>
        <v> </v>
      </c>
      <c r="I1403" s="26" t="str">
        <f>IF(OR(E1403="",E1403="!!!",F1403="NEW"),"",INDEX(B1402:B$2,-1+SUMPRODUCT(MAX(ROW(E1402:E$2)*(E1403=E1402:E$2)))))</f>
        <v> </v>
      </c>
      <c r="J1403" s="26" t="str">
        <f>IF(OR(E1403="",E1403="!!!",F1403="NEW"),"",COUNTBLANK(OFFSET(A$1,,,SUMPRODUCT(MAX(ROW(E$2:E1403)*(E1403=E$2:E1403)))))-COUNTBLANK(OFFSET(A$1,,,SUMPRODUCT(MAX(ROW(E$1:E1402)*(E2=E$1:E1402))))))</f>
        <v> </v>
      </c>
      <c r="K1403" s="26" t="str">
        <f>IF(OR(E1403="",E1403="!!!",F1403="NEW"),"",INDEX(J$1:J1402,SUMPRODUCT(MAX(ROW(E$1:E1402)*(E1403=E$1:E1402)))))</f>
        <v> </v>
      </c>
      <c r="L1403" s="27"/>
    </row>
    <row r="1404" spans="1:12">
      <c r="A1404" s="20" t="s">
        <v>1301</v>
      </c>
      <c r="B1404" s="21" t="s">
        <v>627</v>
      </c>
      <c r="C1404" s="21" t="s">
        <v>628</v>
      </c>
      <c r="D1404" s="21" t="s">
        <v>587</v>
      </c>
      <c r="E1404" s="22">
        <f>IF(D1404="?OLD","!!!","")</f>
        <v/>
      </c>
      <c r="F1404" s="23" t="str">
        <f>IF(OR(E1404="",E1404="!!!"),"",IF(NOT(ISNA(VLOOKUP(E1404,E$1:E1403,1,FALSE()))),"OLD",IF(AND(E1404&lt;&gt;"",E1404&lt;&gt;"!!!"),"NEW","")))</f>
        <v> </v>
      </c>
      <c r="G1404" s="24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5" t="str">
        <f>IF(J1404&lt;&gt;1,"",IF(I1404="SBJ","CB","?"))</f>
        <v> </v>
      </c>
      <c r="I1404" s="26" t="str">
        <f>IF(OR(E1404="",E1404="!!!",F1404="NEW"),"",INDEX(B1403:B$2,-1+SUMPRODUCT(MAX(ROW(E1403:E$2)*(E1404=E1403:E$2)))))</f>
        <v> </v>
      </c>
      <c r="J1404" s="26" t="str">
        <f>IF(OR(E1404="",E1404="!!!",F1404="NEW"),"",COUNTBLANK(OFFSET(A$1,,,SUMPRODUCT(MAX(ROW(E$2:E1404)*(E1404=E$2:E1404)))))-COUNTBLANK(OFFSET(A$1,,,SUMPRODUCT(MAX(ROW(E$1:E1403)*(E2=E$1:E1403))))))</f>
        <v> </v>
      </c>
      <c r="K1404" s="26" t="str">
        <f>IF(OR(E1404="",E1404="!!!",F1404="NEW"),"",INDEX(J$1:J1403,SUMPRODUCT(MAX(ROW(E$1:E1403)*(E1404=E$1:E1403)))))</f>
        <v> </v>
      </c>
      <c r="L1404" s="27"/>
    </row>
    <row r="1405" spans="1:12">
      <c r="A1405" s="20" t="s">
        <v>583</v>
      </c>
      <c r="E1405" s="22">
        <f>IF(D1405="?OLD","!!!","")</f>
        <v/>
      </c>
      <c r="F1405" s="23" t="str">
        <f>IF(OR(E1405="",E1405="!!!"),"",IF(NOT(ISNA(VLOOKUP(E1405,E$1:E1404,1,FALSE()))),"OLD",IF(AND(E1405&lt;&gt;"",E1405&lt;&gt;"!!!"),"NEW","")))</f>
        <v> </v>
      </c>
      <c r="G1405" s="24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5" t="str">
        <f>IF(J1405&lt;&gt;1,"",IF(I1405="SBJ","CB","?"))</f>
        <v> </v>
      </c>
      <c r="I1405" s="26" t="str">
        <f>IF(OR(E1405="",E1405="!!!",F1405="NEW"),"",INDEX(B1404:B$2,-1+SUMPRODUCT(MAX(ROW(E1404:E$2)*(E1405=E1404:E$2)))))</f>
        <v> </v>
      </c>
      <c r="J1405" s="26" t="str">
        <f>IF(OR(E1405="",E1405="!!!",F1405="NEW"),"",COUNTBLANK(OFFSET(A$1,,,SUMPRODUCT(MAX(ROW(E$2:E1405)*(E1405=E$2:E1405)))))-COUNTBLANK(OFFSET(A$1,,,SUMPRODUCT(MAX(ROW(E$1:E1404)*(E2=E$1:E1404))))))</f>
        <v> </v>
      </c>
      <c r="K1405" s="26" t="str">
        <f>IF(OR(E1405="",E1405="!!!",F1405="NEW"),"",INDEX(J$1:J1404,SUMPRODUCT(MAX(ROW(E$1:E1404)*(E1405=E$1:E1404)))))</f>
        <v> </v>
      </c>
      <c r="L1405" s="27"/>
    </row>
    <row r="1406" spans="1:12">
      <c r="A1406" s="20" t="s">
        <v>753</v>
      </c>
      <c r="E1406" s="22">
        <f>IF(D1406="?OLD","!!!","")</f>
        <v/>
      </c>
      <c r="F1406" s="23" t="str">
        <f>IF(OR(E1406="",E1406="!!!"),"",IF(NOT(ISNA(VLOOKUP(E1406,E$1:E1405,1,FALSE()))),"OLD",IF(AND(E1406&lt;&gt;"",E1406&lt;&gt;"!!!"),"NEW","")))</f>
        <v> </v>
      </c>
      <c r="G1406" s="24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5" t="str">
        <f>IF(J1406&lt;&gt;1,"",IF(I1406="SBJ","CB","?"))</f>
        <v> </v>
      </c>
      <c r="I1406" s="26" t="str">
        <f>IF(OR(E1406="",E1406="!!!",F1406="NEW"),"",INDEX(B1405:B$2,-1+SUMPRODUCT(MAX(ROW(E1405:E$2)*(E1406=E1405:E$2)))))</f>
        <v> </v>
      </c>
      <c r="J1406" s="26" t="str">
        <f>IF(OR(E1406="",E1406="!!!",F1406="NEW"),"",COUNTBLANK(OFFSET(A$1,,,SUMPRODUCT(MAX(ROW(E$2:E1406)*(E1406=E$2:E1406)))))-COUNTBLANK(OFFSET(A$1,,,SUMPRODUCT(MAX(ROW(E$1:E1405)*(E2=E$1:E1405))))))</f>
        <v> </v>
      </c>
      <c r="K1406" s="26" t="str">
        <f>IF(OR(E1406="",E1406="!!!",F1406="NEW"),"",INDEX(J$1:J1405,SUMPRODUCT(MAX(ROW(E$1:E1405)*(E1406=E$1:E1405)))))</f>
        <v> </v>
      </c>
      <c r="L1406" s="27"/>
    </row>
    <row r="1407" spans="1:12">
      <c r="A1407" s="20" t="s">
        <v>983</v>
      </c>
      <c r="E1407" s="22">
        <f>IF(D1407="?OLD","!!!","")</f>
        <v/>
      </c>
      <c r="F1407" s="23" t="str">
        <f>IF(OR(E1407="",E1407="!!!"),"",IF(NOT(ISNA(VLOOKUP(E1407,E$1:E1406,1,FALSE()))),"OLD",IF(AND(E1407&lt;&gt;"",E1407&lt;&gt;"!!!"),"NEW","")))</f>
        <v> </v>
      </c>
      <c r="G1407" s="24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5" t="str">
        <f>IF(J1407&lt;&gt;1,"",IF(I1407="SBJ","CB","?"))</f>
        <v> </v>
      </c>
      <c r="I1407" s="26" t="str">
        <f>IF(OR(E1407="",E1407="!!!",F1407="NEW"),"",INDEX(B1406:B$2,-1+SUMPRODUCT(MAX(ROW(E1406:E$2)*(E1407=E1406:E$2)))))</f>
        <v> </v>
      </c>
      <c r="J1407" s="26" t="str">
        <f>IF(OR(E1407="",E1407="!!!",F1407="NEW"),"",COUNTBLANK(OFFSET(A$1,,,SUMPRODUCT(MAX(ROW(E$2:E1407)*(E1407=E$2:E1407)))))-COUNTBLANK(OFFSET(A$1,,,SUMPRODUCT(MAX(ROW(E$1:E1406)*(E2=E$1:E1406))))))</f>
        <v> </v>
      </c>
      <c r="K1407" s="26" t="str">
        <f>IF(OR(E1407="",E1407="!!!",F1407="NEW"),"",INDEX(J$1:J1406,SUMPRODUCT(MAX(ROW(E$1:E1406)*(E1407=E$1:E1406)))))</f>
        <v> </v>
      </c>
      <c r="L1407" s="27"/>
    </row>
    <row r="1408" spans="1:12">
      <c r="A1408" s="20" t="s">
        <v>984</v>
      </c>
      <c r="E1408" s="22">
        <f>IF(D1408="?OLD","!!!","")</f>
        <v/>
      </c>
      <c r="F1408" s="23" t="str">
        <f>IF(OR(E1408="",E1408="!!!"),"",IF(NOT(ISNA(VLOOKUP(E1408,E$1:E1407,1,FALSE()))),"OLD",IF(AND(E1408&lt;&gt;"",E1408&lt;&gt;"!!!"),"NEW","")))</f>
        <v> </v>
      </c>
      <c r="G1408" s="24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5" t="str">
        <f>IF(J1408&lt;&gt;1,"",IF(I1408="SBJ","CB","?"))</f>
        <v> </v>
      </c>
      <c r="I1408" s="26" t="str">
        <f>IF(OR(E1408="",E1408="!!!",F1408="NEW"),"",INDEX(B1407:B$2,-1+SUMPRODUCT(MAX(ROW(E1407:E$2)*(E1408=E1407:E$2)))))</f>
        <v> </v>
      </c>
      <c r="J1408" s="26" t="str">
        <f>IF(OR(E1408="",E1408="!!!",F1408="NEW"),"",COUNTBLANK(OFFSET(A$1,,,SUMPRODUCT(MAX(ROW(E$2:E1408)*(E1408=E$2:E1408)))))-COUNTBLANK(OFFSET(A$1,,,SUMPRODUCT(MAX(ROW(E$1:E1407)*(E2=E$1:E1407))))))</f>
        <v> </v>
      </c>
      <c r="K1408" s="26" t="str">
        <f>IF(OR(E1408="",E1408="!!!",F1408="NEW"),"",INDEX(J$1:J1407,SUMPRODUCT(MAX(ROW(E$1:E1407)*(E1408=E$1:E1407)))))</f>
        <v> </v>
      </c>
      <c r="L1408" s="27"/>
    </row>
    <row r="1409" spans="1:12">
      <c r="A1409" s="20" t="s">
        <v>1302</v>
      </c>
      <c r="E1409" s="22">
        <f>IF(D1409="?OLD","!!!","")</f>
        <v/>
      </c>
      <c r="F1409" s="23" t="str">
        <f>IF(OR(E1409="",E1409="!!!"),"",IF(NOT(ISNA(VLOOKUP(E1409,E$1:E1408,1,FALSE()))),"OLD",IF(AND(E1409&lt;&gt;"",E1409&lt;&gt;"!!!"),"NEW","")))</f>
        <v> </v>
      </c>
      <c r="G1409" s="24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5" t="str">
        <f>IF(J1409&lt;&gt;1,"",IF(I1409="SBJ","CB","?"))</f>
        <v> </v>
      </c>
      <c r="I1409" s="26" t="str">
        <f>IF(OR(E1409="",E1409="!!!",F1409="NEW"),"",INDEX(B1408:B$2,-1+SUMPRODUCT(MAX(ROW(E1408:E$2)*(E1409=E1408:E$2)))))</f>
        <v> </v>
      </c>
      <c r="J1409" s="26" t="str">
        <f>IF(OR(E1409="",E1409="!!!",F1409="NEW"),"",COUNTBLANK(OFFSET(A$1,,,SUMPRODUCT(MAX(ROW(E$2:E1409)*(E1409=E$2:E1409)))))-COUNTBLANK(OFFSET(A$1,,,SUMPRODUCT(MAX(ROW(E$1:E1408)*(E2=E$1:E1408))))))</f>
        <v> </v>
      </c>
      <c r="K1409" s="26" t="str">
        <f>IF(OR(E1409="",E1409="!!!",F1409="NEW"),"",INDEX(J$1:J1408,SUMPRODUCT(MAX(ROW(E$1:E1408)*(E1409=E$1:E1408)))))</f>
        <v> </v>
      </c>
      <c r="L1409" s="27"/>
    </row>
    <row r="1410" spans="1:12">
      <c r="A1410" s="20" t="s">
        <v>483</v>
      </c>
      <c r="E1410" s="22">
        <f>IF(D1410="?OLD","!!!","")</f>
        <v/>
      </c>
      <c r="F1410" s="23" t="str">
        <f>IF(OR(E1410="",E1410="!!!"),"",IF(NOT(ISNA(VLOOKUP(E1410,E$1:E1409,1,FALSE()))),"OLD",IF(AND(E1410&lt;&gt;"",E1410&lt;&gt;"!!!"),"NEW","")))</f>
        <v> </v>
      </c>
      <c r="G1410" s="24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5" t="str">
        <f>IF(J1410&lt;&gt;1,"",IF(I1410="SBJ","CB","?"))</f>
        <v> </v>
      </c>
      <c r="I1410" s="26" t="str">
        <f>IF(OR(E1410="",E1410="!!!",F1410="NEW"),"",INDEX(B1409:B$2,-1+SUMPRODUCT(MAX(ROW(E1409:E$2)*(E1410=E1409:E$2)))))</f>
        <v> </v>
      </c>
      <c r="J1410" s="26" t="str">
        <f>IF(OR(E1410="",E1410="!!!",F1410="NEW"),"",COUNTBLANK(OFFSET(A$1,,,SUMPRODUCT(MAX(ROW(E$2:E1410)*(E1410=E$2:E1410)))))-COUNTBLANK(OFFSET(A$1,,,SUMPRODUCT(MAX(ROW(E$1:E1409)*(E2=E$1:E1409))))))</f>
        <v> </v>
      </c>
      <c r="K1410" s="26" t="str">
        <f>IF(OR(E1410="",E1410="!!!",F1410="NEW"),"",INDEX(J$1:J1409,SUMPRODUCT(MAX(ROW(E$1:E1409)*(E1410=E$1:E1409)))))</f>
        <v> </v>
      </c>
      <c r="L1410" s="27"/>
    </row>
    <row r="1411" spans="1:12">
      <c r="A1411" s="20" t="s">
        <v>1303</v>
      </c>
      <c r="B1411" s="21" t="s">
        <v>645</v>
      </c>
      <c r="C1411" s="21" t="s">
        <v>613</v>
      </c>
      <c r="D1411" s="21" t="s">
        <v>587</v>
      </c>
      <c r="E1411" s="22">
        <f>IF(D1411="?OLD","!!!","")</f>
        <v/>
      </c>
      <c r="F1411" s="23" t="str">
        <f>IF(OR(E1411="",E1411="!!!"),"",IF(NOT(ISNA(VLOOKUP(E1411,E$1:E1410,1,FALSE()))),"OLD",IF(AND(E1411&lt;&gt;"",E1411&lt;&gt;"!!!"),"NEW","")))</f>
        <v> </v>
      </c>
      <c r="G1411" s="24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5" t="str">
        <f>IF(J1411&lt;&gt;1,"",IF(I1411="SBJ","CB","?"))</f>
        <v> </v>
      </c>
      <c r="I1411" s="26" t="str">
        <f>IF(OR(E1411="",E1411="!!!",F1411="NEW"),"",INDEX(B1410:B$2,-1+SUMPRODUCT(MAX(ROW(E1410:E$2)*(E1411=E1410:E$2)))))</f>
        <v> </v>
      </c>
      <c r="J1411" s="26" t="str">
        <f>IF(OR(E1411="",E1411="!!!",F1411="NEW"),"",COUNTBLANK(OFFSET(A$1,,,SUMPRODUCT(MAX(ROW(E$2:E1411)*(E1411=E$2:E1411)))))-COUNTBLANK(OFFSET(A$1,,,SUMPRODUCT(MAX(ROW(E$1:E1410)*(E2=E$1:E1410))))))</f>
        <v> </v>
      </c>
      <c r="K1411" s="26" t="str">
        <f>IF(OR(E1411="",E1411="!!!",F1411="NEW"),"",INDEX(J$1:J1410,SUMPRODUCT(MAX(ROW(E$1:E1410)*(E1411=E$1:E1410)))))</f>
        <v> </v>
      </c>
      <c r="L1411" s="27"/>
    </row>
    <row r="1412" spans="1:12">
      <c r="A1412" s="20" t="s">
        <v>1115</v>
      </c>
      <c r="B1412" s="21" t="s">
        <v>601</v>
      </c>
      <c r="C1412" s="21" t="s">
        <v>800</v>
      </c>
      <c r="D1412" s="21" t="s">
        <v>587</v>
      </c>
      <c r="E1412" s="22">
        <f>IF(D1412="?OLD","!!!","")</f>
        <v/>
      </c>
      <c r="F1412" s="23" t="str">
        <f>IF(OR(E1412="",E1412="!!!"),"",IF(NOT(ISNA(VLOOKUP(E1412,E$1:E1411,1,FALSE()))),"OLD",IF(AND(E1412&lt;&gt;"",E1412&lt;&gt;"!!!"),"NEW","")))</f>
        <v> </v>
      </c>
      <c r="G1412" s="24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5" t="str">
        <f>IF(J1412&lt;&gt;1,"",IF(I1412="SBJ","CB","?"))</f>
        <v> </v>
      </c>
      <c r="I1412" s="26" t="str">
        <f>IF(OR(E1412="",E1412="!!!",F1412="NEW"),"",INDEX(B1411:B$2,-1+SUMPRODUCT(MAX(ROW(E1411:E$2)*(E1412=E1411:E$2)))))</f>
        <v> </v>
      </c>
      <c r="J1412" s="26" t="str">
        <f>IF(OR(E1412="",E1412="!!!",F1412="NEW"),"",COUNTBLANK(OFFSET(A$1,,,SUMPRODUCT(MAX(ROW(E$2:E1412)*(E1412=E$2:E1412)))))-COUNTBLANK(OFFSET(A$1,,,SUMPRODUCT(MAX(ROW(E$1:E1411)*(E2=E$1:E1411))))))</f>
        <v> </v>
      </c>
      <c r="K1412" s="26" t="str">
        <f>IF(OR(E1412="",E1412="!!!",F1412="NEW"),"",INDEX(J$1:J1411,SUMPRODUCT(MAX(ROW(E$1:E1411)*(E1412=E$1:E1411)))))</f>
        <v> </v>
      </c>
      <c r="L1412" s="27"/>
    </row>
    <row r="1413" spans="1:12">
      <c r="A1413" s="20" t="s">
        <v>630</v>
      </c>
      <c r="E1413" s="22">
        <f>IF(D1413="?OLD","!!!","")</f>
        <v/>
      </c>
      <c r="F1413" s="23" t="str">
        <f>IF(OR(E1413="",E1413="!!!"),"",IF(NOT(ISNA(VLOOKUP(E1413,E$1:E1412,1,FALSE()))),"OLD",IF(AND(E1413&lt;&gt;"",E1413&lt;&gt;"!!!"),"NEW","")))</f>
        <v> </v>
      </c>
      <c r="G1413" s="24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5" t="str">
        <f>IF(J1413&lt;&gt;1,"",IF(I1413="SBJ","CB","?"))</f>
        <v> </v>
      </c>
      <c r="I1413" s="26" t="str">
        <f>IF(OR(E1413="",E1413="!!!",F1413="NEW"),"",INDEX(B1412:B$2,-1+SUMPRODUCT(MAX(ROW(E1412:E$2)*(E1413=E1412:E$2)))))</f>
        <v> </v>
      </c>
      <c r="J1413" s="26" t="str">
        <f>IF(OR(E1413="",E1413="!!!",F1413="NEW"),"",COUNTBLANK(OFFSET(A$1,,,SUMPRODUCT(MAX(ROW(E$2:E1413)*(E1413=E$2:E1413)))))-COUNTBLANK(OFFSET(A$1,,,SUMPRODUCT(MAX(ROW(E$1:E1412)*(E2=E$1:E1412))))))</f>
        <v> </v>
      </c>
      <c r="K1413" s="26" t="str">
        <f>IF(OR(E1413="",E1413="!!!",F1413="NEW"),"",INDEX(J$1:J1412,SUMPRODUCT(MAX(ROW(E$1:E1412)*(E1413=E$1:E1412)))))</f>
        <v> </v>
      </c>
      <c r="L1413" s="27"/>
    </row>
    <row r="1414" spans="1:12">
      <c r="A1414" s="20" t="s">
        <v>580</v>
      </c>
      <c r="E1414" s="22">
        <f>IF(D1414="?OLD","!!!","")</f>
        <v/>
      </c>
      <c r="F1414" s="23" t="str">
        <f>IF(OR(E1414="",E1414="!!!"),"",IF(NOT(ISNA(VLOOKUP(E1414,E$1:E1413,1,FALSE()))),"OLD",IF(AND(E1414&lt;&gt;"",E1414&lt;&gt;"!!!"),"NEW","")))</f>
        <v> </v>
      </c>
      <c r="G1414" s="24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5" t="str">
        <f>IF(J1414&lt;&gt;1,"",IF(I1414="SBJ","CB","?"))</f>
        <v> </v>
      </c>
      <c r="I1414" s="26" t="str">
        <f>IF(OR(E1414="",E1414="!!!",F1414="NEW"),"",INDEX(B1413:B$2,-1+SUMPRODUCT(MAX(ROW(E1413:E$2)*(E1414=E1413:E$2)))))</f>
        <v> </v>
      </c>
      <c r="J1414" s="26" t="str">
        <f>IF(OR(E1414="",E1414="!!!",F1414="NEW"),"",COUNTBLANK(OFFSET(A$1,,,SUMPRODUCT(MAX(ROW(E$2:E1414)*(E1414=E$2:E1414)))))-COUNTBLANK(OFFSET(A$1,,,SUMPRODUCT(MAX(ROW(E$1:E1413)*(E2=E$1:E1413))))))</f>
        <v> </v>
      </c>
      <c r="K1414" s="26" t="str">
        <f>IF(OR(E1414="",E1414="!!!",F1414="NEW"),"",INDEX(J$1:J1413,SUMPRODUCT(MAX(ROW(E$1:E1413)*(E1414=E$1:E1413)))))</f>
        <v> </v>
      </c>
      <c r="L1414" s="27"/>
    </row>
    <row r="1415" spans="1:12">
      <c r="A1415" s="20" t="s">
        <v>1234</v>
      </c>
      <c r="E1415" s="22">
        <f>IF(D1415="?OLD","!!!","")</f>
        <v/>
      </c>
      <c r="F1415" s="23" t="str">
        <f>IF(OR(E1415="",E1415="!!!"),"",IF(NOT(ISNA(VLOOKUP(E1415,E$1:E1414,1,FALSE()))),"OLD",IF(AND(E1415&lt;&gt;"",E1415&lt;&gt;"!!!"),"NEW","")))</f>
        <v> </v>
      </c>
      <c r="G1415" s="24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5" t="str">
        <f>IF(J1415&lt;&gt;1,"",IF(I1415="SBJ","CB","?"))</f>
        <v> </v>
      </c>
      <c r="I1415" s="26" t="str">
        <f>IF(OR(E1415="",E1415="!!!",F1415="NEW"),"",INDEX(B1414:B$2,-1+SUMPRODUCT(MAX(ROW(E1414:E$2)*(E1415=E1414:E$2)))))</f>
        <v> </v>
      </c>
      <c r="J1415" s="26" t="str">
        <f>IF(OR(E1415="",E1415="!!!",F1415="NEW"),"",COUNTBLANK(OFFSET(A$1,,,SUMPRODUCT(MAX(ROW(E$2:E1415)*(E1415=E$2:E1415)))))-COUNTBLANK(OFFSET(A$1,,,SUMPRODUCT(MAX(ROW(E$1:E1414)*(E2=E$1:E1414))))))</f>
        <v> </v>
      </c>
      <c r="K1415" s="26" t="str">
        <f>IF(OR(E1415="",E1415="!!!",F1415="NEW"),"",INDEX(J$1:J1414,SUMPRODUCT(MAX(ROW(E$1:E1414)*(E1415=E$1:E1414)))))</f>
        <v> </v>
      </c>
      <c r="L1415" s="27"/>
    </row>
    <row r="1416" spans="1:12">
      <c r="A1416" s="20" t="s">
        <v>1235</v>
      </c>
      <c r="E1416" s="22">
        <f>IF(D1416="?OLD","!!!","")</f>
        <v/>
      </c>
      <c r="F1416" s="23" t="str">
        <f>IF(OR(E1416="",E1416="!!!"),"",IF(NOT(ISNA(VLOOKUP(E1416,E$1:E1415,1,FALSE()))),"OLD",IF(AND(E1416&lt;&gt;"",E1416&lt;&gt;"!!!"),"NEW","")))</f>
        <v> </v>
      </c>
      <c r="G1416" s="24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5" t="str">
        <f>IF(J1416&lt;&gt;1,"",IF(I1416="SBJ","CB","?"))</f>
        <v> </v>
      </c>
      <c r="I1416" s="26" t="str">
        <f>IF(OR(E1416="",E1416="!!!",F1416="NEW"),"",INDEX(B1415:B$2,-1+SUMPRODUCT(MAX(ROW(E1415:E$2)*(E1416=E1415:E$2)))))</f>
        <v> </v>
      </c>
      <c r="J1416" s="26" t="str">
        <f>IF(OR(E1416="",E1416="!!!",F1416="NEW"),"",COUNTBLANK(OFFSET(A$1,,,SUMPRODUCT(MAX(ROW(E$2:E1416)*(E1416=E$2:E1416)))))-COUNTBLANK(OFFSET(A$1,,,SUMPRODUCT(MAX(ROW(E$1:E1415)*(E2=E$1:E1415))))))</f>
        <v> </v>
      </c>
      <c r="K1416" s="26" t="str">
        <f>IF(OR(E1416="",E1416="!!!",F1416="NEW"),"",INDEX(J$1:J1415,SUMPRODUCT(MAX(ROW(E$1:E1415)*(E1416=E$1:E1415)))))</f>
        <v> </v>
      </c>
      <c r="L1416" s="27"/>
    </row>
    <row r="1417" spans="1:12">
      <c r="A1417" s="20" t="s">
        <v>1304</v>
      </c>
      <c r="E1417" s="22">
        <f>IF(D1417="?OLD","!!!","")</f>
        <v/>
      </c>
      <c r="F1417" s="23" t="str">
        <f>IF(OR(E1417="",E1417="!!!"),"",IF(NOT(ISNA(VLOOKUP(E1417,E$1:E1416,1,FALSE()))),"OLD",IF(AND(E1417&lt;&gt;"",E1417&lt;&gt;"!!!"),"NEW","")))</f>
        <v> </v>
      </c>
      <c r="G1417" s="24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5" t="str">
        <f>IF(J1417&lt;&gt;1,"",IF(I1417="SBJ","CB","?"))</f>
        <v> </v>
      </c>
      <c r="I1417" s="26" t="str">
        <f>IF(OR(E1417="",E1417="!!!",F1417="NEW"),"",INDEX(B1416:B$2,-1+SUMPRODUCT(MAX(ROW(E1416:E$2)*(E1417=E1416:E$2)))))</f>
        <v> </v>
      </c>
      <c r="J1417" s="26" t="str">
        <f>IF(OR(E1417="",E1417="!!!",F1417="NEW"),"",COUNTBLANK(OFFSET(A$1,,,SUMPRODUCT(MAX(ROW(E$2:E1417)*(E1417=E$2:E1417)))))-COUNTBLANK(OFFSET(A$1,,,SUMPRODUCT(MAX(ROW(E$1:E1416)*(E2=E$1:E1416))))))</f>
        <v> </v>
      </c>
      <c r="K1417" s="26" t="str">
        <f>IF(OR(E1417="",E1417="!!!",F1417="NEW"),"",INDEX(J$1:J1416,SUMPRODUCT(MAX(ROW(E$1:E1416)*(E1417=E$1:E1416)))))</f>
        <v> </v>
      </c>
      <c r="L1417" s="27"/>
    </row>
    <row r="1418" spans="1:12">
      <c r="A1418" s="20" t="s">
        <v>1305</v>
      </c>
      <c r="E1418" s="22">
        <f>IF(D1418="?OLD","!!!","")</f>
        <v/>
      </c>
      <c r="F1418" s="23" t="str">
        <f>IF(OR(E1418="",E1418="!!!"),"",IF(NOT(ISNA(VLOOKUP(E1418,E$1:E1417,1,FALSE()))),"OLD",IF(AND(E1418&lt;&gt;"",E1418&lt;&gt;"!!!"),"NEW","")))</f>
        <v> </v>
      </c>
      <c r="G1418" s="24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5" t="str">
        <f>IF(J1418&lt;&gt;1,"",IF(I1418="SBJ","CB","?"))</f>
        <v> </v>
      </c>
      <c r="I1418" s="26" t="str">
        <f>IF(OR(E1418="",E1418="!!!",F1418="NEW"),"",INDEX(B1417:B$2,-1+SUMPRODUCT(MAX(ROW(E1417:E$2)*(E1418=E1417:E$2)))))</f>
        <v> </v>
      </c>
      <c r="J1418" s="26" t="str">
        <f>IF(OR(E1418="",E1418="!!!",F1418="NEW"),"",COUNTBLANK(OFFSET(A$1,,,SUMPRODUCT(MAX(ROW(E$2:E1418)*(E1418=E$2:E1418)))))-COUNTBLANK(OFFSET(A$1,,,SUMPRODUCT(MAX(ROW(E$1:E1417)*(E2=E$1:E1417))))))</f>
        <v> </v>
      </c>
      <c r="K1418" s="26" t="str">
        <f>IF(OR(E1418="",E1418="!!!",F1418="NEW"),"",INDEX(J$1:J1417,SUMPRODUCT(MAX(ROW(E$1:E1417)*(E1418=E$1:E1417)))))</f>
        <v> </v>
      </c>
      <c r="L1418" s="27"/>
    </row>
    <row r="1419" spans="1:12">
      <c r="A1419" s="20" t="s">
        <v>1278</v>
      </c>
      <c r="B1419" s="21" t="s">
        <v>695</v>
      </c>
      <c r="E1419" s="22">
        <f>IF(D1419="?OLD","!!!","")</f>
        <v/>
      </c>
      <c r="F1419" s="23" t="str">
        <f>IF(OR(E1419="",E1419="!!!"),"",IF(NOT(ISNA(VLOOKUP(E1419,E$1:E1418,1,FALSE()))),"OLD",IF(AND(E1419&lt;&gt;"",E1419&lt;&gt;"!!!"),"NEW","")))</f>
        <v> </v>
      </c>
      <c r="G1419" s="24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5" t="str">
        <f>IF(J1419&lt;&gt;1,"",IF(I1419="SBJ","CB","?"))</f>
        <v> </v>
      </c>
      <c r="I1419" s="26" t="str">
        <f>IF(OR(E1419="",E1419="!!!",F1419="NEW"),"",INDEX(B1418:B$2,-1+SUMPRODUCT(MAX(ROW(E1418:E$2)*(E1419=E1418:E$2)))))</f>
        <v> </v>
      </c>
      <c r="J1419" s="26" t="str">
        <f>IF(OR(E1419="",E1419="!!!",F1419="NEW"),"",COUNTBLANK(OFFSET(A$1,,,SUMPRODUCT(MAX(ROW(E$2:E1419)*(E1419=E$2:E1419)))))-COUNTBLANK(OFFSET(A$1,,,SUMPRODUCT(MAX(ROW(E$1:E1418)*(E2=E$1:E1418))))))</f>
        <v> </v>
      </c>
      <c r="K1419" s="26" t="str">
        <f>IF(OR(E1419="",E1419="!!!",F1419="NEW"),"",INDEX(J$1:J1418,SUMPRODUCT(MAX(ROW(E$1:E1418)*(E1419=E$1:E1418)))))</f>
        <v> </v>
      </c>
      <c r="L1419" s="27"/>
    </row>
    <row r="1420" spans="1:12">
      <c r="A1420" s="20" t="s">
        <v>609</v>
      </c>
      <c r="E1420" s="22">
        <f>IF(D1420="?OLD","!!!","")</f>
        <v/>
      </c>
      <c r="F1420" s="23" t="str">
        <f>IF(OR(E1420="",E1420="!!!"),"",IF(NOT(ISNA(VLOOKUP(E1420,E$1:E1419,1,FALSE()))),"OLD",IF(AND(E1420&lt;&gt;"",E1420&lt;&gt;"!!!"),"NEW","")))</f>
        <v> </v>
      </c>
      <c r="G1420" s="24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5" t="str">
        <f>IF(J1420&lt;&gt;1,"",IF(I1420="SBJ","CB","?"))</f>
        <v> </v>
      </c>
      <c r="I1420" s="26" t="str">
        <f>IF(OR(E1420="",E1420="!!!",F1420="NEW"),"",INDEX(B1419:B$2,-1+SUMPRODUCT(MAX(ROW(E1419:E$2)*(E1420=E1419:E$2)))))</f>
        <v> </v>
      </c>
      <c r="J1420" s="26" t="str">
        <f>IF(OR(E1420="",E1420="!!!",F1420="NEW"),"",COUNTBLANK(OFFSET(A$1,,,SUMPRODUCT(MAX(ROW(E$2:E1420)*(E1420=E$2:E1420)))))-COUNTBLANK(OFFSET(A$1,,,SUMPRODUCT(MAX(ROW(E$1:E1419)*(E2=E$1:E1419))))))</f>
        <v> </v>
      </c>
      <c r="K1420" s="26" t="str">
        <f>IF(OR(E1420="",E1420="!!!",F1420="NEW"),"",INDEX(J$1:J1419,SUMPRODUCT(MAX(ROW(E$1:E1419)*(E1420=E$1:E1419)))))</f>
        <v> </v>
      </c>
      <c r="L1420" s="27"/>
    </row>
    <row r="1421" spans="1:12">
      <c r="A1421" s="20" t="s">
        <v>970</v>
      </c>
      <c r="E1421" s="22">
        <f>IF(D1421="?OLD","!!!","")</f>
        <v/>
      </c>
      <c r="F1421" s="23" t="str">
        <f>IF(OR(E1421="",E1421="!!!"),"",IF(NOT(ISNA(VLOOKUP(E1421,E$1:E1420,1,FALSE()))),"OLD",IF(AND(E1421&lt;&gt;"",E1421&lt;&gt;"!!!"),"NEW","")))</f>
        <v> </v>
      </c>
      <c r="G1421" s="24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5" t="str">
        <f>IF(J1421&lt;&gt;1,"",IF(I1421="SBJ","CB","?"))</f>
        <v> </v>
      </c>
      <c r="I1421" s="26" t="str">
        <f>IF(OR(E1421="",E1421="!!!",F1421="NEW"),"",INDEX(B1420:B$2,-1+SUMPRODUCT(MAX(ROW(E1420:E$2)*(E1421=E1420:E$2)))))</f>
        <v> </v>
      </c>
      <c r="J1421" s="26" t="str">
        <f>IF(OR(E1421="",E1421="!!!",F1421="NEW"),"",COUNTBLANK(OFFSET(A$1,,,SUMPRODUCT(MAX(ROW(E$2:E1421)*(E1421=E$2:E1421)))))-COUNTBLANK(OFFSET(A$1,,,SUMPRODUCT(MAX(ROW(E$1:E1420)*(E2=E$1:E1420))))))</f>
        <v> </v>
      </c>
      <c r="K1421" s="26" t="str">
        <f>IF(OR(E1421="",E1421="!!!",F1421="NEW"),"",INDEX(J$1:J1420,SUMPRODUCT(MAX(ROW(E$1:E1420)*(E1421=E$1:E1420)))))</f>
        <v> </v>
      </c>
      <c r="L1421" s="27"/>
    </row>
    <row r="1422" spans="1:12">
      <c r="A1422" s="20" t="s">
        <v>1306</v>
      </c>
      <c r="B1422" s="21" t="s">
        <v>722</v>
      </c>
      <c r="C1422" s="21" t="s">
        <v>800</v>
      </c>
      <c r="D1422" s="21" t="s">
        <v>587</v>
      </c>
      <c r="E1422" s="22">
        <f>IF(D1422="?OLD","!!!","")</f>
        <v/>
      </c>
      <c r="F1422" s="23" t="str">
        <f>IF(OR(E1422="",E1422="!!!"),"",IF(NOT(ISNA(VLOOKUP(E1422,E$1:E1421,1,FALSE()))),"OLD",IF(AND(E1422&lt;&gt;"",E1422&lt;&gt;"!!!"),"NEW","")))</f>
        <v> </v>
      </c>
      <c r="G1422" s="24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5" t="str">
        <f>IF(J1422&lt;&gt;1,"",IF(I1422="SBJ","CB","?"))</f>
        <v> </v>
      </c>
      <c r="I1422" s="26" t="str">
        <f>IF(OR(E1422="",E1422="!!!",F1422="NEW"),"",INDEX(B1421:B$2,-1+SUMPRODUCT(MAX(ROW(E1421:E$2)*(E1422=E1421:E$2)))))</f>
        <v> </v>
      </c>
      <c r="J1422" s="26" t="str">
        <f>IF(OR(E1422="",E1422="!!!",F1422="NEW"),"",COUNTBLANK(OFFSET(A$1,,,SUMPRODUCT(MAX(ROW(E$2:E1422)*(E1422=E$2:E1422)))))-COUNTBLANK(OFFSET(A$1,,,SUMPRODUCT(MAX(ROW(E$1:E1421)*(E2=E$1:E1421))))))</f>
        <v> </v>
      </c>
      <c r="K1422" s="26" t="str">
        <f>IF(OR(E1422="",E1422="!!!",F1422="NEW"),"",INDEX(J$1:J1421,SUMPRODUCT(MAX(ROW(E$1:E1421)*(E1422=E$1:E1421)))))</f>
        <v> </v>
      </c>
      <c r="L1422" s="27"/>
    </row>
    <row r="1423" spans="1:12">
      <c r="A1423" s="20" t="s">
        <v>1307</v>
      </c>
      <c r="B1423" s="21" t="s">
        <v>627</v>
      </c>
      <c r="C1423" s="21" t="s">
        <v>628</v>
      </c>
      <c r="D1423" s="21" t="s">
        <v>587</v>
      </c>
      <c r="E1423" s="22">
        <f>IF(D1423="?OLD","!!!","")</f>
        <v/>
      </c>
      <c r="F1423" s="23" t="str">
        <f>IF(OR(E1423="",E1423="!!!"),"",IF(NOT(ISNA(VLOOKUP(E1423,E$1:E1422,1,FALSE()))),"OLD",IF(AND(E1423&lt;&gt;"",E1423&lt;&gt;"!!!"),"NEW","")))</f>
        <v> </v>
      </c>
      <c r="G1423" s="24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5" t="str">
        <f>IF(J1423&lt;&gt;1,"",IF(I1423="SBJ","CB","?"))</f>
        <v> </v>
      </c>
      <c r="I1423" s="26" t="str">
        <f>IF(OR(E1423="",E1423="!!!",F1423="NEW"),"",INDEX(B1422:B$2,-1+SUMPRODUCT(MAX(ROW(E1422:E$2)*(E1423=E1422:E$2)))))</f>
        <v> </v>
      </c>
      <c r="J1423" s="26" t="str">
        <f>IF(OR(E1423="",E1423="!!!",F1423="NEW"),"",COUNTBLANK(OFFSET(A$1,,,SUMPRODUCT(MAX(ROW(E$2:E1423)*(E1423=E$2:E1423)))))-COUNTBLANK(OFFSET(A$1,,,SUMPRODUCT(MAX(ROW(E$1:E1422)*(E2=E$1:E1422))))))</f>
        <v> </v>
      </c>
      <c r="K1423" s="26" t="str">
        <f>IF(OR(E1423="",E1423="!!!",F1423="NEW"),"",INDEX(J$1:J1422,SUMPRODUCT(MAX(ROW(E$1:E1422)*(E1423=E$1:E1422)))))</f>
        <v> </v>
      </c>
      <c r="L1423" s="27"/>
    </row>
    <row r="1424" spans="1:12">
      <c r="A1424" s="20" t="s">
        <v>583</v>
      </c>
      <c r="E1424" s="22">
        <f>IF(D1424="?OLD","!!!","")</f>
        <v/>
      </c>
      <c r="F1424" s="23" t="str">
        <f>IF(OR(E1424="",E1424="!!!"),"",IF(NOT(ISNA(VLOOKUP(E1424,E$1:E1423,1,FALSE()))),"OLD",IF(AND(E1424&lt;&gt;"",E1424&lt;&gt;"!!!"),"NEW","")))</f>
        <v> </v>
      </c>
      <c r="G1424" s="24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5" t="str">
        <f>IF(J1424&lt;&gt;1,"",IF(I1424="SBJ","CB","?"))</f>
        <v> </v>
      </c>
      <c r="I1424" s="26" t="str">
        <f>IF(OR(E1424="",E1424="!!!",F1424="NEW"),"",INDEX(B1423:B$2,-1+SUMPRODUCT(MAX(ROW(E1423:E$2)*(E1424=E1423:E$2)))))</f>
        <v> </v>
      </c>
      <c r="J1424" s="26" t="str">
        <f>IF(OR(E1424="",E1424="!!!",F1424="NEW"),"",COUNTBLANK(OFFSET(A$1,,,SUMPRODUCT(MAX(ROW(E$2:E1424)*(E1424=E$2:E1424)))))-COUNTBLANK(OFFSET(A$1,,,SUMPRODUCT(MAX(ROW(E$1:E1423)*(E2=E$1:E1423))))))</f>
        <v> </v>
      </c>
      <c r="K1424" s="26" t="str">
        <f>IF(OR(E1424="",E1424="!!!",F1424="NEW"),"",INDEX(J$1:J1423,SUMPRODUCT(MAX(ROW(E$1:E1423)*(E1424=E$1:E1423)))))</f>
        <v> </v>
      </c>
      <c r="L1424" s="27"/>
    </row>
    <row r="1425" spans="1:12">
      <c r="A1425" s="20" t="s">
        <v>609</v>
      </c>
      <c r="E1425" s="22">
        <f>IF(D1425="?OLD","!!!","")</f>
        <v/>
      </c>
      <c r="F1425" s="23" t="str">
        <f>IF(OR(E1425="",E1425="!!!"),"",IF(NOT(ISNA(VLOOKUP(E1425,E$1:E1424,1,FALSE()))),"OLD",IF(AND(E1425&lt;&gt;"",E1425&lt;&gt;"!!!"),"NEW","")))</f>
        <v> </v>
      </c>
      <c r="G1425" s="24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5" t="str">
        <f>IF(J1425&lt;&gt;1,"",IF(I1425="SBJ","CB","?"))</f>
        <v> </v>
      </c>
      <c r="I1425" s="26" t="str">
        <f>IF(OR(E1425="",E1425="!!!",F1425="NEW"),"",INDEX(B1424:B$2,-1+SUMPRODUCT(MAX(ROW(E1424:E$2)*(E1425=E1424:E$2)))))</f>
        <v> </v>
      </c>
      <c r="J1425" s="26" t="str">
        <f>IF(OR(E1425="",E1425="!!!",F1425="NEW"),"",COUNTBLANK(OFFSET(A$1,,,SUMPRODUCT(MAX(ROW(E$2:E1425)*(E1425=E$2:E1425)))))-COUNTBLANK(OFFSET(A$1,,,SUMPRODUCT(MAX(ROW(E$1:E1424)*(E2=E$1:E1424))))))</f>
        <v> </v>
      </c>
      <c r="K1425" s="26" t="str">
        <f>IF(OR(E1425="",E1425="!!!",F1425="NEW"),"",INDEX(J$1:J1424,SUMPRODUCT(MAX(ROW(E$1:E1424)*(E1425=E$1:E1424)))))</f>
        <v> </v>
      </c>
      <c r="L1425" s="27"/>
    </row>
    <row r="1426" spans="1:12">
      <c r="A1426" s="20" t="s">
        <v>970</v>
      </c>
      <c r="E1426" s="22">
        <f>IF(D1426="?OLD","!!!","")</f>
        <v/>
      </c>
      <c r="F1426" s="23" t="str">
        <f>IF(OR(E1426="",E1426="!!!"),"",IF(NOT(ISNA(VLOOKUP(E1426,E$1:E1425,1,FALSE()))),"OLD",IF(AND(E1426&lt;&gt;"",E1426&lt;&gt;"!!!"),"NEW","")))</f>
        <v> </v>
      </c>
      <c r="G1426" s="24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5" t="str">
        <f>IF(J1426&lt;&gt;1,"",IF(I1426="SBJ","CB","?"))</f>
        <v> </v>
      </c>
      <c r="I1426" s="26" t="str">
        <f>IF(OR(E1426="",E1426="!!!",F1426="NEW"),"",INDEX(B1425:B$2,-1+SUMPRODUCT(MAX(ROW(E1425:E$2)*(E1426=E1425:E$2)))))</f>
        <v> </v>
      </c>
      <c r="J1426" s="26" t="str">
        <f>IF(OR(E1426="",E1426="!!!",F1426="NEW"),"",COUNTBLANK(OFFSET(A$1,,,SUMPRODUCT(MAX(ROW(E$2:E1426)*(E1426=E$2:E1426)))))-COUNTBLANK(OFFSET(A$1,,,SUMPRODUCT(MAX(ROW(E$1:E1425)*(E2=E$1:E1425))))))</f>
        <v> </v>
      </c>
      <c r="K1426" s="26" t="str">
        <f>IF(OR(E1426="",E1426="!!!",F1426="NEW"),"",INDEX(J$1:J1425,SUMPRODUCT(MAX(ROW(E$1:E1425)*(E1426=E$1:E1425)))))</f>
        <v> </v>
      </c>
      <c r="L1426" s="27"/>
    </row>
    <row r="1427" spans="1:12">
      <c r="A1427" s="20" t="s">
        <v>1306</v>
      </c>
      <c r="B1427" s="21" t="s">
        <v>601</v>
      </c>
      <c r="C1427" s="21" t="s">
        <v>800</v>
      </c>
      <c r="D1427" s="21" t="s">
        <v>587</v>
      </c>
      <c r="E1427" s="22">
        <f>IF(D1427="?OLD","!!!","")</f>
        <v/>
      </c>
      <c r="F1427" s="23" t="str">
        <f>IF(OR(E1427="",E1427="!!!"),"",IF(NOT(ISNA(VLOOKUP(E1427,E$1:E1426,1,FALSE()))),"OLD",IF(AND(E1427&lt;&gt;"",E1427&lt;&gt;"!!!"),"NEW","")))</f>
        <v> </v>
      </c>
      <c r="G1427" s="24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5" t="str">
        <f>IF(J1427&lt;&gt;1,"",IF(I1427="SBJ","CB","?"))</f>
        <v> </v>
      </c>
      <c r="I1427" s="26" t="str">
        <f>IF(OR(E1427="",E1427="!!!",F1427="NEW"),"",INDEX(B1426:B$2,-1+SUMPRODUCT(MAX(ROW(E1426:E$2)*(E1427=E1426:E$2)))))</f>
        <v> </v>
      </c>
      <c r="J1427" s="26" t="str">
        <f>IF(OR(E1427="",E1427="!!!",F1427="NEW"),"",COUNTBLANK(OFFSET(A$1,,,SUMPRODUCT(MAX(ROW(E$2:E1427)*(E1427=E$2:E1427)))))-COUNTBLANK(OFFSET(A$1,,,SUMPRODUCT(MAX(ROW(E$1:E1426)*(E2=E$1:E1426))))))</f>
        <v> </v>
      </c>
      <c r="K1427" s="26" t="str">
        <f>IF(OR(E1427="",E1427="!!!",F1427="NEW"),"",INDEX(J$1:J1426,SUMPRODUCT(MAX(ROW(E$1:E1426)*(E1427=E$1:E1426)))))</f>
        <v> </v>
      </c>
      <c r="L1427" s="27"/>
    </row>
    <row r="1428" spans="1:12">
      <c r="A1428" s="20" t="s">
        <v>1308</v>
      </c>
      <c r="B1428" s="21" t="s">
        <v>645</v>
      </c>
      <c r="C1428" s="21" t="s">
        <v>628</v>
      </c>
      <c r="D1428" s="21" t="s">
        <v>587</v>
      </c>
      <c r="E1428" s="22">
        <f>IF(D1428="?OLD","!!!","")</f>
        <v/>
      </c>
      <c r="F1428" s="23" t="str">
        <f>IF(OR(E1428="",E1428="!!!"),"",IF(NOT(ISNA(VLOOKUP(E1428,E$1:E1427,1,FALSE()))),"OLD",IF(AND(E1428&lt;&gt;"",E1428&lt;&gt;"!!!"),"NEW","")))</f>
        <v> </v>
      </c>
      <c r="G1428" s="24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5" t="str">
        <f>IF(J1428&lt;&gt;1,"",IF(I1428="SBJ","CB","?"))</f>
        <v> </v>
      </c>
      <c r="I1428" s="26" t="str">
        <f>IF(OR(E1428="",E1428="!!!",F1428="NEW"),"",INDEX(B1427:B$2,-1+SUMPRODUCT(MAX(ROW(E1427:E$2)*(E1428=E1427:E$2)))))</f>
        <v> </v>
      </c>
      <c r="J1428" s="26" t="str">
        <f>IF(OR(E1428="",E1428="!!!",F1428="NEW"),"",COUNTBLANK(OFFSET(A$1,,,SUMPRODUCT(MAX(ROW(E$2:E1428)*(E1428=E$2:E1428)))))-COUNTBLANK(OFFSET(A$1,,,SUMPRODUCT(MAX(ROW(E$1:E1427)*(E2=E$1:E1427))))))</f>
        <v> </v>
      </c>
      <c r="K1428" s="26" t="str">
        <f>IF(OR(E1428="",E1428="!!!",F1428="NEW"),"",INDEX(J$1:J1427,SUMPRODUCT(MAX(ROW(E$1:E1427)*(E1428=E$1:E1427)))))</f>
        <v> </v>
      </c>
      <c r="L1428" s="27"/>
    </row>
    <row r="1429" spans="1:12">
      <c r="A1429" s="20" t="s">
        <v>583</v>
      </c>
      <c r="E1429" s="22">
        <f>IF(D1429="?OLD","!!!","")</f>
        <v/>
      </c>
      <c r="F1429" s="23" t="str">
        <f>IF(OR(E1429="",E1429="!!!"),"",IF(NOT(ISNA(VLOOKUP(E1429,E$1:E1428,1,FALSE()))),"OLD",IF(AND(E1429&lt;&gt;"",E1429&lt;&gt;"!!!"),"NEW","")))</f>
        <v> </v>
      </c>
      <c r="G1429" s="24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5" t="str">
        <f>IF(J1429&lt;&gt;1,"",IF(I1429="SBJ","CB","?"))</f>
        <v> </v>
      </c>
      <c r="I1429" s="26" t="str">
        <f>IF(OR(E1429="",E1429="!!!",F1429="NEW"),"",INDEX(B1428:B$2,-1+SUMPRODUCT(MAX(ROW(E1428:E$2)*(E1429=E1428:E$2)))))</f>
        <v> </v>
      </c>
      <c r="J1429" s="26" t="str">
        <f>IF(OR(E1429="",E1429="!!!",F1429="NEW"),"",COUNTBLANK(OFFSET(A$1,,,SUMPRODUCT(MAX(ROW(E$2:E1429)*(E1429=E$2:E1429)))))-COUNTBLANK(OFFSET(A$1,,,SUMPRODUCT(MAX(ROW(E$1:E1428)*(E2=E$1:E1428))))))</f>
        <v> </v>
      </c>
      <c r="K1429" s="26" t="str">
        <f>IF(OR(E1429="",E1429="!!!",F1429="NEW"),"",INDEX(J$1:J1428,SUMPRODUCT(MAX(ROW(E$1:E1428)*(E1429=E$1:E1428)))))</f>
        <v> </v>
      </c>
      <c r="L1429" s="27"/>
    </row>
    <row r="1430" spans="1:12">
      <c r="A1430" s="20" t="s">
        <v>1136</v>
      </c>
      <c r="E1430" s="22">
        <f>IF(D1430="?OLD","!!!","")</f>
        <v/>
      </c>
      <c r="F1430" s="23" t="str">
        <f>IF(OR(E1430="",E1430="!!!"),"",IF(NOT(ISNA(VLOOKUP(E1430,E$1:E1429,1,FALSE()))),"OLD",IF(AND(E1430&lt;&gt;"",E1430&lt;&gt;"!!!"),"NEW","")))</f>
        <v> </v>
      </c>
      <c r="G1430" s="24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5" t="str">
        <f>IF(J1430&lt;&gt;1,"",IF(I1430="SBJ","CB","?"))</f>
        <v> </v>
      </c>
      <c r="I1430" s="26" t="str">
        <f>IF(OR(E1430="",E1430="!!!",F1430="NEW"),"",INDEX(B1429:B$2,-1+SUMPRODUCT(MAX(ROW(E1429:E$2)*(E1430=E1429:E$2)))))</f>
        <v> </v>
      </c>
      <c r="J1430" s="26" t="str">
        <f>IF(OR(E1430="",E1430="!!!",F1430="NEW"),"",COUNTBLANK(OFFSET(A$1,,,SUMPRODUCT(MAX(ROW(E$2:E1430)*(E1430=E$2:E1430)))))-COUNTBLANK(OFFSET(A$1,,,SUMPRODUCT(MAX(ROW(E$1:E1429)*(E2=E$1:E1429))))))</f>
        <v> </v>
      </c>
      <c r="K1430" s="26" t="str">
        <f>IF(OR(E1430="",E1430="!!!",F1430="NEW"),"",INDEX(J$1:J1429,SUMPRODUCT(MAX(ROW(E$1:E1429)*(E1430=E$1:E1429)))))</f>
        <v> </v>
      </c>
      <c r="L1430" s="27"/>
    </row>
    <row r="1431" spans="1:12">
      <c r="A1431" s="20" t="s">
        <v>1309</v>
      </c>
      <c r="E1431" s="22">
        <f>IF(D1431="?OLD","!!!","")</f>
        <v/>
      </c>
      <c r="F1431" s="23" t="str">
        <f>IF(OR(E1431="",E1431="!!!"),"",IF(NOT(ISNA(VLOOKUP(E1431,E$1:E1430,1,FALSE()))),"OLD",IF(AND(E1431&lt;&gt;"",E1431&lt;&gt;"!!!"),"NEW","")))</f>
        <v> </v>
      </c>
      <c r="G1431" s="24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5" t="str">
        <f>IF(J1431&lt;&gt;1,"",IF(I1431="SBJ","CB","?"))</f>
        <v> </v>
      </c>
      <c r="I1431" s="26" t="str">
        <f>IF(OR(E1431="",E1431="!!!",F1431="NEW"),"",INDEX(B1430:B$2,-1+SUMPRODUCT(MAX(ROW(E1430:E$2)*(E1431=E1430:E$2)))))</f>
        <v> </v>
      </c>
      <c r="J1431" s="26" t="str">
        <f>IF(OR(E1431="",E1431="!!!",F1431="NEW"),"",COUNTBLANK(OFFSET(A$1,,,SUMPRODUCT(MAX(ROW(E$2:E1431)*(E1431=E$2:E1431)))))-COUNTBLANK(OFFSET(A$1,,,SUMPRODUCT(MAX(ROW(E$1:E1430)*(E2=E$1:E1430))))))</f>
        <v> </v>
      </c>
      <c r="K1431" s="26" t="str">
        <f>IF(OR(E1431="",E1431="!!!",F1431="NEW"),"",INDEX(J$1:J1430,SUMPRODUCT(MAX(ROW(E$1:E1430)*(E1431=E$1:E1430)))))</f>
        <v> </v>
      </c>
      <c r="L1431" s="27"/>
    </row>
    <row r="1432" spans="1:12">
      <c r="A1432" s="20" t="s">
        <v>1310</v>
      </c>
      <c r="B1432" s="21" t="s">
        <v>601</v>
      </c>
      <c r="C1432" s="21" t="s">
        <v>800</v>
      </c>
      <c r="D1432" s="21" t="s">
        <v>587</v>
      </c>
      <c r="E1432" s="22">
        <f>IF(D1432="?OLD","!!!","")</f>
        <v/>
      </c>
      <c r="F1432" s="23" t="str">
        <f>IF(OR(E1432="",E1432="!!!"),"",IF(NOT(ISNA(VLOOKUP(E1432,E$1:E1431,1,FALSE()))),"OLD",IF(AND(E1432&lt;&gt;"",E1432&lt;&gt;"!!!"),"NEW","")))</f>
        <v> </v>
      </c>
      <c r="G1432" s="24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5" t="str">
        <f>IF(J1432&lt;&gt;1,"",IF(I1432="SBJ","CB","?"))</f>
        <v> </v>
      </c>
      <c r="I1432" s="26" t="str">
        <f>IF(OR(E1432="",E1432="!!!",F1432="NEW"),"",INDEX(B1431:B$2,-1+SUMPRODUCT(MAX(ROW(E1431:E$2)*(E1432=E1431:E$2)))))</f>
        <v> </v>
      </c>
      <c r="J1432" s="26" t="str">
        <f>IF(OR(E1432="",E1432="!!!",F1432="NEW"),"",COUNTBLANK(OFFSET(A$1,,,SUMPRODUCT(MAX(ROW(E$2:E1432)*(E1432=E$2:E1432)))))-COUNTBLANK(OFFSET(A$1,,,SUMPRODUCT(MAX(ROW(E$1:E1431)*(E2=E$1:E1431))))))</f>
        <v> </v>
      </c>
      <c r="K1432" s="26" t="str">
        <f>IF(OR(E1432="",E1432="!!!",F1432="NEW"),"",INDEX(J$1:J1431,SUMPRODUCT(MAX(ROW(E$1:E1431)*(E1432=E$1:E1431)))))</f>
        <v> </v>
      </c>
      <c r="L1432" s="27"/>
    </row>
    <row r="1433" spans="1:12">
      <c r="A1433" s="20" t="s">
        <v>1311</v>
      </c>
      <c r="B1433" s="21" t="s">
        <v>645</v>
      </c>
      <c r="C1433" s="21" t="s">
        <v>628</v>
      </c>
      <c r="D1433" s="21" t="s">
        <v>587</v>
      </c>
      <c r="E1433" s="22">
        <f>IF(D1433="?OLD","!!!","")</f>
        <v/>
      </c>
      <c r="F1433" s="23" t="str">
        <f>IF(OR(E1433="",E1433="!!!"),"",IF(NOT(ISNA(VLOOKUP(E1433,E$1:E1432,1,FALSE()))),"OLD",IF(AND(E1433&lt;&gt;"",E1433&lt;&gt;"!!!"),"NEW","")))</f>
        <v> </v>
      </c>
      <c r="G1433" s="24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5" t="str">
        <f>IF(J1433&lt;&gt;1,"",IF(I1433="SBJ","CB","?"))</f>
        <v> </v>
      </c>
      <c r="I1433" s="26" t="str">
        <f>IF(OR(E1433="",E1433="!!!",F1433="NEW"),"",INDEX(B1432:B$2,-1+SUMPRODUCT(MAX(ROW(E1432:E$2)*(E1433=E1432:E$2)))))</f>
        <v> </v>
      </c>
      <c r="J1433" s="26" t="str">
        <f>IF(OR(E1433="",E1433="!!!",F1433="NEW"),"",COUNTBLANK(OFFSET(A$1,,,SUMPRODUCT(MAX(ROW(E$2:E1433)*(E1433=E$2:E1433)))))-COUNTBLANK(OFFSET(A$1,,,SUMPRODUCT(MAX(ROW(E$1:E1432)*(E2=E$1:E1432))))))</f>
        <v> </v>
      </c>
      <c r="K1433" s="26" t="str">
        <f>IF(OR(E1433="",E1433="!!!",F1433="NEW"),"",INDEX(J$1:J1432,SUMPRODUCT(MAX(ROW(E$1:E1432)*(E1433=E$1:E1432)))))</f>
        <v> </v>
      </c>
      <c r="L1433" s="27"/>
    </row>
    <row r="1434" spans="1:12">
      <c r="A1434" s="20" t="s">
        <v>583</v>
      </c>
      <c r="E1434" s="22">
        <f>IF(D1434="?OLD","!!!","")</f>
        <v/>
      </c>
      <c r="F1434" s="23" t="str">
        <f>IF(OR(E1434="",E1434="!!!"),"",IF(NOT(ISNA(VLOOKUP(E1434,E$1:E1433,1,FALSE()))),"OLD",IF(AND(E1434&lt;&gt;"",E1434&lt;&gt;"!!!"),"NEW","")))</f>
        <v> </v>
      </c>
      <c r="G1434" s="24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5" t="str">
        <f>IF(J1434&lt;&gt;1,"",IF(I1434="SBJ","CB","?"))</f>
        <v> </v>
      </c>
      <c r="I1434" s="26" t="str">
        <f>IF(OR(E1434="",E1434="!!!",F1434="NEW"),"",INDEX(B1433:B$2,-1+SUMPRODUCT(MAX(ROW(E1433:E$2)*(E1434=E1433:E$2)))))</f>
        <v> </v>
      </c>
      <c r="J1434" s="26" t="str">
        <f>IF(OR(E1434="",E1434="!!!",F1434="NEW"),"",COUNTBLANK(OFFSET(A$1,,,SUMPRODUCT(MAX(ROW(E$2:E1434)*(E1434=E$2:E1434)))))-COUNTBLANK(OFFSET(A$1,,,SUMPRODUCT(MAX(ROW(E$1:E1433)*(E2=E$1:E1433))))))</f>
        <v> </v>
      </c>
      <c r="K1434" s="26" t="str">
        <f>IF(OR(E1434="",E1434="!!!",F1434="NEW"),"",INDEX(J$1:J1433,SUMPRODUCT(MAX(ROW(E$1:E1433)*(E1434=E$1:E1433)))))</f>
        <v> </v>
      </c>
      <c r="L1434" s="27"/>
    </row>
    <row r="1435" spans="1:12">
      <c r="A1435" s="20" t="s">
        <v>1312</v>
      </c>
      <c r="B1435" s="21" t="s">
        <v>784</v>
      </c>
      <c r="C1435" s="21" t="s">
        <v>602</v>
      </c>
      <c r="E1435" s="22">
        <f>IF(D1435="?OLD","!!!","")</f>
        <v/>
      </c>
      <c r="F1435" s="23" t="str">
        <f>IF(OR(E1435="",E1435="!!!"),"",IF(NOT(ISNA(VLOOKUP(E1435,E$1:E1434,1,FALSE()))),"OLD",IF(AND(E1435&lt;&gt;"",E1435&lt;&gt;"!!!"),"NEW","")))</f>
        <v> </v>
      </c>
      <c r="G1435" s="24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5" t="str">
        <f>IF(J1435&lt;&gt;1,"",IF(I1435="SBJ","CB","?"))</f>
        <v> </v>
      </c>
      <c r="I1435" s="26" t="str">
        <f>IF(OR(E1435="",E1435="!!!",F1435="NEW"),"",INDEX(B1434:B$2,-1+SUMPRODUCT(MAX(ROW(E1434:E$2)*(E1435=E1434:E$2)))))</f>
        <v> </v>
      </c>
      <c r="J1435" s="26" t="str">
        <f>IF(OR(E1435="",E1435="!!!",F1435="NEW"),"",COUNTBLANK(OFFSET(A$1,,,SUMPRODUCT(MAX(ROW(E$2:E1435)*(E1435=E$2:E1435)))))-COUNTBLANK(OFFSET(A$1,,,SUMPRODUCT(MAX(ROW(E$1:E1434)*(E2=E$1:E1434))))))</f>
        <v> </v>
      </c>
      <c r="K1435" s="26" t="str">
        <f>IF(OR(E1435="",E1435="!!!",F1435="NEW"),"",INDEX(J$1:J1434,SUMPRODUCT(MAX(ROW(E$1:E1434)*(E1435=E$1:E1434)))))</f>
        <v> </v>
      </c>
      <c r="L1435" s="27"/>
    </row>
    <row r="1436" spans="1:12">
      <c r="A1436" s="20" t="s">
        <v>1313</v>
      </c>
      <c r="E1436" s="22">
        <f>IF(D1436="?OLD","!!!","")</f>
        <v/>
      </c>
      <c r="F1436" s="23" t="str">
        <f>IF(OR(E1436="",E1436="!!!"),"",IF(NOT(ISNA(VLOOKUP(E1436,E$1:E1435,1,FALSE()))),"OLD",IF(AND(E1436&lt;&gt;"",E1436&lt;&gt;"!!!"),"NEW","")))</f>
        <v> </v>
      </c>
      <c r="G1436" s="24" t="str">
        <f>IF(OR(E1436="",E1436="!!!"),"",IF(OR(J1436=0,AND(J1436=1,K1436=1),AND(J1436=1,I1436="SBJ"),AND(J1436=1,I1436=0)),"?IN_FOCUS",IF(J1436&lt;=2,"?ACTIVATED",IF(J1436&lt;&gt;"","?FAMILIAR",IF(F1436="NEW",IF(ISNA(VLOOKUP(E1436,#REF!,1,FALSE())),"?TYPE_IDENTIFIABLE","?REFERENTIAL"),"_")))))</f>
        <v> </v>
      </c>
      <c r="H1436" s="25" t="str">
        <f>IF(J1436&lt;&gt;1,"",IF(I1436="SBJ","CB","?"))</f>
        <v> </v>
      </c>
      <c r="I1436" s="26" t="str">
        <f>IF(OR(E1436="",E1436="!!!",F1436="NEW"),"",INDEX(B1435:B$2,-1+SUMPRODUCT(MAX(ROW(E1435:E$2)*(E1436=E1435:E$2)))))</f>
        <v> </v>
      </c>
      <c r="J1436" s="26" t="str">
        <f>IF(OR(E1436="",E1436="!!!",F1436="NEW"),"",COUNTBLANK(OFFSET(A$1,,,SUMPRODUCT(MAX(ROW(E$2:E1436)*(E1436=E$2:E1436)))))-COUNTBLANK(OFFSET(A$1,,,SUMPRODUCT(MAX(ROW(E$1:E1435)*(E2=E$1:E1435))))))</f>
        <v> </v>
      </c>
      <c r="K1436" s="26" t="str">
        <f>IF(OR(E1436="",E1436="!!!",F1436="NEW"),"",INDEX(J$1:J1435,SUMPRODUCT(MAX(ROW(E$1:E1435)*(E1436=E$1:E1435)))))</f>
        <v> </v>
      </c>
      <c r="L1436" s="27"/>
    </row>
    <row r="1437" spans="1:12">
      <c r="A1437" s="20" t="s">
        <v>901</v>
      </c>
      <c r="E1437" s="22">
        <f>IF(D1437="?OLD","!!!","")</f>
        <v/>
      </c>
      <c r="F1437" s="23" t="str">
        <f>IF(OR(E1437="",E1437="!!!"),"",IF(NOT(ISNA(VLOOKUP(E1437,E$1:E1436,1,FALSE()))),"OLD",IF(AND(E1437&lt;&gt;"",E1437&lt;&gt;"!!!"),"NEW","")))</f>
        <v> </v>
      </c>
      <c r="G1437" s="24" t="str">
        <f>IF(OR(E1437="",E1437="!!!"),"",IF(OR(J1437=0,AND(J1437=1,K1437=1),AND(J1437=1,I1437="SBJ"),AND(J1437=1,I1437=0)),"?IN_FOCUS",IF(J1437&lt;=2,"?ACTIVATED",IF(J1437&lt;&gt;"","?FAMILIAR",IF(F1437="NEW",IF(ISNA(VLOOKUP(E1437,#REF!,1,FALSE())),"?TYPE_IDENTIFIABLE","?REFERENTIAL"),"_")))))</f>
        <v> </v>
      </c>
      <c r="H1437" s="25" t="str">
        <f>IF(J1437&lt;&gt;1,"",IF(I1437="SBJ","CB","?"))</f>
        <v> </v>
      </c>
      <c r="I1437" s="26" t="str">
        <f>IF(OR(E1437="",E1437="!!!",F1437="NEW"),"",INDEX(B1436:B$2,-1+SUMPRODUCT(MAX(ROW(E1436:E$2)*(E1437=E1436:E$2)))))</f>
        <v> </v>
      </c>
      <c r="J1437" s="26" t="str">
        <f>IF(OR(E1437="",E1437="!!!",F1437="NEW"),"",COUNTBLANK(OFFSET(A$1,,,SUMPRODUCT(MAX(ROW(E$2:E1437)*(E1437=E$2:E1437)))))-COUNTBLANK(OFFSET(A$1,,,SUMPRODUCT(MAX(ROW(E$1:E1436)*(E2=E$1:E1436))))))</f>
        <v> </v>
      </c>
      <c r="K1437" s="26" t="str">
        <f>IF(OR(E1437="",E1437="!!!",F1437="NEW"),"",INDEX(J$1:J1436,SUMPRODUCT(MAX(ROW(E$1:E1436)*(E1437=E$1:E1436)))))</f>
        <v> </v>
      </c>
      <c r="L1437" s="27"/>
    </row>
    <row r="1438" spans="1:12">
      <c r="A1438" s="20" t="s">
        <v>1314</v>
      </c>
      <c r="E1438" s="22">
        <f>IF(D1438="?OLD","!!!","")</f>
        <v/>
      </c>
      <c r="F1438" s="23" t="str">
        <f>IF(OR(E1438="",E1438="!!!"),"",IF(NOT(ISNA(VLOOKUP(E1438,E$1:E1437,1,FALSE()))),"OLD",IF(AND(E1438&lt;&gt;"",E1438&lt;&gt;"!!!"),"NEW","")))</f>
        <v> </v>
      </c>
      <c r="G1438" s="24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5" t="str">
        <f>IF(J1438&lt;&gt;1,"",IF(I1438="SBJ","CB","?"))</f>
        <v> </v>
      </c>
      <c r="I1438" s="26" t="str">
        <f>IF(OR(E1438="",E1438="!!!",F1438="NEW"),"",INDEX(B1437:B$2,-1+SUMPRODUCT(MAX(ROW(E1437:E$2)*(E1438=E1437:E$2)))))</f>
        <v> </v>
      </c>
      <c r="J1438" s="26" t="str">
        <f>IF(OR(E1438="",E1438="!!!",F1438="NEW"),"",COUNTBLANK(OFFSET(A$1,,,SUMPRODUCT(MAX(ROW(E$2:E1438)*(E1438=E$2:E1438)))))-COUNTBLANK(OFFSET(A$1,,,SUMPRODUCT(MAX(ROW(E$1:E1437)*(E2=E$1:E1437))))))</f>
        <v> </v>
      </c>
      <c r="K1438" s="26" t="str">
        <f>IF(OR(E1438="",E1438="!!!",F1438="NEW"),"",INDEX(J$1:J1437,SUMPRODUCT(MAX(ROW(E$1:E1437)*(E1438=E$1:E1437)))))</f>
        <v> </v>
      </c>
      <c r="L1438" s="27"/>
    </row>
    <row r="1439" spans="1:12">
      <c r="A1439" s="20" t="s">
        <v>1315</v>
      </c>
      <c r="E1439" s="22">
        <f>IF(D1439="?OLD","!!!","")</f>
        <v/>
      </c>
      <c r="F1439" s="23" t="str">
        <f>IF(OR(E1439="",E1439="!!!"),"",IF(NOT(ISNA(VLOOKUP(E1439,E$1:E1438,1,FALSE()))),"OLD",IF(AND(E1439&lt;&gt;"",E1439&lt;&gt;"!!!"),"NEW","")))</f>
        <v> </v>
      </c>
      <c r="G1439" s="24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5" t="str">
        <f>IF(J1439&lt;&gt;1,"",IF(I1439="SBJ","CB","?"))</f>
        <v> </v>
      </c>
      <c r="I1439" s="26" t="str">
        <f>IF(OR(E1439="",E1439="!!!",F1439="NEW"),"",INDEX(B1438:B$2,-1+SUMPRODUCT(MAX(ROW(E1438:E$2)*(E1439=E1438:E$2)))))</f>
        <v> </v>
      </c>
      <c r="J1439" s="26" t="str">
        <f>IF(OR(E1439="",E1439="!!!",F1439="NEW"),"",COUNTBLANK(OFFSET(A$1,,,SUMPRODUCT(MAX(ROW(E$2:E1439)*(E1439=E$2:E1439)))))-COUNTBLANK(OFFSET(A$1,,,SUMPRODUCT(MAX(ROW(E$1:E1438)*(E2=E$1:E1438))))))</f>
        <v> </v>
      </c>
      <c r="K1439" s="26" t="str">
        <f>IF(OR(E1439="",E1439="!!!",F1439="NEW"),"",INDEX(J$1:J1438,SUMPRODUCT(MAX(ROW(E$1:E1438)*(E1439=E$1:E1438)))))</f>
        <v> </v>
      </c>
      <c r="L1439" s="27"/>
    </row>
    <row r="1440" spans="1:12">
      <c r="A1440" s="20" t="s">
        <v>1116</v>
      </c>
      <c r="E1440" s="22">
        <f>IF(D1440="?OLD","!!!","")</f>
        <v/>
      </c>
      <c r="F1440" s="23" t="str">
        <f>IF(OR(E1440="",E1440="!!!"),"",IF(NOT(ISNA(VLOOKUP(E1440,E$1:E1439,1,FALSE()))),"OLD",IF(AND(E1440&lt;&gt;"",E1440&lt;&gt;"!!!"),"NEW","")))</f>
        <v> </v>
      </c>
      <c r="G1440" s="24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5" t="str">
        <f>IF(J1440&lt;&gt;1,"",IF(I1440="SBJ","CB","?"))</f>
        <v> </v>
      </c>
      <c r="I1440" s="26" t="str">
        <f>IF(OR(E1440="",E1440="!!!",F1440="NEW"),"",INDEX(B1439:B$2,-1+SUMPRODUCT(MAX(ROW(E1439:E$2)*(E1440=E1439:E$2)))))</f>
        <v> </v>
      </c>
      <c r="J1440" s="26" t="str">
        <f>IF(OR(E1440="",E1440="!!!",F1440="NEW"),"",COUNTBLANK(OFFSET(A$1,,,SUMPRODUCT(MAX(ROW(E$2:E1440)*(E1440=E$2:E1440)))))-COUNTBLANK(OFFSET(A$1,,,SUMPRODUCT(MAX(ROW(E$1:E1439)*(E2=E$1:E1439))))))</f>
        <v> </v>
      </c>
      <c r="K1440" s="26" t="str">
        <f>IF(OR(E1440="",E1440="!!!",F1440="NEW"),"",INDEX(J$1:J1439,SUMPRODUCT(MAX(ROW(E$1:E1439)*(E1440=E$1:E1439)))))</f>
        <v> </v>
      </c>
      <c r="L1440" s="27"/>
    </row>
    <row r="1441" spans="1:12">
      <c r="A1441" s="20" t="s">
        <v>592</v>
      </c>
      <c r="E1441" s="22">
        <f>IF(D1441="?OLD","!!!","")</f>
        <v/>
      </c>
      <c r="F1441" s="23" t="str">
        <f>IF(OR(E1441="",E1441="!!!"),"",IF(NOT(ISNA(VLOOKUP(E1441,E$1:E1440,1,FALSE()))),"OLD",IF(AND(E1441&lt;&gt;"",E1441&lt;&gt;"!!!"),"NEW","")))</f>
        <v> </v>
      </c>
      <c r="G1441" s="24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5" t="str">
        <f>IF(J1441&lt;&gt;1,"",IF(I1441="SBJ","CB","?"))</f>
        <v> </v>
      </c>
      <c r="I1441" s="26" t="str">
        <f>IF(OR(E1441="",E1441="!!!",F1441="NEW"),"",INDEX(B1440:B$2,-1+SUMPRODUCT(MAX(ROW(E1440:E$2)*(E1441=E1440:E$2)))))</f>
        <v> </v>
      </c>
      <c r="J1441" s="26" t="str">
        <f>IF(OR(E1441="",E1441="!!!",F1441="NEW"),"",COUNTBLANK(OFFSET(A$1,,,SUMPRODUCT(MAX(ROW(E$2:E1441)*(E1441=E$2:E1441)))))-COUNTBLANK(OFFSET(A$1,,,SUMPRODUCT(MAX(ROW(E$1:E1440)*(E2=E$1:E1440))))))</f>
        <v> </v>
      </c>
      <c r="K1441" s="26" t="str">
        <f>IF(OR(E1441="",E1441="!!!",F1441="NEW"),"",INDEX(J$1:J1440,SUMPRODUCT(MAX(ROW(E$1:E1440)*(E1441=E$1:E1440)))))</f>
        <v> </v>
      </c>
      <c r="L1441" s="27"/>
    </row>
    <row r="1442" spans="1:12">
      <c r="A1442" s="20"/>
    </row>
    <row r="1443" spans="1:12">
      <c r="A1443" s="20" t="s">
        <v>1316</v>
      </c>
    </row>
    <row r="1444" spans="1:12">
      <c r="A1444" s="20" t="s">
        <v>1062</v>
      </c>
      <c r="B1444" s="21" t="s">
        <v>578</v>
      </c>
      <c r="E1444" s="22">
        <f>IF(D1444="?OLD","!!!","")</f>
        <v/>
      </c>
      <c r="F1444" s="23" t="str">
        <f>IF(OR(E1444="",E1444="!!!"),"",IF(NOT(ISNA(VLOOKUP(E1444,E$1:E1443,1,FALSE()))),"OLD",IF(AND(E1444&lt;&gt;"",E1444&lt;&gt;"!!!"),"NEW","")))</f>
        <v> </v>
      </c>
      <c r="G1444" s="24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5" t="str">
        <f>IF(J1444&lt;&gt;1,"",IF(I1444="SBJ","CB","?"))</f>
        <v> </v>
      </c>
      <c r="I1444" s="26" t="str">
        <f>IF(OR(E1444="",E1444="!!!",F1444="NEW"),"",INDEX(B1443:B$2,-1+SUMPRODUCT(MAX(ROW(E1443:E$2)*(E1444=E1443:E$2)))))</f>
        <v> </v>
      </c>
      <c r="J1444" s="26" t="str">
        <f>IF(OR(E1444="",E1444="!!!",F1444="NEW"),"",COUNTBLANK(OFFSET(A$1,,,SUMPRODUCT(MAX(ROW(E$2:E1444)*(E1444=E$2:E1444)))))-COUNTBLANK(OFFSET(A$1,,,SUMPRODUCT(MAX(ROW(E$1:E1443)*(E2=E$1:E1443))))))</f>
        <v> </v>
      </c>
      <c r="K1444" s="26" t="str">
        <f>IF(OR(E1444="",E1444="!!!",F1444="NEW"),"",INDEX(J$1:J1443,SUMPRODUCT(MAX(ROW(E$1:E1443)*(E1444=E$1:E1443)))))</f>
        <v> </v>
      </c>
      <c r="L1444" s="27"/>
    </row>
    <row r="1445" spans="1:12">
      <c r="A1445" s="20" t="s">
        <v>1129</v>
      </c>
      <c r="E1445" s="22">
        <f>IF(D1445="?OLD","!!!","")</f>
        <v/>
      </c>
      <c r="F1445" s="23" t="str">
        <f>IF(OR(E1445="",E1445="!!!"),"",IF(NOT(ISNA(VLOOKUP(E1445,E$1:E1444,1,FALSE()))),"OLD",IF(AND(E1445&lt;&gt;"",E1445&lt;&gt;"!!!"),"NEW","")))</f>
        <v> </v>
      </c>
      <c r="G1445" s="24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5" t="str">
        <f>IF(J1445&lt;&gt;1,"",IF(I1445="SBJ","CB","?"))</f>
        <v> </v>
      </c>
      <c r="I1445" s="26" t="str">
        <f>IF(OR(E1445="",E1445="!!!",F1445="NEW"),"",INDEX(B1444:B$2,-1+SUMPRODUCT(MAX(ROW(E1444:E$2)*(E1445=E1444:E$2)))))</f>
        <v> </v>
      </c>
      <c r="J1445" s="26" t="str">
        <f>IF(OR(E1445="",E1445="!!!",F1445="NEW"),"",COUNTBLANK(OFFSET(A$1,,,SUMPRODUCT(MAX(ROW(E$2:E1445)*(E1445=E$2:E1445)))))-COUNTBLANK(OFFSET(A$1,,,SUMPRODUCT(MAX(ROW(E$1:E1444)*(E2=E$1:E1444))))))</f>
        <v> </v>
      </c>
      <c r="K1445" s="26" t="str">
        <f>IF(OR(E1445="",E1445="!!!",F1445="NEW"),"",INDEX(J$1:J1444,SUMPRODUCT(MAX(ROW(E$1:E1444)*(E1445=E$1:E1444)))))</f>
        <v> </v>
      </c>
      <c r="L1445" s="27"/>
    </row>
    <row r="1446" spans="1:12">
      <c r="A1446" s="20" t="s">
        <v>630</v>
      </c>
      <c r="E1446" s="22">
        <f>IF(D1446="?OLD","!!!","")</f>
        <v/>
      </c>
      <c r="F1446" s="23" t="str">
        <f>IF(OR(E1446="",E1446="!!!"),"",IF(NOT(ISNA(VLOOKUP(E1446,E$1:E1445,1,FALSE()))),"OLD",IF(AND(E1446&lt;&gt;"",E1446&lt;&gt;"!!!"),"NEW","")))</f>
        <v> </v>
      </c>
      <c r="G1446" s="24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5" t="str">
        <f>IF(J1446&lt;&gt;1,"",IF(I1446="SBJ","CB","?"))</f>
        <v> </v>
      </c>
      <c r="I1446" s="26" t="str">
        <f>IF(OR(E1446="",E1446="!!!",F1446="NEW"),"",INDEX(B1445:B$2,-1+SUMPRODUCT(MAX(ROW(E1445:E$2)*(E1446=E1445:E$2)))))</f>
        <v> </v>
      </c>
      <c r="J1446" s="26" t="str">
        <f>IF(OR(E1446="",E1446="!!!",F1446="NEW"),"",COUNTBLANK(OFFSET(A$1,,,SUMPRODUCT(MAX(ROW(E$2:E1446)*(E1446=E$2:E1446)))))-COUNTBLANK(OFFSET(A$1,,,SUMPRODUCT(MAX(ROW(E$1:E1445)*(E2=E$1:E1445))))))</f>
        <v> </v>
      </c>
      <c r="K1446" s="26" t="str">
        <f>IF(OR(E1446="",E1446="!!!",F1446="NEW"),"",INDEX(J$1:J1445,SUMPRODUCT(MAX(ROW(E$1:E1445)*(E1446=E$1:E1445)))))</f>
        <v> </v>
      </c>
      <c r="L1446" s="27"/>
    </row>
    <row r="1447" spans="1:12">
      <c r="A1447" s="20" t="s">
        <v>1130</v>
      </c>
      <c r="E1447" s="22">
        <f>IF(D1447="?OLD","!!!","")</f>
        <v/>
      </c>
      <c r="F1447" s="23" t="str">
        <f>IF(OR(E1447="",E1447="!!!"),"",IF(NOT(ISNA(VLOOKUP(E1447,E$1:E1446,1,FALSE()))),"OLD",IF(AND(E1447&lt;&gt;"",E1447&lt;&gt;"!!!"),"NEW","")))</f>
        <v> </v>
      </c>
      <c r="G1447" s="24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5" t="str">
        <f>IF(J1447&lt;&gt;1,"",IF(I1447="SBJ","CB","?"))</f>
        <v> </v>
      </c>
      <c r="I1447" s="26" t="str">
        <f>IF(OR(E1447="",E1447="!!!",F1447="NEW"),"",INDEX(B1446:B$2,-1+SUMPRODUCT(MAX(ROW(E1446:E$2)*(E1447=E1446:E$2)))))</f>
        <v> </v>
      </c>
      <c r="J1447" s="26" t="str">
        <f>IF(OR(E1447="",E1447="!!!",F1447="NEW"),"",COUNTBLANK(OFFSET(A$1,,,SUMPRODUCT(MAX(ROW(E$2:E1447)*(E1447=E$2:E1447)))))-COUNTBLANK(OFFSET(A$1,,,SUMPRODUCT(MAX(ROW(E$1:E1446)*(E2=E$1:E1446))))))</f>
        <v> </v>
      </c>
      <c r="K1447" s="26" t="str">
        <f>IF(OR(E1447="",E1447="!!!",F1447="NEW"),"",INDEX(J$1:J1446,SUMPRODUCT(MAX(ROW(E$1:E1446)*(E1447=E$1:E1446)))))</f>
        <v> </v>
      </c>
      <c r="L1447" s="27"/>
    </row>
    <row r="1448" spans="1:12">
      <c r="A1448" s="20" t="s">
        <v>1005</v>
      </c>
      <c r="B1448" s="21" t="s">
        <v>635</v>
      </c>
      <c r="E1448" s="22">
        <f>IF(D1448="?OLD","!!!","")</f>
        <v/>
      </c>
      <c r="F1448" s="23" t="str">
        <f>IF(OR(E1448="",E1448="!!!"),"",IF(NOT(ISNA(VLOOKUP(E1448,E$1:E1447,1,FALSE()))),"OLD",IF(AND(E1448&lt;&gt;"",E1448&lt;&gt;"!!!"),"NEW","")))</f>
        <v> </v>
      </c>
      <c r="G1448" s="24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5" t="str">
        <f>IF(J1448&lt;&gt;1,"",IF(I1448="SBJ","CB","?"))</f>
        <v> </v>
      </c>
      <c r="I1448" s="26" t="str">
        <f>IF(OR(E1448="",E1448="!!!",F1448="NEW"),"",INDEX(B1447:B$2,-1+SUMPRODUCT(MAX(ROW(E1447:E$2)*(E1448=E1447:E$2)))))</f>
        <v> </v>
      </c>
      <c r="J1448" s="26" t="str">
        <f>IF(OR(E1448="",E1448="!!!",F1448="NEW"),"",COUNTBLANK(OFFSET(A$1,,,SUMPRODUCT(MAX(ROW(E$2:E1448)*(E1448=E$2:E1448)))))-COUNTBLANK(OFFSET(A$1,,,SUMPRODUCT(MAX(ROW(E$1:E1447)*(E2=E$1:E1447))))))</f>
        <v> </v>
      </c>
      <c r="K1448" s="26" t="str">
        <f>IF(OR(E1448="",E1448="!!!",F1448="NEW"),"",INDEX(J$1:J1447,SUMPRODUCT(MAX(ROW(E$1:E1447)*(E1448=E$1:E1447)))))</f>
        <v> </v>
      </c>
      <c r="L1448" s="27"/>
    </row>
    <row r="1449" spans="1:12">
      <c r="A1449" s="20" t="s">
        <v>592</v>
      </c>
      <c r="E1449" s="22">
        <f>IF(D1449="?OLD","!!!","")</f>
        <v/>
      </c>
      <c r="F1449" s="23" t="str">
        <f>IF(OR(E1449="",E1449="!!!"),"",IF(NOT(ISNA(VLOOKUP(E1449,E$1:E1448,1,FALSE()))),"OLD",IF(AND(E1449&lt;&gt;"",E1449&lt;&gt;"!!!"),"NEW","")))</f>
        <v> </v>
      </c>
      <c r="G1449" s="24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5" t="str">
        <f>IF(J1449&lt;&gt;1,"",IF(I1449="SBJ","CB","?"))</f>
        <v> </v>
      </c>
      <c r="I1449" s="26" t="str">
        <f>IF(OR(E1449="",E1449="!!!",F1449="NEW"),"",INDEX(B1448:B$2,-1+SUMPRODUCT(MAX(ROW(E1448:E$2)*(E1449=E1448:E$2)))))</f>
        <v> </v>
      </c>
      <c r="J1449" s="26" t="str">
        <f>IF(OR(E1449="",E1449="!!!",F1449="NEW"),"",COUNTBLANK(OFFSET(A$1,,,SUMPRODUCT(MAX(ROW(E$2:E1449)*(E1449=E$2:E1449)))))-COUNTBLANK(OFFSET(A$1,,,SUMPRODUCT(MAX(ROW(E$1:E1448)*(E2=E$1:E1448))))))</f>
        <v> </v>
      </c>
      <c r="K1449" s="26" t="str">
        <f>IF(OR(E1449="",E1449="!!!",F1449="NEW"),"",INDEX(J$1:J1448,SUMPRODUCT(MAX(ROW(E$1:E1448)*(E1449=E$1:E1448)))))</f>
        <v> </v>
      </c>
      <c r="L1449" s="27"/>
    </row>
    <row r="1450" spans="1:12">
      <c r="A1450" s="20"/>
    </row>
    <row r="1451" spans="1:12">
      <c r="A1451" s="20" t="s">
        <v>1317</v>
      </c>
    </row>
    <row r="1452" spans="1:12">
      <c r="A1452" s="20" t="s">
        <v>676</v>
      </c>
      <c r="B1452" s="21" t="s">
        <v>578</v>
      </c>
      <c r="C1452" s="21" t="s">
        <v>613</v>
      </c>
      <c r="D1452" s="21" t="s">
        <v>587</v>
      </c>
      <c r="E1452" s="22">
        <f>IF(D1452="?OLD","!!!","")</f>
        <v/>
      </c>
      <c r="F1452" s="23" t="str">
        <f>IF(OR(E1452="",E1452="!!!"),"",IF(NOT(ISNA(VLOOKUP(E1452,E$1:E1451,1,FALSE()))),"OLD",IF(AND(E1452&lt;&gt;"",E1452&lt;&gt;"!!!"),"NEW","")))</f>
        <v> </v>
      </c>
      <c r="G1452" s="24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5" t="str">
        <f>IF(J1452&lt;&gt;1,"",IF(I1452="SBJ","CB","?"))</f>
        <v> </v>
      </c>
      <c r="I1452" s="26" t="str">
        <f>IF(OR(E1452="",E1452="!!!",F1452="NEW"),"",INDEX(B1451:B$2,-1+SUMPRODUCT(MAX(ROW(E1451:E$2)*(E1452=E1451:E$2)))))</f>
        <v> </v>
      </c>
      <c r="J1452" s="26" t="str">
        <f>IF(OR(E1452="",E1452="!!!",F1452="NEW"),"",COUNTBLANK(OFFSET(A$1,,,SUMPRODUCT(MAX(ROW(E$2:E1452)*(E1452=E$2:E1452)))))-COUNTBLANK(OFFSET(A$1,,,SUMPRODUCT(MAX(ROW(E$1:E1451)*(E2=E$1:E1451))))))</f>
        <v> </v>
      </c>
      <c r="K1452" s="26" t="str">
        <f>IF(OR(E1452="",E1452="!!!",F1452="NEW"),"",INDEX(J$1:J1451,SUMPRODUCT(MAX(ROW(E$1:E1451)*(E1452=E$1:E1451)))))</f>
        <v> </v>
      </c>
      <c r="L1452" s="27"/>
    </row>
    <row r="1453" spans="1:12">
      <c r="A1453" s="20" t="s">
        <v>1318</v>
      </c>
      <c r="E1453" s="22">
        <f>IF(D1453="?OLD","!!!","")</f>
        <v/>
      </c>
      <c r="F1453" s="23" t="str">
        <f>IF(OR(E1453="",E1453="!!!"),"",IF(NOT(ISNA(VLOOKUP(E1453,E$1:E1452,1,FALSE()))),"OLD",IF(AND(E1453&lt;&gt;"",E1453&lt;&gt;"!!!"),"NEW","")))</f>
        <v> </v>
      </c>
      <c r="G1453" s="24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5" t="str">
        <f>IF(J1453&lt;&gt;1,"",IF(I1453="SBJ","CB","?"))</f>
        <v> </v>
      </c>
      <c r="I1453" s="26" t="str">
        <f>IF(OR(E1453="",E1453="!!!",F1453="NEW"),"",INDEX(B1452:B$2,-1+SUMPRODUCT(MAX(ROW(E1452:E$2)*(E1453=E1452:E$2)))))</f>
        <v> </v>
      </c>
      <c r="J1453" s="26" t="str">
        <f>IF(OR(E1453="",E1453="!!!",F1453="NEW"),"",COUNTBLANK(OFFSET(A$1,,,SUMPRODUCT(MAX(ROW(E$2:E1453)*(E1453=E$2:E1453)))))-COUNTBLANK(OFFSET(A$1,,,SUMPRODUCT(MAX(ROW(E$1:E1452)*(E2=E$1:E1452))))))</f>
        <v> </v>
      </c>
      <c r="K1453" s="26" t="str">
        <f>IF(OR(E1453="",E1453="!!!",F1453="NEW"),"",INDEX(J$1:J1452,SUMPRODUCT(MAX(ROW(E$1:E1452)*(E1453=E$1:E1452)))))</f>
        <v> </v>
      </c>
      <c r="L1453" s="27"/>
    </row>
    <row r="1454" spans="1:12">
      <c r="A1454" s="20" t="s">
        <v>1278</v>
      </c>
      <c r="B1454" s="21" t="s">
        <v>615</v>
      </c>
      <c r="E1454" s="22">
        <f>IF(D1454="?OLD","!!!","")</f>
        <v/>
      </c>
      <c r="F1454" s="23" t="str">
        <f>IF(OR(E1454="",E1454="!!!"),"",IF(NOT(ISNA(VLOOKUP(E1454,E$1:E1453,1,FALSE()))),"OLD",IF(AND(E1454&lt;&gt;"",E1454&lt;&gt;"!!!"),"NEW","")))</f>
        <v> </v>
      </c>
      <c r="G1454" s="24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5" t="str">
        <f>IF(J1454&lt;&gt;1,"",IF(I1454="SBJ","CB","?"))</f>
        <v> </v>
      </c>
      <c r="I1454" s="26" t="str">
        <f>IF(OR(E1454="",E1454="!!!",F1454="NEW"),"",INDEX(B1453:B$2,-1+SUMPRODUCT(MAX(ROW(E1453:E$2)*(E1454=E1453:E$2)))))</f>
        <v> </v>
      </c>
      <c r="J1454" s="26" t="str">
        <f>IF(OR(E1454="",E1454="!!!",F1454="NEW"),"",COUNTBLANK(OFFSET(A$1,,,SUMPRODUCT(MAX(ROW(E$2:E1454)*(E1454=E$2:E1454)))))-COUNTBLANK(OFFSET(A$1,,,SUMPRODUCT(MAX(ROW(E$1:E1453)*(E2=E$1:E1453))))))</f>
        <v> </v>
      </c>
      <c r="K1454" s="26" t="str">
        <f>IF(OR(E1454="",E1454="!!!",F1454="NEW"),"",INDEX(J$1:J1453,SUMPRODUCT(MAX(ROW(E$1:E1453)*(E1454=E$1:E1453)))))</f>
        <v> </v>
      </c>
      <c r="L1454" s="27"/>
    </row>
    <row r="1455" spans="1:12">
      <c r="A1455" s="20" t="s">
        <v>592</v>
      </c>
      <c r="E1455" s="22">
        <f>IF(D1455="?OLD","!!!","")</f>
        <v/>
      </c>
      <c r="F1455" s="23" t="str">
        <f>IF(OR(E1455="",E1455="!!!"),"",IF(NOT(ISNA(VLOOKUP(E1455,E$1:E1454,1,FALSE()))),"OLD",IF(AND(E1455&lt;&gt;"",E1455&lt;&gt;"!!!"),"NEW","")))</f>
        <v> </v>
      </c>
      <c r="G1455" s="24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5" t="str">
        <f>IF(J1455&lt;&gt;1,"",IF(I1455="SBJ","CB","?"))</f>
        <v> </v>
      </c>
      <c r="I1455" s="26" t="str">
        <f>IF(OR(E1455="",E1455="!!!",F1455="NEW"),"",INDEX(B1454:B$2,-1+SUMPRODUCT(MAX(ROW(E1454:E$2)*(E1455=E1454:E$2)))))</f>
        <v> </v>
      </c>
      <c r="J1455" s="26" t="str">
        <f>IF(OR(E1455="",E1455="!!!",F1455="NEW"),"",COUNTBLANK(OFFSET(A$1,,,SUMPRODUCT(MAX(ROW(E$2:E1455)*(E1455=E$2:E1455)))))-COUNTBLANK(OFFSET(A$1,,,SUMPRODUCT(MAX(ROW(E$1:E1454)*(E2=E$1:E1454))))))</f>
        <v> </v>
      </c>
      <c r="K1455" s="26" t="str">
        <f>IF(OR(E1455="",E1455="!!!",F1455="NEW"),"",INDEX(J$1:J1454,SUMPRODUCT(MAX(ROW(E$1:E1454)*(E1455=E$1:E1454)))))</f>
        <v> </v>
      </c>
      <c r="L1455" s="27"/>
    </row>
    <row r="1456" spans="1:12">
      <c r="A1456" s="20"/>
    </row>
    <row r="1457" spans="1:12">
      <c r="A1457" s="20" t="s">
        <v>1319</v>
      </c>
    </row>
    <row r="1458" spans="1:12">
      <c r="A1458" s="20" t="s">
        <v>1320</v>
      </c>
      <c r="E1458" s="22">
        <f>IF(D1458="?OLD","!!!","")</f>
        <v/>
      </c>
      <c r="F1458" s="23" t="str">
        <f>IF(OR(E1458="",E1458="!!!"),"",IF(NOT(ISNA(VLOOKUP(E1458,E$1:E1457,1,FALSE()))),"OLD",IF(AND(E1458&lt;&gt;"",E1458&lt;&gt;"!!!"),"NEW","")))</f>
        <v> </v>
      </c>
      <c r="G1458" s="24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5" t="str">
        <f>IF(J1458&lt;&gt;1,"",IF(I1458="SBJ","CB","?"))</f>
        <v> </v>
      </c>
      <c r="I1458" s="26" t="str">
        <f>IF(OR(E1458="",E1458="!!!",F1458="NEW"),"",INDEX(B1457:B$2,-1+SUMPRODUCT(MAX(ROW(E1457:E$2)*(E1458=E1457:E$2)))))</f>
        <v> </v>
      </c>
      <c r="J1458" s="26" t="str">
        <f>IF(OR(E1458="",E1458="!!!",F1458="NEW"),"",COUNTBLANK(OFFSET(A$1,,,SUMPRODUCT(MAX(ROW(E$2:E1458)*(E1458=E$2:E1458)))))-COUNTBLANK(OFFSET(A$1,,,SUMPRODUCT(MAX(ROW(E$1:E1457)*(E2=E$1:E1457))))))</f>
        <v> </v>
      </c>
      <c r="K1458" s="26" t="str">
        <f>IF(OR(E1458="",E1458="!!!",F1458="NEW"),"",INDEX(J$1:J1457,SUMPRODUCT(MAX(ROW(E$1:E1457)*(E1458=E$1:E1457)))))</f>
        <v> </v>
      </c>
      <c r="L1458" s="27"/>
    </row>
    <row r="1459" spans="1:12">
      <c r="A1459" s="20" t="s">
        <v>299</v>
      </c>
      <c r="B1459" s="21" t="s">
        <v>651</v>
      </c>
      <c r="C1459" s="21" t="s">
        <v>800</v>
      </c>
      <c r="D1459" s="21" t="s">
        <v>587</v>
      </c>
      <c r="E1459" s="22">
        <f>IF(D1459="?OLD","!!!","")</f>
        <v/>
      </c>
      <c r="F1459" s="23" t="str">
        <f>IF(OR(E1459="",E1459="!!!"),"",IF(NOT(ISNA(VLOOKUP(E1459,E$1:E1458,1,FALSE()))),"OLD",IF(AND(E1459&lt;&gt;"",E1459&lt;&gt;"!!!"),"NEW","")))</f>
        <v> </v>
      </c>
      <c r="G1459" s="24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5" t="str">
        <f>IF(J1459&lt;&gt;1,"",IF(I1459="SBJ","CB","?"))</f>
        <v> </v>
      </c>
      <c r="I1459" s="26" t="str">
        <f>IF(OR(E1459="",E1459="!!!",F1459="NEW"),"",INDEX(B1458:B$2,-1+SUMPRODUCT(MAX(ROW(E1458:E$2)*(E1459=E1458:E$2)))))</f>
        <v> </v>
      </c>
      <c r="J1459" s="26" t="str">
        <f>IF(OR(E1459="",E1459="!!!",F1459="NEW"),"",COUNTBLANK(OFFSET(A$1,,,SUMPRODUCT(MAX(ROW(E$2:E1459)*(E1459=E$2:E1459)))))-COUNTBLANK(OFFSET(A$1,,,SUMPRODUCT(MAX(ROW(E$1:E1458)*(E2=E$1:E1458))))))</f>
        <v> </v>
      </c>
      <c r="K1459" s="26" t="str">
        <f>IF(OR(E1459="",E1459="!!!",F1459="NEW"),"",INDEX(J$1:J1458,SUMPRODUCT(MAX(ROW(E$1:E1458)*(E1459=E$1:E1458)))))</f>
        <v> </v>
      </c>
      <c r="L1459" s="27"/>
    </row>
    <row r="1460" spans="1:12">
      <c r="A1460" s="20" t="s">
        <v>1057</v>
      </c>
      <c r="B1460" s="21" t="s">
        <v>651</v>
      </c>
      <c r="C1460" s="21" t="s">
        <v>800</v>
      </c>
      <c r="D1460" s="21" t="s">
        <v>587</v>
      </c>
      <c r="E1460" s="22">
        <f>IF(D1460="?OLD","!!!","")</f>
        <v/>
      </c>
      <c r="F1460" s="23" t="str">
        <f>IF(OR(E1460="",E1460="!!!"),"",IF(NOT(ISNA(VLOOKUP(E1460,E$1:E1459,1,FALSE()))),"OLD",IF(AND(E1460&lt;&gt;"",E1460&lt;&gt;"!!!"),"NEW","")))</f>
        <v> </v>
      </c>
      <c r="G1460" s="24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5" t="str">
        <f>IF(J1460&lt;&gt;1,"",IF(I1460="SBJ","CB","?"))</f>
        <v> </v>
      </c>
      <c r="I1460" s="26" t="str">
        <f>IF(OR(E1460="",E1460="!!!",F1460="NEW"),"",INDEX(B1459:B$2,-1+SUMPRODUCT(MAX(ROW(E1459:E$2)*(E1460=E1459:E$2)))))</f>
        <v> </v>
      </c>
      <c r="J1460" s="26" t="str">
        <f>IF(OR(E1460="",E1460="!!!",F1460="NEW"),"",COUNTBLANK(OFFSET(A$1,,,SUMPRODUCT(MAX(ROW(E$2:E1460)*(E1460=E$2:E1460)))))-COUNTBLANK(OFFSET(A$1,,,SUMPRODUCT(MAX(ROW(E$1:E1459)*(E2=E$1:E1459))))))</f>
        <v> </v>
      </c>
      <c r="K1460" s="26" t="str">
        <f>IF(OR(E1460="",E1460="!!!",F1460="NEW"),"",INDEX(J$1:J1459,SUMPRODUCT(MAX(ROW(E$1:E1459)*(E1460=E$1:E1459)))))</f>
        <v> </v>
      </c>
      <c r="L1460" s="27"/>
    </row>
    <row r="1461" spans="1:12">
      <c r="A1461" s="20" t="s">
        <v>580</v>
      </c>
      <c r="E1461" s="22">
        <f>IF(D1461="?OLD","!!!","")</f>
        <v/>
      </c>
      <c r="F1461" s="23" t="str">
        <f>IF(OR(E1461="",E1461="!!!"),"",IF(NOT(ISNA(VLOOKUP(E1461,E$1:E1460,1,FALSE()))),"OLD",IF(AND(E1461&lt;&gt;"",E1461&lt;&gt;"!!!"),"NEW","")))</f>
        <v> </v>
      </c>
      <c r="G1461" s="24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5" t="str">
        <f>IF(J1461&lt;&gt;1,"",IF(I1461="SBJ","CB","?"))</f>
        <v> </v>
      </c>
      <c r="I1461" s="26" t="str">
        <f>IF(OR(E1461="",E1461="!!!",F1461="NEW"),"",INDEX(B1460:B$2,-1+SUMPRODUCT(MAX(ROW(E1460:E$2)*(E1461=E1460:E$2)))))</f>
        <v> </v>
      </c>
      <c r="J1461" s="26" t="str">
        <f>IF(OR(E1461="",E1461="!!!",F1461="NEW"),"",COUNTBLANK(OFFSET(A$1,,,SUMPRODUCT(MAX(ROW(E$2:E1461)*(E1461=E$2:E1461)))))-COUNTBLANK(OFFSET(A$1,,,SUMPRODUCT(MAX(ROW(E$1:E1460)*(E2=E$1:E1460))))))</f>
        <v> </v>
      </c>
      <c r="K1461" s="26" t="str">
        <f>IF(OR(E1461="",E1461="!!!",F1461="NEW"),"",INDEX(J$1:J1460,SUMPRODUCT(MAX(ROW(E$1:E1460)*(E1461=E$1:E1460)))))</f>
        <v> </v>
      </c>
      <c r="L1461" s="27"/>
    </row>
    <row r="1462" spans="1:12">
      <c r="A1462" s="20" t="s">
        <v>719</v>
      </c>
      <c r="B1462" s="21" t="s">
        <v>585</v>
      </c>
      <c r="C1462" s="21" t="s">
        <v>586</v>
      </c>
      <c r="D1462" s="21" t="s">
        <v>587</v>
      </c>
      <c r="E1462" s="22">
        <f>IF(D1462="?OLD","!!!","")</f>
        <v/>
      </c>
      <c r="F1462" s="23" t="str">
        <f>IF(OR(E1462="",E1462="!!!"),"",IF(NOT(ISNA(VLOOKUP(E1462,E$1:E1461,1,FALSE()))),"OLD",IF(AND(E1462&lt;&gt;"",E1462&lt;&gt;"!!!"),"NEW","")))</f>
        <v> </v>
      </c>
      <c r="G1462" s="24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5" t="str">
        <f>IF(J1462&lt;&gt;1,"",IF(I1462="SBJ","CB","?"))</f>
        <v> </v>
      </c>
      <c r="I1462" s="26" t="str">
        <f>IF(OR(E1462="",E1462="!!!",F1462="NEW"),"",INDEX(B1461:B$2,-1+SUMPRODUCT(MAX(ROW(E1461:E$2)*(E1462=E1461:E$2)))))</f>
        <v> </v>
      </c>
      <c r="J1462" s="26" t="str">
        <f>IF(OR(E1462="",E1462="!!!",F1462="NEW"),"",COUNTBLANK(OFFSET(A$1,,,SUMPRODUCT(MAX(ROW(E$2:E1462)*(E1462=E$2:E1462)))))-COUNTBLANK(OFFSET(A$1,,,SUMPRODUCT(MAX(ROW(E$1:E1461)*(E2=E$1:E1461))))))</f>
        <v> </v>
      </c>
      <c r="K1462" s="26" t="str">
        <f>IF(OR(E1462="",E1462="!!!",F1462="NEW"),"",INDEX(J$1:J1461,SUMPRODUCT(MAX(ROW(E$1:E1461)*(E1462=E$1:E1461)))))</f>
        <v> </v>
      </c>
      <c r="L1462" s="27"/>
    </row>
    <row r="1463" spans="1:12">
      <c r="A1463" s="20" t="s">
        <v>583</v>
      </c>
      <c r="E1463" s="22">
        <f>IF(D1463="?OLD","!!!","")</f>
        <v/>
      </c>
      <c r="F1463" s="23" t="str">
        <f>IF(OR(E1463="",E1463="!!!"),"",IF(NOT(ISNA(VLOOKUP(E1463,E$1:E1462,1,FALSE()))),"OLD",IF(AND(E1463&lt;&gt;"",E1463&lt;&gt;"!!!"),"NEW","")))</f>
        <v> </v>
      </c>
      <c r="G1463" s="24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5" t="str">
        <f>IF(J1463&lt;&gt;1,"",IF(I1463="SBJ","CB","?"))</f>
        <v> </v>
      </c>
      <c r="I1463" s="26" t="str">
        <f>IF(OR(E1463="",E1463="!!!",F1463="NEW"),"",INDEX(B1462:B$2,-1+SUMPRODUCT(MAX(ROW(E1462:E$2)*(E1463=E1462:E$2)))))</f>
        <v> </v>
      </c>
      <c r="J1463" s="26" t="str">
        <f>IF(OR(E1463="",E1463="!!!",F1463="NEW"),"",COUNTBLANK(OFFSET(A$1,,,SUMPRODUCT(MAX(ROW(E$2:E1463)*(E1463=E$2:E1463)))))-COUNTBLANK(OFFSET(A$1,,,SUMPRODUCT(MAX(ROW(E$1:E1462)*(E2=E$1:E1462))))))</f>
        <v> </v>
      </c>
      <c r="K1463" s="26" t="str">
        <f>IF(OR(E1463="",E1463="!!!",F1463="NEW"),"",INDEX(J$1:J1462,SUMPRODUCT(MAX(ROW(E$1:E1462)*(E1463=E$1:E1462)))))</f>
        <v> </v>
      </c>
      <c r="L1463" s="27"/>
    </row>
    <row r="1464" spans="1:12">
      <c r="A1464" s="20" t="s">
        <v>369</v>
      </c>
      <c r="E1464" s="22">
        <f>IF(D1464="?OLD","!!!","")</f>
        <v/>
      </c>
      <c r="F1464" s="23" t="str">
        <f>IF(OR(E1464="",E1464="!!!"),"",IF(NOT(ISNA(VLOOKUP(E1464,E$1:E1463,1,FALSE()))),"OLD",IF(AND(E1464&lt;&gt;"",E1464&lt;&gt;"!!!"),"NEW","")))</f>
        <v> </v>
      </c>
      <c r="G1464" s="24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5" t="str">
        <f>IF(J1464&lt;&gt;1,"",IF(I1464="SBJ","CB","?"))</f>
        <v> </v>
      </c>
      <c r="I1464" s="26" t="str">
        <f>IF(OR(E1464="",E1464="!!!",F1464="NEW"),"",INDEX(B1463:B$2,-1+SUMPRODUCT(MAX(ROW(E1463:E$2)*(E1464=E1463:E$2)))))</f>
        <v> </v>
      </c>
      <c r="J1464" s="26" t="str">
        <f>IF(OR(E1464="",E1464="!!!",F1464="NEW"),"",COUNTBLANK(OFFSET(A$1,,,SUMPRODUCT(MAX(ROW(E$2:E1464)*(E1464=E$2:E1464)))))-COUNTBLANK(OFFSET(A$1,,,SUMPRODUCT(MAX(ROW(E$1:E1463)*(E2=E$1:E1463))))))</f>
        <v> </v>
      </c>
      <c r="K1464" s="26" t="str">
        <f>IF(OR(E1464="",E1464="!!!",F1464="NEW"),"",INDEX(J$1:J1463,SUMPRODUCT(MAX(ROW(E$1:E1463)*(E1464=E$1:E1463)))))</f>
        <v> </v>
      </c>
      <c r="L1464" s="27"/>
    </row>
    <row r="1465" spans="1:12">
      <c r="A1465" s="20" t="s">
        <v>685</v>
      </c>
      <c r="B1465" s="21" t="s">
        <v>762</v>
      </c>
      <c r="C1465" s="21" t="s">
        <v>613</v>
      </c>
      <c r="D1465" s="21" t="s">
        <v>587</v>
      </c>
      <c r="E1465" s="22">
        <f>IF(D1465="?OLD","!!!","")</f>
        <v/>
      </c>
      <c r="F1465" s="23" t="str">
        <f>IF(OR(E1465="",E1465="!!!"),"",IF(NOT(ISNA(VLOOKUP(E1465,E$1:E1464,1,FALSE()))),"OLD",IF(AND(E1465&lt;&gt;"",E1465&lt;&gt;"!!!"),"NEW","")))</f>
        <v> </v>
      </c>
      <c r="G1465" s="24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5" t="str">
        <f>IF(J1465&lt;&gt;1,"",IF(I1465="SBJ","CB","?"))</f>
        <v> </v>
      </c>
      <c r="I1465" s="26" t="str">
        <f>IF(OR(E1465="",E1465="!!!",F1465="NEW"),"",INDEX(B1464:B$2,-1+SUMPRODUCT(MAX(ROW(E1464:E$2)*(E1465=E1464:E$2)))))</f>
        <v> </v>
      </c>
      <c r="J1465" s="26" t="str">
        <f>IF(OR(E1465="",E1465="!!!",F1465="NEW"),"",COUNTBLANK(OFFSET(A$1,,,SUMPRODUCT(MAX(ROW(E$2:E1465)*(E1465=E$2:E1465)))))-COUNTBLANK(OFFSET(A$1,,,SUMPRODUCT(MAX(ROW(E$1:E1464)*(E2=E$1:E1464))))))</f>
        <v> </v>
      </c>
      <c r="K1465" s="26" t="str">
        <f>IF(OR(E1465="",E1465="!!!",F1465="NEW"),"",INDEX(J$1:J1464,SUMPRODUCT(MAX(ROW(E$1:E1464)*(E1465=E$1:E1464)))))</f>
        <v> </v>
      </c>
      <c r="L1465" s="27"/>
    </row>
    <row r="1466" spans="1:12">
      <c r="A1466" s="20" t="s">
        <v>1149</v>
      </c>
      <c r="E1466" s="22">
        <f>IF(D1466="?OLD","!!!","")</f>
        <v/>
      </c>
      <c r="F1466" s="23" t="str">
        <f>IF(OR(E1466="",E1466="!!!"),"",IF(NOT(ISNA(VLOOKUP(E1466,E$1:E1465,1,FALSE()))),"OLD",IF(AND(E1466&lt;&gt;"",E1466&lt;&gt;"!!!"),"NEW","")))</f>
        <v> </v>
      </c>
      <c r="G1466" s="24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5" t="str">
        <f>IF(J1466&lt;&gt;1,"",IF(I1466="SBJ","CB","?"))</f>
        <v> </v>
      </c>
      <c r="I1466" s="26" t="str">
        <f>IF(OR(E1466="",E1466="!!!",F1466="NEW"),"",INDEX(B1465:B$2,-1+SUMPRODUCT(MAX(ROW(E1465:E$2)*(E1466=E1465:E$2)))))</f>
        <v> </v>
      </c>
      <c r="J1466" s="26" t="str">
        <f>IF(OR(E1466="",E1466="!!!",F1466="NEW"),"",COUNTBLANK(OFFSET(A$1,,,SUMPRODUCT(MAX(ROW(E$2:E1466)*(E1466=E$2:E1466)))))-COUNTBLANK(OFFSET(A$1,,,SUMPRODUCT(MAX(ROW(E$1:E1465)*(E2=E$1:E1465))))))</f>
        <v> </v>
      </c>
      <c r="K1466" s="26" t="str">
        <f>IF(OR(E1466="",E1466="!!!",F1466="NEW"),"",INDEX(J$1:J1465,SUMPRODUCT(MAX(ROW(E$1:E1465)*(E1466=E$1:E1465)))))</f>
        <v> </v>
      </c>
      <c r="L1466" s="27"/>
    </row>
    <row r="1467" spans="1:12">
      <c r="A1467" s="20" t="s">
        <v>583</v>
      </c>
      <c r="E1467" s="22">
        <f>IF(D1467="?OLD","!!!","")</f>
        <v/>
      </c>
      <c r="F1467" s="23" t="str">
        <f>IF(OR(E1467="",E1467="!!!"),"",IF(NOT(ISNA(VLOOKUP(E1467,E$1:E1466,1,FALSE()))),"OLD",IF(AND(E1467&lt;&gt;"",E1467&lt;&gt;"!!!"),"NEW","")))</f>
        <v> </v>
      </c>
      <c r="G1467" s="24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5" t="str">
        <f>IF(J1467&lt;&gt;1,"",IF(I1467="SBJ","CB","?"))</f>
        <v> </v>
      </c>
      <c r="I1467" s="26" t="str">
        <f>IF(OR(E1467="",E1467="!!!",F1467="NEW"),"",INDEX(B1466:B$2,-1+SUMPRODUCT(MAX(ROW(E1466:E$2)*(E1467=E1466:E$2)))))</f>
        <v> </v>
      </c>
      <c r="J1467" s="26" t="str">
        <f>IF(OR(E1467="",E1467="!!!",F1467="NEW"),"",COUNTBLANK(OFFSET(A$1,,,SUMPRODUCT(MAX(ROW(E$2:E1467)*(E1467=E$2:E1467)))))-COUNTBLANK(OFFSET(A$1,,,SUMPRODUCT(MAX(ROW(E$1:E1466)*(E2=E$1:E1466))))))</f>
        <v> </v>
      </c>
      <c r="K1467" s="26" t="str">
        <f>IF(OR(E1467="",E1467="!!!",F1467="NEW"),"",INDEX(J$1:J1466,SUMPRODUCT(MAX(ROW(E$1:E1466)*(E1467=E$1:E1466)))))</f>
        <v> </v>
      </c>
      <c r="L1467" s="27"/>
    </row>
    <row r="1468" spans="1:12">
      <c r="A1468" s="20" t="s">
        <v>733</v>
      </c>
      <c r="E1468" s="22">
        <f>IF(D1468="?OLD","!!!","")</f>
        <v/>
      </c>
      <c r="F1468" s="23" t="str">
        <f>IF(OR(E1468="",E1468="!!!"),"",IF(NOT(ISNA(VLOOKUP(E1468,E$1:E1467,1,FALSE()))),"OLD",IF(AND(E1468&lt;&gt;"",E1468&lt;&gt;"!!!"),"NEW","")))</f>
        <v> </v>
      </c>
      <c r="G1468" s="24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5" t="str">
        <f>IF(J1468&lt;&gt;1,"",IF(I1468="SBJ","CB","?"))</f>
        <v> </v>
      </c>
      <c r="I1468" s="26" t="str">
        <f>IF(OR(E1468="",E1468="!!!",F1468="NEW"),"",INDEX(B1467:B$2,-1+SUMPRODUCT(MAX(ROW(E1467:E$2)*(E1468=E1467:E$2)))))</f>
        <v> </v>
      </c>
      <c r="J1468" s="26" t="str">
        <f>IF(OR(E1468="",E1468="!!!",F1468="NEW"),"",COUNTBLANK(OFFSET(A$1,,,SUMPRODUCT(MAX(ROW(E$2:E1468)*(E1468=E$2:E1468)))))-COUNTBLANK(OFFSET(A$1,,,SUMPRODUCT(MAX(ROW(E$1:E1467)*(E2=E$1:E1467))))))</f>
        <v> </v>
      </c>
      <c r="K1468" s="26" t="str">
        <f>IF(OR(E1468="",E1468="!!!",F1468="NEW"),"",INDEX(J$1:J1467,SUMPRODUCT(MAX(ROW(E$1:E1467)*(E1468=E$1:E1467)))))</f>
        <v> </v>
      </c>
      <c r="L1468" s="27"/>
    </row>
    <row r="1469" spans="1:12">
      <c r="A1469" s="20" t="s">
        <v>716</v>
      </c>
      <c r="B1469" s="21" t="s">
        <v>762</v>
      </c>
      <c r="C1469" s="21" t="s">
        <v>613</v>
      </c>
      <c r="D1469" s="21" t="s">
        <v>587</v>
      </c>
      <c r="E1469" s="22">
        <f>IF(D1469="?OLD","!!!","")</f>
        <v/>
      </c>
      <c r="F1469" s="23" t="str">
        <f>IF(OR(E1469="",E1469="!!!"),"",IF(NOT(ISNA(VLOOKUP(E1469,E$1:E1468,1,FALSE()))),"OLD",IF(AND(E1469&lt;&gt;"",E1469&lt;&gt;"!!!"),"NEW","")))</f>
        <v> </v>
      </c>
      <c r="G1469" s="24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5" t="str">
        <f>IF(J1469&lt;&gt;1,"",IF(I1469="SBJ","CB","?"))</f>
        <v> </v>
      </c>
      <c r="I1469" s="26" t="str">
        <f>IF(OR(E1469="",E1469="!!!",F1469="NEW"),"",INDEX(B1468:B$2,-1+SUMPRODUCT(MAX(ROW(E1468:E$2)*(E1469=E1468:E$2)))))</f>
        <v> </v>
      </c>
      <c r="J1469" s="26" t="str">
        <f>IF(OR(E1469="",E1469="!!!",F1469="NEW"),"",COUNTBLANK(OFFSET(A$1,,,SUMPRODUCT(MAX(ROW(E$2:E1469)*(E1469=E$2:E1469)))))-COUNTBLANK(OFFSET(A$1,,,SUMPRODUCT(MAX(ROW(E$1:E1468)*(E2=E$1:E1468))))))</f>
        <v> </v>
      </c>
      <c r="K1469" s="26" t="str">
        <f>IF(OR(E1469="",E1469="!!!",F1469="NEW"),"",INDEX(J$1:J1468,SUMPRODUCT(MAX(ROW(E$1:E1468)*(E1469=E$1:E1468)))))</f>
        <v> </v>
      </c>
      <c r="L1469" s="27"/>
    </row>
    <row r="1470" spans="1:12">
      <c r="A1470" s="20" t="s">
        <v>1321</v>
      </c>
      <c r="E1470" s="22">
        <f>IF(D1470="?OLD","!!!","")</f>
        <v/>
      </c>
      <c r="F1470" s="23" t="str">
        <f>IF(OR(E1470="",E1470="!!!"),"",IF(NOT(ISNA(VLOOKUP(E1470,E$1:E1469,1,FALSE()))),"OLD",IF(AND(E1470&lt;&gt;"",E1470&lt;&gt;"!!!"),"NEW","")))</f>
        <v> </v>
      </c>
      <c r="G1470" s="24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5" t="str">
        <f>IF(J1470&lt;&gt;1,"",IF(I1470="SBJ","CB","?"))</f>
        <v> </v>
      </c>
      <c r="I1470" s="26" t="str">
        <f>IF(OR(E1470="",E1470="!!!",F1470="NEW"),"",INDEX(B1469:B$2,-1+SUMPRODUCT(MAX(ROW(E1469:E$2)*(E1470=E1469:E$2)))))</f>
        <v> </v>
      </c>
      <c r="J1470" s="26" t="str">
        <f>IF(OR(E1470="",E1470="!!!",F1470="NEW"),"",COUNTBLANK(OFFSET(A$1,,,SUMPRODUCT(MAX(ROW(E$2:E1470)*(E1470=E$2:E1470)))))-COUNTBLANK(OFFSET(A$1,,,SUMPRODUCT(MAX(ROW(E$1:E1469)*(E2=E$1:E1469))))))</f>
        <v> </v>
      </c>
      <c r="K1470" s="26" t="str">
        <f>IF(OR(E1470="",E1470="!!!",F1470="NEW"),"",INDEX(J$1:J1469,SUMPRODUCT(MAX(ROW(E$1:E1469)*(E1470=E$1:E1469)))))</f>
        <v> </v>
      </c>
      <c r="L1470" s="27"/>
    </row>
    <row r="1471" spans="1:12">
      <c r="A1471" s="20" t="s">
        <v>1198</v>
      </c>
      <c r="B1471" s="21" t="s">
        <v>1045</v>
      </c>
      <c r="C1471" s="21" t="s">
        <v>613</v>
      </c>
      <c r="D1471" s="21" t="s">
        <v>587</v>
      </c>
      <c r="E1471" s="22">
        <f>IF(D1471="?OLD","!!!","")</f>
        <v/>
      </c>
      <c r="F1471" s="23" t="str">
        <f>IF(OR(E1471="",E1471="!!!"),"",IF(NOT(ISNA(VLOOKUP(E1471,E$1:E1470,1,FALSE()))),"OLD",IF(AND(E1471&lt;&gt;"",E1471&lt;&gt;"!!!"),"NEW","")))</f>
        <v> </v>
      </c>
      <c r="G1471" s="24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5" t="str">
        <f>IF(J1471&lt;&gt;1,"",IF(I1471="SBJ","CB","?"))</f>
        <v> </v>
      </c>
      <c r="I1471" s="26" t="str">
        <f>IF(OR(E1471="",E1471="!!!",F1471="NEW"),"",INDEX(B1470:B$2,-1+SUMPRODUCT(MAX(ROW(E1470:E$2)*(E1471=E1470:E$2)))))</f>
        <v> </v>
      </c>
      <c r="J1471" s="26" t="str">
        <f>IF(OR(E1471="",E1471="!!!",F1471="NEW"),"",COUNTBLANK(OFFSET(A$1,,,SUMPRODUCT(MAX(ROW(E$2:E1471)*(E1471=E$2:E1471)))))-COUNTBLANK(OFFSET(A$1,,,SUMPRODUCT(MAX(ROW(E$1:E1470)*(E2=E$1:E1470))))))</f>
        <v> </v>
      </c>
      <c r="K1471" s="26" t="str">
        <f>IF(OR(E1471="",E1471="!!!",F1471="NEW"),"",INDEX(J$1:J1470,SUMPRODUCT(MAX(ROW(E$1:E1470)*(E1471=E$1:E1470)))))</f>
        <v> </v>
      </c>
      <c r="L1471" s="27"/>
    </row>
    <row r="1472" spans="1:12">
      <c r="A1472" s="20" t="s">
        <v>261</v>
      </c>
      <c r="E1472" s="22">
        <f>IF(D1472="?OLD","!!!","")</f>
        <v/>
      </c>
      <c r="F1472" s="23" t="str">
        <f>IF(OR(E1472="",E1472="!!!"),"",IF(NOT(ISNA(VLOOKUP(E1472,E$1:E1471,1,FALSE()))),"OLD",IF(AND(E1472&lt;&gt;"",E1472&lt;&gt;"!!!"),"NEW","")))</f>
        <v> </v>
      </c>
      <c r="G1472" s="24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5" t="str">
        <f>IF(J1472&lt;&gt;1,"",IF(I1472="SBJ","CB","?"))</f>
        <v> </v>
      </c>
      <c r="I1472" s="26" t="str">
        <f>IF(OR(E1472="",E1472="!!!",F1472="NEW"),"",INDEX(B1471:B$2,-1+SUMPRODUCT(MAX(ROW(E1471:E$2)*(E1472=E1471:E$2)))))</f>
        <v> </v>
      </c>
      <c r="J1472" s="26" t="str">
        <f>IF(OR(E1472="",E1472="!!!",F1472="NEW"),"",COUNTBLANK(OFFSET(A$1,,,SUMPRODUCT(MAX(ROW(E$2:E1472)*(E1472=E$2:E1472)))))-COUNTBLANK(OFFSET(A$1,,,SUMPRODUCT(MAX(ROW(E$1:E1471)*(E2=E$1:E1471))))))</f>
        <v> </v>
      </c>
      <c r="K1472" s="26" t="str">
        <f>IF(OR(E1472="",E1472="!!!",F1472="NEW"),"",INDEX(J$1:J1471,SUMPRODUCT(MAX(ROW(E$1:E1471)*(E1472=E$1:E1471)))))</f>
        <v> </v>
      </c>
      <c r="L1472" s="27"/>
    </row>
    <row r="1473" spans="1:12">
      <c r="A1473" s="20" t="s">
        <v>583</v>
      </c>
      <c r="E1473" s="22">
        <f>IF(D1473="?OLD","!!!","")</f>
        <v/>
      </c>
      <c r="F1473" s="23" t="str">
        <f>IF(OR(E1473="",E1473="!!!"),"",IF(NOT(ISNA(VLOOKUP(E1473,E$1:E1472,1,FALSE()))),"OLD",IF(AND(E1473&lt;&gt;"",E1473&lt;&gt;"!!!"),"NEW","")))</f>
        <v> </v>
      </c>
      <c r="G1473" s="24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5" t="str">
        <f>IF(J1473&lt;&gt;1,"",IF(I1473="SBJ","CB","?"))</f>
        <v> </v>
      </c>
      <c r="I1473" s="26" t="str">
        <f>IF(OR(E1473="",E1473="!!!",F1473="NEW"),"",INDEX(B1472:B$2,-1+SUMPRODUCT(MAX(ROW(E1472:E$2)*(E1473=E1472:E$2)))))</f>
        <v> </v>
      </c>
      <c r="J1473" s="26" t="str">
        <f>IF(OR(E1473="",E1473="!!!",F1473="NEW"),"",COUNTBLANK(OFFSET(A$1,,,SUMPRODUCT(MAX(ROW(E$2:E1473)*(E1473=E$2:E1473)))))-COUNTBLANK(OFFSET(A$1,,,SUMPRODUCT(MAX(ROW(E$1:E1472)*(E2=E$1:E1472))))))</f>
        <v> </v>
      </c>
      <c r="K1473" s="26" t="str">
        <f>IF(OR(E1473="",E1473="!!!",F1473="NEW"),"",INDEX(J$1:J1472,SUMPRODUCT(MAX(ROW(E$1:E1472)*(E1473=E$1:E1472)))))</f>
        <v> </v>
      </c>
      <c r="L1473" s="27"/>
    </row>
    <row r="1474" spans="1:12">
      <c r="A1474" s="20" t="s">
        <v>1322</v>
      </c>
      <c r="E1474" s="22">
        <f>IF(D1474="?OLD","!!!","")</f>
        <v/>
      </c>
      <c r="F1474" s="23" t="str">
        <f>IF(OR(E1474="",E1474="!!!"),"",IF(NOT(ISNA(VLOOKUP(E1474,E$1:E1473,1,FALSE()))),"OLD",IF(AND(E1474&lt;&gt;"",E1474&lt;&gt;"!!!"),"NEW","")))</f>
        <v> </v>
      </c>
      <c r="G1474" s="24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5" t="str">
        <f>IF(J1474&lt;&gt;1,"",IF(I1474="SBJ","CB","?"))</f>
        <v> </v>
      </c>
      <c r="I1474" s="26" t="str">
        <f>IF(OR(E1474="",E1474="!!!",F1474="NEW"),"",INDEX(B1473:B$2,-1+SUMPRODUCT(MAX(ROW(E1473:E$2)*(E1474=E1473:E$2)))))</f>
        <v> </v>
      </c>
      <c r="J1474" s="26" t="str">
        <f>IF(OR(E1474="",E1474="!!!",F1474="NEW"),"",COUNTBLANK(OFFSET(A$1,,,SUMPRODUCT(MAX(ROW(E$2:E1474)*(E1474=E$2:E1474)))))-COUNTBLANK(OFFSET(A$1,,,SUMPRODUCT(MAX(ROW(E$1:E1473)*(E2=E$1:E1473))))))</f>
        <v> </v>
      </c>
      <c r="K1474" s="26" t="str">
        <f>IF(OR(E1474="",E1474="!!!",F1474="NEW"),"",INDEX(J$1:J1473,SUMPRODUCT(MAX(ROW(E$1:E1473)*(E1474=E$1:E1473)))))</f>
        <v> </v>
      </c>
      <c r="L1474" s="27"/>
    </row>
    <row r="1475" spans="1:12">
      <c r="A1475" s="20" t="s">
        <v>1323</v>
      </c>
      <c r="B1475" s="21" t="s">
        <v>695</v>
      </c>
      <c r="E1475" s="22">
        <f>IF(D1475="?OLD","!!!","")</f>
        <v/>
      </c>
      <c r="F1475" s="23" t="str">
        <f>IF(OR(E1475="",E1475="!!!"),"",IF(NOT(ISNA(VLOOKUP(E1475,E$1:E1474,1,FALSE()))),"OLD",IF(AND(E1475&lt;&gt;"",E1475&lt;&gt;"!!!"),"NEW","")))</f>
        <v> </v>
      </c>
      <c r="G1475" s="24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5" t="str">
        <f>IF(J1475&lt;&gt;1,"",IF(I1475="SBJ","CB","?"))</f>
        <v> </v>
      </c>
      <c r="I1475" s="26" t="str">
        <f>IF(OR(E1475="",E1475="!!!",F1475="NEW"),"",INDEX(B1474:B$2,-1+SUMPRODUCT(MAX(ROW(E1474:E$2)*(E1475=E1474:E$2)))))</f>
        <v> </v>
      </c>
      <c r="J1475" s="26" t="str">
        <f>IF(OR(E1475="",E1475="!!!",F1475="NEW"),"",COUNTBLANK(OFFSET(A$1,,,SUMPRODUCT(MAX(ROW(E$2:E1475)*(E1475=E$2:E1475)))))-COUNTBLANK(OFFSET(A$1,,,SUMPRODUCT(MAX(ROW(E$1:E1474)*(E2=E$1:E1474))))))</f>
        <v> </v>
      </c>
      <c r="K1475" s="26" t="str">
        <f>IF(OR(E1475="",E1475="!!!",F1475="NEW"),"",INDEX(J$1:J1474,SUMPRODUCT(MAX(ROW(E$1:E1474)*(E1475=E$1:E1474)))))</f>
        <v> </v>
      </c>
      <c r="L1475" s="27"/>
    </row>
    <row r="1476" spans="1:12">
      <c r="A1476" s="20" t="s">
        <v>583</v>
      </c>
      <c r="E1476" s="22">
        <f>IF(D1476="?OLD","!!!","")</f>
        <v/>
      </c>
      <c r="F1476" s="23" t="str">
        <f>IF(OR(E1476="",E1476="!!!"),"",IF(NOT(ISNA(VLOOKUP(E1476,E$1:E1475,1,FALSE()))),"OLD",IF(AND(E1476&lt;&gt;"",E1476&lt;&gt;"!!!"),"NEW","")))</f>
        <v> </v>
      </c>
      <c r="G1476" s="24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5" t="str">
        <f>IF(J1476&lt;&gt;1,"",IF(I1476="SBJ","CB","?"))</f>
        <v> </v>
      </c>
      <c r="I1476" s="26" t="str">
        <f>IF(OR(E1476="",E1476="!!!",F1476="NEW"),"",INDEX(B1475:B$2,-1+SUMPRODUCT(MAX(ROW(E1475:E$2)*(E1476=E1475:E$2)))))</f>
        <v> </v>
      </c>
      <c r="J1476" s="26" t="str">
        <f>IF(OR(E1476="",E1476="!!!",F1476="NEW"),"",COUNTBLANK(OFFSET(A$1,,,SUMPRODUCT(MAX(ROW(E$2:E1476)*(E1476=E$2:E1476)))))-COUNTBLANK(OFFSET(A$1,,,SUMPRODUCT(MAX(ROW(E$1:E1475)*(E2=E$1:E1475))))))</f>
        <v> </v>
      </c>
      <c r="K1476" s="26" t="str">
        <f>IF(OR(E1476="",E1476="!!!",F1476="NEW"),"",INDEX(J$1:J1475,SUMPRODUCT(MAX(ROW(E$1:E1475)*(E1476=E$1:E1475)))))</f>
        <v> </v>
      </c>
      <c r="L1476" s="27"/>
    </row>
    <row r="1477" spans="1:12">
      <c r="A1477" s="20" t="s">
        <v>1136</v>
      </c>
      <c r="E1477" s="22">
        <f>IF(D1477="?OLD","!!!","")</f>
        <v/>
      </c>
      <c r="F1477" s="23" t="str">
        <f>IF(OR(E1477="",E1477="!!!"),"",IF(NOT(ISNA(VLOOKUP(E1477,E$1:E1476,1,FALSE()))),"OLD",IF(AND(E1477&lt;&gt;"",E1477&lt;&gt;"!!!"),"NEW","")))</f>
        <v> </v>
      </c>
      <c r="G1477" s="24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5" t="str">
        <f>IF(J1477&lt;&gt;1,"",IF(I1477="SBJ","CB","?"))</f>
        <v> </v>
      </c>
      <c r="I1477" s="26" t="str">
        <f>IF(OR(E1477="",E1477="!!!",F1477="NEW"),"",INDEX(B1476:B$2,-1+SUMPRODUCT(MAX(ROW(E1476:E$2)*(E1477=E1476:E$2)))))</f>
        <v> </v>
      </c>
      <c r="J1477" s="26" t="str">
        <f>IF(OR(E1477="",E1477="!!!",F1477="NEW"),"",COUNTBLANK(OFFSET(A$1,,,SUMPRODUCT(MAX(ROW(E$2:E1477)*(E1477=E$2:E1477)))))-COUNTBLANK(OFFSET(A$1,,,SUMPRODUCT(MAX(ROW(E$1:E1476)*(E2=E$1:E1476))))))</f>
        <v> </v>
      </c>
      <c r="K1477" s="26" t="str">
        <f>IF(OR(E1477="",E1477="!!!",F1477="NEW"),"",INDEX(J$1:J1476,SUMPRODUCT(MAX(ROW(E$1:E1476)*(E1477=E$1:E1476)))))</f>
        <v> </v>
      </c>
      <c r="L1477" s="27"/>
    </row>
    <row r="1478" spans="1:12">
      <c r="A1478" s="20" t="s">
        <v>1324</v>
      </c>
      <c r="E1478" s="22">
        <f>IF(D1478="?OLD","!!!","")</f>
        <v/>
      </c>
      <c r="F1478" s="23" t="str">
        <f>IF(OR(E1478="",E1478="!!!"),"",IF(NOT(ISNA(VLOOKUP(E1478,E$1:E1477,1,FALSE()))),"OLD",IF(AND(E1478&lt;&gt;"",E1478&lt;&gt;"!!!"),"NEW","")))</f>
        <v> </v>
      </c>
      <c r="G1478" s="24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5" t="str">
        <f>IF(J1478&lt;&gt;1,"",IF(I1478="SBJ","CB","?"))</f>
        <v> </v>
      </c>
      <c r="I1478" s="26" t="str">
        <f>IF(OR(E1478="",E1478="!!!",F1478="NEW"),"",INDEX(B1477:B$2,-1+SUMPRODUCT(MAX(ROW(E1477:E$2)*(E1478=E1477:E$2)))))</f>
        <v> </v>
      </c>
      <c r="J1478" s="26" t="str">
        <f>IF(OR(E1478="",E1478="!!!",F1478="NEW"),"",COUNTBLANK(OFFSET(A$1,,,SUMPRODUCT(MAX(ROW(E$2:E1478)*(E1478=E$2:E1478)))))-COUNTBLANK(OFFSET(A$1,,,SUMPRODUCT(MAX(ROW(E$1:E1477)*(E2=E$1:E1477))))))</f>
        <v> </v>
      </c>
      <c r="K1478" s="26" t="str">
        <f>IF(OR(E1478="",E1478="!!!",F1478="NEW"),"",INDEX(J$1:J1477,SUMPRODUCT(MAX(ROW(E$1:E1477)*(E1478=E$1:E1477)))))</f>
        <v> </v>
      </c>
      <c r="L1478" s="27"/>
    </row>
    <row r="1479" spans="1:12">
      <c r="A1479" s="20" t="s">
        <v>963</v>
      </c>
      <c r="B1479" s="21" t="s">
        <v>784</v>
      </c>
      <c r="E1479" s="22">
        <f>IF(D1479="?OLD","!!!","")</f>
        <v/>
      </c>
      <c r="F1479" s="23" t="str">
        <f>IF(OR(E1479="",E1479="!!!"),"",IF(NOT(ISNA(VLOOKUP(E1479,E$1:E1478,1,FALSE()))),"OLD",IF(AND(E1479&lt;&gt;"",E1479&lt;&gt;"!!!"),"NEW","")))</f>
        <v> </v>
      </c>
      <c r="G1479" s="24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5" t="str">
        <f>IF(J1479&lt;&gt;1,"",IF(I1479="SBJ","CB","?"))</f>
        <v> </v>
      </c>
      <c r="I1479" s="26" t="str">
        <f>IF(OR(E1479="",E1479="!!!",F1479="NEW"),"",INDEX(B1478:B$2,-1+SUMPRODUCT(MAX(ROW(E1478:E$2)*(E1479=E1478:E$2)))))</f>
        <v> </v>
      </c>
      <c r="J1479" s="26" t="str">
        <f>IF(OR(E1479="",E1479="!!!",F1479="NEW"),"",COUNTBLANK(OFFSET(A$1,,,SUMPRODUCT(MAX(ROW(E$2:E1479)*(E1479=E$2:E1479)))))-COUNTBLANK(OFFSET(A$1,,,SUMPRODUCT(MAX(ROW(E$1:E1478)*(E2=E$1:E1478))))))</f>
        <v> </v>
      </c>
      <c r="K1479" s="26" t="str">
        <f>IF(OR(E1479="",E1479="!!!",F1479="NEW"),"",INDEX(J$1:J1478,SUMPRODUCT(MAX(ROW(E$1:E1478)*(E1479=E$1:E1478)))))</f>
        <v> </v>
      </c>
      <c r="L1479" s="27"/>
    </row>
    <row r="1480" spans="1:12">
      <c r="A1480" s="20" t="s">
        <v>655</v>
      </c>
      <c r="E1480" s="22">
        <f>IF(D1480="?OLD","!!!","")</f>
        <v/>
      </c>
      <c r="F1480" s="23" t="str">
        <f>IF(OR(E1480="",E1480="!!!"),"",IF(NOT(ISNA(VLOOKUP(E1480,E$1:E1479,1,FALSE()))),"OLD",IF(AND(E1480&lt;&gt;"",E1480&lt;&gt;"!!!"),"NEW","")))</f>
        <v> </v>
      </c>
      <c r="G1480" s="24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5" t="str">
        <f>IF(J1480&lt;&gt;1,"",IF(I1480="SBJ","CB","?"))</f>
        <v> </v>
      </c>
      <c r="I1480" s="26" t="str">
        <f>IF(OR(E1480="",E1480="!!!",F1480="NEW"),"",INDEX(B1479:B$2,-1+SUMPRODUCT(MAX(ROW(E1479:E$2)*(E1480=E1479:E$2)))))</f>
        <v> </v>
      </c>
      <c r="J1480" s="26" t="str">
        <f>IF(OR(E1480="",E1480="!!!",F1480="NEW"),"",COUNTBLANK(OFFSET(A$1,,,SUMPRODUCT(MAX(ROW(E$2:E1480)*(E1480=E$2:E1480)))))-COUNTBLANK(OFFSET(A$1,,,SUMPRODUCT(MAX(ROW(E$1:E1479)*(E2=E$1:E1479))))))</f>
        <v> </v>
      </c>
      <c r="K1480" s="26" t="str">
        <f>IF(OR(E1480="",E1480="!!!",F1480="NEW"),"",INDEX(J$1:J1479,SUMPRODUCT(MAX(ROW(E$1:E1479)*(E1480=E$1:E1479)))))</f>
        <v> </v>
      </c>
      <c r="L1480" s="27"/>
    </row>
    <row r="1481" spans="1:12">
      <c r="A1481" s="20" t="s">
        <v>790</v>
      </c>
      <c r="B1481" s="21" t="s">
        <v>627</v>
      </c>
      <c r="C1481" s="21" t="s">
        <v>787</v>
      </c>
      <c r="D1481" s="21" t="s">
        <v>587</v>
      </c>
      <c r="E1481" s="22">
        <f>IF(D1481="?OLD","!!!","")</f>
        <v/>
      </c>
      <c r="F1481" s="23" t="str">
        <f>IF(OR(E1481="",E1481="!!!"),"",IF(NOT(ISNA(VLOOKUP(E1481,E$1:E1480,1,FALSE()))),"OLD",IF(AND(E1481&lt;&gt;"",E1481&lt;&gt;"!!!"),"NEW","")))</f>
        <v> </v>
      </c>
      <c r="G1481" s="24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5" t="str">
        <f>IF(J1481&lt;&gt;1,"",IF(I1481="SBJ","CB","?"))</f>
        <v> </v>
      </c>
      <c r="I1481" s="26" t="str">
        <f>IF(OR(E1481="",E1481="!!!",F1481="NEW"),"",INDEX(B1480:B$2,-1+SUMPRODUCT(MAX(ROW(E1480:E$2)*(E1481=E1480:E$2)))))</f>
        <v> </v>
      </c>
      <c r="J1481" s="26" t="str">
        <f>IF(OR(E1481="",E1481="!!!",F1481="NEW"),"",COUNTBLANK(OFFSET(A$1,,,SUMPRODUCT(MAX(ROW(E$2:E1481)*(E1481=E$2:E1481)))))-COUNTBLANK(OFFSET(A$1,,,SUMPRODUCT(MAX(ROW(E$1:E1480)*(E2=E$1:E1480))))))</f>
        <v> </v>
      </c>
      <c r="K1481" s="26" t="str">
        <f>IF(OR(E1481="",E1481="!!!",F1481="NEW"),"",INDEX(J$1:J1480,SUMPRODUCT(MAX(ROW(E$1:E1480)*(E1481=E$1:E1480)))))</f>
        <v> </v>
      </c>
      <c r="L1481" s="27"/>
    </row>
    <row r="1482" spans="1:12">
      <c r="A1482" s="20" t="s">
        <v>1325</v>
      </c>
      <c r="E1482" s="22">
        <f>IF(D1482="?OLD","!!!","")</f>
        <v/>
      </c>
      <c r="F1482" s="23" t="str">
        <f>IF(OR(E1482="",E1482="!!!"),"",IF(NOT(ISNA(VLOOKUP(E1482,E$1:E1481,1,FALSE()))),"OLD",IF(AND(E1482&lt;&gt;"",E1482&lt;&gt;"!!!"),"NEW","")))</f>
        <v> </v>
      </c>
      <c r="G1482" s="24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5" t="str">
        <f>IF(J1482&lt;&gt;1,"",IF(I1482="SBJ","CB","?"))</f>
        <v> </v>
      </c>
      <c r="I1482" s="26" t="str">
        <f>IF(OR(E1482="",E1482="!!!",F1482="NEW"),"",INDEX(B1481:B$2,-1+SUMPRODUCT(MAX(ROW(E1481:E$2)*(E1482=E1481:E$2)))))</f>
        <v> </v>
      </c>
      <c r="J1482" s="26" t="str">
        <f>IF(OR(E1482="",E1482="!!!",F1482="NEW"),"",COUNTBLANK(OFFSET(A$1,,,SUMPRODUCT(MAX(ROW(E$2:E1482)*(E1482=E$2:E1482)))))-COUNTBLANK(OFFSET(A$1,,,SUMPRODUCT(MAX(ROW(E$1:E1481)*(E2=E$1:E1481))))))</f>
        <v> </v>
      </c>
      <c r="K1482" s="26" t="str">
        <f>IF(OR(E1482="",E1482="!!!",F1482="NEW"),"",INDEX(J$1:J1481,SUMPRODUCT(MAX(ROW(E$1:E1481)*(E1482=E$1:E1481)))))</f>
        <v> </v>
      </c>
      <c r="L1482" s="27"/>
    </row>
    <row r="1483" spans="1:12">
      <c r="A1483" s="20" t="s">
        <v>592</v>
      </c>
      <c r="E1483" s="22">
        <f>IF(D1483="?OLD","!!!","")</f>
        <v/>
      </c>
      <c r="F1483" s="23" t="str">
        <f>IF(OR(E1483="",E1483="!!!"),"",IF(NOT(ISNA(VLOOKUP(E1483,E$1:E1482,1,FALSE()))),"OLD",IF(AND(E1483&lt;&gt;"",E1483&lt;&gt;"!!!"),"NEW","")))</f>
        <v> </v>
      </c>
      <c r="G1483" s="24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5" t="str">
        <f>IF(J1483&lt;&gt;1,"",IF(I1483="SBJ","CB","?"))</f>
        <v> </v>
      </c>
      <c r="I1483" s="26" t="str">
        <f>IF(OR(E1483="",E1483="!!!",F1483="NEW"),"",INDEX(B1482:B$2,-1+SUMPRODUCT(MAX(ROW(E1482:E$2)*(E1483=E1482:E$2)))))</f>
        <v> </v>
      </c>
      <c r="J1483" s="26" t="str">
        <f>IF(OR(E1483="",E1483="!!!",F1483="NEW"),"",COUNTBLANK(OFFSET(A$1,,,SUMPRODUCT(MAX(ROW(E$2:E1483)*(E1483=E$2:E1483)))))-COUNTBLANK(OFFSET(A$1,,,SUMPRODUCT(MAX(ROW(E$1:E1482)*(E2=E$1:E1482))))))</f>
        <v> </v>
      </c>
      <c r="K1483" s="26" t="str">
        <f>IF(OR(E1483="",E1483="!!!",F1483="NEW"),"",INDEX(J$1:J1482,SUMPRODUCT(MAX(ROW(E$1:E1482)*(E1483=E$1:E1482)))))</f>
        <v> </v>
      </c>
      <c r="L1483" s="27"/>
    </row>
    <row r="1484" spans="1:12">
      <c r="A1484" s="20"/>
    </row>
    <row r="1485" spans="1:12">
      <c r="A1485" s="20" t="s">
        <v>1326</v>
      </c>
    </row>
    <row r="1486" spans="1:12">
      <c r="A1486" s="20" t="s">
        <v>676</v>
      </c>
      <c r="B1486" s="21" t="s">
        <v>578</v>
      </c>
      <c r="C1486" s="21" t="s">
        <v>613</v>
      </c>
      <c r="D1486" s="21" t="s">
        <v>587</v>
      </c>
      <c r="E1486" s="22">
        <f>IF(D1486="?OLD","!!!","")</f>
        <v/>
      </c>
      <c r="F1486" s="23" t="str">
        <f>IF(OR(E1486="",E1486="!!!"),"",IF(NOT(ISNA(VLOOKUP(E1486,E$1:E1485,1,FALSE()))),"OLD",IF(AND(E1486&lt;&gt;"",E1486&lt;&gt;"!!!"),"NEW","")))</f>
        <v> </v>
      </c>
      <c r="G1486" s="24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5" t="str">
        <f>IF(J1486&lt;&gt;1,"",IF(I1486="SBJ","CB","?"))</f>
        <v> </v>
      </c>
      <c r="I1486" s="26" t="str">
        <f>IF(OR(E1486="",E1486="!!!",F1486="NEW"),"",INDEX(B1485:B$2,-1+SUMPRODUCT(MAX(ROW(E1485:E$2)*(E1486=E1485:E$2)))))</f>
        <v> </v>
      </c>
      <c r="J1486" s="26" t="str">
        <f>IF(OR(E1486="",E1486="!!!",F1486="NEW"),"",COUNTBLANK(OFFSET(A$1,,,SUMPRODUCT(MAX(ROW(E$2:E1486)*(E1486=E$2:E1486)))))-COUNTBLANK(OFFSET(A$1,,,SUMPRODUCT(MAX(ROW(E$1:E1485)*(E2=E$1:E1485))))))</f>
        <v> </v>
      </c>
      <c r="K1486" s="26" t="str">
        <f>IF(OR(E1486="",E1486="!!!",F1486="NEW"),"",INDEX(J$1:J1485,SUMPRODUCT(MAX(ROW(E$1:E1485)*(E1486=E$1:E1485)))))</f>
        <v> </v>
      </c>
      <c r="L1486" s="27"/>
    </row>
    <row r="1487" spans="1:12">
      <c r="A1487" s="20" t="s">
        <v>790</v>
      </c>
      <c r="B1487" s="21" t="s">
        <v>651</v>
      </c>
      <c r="C1487" s="21" t="s">
        <v>787</v>
      </c>
      <c r="D1487" s="21" t="s">
        <v>587</v>
      </c>
      <c r="E1487" s="22">
        <f>IF(D1487="?OLD","!!!","")</f>
        <v/>
      </c>
      <c r="F1487" s="23" t="str">
        <f>IF(OR(E1487="",E1487="!!!"),"",IF(NOT(ISNA(VLOOKUP(E1487,E$1:E1486,1,FALSE()))),"OLD",IF(AND(E1487&lt;&gt;"",E1487&lt;&gt;"!!!"),"NEW","")))</f>
        <v> </v>
      </c>
      <c r="G1487" s="24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5" t="str">
        <f>IF(J1487&lt;&gt;1,"",IF(I1487="SBJ","CB","?"))</f>
        <v> </v>
      </c>
      <c r="I1487" s="26" t="str">
        <f>IF(OR(E1487="",E1487="!!!",F1487="NEW"),"",INDEX(B1486:B$2,-1+SUMPRODUCT(MAX(ROW(E1486:E$2)*(E1487=E1486:E$2)))))</f>
        <v> </v>
      </c>
      <c r="J1487" s="26" t="str">
        <f>IF(OR(E1487="",E1487="!!!",F1487="NEW"),"",COUNTBLANK(OFFSET(A$1,,,SUMPRODUCT(MAX(ROW(E$2:E1487)*(E1487=E$2:E1487)))))-COUNTBLANK(OFFSET(A$1,,,SUMPRODUCT(MAX(ROW(E$1:E1486)*(E2=E$1:E1486))))))</f>
        <v> </v>
      </c>
      <c r="K1487" s="26" t="str">
        <f>IF(OR(E1487="",E1487="!!!",F1487="NEW"),"",INDEX(J$1:J1486,SUMPRODUCT(MAX(ROW(E$1:E1486)*(E1487=E$1:E1486)))))</f>
        <v> </v>
      </c>
      <c r="L1487" s="27"/>
    </row>
    <row r="1488" spans="1:12">
      <c r="A1488" s="20" t="s">
        <v>1327</v>
      </c>
      <c r="E1488" s="22">
        <f>IF(D1488="?OLD","!!!","")</f>
        <v/>
      </c>
      <c r="F1488" s="23" t="str">
        <f>IF(OR(E1488="",E1488="!!!"),"",IF(NOT(ISNA(VLOOKUP(E1488,E$1:E1487,1,FALSE()))),"OLD",IF(AND(E1488&lt;&gt;"",E1488&lt;&gt;"!!!"),"NEW","")))</f>
        <v> </v>
      </c>
      <c r="G1488" s="24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5" t="str">
        <f>IF(J1488&lt;&gt;1,"",IF(I1488="SBJ","CB","?"))</f>
        <v> </v>
      </c>
      <c r="I1488" s="26" t="str">
        <f>IF(OR(E1488="",E1488="!!!",F1488="NEW"),"",INDEX(B1487:B$2,-1+SUMPRODUCT(MAX(ROW(E1487:E$2)*(E1488=E1487:E$2)))))</f>
        <v> </v>
      </c>
      <c r="J1488" s="26" t="str">
        <f>IF(OR(E1488="",E1488="!!!",F1488="NEW"),"",COUNTBLANK(OFFSET(A$1,,,SUMPRODUCT(MAX(ROW(E$2:E1488)*(E1488=E$2:E1488)))))-COUNTBLANK(OFFSET(A$1,,,SUMPRODUCT(MAX(ROW(E$1:E1487)*(E2=E$1:E1487))))))</f>
        <v> </v>
      </c>
      <c r="K1488" s="26" t="str">
        <f>IF(OR(E1488="",E1488="!!!",F1488="NEW"),"",INDEX(J$1:J1487,SUMPRODUCT(MAX(ROW(E$1:E1487)*(E1488=E$1:E1487)))))</f>
        <v> </v>
      </c>
      <c r="L1488" s="27"/>
    </row>
    <row r="1489" spans="1:12">
      <c r="A1489" s="20" t="s">
        <v>592</v>
      </c>
      <c r="E1489" s="22">
        <f>IF(D1489="?OLD","!!!","")</f>
        <v/>
      </c>
      <c r="F1489" s="23" t="str">
        <f>IF(OR(E1489="",E1489="!!!"),"",IF(NOT(ISNA(VLOOKUP(E1489,E$1:E1488,1,FALSE()))),"OLD",IF(AND(E1489&lt;&gt;"",E1489&lt;&gt;"!!!"),"NEW","")))</f>
        <v> </v>
      </c>
      <c r="G1489" s="24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5" t="str">
        <f>IF(J1489&lt;&gt;1,"",IF(I1489="SBJ","CB","?"))</f>
        <v> </v>
      </c>
      <c r="I1489" s="26" t="str">
        <f>IF(OR(E1489="",E1489="!!!",F1489="NEW"),"",INDEX(B1488:B$2,-1+SUMPRODUCT(MAX(ROW(E1488:E$2)*(E1489=E1488:E$2)))))</f>
        <v> </v>
      </c>
      <c r="J1489" s="26" t="str">
        <f>IF(OR(E1489="",E1489="!!!",F1489="NEW"),"",COUNTBLANK(OFFSET(A$1,,,SUMPRODUCT(MAX(ROW(E$2:E1489)*(E1489=E$2:E1489)))))-COUNTBLANK(OFFSET(A$1,,,SUMPRODUCT(MAX(ROW(E$1:E1488)*(E2=E$1:E1488))))))</f>
        <v> </v>
      </c>
      <c r="K1489" s="26" t="str">
        <f>IF(OR(E1489="",E1489="!!!",F1489="NEW"),"",INDEX(J$1:J1488,SUMPRODUCT(MAX(ROW(E$1:E1488)*(E1489=E$1:E1488)))))</f>
        <v> </v>
      </c>
      <c r="L1489" s="27"/>
    </row>
    <row r="1490" spans="1:12">
      <c r="A1490" s="20"/>
    </row>
    <row r="1491" spans="1:12">
      <c r="A1491" s="20" t="s">
        <v>1328</v>
      </c>
    </row>
    <row r="1492" spans="1:12">
      <c r="A1492" s="20" t="s">
        <v>676</v>
      </c>
      <c r="B1492" s="21" t="s">
        <v>578</v>
      </c>
      <c r="C1492" s="21" t="s">
        <v>613</v>
      </c>
      <c r="D1492" s="21" t="s">
        <v>587</v>
      </c>
      <c r="E1492" s="22">
        <f>IF(D1492="?OLD","!!!","")</f>
        <v/>
      </c>
      <c r="F1492" s="23" t="str">
        <f>IF(OR(E1492="",E1492="!!!"),"",IF(NOT(ISNA(VLOOKUP(E1492,E$1:E1491,1,FALSE()))),"OLD",IF(AND(E1492&lt;&gt;"",E1492&lt;&gt;"!!!"),"NEW","")))</f>
        <v> </v>
      </c>
      <c r="G1492" s="24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5" t="str">
        <f>IF(J1492&lt;&gt;1,"",IF(I1492="SBJ","CB","?"))</f>
        <v> </v>
      </c>
      <c r="I1492" s="26" t="str">
        <f>IF(OR(E1492="",E1492="!!!",F1492="NEW"),"",INDEX(B1491:B$2,-1+SUMPRODUCT(MAX(ROW(E1491:E$2)*(E1492=E1491:E$2)))))</f>
        <v> </v>
      </c>
      <c r="J1492" s="26" t="str">
        <f>IF(OR(E1492="",E1492="!!!",F1492="NEW"),"",COUNTBLANK(OFFSET(A$1,,,SUMPRODUCT(MAX(ROW(E$2:E1492)*(E1492=E$2:E1492)))))-COUNTBLANK(OFFSET(A$1,,,SUMPRODUCT(MAX(ROW(E$1:E1491)*(E2=E$1:E1491))))))</f>
        <v> </v>
      </c>
      <c r="K1492" s="26" t="str">
        <f>IF(OR(E1492="",E1492="!!!",F1492="NEW"),"",INDEX(J$1:J1491,SUMPRODUCT(MAX(ROW(E$1:E1491)*(E1492=E$1:E1491)))))</f>
        <v> </v>
      </c>
      <c r="L1492" s="27"/>
    </row>
    <row r="1493" spans="1:12">
      <c r="A1493" s="20" t="s">
        <v>307</v>
      </c>
      <c r="E1493" s="22">
        <f>IF(D1493="?OLD","!!!","")</f>
        <v/>
      </c>
      <c r="F1493" s="23" t="str">
        <f>IF(OR(E1493="",E1493="!!!"),"",IF(NOT(ISNA(VLOOKUP(E1493,E$1:E1492,1,FALSE()))),"OLD",IF(AND(E1493&lt;&gt;"",E1493&lt;&gt;"!!!"),"NEW","")))</f>
        <v> </v>
      </c>
      <c r="G1493" s="24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5" t="str">
        <f>IF(J1493&lt;&gt;1,"",IF(I1493="SBJ","CB","?"))</f>
        <v> </v>
      </c>
      <c r="I1493" s="26" t="str">
        <f>IF(OR(E1493="",E1493="!!!",F1493="NEW"),"",INDEX(B1492:B$2,-1+SUMPRODUCT(MAX(ROW(E1492:E$2)*(E1493=E1492:E$2)))))</f>
        <v> </v>
      </c>
      <c r="J1493" s="26" t="str">
        <f>IF(OR(E1493="",E1493="!!!",F1493="NEW"),"",COUNTBLANK(OFFSET(A$1,,,SUMPRODUCT(MAX(ROW(E$2:E1493)*(E1493=E$2:E1493)))))-COUNTBLANK(OFFSET(A$1,,,SUMPRODUCT(MAX(ROW(E$1:E1492)*(E2=E$1:E1492))))))</f>
        <v> </v>
      </c>
      <c r="K1493" s="26" t="str">
        <f>IF(OR(E1493="",E1493="!!!",F1493="NEW"),"",INDEX(J$1:J1492,SUMPRODUCT(MAX(ROW(E$1:E1492)*(E1493=E$1:E1492)))))</f>
        <v> </v>
      </c>
      <c r="L1493" s="27"/>
    </row>
    <row r="1494" spans="1:12">
      <c r="A1494" s="20" t="s">
        <v>1329</v>
      </c>
      <c r="E1494" s="22">
        <f>IF(D1494="?OLD","!!!","")</f>
        <v/>
      </c>
      <c r="F1494" s="23" t="str">
        <f>IF(OR(E1494="",E1494="!!!"),"",IF(NOT(ISNA(VLOOKUP(E1494,E$1:E1493,1,FALSE()))),"OLD",IF(AND(E1494&lt;&gt;"",E1494&lt;&gt;"!!!"),"NEW","")))</f>
        <v> </v>
      </c>
      <c r="G1494" s="24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5" t="str">
        <f>IF(J1494&lt;&gt;1,"",IF(I1494="SBJ","CB","?"))</f>
        <v> </v>
      </c>
      <c r="I1494" s="26" t="str">
        <f>IF(OR(E1494="",E1494="!!!",F1494="NEW"),"",INDEX(B1493:B$2,-1+SUMPRODUCT(MAX(ROW(E1493:E$2)*(E1494=E1493:E$2)))))</f>
        <v> </v>
      </c>
      <c r="J1494" s="26" t="str">
        <f>IF(OR(E1494="",E1494="!!!",F1494="NEW"),"",COUNTBLANK(OFFSET(A$1,,,SUMPRODUCT(MAX(ROW(E$2:E1494)*(E1494=E$2:E1494)))))-COUNTBLANK(OFFSET(A$1,,,SUMPRODUCT(MAX(ROW(E$1:E1493)*(E2=E$1:E1493))))))</f>
        <v> </v>
      </c>
      <c r="K1494" s="26" t="str">
        <f>IF(OR(E1494="",E1494="!!!",F1494="NEW"),"",INDEX(J$1:J1493,SUMPRODUCT(MAX(ROW(E$1:E1493)*(E1494=E$1:E1493)))))</f>
        <v> </v>
      </c>
      <c r="L1494" s="27"/>
    </row>
    <row r="1495" spans="1:12">
      <c r="A1495" s="20" t="s">
        <v>592</v>
      </c>
      <c r="E1495" s="22">
        <f>IF(D1495="?OLD","!!!","")</f>
        <v/>
      </c>
      <c r="F1495" s="23" t="str">
        <f>IF(OR(E1495="",E1495="!!!"),"",IF(NOT(ISNA(VLOOKUP(E1495,E$1:E1494,1,FALSE()))),"OLD",IF(AND(E1495&lt;&gt;"",E1495&lt;&gt;"!!!"),"NEW","")))</f>
        <v> </v>
      </c>
      <c r="G1495" s="24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5" t="str">
        <f>IF(J1495&lt;&gt;1,"",IF(I1495="SBJ","CB","?"))</f>
        <v> </v>
      </c>
      <c r="I1495" s="26" t="str">
        <f>IF(OR(E1495="",E1495="!!!",F1495="NEW"),"",INDEX(B1494:B$2,-1+SUMPRODUCT(MAX(ROW(E1494:E$2)*(E1495=E1494:E$2)))))</f>
        <v> </v>
      </c>
      <c r="J1495" s="26" t="str">
        <f>IF(OR(E1495="",E1495="!!!",F1495="NEW"),"",COUNTBLANK(OFFSET(A$1,,,SUMPRODUCT(MAX(ROW(E$2:E1495)*(E1495=E$2:E1495)))))-COUNTBLANK(OFFSET(A$1,,,SUMPRODUCT(MAX(ROW(E$1:E1494)*(E2=E$1:E1494))))))</f>
        <v> </v>
      </c>
      <c r="K1495" s="26" t="str">
        <f>IF(OR(E1495="",E1495="!!!",F1495="NEW"),"",INDEX(J$1:J1494,SUMPRODUCT(MAX(ROW(E$1:E1494)*(E1495=E$1:E1494)))))</f>
        <v> </v>
      </c>
      <c r="L1495" s="27"/>
    </row>
    <row r="1496" spans="1:12">
      <c r="A1496" s="20"/>
    </row>
    <row r="1497" spans="1:12">
      <c r="A1497" s="20" t="s">
        <v>1330</v>
      </c>
    </row>
    <row r="1498" spans="1:12">
      <c r="A1498" s="20" t="s">
        <v>1132</v>
      </c>
      <c r="B1498" s="21" t="s">
        <v>615</v>
      </c>
      <c r="C1498" s="21" t="s">
        <v>613</v>
      </c>
      <c r="D1498" s="21" t="s">
        <v>587</v>
      </c>
      <c r="E1498" s="22">
        <f>IF(D1498="?OLD","!!!","")</f>
        <v/>
      </c>
      <c r="F1498" s="23" t="str">
        <f>IF(OR(E1498="",E1498="!!!"),"",IF(NOT(ISNA(VLOOKUP(E1498,E$1:E1497,1,FALSE()))),"OLD",IF(AND(E1498&lt;&gt;"",E1498&lt;&gt;"!!!"),"NEW","")))</f>
        <v> </v>
      </c>
      <c r="G1498" s="24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5" t="str">
        <f>IF(J1498&lt;&gt;1,"",IF(I1498="SBJ","CB","?"))</f>
        <v> </v>
      </c>
      <c r="I1498" s="26" t="str">
        <f>IF(OR(E1498="",E1498="!!!",F1498="NEW"),"",INDEX(B1497:B$2,-1+SUMPRODUCT(MAX(ROW(E1497:E$2)*(E1498=E1497:E$2)))))</f>
        <v> </v>
      </c>
      <c r="J1498" s="26" t="str">
        <f>IF(OR(E1498="",E1498="!!!",F1498="NEW"),"",COUNTBLANK(OFFSET(A$1,,,SUMPRODUCT(MAX(ROW(E$2:E1498)*(E1498=E$2:E1498)))))-COUNTBLANK(OFFSET(A$1,,,SUMPRODUCT(MAX(ROW(E$1:E1497)*(E2=E$1:E1497))))))</f>
        <v> </v>
      </c>
      <c r="K1498" s="26" t="str">
        <f>IF(OR(E1498="",E1498="!!!",F1498="NEW"),"",INDEX(J$1:J1497,SUMPRODUCT(MAX(ROW(E$1:E1497)*(E1498=E$1:E1497)))))</f>
        <v> </v>
      </c>
      <c r="L1498" s="27"/>
    </row>
    <row r="1499" spans="1:12">
      <c r="A1499" s="20" t="s">
        <v>1331</v>
      </c>
      <c r="E1499" s="22">
        <f>IF(D1499="?OLD","!!!","")</f>
        <v/>
      </c>
      <c r="F1499" s="23" t="str">
        <f>IF(OR(E1499="",E1499="!!!"),"",IF(NOT(ISNA(VLOOKUP(E1499,E$1:E1498,1,FALSE()))),"OLD",IF(AND(E1499&lt;&gt;"",E1499&lt;&gt;"!!!"),"NEW","")))</f>
        <v> </v>
      </c>
      <c r="G1499" s="24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5" t="str">
        <f>IF(J1499&lt;&gt;1,"",IF(I1499="SBJ","CB","?"))</f>
        <v> </v>
      </c>
      <c r="I1499" s="26" t="str">
        <f>IF(OR(E1499="",E1499="!!!",F1499="NEW"),"",INDEX(B1498:B$2,-1+SUMPRODUCT(MAX(ROW(E1498:E$2)*(E1499=E1498:E$2)))))</f>
        <v> </v>
      </c>
      <c r="J1499" s="26" t="str">
        <f>IF(OR(E1499="",E1499="!!!",F1499="NEW"),"",COUNTBLANK(OFFSET(A$1,,,SUMPRODUCT(MAX(ROW(E$2:E1499)*(E1499=E$2:E1499)))))-COUNTBLANK(OFFSET(A$1,,,SUMPRODUCT(MAX(ROW(E$1:E1498)*(E2=E$1:E1498))))))</f>
        <v> </v>
      </c>
      <c r="K1499" s="26" t="str">
        <f>IF(OR(E1499="",E1499="!!!",F1499="NEW"),"",INDEX(J$1:J1498,SUMPRODUCT(MAX(ROW(E$1:E1498)*(E1499=E$1:E1498)))))</f>
        <v> </v>
      </c>
      <c r="L1499" s="27"/>
    </row>
    <row r="1500" spans="1:12">
      <c r="A1500" s="20" t="s">
        <v>592</v>
      </c>
      <c r="E1500" s="22">
        <f>IF(D1500="?OLD","!!!","")</f>
        <v/>
      </c>
      <c r="F1500" s="23" t="str">
        <f>IF(OR(E1500="",E1500="!!!"),"",IF(NOT(ISNA(VLOOKUP(E1500,E$1:E1499,1,FALSE()))),"OLD",IF(AND(E1500&lt;&gt;"",E1500&lt;&gt;"!!!"),"NEW","")))</f>
        <v> </v>
      </c>
      <c r="G1500" s="24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5" t="str">
        <f>IF(J1500&lt;&gt;1,"",IF(I1500="SBJ","CB","?"))</f>
        <v> </v>
      </c>
      <c r="I1500" s="26" t="str">
        <f>IF(OR(E1500="",E1500="!!!",F1500="NEW"),"",INDEX(B1499:B$2,-1+SUMPRODUCT(MAX(ROW(E1499:E$2)*(E1500=E1499:E$2)))))</f>
        <v> </v>
      </c>
      <c r="J1500" s="26" t="str">
        <f>IF(OR(E1500="",E1500="!!!",F1500="NEW"),"",COUNTBLANK(OFFSET(A$1,,,SUMPRODUCT(MAX(ROW(E$2:E1500)*(E1500=E$2:E1500)))))-COUNTBLANK(OFFSET(A$1,,,SUMPRODUCT(MAX(ROW(E$1:E1499)*(E2=E$1:E1499))))))</f>
        <v> </v>
      </c>
      <c r="K1500" s="26" t="str">
        <f>IF(OR(E1500="",E1500="!!!",F1500="NEW"),"",INDEX(J$1:J1499,SUMPRODUCT(MAX(ROW(E$1:E1499)*(E1500=E$1:E1499)))))</f>
        <v> </v>
      </c>
      <c r="L1500" s="27"/>
    </row>
    <row r="1501" spans="1:12">
      <c r="A1501" s="20"/>
    </row>
    <row r="1502" spans="1:12">
      <c r="A1502" s="20" t="s">
        <v>1332</v>
      </c>
    </row>
    <row r="1503" spans="1:12">
      <c r="A1503" s="20" t="s">
        <v>1333</v>
      </c>
      <c r="B1503" s="21" t="s">
        <v>578</v>
      </c>
      <c r="E1503" s="22">
        <f>IF(D1503="?OLD","!!!","")</f>
        <v/>
      </c>
      <c r="F1503" s="23" t="str">
        <f>IF(OR(E1503="",E1503="!!!"),"",IF(NOT(ISNA(VLOOKUP(E1503,E$1:E1502,1,FALSE()))),"OLD",IF(AND(E1503&lt;&gt;"",E1503&lt;&gt;"!!!"),"NEW","")))</f>
        <v> </v>
      </c>
      <c r="G1503" s="24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5" t="str">
        <f>IF(J1503&lt;&gt;1,"",IF(I1503="SBJ","CB","?"))</f>
        <v> </v>
      </c>
      <c r="I1503" s="26" t="str">
        <f>IF(OR(E1503="",E1503="!!!",F1503="NEW"),"",INDEX(B1502:B$2,-1+SUMPRODUCT(MAX(ROW(E1502:E$2)*(E1503=E1502:E$2)))))</f>
        <v> </v>
      </c>
      <c r="J1503" s="26" t="str">
        <f>IF(OR(E1503="",E1503="!!!",F1503="NEW"),"",COUNTBLANK(OFFSET(A$1,,,SUMPRODUCT(MAX(ROW(E$2:E1503)*(E1503=E$2:E1503)))))-COUNTBLANK(OFFSET(A$1,,,SUMPRODUCT(MAX(ROW(E$1:E1502)*(E2=E$1:E1502))))))</f>
        <v> </v>
      </c>
      <c r="K1503" s="26" t="str">
        <f>IF(OR(E1503="",E1503="!!!",F1503="NEW"),"",INDEX(J$1:J1502,SUMPRODUCT(MAX(ROW(E$1:E1502)*(E1503=E$1:E1502)))))</f>
        <v> </v>
      </c>
      <c r="L1503" s="27"/>
    </row>
    <row r="1504" spans="1:12">
      <c r="A1504" s="20" t="s">
        <v>1334</v>
      </c>
      <c r="B1504" s="21" t="s">
        <v>585</v>
      </c>
      <c r="C1504" s="21" t="s">
        <v>628</v>
      </c>
      <c r="D1504" s="21" t="s">
        <v>587</v>
      </c>
      <c r="E1504" s="22">
        <f>IF(D1504="?OLD","!!!","")</f>
        <v/>
      </c>
      <c r="F1504" s="23" t="str">
        <f>IF(OR(E1504="",E1504="!!!"),"",IF(NOT(ISNA(VLOOKUP(E1504,E$1:E1503,1,FALSE()))),"OLD",IF(AND(E1504&lt;&gt;"",E1504&lt;&gt;"!!!"),"NEW","")))</f>
        <v> </v>
      </c>
      <c r="G1504" s="24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5" t="str">
        <f>IF(J1504&lt;&gt;1,"",IF(I1504="SBJ","CB","?"))</f>
        <v> </v>
      </c>
      <c r="I1504" s="26" t="str">
        <f>IF(OR(E1504="",E1504="!!!",F1504="NEW"),"",INDEX(B1503:B$2,-1+SUMPRODUCT(MAX(ROW(E1503:E$2)*(E1504=E1503:E$2)))))</f>
        <v> </v>
      </c>
      <c r="J1504" s="26" t="str">
        <f>IF(OR(E1504="",E1504="!!!",F1504="NEW"),"",COUNTBLANK(OFFSET(A$1,,,SUMPRODUCT(MAX(ROW(E$2:E1504)*(E1504=E$2:E1504)))))-COUNTBLANK(OFFSET(A$1,,,SUMPRODUCT(MAX(ROW(E$1:E1503)*(E2=E$1:E1503))))))</f>
        <v> </v>
      </c>
      <c r="K1504" s="26" t="str">
        <f>IF(OR(E1504="",E1504="!!!",F1504="NEW"),"",INDEX(J$1:J1503,SUMPRODUCT(MAX(ROW(E$1:E1503)*(E1504=E$1:E1503)))))</f>
        <v> </v>
      </c>
      <c r="L1504" s="27"/>
    </row>
    <row r="1505" spans="1:12">
      <c r="A1505" s="20" t="s">
        <v>1335</v>
      </c>
      <c r="E1505" s="22">
        <f>IF(D1505="?OLD","!!!","")</f>
        <v/>
      </c>
      <c r="F1505" s="23" t="str">
        <f>IF(OR(E1505="",E1505="!!!"),"",IF(NOT(ISNA(VLOOKUP(E1505,E$1:E1504,1,FALSE()))),"OLD",IF(AND(E1505&lt;&gt;"",E1505&lt;&gt;"!!!"),"NEW","")))</f>
        <v> </v>
      </c>
      <c r="G1505" s="24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5" t="str">
        <f>IF(J1505&lt;&gt;1,"",IF(I1505="SBJ","CB","?"))</f>
        <v> </v>
      </c>
      <c r="I1505" s="26" t="str">
        <f>IF(OR(E1505="",E1505="!!!",F1505="NEW"),"",INDEX(B1504:B$2,-1+SUMPRODUCT(MAX(ROW(E1504:E$2)*(E1505=E1504:E$2)))))</f>
        <v> </v>
      </c>
      <c r="J1505" s="26" t="str">
        <f>IF(OR(E1505="",E1505="!!!",F1505="NEW"),"",COUNTBLANK(OFFSET(A$1,,,SUMPRODUCT(MAX(ROW(E$2:E1505)*(E1505=E$2:E1505)))))-COUNTBLANK(OFFSET(A$1,,,SUMPRODUCT(MAX(ROW(E$1:E1504)*(E2=E$1:E1504))))))</f>
        <v> </v>
      </c>
      <c r="K1505" s="26" t="str">
        <f>IF(OR(E1505="",E1505="!!!",F1505="NEW"),"",INDEX(J$1:J1504,SUMPRODUCT(MAX(ROW(E$1:E1504)*(E1505=E$1:E1504)))))</f>
        <v> </v>
      </c>
      <c r="L1505" s="27"/>
    </row>
    <row r="1506" spans="1:12">
      <c r="A1506" s="20" t="s">
        <v>1336</v>
      </c>
      <c r="E1506" s="22">
        <f>IF(D1506="?OLD","!!!","")</f>
        <v/>
      </c>
      <c r="F1506" s="23" t="str">
        <f>IF(OR(E1506="",E1506="!!!"),"",IF(NOT(ISNA(VLOOKUP(E1506,E$1:E1505,1,FALSE()))),"OLD",IF(AND(E1506&lt;&gt;"",E1506&lt;&gt;"!!!"),"NEW","")))</f>
        <v> </v>
      </c>
      <c r="G1506" s="24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5" t="str">
        <f>IF(J1506&lt;&gt;1,"",IF(I1506="SBJ","CB","?"))</f>
        <v> </v>
      </c>
      <c r="I1506" s="26" t="str">
        <f>IF(OR(E1506="",E1506="!!!",F1506="NEW"),"",INDEX(B1505:B$2,-1+SUMPRODUCT(MAX(ROW(E1505:E$2)*(E1506=E1505:E$2)))))</f>
        <v> </v>
      </c>
      <c r="J1506" s="26" t="str">
        <f>IF(OR(E1506="",E1506="!!!",F1506="NEW"),"",COUNTBLANK(OFFSET(A$1,,,SUMPRODUCT(MAX(ROW(E$2:E1506)*(E1506=E$2:E1506)))))-COUNTBLANK(OFFSET(A$1,,,SUMPRODUCT(MAX(ROW(E$1:E1505)*(E2=E$1:E1505))))))</f>
        <v> </v>
      </c>
      <c r="K1506" s="26" t="str">
        <f>IF(OR(E1506="",E1506="!!!",F1506="NEW"),"",INDEX(J$1:J1505,SUMPRODUCT(MAX(ROW(E$1:E1505)*(E1506=E$1:E1505)))))</f>
        <v> </v>
      </c>
      <c r="L1506" s="27"/>
    </row>
    <row r="1507" spans="1:12">
      <c r="A1507" s="20" t="s">
        <v>873</v>
      </c>
      <c r="E1507" s="22">
        <f>IF(D1507="?OLD","!!!","")</f>
        <v/>
      </c>
      <c r="F1507" s="23" t="str">
        <f>IF(OR(E1507="",E1507="!!!"),"",IF(NOT(ISNA(VLOOKUP(E1507,E$1:E1506,1,FALSE()))),"OLD",IF(AND(E1507&lt;&gt;"",E1507&lt;&gt;"!!!"),"NEW","")))</f>
        <v> </v>
      </c>
      <c r="G1507" s="24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5" t="str">
        <f>IF(J1507&lt;&gt;1,"",IF(I1507="SBJ","CB","?"))</f>
        <v> </v>
      </c>
      <c r="I1507" s="26" t="str">
        <f>IF(OR(E1507="",E1507="!!!",F1507="NEW"),"",INDEX(B1506:B$2,-1+SUMPRODUCT(MAX(ROW(E1506:E$2)*(E1507=E1506:E$2)))))</f>
        <v> </v>
      </c>
      <c r="J1507" s="26" t="str">
        <f>IF(OR(E1507="",E1507="!!!",F1507="NEW"),"",COUNTBLANK(OFFSET(A$1,,,SUMPRODUCT(MAX(ROW(E$2:E1507)*(E1507=E$2:E1507)))))-COUNTBLANK(OFFSET(A$1,,,SUMPRODUCT(MAX(ROW(E$1:E1506)*(E2=E$1:E1506))))))</f>
        <v> </v>
      </c>
      <c r="K1507" s="26" t="str">
        <f>IF(OR(E1507="",E1507="!!!",F1507="NEW"),"",INDEX(J$1:J1506,SUMPRODUCT(MAX(ROW(E$1:E1506)*(E1507=E$1:E1506)))))</f>
        <v> </v>
      </c>
      <c r="L1507" s="27"/>
    </row>
    <row r="1508" spans="1:12">
      <c r="A1508" s="20" t="s">
        <v>1337</v>
      </c>
      <c r="E1508" s="22">
        <f>IF(D1508="?OLD","!!!","")</f>
        <v/>
      </c>
      <c r="F1508" s="23" t="str">
        <f>IF(OR(E1508="",E1508="!!!"),"",IF(NOT(ISNA(VLOOKUP(E1508,E$1:E1507,1,FALSE()))),"OLD",IF(AND(E1508&lt;&gt;"",E1508&lt;&gt;"!!!"),"NEW","")))</f>
        <v> </v>
      </c>
      <c r="G1508" s="24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5" t="str">
        <f>IF(J1508&lt;&gt;1,"",IF(I1508="SBJ","CB","?"))</f>
        <v> </v>
      </c>
      <c r="I1508" s="26" t="str">
        <f>IF(OR(E1508="",E1508="!!!",F1508="NEW"),"",INDEX(B1507:B$2,-1+SUMPRODUCT(MAX(ROW(E1507:E$2)*(E1508=E1507:E$2)))))</f>
        <v> </v>
      </c>
      <c r="J1508" s="26" t="str">
        <f>IF(OR(E1508="",E1508="!!!",F1508="NEW"),"",COUNTBLANK(OFFSET(A$1,,,SUMPRODUCT(MAX(ROW(E$2:E1508)*(E1508=E$2:E1508)))))-COUNTBLANK(OFFSET(A$1,,,SUMPRODUCT(MAX(ROW(E$1:E1507)*(E2=E$1:E1507))))))</f>
        <v> </v>
      </c>
      <c r="K1508" s="26" t="str">
        <f>IF(OR(E1508="",E1508="!!!",F1508="NEW"),"",INDEX(J$1:J1507,SUMPRODUCT(MAX(ROW(E$1:E1507)*(E1508=E$1:E1507)))))</f>
        <v> </v>
      </c>
      <c r="L1508" s="27"/>
    </row>
    <row r="1509" spans="1:12">
      <c r="A1509" s="20" t="s">
        <v>630</v>
      </c>
      <c r="E1509" s="22">
        <f>IF(D1509="?OLD","!!!","")</f>
        <v/>
      </c>
      <c r="F1509" s="23" t="str">
        <f>IF(OR(E1509="",E1509="!!!"),"",IF(NOT(ISNA(VLOOKUP(E1509,E$1:E1508,1,FALSE()))),"OLD",IF(AND(E1509&lt;&gt;"",E1509&lt;&gt;"!!!"),"NEW","")))</f>
        <v> </v>
      </c>
      <c r="G1509" s="24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5" t="str">
        <f>IF(J1509&lt;&gt;1,"",IF(I1509="SBJ","CB","?"))</f>
        <v> </v>
      </c>
      <c r="I1509" s="26" t="str">
        <f>IF(OR(E1509="",E1509="!!!",F1509="NEW"),"",INDEX(B1508:B$2,-1+SUMPRODUCT(MAX(ROW(E1508:E$2)*(E1509=E1508:E$2)))))</f>
        <v> </v>
      </c>
      <c r="J1509" s="26" t="str">
        <f>IF(OR(E1509="",E1509="!!!",F1509="NEW"),"",COUNTBLANK(OFFSET(A$1,,,SUMPRODUCT(MAX(ROW(E$2:E1509)*(E1509=E$2:E1509)))))-COUNTBLANK(OFFSET(A$1,,,SUMPRODUCT(MAX(ROW(E$1:E1508)*(E2=E$1:E1508))))))</f>
        <v> </v>
      </c>
      <c r="K1509" s="26" t="str">
        <f>IF(OR(E1509="",E1509="!!!",F1509="NEW"),"",INDEX(J$1:J1508,SUMPRODUCT(MAX(ROW(E$1:E1508)*(E1509=E$1:E1508)))))</f>
        <v> </v>
      </c>
      <c r="L1509" s="27"/>
    </row>
    <row r="1510" spans="1:12">
      <c r="A1510" s="20" t="s">
        <v>1338</v>
      </c>
      <c r="E1510" s="22">
        <f>IF(D1510="?OLD","!!!","")</f>
        <v/>
      </c>
      <c r="F1510" s="23" t="str">
        <f>IF(OR(E1510="",E1510="!!!"),"",IF(NOT(ISNA(VLOOKUP(E1510,E$1:E1509,1,FALSE()))),"OLD",IF(AND(E1510&lt;&gt;"",E1510&lt;&gt;"!!!"),"NEW","")))</f>
        <v> </v>
      </c>
      <c r="G1510" s="24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5" t="str">
        <f>IF(J1510&lt;&gt;1,"",IF(I1510="SBJ","CB","?"))</f>
        <v> </v>
      </c>
      <c r="I1510" s="26" t="str">
        <f>IF(OR(E1510="",E1510="!!!",F1510="NEW"),"",INDEX(B1509:B$2,-1+SUMPRODUCT(MAX(ROW(E1509:E$2)*(E1510=E1509:E$2)))))</f>
        <v> </v>
      </c>
      <c r="J1510" s="26" t="str">
        <f>IF(OR(E1510="",E1510="!!!",F1510="NEW"),"",COUNTBLANK(OFFSET(A$1,,,SUMPRODUCT(MAX(ROW(E$2:E1510)*(E1510=E$2:E1510)))))-COUNTBLANK(OFFSET(A$1,,,SUMPRODUCT(MAX(ROW(E$1:E1509)*(E2=E$1:E1509))))))</f>
        <v> </v>
      </c>
      <c r="K1510" s="26" t="str">
        <f>IF(OR(E1510="",E1510="!!!",F1510="NEW"),"",INDEX(J$1:J1509,SUMPRODUCT(MAX(ROW(E$1:E1509)*(E1510=E$1:E1509)))))</f>
        <v> </v>
      </c>
      <c r="L1510" s="27"/>
    </row>
    <row r="1511" spans="1:12">
      <c r="A1511" s="20" t="s">
        <v>741</v>
      </c>
      <c r="E1511" s="22">
        <f>IF(D1511="?OLD","!!!","")</f>
        <v/>
      </c>
      <c r="F1511" s="23" t="str">
        <f>IF(OR(E1511="",E1511="!!!"),"",IF(NOT(ISNA(VLOOKUP(E1511,E$1:E1510,1,FALSE()))),"OLD",IF(AND(E1511&lt;&gt;"",E1511&lt;&gt;"!!!"),"NEW","")))</f>
        <v> </v>
      </c>
      <c r="G1511" s="24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5" t="str">
        <f>IF(J1511&lt;&gt;1,"",IF(I1511="SBJ","CB","?"))</f>
        <v> </v>
      </c>
      <c r="I1511" s="26" t="str">
        <f>IF(OR(E1511="",E1511="!!!",F1511="NEW"),"",INDEX(B1510:B$2,-1+SUMPRODUCT(MAX(ROW(E1510:E$2)*(E1511=E1510:E$2)))))</f>
        <v> </v>
      </c>
      <c r="J1511" s="26" t="str">
        <f>IF(OR(E1511="",E1511="!!!",F1511="NEW"),"",COUNTBLANK(OFFSET(A$1,,,SUMPRODUCT(MAX(ROW(E$2:E1511)*(E1511=E$2:E1511)))))-COUNTBLANK(OFFSET(A$1,,,SUMPRODUCT(MAX(ROW(E$1:E1510)*(E2=E$1:E1510))))))</f>
        <v> </v>
      </c>
      <c r="K1511" s="26" t="str">
        <f>IF(OR(E1511="",E1511="!!!",F1511="NEW"),"",INDEX(J$1:J1510,SUMPRODUCT(MAX(ROW(E$1:E1510)*(E1511=E$1:E1510)))))</f>
        <v> </v>
      </c>
      <c r="L1511" s="27"/>
    </row>
    <row r="1512" spans="1:12">
      <c r="A1512" s="20" t="s">
        <v>1339</v>
      </c>
      <c r="E1512" s="22">
        <f>IF(D1512="?OLD","!!!","")</f>
        <v/>
      </c>
      <c r="F1512" s="23" t="str">
        <f>IF(OR(E1512="",E1512="!!!"),"",IF(NOT(ISNA(VLOOKUP(E1512,E$1:E1511,1,FALSE()))),"OLD",IF(AND(E1512&lt;&gt;"",E1512&lt;&gt;"!!!"),"NEW","")))</f>
        <v> </v>
      </c>
      <c r="G1512" s="24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5" t="str">
        <f>IF(J1512&lt;&gt;1,"",IF(I1512="SBJ","CB","?"))</f>
        <v> </v>
      </c>
      <c r="I1512" s="26" t="str">
        <f>IF(OR(E1512="",E1512="!!!",F1512="NEW"),"",INDEX(B1511:B$2,-1+SUMPRODUCT(MAX(ROW(E1511:E$2)*(E1512=E1511:E$2)))))</f>
        <v> </v>
      </c>
      <c r="J1512" s="26" t="str">
        <f>IF(OR(E1512="",E1512="!!!",F1512="NEW"),"",COUNTBLANK(OFFSET(A$1,,,SUMPRODUCT(MAX(ROW(E$2:E1512)*(E1512=E$2:E1512)))))-COUNTBLANK(OFFSET(A$1,,,SUMPRODUCT(MAX(ROW(E$1:E1511)*(E2=E$1:E1511))))))</f>
        <v> </v>
      </c>
      <c r="K1512" s="26" t="str">
        <f>IF(OR(E1512="",E1512="!!!",F1512="NEW"),"",INDEX(J$1:J1511,SUMPRODUCT(MAX(ROW(E$1:E1511)*(E1512=E$1:E1511)))))</f>
        <v> </v>
      </c>
      <c r="L1512" s="27"/>
    </row>
    <row r="1513" spans="1:12">
      <c r="A1513" s="20" t="s">
        <v>716</v>
      </c>
      <c r="B1513" s="21" t="s">
        <v>605</v>
      </c>
      <c r="C1513" s="21" t="s">
        <v>613</v>
      </c>
      <c r="D1513" s="21" t="s">
        <v>587</v>
      </c>
      <c r="E1513" s="22">
        <f>IF(D1513="?OLD","!!!","")</f>
        <v/>
      </c>
      <c r="F1513" s="23" t="str">
        <f>IF(OR(E1513="",E1513="!!!"),"",IF(NOT(ISNA(VLOOKUP(E1513,E$1:E1512,1,FALSE()))),"OLD",IF(AND(E1513&lt;&gt;"",E1513&lt;&gt;"!!!"),"NEW","")))</f>
        <v> </v>
      </c>
      <c r="G1513" s="24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5" t="str">
        <f>IF(J1513&lt;&gt;1,"",IF(I1513="SBJ","CB","?"))</f>
        <v> </v>
      </c>
      <c r="I1513" s="26" t="str">
        <f>IF(OR(E1513="",E1513="!!!",F1513="NEW"),"",INDEX(B1512:B$2,-1+SUMPRODUCT(MAX(ROW(E1512:E$2)*(E1513=E1512:E$2)))))</f>
        <v> </v>
      </c>
      <c r="J1513" s="26" t="str">
        <f>IF(OR(E1513="",E1513="!!!",F1513="NEW"),"",COUNTBLANK(OFFSET(A$1,,,SUMPRODUCT(MAX(ROW(E$2:E1513)*(E1513=E$2:E1513)))))-COUNTBLANK(OFFSET(A$1,,,SUMPRODUCT(MAX(ROW(E$1:E1512)*(E2=E$1:E1512))))))</f>
        <v> </v>
      </c>
      <c r="K1513" s="26" t="str">
        <f>IF(OR(E1513="",E1513="!!!",F1513="NEW"),"",INDEX(J$1:J1512,SUMPRODUCT(MAX(ROW(E$1:E1512)*(E1513=E$1:E1512)))))</f>
        <v> </v>
      </c>
      <c r="L1513" s="27"/>
    </row>
    <row r="1514" spans="1:12">
      <c r="A1514" s="20" t="s">
        <v>1340</v>
      </c>
      <c r="E1514" s="22">
        <f>IF(D1514="?OLD","!!!","")</f>
        <v/>
      </c>
      <c r="F1514" s="23" t="str">
        <f>IF(OR(E1514="",E1514="!!!"),"",IF(NOT(ISNA(VLOOKUP(E1514,E$1:E1513,1,FALSE()))),"OLD",IF(AND(E1514&lt;&gt;"",E1514&lt;&gt;"!!!"),"NEW","")))</f>
        <v> </v>
      </c>
      <c r="G1514" s="24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5" t="str">
        <f>IF(J1514&lt;&gt;1,"",IF(I1514="SBJ","CB","?"))</f>
        <v> </v>
      </c>
      <c r="I1514" s="26" t="str">
        <f>IF(OR(E1514="",E1514="!!!",F1514="NEW"),"",INDEX(B1513:B$2,-1+SUMPRODUCT(MAX(ROW(E1513:E$2)*(E1514=E1513:E$2)))))</f>
        <v> </v>
      </c>
      <c r="J1514" s="26" t="str">
        <f>IF(OR(E1514="",E1514="!!!",F1514="NEW"),"",COUNTBLANK(OFFSET(A$1,,,SUMPRODUCT(MAX(ROW(E$2:E1514)*(E1514=E$2:E1514)))))-COUNTBLANK(OFFSET(A$1,,,SUMPRODUCT(MAX(ROW(E$1:E1513)*(E2=E$1:E1513))))))</f>
        <v> </v>
      </c>
      <c r="K1514" s="26" t="str">
        <f>IF(OR(E1514="",E1514="!!!",F1514="NEW"),"",INDEX(J$1:J1513,SUMPRODUCT(MAX(ROW(E$1:E1513)*(E1514=E$1:E1513)))))</f>
        <v> </v>
      </c>
      <c r="L1514" s="27"/>
    </row>
    <row r="1515" spans="1:12">
      <c r="A1515" s="20" t="s">
        <v>619</v>
      </c>
      <c r="E1515" s="22">
        <f>IF(D1515="?OLD","!!!","")</f>
        <v/>
      </c>
      <c r="F1515" s="23" t="str">
        <f>IF(OR(E1515="",E1515="!!!"),"",IF(NOT(ISNA(VLOOKUP(E1515,E$1:E1514,1,FALSE()))),"OLD",IF(AND(E1515&lt;&gt;"",E1515&lt;&gt;"!!!"),"NEW","")))</f>
        <v> </v>
      </c>
      <c r="G1515" s="24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5" t="str">
        <f>IF(J1515&lt;&gt;1,"",IF(I1515="SBJ","CB","?"))</f>
        <v> </v>
      </c>
      <c r="I1515" s="26" t="str">
        <f>IF(OR(E1515="",E1515="!!!",F1515="NEW"),"",INDEX(B1514:B$2,-1+SUMPRODUCT(MAX(ROW(E1514:E$2)*(E1515=E1514:E$2)))))</f>
        <v> </v>
      </c>
      <c r="J1515" s="26" t="str">
        <f>IF(OR(E1515="",E1515="!!!",F1515="NEW"),"",COUNTBLANK(OFFSET(A$1,,,SUMPRODUCT(MAX(ROW(E$2:E1515)*(E1515=E$2:E1515)))))-COUNTBLANK(OFFSET(A$1,,,SUMPRODUCT(MAX(ROW(E$1:E1514)*(E2=E$1:E1514))))))</f>
        <v> </v>
      </c>
      <c r="K1515" s="26" t="str">
        <f>IF(OR(E1515="",E1515="!!!",F1515="NEW"),"",INDEX(J$1:J1514,SUMPRODUCT(MAX(ROW(E$1:E1514)*(E1515=E$1:E1514)))))</f>
        <v> </v>
      </c>
      <c r="L1515" s="27"/>
    </row>
    <row r="1516" spans="1:12">
      <c r="A1516" s="20" t="s">
        <v>1341</v>
      </c>
      <c r="E1516" s="22">
        <f>IF(D1516="?OLD","!!!","")</f>
        <v/>
      </c>
      <c r="F1516" s="23" t="str">
        <f>IF(OR(E1516="",E1516="!!!"),"",IF(NOT(ISNA(VLOOKUP(E1516,E$1:E1515,1,FALSE()))),"OLD",IF(AND(E1516&lt;&gt;"",E1516&lt;&gt;"!!!"),"NEW","")))</f>
        <v> </v>
      </c>
      <c r="G1516" s="24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5" t="str">
        <f>IF(J1516&lt;&gt;1,"",IF(I1516="SBJ","CB","?"))</f>
        <v> </v>
      </c>
      <c r="I1516" s="26" t="str">
        <f>IF(OR(E1516="",E1516="!!!",F1516="NEW"),"",INDEX(B1515:B$2,-1+SUMPRODUCT(MAX(ROW(E1515:E$2)*(E1516=E1515:E$2)))))</f>
        <v> </v>
      </c>
      <c r="J1516" s="26" t="str">
        <f>IF(OR(E1516="",E1516="!!!",F1516="NEW"),"",COUNTBLANK(OFFSET(A$1,,,SUMPRODUCT(MAX(ROW(E$2:E1516)*(E1516=E$2:E1516)))))-COUNTBLANK(OFFSET(A$1,,,SUMPRODUCT(MAX(ROW(E$1:E1515)*(E2=E$1:E1515))))))</f>
        <v> </v>
      </c>
      <c r="K1516" s="26" t="str">
        <f>IF(OR(E1516="",E1516="!!!",F1516="NEW"),"",INDEX(J$1:J1515,SUMPRODUCT(MAX(ROW(E$1:E1515)*(E1516=E$1:E1515)))))</f>
        <v> </v>
      </c>
      <c r="L1516" s="27"/>
    </row>
    <row r="1517" spans="1:12">
      <c r="A1517" s="20" t="s">
        <v>1081</v>
      </c>
      <c r="E1517" s="22">
        <f>IF(D1517="?OLD","!!!","")</f>
        <v/>
      </c>
      <c r="F1517" s="23" t="str">
        <f>IF(OR(E1517="",E1517="!!!"),"",IF(NOT(ISNA(VLOOKUP(E1517,E$1:E1516,1,FALSE()))),"OLD",IF(AND(E1517&lt;&gt;"",E1517&lt;&gt;"!!!"),"NEW","")))</f>
        <v> </v>
      </c>
      <c r="G1517" s="24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5" t="str">
        <f>IF(J1517&lt;&gt;1,"",IF(I1517="SBJ","CB","?"))</f>
        <v> </v>
      </c>
      <c r="I1517" s="26" t="str">
        <f>IF(OR(E1517="",E1517="!!!",F1517="NEW"),"",INDEX(B1516:B$2,-1+SUMPRODUCT(MAX(ROW(E1516:E$2)*(E1517=E1516:E$2)))))</f>
        <v> </v>
      </c>
      <c r="J1517" s="26" t="str">
        <f>IF(OR(E1517="",E1517="!!!",F1517="NEW"),"",COUNTBLANK(OFFSET(A$1,,,SUMPRODUCT(MAX(ROW(E$2:E1517)*(E1517=E$2:E1517)))))-COUNTBLANK(OFFSET(A$1,,,SUMPRODUCT(MAX(ROW(E$1:E1516)*(E2=E$1:E1516))))))</f>
        <v> </v>
      </c>
      <c r="K1517" s="26" t="str">
        <f>IF(OR(E1517="",E1517="!!!",F1517="NEW"),"",INDEX(J$1:J1516,SUMPRODUCT(MAX(ROW(E$1:E1516)*(E1517=E$1:E1516)))))</f>
        <v> </v>
      </c>
      <c r="L1517" s="27"/>
    </row>
    <row r="1518" spans="1:12">
      <c r="A1518" s="20" t="s">
        <v>1342</v>
      </c>
      <c r="E1518" s="22">
        <f>IF(D1518="?OLD","!!!","")</f>
        <v/>
      </c>
      <c r="F1518" s="23" t="str">
        <f>IF(OR(E1518="",E1518="!!!"),"",IF(NOT(ISNA(VLOOKUP(E1518,E$1:E1517,1,FALSE()))),"OLD",IF(AND(E1518&lt;&gt;"",E1518&lt;&gt;"!!!"),"NEW","")))</f>
        <v> </v>
      </c>
      <c r="G1518" s="24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5" t="str">
        <f>IF(J1518&lt;&gt;1,"",IF(I1518="SBJ","CB","?"))</f>
        <v> </v>
      </c>
      <c r="I1518" s="26" t="str">
        <f>IF(OR(E1518="",E1518="!!!",F1518="NEW"),"",INDEX(B1517:B$2,-1+SUMPRODUCT(MAX(ROW(E1517:E$2)*(E1518=E1517:E$2)))))</f>
        <v> </v>
      </c>
      <c r="J1518" s="26" t="str">
        <f>IF(OR(E1518="",E1518="!!!",F1518="NEW"),"",COUNTBLANK(OFFSET(A$1,,,SUMPRODUCT(MAX(ROW(E$2:E1518)*(E1518=E$2:E1518)))))-COUNTBLANK(OFFSET(A$1,,,SUMPRODUCT(MAX(ROW(E$1:E1517)*(E2=E$1:E1517))))))</f>
        <v> </v>
      </c>
      <c r="K1518" s="26" t="str">
        <f>IF(OR(E1518="",E1518="!!!",F1518="NEW"),"",INDEX(J$1:J1517,SUMPRODUCT(MAX(ROW(E$1:E1517)*(E1518=E$1:E1517)))))</f>
        <v> </v>
      </c>
      <c r="L1518" s="27"/>
    </row>
    <row r="1519" spans="1:12">
      <c r="A1519" s="20" t="s">
        <v>592</v>
      </c>
      <c r="E1519" s="22">
        <f>IF(D1519="?OLD","!!!","")</f>
        <v/>
      </c>
      <c r="F1519" s="23" t="str">
        <f>IF(OR(E1519="",E1519="!!!"),"",IF(NOT(ISNA(VLOOKUP(E1519,E$1:E1518,1,FALSE()))),"OLD",IF(AND(E1519&lt;&gt;"",E1519&lt;&gt;"!!!"),"NEW","")))</f>
        <v> </v>
      </c>
      <c r="G1519" s="24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5" t="str">
        <f>IF(J1519&lt;&gt;1,"",IF(I1519="SBJ","CB","?"))</f>
        <v> </v>
      </c>
      <c r="I1519" s="26" t="str">
        <f>IF(OR(E1519="",E1519="!!!",F1519="NEW"),"",INDEX(B1518:B$2,-1+SUMPRODUCT(MAX(ROW(E1518:E$2)*(E1519=E1518:E$2)))))</f>
        <v> </v>
      </c>
      <c r="J1519" s="26" t="str">
        <f>IF(OR(E1519="",E1519="!!!",F1519="NEW"),"",COUNTBLANK(OFFSET(A$1,,,SUMPRODUCT(MAX(ROW(E$2:E1519)*(E1519=E$2:E1519)))))-COUNTBLANK(OFFSET(A$1,,,SUMPRODUCT(MAX(ROW(E$1:E1518)*(E2=E$1:E1518))))))</f>
        <v> </v>
      </c>
      <c r="K1519" s="26" t="str">
        <f>IF(OR(E1519="",E1519="!!!",F1519="NEW"),"",INDEX(J$1:J1518,SUMPRODUCT(MAX(ROW(E$1:E1518)*(E1519=E$1:E1518)))))</f>
        <v> </v>
      </c>
      <c r="L1519" s="27"/>
    </row>
    <row r="1520" spans="1:12">
      <c r="A1520" s="20"/>
    </row>
    <row r="1521" spans="1:12">
      <c r="A1521" s="20" t="s">
        <v>1343</v>
      </c>
    </row>
    <row r="1522" spans="1:12">
      <c r="A1522" s="20" t="s">
        <v>1344</v>
      </c>
      <c r="E1522" s="22">
        <f>IF(D1522="?OLD","!!!","")</f>
        <v/>
      </c>
      <c r="F1522" s="23" t="str">
        <f>IF(OR(E1522="",E1522="!!!"),"",IF(NOT(ISNA(VLOOKUP(E1522,E$1:E1521,1,FALSE()))),"OLD",IF(AND(E1522&lt;&gt;"",E1522&lt;&gt;"!!!"),"NEW","")))</f>
        <v> </v>
      </c>
      <c r="G1522" s="24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5" t="str">
        <f>IF(J1522&lt;&gt;1,"",IF(I1522="SBJ","CB","?"))</f>
        <v> </v>
      </c>
      <c r="I1522" s="26" t="str">
        <f>IF(OR(E1522="",E1522="!!!",F1522="NEW"),"",INDEX(B1521:B$2,-1+SUMPRODUCT(MAX(ROW(E1521:E$2)*(E1522=E1521:E$2)))))</f>
        <v> </v>
      </c>
      <c r="J1522" s="26" t="str">
        <f>IF(OR(E1522="",E1522="!!!",F1522="NEW"),"",COUNTBLANK(OFFSET(A$1,,,SUMPRODUCT(MAX(ROW(E$2:E1522)*(E1522=E$2:E1522)))))-COUNTBLANK(OFFSET(A$1,,,SUMPRODUCT(MAX(ROW(E$1:E1521)*(E2=E$1:E1521))))))</f>
        <v> </v>
      </c>
      <c r="K1522" s="26" t="str">
        <f>IF(OR(E1522="",E1522="!!!",F1522="NEW"),"",INDEX(J$1:J1521,SUMPRODUCT(MAX(ROW(E$1:E1521)*(E1522=E$1:E1521)))))</f>
        <v> </v>
      </c>
      <c r="L1522" s="27"/>
    </row>
    <row r="1523" spans="1:12">
      <c r="A1523" s="20" t="s">
        <v>1345</v>
      </c>
      <c r="B1523" s="21" t="s">
        <v>651</v>
      </c>
      <c r="C1523" s="21" t="s">
        <v>628</v>
      </c>
      <c r="D1523" s="21" t="s">
        <v>587</v>
      </c>
      <c r="E1523" s="22">
        <f>IF(D1523="?OLD","!!!","")</f>
        <v/>
      </c>
      <c r="F1523" s="23" t="str">
        <f>IF(OR(E1523="",E1523="!!!"),"",IF(NOT(ISNA(VLOOKUP(E1523,E$1:E1522,1,FALSE()))),"OLD",IF(AND(E1523&lt;&gt;"",E1523&lt;&gt;"!!!"),"NEW","")))</f>
        <v> </v>
      </c>
      <c r="G1523" s="24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5" t="str">
        <f>IF(J1523&lt;&gt;1,"",IF(I1523="SBJ","CB","?"))</f>
        <v> </v>
      </c>
      <c r="I1523" s="26" t="str">
        <f>IF(OR(E1523="",E1523="!!!",F1523="NEW"),"",INDEX(B1522:B$2,-1+SUMPRODUCT(MAX(ROW(E1522:E$2)*(E1523=E1522:E$2)))))</f>
        <v> </v>
      </c>
      <c r="J1523" s="26" t="str">
        <f>IF(OR(E1523="",E1523="!!!",F1523="NEW"),"",COUNTBLANK(OFFSET(A$1,,,SUMPRODUCT(MAX(ROW(E$2:E1523)*(E1523=E$2:E1523)))))-COUNTBLANK(OFFSET(A$1,,,SUMPRODUCT(MAX(ROW(E$1:E1522)*(E2=E$1:E1522))))))</f>
        <v> </v>
      </c>
      <c r="K1523" s="26" t="str">
        <f>IF(OR(E1523="",E1523="!!!",F1523="NEW"),"",INDEX(J$1:J1522,SUMPRODUCT(MAX(ROW(E$1:E1522)*(E1523=E$1:E1522)))))</f>
        <v> </v>
      </c>
      <c r="L1523" s="27"/>
    </row>
    <row r="1524" spans="1:12">
      <c r="A1524" s="20" t="s">
        <v>1346</v>
      </c>
      <c r="B1524" s="21" t="s">
        <v>585</v>
      </c>
      <c r="C1524" s="21" t="s">
        <v>628</v>
      </c>
      <c r="D1524" s="21" t="s">
        <v>587</v>
      </c>
      <c r="E1524" s="22">
        <f>IF(D1524="?OLD","!!!","")</f>
        <v/>
      </c>
      <c r="F1524" s="23" t="str">
        <f>IF(OR(E1524="",E1524="!!!"),"",IF(NOT(ISNA(VLOOKUP(E1524,E$1:E1523,1,FALSE()))),"OLD",IF(AND(E1524&lt;&gt;"",E1524&lt;&gt;"!!!"),"NEW","")))</f>
        <v> </v>
      </c>
      <c r="G1524" s="24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5" t="str">
        <f>IF(J1524&lt;&gt;1,"",IF(I1524="SBJ","CB","?"))</f>
        <v> </v>
      </c>
      <c r="I1524" s="26" t="str">
        <f>IF(OR(E1524="",E1524="!!!",F1524="NEW"),"",INDEX(B1523:B$2,-1+SUMPRODUCT(MAX(ROW(E1523:E$2)*(E1524=E1523:E$2)))))</f>
        <v> </v>
      </c>
      <c r="J1524" s="26" t="str">
        <f>IF(OR(E1524="",E1524="!!!",F1524="NEW"),"",COUNTBLANK(OFFSET(A$1,,,SUMPRODUCT(MAX(ROW(E$2:E1524)*(E1524=E$2:E1524)))))-COUNTBLANK(OFFSET(A$1,,,SUMPRODUCT(MAX(ROW(E$1:E1523)*(E2=E$1:E1523))))))</f>
        <v> </v>
      </c>
      <c r="K1524" s="26" t="str">
        <f>IF(OR(E1524="",E1524="!!!",F1524="NEW"),"",INDEX(J$1:J1523,SUMPRODUCT(MAX(ROW(E$1:E1523)*(E1524=E$1:E1523)))))</f>
        <v> </v>
      </c>
      <c r="L1524" s="27"/>
    </row>
    <row r="1525" spans="1:12">
      <c r="A1525" s="20" t="s">
        <v>583</v>
      </c>
      <c r="E1525" s="22">
        <f>IF(D1525="?OLD","!!!","")</f>
        <v/>
      </c>
      <c r="F1525" s="23" t="str">
        <f>IF(OR(E1525="",E1525="!!!"),"",IF(NOT(ISNA(VLOOKUP(E1525,E$1:E1524,1,FALSE()))),"OLD",IF(AND(E1525&lt;&gt;"",E1525&lt;&gt;"!!!"),"NEW","")))</f>
        <v> </v>
      </c>
      <c r="G1525" s="24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5" t="str">
        <f>IF(J1525&lt;&gt;1,"",IF(I1525="SBJ","CB","?"))</f>
        <v> </v>
      </c>
      <c r="I1525" s="26" t="str">
        <f>IF(OR(E1525="",E1525="!!!",F1525="NEW"),"",INDEX(B1524:B$2,-1+SUMPRODUCT(MAX(ROW(E1524:E$2)*(E1525=E1524:E$2)))))</f>
        <v> </v>
      </c>
      <c r="J1525" s="26" t="str">
        <f>IF(OR(E1525="",E1525="!!!",F1525="NEW"),"",COUNTBLANK(OFFSET(A$1,,,SUMPRODUCT(MAX(ROW(E$2:E1525)*(E1525=E$2:E1525)))))-COUNTBLANK(OFFSET(A$1,,,SUMPRODUCT(MAX(ROW(E$1:E1524)*(E2=E$1:E1524))))))</f>
        <v> </v>
      </c>
      <c r="K1525" s="26" t="str">
        <f>IF(OR(E1525="",E1525="!!!",F1525="NEW"),"",INDEX(J$1:J1524,SUMPRODUCT(MAX(ROW(E$1:E1524)*(E1525=E$1:E1524)))))</f>
        <v> </v>
      </c>
      <c r="L1525" s="27"/>
    </row>
    <row r="1526" spans="1:12">
      <c r="A1526" s="20" t="s">
        <v>1347</v>
      </c>
      <c r="E1526" s="22">
        <f>IF(D1526="?OLD","!!!","")</f>
        <v/>
      </c>
      <c r="F1526" s="23" t="str">
        <f>IF(OR(E1526="",E1526="!!!"),"",IF(NOT(ISNA(VLOOKUP(E1526,E$1:E1525,1,FALSE()))),"OLD",IF(AND(E1526&lt;&gt;"",E1526&lt;&gt;"!!!"),"NEW","")))</f>
        <v> </v>
      </c>
      <c r="G1526" s="24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5" t="str">
        <f>IF(J1526&lt;&gt;1,"",IF(I1526="SBJ","CB","?"))</f>
        <v> </v>
      </c>
      <c r="I1526" s="26" t="str">
        <f>IF(OR(E1526="",E1526="!!!",F1526="NEW"),"",INDEX(B1525:B$2,-1+SUMPRODUCT(MAX(ROW(E1525:E$2)*(E1526=E1525:E$2)))))</f>
        <v> </v>
      </c>
      <c r="J1526" s="26" t="str">
        <f>IF(OR(E1526="",E1526="!!!",F1526="NEW"),"",COUNTBLANK(OFFSET(A$1,,,SUMPRODUCT(MAX(ROW(E$2:E1526)*(E1526=E$2:E1526)))))-COUNTBLANK(OFFSET(A$1,,,SUMPRODUCT(MAX(ROW(E$1:E1525)*(E2=E$1:E1525))))))</f>
        <v> </v>
      </c>
      <c r="K1526" s="26" t="str">
        <f>IF(OR(E1526="",E1526="!!!",F1526="NEW"),"",INDEX(J$1:J1525,SUMPRODUCT(MAX(ROW(E$1:E1525)*(E1526=E$1:E1525)))))</f>
        <v> </v>
      </c>
      <c r="L1526" s="27"/>
    </row>
    <row r="1527" spans="1:12">
      <c r="A1527" s="20" t="s">
        <v>873</v>
      </c>
      <c r="E1527" s="22">
        <f>IF(D1527="?OLD","!!!","")</f>
        <v/>
      </c>
      <c r="F1527" s="23" t="str">
        <f>IF(OR(E1527="",E1527="!!!"),"",IF(NOT(ISNA(VLOOKUP(E1527,E$1:E1526,1,FALSE()))),"OLD",IF(AND(E1527&lt;&gt;"",E1527&lt;&gt;"!!!"),"NEW","")))</f>
        <v> </v>
      </c>
      <c r="G1527" s="24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5" t="str">
        <f>IF(J1527&lt;&gt;1,"",IF(I1527="SBJ","CB","?"))</f>
        <v> </v>
      </c>
      <c r="I1527" s="26" t="str">
        <f>IF(OR(E1527="",E1527="!!!",F1527="NEW"),"",INDEX(B1526:B$2,-1+SUMPRODUCT(MAX(ROW(E1526:E$2)*(E1527=E1526:E$2)))))</f>
        <v> </v>
      </c>
      <c r="J1527" s="26" t="str">
        <f>IF(OR(E1527="",E1527="!!!",F1527="NEW"),"",COUNTBLANK(OFFSET(A$1,,,SUMPRODUCT(MAX(ROW(E$2:E1527)*(E1527=E$2:E1527)))))-COUNTBLANK(OFFSET(A$1,,,SUMPRODUCT(MAX(ROW(E$1:E1526)*(E2=E$1:E1526))))))</f>
        <v> </v>
      </c>
      <c r="K1527" s="26" t="str">
        <f>IF(OR(E1527="",E1527="!!!",F1527="NEW"),"",INDEX(J$1:J1526,SUMPRODUCT(MAX(ROW(E$1:E1526)*(E1527=E$1:E1526)))))</f>
        <v> </v>
      </c>
      <c r="L1527" s="27"/>
    </row>
    <row r="1528" spans="1:12">
      <c r="A1528" s="20" t="s">
        <v>1348</v>
      </c>
      <c r="B1528" s="21" t="s">
        <v>601</v>
      </c>
      <c r="C1528" s="21" t="s">
        <v>628</v>
      </c>
      <c r="D1528" s="21" t="s">
        <v>587</v>
      </c>
      <c r="E1528" s="22">
        <f>IF(D1528="?OLD","!!!","")</f>
        <v/>
      </c>
      <c r="F1528" s="23" t="str">
        <f>IF(OR(E1528="",E1528="!!!"),"",IF(NOT(ISNA(VLOOKUP(E1528,E$1:E1527,1,FALSE()))),"OLD",IF(AND(E1528&lt;&gt;"",E1528&lt;&gt;"!!!"),"NEW","")))</f>
        <v> </v>
      </c>
      <c r="G1528" s="24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5" t="str">
        <f>IF(J1528&lt;&gt;1,"",IF(I1528="SBJ","CB","?"))</f>
        <v> </v>
      </c>
      <c r="I1528" s="26" t="str">
        <f>IF(OR(E1528="",E1528="!!!",F1528="NEW"),"",INDEX(B1527:B$2,-1+SUMPRODUCT(MAX(ROW(E1527:E$2)*(E1528=E1527:E$2)))))</f>
        <v> </v>
      </c>
      <c r="J1528" s="26" t="str">
        <f>IF(OR(E1528="",E1528="!!!",F1528="NEW"),"",COUNTBLANK(OFFSET(A$1,,,SUMPRODUCT(MAX(ROW(E$2:E1528)*(E1528=E$2:E1528)))))-COUNTBLANK(OFFSET(A$1,,,SUMPRODUCT(MAX(ROW(E$1:E1527)*(E2=E$1:E1527))))))</f>
        <v> </v>
      </c>
      <c r="K1528" s="26" t="str">
        <f>IF(OR(E1528="",E1528="!!!",F1528="NEW"),"",INDEX(J$1:J1527,SUMPRODUCT(MAX(ROW(E$1:E1527)*(E1528=E$1:E1527)))))</f>
        <v> </v>
      </c>
      <c r="L1528" s="27"/>
    </row>
    <row r="1529" spans="1:12">
      <c r="A1529" s="20" t="s">
        <v>630</v>
      </c>
      <c r="E1529" s="22">
        <f>IF(D1529="?OLD","!!!","")</f>
        <v/>
      </c>
      <c r="F1529" s="23" t="str">
        <f>IF(OR(E1529="",E1529="!!!"),"",IF(NOT(ISNA(VLOOKUP(E1529,E$1:E1528,1,FALSE()))),"OLD",IF(AND(E1529&lt;&gt;"",E1529&lt;&gt;"!!!"),"NEW","")))</f>
        <v> </v>
      </c>
      <c r="G1529" s="24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5" t="str">
        <f>IF(J1529&lt;&gt;1,"",IF(I1529="SBJ","CB","?"))</f>
        <v> </v>
      </c>
      <c r="I1529" s="26" t="str">
        <f>IF(OR(E1529="",E1529="!!!",F1529="NEW"),"",INDEX(B1528:B$2,-1+SUMPRODUCT(MAX(ROW(E1528:E$2)*(E1529=E1528:E$2)))))</f>
        <v> </v>
      </c>
      <c r="J1529" s="26" t="str">
        <f>IF(OR(E1529="",E1529="!!!",F1529="NEW"),"",COUNTBLANK(OFFSET(A$1,,,SUMPRODUCT(MAX(ROW(E$2:E1529)*(E1529=E$2:E1529)))))-COUNTBLANK(OFFSET(A$1,,,SUMPRODUCT(MAX(ROW(E$1:E1528)*(E2=E$1:E1528))))))</f>
        <v> </v>
      </c>
      <c r="K1529" s="26" t="str">
        <f>IF(OR(E1529="",E1529="!!!",F1529="NEW"),"",INDEX(J$1:J1528,SUMPRODUCT(MAX(ROW(E$1:E1528)*(E1529=E$1:E1528)))))</f>
        <v> </v>
      </c>
      <c r="L1529" s="27"/>
    </row>
    <row r="1530" spans="1:12">
      <c r="A1530" s="20" t="s">
        <v>1349</v>
      </c>
      <c r="E1530" s="22">
        <f>IF(D1530="?OLD","!!!","")</f>
        <v/>
      </c>
      <c r="F1530" s="23" t="str">
        <f>IF(OR(E1530="",E1530="!!!"),"",IF(NOT(ISNA(VLOOKUP(E1530,E$1:E1529,1,FALSE()))),"OLD",IF(AND(E1530&lt;&gt;"",E1530&lt;&gt;"!!!"),"NEW","")))</f>
        <v> </v>
      </c>
      <c r="G1530" s="24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5" t="str">
        <f>IF(J1530&lt;&gt;1,"",IF(I1530="SBJ","CB","?"))</f>
        <v> </v>
      </c>
      <c r="I1530" s="26" t="str">
        <f>IF(OR(E1530="",E1530="!!!",F1530="NEW"),"",INDEX(B1529:B$2,-1+SUMPRODUCT(MAX(ROW(E1529:E$2)*(E1530=E1529:E$2)))))</f>
        <v> </v>
      </c>
      <c r="J1530" s="26" t="str">
        <f>IF(OR(E1530="",E1530="!!!",F1530="NEW"),"",COUNTBLANK(OFFSET(A$1,,,SUMPRODUCT(MAX(ROW(E$2:E1530)*(E1530=E$2:E1530)))))-COUNTBLANK(OFFSET(A$1,,,SUMPRODUCT(MAX(ROW(E$1:E1529)*(E2=E$1:E1529))))))</f>
        <v> </v>
      </c>
      <c r="K1530" s="26" t="str">
        <f>IF(OR(E1530="",E1530="!!!",F1530="NEW"),"",INDEX(J$1:J1529,SUMPRODUCT(MAX(ROW(E$1:E1529)*(E1530=E$1:E1529)))))</f>
        <v> </v>
      </c>
      <c r="L1530" s="27"/>
    </row>
    <row r="1531" spans="1:12">
      <c r="A1531" s="20" t="s">
        <v>741</v>
      </c>
      <c r="E1531" s="22">
        <f>IF(D1531="?OLD","!!!","")</f>
        <v/>
      </c>
      <c r="F1531" s="23" t="str">
        <f>IF(OR(E1531="",E1531="!!!"),"",IF(NOT(ISNA(VLOOKUP(E1531,E$1:E1530,1,FALSE()))),"OLD",IF(AND(E1531&lt;&gt;"",E1531&lt;&gt;"!!!"),"NEW","")))</f>
        <v> </v>
      </c>
      <c r="G1531" s="24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5" t="str">
        <f>IF(J1531&lt;&gt;1,"",IF(I1531="SBJ","CB","?"))</f>
        <v> </v>
      </c>
      <c r="I1531" s="26" t="str">
        <f>IF(OR(E1531="",E1531="!!!",F1531="NEW"),"",INDEX(B1530:B$2,-1+SUMPRODUCT(MAX(ROW(E1530:E$2)*(E1531=E1530:E$2)))))</f>
        <v> </v>
      </c>
      <c r="J1531" s="26" t="str">
        <f>IF(OR(E1531="",E1531="!!!",F1531="NEW"),"",COUNTBLANK(OFFSET(A$1,,,SUMPRODUCT(MAX(ROW(E$2:E1531)*(E1531=E$2:E1531)))))-COUNTBLANK(OFFSET(A$1,,,SUMPRODUCT(MAX(ROW(E$1:E1530)*(E2=E$1:E1530))))))</f>
        <v> </v>
      </c>
      <c r="K1531" s="26" t="str">
        <f>IF(OR(E1531="",E1531="!!!",F1531="NEW"),"",INDEX(J$1:J1530,SUMPRODUCT(MAX(ROW(E$1:E1530)*(E1531=E$1:E1530)))))</f>
        <v> </v>
      </c>
      <c r="L1531" s="27"/>
    </row>
    <row r="1532" spans="1:12">
      <c r="A1532" s="20" t="s">
        <v>1339</v>
      </c>
      <c r="E1532" s="22">
        <f>IF(D1532="?OLD","!!!","")</f>
        <v/>
      </c>
      <c r="F1532" s="23" t="str">
        <f>IF(OR(E1532="",E1532="!!!"),"",IF(NOT(ISNA(VLOOKUP(E1532,E$1:E1531,1,FALSE()))),"OLD",IF(AND(E1532&lt;&gt;"",E1532&lt;&gt;"!!!"),"NEW","")))</f>
        <v> </v>
      </c>
      <c r="G1532" s="24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5" t="str">
        <f>IF(J1532&lt;&gt;1,"",IF(I1532="SBJ","CB","?"))</f>
        <v> </v>
      </c>
      <c r="I1532" s="26" t="str">
        <f>IF(OR(E1532="",E1532="!!!",F1532="NEW"),"",INDEX(B1531:B$2,-1+SUMPRODUCT(MAX(ROW(E1531:E$2)*(E1532=E1531:E$2)))))</f>
        <v> </v>
      </c>
      <c r="J1532" s="26" t="str">
        <f>IF(OR(E1532="",E1532="!!!",F1532="NEW"),"",COUNTBLANK(OFFSET(A$1,,,SUMPRODUCT(MAX(ROW(E$2:E1532)*(E1532=E$2:E1532)))))-COUNTBLANK(OFFSET(A$1,,,SUMPRODUCT(MAX(ROW(E$1:E1531)*(E2=E$1:E1531))))))</f>
        <v> </v>
      </c>
      <c r="K1532" s="26" t="str">
        <f>IF(OR(E1532="",E1532="!!!",F1532="NEW"),"",INDEX(J$1:J1531,SUMPRODUCT(MAX(ROW(E$1:E1531)*(E1532=E$1:E1531)))))</f>
        <v> </v>
      </c>
      <c r="L1532" s="27"/>
    </row>
    <row r="1533" spans="1:12">
      <c r="A1533" s="20" t="s">
        <v>716</v>
      </c>
      <c r="B1533" s="21" t="s">
        <v>784</v>
      </c>
      <c r="C1533" s="21" t="s">
        <v>613</v>
      </c>
      <c r="D1533" s="21" t="s">
        <v>587</v>
      </c>
      <c r="E1533" s="22">
        <f>IF(D1533="?OLD","!!!","")</f>
        <v/>
      </c>
      <c r="F1533" s="23" t="str">
        <f>IF(OR(E1533="",E1533="!!!"),"",IF(NOT(ISNA(VLOOKUP(E1533,E$1:E1532,1,FALSE()))),"OLD",IF(AND(E1533&lt;&gt;"",E1533&lt;&gt;"!!!"),"NEW","")))</f>
        <v> </v>
      </c>
      <c r="G1533" s="24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5" t="str">
        <f>IF(J1533&lt;&gt;1,"",IF(I1533="SBJ","CB","?"))</f>
        <v> </v>
      </c>
      <c r="I1533" s="26" t="str">
        <f>IF(OR(E1533="",E1533="!!!",F1533="NEW"),"",INDEX(B1532:B$2,-1+SUMPRODUCT(MAX(ROW(E1532:E$2)*(E1533=E1532:E$2)))))</f>
        <v> </v>
      </c>
      <c r="J1533" s="26" t="str">
        <f>IF(OR(E1533="",E1533="!!!",F1533="NEW"),"",COUNTBLANK(OFFSET(A$1,,,SUMPRODUCT(MAX(ROW(E$2:E1533)*(E1533=E$2:E1533)))))-COUNTBLANK(OFFSET(A$1,,,SUMPRODUCT(MAX(ROW(E$1:E1532)*(E2=E$1:E1532))))))</f>
        <v> </v>
      </c>
      <c r="K1533" s="26" t="str">
        <f>IF(OR(E1533="",E1533="!!!",F1533="NEW"),"",INDEX(J$1:J1532,SUMPRODUCT(MAX(ROW(E$1:E1532)*(E1533=E$1:E1532)))))</f>
        <v> </v>
      </c>
      <c r="L1533" s="27"/>
    </row>
    <row r="1534" spans="1:12">
      <c r="A1534" s="20" t="s">
        <v>1340</v>
      </c>
      <c r="E1534" s="22">
        <f>IF(D1534="?OLD","!!!","")</f>
        <v/>
      </c>
      <c r="F1534" s="23" t="str">
        <f>IF(OR(E1534="",E1534="!!!"),"",IF(NOT(ISNA(VLOOKUP(E1534,E$1:E1533,1,FALSE()))),"OLD",IF(AND(E1534&lt;&gt;"",E1534&lt;&gt;"!!!"),"NEW","")))</f>
        <v> </v>
      </c>
      <c r="G1534" s="24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5" t="str">
        <f>IF(J1534&lt;&gt;1,"",IF(I1534="SBJ","CB","?"))</f>
        <v> </v>
      </c>
      <c r="I1534" s="26" t="str">
        <f>IF(OR(E1534="",E1534="!!!",F1534="NEW"),"",INDEX(B1533:B$2,-1+SUMPRODUCT(MAX(ROW(E1533:E$2)*(E1534=E1533:E$2)))))</f>
        <v> </v>
      </c>
      <c r="J1534" s="26" t="str">
        <f>IF(OR(E1534="",E1534="!!!",F1534="NEW"),"",COUNTBLANK(OFFSET(A$1,,,SUMPRODUCT(MAX(ROW(E$2:E1534)*(E1534=E$2:E1534)))))-COUNTBLANK(OFFSET(A$1,,,SUMPRODUCT(MAX(ROW(E$1:E1533)*(E2=E$1:E1533))))))</f>
        <v> </v>
      </c>
      <c r="K1534" s="26" t="str">
        <f>IF(OR(E1534="",E1534="!!!",F1534="NEW"),"",INDEX(J$1:J1533,SUMPRODUCT(MAX(ROW(E$1:E1533)*(E1534=E$1:E1533)))))</f>
        <v> </v>
      </c>
      <c r="L1534" s="27"/>
    </row>
    <row r="1535" spans="1:12">
      <c r="A1535" s="20" t="s">
        <v>619</v>
      </c>
      <c r="E1535" s="22">
        <f>IF(D1535="?OLD","!!!","")</f>
        <v/>
      </c>
      <c r="F1535" s="23" t="str">
        <f>IF(OR(E1535="",E1535="!!!"),"",IF(NOT(ISNA(VLOOKUP(E1535,E$1:E1534,1,FALSE()))),"OLD",IF(AND(E1535&lt;&gt;"",E1535&lt;&gt;"!!!"),"NEW","")))</f>
        <v> </v>
      </c>
      <c r="G1535" s="24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5" t="str">
        <f>IF(J1535&lt;&gt;1,"",IF(I1535="SBJ","CB","?"))</f>
        <v> </v>
      </c>
      <c r="I1535" s="26" t="str">
        <f>IF(OR(E1535="",E1535="!!!",F1535="NEW"),"",INDEX(B1534:B$2,-1+SUMPRODUCT(MAX(ROW(E1534:E$2)*(E1535=E1534:E$2)))))</f>
        <v> </v>
      </c>
      <c r="J1535" s="26" t="str">
        <f>IF(OR(E1535="",E1535="!!!",F1535="NEW"),"",COUNTBLANK(OFFSET(A$1,,,SUMPRODUCT(MAX(ROW(E$2:E1535)*(E1535=E$2:E1535)))))-COUNTBLANK(OFFSET(A$1,,,SUMPRODUCT(MAX(ROW(E$1:E1534)*(E2=E$1:E1534))))))</f>
        <v> </v>
      </c>
      <c r="K1535" s="26" t="str">
        <f>IF(OR(E1535="",E1535="!!!",F1535="NEW"),"",INDEX(J$1:J1534,SUMPRODUCT(MAX(ROW(E$1:E1534)*(E1535=E$1:E1534)))))</f>
        <v> </v>
      </c>
      <c r="L1535" s="27"/>
    </row>
    <row r="1536" spans="1:12">
      <c r="A1536" s="20" t="s">
        <v>1341</v>
      </c>
      <c r="E1536" s="22">
        <f>IF(D1536="?OLD","!!!","")</f>
        <v/>
      </c>
      <c r="F1536" s="23" t="str">
        <f>IF(OR(E1536="",E1536="!!!"),"",IF(NOT(ISNA(VLOOKUP(E1536,E$1:E1535,1,FALSE()))),"OLD",IF(AND(E1536&lt;&gt;"",E1536&lt;&gt;"!!!"),"NEW","")))</f>
        <v> </v>
      </c>
      <c r="G1536" s="24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5" t="str">
        <f>IF(J1536&lt;&gt;1,"",IF(I1536="SBJ","CB","?"))</f>
        <v> </v>
      </c>
      <c r="I1536" s="26" t="str">
        <f>IF(OR(E1536="",E1536="!!!",F1536="NEW"),"",INDEX(B1535:B$2,-1+SUMPRODUCT(MAX(ROW(E1535:E$2)*(E1536=E1535:E$2)))))</f>
        <v> </v>
      </c>
      <c r="J1536" s="26" t="str">
        <f>IF(OR(E1536="",E1536="!!!",F1536="NEW"),"",COUNTBLANK(OFFSET(A$1,,,SUMPRODUCT(MAX(ROW(E$2:E1536)*(E1536=E$2:E1536)))))-COUNTBLANK(OFFSET(A$1,,,SUMPRODUCT(MAX(ROW(E$1:E1535)*(E2=E$1:E1535))))))</f>
        <v> </v>
      </c>
      <c r="K1536" s="26" t="str">
        <f>IF(OR(E1536="",E1536="!!!",F1536="NEW"),"",INDEX(J$1:J1535,SUMPRODUCT(MAX(ROW(E$1:E1535)*(E1536=E$1:E1535)))))</f>
        <v> </v>
      </c>
      <c r="L1536" s="27"/>
    </row>
    <row r="1537" spans="1:12">
      <c r="A1537" s="20" t="s">
        <v>1081</v>
      </c>
      <c r="E1537" s="22">
        <f>IF(D1537="?OLD","!!!","")</f>
        <v/>
      </c>
      <c r="F1537" s="23" t="str">
        <f>IF(OR(E1537="",E1537="!!!"),"",IF(NOT(ISNA(VLOOKUP(E1537,E$1:E1536,1,FALSE()))),"OLD",IF(AND(E1537&lt;&gt;"",E1537&lt;&gt;"!!!"),"NEW","")))</f>
        <v> </v>
      </c>
      <c r="G1537" s="24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5" t="str">
        <f>IF(J1537&lt;&gt;1,"",IF(I1537="SBJ","CB","?"))</f>
        <v> </v>
      </c>
      <c r="I1537" s="26" t="str">
        <f>IF(OR(E1537="",E1537="!!!",F1537="NEW"),"",INDEX(B1536:B$2,-1+SUMPRODUCT(MAX(ROW(E1536:E$2)*(E1537=E1536:E$2)))))</f>
        <v> </v>
      </c>
      <c r="J1537" s="26" t="str">
        <f>IF(OR(E1537="",E1537="!!!",F1537="NEW"),"",COUNTBLANK(OFFSET(A$1,,,SUMPRODUCT(MAX(ROW(E$2:E1537)*(E1537=E$2:E1537)))))-COUNTBLANK(OFFSET(A$1,,,SUMPRODUCT(MAX(ROW(E$1:E1536)*(E2=E$1:E1536))))))</f>
        <v> </v>
      </c>
      <c r="K1537" s="26" t="str">
        <f>IF(OR(E1537="",E1537="!!!",F1537="NEW"),"",INDEX(J$1:J1536,SUMPRODUCT(MAX(ROW(E$1:E1536)*(E1537=E$1:E1536)))))</f>
        <v> </v>
      </c>
      <c r="L1537" s="27"/>
    </row>
    <row r="1538" spans="1:12">
      <c r="A1538" s="20" t="s">
        <v>1342</v>
      </c>
      <c r="E1538" s="22">
        <f>IF(D1538="?OLD","!!!","")</f>
        <v/>
      </c>
      <c r="F1538" s="23" t="str">
        <f>IF(OR(E1538="",E1538="!!!"),"",IF(NOT(ISNA(VLOOKUP(E1538,E$1:E1537,1,FALSE()))),"OLD",IF(AND(E1538&lt;&gt;"",E1538&lt;&gt;"!!!"),"NEW","")))</f>
        <v> </v>
      </c>
      <c r="G1538" s="24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5" t="str">
        <f>IF(J1538&lt;&gt;1,"",IF(I1538="SBJ","CB","?"))</f>
        <v> </v>
      </c>
      <c r="I1538" s="26" t="str">
        <f>IF(OR(E1538="",E1538="!!!",F1538="NEW"),"",INDEX(B1537:B$2,-1+SUMPRODUCT(MAX(ROW(E1537:E$2)*(E1538=E1537:E$2)))))</f>
        <v> </v>
      </c>
      <c r="J1538" s="26" t="str">
        <f>IF(OR(E1538="",E1538="!!!",F1538="NEW"),"",COUNTBLANK(OFFSET(A$1,,,SUMPRODUCT(MAX(ROW(E$2:E1538)*(E1538=E$2:E1538)))))-COUNTBLANK(OFFSET(A$1,,,SUMPRODUCT(MAX(ROW(E$1:E1537)*(E2=E$1:E1537))))))</f>
        <v> </v>
      </c>
      <c r="K1538" s="26" t="str">
        <f>IF(OR(E1538="",E1538="!!!",F1538="NEW"),"",INDEX(J$1:J1537,SUMPRODUCT(MAX(ROW(E$1:E1537)*(E1538=E$1:E1537)))))</f>
        <v> </v>
      </c>
      <c r="L1538" s="27"/>
    </row>
    <row r="1539" spans="1:12">
      <c r="A1539" s="20" t="s">
        <v>1350</v>
      </c>
      <c r="B1539" s="21" t="s">
        <v>1045</v>
      </c>
      <c r="C1539" s="21" t="s">
        <v>613</v>
      </c>
      <c r="D1539" s="21" t="s">
        <v>587</v>
      </c>
      <c r="E1539" s="22">
        <f>IF(D1539="?OLD","!!!","")</f>
        <v/>
      </c>
      <c r="F1539" s="23" t="str">
        <f>IF(OR(E1539="",E1539="!!!"),"",IF(NOT(ISNA(VLOOKUP(E1539,E$1:E1538,1,FALSE()))),"OLD",IF(AND(E1539&lt;&gt;"",E1539&lt;&gt;"!!!"),"NEW","")))</f>
        <v> </v>
      </c>
      <c r="G1539" s="24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5" t="str">
        <f>IF(J1539&lt;&gt;1,"",IF(I1539="SBJ","CB","?"))</f>
        <v> </v>
      </c>
      <c r="I1539" s="26" t="str">
        <f>IF(OR(E1539="",E1539="!!!",F1539="NEW"),"",INDEX(B1538:B$2,-1+SUMPRODUCT(MAX(ROW(E1538:E$2)*(E1539=E1538:E$2)))))</f>
        <v> </v>
      </c>
      <c r="J1539" s="26" t="str">
        <f>IF(OR(E1539="",E1539="!!!",F1539="NEW"),"",COUNTBLANK(OFFSET(A$1,,,SUMPRODUCT(MAX(ROW(E$2:E1539)*(E1539=E$2:E1539)))))-COUNTBLANK(OFFSET(A$1,,,SUMPRODUCT(MAX(ROW(E$1:E1538)*(E2=E$1:E1538))))))</f>
        <v> </v>
      </c>
      <c r="K1539" s="26" t="str">
        <f>IF(OR(E1539="",E1539="!!!",F1539="NEW"),"",INDEX(J$1:J1538,SUMPRODUCT(MAX(ROW(E$1:E1538)*(E1539=E$1:E1538)))))</f>
        <v> </v>
      </c>
      <c r="L1539" s="27"/>
    </row>
    <row r="1540" spans="1:12">
      <c r="A1540" s="20" t="s">
        <v>975</v>
      </c>
      <c r="E1540" s="22">
        <f>IF(D1540="?OLD","!!!","")</f>
        <v/>
      </c>
      <c r="F1540" s="23" t="str">
        <f>IF(OR(E1540="",E1540="!!!"),"",IF(NOT(ISNA(VLOOKUP(E1540,E$1:E1539,1,FALSE()))),"OLD",IF(AND(E1540&lt;&gt;"",E1540&lt;&gt;"!!!"),"NEW","")))</f>
        <v> </v>
      </c>
      <c r="G1540" s="24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5" t="str">
        <f>IF(J1540&lt;&gt;1,"",IF(I1540="SBJ","CB","?"))</f>
        <v> </v>
      </c>
      <c r="I1540" s="26" t="str">
        <f>IF(OR(E1540="",E1540="!!!",F1540="NEW"),"",INDEX(B1539:B$2,-1+SUMPRODUCT(MAX(ROW(E1539:E$2)*(E1540=E1539:E$2)))))</f>
        <v> </v>
      </c>
      <c r="J1540" s="26" t="str">
        <f>IF(OR(E1540="",E1540="!!!",F1540="NEW"),"",COUNTBLANK(OFFSET(A$1,,,SUMPRODUCT(MAX(ROW(E$2:E1540)*(E1540=E$2:E1540)))))-COUNTBLANK(OFFSET(A$1,,,SUMPRODUCT(MAX(ROW(E$1:E1539)*(E2=E$1:E1539))))))</f>
        <v> </v>
      </c>
      <c r="K1540" s="26" t="str">
        <f>IF(OR(E1540="",E1540="!!!",F1540="NEW"),"",INDEX(J$1:J1539,SUMPRODUCT(MAX(ROW(E$1:E1539)*(E1540=E$1:E1539)))))</f>
        <v> </v>
      </c>
      <c r="L1540" s="27"/>
    </row>
    <row r="1541" spans="1:12">
      <c r="A1541" s="20" t="s">
        <v>609</v>
      </c>
      <c r="E1541" s="22">
        <f>IF(D1541="?OLD","!!!","")</f>
        <v/>
      </c>
      <c r="F1541" s="23" t="str">
        <f>IF(OR(E1541="",E1541="!!!"),"",IF(NOT(ISNA(VLOOKUP(E1541,E$1:E1540,1,FALSE()))),"OLD",IF(AND(E1541&lt;&gt;"",E1541&lt;&gt;"!!!"),"NEW","")))</f>
        <v> </v>
      </c>
      <c r="G1541" s="24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5" t="str">
        <f>IF(J1541&lt;&gt;1,"",IF(I1541="SBJ","CB","?"))</f>
        <v> </v>
      </c>
      <c r="I1541" s="26" t="str">
        <f>IF(OR(E1541="",E1541="!!!",F1541="NEW"),"",INDEX(B1540:B$2,-1+SUMPRODUCT(MAX(ROW(E1540:E$2)*(E1541=E1540:E$2)))))</f>
        <v> </v>
      </c>
      <c r="J1541" s="26" t="str">
        <f>IF(OR(E1541="",E1541="!!!",F1541="NEW"),"",COUNTBLANK(OFFSET(A$1,,,SUMPRODUCT(MAX(ROW(E$2:E1541)*(E1541=E$2:E1541)))))-COUNTBLANK(OFFSET(A$1,,,SUMPRODUCT(MAX(ROW(E$1:E1540)*(E2=E$1:E1540))))))</f>
        <v> </v>
      </c>
      <c r="K1541" s="26" t="str">
        <f>IF(OR(E1541="",E1541="!!!",F1541="NEW"),"",INDEX(J$1:J1540,SUMPRODUCT(MAX(ROW(E$1:E1540)*(E1541=E$1:E1540)))))</f>
        <v> </v>
      </c>
      <c r="L1541" s="27"/>
    </row>
    <row r="1542" spans="1:12">
      <c r="A1542" s="20" t="s">
        <v>1351</v>
      </c>
      <c r="E1542" s="22">
        <f>IF(D1542="?OLD","!!!","")</f>
        <v/>
      </c>
      <c r="F1542" s="23" t="str">
        <f>IF(OR(E1542="",E1542="!!!"),"",IF(NOT(ISNA(VLOOKUP(E1542,E$1:E1541,1,FALSE()))),"OLD",IF(AND(E1542&lt;&gt;"",E1542&lt;&gt;"!!!"),"NEW","")))</f>
        <v> </v>
      </c>
      <c r="G1542" s="24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5" t="str">
        <f>IF(J1542&lt;&gt;1,"",IF(I1542="SBJ","CB","?"))</f>
        <v> </v>
      </c>
      <c r="I1542" s="26" t="str">
        <f>IF(OR(E1542="",E1542="!!!",F1542="NEW"),"",INDEX(B1541:B$2,-1+SUMPRODUCT(MAX(ROW(E1541:E$2)*(E1542=E1541:E$2)))))</f>
        <v> </v>
      </c>
      <c r="J1542" s="26" t="str">
        <f>IF(OR(E1542="",E1542="!!!",F1542="NEW"),"",COUNTBLANK(OFFSET(A$1,,,SUMPRODUCT(MAX(ROW(E$2:E1542)*(E1542=E$2:E1542)))))-COUNTBLANK(OFFSET(A$1,,,SUMPRODUCT(MAX(ROW(E$1:E1541)*(E2=E$1:E1541))))))</f>
        <v> </v>
      </c>
      <c r="K1542" s="26" t="str">
        <f>IF(OR(E1542="",E1542="!!!",F1542="NEW"),"",INDEX(J$1:J1541,SUMPRODUCT(MAX(ROW(E$1:E1541)*(E1542=E$1:E1541)))))</f>
        <v> </v>
      </c>
      <c r="L1542" s="27"/>
    </row>
    <row r="1543" spans="1:12">
      <c r="A1543" s="20" t="s">
        <v>136</v>
      </c>
      <c r="B1543" s="21" t="s">
        <v>1045</v>
      </c>
      <c r="C1543" s="21" t="s">
        <v>586</v>
      </c>
      <c r="D1543" s="21" t="s">
        <v>587</v>
      </c>
      <c r="E1543" s="22">
        <f>IF(D1543="?OLD","!!!","")</f>
        <v/>
      </c>
      <c r="F1543" s="23" t="str">
        <f>IF(OR(E1543="",E1543="!!!"),"",IF(NOT(ISNA(VLOOKUP(E1543,E$1:E1542,1,FALSE()))),"OLD",IF(AND(E1543&lt;&gt;"",E1543&lt;&gt;"!!!"),"NEW","")))</f>
        <v> </v>
      </c>
      <c r="G1543" s="24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5" t="str">
        <f>IF(J1543&lt;&gt;1,"",IF(I1543="SBJ","CB","?"))</f>
        <v> </v>
      </c>
      <c r="I1543" s="26" t="str">
        <f>IF(OR(E1543="",E1543="!!!",F1543="NEW"),"",INDEX(B1542:B$2,-1+SUMPRODUCT(MAX(ROW(E1542:E$2)*(E1543=E1542:E$2)))))</f>
        <v> </v>
      </c>
      <c r="J1543" s="26" t="str">
        <f>IF(OR(E1543="",E1543="!!!",F1543="NEW"),"",COUNTBLANK(OFFSET(A$1,,,SUMPRODUCT(MAX(ROW(E$2:E1543)*(E1543=E$2:E1543)))))-COUNTBLANK(OFFSET(A$1,,,SUMPRODUCT(MAX(ROW(E$1:E1542)*(E2=E$1:E1542))))))</f>
        <v> </v>
      </c>
      <c r="K1543" s="26" t="str">
        <f>IF(OR(E1543="",E1543="!!!",F1543="NEW"),"",INDEX(J$1:J1542,SUMPRODUCT(MAX(ROW(E$1:E1542)*(E1543=E$1:E1542)))))</f>
        <v> </v>
      </c>
      <c r="L1543" s="27"/>
    </row>
    <row r="1544" spans="1:12">
      <c r="A1544" s="20" t="s">
        <v>583</v>
      </c>
      <c r="E1544" s="22">
        <f>IF(D1544="?OLD","!!!","")</f>
        <v/>
      </c>
      <c r="F1544" s="23" t="str">
        <f>IF(OR(E1544="",E1544="!!!"),"",IF(NOT(ISNA(VLOOKUP(E1544,E$1:E1543,1,FALSE()))),"OLD",IF(AND(E1544&lt;&gt;"",E1544&lt;&gt;"!!!"),"NEW","")))</f>
        <v> </v>
      </c>
      <c r="G1544" s="24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5" t="str">
        <f>IF(J1544&lt;&gt;1,"",IF(I1544="SBJ","CB","?"))</f>
        <v> </v>
      </c>
      <c r="I1544" s="26" t="str">
        <f>IF(OR(E1544="",E1544="!!!",F1544="NEW"),"",INDEX(B1543:B$2,-1+SUMPRODUCT(MAX(ROW(E1543:E$2)*(E1544=E1543:E$2)))))</f>
        <v> </v>
      </c>
      <c r="J1544" s="26" t="str">
        <f>IF(OR(E1544="",E1544="!!!",F1544="NEW"),"",COUNTBLANK(OFFSET(A$1,,,SUMPRODUCT(MAX(ROW(E$2:E1544)*(E1544=E$2:E1544)))))-COUNTBLANK(OFFSET(A$1,,,SUMPRODUCT(MAX(ROW(E$1:E1543)*(E2=E$1:E1543))))))</f>
        <v> </v>
      </c>
      <c r="K1544" s="26" t="str">
        <f>IF(OR(E1544="",E1544="!!!",F1544="NEW"),"",INDEX(J$1:J1543,SUMPRODUCT(MAX(ROW(E$1:E1543)*(E1544=E$1:E1543)))))</f>
        <v> </v>
      </c>
      <c r="L1544" s="27"/>
    </row>
    <row r="1545" spans="1:12">
      <c r="A1545" s="20" t="s">
        <v>369</v>
      </c>
      <c r="E1545" s="22">
        <f>IF(D1545="?OLD","!!!","")</f>
        <v/>
      </c>
      <c r="F1545" s="23" t="str">
        <f>IF(OR(E1545="",E1545="!!!"),"",IF(NOT(ISNA(VLOOKUP(E1545,E$1:E1544,1,FALSE()))),"OLD",IF(AND(E1545&lt;&gt;"",E1545&lt;&gt;"!!!"),"NEW","")))</f>
        <v> </v>
      </c>
      <c r="G1545" s="24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5" t="str">
        <f>IF(J1545&lt;&gt;1,"",IF(I1545="SBJ","CB","?"))</f>
        <v> </v>
      </c>
      <c r="I1545" s="26" t="str">
        <f>IF(OR(E1545="",E1545="!!!",F1545="NEW"),"",INDEX(B1544:B$2,-1+SUMPRODUCT(MAX(ROW(E1544:E$2)*(E1545=E1544:E$2)))))</f>
        <v> </v>
      </c>
      <c r="J1545" s="26" t="str">
        <f>IF(OR(E1545="",E1545="!!!",F1545="NEW"),"",COUNTBLANK(OFFSET(A$1,,,SUMPRODUCT(MAX(ROW(E$2:E1545)*(E1545=E$2:E1545)))))-COUNTBLANK(OFFSET(A$1,,,SUMPRODUCT(MAX(ROW(E$1:E1544)*(E2=E$1:E1544))))))</f>
        <v> </v>
      </c>
      <c r="K1545" s="26" t="str">
        <f>IF(OR(E1545="",E1545="!!!",F1545="NEW"),"",INDEX(J$1:J1544,SUMPRODUCT(MAX(ROW(E$1:E1544)*(E1545=E$1:E1544)))))</f>
        <v> </v>
      </c>
      <c r="L1545" s="27"/>
    </row>
    <row r="1546" spans="1:12">
      <c r="A1546" s="20" t="s">
        <v>1236</v>
      </c>
      <c r="B1546" s="21" t="s">
        <v>961</v>
      </c>
      <c r="C1546" s="21" t="s">
        <v>613</v>
      </c>
      <c r="D1546" s="21" t="s">
        <v>587</v>
      </c>
      <c r="E1546" s="22">
        <f>IF(D1546="?OLD","!!!","")</f>
        <v/>
      </c>
      <c r="F1546" s="23" t="str">
        <f>IF(OR(E1546="",E1546="!!!"),"",IF(NOT(ISNA(VLOOKUP(E1546,E$1:E1545,1,FALSE()))),"OLD",IF(AND(E1546&lt;&gt;"",E1546&lt;&gt;"!!!"),"NEW","")))</f>
        <v> </v>
      </c>
      <c r="G1546" s="24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5" t="str">
        <f>IF(J1546&lt;&gt;1,"",IF(I1546="SBJ","CB","?"))</f>
        <v> </v>
      </c>
      <c r="I1546" s="26" t="str">
        <f>IF(OR(E1546="",E1546="!!!",F1546="NEW"),"",INDEX(B1545:B$2,-1+SUMPRODUCT(MAX(ROW(E1545:E$2)*(E1546=E1545:E$2)))))</f>
        <v> </v>
      </c>
      <c r="J1546" s="26" t="str">
        <f>IF(OR(E1546="",E1546="!!!",F1546="NEW"),"",COUNTBLANK(OFFSET(A$1,,,SUMPRODUCT(MAX(ROW(E$2:E1546)*(E1546=E$2:E1546)))))-COUNTBLANK(OFFSET(A$1,,,SUMPRODUCT(MAX(ROW(E$1:E1545)*(E2=E$1:E1545))))))</f>
        <v> </v>
      </c>
      <c r="K1546" s="26" t="str">
        <f>IF(OR(E1546="",E1546="!!!",F1546="NEW"),"",INDEX(J$1:J1545,SUMPRODUCT(MAX(ROW(E$1:E1545)*(E1546=E$1:E1545)))))</f>
        <v> </v>
      </c>
      <c r="L1546" s="27"/>
    </row>
    <row r="1547" spans="1:12">
      <c r="A1547" s="20" t="s">
        <v>1352</v>
      </c>
      <c r="E1547" s="22">
        <f>IF(D1547="?OLD","!!!","")</f>
        <v/>
      </c>
      <c r="F1547" s="23" t="str">
        <f>IF(OR(E1547="",E1547="!!!"),"",IF(NOT(ISNA(VLOOKUP(E1547,E$1:E1546,1,FALSE()))),"OLD",IF(AND(E1547&lt;&gt;"",E1547&lt;&gt;"!!!"),"NEW","")))</f>
        <v> </v>
      </c>
      <c r="G1547" s="24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5" t="str">
        <f>IF(J1547&lt;&gt;1,"",IF(I1547="SBJ","CB","?"))</f>
        <v> </v>
      </c>
      <c r="I1547" s="26" t="str">
        <f>IF(OR(E1547="",E1547="!!!",F1547="NEW"),"",INDEX(B1546:B$2,-1+SUMPRODUCT(MAX(ROW(E1546:E$2)*(E1547=E1546:E$2)))))</f>
        <v> </v>
      </c>
      <c r="J1547" s="26" t="str">
        <f>IF(OR(E1547="",E1547="!!!",F1547="NEW"),"",COUNTBLANK(OFFSET(A$1,,,SUMPRODUCT(MAX(ROW(E$2:E1547)*(E1547=E$2:E1547)))))-COUNTBLANK(OFFSET(A$1,,,SUMPRODUCT(MAX(ROW(E$1:E1546)*(E2=E$1:E1546))))))</f>
        <v> </v>
      </c>
      <c r="K1547" s="26" t="str">
        <f>IF(OR(E1547="",E1547="!!!",F1547="NEW"),"",INDEX(J$1:J1546,SUMPRODUCT(MAX(ROW(E$1:E1546)*(E1547=E$1:E1546)))))</f>
        <v> </v>
      </c>
      <c r="L1547" s="27"/>
    </row>
    <row r="1548" spans="1:12">
      <c r="A1548" s="20" t="s">
        <v>975</v>
      </c>
      <c r="E1548" s="22">
        <f>IF(D1548="?OLD","!!!","")</f>
        <v/>
      </c>
      <c r="F1548" s="23" t="str">
        <f>IF(OR(E1548="",E1548="!!!"),"",IF(NOT(ISNA(VLOOKUP(E1548,E$1:E1547,1,FALSE()))),"OLD",IF(AND(E1548&lt;&gt;"",E1548&lt;&gt;"!!!"),"NEW","")))</f>
        <v> </v>
      </c>
      <c r="G1548" s="24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5" t="str">
        <f>IF(J1548&lt;&gt;1,"",IF(I1548="SBJ","CB","?"))</f>
        <v> </v>
      </c>
      <c r="I1548" s="26" t="str">
        <f>IF(OR(E1548="",E1548="!!!",F1548="NEW"),"",INDEX(B1547:B$2,-1+SUMPRODUCT(MAX(ROW(E1547:E$2)*(E1548=E1547:E$2)))))</f>
        <v> </v>
      </c>
      <c r="J1548" s="26" t="str">
        <f>IF(OR(E1548="",E1548="!!!",F1548="NEW"),"",COUNTBLANK(OFFSET(A$1,,,SUMPRODUCT(MAX(ROW(E$2:E1548)*(E1548=E$2:E1548)))))-COUNTBLANK(OFFSET(A$1,,,SUMPRODUCT(MAX(ROW(E$1:E1547)*(E2=E$1:E1547))))))</f>
        <v> </v>
      </c>
      <c r="K1548" s="26" t="str">
        <f>IF(OR(E1548="",E1548="!!!",F1548="NEW"),"",INDEX(J$1:J1547,SUMPRODUCT(MAX(ROW(E$1:E1547)*(E1548=E$1:E1547)))))</f>
        <v> </v>
      </c>
      <c r="L1548" s="27"/>
    </row>
    <row r="1549" spans="1:12">
      <c r="A1549" s="20" t="s">
        <v>580</v>
      </c>
      <c r="E1549" s="22">
        <f>IF(D1549="?OLD","!!!","")</f>
        <v/>
      </c>
      <c r="F1549" s="23" t="str">
        <f>IF(OR(E1549="",E1549="!!!"),"",IF(NOT(ISNA(VLOOKUP(E1549,E$1:E1548,1,FALSE()))),"OLD",IF(AND(E1549&lt;&gt;"",E1549&lt;&gt;"!!!"),"NEW","")))</f>
        <v> </v>
      </c>
      <c r="G1549" s="24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5" t="str">
        <f>IF(J1549&lt;&gt;1,"",IF(I1549="SBJ","CB","?"))</f>
        <v> </v>
      </c>
      <c r="I1549" s="26" t="str">
        <f>IF(OR(E1549="",E1549="!!!",F1549="NEW"),"",INDEX(B1548:B$2,-1+SUMPRODUCT(MAX(ROW(E1548:E$2)*(E1549=E1548:E$2)))))</f>
        <v> </v>
      </c>
      <c r="J1549" s="26" t="str">
        <f>IF(OR(E1549="",E1549="!!!",F1549="NEW"),"",COUNTBLANK(OFFSET(A$1,,,SUMPRODUCT(MAX(ROW(E$2:E1549)*(E1549=E$2:E1549)))))-COUNTBLANK(OFFSET(A$1,,,SUMPRODUCT(MAX(ROW(E$1:E1548)*(E2=E$1:E1548))))))</f>
        <v> </v>
      </c>
      <c r="K1549" s="26" t="str">
        <f>IF(OR(E1549="",E1549="!!!",F1549="NEW"),"",INDEX(J$1:J1548,SUMPRODUCT(MAX(ROW(E$1:E1548)*(E1549=E$1:E1548)))))</f>
        <v> </v>
      </c>
      <c r="L1549" s="27"/>
    </row>
    <row r="1550" spans="1:12">
      <c r="A1550" s="20" t="s">
        <v>1353</v>
      </c>
      <c r="E1550" s="22">
        <f>IF(D1550="?OLD","!!!","")</f>
        <v/>
      </c>
      <c r="F1550" s="23" t="str">
        <f>IF(OR(E1550="",E1550="!!!"),"",IF(NOT(ISNA(VLOOKUP(E1550,E$1:E1549,1,FALSE()))),"OLD",IF(AND(E1550&lt;&gt;"",E1550&lt;&gt;"!!!"),"NEW","")))</f>
        <v> </v>
      </c>
      <c r="G1550" s="24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5" t="str">
        <f>IF(J1550&lt;&gt;1,"",IF(I1550="SBJ","CB","?"))</f>
        <v> </v>
      </c>
      <c r="I1550" s="26" t="str">
        <f>IF(OR(E1550="",E1550="!!!",F1550="NEW"),"",INDEX(B1549:B$2,-1+SUMPRODUCT(MAX(ROW(E1549:E$2)*(E1550=E1549:E$2)))))</f>
        <v> </v>
      </c>
      <c r="J1550" s="26" t="str">
        <f>IF(OR(E1550="",E1550="!!!",F1550="NEW"),"",COUNTBLANK(OFFSET(A$1,,,SUMPRODUCT(MAX(ROW(E$2:E1550)*(E1550=E$2:E1550)))))-COUNTBLANK(OFFSET(A$1,,,SUMPRODUCT(MAX(ROW(E$1:E1549)*(E2=E$1:E1549))))))</f>
        <v> </v>
      </c>
      <c r="K1550" s="26" t="str">
        <f>IF(OR(E1550="",E1550="!!!",F1550="NEW"),"",INDEX(J$1:J1549,SUMPRODUCT(MAX(ROW(E$1:E1549)*(E1550=E$1:E1549)))))</f>
        <v> </v>
      </c>
      <c r="L1550" s="27"/>
    </row>
    <row r="1551" spans="1:12">
      <c r="A1551" s="20" t="s">
        <v>592</v>
      </c>
      <c r="E1551" s="22">
        <f>IF(D1551="?OLD","!!!","")</f>
        <v/>
      </c>
      <c r="F1551" s="23" t="str">
        <f>IF(OR(E1551="",E1551="!!!"),"",IF(NOT(ISNA(VLOOKUP(E1551,E$1:E1550,1,FALSE()))),"OLD",IF(AND(E1551&lt;&gt;"",E1551&lt;&gt;"!!!"),"NEW","")))</f>
        <v> </v>
      </c>
      <c r="G1551" s="24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5" t="str">
        <f>IF(J1551&lt;&gt;1,"",IF(I1551="SBJ","CB","?"))</f>
        <v> </v>
      </c>
      <c r="I1551" s="26" t="str">
        <f>IF(OR(E1551="",E1551="!!!",F1551="NEW"),"",INDEX(B1550:B$2,-1+SUMPRODUCT(MAX(ROW(E1550:E$2)*(E1551=E1550:E$2)))))</f>
        <v> </v>
      </c>
      <c r="J1551" s="26" t="str">
        <f>IF(OR(E1551="",E1551="!!!",F1551="NEW"),"",COUNTBLANK(OFFSET(A$1,,,SUMPRODUCT(MAX(ROW(E$2:E1551)*(E1551=E$2:E1551)))))-COUNTBLANK(OFFSET(A$1,,,SUMPRODUCT(MAX(ROW(E$1:E1550)*(E2=E$1:E1550))))))</f>
        <v> </v>
      </c>
      <c r="K1551" s="26" t="str">
        <f>IF(OR(E1551="",E1551="!!!",F1551="NEW"),"",INDEX(J$1:J1550,SUMPRODUCT(MAX(ROW(E$1:E1550)*(E1551=E$1:E1550)))))</f>
        <v> </v>
      </c>
      <c r="L1551" s="27"/>
    </row>
    <row r="1552" spans="1:12">
      <c r="A1552" s="20"/>
    </row>
    <row r="1553" spans="1:12">
      <c r="A1553" s="20" t="s">
        <v>1354</v>
      </c>
    </row>
    <row r="1554" spans="1:12">
      <c r="A1554" s="20" t="s">
        <v>1355</v>
      </c>
      <c r="E1554" s="22">
        <f>IF(D1554="?OLD","!!!","")</f>
        <v/>
      </c>
      <c r="F1554" s="23" t="str">
        <f>IF(OR(E1554="",E1554="!!!"),"",IF(NOT(ISNA(VLOOKUP(E1554,E$1:E1553,1,FALSE()))),"OLD",IF(AND(E1554&lt;&gt;"",E1554&lt;&gt;"!!!"),"NEW","")))</f>
        <v> </v>
      </c>
      <c r="G1554" s="24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5" t="str">
        <f>IF(J1554&lt;&gt;1,"",IF(I1554="SBJ","CB","?"))</f>
        <v> </v>
      </c>
      <c r="I1554" s="26" t="str">
        <f>IF(OR(E1554="",E1554="!!!",F1554="NEW"),"",INDEX(B1553:B$2,-1+SUMPRODUCT(MAX(ROW(E1553:E$2)*(E1554=E1553:E$2)))))</f>
        <v> </v>
      </c>
      <c r="J1554" s="26" t="str">
        <f>IF(OR(E1554="",E1554="!!!",F1554="NEW"),"",COUNTBLANK(OFFSET(A$1,,,SUMPRODUCT(MAX(ROW(E$2:E1554)*(E1554=E$2:E1554)))))-COUNTBLANK(OFFSET(A$1,,,SUMPRODUCT(MAX(ROW(E$1:E1553)*(E2=E$1:E1553))))))</f>
        <v> </v>
      </c>
      <c r="K1554" s="26" t="str">
        <f>IF(OR(E1554="",E1554="!!!",F1554="NEW"),"",INDEX(J$1:J1553,SUMPRODUCT(MAX(ROW(E$1:E1553)*(E1554=E$1:E1553)))))</f>
        <v> </v>
      </c>
      <c r="L1554" s="27"/>
    </row>
    <row r="1555" spans="1:12">
      <c r="A1555" s="20" t="s">
        <v>323</v>
      </c>
      <c r="B1555" s="21" t="s">
        <v>651</v>
      </c>
      <c r="C1555" s="21" t="s">
        <v>628</v>
      </c>
      <c r="D1555" s="21" t="s">
        <v>587</v>
      </c>
      <c r="E1555" s="22">
        <f>IF(D1555="?OLD","!!!","")</f>
        <v/>
      </c>
      <c r="F1555" s="23" t="str">
        <f>IF(OR(E1555="",E1555="!!!"),"",IF(NOT(ISNA(VLOOKUP(E1555,E$1:E1554,1,FALSE()))),"OLD",IF(AND(E1555&lt;&gt;"",E1555&lt;&gt;"!!!"),"NEW","")))</f>
        <v> </v>
      </c>
      <c r="G1555" s="24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5" t="str">
        <f>IF(J1555&lt;&gt;1,"",IF(I1555="SBJ","CB","?"))</f>
        <v> </v>
      </c>
      <c r="I1555" s="26" t="str">
        <f>IF(OR(E1555="",E1555="!!!",F1555="NEW"),"",INDEX(B1554:B$2,-1+SUMPRODUCT(MAX(ROW(E1554:E$2)*(E1555=E1554:E$2)))))</f>
        <v> </v>
      </c>
      <c r="J1555" s="26" t="str">
        <f>IF(OR(E1555="",E1555="!!!",F1555="NEW"),"",COUNTBLANK(OFFSET(A$1,,,SUMPRODUCT(MAX(ROW(E$2:E1555)*(E1555=E$2:E1555)))))-COUNTBLANK(OFFSET(A$1,,,SUMPRODUCT(MAX(ROW(E$1:E1554)*(E2=E$1:E1554))))))</f>
        <v> </v>
      </c>
      <c r="K1555" s="26" t="str">
        <f>IF(OR(E1555="",E1555="!!!",F1555="NEW"),"",INDEX(J$1:J1554,SUMPRODUCT(MAX(ROW(E$1:E1554)*(E1555=E$1:E1554)))))</f>
        <v> </v>
      </c>
      <c r="L1555" s="27"/>
    </row>
    <row r="1556" spans="1:12">
      <c r="A1556" s="20" t="s">
        <v>592</v>
      </c>
      <c r="E1556" s="22">
        <f>IF(D1556="?OLD","!!!","")</f>
        <v/>
      </c>
      <c r="F1556" s="23" t="str">
        <f>IF(OR(E1556="",E1556="!!!"),"",IF(NOT(ISNA(VLOOKUP(E1556,E$1:E1555,1,FALSE()))),"OLD",IF(AND(E1556&lt;&gt;"",E1556&lt;&gt;"!!!"),"NEW","")))</f>
        <v> </v>
      </c>
      <c r="G1556" s="24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5" t="str">
        <f>IF(J1556&lt;&gt;1,"",IF(I1556="SBJ","CB","?"))</f>
        <v> </v>
      </c>
      <c r="I1556" s="26" t="str">
        <f>IF(OR(E1556="",E1556="!!!",F1556="NEW"),"",INDEX(B1555:B$2,-1+SUMPRODUCT(MAX(ROW(E1555:E$2)*(E1556=E1555:E$2)))))</f>
        <v> </v>
      </c>
      <c r="J1556" s="26" t="str">
        <f>IF(OR(E1556="",E1556="!!!",F1556="NEW"),"",COUNTBLANK(OFFSET(A$1,,,SUMPRODUCT(MAX(ROW(E$2:E1556)*(E1556=E$2:E1556)))))-COUNTBLANK(OFFSET(A$1,,,SUMPRODUCT(MAX(ROW(E$1:E1555)*(E2=E$1:E1555))))))</f>
        <v> </v>
      </c>
      <c r="K1556" s="26" t="str">
        <f>IF(OR(E1556="",E1556="!!!",F1556="NEW"),"",INDEX(J$1:J1555,SUMPRODUCT(MAX(ROW(E$1:E1555)*(E1556=E$1:E1555)))))</f>
        <v> </v>
      </c>
      <c r="L1556" s="27"/>
    </row>
    <row r="1557" spans="1:12">
      <c r="A1557" s="20"/>
    </row>
    <row r="1558" spans="1:12">
      <c r="A1558" s="20" t="s">
        <v>1356</v>
      </c>
    </row>
    <row r="1559" spans="1:12">
      <c r="A1559" s="20" t="s">
        <v>1355</v>
      </c>
      <c r="E1559" s="22">
        <f>IF(D1559="?OLD","!!!","")</f>
        <v/>
      </c>
      <c r="F1559" s="23" t="str">
        <f>IF(OR(E1559="",E1559="!!!"),"",IF(NOT(ISNA(VLOOKUP(E1559,E$1:E1558,1,FALSE()))),"OLD",IF(AND(E1559&lt;&gt;"",E1559&lt;&gt;"!!!"),"NEW","")))</f>
        <v> </v>
      </c>
      <c r="G1559" s="24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5" t="str">
        <f>IF(J1559&lt;&gt;1,"",IF(I1559="SBJ","CB","?"))</f>
        <v> </v>
      </c>
      <c r="I1559" s="26" t="str">
        <f>IF(OR(E1559="",E1559="!!!",F1559="NEW"),"",INDEX(B1558:B$2,-1+SUMPRODUCT(MAX(ROW(E1558:E$2)*(E1559=E1558:E$2)))))</f>
        <v> </v>
      </c>
      <c r="J1559" s="26" t="str">
        <f>IF(OR(E1559="",E1559="!!!",F1559="NEW"),"",COUNTBLANK(OFFSET(A$1,,,SUMPRODUCT(MAX(ROW(E$2:E1559)*(E1559=E$2:E1559)))))-COUNTBLANK(OFFSET(A$1,,,SUMPRODUCT(MAX(ROW(E$1:E1558)*(E2=E$1:E1558))))))</f>
        <v> </v>
      </c>
      <c r="K1559" s="26" t="str">
        <f>IF(OR(E1559="",E1559="!!!",F1559="NEW"),"",INDEX(J$1:J1558,SUMPRODUCT(MAX(ROW(E$1:E1558)*(E1559=E$1:E1558)))))</f>
        <v> </v>
      </c>
      <c r="L1559" s="27"/>
    </row>
    <row r="1560" spans="1:12">
      <c r="A1560" s="20" t="s">
        <v>1357</v>
      </c>
      <c r="E1560" s="22">
        <f>IF(D1560="?OLD","!!!","")</f>
        <v/>
      </c>
      <c r="F1560" s="23" t="str">
        <f>IF(OR(E1560="",E1560="!!!"),"",IF(NOT(ISNA(VLOOKUP(E1560,E$1:E1559,1,FALSE()))),"OLD",IF(AND(E1560&lt;&gt;"",E1560&lt;&gt;"!!!"),"NEW","")))</f>
        <v> </v>
      </c>
      <c r="G1560" s="24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5" t="str">
        <f>IF(J1560&lt;&gt;1,"",IF(I1560="SBJ","CB","?"))</f>
        <v> </v>
      </c>
      <c r="I1560" s="26" t="str">
        <f>IF(OR(E1560="",E1560="!!!",F1560="NEW"),"",INDEX(B1559:B$2,-1+SUMPRODUCT(MAX(ROW(E1559:E$2)*(E1560=E1559:E$2)))))</f>
        <v> </v>
      </c>
      <c r="J1560" s="26" t="str">
        <f>IF(OR(E1560="",E1560="!!!",F1560="NEW"),"",COUNTBLANK(OFFSET(A$1,,,SUMPRODUCT(MAX(ROW(E$2:E1560)*(E1560=E$2:E1560)))))-COUNTBLANK(OFFSET(A$1,,,SUMPRODUCT(MAX(ROW(E$1:E1559)*(E2=E$1:E1559))))))</f>
        <v> </v>
      </c>
      <c r="K1560" s="26" t="str">
        <f>IF(OR(E1560="",E1560="!!!",F1560="NEW"),"",INDEX(J$1:J1559,SUMPRODUCT(MAX(ROW(E$1:E1559)*(E1560=E$1:E1559)))))</f>
        <v> </v>
      </c>
      <c r="L1560" s="27"/>
    </row>
    <row r="1561" spans="1:12">
      <c r="A1561" s="20" t="s">
        <v>1358</v>
      </c>
      <c r="E1561" s="22">
        <f>IF(D1561="?OLD","!!!","")</f>
        <v/>
      </c>
      <c r="F1561" s="23" t="str">
        <f>IF(OR(E1561="",E1561="!!!"),"",IF(NOT(ISNA(VLOOKUP(E1561,E$1:E1560,1,FALSE()))),"OLD",IF(AND(E1561&lt;&gt;"",E1561&lt;&gt;"!!!"),"NEW","")))</f>
        <v> </v>
      </c>
      <c r="G1561" s="24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5" t="str">
        <f>IF(J1561&lt;&gt;1,"",IF(I1561="SBJ","CB","?"))</f>
        <v> </v>
      </c>
      <c r="I1561" s="26" t="str">
        <f>IF(OR(E1561="",E1561="!!!",F1561="NEW"),"",INDEX(B1560:B$2,-1+SUMPRODUCT(MAX(ROW(E1560:E$2)*(E1561=E1560:E$2)))))</f>
        <v> </v>
      </c>
      <c r="J1561" s="26" t="str">
        <f>IF(OR(E1561="",E1561="!!!",F1561="NEW"),"",COUNTBLANK(OFFSET(A$1,,,SUMPRODUCT(MAX(ROW(E$2:E1561)*(E1561=E$2:E1561)))))-COUNTBLANK(OFFSET(A$1,,,SUMPRODUCT(MAX(ROW(E$1:E1560)*(E2=E$1:E1560))))))</f>
        <v> </v>
      </c>
      <c r="K1561" s="26" t="str">
        <f>IF(OR(E1561="",E1561="!!!",F1561="NEW"),"",INDEX(J$1:J1560,SUMPRODUCT(MAX(ROW(E$1:E1560)*(E1561=E$1:E1560)))))</f>
        <v> </v>
      </c>
      <c r="L1561" s="27"/>
    </row>
    <row r="1562" spans="1:12">
      <c r="A1562" s="20" t="s">
        <v>1359</v>
      </c>
      <c r="E1562" s="22">
        <f>IF(D1562="?OLD","!!!","")</f>
        <v/>
      </c>
      <c r="F1562" s="23" t="str">
        <f>IF(OR(E1562="",E1562="!!!"),"",IF(NOT(ISNA(VLOOKUP(E1562,E$1:E1561,1,FALSE()))),"OLD",IF(AND(E1562&lt;&gt;"",E1562&lt;&gt;"!!!"),"NEW","")))</f>
        <v> </v>
      </c>
      <c r="G1562" s="24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5" t="str">
        <f>IF(J1562&lt;&gt;1,"",IF(I1562="SBJ","CB","?"))</f>
        <v> </v>
      </c>
      <c r="I1562" s="26" t="str">
        <f>IF(OR(E1562="",E1562="!!!",F1562="NEW"),"",INDEX(B1561:B$2,-1+SUMPRODUCT(MAX(ROW(E1561:E$2)*(E1562=E1561:E$2)))))</f>
        <v> </v>
      </c>
      <c r="J1562" s="26" t="str">
        <f>IF(OR(E1562="",E1562="!!!",F1562="NEW"),"",COUNTBLANK(OFFSET(A$1,,,SUMPRODUCT(MAX(ROW(E$2:E1562)*(E1562=E$2:E1562)))))-COUNTBLANK(OFFSET(A$1,,,SUMPRODUCT(MAX(ROW(E$1:E1561)*(E2=E$1:E1561))))))</f>
        <v> </v>
      </c>
      <c r="K1562" s="26" t="str">
        <f>IF(OR(E1562="",E1562="!!!",F1562="NEW"),"",INDEX(J$1:J1561,SUMPRODUCT(MAX(ROW(E$1:E1561)*(E1562=E$1:E1561)))))</f>
        <v> </v>
      </c>
      <c r="L1562" s="27"/>
    </row>
    <row r="1563" spans="1:12">
      <c r="A1563" s="20" t="s">
        <v>327</v>
      </c>
      <c r="E1563" s="22">
        <f>IF(D1563="?OLD","!!!","")</f>
        <v/>
      </c>
      <c r="F1563" s="23" t="str">
        <f>IF(OR(E1563="",E1563="!!!"),"",IF(NOT(ISNA(VLOOKUP(E1563,E$1:E1562,1,FALSE()))),"OLD",IF(AND(E1563&lt;&gt;"",E1563&lt;&gt;"!!!"),"NEW","")))</f>
        <v> </v>
      </c>
      <c r="G1563" s="24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5" t="str">
        <f>IF(J1563&lt;&gt;1,"",IF(I1563="SBJ","CB","?"))</f>
        <v> </v>
      </c>
      <c r="I1563" s="26" t="str">
        <f>IF(OR(E1563="",E1563="!!!",F1563="NEW"),"",INDEX(B1562:B$2,-1+SUMPRODUCT(MAX(ROW(E1562:E$2)*(E1563=E1562:E$2)))))</f>
        <v> </v>
      </c>
      <c r="J1563" s="26" t="str">
        <f>IF(OR(E1563="",E1563="!!!",F1563="NEW"),"",COUNTBLANK(OFFSET(A$1,,,SUMPRODUCT(MAX(ROW(E$2:E1563)*(E1563=E$2:E1563)))))-COUNTBLANK(OFFSET(A$1,,,SUMPRODUCT(MAX(ROW(E$1:E1562)*(E2=E$1:E1562))))))</f>
        <v> </v>
      </c>
      <c r="K1563" s="26" t="str">
        <f>IF(OR(E1563="",E1563="!!!",F1563="NEW"),"",INDEX(J$1:J1562,SUMPRODUCT(MAX(ROW(E$1:E1562)*(E1563=E$1:E1562)))))</f>
        <v> </v>
      </c>
      <c r="L1563" s="27"/>
    </row>
    <row r="1564" spans="1:12">
      <c r="A1564" s="20" t="s">
        <v>592</v>
      </c>
      <c r="E1564" s="22">
        <f>IF(D1564="?OLD","!!!","")</f>
        <v/>
      </c>
      <c r="F1564" s="23" t="str">
        <f>IF(OR(E1564="",E1564="!!!"),"",IF(NOT(ISNA(VLOOKUP(E1564,E$1:E1563,1,FALSE()))),"OLD",IF(AND(E1564&lt;&gt;"",E1564&lt;&gt;"!!!"),"NEW","")))</f>
        <v> </v>
      </c>
      <c r="G1564" s="24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5" t="str">
        <f>IF(J1564&lt;&gt;1,"",IF(I1564="SBJ","CB","?"))</f>
        <v> </v>
      </c>
      <c r="I1564" s="26" t="str">
        <f>IF(OR(E1564="",E1564="!!!",F1564="NEW"),"",INDEX(B1563:B$2,-1+SUMPRODUCT(MAX(ROW(E1563:E$2)*(E1564=E1563:E$2)))))</f>
        <v> </v>
      </c>
      <c r="J1564" s="26" t="str">
        <f>IF(OR(E1564="",E1564="!!!",F1564="NEW"),"",COUNTBLANK(OFFSET(A$1,,,SUMPRODUCT(MAX(ROW(E$2:E1564)*(E1564=E$2:E1564)))))-COUNTBLANK(OFFSET(A$1,,,SUMPRODUCT(MAX(ROW(E$1:E1563)*(E2=E$1:E1563))))))</f>
        <v> </v>
      </c>
      <c r="K1564" s="26" t="str">
        <f>IF(OR(E1564="",E1564="!!!",F1564="NEW"),"",INDEX(J$1:J1563,SUMPRODUCT(MAX(ROW(E$1:E1563)*(E1564=E$1:E1563)))))</f>
        <v> </v>
      </c>
      <c r="L1564" s="27"/>
    </row>
    <row r="1565" spans="1:12">
      <c r="A1565" s="20"/>
    </row>
    <row r="1566" spans="1:12">
      <c r="A1566" s="20" t="s">
        <v>1360</v>
      </c>
    </row>
    <row r="1567" spans="1:12">
      <c r="A1567" s="20" t="s">
        <v>1273</v>
      </c>
      <c r="B1567" s="21" t="s">
        <v>578</v>
      </c>
      <c r="C1567" s="21" t="s">
        <v>613</v>
      </c>
      <c r="D1567" s="21" t="s">
        <v>587</v>
      </c>
      <c r="E1567" s="22">
        <f>IF(D1567="?OLD","!!!","")</f>
        <v/>
      </c>
      <c r="F1567" s="23" t="str">
        <f>IF(OR(E1567="",E1567="!!!"),"",IF(NOT(ISNA(VLOOKUP(E1567,E$1:E1566,1,FALSE()))),"OLD",IF(AND(E1567&lt;&gt;"",E1567&lt;&gt;"!!!"),"NEW","")))</f>
        <v> </v>
      </c>
      <c r="G1567" s="24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5" t="str">
        <f>IF(J1567&lt;&gt;1,"",IF(I1567="SBJ","CB","?"))</f>
        <v> </v>
      </c>
      <c r="I1567" s="26" t="str">
        <f>IF(OR(E1567="",E1567="!!!",F1567="NEW"),"",INDEX(B1566:B$2,-1+SUMPRODUCT(MAX(ROW(E1566:E$2)*(E1567=E1566:E$2)))))</f>
        <v> </v>
      </c>
      <c r="J1567" s="26" t="str">
        <f>IF(OR(E1567="",E1567="!!!",F1567="NEW"),"",COUNTBLANK(OFFSET(A$1,,,SUMPRODUCT(MAX(ROW(E$2:E1567)*(E1567=E$2:E1567)))))-COUNTBLANK(OFFSET(A$1,,,SUMPRODUCT(MAX(ROW(E$1:E1566)*(E2=E$1:E1566))))))</f>
        <v> </v>
      </c>
      <c r="K1567" s="26" t="str">
        <f>IF(OR(E1567="",E1567="!!!",F1567="NEW"),"",INDEX(J$1:J1566,SUMPRODUCT(MAX(ROW(E$1:E1566)*(E1567=E$1:E1566)))))</f>
        <v> </v>
      </c>
      <c r="L1567" s="27"/>
    </row>
    <row r="1568" spans="1:12">
      <c r="A1568" s="20" t="s">
        <v>1361</v>
      </c>
      <c r="E1568" s="22">
        <f>IF(D1568="?OLD","!!!","")</f>
        <v/>
      </c>
      <c r="F1568" s="23" t="str">
        <f>IF(OR(E1568="",E1568="!!!"),"",IF(NOT(ISNA(VLOOKUP(E1568,E$1:E1567,1,FALSE()))),"OLD",IF(AND(E1568&lt;&gt;"",E1568&lt;&gt;"!!!"),"NEW","")))</f>
        <v> </v>
      </c>
      <c r="G1568" s="24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5" t="str">
        <f>IF(J1568&lt;&gt;1,"",IF(I1568="SBJ","CB","?"))</f>
        <v> </v>
      </c>
      <c r="I1568" s="26" t="str">
        <f>IF(OR(E1568="",E1568="!!!",F1568="NEW"),"",INDEX(B1567:B$2,-1+SUMPRODUCT(MAX(ROW(E1567:E$2)*(E1568=E1567:E$2)))))</f>
        <v> </v>
      </c>
      <c r="J1568" s="26" t="str">
        <f>IF(OR(E1568="",E1568="!!!",F1568="NEW"),"",COUNTBLANK(OFFSET(A$1,,,SUMPRODUCT(MAX(ROW(E$2:E1568)*(E1568=E$2:E1568)))))-COUNTBLANK(OFFSET(A$1,,,SUMPRODUCT(MAX(ROW(E$1:E1567)*(E2=E$1:E1567))))))</f>
        <v> </v>
      </c>
      <c r="K1568" s="26" t="str">
        <f>IF(OR(E1568="",E1568="!!!",F1568="NEW"),"",INDEX(J$1:J1567,SUMPRODUCT(MAX(ROW(E$1:E1567)*(E1568=E$1:E1567)))))</f>
        <v> </v>
      </c>
      <c r="L1568" s="27"/>
    </row>
    <row r="1569" spans="1:12">
      <c r="A1569" s="20" t="s">
        <v>1090</v>
      </c>
      <c r="E1569" s="22">
        <f>IF(D1569="?OLD","!!!","")</f>
        <v/>
      </c>
      <c r="F1569" s="23" t="str">
        <f>IF(OR(E1569="",E1569="!!!"),"",IF(NOT(ISNA(VLOOKUP(E1569,E$1:E1568,1,FALSE()))),"OLD",IF(AND(E1569&lt;&gt;"",E1569&lt;&gt;"!!!"),"NEW","")))</f>
        <v> </v>
      </c>
      <c r="G1569" s="24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5" t="str">
        <f>IF(J1569&lt;&gt;1,"",IF(I1569="SBJ","CB","?"))</f>
        <v> </v>
      </c>
      <c r="I1569" s="26" t="str">
        <f>IF(OR(E1569="",E1569="!!!",F1569="NEW"),"",INDEX(B1568:B$2,-1+SUMPRODUCT(MAX(ROW(E1568:E$2)*(E1569=E1568:E$2)))))</f>
        <v> </v>
      </c>
      <c r="J1569" s="26" t="str">
        <f>IF(OR(E1569="",E1569="!!!",F1569="NEW"),"",COUNTBLANK(OFFSET(A$1,,,SUMPRODUCT(MAX(ROW(E$2:E1569)*(E1569=E$2:E1569)))))-COUNTBLANK(OFFSET(A$1,,,SUMPRODUCT(MAX(ROW(E$1:E1568)*(E2=E$1:E1568))))))</f>
        <v> </v>
      </c>
      <c r="K1569" s="26" t="str">
        <f>IF(OR(E1569="",E1569="!!!",F1569="NEW"),"",INDEX(J$1:J1568,SUMPRODUCT(MAX(ROW(E$1:E1568)*(E1569=E$1:E1568)))))</f>
        <v> </v>
      </c>
      <c r="L1569" s="27"/>
    </row>
    <row r="1570" spans="1:12">
      <c r="A1570" s="20" t="s">
        <v>55</v>
      </c>
      <c r="E1570" s="22">
        <f>IF(D1570="?OLD","!!!","")</f>
        <v/>
      </c>
      <c r="F1570" s="23" t="str">
        <f>IF(OR(E1570="",E1570="!!!"),"",IF(NOT(ISNA(VLOOKUP(E1570,E$1:E1569,1,FALSE()))),"OLD",IF(AND(E1570&lt;&gt;"",E1570&lt;&gt;"!!!"),"NEW","")))</f>
        <v> </v>
      </c>
      <c r="G1570" s="24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5" t="str">
        <f>IF(J1570&lt;&gt;1,"",IF(I1570="SBJ","CB","?"))</f>
        <v> </v>
      </c>
      <c r="I1570" s="26" t="str">
        <f>IF(OR(E1570="",E1570="!!!",F1570="NEW"),"",INDEX(B1569:B$2,-1+SUMPRODUCT(MAX(ROW(E1569:E$2)*(E1570=E1569:E$2)))))</f>
        <v> </v>
      </c>
      <c r="J1570" s="26" t="str">
        <f>IF(OR(E1570="",E1570="!!!",F1570="NEW"),"",COUNTBLANK(OFFSET(A$1,,,SUMPRODUCT(MAX(ROW(E$2:E1570)*(E1570=E$2:E1570)))))-COUNTBLANK(OFFSET(A$1,,,SUMPRODUCT(MAX(ROW(E$1:E1569)*(E2=E$1:E1569))))))</f>
        <v> </v>
      </c>
      <c r="K1570" s="26" t="str">
        <f>IF(OR(E1570="",E1570="!!!",F1570="NEW"),"",INDEX(J$1:J1569,SUMPRODUCT(MAX(ROW(E$1:E1569)*(E1570=E$1:E1569)))))</f>
        <v> </v>
      </c>
      <c r="L1570" s="27"/>
    </row>
    <row r="1571" spans="1:12">
      <c r="A1571" s="20" t="s">
        <v>583</v>
      </c>
      <c r="E1571" s="22">
        <f>IF(D1571="?OLD","!!!","")</f>
        <v/>
      </c>
      <c r="F1571" s="23" t="str">
        <f>IF(OR(E1571="",E1571="!!!"),"",IF(NOT(ISNA(VLOOKUP(E1571,E$1:E1570,1,FALSE()))),"OLD",IF(AND(E1571&lt;&gt;"",E1571&lt;&gt;"!!!"),"NEW","")))</f>
        <v> </v>
      </c>
      <c r="G1571" s="24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5" t="str">
        <f>IF(J1571&lt;&gt;1,"",IF(I1571="SBJ","CB","?"))</f>
        <v> </v>
      </c>
      <c r="I1571" s="26" t="str">
        <f>IF(OR(E1571="",E1571="!!!",F1571="NEW"),"",INDEX(B1570:B$2,-1+SUMPRODUCT(MAX(ROW(E1570:E$2)*(E1571=E1570:E$2)))))</f>
        <v> </v>
      </c>
      <c r="J1571" s="26" t="str">
        <f>IF(OR(E1571="",E1571="!!!",F1571="NEW"),"",COUNTBLANK(OFFSET(A$1,,,SUMPRODUCT(MAX(ROW(E$2:E1571)*(E1571=E$2:E1571)))))-COUNTBLANK(OFFSET(A$1,,,SUMPRODUCT(MAX(ROW(E$1:E1570)*(E2=E$1:E1570))))))</f>
        <v> </v>
      </c>
      <c r="K1571" s="26" t="str">
        <f>IF(OR(E1571="",E1571="!!!",F1571="NEW"),"",INDEX(J$1:J1570,SUMPRODUCT(MAX(ROW(E$1:E1570)*(E1571=E$1:E1570)))))</f>
        <v> </v>
      </c>
      <c r="L1571" s="27"/>
    </row>
    <row r="1572" spans="1:12">
      <c r="A1572" s="20" t="s">
        <v>1362</v>
      </c>
      <c r="E1572" s="22">
        <f>IF(D1572="?OLD","!!!","")</f>
        <v/>
      </c>
      <c r="F1572" s="23" t="str">
        <f>IF(OR(E1572="",E1572="!!!"),"",IF(NOT(ISNA(VLOOKUP(E1572,E$1:E1571,1,FALSE()))),"OLD",IF(AND(E1572&lt;&gt;"",E1572&lt;&gt;"!!!"),"NEW","")))</f>
        <v> </v>
      </c>
      <c r="G1572" s="24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5" t="str">
        <f>IF(J1572&lt;&gt;1,"",IF(I1572="SBJ","CB","?"))</f>
        <v> </v>
      </c>
      <c r="I1572" s="26" t="str">
        <f>IF(OR(E1572="",E1572="!!!",F1572="NEW"),"",INDEX(B1571:B$2,-1+SUMPRODUCT(MAX(ROW(E1571:E$2)*(E1572=E1571:E$2)))))</f>
        <v> </v>
      </c>
      <c r="J1572" s="26" t="str">
        <f>IF(OR(E1572="",E1572="!!!",F1572="NEW"),"",COUNTBLANK(OFFSET(A$1,,,SUMPRODUCT(MAX(ROW(E$2:E1572)*(E1572=E$2:E1572)))))-COUNTBLANK(OFFSET(A$1,,,SUMPRODUCT(MAX(ROW(E$1:E1571)*(E2=E$1:E1571))))))</f>
        <v> </v>
      </c>
      <c r="K1572" s="26" t="str">
        <f>IF(OR(E1572="",E1572="!!!",F1572="NEW"),"",INDEX(J$1:J1571,SUMPRODUCT(MAX(ROW(E$1:E1571)*(E1572=E$1:E1571)))))</f>
        <v> </v>
      </c>
      <c r="L1572" s="27"/>
    </row>
    <row r="1573" spans="1:12">
      <c r="A1573" s="20" t="s">
        <v>369</v>
      </c>
      <c r="E1573" s="22">
        <f>IF(D1573="?OLD","!!!","")</f>
        <v/>
      </c>
      <c r="F1573" s="23" t="str">
        <f>IF(OR(E1573="",E1573="!!!"),"",IF(NOT(ISNA(VLOOKUP(E1573,E$1:E1572,1,FALSE()))),"OLD",IF(AND(E1573&lt;&gt;"",E1573&lt;&gt;"!!!"),"NEW","")))</f>
        <v> </v>
      </c>
      <c r="G1573" s="24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5" t="str">
        <f>IF(J1573&lt;&gt;1,"",IF(I1573="SBJ","CB","?"))</f>
        <v> </v>
      </c>
      <c r="I1573" s="26" t="str">
        <f>IF(OR(E1573="",E1573="!!!",F1573="NEW"),"",INDEX(B1572:B$2,-1+SUMPRODUCT(MAX(ROW(E1572:E$2)*(E1573=E1572:E$2)))))</f>
        <v> </v>
      </c>
      <c r="J1573" s="26" t="str">
        <f>IF(OR(E1573="",E1573="!!!",F1573="NEW"),"",COUNTBLANK(OFFSET(A$1,,,SUMPRODUCT(MAX(ROW(E$2:E1573)*(E1573=E$2:E1573)))))-COUNTBLANK(OFFSET(A$1,,,SUMPRODUCT(MAX(ROW(E$1:E1572)*(E2=E$1:E1572))))))</f>
        <v> </v>
      </c>
      <c r="K1573" s="26" t="str">
        <f>IF(OR(E1573="",E1573="!!!",F1573="NEW"),"",INDEX(J$1:J1572,SUMPRODUCT(MAX(ROW(E$1:E1572)*(E1573=E$1:E1572)))))</f>
        <v> </v>
      </c>
      <c r="L1573" s="27"/>
    </row>
    <row r="1574" spans="1:12">
      <c r="A1574" s="20" t="s">
        <v>1236</v>
      </c>
      <c r="B1574" s="21" t="s">
        <v>605</v>
      </c>
      <c r="C1574" s="21" t="s">
        <v>613</v>
      </c>
      <c r="D1574" s="21" t="s">
        <v>587</v>
      </c>
      <c r="E1574" s="22">
        <f>IF(D1574="?OLD","!!!","")</f>
        <v/>
      </c>
      <c r="F1574" s="23" t="str">
        <f>IF(OR(E1574="",E1574="!!!"),"",IF(NOT(ISNA(VLOOKUP(E1574,E$1:E1573,1,FALSE()))),"OLD",IF(AND(E1574&lt;&gt;"",E1574&lt;&gt;"!!!"),"NEW","")))</f>
        <v> </v>
      </c>
      <c r="G1574" s="24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5" t="str">
        <f>IF(J1574&lt;&gt;1,"",IF(I1574="SBJ","CB","?"))</f>
        <v> </v>
      </c>
      <c r="I1574" s="26" t="str">
        <f>IF(OR(E1574="",E1574="!!!",F1574="NEW"),"",INDEX(B1573:B$2,-1+SUMPRODUCT(MAX(ROW(E1573:E$2)*(E1574=E1573:E$2)))))</f>
        <v> </v>
      </c>
      <c r="J1574" s="26" t="str">
        <f>IF(OR(E1574="",E1574="!!!",F1574="NEW"),"",COUNTBLANK(OFFSET(A$1,,,SUMPRODUCT(MAX(ROW(E$2:E1574)*(E1574=E$2:E1574)))))-COUNTBLANK(OFFSET(A$1,,,SUMPRODUCT(MAX(ROW(E$1:E1573)*(E2=E$1:E1573))))))</f>
        <v> </v>
      </c>
      <c r="K1574" s="26" t="str">
        <f>IF(OR(E1574="",E1574="!!!",F1574="NEW"),"",INDEX(J$1:J1573,SUMPRODUCT(MAX(ROW(E$1:E1573)*(E1574=E$1:E1573)))))</f>
        <v> </v>
      </c>
      <c r="L1574" s="27"/>
    </row>
    <row r="1575" spans="1:12">
      <c r="A1575" s="20" t="s">
        <v>1363</v>
      </c>
      <c r="E1575" s="22">
        <f>IF(D1575="?OLD","!!!","")</f>
        <v/>
      </c>
      <c r="F1575" s="23" t="str">
        <f>IF(OR(E1575="",E1575="!!!"),"",IF(NOT(ISNA(VLOOKUP(E1575,E$1:E1574,1,FALSE()))),"OLD",IF(AND(E1575&lt;&gt;"",E1575&lt;&gt;"!!!"),"NEW","")))</f>
        <v> </v>
      </c>
      <c r="G1575" s="24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5" t="str">
        <f>IF(J1575&lt;&gt;1,"",IF(I1575="SBJ","CB","?"))</f>
        <v> </v>
      </c>
      <c r="I1575" s="26" t="str">
        <f>IF(OR(E1575="",E1575="!!!",F1575="NEW"),"",INDEX(B1574:B$2,-1+SUMPRODUCT(MAX(ROW(E1574:E$2)*(E1575=E1574:E$2)))))</f>
        <v> </v>
      </c>
      <c r="J1575" s="26" t="str">
        <f>IF(OR(E1575="",E1575="!!!",F1575="NEW"),"",COUNTBLANK(OFFSET(A$1,,,SUMPRODUCT(MAX(ROW(E$2:E1575)*(E1575=E$2:E1575)))))-COUNTBLANK(OFFSET(A$1,,,SUMPRODUCT(MAX(ROW(E$1:E1574)*(E2=E$1:E1574))))))</f>
        <v> </v>
      </c>
      <c r="K1575" s="26" t="str">
        <f>IF(OR(E1575="",E1575="!!!",F1575="NEW"),"",INDEX(J$1:J1574,SUMPRODUCT(MAX(ROW(E$1:E1574)*(E1575=E$1:E1574)))))</f>
        <v> </v>
      </c>
      <c r="L1575" s="27"/>
    </row>
    <row r="1576" spans="1:12">
      <c r="A1576" s="20" t="s">
        <v>1074</v>
      </c>
      <c r="B1576" s="21" t="s">
        <v>892</v>
      </c>
      <c r="C1576" s="21" t="s">
        <v>800</v>
      </c>
      <c r="D1576" s="21" t="s">
        <v>587</v>
      </c>
      <c r="E1576" s="22">
        <f>IF(D1576="?OLD","!!!","")</f>
        <v/>
      </c>
      <c r="F1576" s="23" t="str">
        <f>IF(OR(E1576="",E1576="!!!"),"",IF(NOT(ISNA(VLOOKUP(E1576,E$1:E1575,1,FALSE()))),"OLD",IF(AND(E1576&lt;&gt;"",E1576&lt;&gt;"!!!"),"NEW","")))</f>
        <v> </v>
      </c>
      <c r="G1576" s="24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5" t="str">
        <f>IF(J1576&lt;&gt;1,"",IF(I1576="SBJ","CB","?"))</f>
        <v> </v>
      </c>
      <c r="I1576" s="26" t="str">
        <f>IF(OR(E1576="",E1576="!!!",F1576="NEW"),"",INDEX(B1575:B$2,-1+SUMPRODUCT(MAX(ROW(E1575:E$2)*(E1576=E1575:E$2)))))</f>
        <v> </v>
      </c>
      <c r="J1576" s="26" t="str">
        <f>IF(OR(E1576="",E1576="!!!",F1576="NEW"),"",COUNTBLANK(OFFSET(A$1,,,SUMPRODUCT(MAX(ROW(E$2:E1576)*(E1576=E$2:E1576)))))-COUNTBLANK(OFFSET(A$1,,,SUMPRODUCT(MAX(ROW(E$1:E1575)*(E2=E$1:E1575))))))</f>
        <v> </v>
      </c>
      <c r="K1576" s="26" t="str">
        <f>IF(OR(E1576="",E1576="!!!",F1576="NEW"),"",INDEX(J$1:J1575,SUMPRODUCT(MAX(ROW(E$1:E1575)*(E1576=E$1:E1575)))))</f>
        <v> </v>
      </c>
      <c r="L1576" s="27"/>
    </row>
    <row r="1577" spans="1:12">
      <c r="A1577" s="20" t="s">
        <v>1364</v>
      </c>
      <c r="B1577" s="21" t="s">
        <v>645</v>
      </c>
      <c r="C1577" s="21" t="s">
        <v>628</v>
      </c>
      <c r="D1577" s="21" t="s">
        <v>587</v>
      </c>
      <c r="E1577" s="22">
        <f>IF(D1577="?OLD","!!!","")</f>
        <v/>
      </c>
      <c r="F1577" s="23" t="str">
        <f>IF(OR(E1577="",E1577="!!!"),"",IF(NOT(ISNA(VLOOKUP(E1577,E$1:E1576,1,FALSE()))),"OLD",IF(AND(E1577&lt;&gt;"",E1577&lt;&gt;"!!!"),"NEW","")))</f>
        <v> </v>
      </c>
      <c r="G1577" s="24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5" t="str">
        <f>IF(J1577&lt;&gt;1,"",IF(I1577="SBJ","CB","?"))</f>
        <v> </v>
      </c>
      <c r="I1577" s="26" t="str">
        <f>IF(OR(E1577="",E1577="!!!",F1577="NEW"),"",INDEX(B1576:B$2,-1+SUMPRODUCT(MAX(ROW(E1576:E$2)*(E1577=E1576:E$2)))))</f>
        <v> </v>
      </c>
      <c r="J1577" s="26" t="str">
        <f>IF(OR(E1577="",E1577="!!!",F1577="NEW"),"",COUNTBLANK(OFFSET(A$1,,,SUMPRODUCT(MAX(ROW(E$2:E1577)*(E1577=E$2:E1577)))))-COUNTBLANK(OFFSET(A$1,,,SUMPRODUCT(MAX(ROW(E$1:E1576)*(E2=E$1:E1576))))))</f>
        <v> </v>
      </c>
      <c r="K1577" s="26" t="str">
        <f>IF(OR(E1577="",E1577="!!!",F1577="NEW"),"",INDEX(J$1:J1576,SUMPRODUCT(MAX(ROW(E$1:E1576)*(E1577=E$1:E1576)))))</f>
        <v> </v>
      </c>
      <c r="L1577" s="27"/>
    </row>
    <row r="1578" spans="1:12">
      <c r="A1578" s="20" t="s">
        <v>583</v>
      </c>
      <c r="E1578" s="22">
        <f>IF(D1578="?OLD","!!!","")</f>
        <v/>
      </c>
      <c r="F1578" s="23" t="str">
        <f>IF(OR(E1578="",E1578="!!!"),"",IF(NOT(ISNA(VLOOKUP(E1578,E$1:E1577,1,FALSE()))),"OLD",IF(AND(E1578&lt;&gt;"",E1578&lt;&gt;"!!!"),"NEW","")))</f>
        <v> </v>
      </c>
      <c r="G1578" s="24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5" t="str">
        <f>IF(J1578&lt;&gt;1,"",IF(I1578="SBJ","CB","?"))</f>
        <v> </v>
      </c>
      <c r="I1578" s="26" t="str">
        <f>IF(OR(E1578="",E1578="!!!",F1578="NEW"),"",INDEX(B1577:B$2,-1+SUMPRODUCT(MAX(ROW(E1577:E$2)*(E1578=E1577:E$2)))))</f>
        <v> </v>
      </c>
      <c r="J1578" s="26" t="str">
        <f>IF(OR(E1578="",E1578="!!!",F1578="NEW"),"",COUNTBLANK(OFFSET(A$1,,,SUMPRODUCT(MAX(ROW(E$2:E1578)*(E1578=E$2:E1578)))))-COUNTBLANK(OFFSET(A$1,,,SUMPRODUCT(MAX(ROW(E$1:E1577)*(E2=E$1:E1577))))))</f>
        <v> </v>
      </c>
      <c r="K1578" s="26" t="str">
        <f>IF(OR(E1578="",E1578="!!!",F1578="NEW"),"",INDEX(J$1:J1577,SUMPRODUCT(MAX(ROW(E$1:E1577)*(E1578=E$1:E1577)))))</f>
        <v> </v>
      </c>
      <c r="L1578" s="27"/>
    </row>
    <row r="1579" spans="1:12">
      <c r="A1579" s="20" t="s">
        <v>1136</v>
      </c>
      <c r="E1579" s="22">
        <f>IF(D1579="?OLD","!!!","")</f>
        <v/>
      </c>
      <c r="F1579" s="23" t="str">
        <f>IF(OR(E1579="",E1579="!!!"),"",IF(NOT(ISNA(VLOOKUP(E1579,E$1:E1578,1,FALSE()))),"OLD",IF(AND(E1579&lt;&gt;"",E1579&lt;&gt;"!!!"),"NEW","")))</f>
        <v> </v>
      </c>
      <c r="G1579" s="24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5" t="str">
        <f>IF(J1579&lt;&gt;1,"",IF(I1579="SBJ","CB","?"))</f>
        <v> </v>
      </c>
      <c r="I1579" s="26" t="str">
        <f>IF(OR(E1579="",E1579="!!!",F1579="NEW"),"",INDEX(B1578:B$2,-1+SUMPRODUCT(MAX(ROW(E1578:E$2)*(E1579=E1578:E$2)))))</f>
        <v> </v>
      </c>
      <c r="J1579" s="26" t="str">
        <f>IF(OR(E1579="",E1579="!!!",F1579="NEW"),"",COUNTBLANK(OFFSET(A$1,,,SUMPRODUCT(MAX(ROW(E$2:E1579)*(E1579=E$2:E1579)))))-COUNTBLANK(OFFSET(A$1,,,SUMPRODUCT(MAX(ROW(E$1:E1578)*(E2=E$1:E1578))))))</f>
        <v> </v>
      </c>
      <c r="K1579" s="26" t="str">
        <f>IF(OR(E1579="",E1579="!!!",F1579="NEW"),"",INDEX(J$1:J1578,SUMPRODUCT(MAX(ROW(E$1:E1578)*(E1579=E$1:E1578)))))</f>
        <v> </v>
      </c>
      <c r="L1579" s="27"/>
    </row>
    <row r="1580" spans="1:12">
      <c r="A1580" s="20" t="s">
        <v>685</v>
      </c>
      <c r="B1580" s="21" t="s">
        <v>762</v>
      </c>
      <c r="C1580" s="21" t="s">
        <v>613</v>
      </c>
      <c r="D1580" s="21" t="s">
        <v>587</v>
      </c>
      <c r="E1580" s="22">
        <f>IF(D1580="?OLD","!!!","")</f>
        <v/>
      </c>
      <c r="F1580" s="23" t="str">
        <f>IF(OR(E1580="",E1580="!!!"),"",IF(NOT(ISNA(VLOOKUP(E1580,E$1:E1579,1,FALSE()))),"OLD",IF(AND(E1580&lt;&gt;"",E1580&lt;&gt;"!!!"),"NEW","")))</f>
        <v> </v>
      </c>
      <c r="G1580" s="24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5" t="str">
        <f>IF(J1580&lt;&gt;1,"",IF(I1580="SBJ","CB","?"))</f>
        <v> </v>
      </c>
      <c r="I1580" s="26" t="str">
        <f>IF(OR(E1580="",E1580="!!!",F1580="NEW"),"",INDEX(B1579:B$2,-1+SUMPRODUCT(MAX(ROW(E1579:E$2)*(E1580=E1579:E$2)))))</f>
        <v> </v>
      </c>
      <c r="J1580" s="26" t="str">
        <f>IF(OR(E1580="",E1580="!!!",F1580="NEW"),"",COUNTBLANK(OFFSET(A$1,,,SUMPRODUCT(MAX(ROW(E$2:E1580)*(E1580=E$2:E1580)))))-COUNTBLANK(OFFSET(A$1,,,SUMPRODUCT(MAX(ROW(E$1:E1579)*(E2=E$1:E1579))))))</f>
        <v> </v>
      </c>
      <c r="K1580" s="26" t="str">
        <f>IF(OR(E1580="",E1580="!!!",F1580="NEW"),"",INDEX(J$1:J1579,SUMPRODUCT(MAX(ROW(E$1:E1579)*(E1580=E$1:E1579)))))</f>
        <v> </v>
      </c>
      <c r="L1580" s="27"/>
    </row>
    <row r="1581" spans="1:12">
      <c r="A1581" s="20" t="s">
        <v>1365</v>
      </c>
      <c r="E1581" s="22">
        <f>IF(D1581="?OLD","!!!","")</f>
        <v/>
      </c>
      <c r="F1581" s="23" t="str">
        <f>IF(OR(E1581="",E1581="!!!"),"",IF(NOT(ISNA(VLOOKUP(E1581,E$1:E1580,1,FALSE()))),"OLD",IF(AND(E1581&lt;&gt;"",E1581&lt;&gt;"!!!"),"NEW","")))</f>
        <v> </v>
      </c>
      <c r="G1581" s="24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5" t="str">
        <f>IF(J1581&lt;&gt;1,"",IF(I1581="SBJ","CB","?"))</f>
        <v> </v>
      </c>
      <c r="I1581" s="26" t="str">
        <f>IF(OR(E1581="",E1581="!!!",F1581="NEW"),"",INDEX(B1580:B$2,-1+SUMPRODUCT(MAX(ROW(E1580:E$2)*(E1581=E1580:E$2)))))</f>
        <v> </v>
      </c>
      <c r="J1581" s="26" t="str">
        <f>IF(OR(E1581="",E1581="!!!",F1581="NEW"),"",COUNTBLANK(OFFSET(A$1,,,SUMPRODUCT(MAX(ROW(E$2:E1581)*(E1581=E$2:E1581)))))-COUNTBLANK(OFFSET(A$1,,,SUMPRODUCT(MAX(ROW(E$1:E1580)*(E2=E$1:E1580))))))</f>
        <v> </v>
      </c>
      <c r="K1581" s="26" t="str">
        <f>IF(OR(E1581="",E1581="!!!",F1581="NEW"),"",INDEX(J$1:J1580,SUMPRODUCT(MAX(ROW(E$1:E1580)*(E1581=E$1:E1580)))))</f>
        <v> </v>
      </c>
      <c r="L1581" s="27"/>
    </row>
    <row r="1582" spans="1:12">
      <c r="A1582" s="20" t="s">
        <v>1366</v>
      </c>
      <c r="B1582" s="21" t="s">
        <v>695</v>
      </c>
      <c r="C1582" s="21" t="s">
        <v>613</v>
      </c>
      <c r="D1582" s="21" t="s">
        <v>587</v>
      </c>
      <c r="E1582" s="22">
        <f>IF(D1582="?OLD","!!!","")</f>
        <v/>
      </c>
      <c r="F1582" s="23" t="str">
        <f>IF(OR(E1582="",E1582="!!!"),"",IF(NOT(ISNA(VLOOKUP(E1582,E$1:E1581,1,FALSE()))),"OLD",IF(AND(E1582&lt;&gt;"",E1582&lt;&gt;"!!!"),"NEW","")))</f>
        <v> </v>
      </c>
      <c r="G1582" s="24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5" t="str">
        <f>IF(J1582&lt;&gt;1,"",IF(I1582="SBJ","CB","?"))</f>
        <v> </v>
      </c>
      <c r="I1582" s="26" t="str">
        <f>IF(OR(E1582="",E1582="!!!",F1582="NEW"),"",INDEX(B1581:B$2,-1+SUMPRODUCT(MAX(ROW(E1581:E$2)*(E1582=E1581:E$2)))))</f>
        <v> </v>
      </c>
      <c r="J1582" s="26" t="str">
        <f>IF(OR(E1582="",E1582="!!!",F1582="NEW"),"",COUNTBLANK(OFFSET(A$1,,,SUMPRODUCT(MAX(ROW(E$2:E1582)*(E1582=E$2:E1582)))))-COUNTBLANK(OFFSET(A$1,,,SUMPRODUCT(MAX(ROW(E$1:E1581)*(E2=E$1:E1581))))))</f>
        <v> </v>
      </c>
      <c r="K1582" s="26" t="str">
        <f>IF(OR(E1582="",E1582="!!!",F1582="NEW"),"",INDEX(J$1:J1581,SUMPRODUCT(MAX(ROW(E$1:E1581)*(E1582=E$1:E1581)))))</f>
        <v> </v>
      </c>
      <c r="L1582" s="27"/>
    </row>
    <row r="1583" spans="1:12">
      <c r="A1583" s="20" t="s">
        <v>592</v>
      </c>
      <c r="E1583" s="22">
        <f>IF(D1583="?OLD","!!!","")</f>
        <v/>
      </c>
      <c r="F1583" s="23" t="str">
        <f>IF(OR(E1583="",E1583="!!!"),"",IF(NOT(ISNA(VLOOKUP(E1583,E$1:E1582,1,FALSE()))),"OLD",IF(AND(E1583&lt;&gt;"",E1583&lt;&gt;"!!!"),"NEW","")))</f>
        <v> </v>
      </c>
      <c r="G1583" s="24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5" t="str">
        <f>IF(J1583&lt;&gt;1,"",IF(I1583="SBJ","CB","?"))</f>
        <v> </v>
      </c>
      <c r="I1583" s="26" t="str">
        <f>IF(OR(E1583="",E1583="!!!",F1583="NEW"),"",INDEX(B1582:B$2,-1+SUMPRODUCT(MAX(ROW(E1582:E$2)*(E1583=E1582:E$2)))))</f>
        <v> </v>
      </c>
      <c r="J1583" s="26" t="str">
        <f>IF(OR(E1583="",E1583="!!!",F1583="NEW"),"",COUNTBLANK(OFFSET(A$1,,,SUMPRODUCT(MAX(ROW(E$2:E1583)*(E1583=E$2:E1583)))))-COUNTBLANK(OFFSET(A$1,,,SUMPRODUCT(MAX(ROW(E$1:E1582)*(E2=E$1:E1582))))))</f>
        <v> </v>
      </c>
      <c r="K1583" s="26" t="str">
        <f>IF(OR(E1583="",E1583="!!!",F1583="NEW"),"",INDEX(J$1:J1582,SUMPRODUCT(MAX(ROW(E$1:E1582)*(E1583=E$1:E1582)))))</f>
        <v> </v>
      </c>
      <c r="L1583" s="27"/>
    </row>
    <row r="1584" spans="1:12">
      <c r="A1584" s="20"/>
    </row>
    <row r="1585" spans="1:12">
      <c r="A1585" s="20" t="s">
        <v>1367</v>
      </c>
    </row>
    <row r="1586" spans="1:12">
      <c r="A1586" s="20" t="s">
        <v>1062</v>
      </c>
      <c r="B1586" s="21" t="s">
        <v>578</v>
      </c>
      <c r="E1586" s="22">
        <f>IF(D1586="?OLD","!!!","")</f>
        <v/>
      </c>
      <c r="F1586" s="23" t="str">
        <f>IF(OR(E1586="",E1586="!!!"),"",IF(NOT(ISNA(VLOOKUP(E1586,E$1:E1585,1,FALSE()))),"OLD",IF(AND(E1586&lt;&gt;"",E1586&lt;&gt;"!!!"),"NEW","")))</f>
        <v> </v>
      </c>
      <c r="G1586" s="24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5" t="str">
        <f>IF(J1586&lt;&gt;1,"",IF(I1586="SBJ","CB","?"))</f>
        <v> </v>
      </c>
      <c r="I1586" s="26" t="str">
        <f>IF(OR(E1586="",E1586="!!!",F1586="NEW"),"",INDEX(B1585:B$2,-1+SUMPRODUCT(MAX(ROW(E1585:E$2)*(E1586=E1585:E$2)))))</f>
        <v> </v>
      </c>
      <c r="J1586" s="26" t="str">
        <f>IF(OR(E1586="",E1586="!!!",F1586="NEW"),"",COUNTBLANK(OFFSET(A$1,,,SUMPRODUCT(MAX(ROW(E$2:E1586)*(E1586=E$2:E1586)))))-COUNTBLANK(OFFSET(A$1,,,SUMPRODUCT(MAX(ROW(E$1:E1585)*(E2=E$1:E1585))))))</f>
        <v> </v>
      </c>
      <c r="K1586" s="26" t="str">
        <f>IF(OR(E1586="",E1586="!!!",F1586="NEW"),"",INDEX(J$1:J1585,SUMPRODUCT(MAX(ROW(E$1:E1585)*(E1586=E$1:E1585)))))</f>
        <v> </v>
      </c>
      <c r="L1586" s="27"/>
    </row>
    <row r="1587" spans="1:12">
      <c r="A1587" s="20" t="s">
        <v>1368</v>
      </c>
      <c r="E1587" s="22">
        <f>IF(D1587="?OLD","!!!","")</f>
        <v/>
      </c>
      <c r="F1587" s="23" t="str">
        <f>IF(OR(E1587="",E1587="!!!"),"",IF(NOT(ISNA(VLOOKUP(E1587,E$1:E1586,1,FALSE()))),"OLD",IF(AND(E1587&lt;&gt;"",E1587&lt;&gt;"!!!"),"NEW","")))</f>
        <v> </v>
      </c>
      <c r="G1587" s="24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5" t="str">
        <f>IF(J1587&lt;&gt;1,"",IF(I1587="SBJ","CB","?"))</f>
        <v> </v>
      </c>
      <c r="I1587" s="26" t="str">
        <f>IF(OR(E1587="",E1587="!!!",F1587="NEW"),"",INDEX(B1586:B$2,-1+SUMPRODUCT(MAX(ROW(E1586:E$2)*(E1587=E1586:E$2)))))</f>
        <v> </v>
      </c>
      <c r="J1587" s="26" t="str">
        <f>IF(OR(E1587="",E1587="!!!",F1587="NEW"),"",COUNTBLANK(OFFSET(A$1,,,SUMPRODUCT(MAX(ROW(E$2:E1587)*(E1587=E$2:E1587)))))-COUNTBLANK(OFFSET(A$1,,,SUMPRODUCT(MAX(ROW(E$1:E1586)*(E2=E$1:E1586))))))</f>
        <v> </v>
      </c>
      <c r="K1587" s="26" t="str">
        <f>IF(OR(E1587="",E1587="!!!",F1587="NEW"),"",INDEX(J$1:J1586,SUMPRODUCT(MAX(ROW(E$1:E1586)*(E1587=E$1:E1586)))))</f>
        <v> </v>
      </c>
      <c r="L1587" s="27"/>
    </row>
    <row r="1588" spans="1:12">
      <c r="A1588" s="20" t="s">
        <v>1369</v>
      </c>
      <c r="E1588" s="22">
        <f>IF(D1588="?OLD","!!!","")</f>
        <v/>
      </c>
      <c r="F1588" s="23" t="str">
        <f>IF(OR(E1588="",E1588="!!!"),"",IF(NOT(ISNA(VLOOKUP(E1588,E$1:E1587,1,FALSE()))),"OLD",IF(AND(E1588&lt;&gt;"",E1588&lt;&gt;"!!!"),"NEW","")))</f>
        <v> </v>
      </c>
      <c r="G1588" s="24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5" t="str">
        <f>IF(J1588&lt;&gt;1,"",IF(I1588="SBJ","CB","?"))</f>
        <v> </v>
      </c>
      <c r="I1588" s="26" t="str">
        <f>IF(OR(E1588="",E1588="!!!",F1588="NEW"),"",INDEX(B1587:B$2,-1+SUMPRODUCT(MAX(ROW(E1587:E$2)*(E1588=E1587:E$2)))))</f>
        <v> </v>
      </c>
      <c r="J1588" s="26" t="str">
        <f>IF(OR(E1588="",E1588="!!!",F1588="NEW"),"",COUNTBLANK(OFFSET(A$1,,,SUMPRODUCT(MAX(ROW(E$2:E1588)*(E1588=E$2:E1588)))))-COUNTBLANK(OFFSET(A$1,,,SUMPRODUCT(MAX(ROW(E$1:E1587)*(E2=E$1:E1587))))))</f>
        <v> </v>
      </c>
      <c r="K1588" s="26" t="str">
        <f>IF(OR(E1588="",E1588="!!!",F1588="NEW"),"",INDEX(J$1:J1587,SUMPRODUCT(MAX(ROW(E$1:E1587)*(E1588=E$1:E1587)))))</f>
        <v> </v>
      </c>
      <c r="L1588" s="27"/>
    </row>
    <row r="1589" spans="1:12">
      <c r="A1589" s="20" t="s">
        <v>597</v>
      </c>
      <c r="E1589" s="22">
        <f>IF(D1589="?OLD","!!!","")</f>
        <v/>
      </c>
      <c r="F1589" s="23" t="str">
        <f>IF(OR(E1589="",E1589="!!!"),"",IF(NOT(ISNA(VLOOKUP(E1589,E$1:E1588,1,FALSE()))),"OLD",IF(AND(E1589&lt;&gt;"",E1589&lt;&gt;"!!!"),"NEW","")))</f>
        <v> </v>
      </c>
      <c r="G1589" s="24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5" t="str">
        <f>IF(J1589&lt;&gt;1,"",IF(I1589="SBJ","CB","?"))</f>
        <v> </v>
      </c>
      <c r="I1589" s="26" t="str">
        <f>IF(OR(E1589="",E1589="!!!",F1589="NEW"),"",INDEX(B1588:B$2,-1+SUMPRODUCT(MAX(ROW(E1588:E$2)*(E1589=E1588:E$2)))))</f>
        <v> </v>
      </c>
      <c r="J1589" s="26" t="str">
        <f>IF(OR(E1589="",E1589="!!!",F1589="NEW"),"",COUNTBLANK(OFFSET(A$1,,,SUMPRODUCT(MAX(ROW(E$2:E1589)*(E1589=E$2:E1589)))))-COUNTBLANK(OFFSET(A$1,,,SUMPRODUCT(MAX(ROW(E$1:E1588)*(E2=E$1:E1588))))))</f>
        <v> </v>
      </c>
      <c r="K1589" s="26" t="str">
        <f>IF(OR(E1589="",E1589="!!!",F1589="NEW"),"",INDEX(J$1:J1588,SUMPRODUCT(MAX(ROW(E$1:E1588)*(E1589=E$1:E1588)))))</f>
        <v> </v>
      </c>
      <c r="L1589" s="27"/>
    </row>
    <row r="1590" spans="1:12">
      <c r="A1590" s="20" t="s">
        <v>782</v>
      </c>
      <c r="E1590" s="22">
        <f>IF(D1590="?OLD","!!!","")</f>
        <v/>
      </c>
      <c r="F1590" s="23" t="str">
        <f>IF(OR(E1590="",E1590="!!!"),"",IF(NOT(ISNA(VLOOKUP(E1590,E$1:E1589,1,FALSE()))),"OLD",IF(AND(E1590&lt;&gt;"",E1590&lt;&gt;"!!!"),"NEW","")))</f>
        <v> </v>
      </c>
      <c r="G1590" s="24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5" t="str">
        <f>IF(J1590&lt;&gt;1,"",IF(I1590="SBJ","CB","?"))</f>
        <v> </v>
      </c>
      <c r="I1590" s="26" t="str">
        <f>IF(OR(E1590="",E1590="!!!",F1590="NEW"),"",INDEX(B1589:B$2,-1+SUMPRODUCT(MAX(ROW(E1589:E$2)*(E1590=E1589:E$2)))))</f>
        <v> </v>
      </c>
      <c r="J1590" s="26" t="str">
        <f>IF(OR(E1590="",E1590="!!!",F1590="NEW"),"",COUNTBLANK(OFFSET(A$1,,,SUMPRODUCT(MAX(ROW(E$2:E1590)*(E1590=E$2:E1590)))))-COUNTBLANK(OFFSET(A$1,,,SUMPRODUCT(MAX(ROW(E$1:E1589)*(E2=E$1:E1589))))))</f>
        <v> </v>
      </c>
      <c r="K1590" s="26" t="str">
        <f>IF(OR(E1590="",E1590="!!!",F1590="NEW"),"",INDEX(J$1:J1589,SUMPRODUCT(MAX(ROW(E$1:E1589)*(E1590=E$1:E1589)))))</f>
        <v> </v>
      </c>
      <c r="L1590" s="27"/>
    </row>
    <row r="1591" spans="1:12">
      <c r="A1591" s="20" t="s">
        <v>1370</v>
      </c>
      <c r="B1591" s="21" t="s">
        <v>651</v>
      </c>
      <c r="C1591" s="21" t="s">
        <v>709</v>
      </c>
      <c r="D1591" s="21" t="s">
        <v>587</v>
      </c>
      <c r="E1591" s="22">
        <f>IF(D1591="?OLD","!!!","")</f>
        <v/>
      </c>
      <c r="F1591" s="23" t="str">
        <f>IF(OR(E1591="",E1591="!!!"),"",IF(NOT(ISNA(VLOOKUP(E1591,E$1:E1590,1,FALSE()))),"OLD",IF(AND(E1591&lt;&gt;"",E1591&lt;&gt;"!!!"),"NEW","")))</f>
        <v> </v>
      </c>
      <c r="G1591" s="24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5" t="str">
        <f>IF(J1591&lt;&gt;1,"",IF(I1591="SBJ","CB","?"))</f>
        <v> </v>
      </c>
      <c r="I1591" s="26" t="str">
        <f>IF(OR(E1591="",E1591="!!!",F1591="NEW"),"",INDEX(B1590:B$2,-1+SUMPRODUCT(MAX(ROW(E1590:E$2)*(E1591=E1590:E$2)))))</f>
        <v> </v>
      </c>
      <c r="J1591" s="26" t="str">
        <f>IF(OR(E1591="",E1591="!!!",F1591="NEW"),"",COUNTBLANK(OFFSET(A$1,,,SUMPRODUCT(MAX(ROW(E$2:E1591)*(E1591=E$2:E1591)))))-COUNTBLANK(OFFSET(A$1,,,SUMPRODUCT(MAX(ROW(E$1:E1590)*(E2=E$1:E1590))))))</f>
        <v> </v>
      </c>
      <c r="K1591" s="26" t="str">
        <f>IF(OR(E1591="",E1591="!!!",F1591="NEW"),"",INDEX(J$1:J1590,SUMPRODUCT(MAX(ROW(E$1:E1590)*(E1591=E$1:E1590)))))</f>
        <v> </v>
      </c>
      <c r="L1591" s="27"/>
    </row>
    <row r="1592" spans="1:12">
      <c r="A1592" s="20" t="s">
        <v>583</v>
      </c>
      <c r="E1592" s="22">
        <f>IF(D1592="?OLD","!!!","")</f>
        <v/>
      </c>
      <c r="F1592" s="23" t="str">
        <f>IF(OR(E1592="",E1592="!!!"),"",IF(NOT(ISNA(VLOOKUP(E1592,E$1:E1591,1,FALSE()))),"OLD",IF(AND(E1592&lt;&gt;"",E1592&lt;&gt;"!!!"),"NEW","")))</f>
        <v> </v>
      </c>
      <c r="G1592" s="24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5" t="str">
        <f>IF(J1592&lt;&gt;1,"",IF(I1592="SBJ","CB","?"))</f>
        <v> </v>
      </c>
      <c r="I1592" s="26" t="str">
        <f>IF(OR(E1592="",E1592="!!!",F1592="NEW"),"",INDEX(B1591:B$2,-1+SUMPRODUCT(MAX(ROW(E1591:E$2)*(E1592=E1591:E$2)))))</f>
        <v> </v>
      </c>
      <c r="J1592" s="26" t="str">
        <f>IF(OR(E1592="",E1592="!!!",F1592="NEW"),"",COUNTBLANK(OFFSET(A$1,,,SUMPRODUCT(MAX(ROW(E$2:E1592)*(E1592=E$2:E1592)))))-COUNTBLANK(OFFSET(A$1,,,SUMPRODUCT(MAX(ROW(E$1:E1591)*(E2=E$1:E1591))))))</f>
        <v> </v>
      </c>
      <c r="K1592" s="26" t="str">
        <f>IF(OR(E1592="",E1592="!!!",F1592="NEW"),"",INDEX(J$1:J1591,SUMPRODUCT(MAX(ROW(E$1:E1591)*(E1592=E$1:E1591)))))</f>
        <v> </v>
      </c>
      <c r="L1592" s="27"/>
    </row>
    <row r="1593" spans="1:12">
      <c r="A1593" s="20" t="s">
        <v>1013</v>
      </c>
      <c r="B1593" s="21" t="s">
        <v>601</v>
      </c>
      <c r="C1593" s="21" t="s">
        <v>602</v>
      </c>
      <c r="E1593" s="22">
        <f>IF(D1593="?OLD","!!!","")</f>
        <v/>
      </c>
      <c r="F1593" s="23" t="str">
        <f>IF(OR(E1593="",E1593="!!!"),"",IF(NOT(ISNA(VLOOKUP(E1593,E$1:E1592,1,FALSE()))),"OLD",IF(AND(E1593&lt;&gt;"",E1593&lt;&gt;"!!!"),"NEW","")))</f>
        <v> </v>
      </c>
      <c r="G1593" s="24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5" t="str">
        <f>IF(J1593&lt;&gt;1,"",IF(I1593="SBJ","CB","?"))</f>
        <v> </v>
      </c>
      <c r="I1593" s="26" t="str">
        <f>IF(OR(E1593="",E1593="!!!",F1593="NEW"),"",INDEX(B1592:B$2,-1+SUMPRODUCT(MAX(ROW(E1592:E$2)*(E1593=E1592:E$2)))))</f>
        <v> </v>
      </c>
      <c r="J1593" s="26" t="str">
        <f>IF(OR(E1593="",E1593="!!!",F1593="NEW"),"",COUNTBLANK(OFFSET(A$1,,,SUMPRODUCT(MAX(ROW(E$2:E1593)*(E1593=E$2:E1593)))))-COUNTBLANK(OFFSET(A$1,,,SUMPRODUCT(MAX(ROW(E$1:E1592)*(E2=E$1:E1592))))))</f>
        <v> </v>
      </c>
      <c r="K1593" s="26" t="str">
        <f>IF(OR(E1593="",E1593="!!!",F1593="NEW"),"",INDEX(J$1:J1592,SUMPRODUCT(MAX(ROW(E$1:E1592)*(E1593=E$1:E1592)))))</f>
        <v> </v>
      </c>
      <c r="L1593" s="27"/>
    </row>
    <row r="1594" spans="1:12">
      <c r="A1594" s="20" t="s">
        <v>886</v>
      </c>
      <c r="E1594" s="22">
        <f>IF(D1594="?OLD","!!!","")</f>
        <v/>
      </c>
      <c r="F1594" s="23" t="str">
        <f>IF(OR(E1594="",E1594="!!!"),"",IF(NOT(ISNA(VLOOKUP(E1594,E$1:E1593,1,FALSE()))),"OLD",IF(AND(E1594&lt;&gt;"",E1594&lt;&gt;"!!!"),"NEW","")))</f>
        <v> </v>
      </c>
      <c r="G1594" s="24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5" t="str">
        <f>IF(J1594&lt;&gt;1,"",IF(I1594="SBJ","CB","?"))</f>
        <v> </v>
      </c>
      <c r="I1594" s="26" t="str">
        <f>IF(OR(E1594="",E1594="!!!",F1594="NEW"),"",INDEX(B1593:B$2,-1+SUMPRODUCT(MAX(ROW(E1593:E$2)*(E1594=E1593:E$2)))))</f>
        <v> </v>
      </c>
      <c r="J1594" s="26" t="str">
        <f>IF(OR(E1594="",E1594="!!!",F1594="NEW"),"",COUNTBLANK(OFFSET(A$1,,,SUMPRODUCT(MAX(ROW(E$2:E1594)*(E1594=E$2:E1594)))))-COUNTBLANK(OFFSET(A$1,,,SUMPRODUCT(MAX(ROW(E$1:E1593)*(E2=E$1:E1593))))))</f>
        <v> </v>
      </c>
      <c r="K1594" s="26" t="str">
        <f>IF(OR(E1594="",E1594="!!!",F1594="NEW"),"",INDEX(J$1:J1593,SUMPRODUCT(MAX(ROW(E$1:E1593)*(E1594=E$1:E1593)))))</f>
        <v> </v>
      </c>
      <c r="L1594" s="27"/>
    </row>
    <row r="1595" spans="1:12">
      <c r="A1595" s="20" t="s">
        <v>592</v>
      </c>
      <c r="E1595" s="22">
        <f>IF(D1595="?OLD","!!!","")</f>
        <v/>
      </c>
      <c r="F1595" s="23" t="str">
        <f>IF(OR(E1595="",E1595="!!!"),"",IF(NOT(ISNA(VLOOKUP(E1595,E$1:E1594,1,FALSE()))),"OLD",IF(AND(E1595&lt;&gt;"",E1595&lt;&gt;"!!!"),"NEW","")))</f>
        <v> </v>
      </c>
      <c r="G1595" s="24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5" t="str">
        <f>IF(J1595&lt;&gt;1,"",IF(I1595="SBJ","CB","?"))</f>
        <v> </v>
      </c>
      <c r="I1595" s="26" t="str">
        <f>IF(OR(E1595="",E1595="!!!",F1595="NEW"),"",INDEX(B1594:B$2,-1+SUMPRODUCT(MAX(ROW(E1594:E$2)*(E1595=E1594:E$2)))))</f>
        <v> </v>
      </c>
      <c r="J1595" s="26" t="str">
        <f>IF(OR(E1595="",E1595="!!!",F1595="NEW"),"",COUNTBLANK(OFFSET(A$1,,,SUMPRODUCT(MAX(ROW(E$2:E1595)*(E1595=E$2:E1595)))))-COUNTBLANK(OFFSET(A$1,,,SUMPRODUCT(MAX(ROW(E$1:E1594)*(E2=E$1:E1594))))))</f>
        <v> </v>
      </c>
      <c r="K1595" s="26" t="str">
        <f>IF(OR(E1595="",E1595="!!!",F1595="NEW"),"",INDEX(J$1:J1594,SUMPRODUCT(MAX(ROW(E$1:E1594)*(E1595=E$1:E1594)))))</f>
        <v> </v>
      </c>
      <c r="L1595" s="27"/>
    </row>
    <row r="1596" spans="1:12">
      <c r="A1596" s="20"/>
    </row>
    <row r="1597" spans="1:12">
      <c r="A1597" s="20" t="s">
        <v>1371</v>
      </c>
    </row>
    <row r="1598" spans="1:12">
      <c r="A1598" s="20" t="s">
        <v>1372</v>
      </c>
      <c r="E1598" s="22">
        <f>IF(D1598="?OLD","!!!","")</f>
        <v/>
      </c>
      <c r="F1598" s="23" t="str">
        <f>IF(OR(E1598="",E1598="!!!"),"",IF(NOT(ISNA(VLOOKUP(E1598,E$1:E1597,1,FALSE()))),"OLD",IF(AND(E1598&lt;&gt;"",E1598&lt;&gt;"!!!"),"NEW","")))</f>
        <v> </v>
      </c>
      <c r="G1598" s="24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5" t="str">
        <f>IF(J1598&lt;&gt;1,"",IF(I1598="SBJ","CB","?"))</f>
        <v> </v>
      </c>
      <c r="I1598" s="26" t="str">
        <f>IF(OR(E1598="",E1598="!!!",F1598="NEW"),"",INDEX(B1597:B$2,-1+SUMPRODUCT(MAX(ROW(E1597:E$2)*(E1598=E1597:E$2)))))</f>
        <v> </v>
      </c>
      <c r="J1598" s="26" t="str">
        <f>IF(OR(E1598="",E1598="!!!",F1598="NEW"),"",COUNTBLANK(OFFSET(A$1,,,SUMPRODUCT(MAX(ROW(E$2:E1598)*(E1598=E$2:E1598)))))-COUNTBLANK(OFFSET(A$1,,,SUMPRODUCT(MAX(ROW(E$1:E1597)*(E2=E$1:E1597))))))</f>
        <v> </v>
      </c>
      <c r="K1598" s="26" t="str">
        <f>IF(OR(E1598="",E1598="!!!",F1598="NEW"),"",INDEX(J$1:J1597,SUMPRODUCT(MAX(ROW(E$1:E1597)*(E1598=E$1:E1597)))))</f>
        <v> </v>
      </c>
      <c r="L1598" s="27"/>
    </row>
    <row r="1599" spans="1:12">
      <c r="A1599" s="20" t="s">
        <v>1373</v>
      </c>
      <c r="E1599" s="22">
        <f>IF(D1599="?OLD","!!!","")</f>
        <v/>
      </c>
      <c r="F1599" s="23" t="str">
        <f>IF(OR(E1599="",E1599="!!!"),"",IF(NOT(ISNA(VLOOKUP(E1599,E$1:E1598,1,FALSE()))),"OLD",IF(AND(E1599&lt;&gt;"",E1599&lt;&gt;"!!!"),"NEW","")))</f>
        <v> </v>
      </c>
      <c r="G1599" s="24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5" t="str">
        <f>IF(J1599&lt;&gt;1,"",IF(I1599="SBJ","CB","?"))</f>
        <v> </v>
      </c>
      <c r="I1599" s="26" t="str">
        <f>IF(OR(E1599="",E1599="!!!",F1599="NEW"),"",INDEX(B1598:B$2,-1+SUMPRODUCT(MAX(ROW(E1598:E$2)*(E1599=E1598:E$2)))))</f>
        <v> </v>
      </c>
      <c r="J1599" s="26" t="str">
        <f>IF(OR(E1599="",E1599="!!!",F1599="NEW"),"",COUNTBLANK(OFFSET(A$1,,,SUMPRODUCT(MAX(ROW(E$2:E1599)*(E1599=E$2:E1599)))))-COUNTBLANK(OFFSET(A$1,,,SUMPRODUCT(MAX(ROW(E$1:E1598)*(E2=E$1:E1598))))))</f>
        <v> </v>
      </c>
      <c r="K1599" s="26" t="str">
        <f>IF(OR(E1599="",E1599="!!!",F1599="NEW"),"",INDEX(J$1:J1598,SUMPRODUCT(MAX(ROW(E$1:E1598)*(E1599=E$1:E1598)))))</f>
        <v> </v>
      </c>
      <c r="L1599" s="27"/>
    </row>
    <row r="1600" spans="1:12">
      <c r="A1600" s="20" t="s">
        <v>483</v>
      </c>
      <c r="E1600" s="22">
        <f>IF(D1600="?OLD","!!!","")</f>
        <v/>
      </c>
      <c r="F1600" s="23" t="str">
        <f>IF(OR(E1600="",E1600="!!!"),"",IF(NOT(ISNA(VLOOKUP(E1600,E$1:E1599,1,FALSE()))),"OLD",IF(AND(E1600&lt;&gt;"",E1600&lt;&gt;"!!!"),"NEW","")))</f>
        <v> </v>
      </c>
      <c r="G1600" s="24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5" t="str">
        <f>IF(J1600&lt;&gt;1,"",IF(I1600="SBJ","CB","?"))</f>
        <v> </v>
      </c>
      <c r="I1600" s="26" t="str">
        <f>IF(OR(E1600="",E1600="!!!",F1600="NEW"),"",INDEX(B1599:B$2,-1+SUMPRODUCT(MAX(ROW(E1599:E$2)*(E1600=E1599:E$2)))))</f>
        <v> </v>
      </c>
      <c r="J1600" s="26" t="str">
        <f>IF(OR(E1600="",E1600="!!!",F1600="NEW"),"",COUNTBLANK(OFFSET(A$1,,,SUMPRODUCT(MAX(ROW(E$2:E1600)*(E1600=E$2:E1600)))))-COUNTBLANK(OFFSET(A$1,,,SUMPRODUCT(MAX(ROW(E$1:E1599)*(E2=E$1:E1599))))))</f>
        <v> </v>
      </c>
      <c r="K1600" s="26" t="str">
        <f>IF(OR(E1600="",E1600="!!!",F1600="NEW"),"",INDEX(J$1:J1599,SUMPRODUCT(MAX(ROW(E$1:E1599)*(E1600=E$1:E1599)))))</f>
        <v> </v>
      </c>
      <c r="L1600" s="27"/>
    </row>
    <row r="1601" spans="1:12">
      <c r="A1601" s="20" t="s">
        <v>1374</v>
      </c>
      <c r="E1601" s="22">
        <f>IF(D1601="?OLD","!!!","")</f>
        <v/>
      </c>
      <c r="F1601" s="23" t="str">
        <f>IF(OR(E1601="",E1601="!!!"),"",IF(NOT(ISNA(VLOOKUP(E1601,E$1:E1600,1,FALSE()))),"OLD",IF(AND(E1601&lt;&gt;"",E1601&lt;&gt;"!!!"),"NEW","")))</f>
        <v> </v>
      </c>
      <c r="G1601" s="24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5" t="str">
        <f>IF(J1601&lt;&gt;1,"",IF(I1601="SBJ","CB","?"))</f>
        <v> </v>
      </c>
      <c r="I1601" s="26" t="str">
        <f>IF(OR(E1601="",E1601="!!!",F1601="NEW"),"",INDEX(B1600:B$2,-1+SUMPRODUCT(MAX(ROW(E1600:E$2)*(E1601=E1600:E$2)))))</f>
        <v> </v>
      </c>
      <c r="J1601" s="26" t="str">
        <f>IF(OR(E1601="",E1601="!!!",F1601="NEW"),"",COUNTBLANK(OFFSET(A$1,,,SUMPRODUCT(MAX(ROW(E$2:E1601)*(E1601=E$2:E1601)))))-COUNTBLANK(OFFSET(A$1,,,SUMPRODUCT(MAX(ROW(E$1:E1600)*(E2=E$1:E1600))))))</f>
        <v> </v>
      </c>
      <c r="K1601" s="26" t="str">
        <f>IF(OR(E1601="",E1601="!!!",F1601="NEW"),"",INDEX(J$1:J1600,SUMPRODUCT(MAX(ROW(E$1:E1600)*(E1601=E$1:E1600)))))</f>
        <v> </v>
      </c>
      <c r="L1601" s="27"/>
    </row>
    <row r="1602" spans="1:12">
      <c r="A1602" s="20" t="s">
        <v>630</v>
      </c>
      <c r="E1602" s="22">
        <f>IF(D1602="?OLD","!!!","")</f>
        <v/>
      </c>
      <c r="F1602" s="23" t="str">
        <f>IF(OR(E1602="",E1602="!!!"),"",IF(NOT(ISNA(VLOOKUP(E1602,E$1:E1601,1,FALSE()))),"OLD",IF(AND(E1602&lt;&gt;"",E1602&lt;&gt;"!!!"),"NEW","")))</f>
        <v> </v>
      </c>
      <c r="G1602" s="24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5" t="str">
        <f>IF(J1602&lt;&gt;1,"",IF(I1602="SBJ","CB","?"))</f>
        <v> </v>
      </c>
      <c r="I1602" s="26" t="str">
        <f>IF(OR(E1602="",E1602="!!!",F1602="NEW"),"",INDEX(B1601:B$2,-1+SUMPRODUCT(MAX(ROW(E1601:E$2)*(E1602=E1601:E$2)))))</f>
        <v> </v>
      </c>
      <c r="J1602" s="26" t="str">
        <f>IF(OR(E1602="",E1602="!!!",F1602="NEW"),"",COUNTBLANK(OFFSET(A$1,,,SUMPRODUCT(MAX(ROW(E$2:E1602)*(E1602=E$2:E1602)))))-COUNTBLANK(OFFSET(A$1,,,SUMPRODUCT(MAX(ROW(E$1:E1601)*(E2=E$1:E1601))))))</f>
        <v> </v>
      </c>
      <c r="K1602" s="26" t="str">
        <f>IF(OR(E1602="",E1602="!!!",F1602="NEW"),"",INDEX(J$1:J1601,SUMPRODUCT(MAX(ROW(E$1:E1601)*(E1602=E$1:E1601)))))</f>
        <v> </v>
      </c>
      <c r="L1602" s="27"/>
    </row>
    <row r="1603" spans="1:12">
      <c r="A1603" s="20" t="s">
        <v>580</v>
      </c>
      <c r="E1603" s="22">
        <f>IF(D1603="?OLD","!!!","")</f>
        <v/>
      </c>
      <c r="F1603" s="23" t="str">
        <f>IF(OR(E1603="",E1603="!!!"),"",IF(NOT(ISNA(VLOOKUP(E1603,E$1:E1602,1,FALSE()))),"OLD",IF(AND(E1603&lt;&gt;"",E1603&lt;&gt;"!!!"),"NEW","")))</f>
        <v> </v>
      </c>
      <c r="G1603" s="24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5" t="str">
        <f>IF(J1603&lt;&gt;1,"",IF(I1603="SBJ","CB","?"))</f>
        <v> </v>
      </c>
      <c r="I1603" s="26" t="str">
        <f>IF(OR(E1603="",E1603="!!!",F1603="NEW"),"",INDEX(B1602:B$2,-1+SUMPRODUCT(MAX(ROW(E1602:E$2)*(E1603=E1602:E$2)))))</f>
        <v> </v>
      </c>
      <c r="J1603" s="26" t="str">
        <f>IF(OR(E1603="",E1603="!!!",F1603="NEW"),"",COUNTBLANK(OFFSET(A$1,,,SUMPRODUCT(MAX(ROW(E$2:E1603)*(E1603=E$2:E1603)))))-COUNTBLANK(OFFSET(A$1,,,SUMPRODUCT(MAX(ROW(E$1:E1602)*(E2=E$1:E1602))))))</f>
        <v> </v>
      </c>
      <c r="K1603" s="26" t="str">
        <f>IF(OR(E1603="",E1603="!!!",F1603="NEW"),"",INDEX(J$1:J1602,SUMPRODUCT(MAX(ROW(E$1:E1602)*(E1603=E$1:E1602)))))</f>
        <v> </v>
      </c>
      <c r="L1603" s="27"/>
    </row>
    <row r="1604" spans="1:12">
      <c r="A1604" s="20" t="s">
        <v>136</v>
      </c>
      <c r="E1604" s="22">
        <f>IF(D1604="?OLD","!!!","")</f>
        <v/>
      </c>
      <c r="F1604" s="23" t="str">
        <f>IF(OR(E1604="",E1604="!!!"),"",IF(NOT(ISNA(VLOOKUP(E1604,E$1:E1603,1,FALSE()))),"OLD",IF(AND(E1604&lt;&gt;"",E1604&lt;&gt;"!!!"),"NEW","")))</f>
        <v> </v>
      </c>
      <c r="G1604" s="24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5" t="str">
        <f>IF(J1604&lt;&gt;1,"",IF(I1604="SBJ","CB","?"))</f>
        <v> </v>
      </c>
      <c r="I1604" s="26" t="str">
        <f>IF(OR(E1604="",E1604="!!!",F1604="NEW"),"",INDEX(B1603:B$2,-1+SUMPRODUCT(MAX(ROW(E1603:E$2)*(E1604=E1603:E$2)))))</f>
        <v> </v>
      </c>
      <c r="J1604" s="26" t="str">
        <f>IF(OR(E1604="",E1604="!!!",F1604="NEW"),"",COUNTBLANK(OFFSET(A$1,,,SUMPRODUCT(MAX(ROW(E$2:E1604)*(E1604=E$2:E1604)))))-COUNTBLANK(OFFSET(A$1,,,SUMPRODUCT(MAX(ROW(E$1:E1603)*(E2=E$1:E1603))))))</f>
        <v> </v>
      </c>
      <c r="K1604" s="26" t="str">
        <f>IF(OR(E1604="",E1604="!!!",F1604="NEW"),"",INDEX(J$1:J1603,SUMPRODUCT(MAX(ROW(E$1:E1603)*(E1604=E$1:E1603)))))</f>
        <v> </v>
      </c>
      <c r="L1604" s="27"/>
    </row>
    <row r="1605" spans="1:12">
      <c r="A1605" s="20" t="s">
        <v>778</v>
      </c>
      <c r="E1605" s="22">
        <f>IF(D1605="?OLD","!!!","")</f>
        <v/>
      </c>
      <c r="F1605" s="23" t="str">
        <f>IF(OR(E1605="",E1605="!!!"),"",IF(NOT(ISNA(VLOOKUP(E1605,E$1:E1604,1,FALSE()))),"OLD",IF(AND(E1605&lt;&gt;"",E1605&lt;&gt;"!!!"),"NEW","")))</f>
        <v> </v>
      </c>
      <c r="G1605" s="24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5" t="str">
        <f>IF(J1605&lt;&gt;1,"",IF(I1605="SBJ","CB","?"))</f>
        <v> </v>
      </c>
      <c r="I1605" s="26" t="str">
        <f>IF(OR(E1605="",E1605="!!!",F1605="NEW"),"",INDEX(B1604:B$2,-1+SUMPRODUCT(MAX(ROW(E1604:E$2)*(E1605=E1604:E$2)))))</f>
        <v> </v>
      </c>
      <c r="J1605" s="26" t="str">
        <f>IF(OR(E1605="",E1605="!!!",F1605="NEW"),"",COUNTBLANK(OFFSET(A$1,,,SUMPRODUCT(MAX(ROW(E$2:E1605)*(E1605=E$2:E1605)))))-COUNTBLANK(OFFSET(A$1,,,SUMPRODUCT(MAX(ROW(E$1:E1604)*(E2=E$1:E1604))))))</f>
        <v> </v>
      </c>
      <c r="K1605" s="26" t="str">
        <f>IF(OR(E1605="",E1605="!!!",F1605="NEW"),"",INDEX(J$1:J1604,SUMPRODUCT(MAX(ROW(E$1:E1604)*(E1605=E$1:E1604)))))</f>
        <v> </v>
      </c>
      <c r="L1605" s="27"/>
    </row>
    <row r="1606" spans="1:12">
      <c r="A1606" s="20" t="s">
        <v>779</v>
      </c>
      <c r="B1606" s="21" t="s">
        <v>601</v>
      </c>
      <c r="C1606" s="21" t="s">
        <v>709</v>
      </c>
      <c r="D1606" s="21" t="s">
        <v>587</v>
      </c>
      <c r="E1606" s="22">
        <f>IF(D1606="?OLD","!!!","")</f>
        <v/>
      </c>
      <c r="F1606" s="23" t="str">
        <f>IF(OR(E1606="",E1606="!!!"),"",IF(NOT(ISNA(VLOOKUP(E1606,E$1:E1605,1,FALSE()))),"OLD",IF(AND(E1606&lt;&gt;"",E1606&lt;&gt;"!!!"),"NEW","")))</f>
        <v> </v>
      </c>
      <c r="G1606" s="24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5" t="str">
        <f>IF(J1606&lt;&gt;1,"",IF(I1606="SBJ","CB","?"))</f>
        <v> </v>
      </c>
      <c r="I1606" s="26" t="str">
        <f>IF(OR(E1606="",E1606="!!!",F1606="NEW"),"",INDEX(B1605:B$2,-1+SUMPRODUCT(MAX(ROW(E1605:E$2)*(E1606=E1605:E$2)))))</f>
        <v> </v>
      </c>
      <c r="J1606" s="26" t="str">
        <f>IF(OR(E1606="",E1606="!!!",F1606="NEW"),"",COUNTBLANK(OFFSET(A$1,,,SUMPRODUCT(MAX(ROW(E$2:E1606)*(E1606=E$2:E1606)))))-COUNTBLANK(OFFSET(A$1,,,SUMPRODUCT(MAX(ROW(E$1:E1605)*(E2=E$1:E1605))))))</f>
        <v> </v>
      </c>
      <c r="K1606" s="26" t="str">
        <f>IF(OR(E1606="",E1606="!!!",F1606="NEW"),"",INDEX(J$1:J1605,SUMPRODUCT(MAX(ROW(E$1:E1605)*(E1606=E$1:E1605)))))</f>
        <v> </v>
      </c>
      <c r="L1606" s="27"/>
    </row>
    <row r="1607" spans="1:12">
      <c r="A1607" s="20" t="s">
        <v>483</v>
      </c>
      <c r="E1607" s="22">
        <f>IF(D1607="?OLD","!!!","")</f>
        <v/>
      </c>
      <c r="F1607" s="23" t="str">
        <f>IF(OR(E1607="",E1607="!!!"),"",IF(NOT(ISNA(VLOOKUP(E1607,E$1:E1606,1,FALSE()))),"OLD",IF(AND(E1607&lt;&gt;"",E1607&lt;&gt;"!!!"),"NEW","")))</f>
        <v> </v>
      </c>
      <c r="G1607" s="24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5" t="str">
        <f>IF(J1607&lt;&gt;1,"",IF(I1607="SBJ","CB","?"))</f>
        <v> </v>
      </c>
      <c r="I1607" s="26" t="str">
        <f>IF(OR(E1607="",E1607="!!!",F1607="NEW"),"",INDEX(B1606:B$2,-1+SUMPRODUCT(MAX(ROW(E1606:E$2)*(E1607=E1606:E$2)))))</f>
        <v> </v>
      </c>
      <c r="J1607" s="26" t="str">
        <f>IF(OR(E1607="",E1607="!!!",F1607="NEW"),"",COUNTBLANK(OFFSET(A$1,,,SUMPRODUCT(MAX(ROW(E$2:E1607)*(E1607=E$2:E1607)))))-COUNTBLANK(OFFSET(A$1,,,SUMPRODUCT(MAX(ROW(E$1:E1606)*(E2=E$1:E1606))))))</f>
        <v> </v>
      </c>
      <c r="K1607" s="26" t="str">
        <f>IF(OR(E1607="",E1607="!!!",F1607="NEW"),"",INDEX(J$1:J1606,SUMPRODUCT(MAX(ROW(E$1:E1606)*(E1607=E$1:E1606)))))</f>
        <v> </v>
      </c>
      <c r="L1607" s="27"/>
    </row>
    <row r="1608" spans="1:12">
      <c r="A1608" s="20" t="s">
        <v>1375</v>
      </c>
      <c r="E1608" s="22">
        <f>IF(D1608="?OLD","!!!","")</f>
        <v/>
      </c>
      <c r="F1608" s="23" t="str">
        <f>IF(OR(E1608="",E1608="!!!"),"",IF(NOT(ISNA(VLOOKUP(E1608,E$1:E1607,1,FALSE()))),"OLD",IF(AND(E1608&lt;&gt;"",E1608&lt;&gt;"!!!"),"NEW","")))</f>
        <v> </v>
      </c>
      <c r="G1608" s="24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5" t="str">
        <f>IF(J1608&lt;&gt;1,"",IF(I1608="SBJ","CB","?"))</f>
        <v> </v>
      </c>
      <c r="I1608" s="26" t="str">
        <f>IF(OR(E1608="",E1608="!!!",F1608="NEW"),"",INDEX(B1607:B$2,-1+SUMPRODUCT(MAX(ROW(E1607:E$2)*(E1608=E1607:E$2)))))</f>
        <v> </v>
      </c>
      <c r="J1608" s="26" t="str">
        <f>IF(OR(E1608="",E1608="!!!",F1608="NEW"),"",COUNTBLANK(OFFSET(A$1,,,SUMPRODUCT(MAX(ROW(E$2:E1608)*(E1608=E$2:E1608)))))-COUNTBLANK(OFFSET(A$1,,,SUMPRODUCT(MAX(ROW(E$1:E1607)*(E2=E$1:E1607))))))</f>
        <v> </v>
      </c>
      <c r="K1608" s="26" t="str">
        <f>IF(OR(E1608="",E1608="!!!",F1608="NEW"),"",INDEX(J$1:J1607,SUMPRODUCT(MAX(ROW(E$1:E1607)*(E1608=E$1:E1607)))))</f>
        <v> </v>
      </c>
      <c r="L1608" s="27"/>
    </row>
    <row r="1609" spans="1:12">
      <c r="A1609" s="20" t="s">
        <v>592</v>
      </c>
      <c r="E1609" s="22">
        <f>IF(D1609="?OLD","!!!","")</f>
        <v/>
      </c>
      <c r="F1609" s="23" t="str">
        <f>IF(OR(E1609="",E1609="!!!"),"",IF(NOT(ISNA(VLOOKUP(E1609,E$1:E1608,1,FALSE()))),"OLD",IF(AND(E1609&lt;&gt;"",E1609&lt;&gt;"!!!"),"NEW","")))</f>
        <v> </v>
      </c>
      <c r="G1609" s="24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5" t="str">
        <f>IF(J1609&lt;&gt;1,"",IF(I1609="SBJ","CB","?"))</f>
        <v> </v>
      </c>
      <c r="I1609" s="26" t="str">
        <f>IF(OR(E1609="",E1609="!!!",F1609="NEW"),"",INDEX(B1608:B$2,-1+SUMPRODUCT(MAX(ROW(E1608:E$2)*(E1609=E1608:E$2)))))</f>
        <v> </v>
      </c>
      <c r="J1609" s="26" t="str">
        <f>IF(OR(E1609="",E1609="!!!",F1609="NEW"),"",COUNTBLANK(OFFSET(A$1,,,SUMPRODUCT(MAX(ROW(E$2:E1609)*(E1609=E$2:E1609)))))-COUNTBLANK(OFFSET(A$1,,,SUMPRODUCT(MAX(ROW(E$1:E1608)*(E2=E$1:E1608))))))</f>
        <v> </v>
      </c>
      <c r="K1609" s="26" t="str">
        <f>IF(OR(E1609="",E1609="!!!",F1609="NEW"),"",INDEX(J$1:J1608,SUMPRODUCT(MAX(ROW(E$1:E1608)*(E1609=E$1:E1608)))))</f>
        <v> </v>
      </c>
      <c r="L1609" s="27"/>
    </row>
    <row r="1610" spans="1:12">
      <c r="A1610" s="20"/>
    </row>
    <row r="1611" spans="1:12">
      <c r="A1611" s="20" t="s">
        <v>1376</v>
      </c>
    </row>
    <row r="1612" spans="1:12">
      <c r="A1612" s="20" t="s">
        <v>1377</v>
      </c>
      <c r="B1612" s="21" t="s">
        <v>578</v>
      </c>
      <c r="C1612" s="21" t="s">
        <v>613</v>
      </c>
      <c r="D1612" s="21" t="s">
        <v>587</v>
      </c>
      <c r="E1612" s="22">
        <f>IF(D1612="?OLD","!!!","")</f>
        <v/>
      </c>
      <c r="F1612" s="23" t="str">
        <f>IF(OR(E1612="",E1612="!!!"),"",IF(NOT(ISNA(VLOOKUP(E1612,E$1:E1611,1,FALSE()))),"OLD",IF(AND(E1612&lt;&gt;"",E1612&lt;&gt;"!!!"),"NEW","")))</f>
        <v> </v>
      </c>
      <c r="G1612" s="24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5" t="str">
        <f>IF(J1612&lt;&gt;1,"",IF(I1612="SBJ","CB","?"))</f>
        <v> </v>
      </c>
      <c r="I1612" s="26" t="str">
        <f>IF(OR(E1612="",E1612="!!!",F1612="NEW"),"",INDEX(B1611:B$2,-1+SUMPRODUCT(MAX(ROW(E1611:E$2)*(E1612=E1611:E$2)))))</f>
        <v> </v>
      </c>
      <c r="J1612" s="26" t="str">
        <f>IF(OR(E1612="",E1612="!!!",F1612="NEW"),"",COUNTBLANK(OFFSET(A$1,,,SUMPRODUCT(MAX(ROW(E$2:E1612)*(E1612=E$2:E1612)))))-COUNTBLANK(OFFSET(A$1,,,SUMPRODUCT(MAX(ROW(E$1:E1611)*(E2=E$1:E1611))))))</f>
        <v> </v>
      </c>
      <c r="K1612" s="26" t="str">
        <f>IF(OR(E1612="",E1612="!!!",F1612="NEW"),"",INDEX(J$1:J1611,SUMPRODUCT(MAX(ROW(E$1:E1611)*(E1612=E$1:E1611)))))</f>
        <v> </v>
      </c>
      <c r="L1612" s="27"/>
    </row>
    <row r="1613" spans="1:12">
      <c r="A1613" s="20" t="s">
        <v>1378</v>
      </c>
      <c r="E1613" s="22">
        <f>IF(D1613="?OLD","!!!","")</f>
        <v/>
      </c>
      <c r="F1613" s="23" t="str">
        <f>IF(OR(E1613="",E1613="!!!"),"",IF(NOT(ISNA(VLOOKUP(E1613,E$1:E1612,1,FALSE()))),"OLD",IF(AND(E1613&lt;&gt;"",E1613&lt;&gt;"!!!"),"NEW","")))</f>
        <v> </v>
      </c>
      <c r="G1613" s="24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5" t="str">
        <f>IF(J1613&lt;&gt;1,"",IF(I1613="SBJ","CB","?"))</f>
        <v> </v>
      </c>
      <c r="I1613" s="26" t="str">
        <f>IF(OR(E1613="",E1613="!!!",F1613="NEW"),"",INDEX(B1612:B$2,-1+SUMPRODUCT(MAX(ROW(E1612:E$2)*(E1613=E1612:E$2)))))</f>
        <v> </v>
      </c>
      <c r="J1613" s="26" t="str">
        <f>IF(OR(E1613="",E1613="!!!",F1613="NEW"),"",COUNTBLANK(OFFSET(A$1,,,SUMPRODUCT(MAX(ROW(E$2:E1613)*(E1613=E$2:E1613)))))-COUNTBLANK(OFFSET(A$1,,,SUMPRODUCT(MAX(ROW(E$1:E1612)*(E2=E$1:E1612))))))</f>
        <v> </v>
      </c>
      <c r="K1613" s="26" t="str">
        <f>IF(OR(E1613="",E1613="!!!",F1613="NEW"),"",INDEX(J$1:J1612,SUMPRODUCT(MAX(ROW(E$1:E1612)*(E1613=E$1:E1612)))))</f>
        <v> </v>
      </c>
      <c r="L1613" s="27"/>
    </row>
    <row r="1614" spans="1:12">
      <c r="A1614" s="20" t="s">
        <v>1379</v>
      </c>
      <c r="E1614" s="22">
        <f>IF(D1614="?OLD","!!!","")</f>
        <v/>
      </c>
      <c r="F1614" s="23" t="str">
        <f>IF(OR(E1614="",E1614="!!!"),"",IF(NOT(ISNA(VLOOKUP(E1614,E$1:E1613,1,FALSE()))),"OLD",IF(AND(E1614&lt;&gt;"",E1614&lt;&gt;"!!!"),"NEW","")))</f>
        <v> </v>
      </c>
      <c r="G1614" s="24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5" t="str">
        <f>IF(J1614&lt;&gt;1,"",IF(I1614="SBJ","CB","?"))</f>
        <v> </v>
      </c>
      <c r="I1614" s="26" t="str">
        <f>IF(OR(E1614="",E1614="!!!",F1614="NEW"),"",INDEX(B1613:B$2,-1+SUMPRODUCT(MAX(ROW(E1613:E$2)*(E1614=E1613:E$2)))))</f>
        <v> </v>
      </c>
      <c r="J1614" s="26" t="str">
        <f>IF(OR(E1614="",E1614="!!!",F1614="NEW"),"",COUNTBLANK(OFFSET(A$1,,,SUMPRODUCT(MAX(ROW(E$2:E1614)*(E1614=E$2:E1614)))))-COUNTBLANK(OFFSET(A$1,,,SUMPRODUCT(MAX(ROW(E$1:E1613)*(E2=E$1:E1613))))))</f>
        <v> </v>
      </c>
      <c r="K1614" s="26" t="str">
        <f>IF(OR(E1614="",E1614="!!!",F1614="NEW"),"",INDEX(J$1:J1613,SUMPRODUCT(MAX(ROW(E$1:E1613)*(E1614=E$1:E1613)))))</f>
        <v> </v>
      </c>
      <c r="L1614" s="27"/>
    </row>
    <row r="1615" spans="1:12">
      <c r="A1615" s="20" t="s">
        <v>753</v>
      </c>
      <c r="E1615" s="22">
        <f>IF(D1615="?OLD","!!!","")</f>
        <v/>
      </c>
      <c r="F1615" s="23" t="str">
        <f>IF(OR(E1615="",E1615="!!!"),"",IF(NOT(ISNA(VLOOKUP(E1615,E$1:E1614,1,FALSE()))),"OLD",IF(AND(E1615&lt;&gt;"",E1615&lt;&gt;"!!!"),"NEW","")))</f>
        <v> </v>
      </c>
      <c r="G1615" s="24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5" t="str">
        <f>IF(J1615&lt;&gt;1,"",IF(I1615="SBJ","CB","?"))</f>
        <v> </v>
      </c>
      <c r="I1615" s="26" t="str">
        <f>IF(OR(E1615="",E1615="!!!",F1615="NEW"),"",INDEX(B1614:B$2,-1+SUMPRODUCT(MAX(ROW(E1614:E$2)*(E1615=E1614:E$2)))))</f>
        <v> </v>
      </c>
      <c r="J1615" s="26" t="str">
        <f>IF(OR(E1615="",E1615="!!!",F1615="NEW"),"",COUNTBLANK(OFFSET(A$1,,,SUMPRODUCT(MAX(ROW(E$2:E1615)*(E1615=E$2:E1615)))))-COUNTBLANK(OFFSET(A$1,,,SUMPRODUCT(MAX(ROW(E$1:E1614)*(E2=E$1:E1614))))))</f>
        <v> </v>
      </c>
      <c r="K1615" s="26" t="str">
        <f>IF(OR(E1615="",E1615="!!!",F1615="NEW"),"",INDEX(J$1:J1614,SUMPRODUCT(MAX(ROW(E$1:E1614)*(E1615=E$1:E1614)))))</f>
        <v> </v>
      </c>
      <c r="L1615" s="27"/>
    </row>
    <row r="1616" spans="1:12">
      <c r="A1616" s="20" t="s">
        <v>70</v>
      </c>
      <c r="E1616" s="22">
        <f>IF(D1616="?OLD","!!!","")</f>
        <v/>
      </c>
      <c r="F1616" s="23" t="str">
        <f>IF(OR(E1616="",E1616="!!!"),"",IF(NOT(ISNA(VLOOKUP(E1616,E$1:E1615,1,FALSE()))),"OLD",IF(AND(E1616&lt;&gt;"",E1616&lt;&gt;"!!!"),"NEW","")))</f>
        <v> </v>
      </c>
      <c r="G1616" s="24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5" t="str">
        <f>IF(J1616&lt;&gt;1,"",IF(I1616="SBJ","CB","?"))</f>
        <v> </v>
      </c>
      <c r="I1616" s="26" t="str">
        <f>IF(OR(E1616="",E1616="!!!",F1616="NEW"),"",INDEX(B1615:B$2,-1+SUMPRODUCT(MAX(ROW(E1615:E$2)*(E1616=E1615:E$2)))))</f>
        <v> </v>
      </c>
      <c r="J1616" s="26" t="str">
        <f>IF(OR(E1616="",E1616="!!!",F1616="NEW"),"",COUNTBLANK(OFFSET(A$1,,,SUMPRODUCT(MAX(ROW(E$2:E1616)*(E1616=E$2:E1616)))))-COUNTBLANK(OFFSET(A$1,,,SUMPRODUCT(MAX(ROW(E$1:E1615)*(E2=E$1:E1615))))))</f>
        <v> </v>
      </c>
      <c r="K1616" s="26" t="str">
        <f>IF(OR(E1616="",E1616="!!!",F1616="NEW"),"",INDEX(J$1:J1615,SUMPRODUCT(MAX(ROW(E$1:E1615)*(E1616=E$1:E1615)))))</f>
        <v> </v>
      </c>
      <c r="L1616" s="27"/>
    </row>
    <row r="1617" spans="1:12">
      <c r="A1617" s="20" t="s">
        <v>580</v>
      </c>
      <c r="E1617" s="22">
        <f>IF(D1617="?OLD","!!!","")</f>
        <v/>
      </c>
      <c r="F1617" s="23" t="str">
        <f>IF(OR(E1617="",E1617="!!!"),"",IF(NOT(ISNA(VLOOKUP(E1617,E$1:E1616,1,FALSE()))),"OLD",IF(AND(E1617&lt;&gt;"",E1617&lt;&gt;"!!!"),"NEW","")))</f>
        <v> </v>
      </c>
      <c r="G1617" s="24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5" t="str">
        <f>IF(J1617&lt;&gt;1,"",IF(I1617="SBJ","CB","?"))</f>
        <v> </v>
      </c>
      <c r="I1617" s="26" t="str">
        <f>IF(OR(E1617="",E1617="!!!",F1617="NEW"),"",INDEX(B1616:B$2,-1+SUMPRODUCT(MAX(ROW(E1616:E$2)*(E1617=E1616:E$2)))))</f>
        <v> </v>
      </c>
      <c r="J1617" s="26" t="str">
        <f>IF(OR(E1617="",E1617="!!!",F1617="NEW"),"",COUNTBLANK(OFFSET(A$1,,,SUMPRODUCT(MAX(ROW(E$2:E1617)*(E1617=E$2:E1617)))))-COUNTBLANK(OFFSET(A$1,,,SUMPRODUCT(MAX(ROW(E$1:E1616)*(E2=E$1:E1616))))))</f>
        <v> </v>
      </c>
      <c r="K1617" s="26" t="str">
        <f>IF(OR(E1617="",E1617="!!!",F1617="NEW"),"",INDEX(J$1:J1616,SUMPRODUCT(MAX(ROW(E$1:E1616)*(E1617=E$1:E1616)))))</f>
        <v> </v>
      </c>
      <c r="L1617" s="27"/>
    </row>
    <row r="1618" spans="1:12">
      <c r="A1618" s="20" t="s">
        <v>1380</v>
      </c>
      <c r="B1618" s="21" t="s">
        <v>601</v>
      </c>
      <c r="C1618" s="21" t="s">
        <v>628</v>
      </c>
      <c r="D1618" s="21" t="s">
        <v>587</v>
      </c>
      <c r="E1618" s="22">
        <f>IF(D1618="?OLD","!!!","")</f>
        <v/>
      </c>
      <c r="F1618" s="23" t="str">
        <f>IF(OR(E1618="",E1618="!!!"),"",IF(NOT(ISNA(VLOOKUP(E1618,E$1:E1617,1,FALSE()))),"OLD",IF(AND(E1618&lt;&gt;"",E1618&lt;&gt;"!!!"),"NEW","")))</f>
        <v> </v>
      </c>
      <c r="G1618" s="24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5" t="str">
        <f>IF(J1618&lt;&gt;1,"",IF(I1618="SBJ","CB","?"))</f>
        <v> </v>
      </c>
      <c r="I1618" s="26" t="str">
        <f>IF(OR(E1618="",E1618="!!!",F1618="NEW"),"",INDEX(B1617:B$2,-1+SUMPRODUCT(MAX(ROW(E1617:E$2)*(E1618=E1617:E$2)))))</f>
        <v> </v>
      </c>
      <c r="J1618" s="26" t="str">
        <f>IF(OR(E1618="",E1618="!!!",F1618="NEW"),"",COUNTBLANK(OFFSET(A$1,,,SUMPRODUCT(MAX(ROW(E$2:E1618)*(E1618=E$2:E1618)))))-COUNTBLANK(OFFSET(A$1,,,SUMPRODUCT(MAX(ROW(E$1:E1617)*(E2=E$1:E1617))))))</f>
        <v> </v>
      </c>
      <c r="K1618" s="26" t="str">
        <f>IF(OR(E1618="",E1618="!!!",F1618="NEW"),"",INDEX(J$1:J1617,SUMPRODUCT(MAX(ROW(E$1:E1617)*(E1618=E$1:E1617)))))</f>
        <v> </v>
      </c>
      <c r="L1618" s="27"/>
    </row>
    <row r="1619" spans="1:12">
      <c r="A1619" s="20" t="s">
        <v>583</v>
      </c>
      <c r="E1619" s="22">
        <f>IF(D1619="?OLD","!!!","")</f>
        <v/>
      </c>
      <c r="F1619" s="23" t="str">
        <f>IF(OR(E1619="",E1619="!!!"),"",IF(NOT(ISNA(VLOOKUP(E1619,E$1:E1618,1,FALSE()))),"OLD",IF(AND(E1619&lt;&gt;"",E1619&lt;&gt;"!!!"),"NEW","")))</f>
        <v> </v>
      </c>
      <c r="G1619" s="24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5" t="str">
        <f>IF(J1619&lt;&gt;1,"",IF(I1619="SBJ","CB","?"))</f>
        <v> </v>
      </c>
      <c r="I1619" s="26" t="str">
        <f>IF(OR(E1619="",E1619="!!!",F1619="NEW"),"",INDEX(B1618:B$2,-1+SUMPRODUCT(MAX(ROW(E1618:E$2)*(E1619=E1618:E$2)))))</f>
        <v> </v>
      </c>
      <c r="J1619" s="26" t="str">
        <f>IF(OR(E1619="",E1619="!!!",F1619="NEW"),"",COUNTBLANK(OFFSET(A$1,,,SUMPRODUCT(MAX(ROW(E$2:E1619)*(E1619=E$2:E1619)))))-COUNTBLANK(OFFSET(A$1,,,SUMPRODUCT(MAX(ROW(E$1:E1618)*(E2=E$1:E1618))))))</f>
        <v> </v>
      </c>
      <c r="K1619" s="26" t="str">
        <f>IF(OR(E1619="",E1619="!!!",F1619="NEW"),"",INDEX(J$1:J1618,SUMPRODUCT(MAX(ROW(E$1:E1618)*(E1619=E$1:E1618)))))</f>
        <v> </v>
      </c>
      <c r="L1619" s="27"/>
    </row>
    <row r="1620" spans="1:12">
      <c r="A1620" s="20" t="s">
        <v>1381</v>
      </c>
      <c r="E1620" s="22">
        <f>IF(D1620="?OLD","!!!","")</f>
        <v/>
      </c>
      <c r="F1620" s="23" t="str">
        <f>IF(OR(E1620="",E1620="!!!"),"",IF(NOT(ISNA(VLOOKUP(E1620,E$1:E1619,1,FALSE()))),"OLD",IF(AND(E1620&lt;&gt;"",E1620&lt;&gt;"!!!"),"NEW","")))</f>
        <v> </v>
      </c>
      <c r="G1620" s="24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5" t="str">
        <f>IF(J1620&lt;&gt;1,"",IF(I1620="SBJ","CB","?"))</f>
        <v> </v>
      </c>
      <c r="I1620" s="26" t="str">
        <f>IF(OR(E1620="",E1620="!!!",F1620="NEW"),"",INDEX(B1619:B$2,-1+SUMPRODUCT(MAX(ROW(E1619:E$2)*(E1620=E1619:E$2)))))</f>
        <v> </v>
      </c>
      <c r="J1620" s="26" t="str">
        <f>IF(OR(E1620="",E1620="!!!",F1620="NEW"),"",COUNTBLANK(OFFSET(A$1,,,SUMPRODUCT(MAX(ROW(E$2:E1620)*(E1620=E$2:E1620)))))-COUNTBLANK(OFFSET(A$1,,,SUMPRODUCT(MAX(ROW(E$1:E1619)*(E2=E$1:E1619))))))</f>
        <v> </v>
      </c>
      <c r="K1620" s="26" t="str">
        <f>IF(OR(E1620="",E1620="!!!",F1620="NEW"),"",INDEX(J$1:J1619,SUMPRODUCT(MAX(ROW(E$1:E1619)*(E1620=E$1:E1619)))))</f>
        <v> </v>
      </c>
      <c r="L1620" s="27"/>
    </row>
    <row r="1621" spans="1:12">
      <c r="A1621" s="20" t="s">
        <v>597</v>
      </c>
      <c r="E1621" s="22">
        <f>IF(D1621="?OLD","!!!","")</f>
        <v/>
      </c>
      <c r="F1621" s="23" t="str">
        <f>IF(OR(E1621="",E1621="!!!"),"",IF(NOT(ISNA(VLOOKUP(E1621,E$1:E1620,1,FALSE()))),"OLD",IF(AND(E1621&lt;&gt;"",E1621&lt;&gt;"!!!"),"NEW","")))</f>
        <v> </v>
      </c>
      <c r="G1621" s="24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5" t="str">
        <f>IF(J1621&lt;&gt;1,"",IF(I1621="SBJ","CB","?"))</f>
        <v> </v>
      </c>
      <c r="I1621" s="26" t="str">
        <f>IF(OR(E1621="",E1621="!!!",F1621="NEW"),"",INDEX(B1620:B$2,-1+SUMPRODUCT(MAX(ROW(E1620:E$2)*(E1621=E1620:E$2)))))</f>
        <v> </v>
      </c>
      <c r="J1621" s="26" t="str">
        <f>IF(OR(E1621="",E1621="!!!",F1621="NEW"),"",COUNTBLANK(OFFSET(A$1,,,SUMPRODUCT(MAX(ROW(E$2:E1621)*(E1621=E$2:E1621)))))-COUNTBLANK(OFFSET(A$1,,,SUMPRODUCT(MAX(ROW(E$1:E1620)*(E2=E$1:E1620))))))</f>
        <v> </v>
      </c>
      <c r="K1621" s="26" t="str">
        <f>IF(OR(E1621="",E1621="!!!",F1621="NEW"),"",INDEX(J$1:J1620,SUMPRODUCT(MAX(ROW(E$1:E1620)*(E1621=E$1:E1620)))))</f>
        <v> </v>
      </c>
      <c r="L1621" s="27"/>
    </row>
    <row r="1622" spans="1:12">
      <c r="A1622" s="20" t="s">
        <v>1382</v>
      </c>
      <c r="E1622" s="22">
        <f>IF(D1622="?OLD","!!!","")</f>
        <v/>
      </c>
      <c r="F1622" s="23" t="str">
        <f>IF(OR(E1622="",E1622="!!!"),"",IF(NOT(ISNA(VLOOKUP(E1622,E$1:E1621,1,FALSE()))),"OLD",IF(AND(E1622&lt;&gt;"",E1622&lt;&gt;"!!!"),"NEW","")))</f>
        <v> </v>
      </c>
      <c r="G1622" s="24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5" t="str">
        <f>IF(J1622&lt;&gt;1,"",IF(I1622="SBJ","CB","?"))</f>
        <v> </v>
      </c>
      <c r="I1622" s="26" t="str">
        <f>IF(OR(E1622="",E1622="!!!",F1622="NEW"),"",INDEX(B1621:B$2,-1+SUMPRODUCT(MAX(ROW(E1621:E$2)*(E1622=E1621:E$2)))))</f>
        <v> </v>
      </c>
      <c r="J1622" s="26" t="str">
        <f>IF(OR(E1622="",E1622="!!!",F1622="NEW"),"",COUNTBLANK(OFFSET(A$1,,,SUMPRODUCT(MAX(ROW(E$2:E1622)*(E1622=E$2:E1622)))))-COUNTBLANK(OFFSET(A$1,,,SUMPRODUCT(MAX(ROW(E$1:E1621)*(E2=E$1:E1621))))))</f>
        <v> </v>
      </c>
      <c r="K1622" s="26" t="str">
        <f>IF(OR(E1622="",E1622="!!!",F1622="NEW"),"",INDEX(J$1:J1621,SUMPRODUCT(MAX(ROW(E$1:E1621)*(E1622=E$1:E1621)))))</f>
        <v> </v>
      </c>
      <c r="L1622" s="27"/>
    </row>
    <row r="1623" spans="1:12">
      <c r="A1623" s="20" t="s">
        <v>1383</v>
      </c>
      <c r="E1623" s="22">
        <f>IF(D1623="?OLD","!!!","")</f>
        <v/>
      </c>
      <c r="F1623" s="23" t="str">
        <f>IF(OR(E1623="",E1623="!!!"),"",IF(NOT(ISNA(VLOOKUP(E1623,E$1:E1622,1,FALSE()))),"OLD",IF(AND(E1623&lt;&gt;"",E1623&lt;&gt;"!!!"),"NEW","")))</f>
        <v> </v>
      </c>
      <c r="G1623" s="24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5" t="str">
        <f>IF(J1623&lt;&gt;1,"",IF(I1623="SBJ","CB","?"))</f>
        <v> </v>
      </c>
      <c r="I1623" s="26" t="str">
        <f>IF(OR(E1623="",E1623="!!!",F1623="NEW"),"",INDEX(B1622:B$2,-1+SUMPRODUCT(MAX(ROW(E1622:E$2)*(E1623=E1622:E$2)))))</f>
        <v> </v>
      </c>
      <c r="J1623" s="26" t="str">
        <f>IF(OR(E1623="",E1623="!!!",F1623="NEW"),"",COUNTBLANK(OFFSET(A$1,,,SUMPRODUCT(MAX(ROW(E$2:E1623)*(E1623=E$2:E1623)))))-COUNTBLANK(OFFSET(A$1,,,SUMPRODUCT(MAX(ROW(E$1:E1622)*(E2=E$1:E1622))))))</f>
        <v> </v>
      </c>
      <c r="K1623" s="26" t="str">
        <f>IF(OR(E1623="",E1623="!!!",F1623="NEW"),"",INDEX(J$1:J1622,SUMPRODUCT(MAX(ROW(E$1:E1622)*(E1623=E$1:E1622)))))</f>
        <v> </v>
      </c>
      <c r="L1623" s="27"/>
    </row>
    <row r="1624" spans="1:12">
      <c r="A1624" s="20" t="s">
        <v>583</v>
      </c>
      <c r="E1624" s="22">
        <f>IF(D1624="?OLD","!!!","")</f>
        <v/>
      </c>
      <c r="F1624" s="23" t="str">
        <f>IF(OR(E1624="",E1624="!!!"),"",IF(NOT(ISNA(VLOOKUP(E1624,E$1:E1623,1,FALSE()))),"OLD",IF(AND(E1624&lt;&gt;"",E1624&lt;&gt;"!!!"),"NEW","")))</f>
        <v> </v>
      </c>
      <c r="G1624" s="24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5" t="str">
        <f>IF(J1624&lt;&gt;1,"",IF(I1624="SBJ","CB","?"))</f>
        <v> </v>
      </c>
      <c r="I1624" s="26" t="str">
        <f>IF(OR(E1624="",E1624="!!!",F1624="NEW"),"",INDEX(B1623:B$2,-1+SUMPRODUCT(MAX(ROW(E1623:E$2)*(E1624=E1623:E$2)))))</f>
        <v> </v>
      </c>
      <c r="J1624" s="26" t="str">
        <f>IF(OR(E1624="",E1624="!!!",F1624="NEW"),"",COUNTBLANK(OFFSET(A$1,,,SUMPRODUCT(MAX(ROW(E$2:E1624)*(E1624=E$2:E1624)))))-COUNTBLANK(OFFSET(A$1,,,SUMPRODUCT(MAX(ROW(E$1:E1623)*(E2=E$1:E1623))))))</f>
        <v> </v>
      </c>
      <c r="K1624" s="26" t="str">
        <f>IF(OR(E1624="",E1624="!!!",F1624="NEW"),"",INDEX(J$1:J1623,SUMPRODUCT(MAX(ROW(E$1:E1623)*(E1624=E$1:E1623)))))</f>
        <v> </v>
      </c>
      <c r="L1624" s="27"/>
    </row>
    <row r="1625" spans="1:12">
      <c r="A1625" s="20" t="s">
        <v>1267</v>
      </c>
      <c r="E1625" s="22">
        <f>IF(D1625="?OLD","!!!","")</f>
        <v/>
      </c>
      <c r="F1625" s="23" t="str">
        <f>IF(OR(E1625="",E1625="!!!"),"",IF(NOT(ISNA(VLOOKUP(E1625,E$1:E1624,1,FALSE()))),"OLD",IF(AND(E1625&lt;&gt;"",E1625&lt;&gt;"!!!"),"NEW","")))</f>
        <v> </v>
      </c>
      <c r="G1625" s="24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5" t="str">
        <f>IF(J1625&lt;&gt;1,"",IF(I1625="SBJ","CB","?"))</f>
        <v> </v>
      </c>
      <c r="I1625" s="26" t="str">
        <f>IF(OR(E1625="",E1625="!!!",F1625="NEW"),"",INDEX(B1624:B$2,-1+SUMPRODUCT(MAX(ROW(E1624:E$2)*(E1625=E1624:E$2)))))</f>
        <v> </v>
      </c>
      <c r="J1625" s="26" t="str">
        <f>IF(OR(E1625="",E1625="!!!",F1625="NEW"),"",COUNTBLANK(OFFSET(A$1,,,SUMPRODUCT(MAX(ROW(E$2:E1625)*(E1625=E$2:E1625)))))-COUNTBLANK(OFFSET(A$1,,,SUMPRODUCT(MAX(ROW(E$1:E1624)*(E2=E$1:E1624))))))</f>
        <v> </v>
      </c>
      <c r="K1625" s="26" t="str">
        <f>IF(OR(E1625="",E1625="!!!",F1625="NEW"),"",INDEX(J$1:J1624,SUMPRODUCT(MAX(ROW(E$1:E1624)*(E1625=E$1:E1624)))))</f>
        <v> </v>
      </c>
      <c r="L1625" s="27"/>
    </row>
    <row r="1626" spans="1:12">
      <c r="A1626" s="20" t="s">
        <v>1384</v>
      </c>
      <c r="E1626" s="22">
        <f>IF(D1626="?OLD","!!!","")</f>
        <v/>
      </c>
      <c r="F1626" s="23" t="str">
        <f>IF(OR(E1626="",E1626="!!!"),"",IF(NOT(ISNA(VLOOKUP(E1626,E$1:E1625,1,FALSE()))),"OLD",IF(AND(E1626&lt;&gt;"",E1626&lt;&gt;"!!!"),"NEW","")))</f>
        <v> </v>
      </c>
      <c r="G1626" s="24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5" t="str">
        <f>IF(J1626&lt;&gt;1,"",IF(I1626="SBJ","CB","?"))</f>
        <v> </v>
      </c>
      <c r="I1626" s="26" t="str">
        <f>IF(OR(E1626="",E1626="!!!",F1626="NEW"),"",INDEX(B1625:B$2,-1+SUMPRODUCT(MAX(ROW(E1625:E$2)*(E1626=E1625:E$2)))))</f>
        <v> </v>
      </c>
      <c r="J1626" s="26" t="str">
        <f>IF(OR(E1626="",E1626="!!!",F1626="NEW"),"",COUNTBLANK(OFFSET(A$1,,,SUMPRODUCT(MAX(ROW(E$2:E1626)*(E1626=E$2:E1626)))))-COUNTBLANK(OFFSET(A$1,,,SUMPRODUCT(MAX(ROW(E$1:E1625)*(E2=E$1:E1625))))))</f>
        <v> </v>
      </c>
      <c r="K1626" s="26" t="str">
        <f>IF(OR(E1626="",E1626="!!!",F1626="NEW"),"",INDEX(J$1:J1625,SUMPRODUCT(MAX(ROW(E$1:E1625)*(E1626=E$1:E1625)))))</f>
        <v> </v>
      </c>
      <c r="L1626" s="27"/>
    </row>
    <row r="1627" spans="1:12">
      <c r="A1627" s="20" t="s">
        <v>720</v>
      </c>
      <c r="E1627" s="22">
        <f>IF(D1627="?OLD","!!!","")</f>
        <v/>
      </c>
      <c r="F1627" s="23" t="str">
        <f>IF(OR(E1627="",E1627="!!!"),"",IF(NOT(ISNA(VLOOKUP(E1627,E$1:E1626,1,FALSE()))),"OLD",IF(AND(E1627&lt;&gt;"",E1627&lt;&gt;"!!!"),"NEW","")))</f>
        <v> </v>
      </c>
      <c r="G1627" s="24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5" t="str">
        <f>IF(J1627&lt;&gt;1,"",IF(I1627="SBJ","CB","?"))</f>
        <v> </v>
      </c>
      <c r="I1627" s="26" t="str">
        <f>IF(OR(E1627="",E1627="!!!",F1627="NEW"),"",INDEX(B1626:B$2,-1+SUMPRODUCT(MAX(ROW(E1626:E$2)*(E1627=E1626:E$2)))))</f>
        <v> </v>
      </c>
      <c r="J1627" s="26" t="str">
        <f>IF(OR(E1627="",E1627="!!!",F1627="NEW"),"",COUNTBLANK(OFFSET(A$1,,,SUMPRODUCT(MAX(ROW(E$2:E1627)*(E1627=E$2:E1627)))))-COUNTBLANK(OFFSET(A$1,,,SUMPRODUCT(MAX(ROW(E$1:E1626)*(E2=E$1:E1626))))))</f>
        <v> </v>
      </c>
      <c r="K1627" s="26" t="str">
        <f>IF(OR(E1627="",E1627="!!!",F1627="NEW"),"",INDEX(J$1:J1626,SUMPRODUCT(MAX(ROW(E$1:E1626)*(E1627=E$1:E1626)))))</f>
        <v> </v>
      </c>
      <c r="L1627" s="27"/>
    </row>
    <row r="1628" spans="1:12">
      <c r="A1628" s="20" t="s">
        <v>136</v>
      </c>
      <c r="B1628" s="21" t="s">
        <v>892</v>
      </c>
      <c r="C1628" s="21" t="s">
        <v>586</v>
      </c>
      <c r="D1628" s="21" t="s">
        <v>587</v>
      </c>
      <c r="E1628" s="22">
        <f>IF(D1628="?OLD","!!!","")</f>
        <v/>
      </c>
      <c r="F1628" s="23" t="str">
        <f>IF(OR(E1628="",E1628="!!!"),"",IF(NOT(ISNA(VLOOKUP(E1628,E$1:E1627,1,FALSE()))),"OLD",IF(AND(E1628&lt;&gt;"",E1628&lt;&gt;"!!!"),"NEW","")))</f>
        <v> </v>
      </c>
      <c r="G1628" s="24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5" t="str">
        <f>IF(J1628&lt;&gt;1,"",IF(I1628="SBJ","CB","?"))</f>
        <v> </v>
      </c>
      <c r="I1628" s="26" t="str">
        <f>IF(OR(E1628="",E1628="!!!",F1628="NEW"),"",INDEX(B1627:B$2,-1+SUMPRODUCT(MAX(ROW(E1627:E$2)*(E1628=E1627:E$2)))))</f>
        <v> </v>
      </c>
      <c r="J1628" s="26" t="str">
        <f>IF(OR(E1628="",E1628="!!!",F1628="NEW"),"",COUNTBLANK(OFFSET(A$1,,,SUMPRODUCT(MAX(ROW(E$2:E1628)*(E1628=E$2:E1628)))))-COUNTBLANK(OFFSET(A$1,,,SUMPRODUCT(MAX(ROW(E$1:E1627)*(E2=E$1:E1627))))))</f>
        <v> </v>
      </c>
      <c r="K1628" s="26" t="str">
        <f>IF(OR(E1628="",E1628="!!!",F1628="NEW"),"",INDEX(J$1:J1627,SUMPRODUCT(MAX(ROW(E$1:E1627)*(E1628=E$1:E1627)))))</f>
        <v> </v>
      </c>
      <c r="L1628" s="27"/>
    </row>
    <row r="1629" spans="1:12">
      <c r="A1629" s="20" t="s">
        <v>778</v>
      </c>
      <c r="E1629" s="22">
        <f>IF(D1629="?OLD","!!!","")</f>
        <v/>
      </c>
      <c r="F1629" s="23" t="str">
        <f>IF(OR(E1629="",E1629="!!!"),"",IF(NOT(ISNA(VLOOKUP(E1629,E$1:E1628,1,FALSE()))),"OLD",IF(AND(E1629&lt;&gt;"",E1629&lt;&gt;"!!!"),"NEW","")))</f>
        <v> </v>
      </c>
      <c r="G1629" s="24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5" t="str">
        <f>IF(J1629&lt;&gt;1,"",IF(I1629="SBJ","CB","?"))</f>
        <v> </v>
      </c>
      <c r="I1629" s="26" t="str">
        <f>IF(OR(E1629="",E1629="!!!",F1629="NEW"),"",INDEX(B1628:B$2,-1+SUMPRODUCT(MAX(ROW(E1628:E$2)*(E1629=E1628:E$2)))))</f>
        <v> </v>
      </c>
      <c r="J1629" s="26" t="str">
        <f>IF(OR(E1629="",E1629="!!!",F1629="NEW"),"",COUNTBLANK(OFFSET(A$1,,,SUMPRODUCT(MAX(ROW(E$2:E1629)*(E1629=E$2:E1629)))))-COUNTBLANK(OFFSET(A$1,,,SUMPRODUCT(MAX(ROW(E$1:E1628)*(E2=E$1:E1628))))))</f>
        <v> </v>
      </c>
      <c r="K1629" s="26" t="str">
        <f>IF(OR(E1629="",E1629="!!!",F1629="NEW"),"",INDEX(J$1:J1628,SUMPRODUCT(MAX(ROW(E$1:E1628)*(E1629=E$1:E1628)))))</f>
        <v> </v>
      </c>
      <c r="L1629" s="27"/>
    </row>
    <row r="1630" spans="1:12">
      <c r="A1630" s="20" t="s">
        <v>1385</v>
      </c>
      <c r="E1630" s="22">
        <f>IF(D1630="?OLD","!!!","")</f>
        <v/>
      </c>
      <c r="F1630" s="23" t="str">
        <f>IF(OR(E1630="",E1630="!!!"),"",IF(NOT(ISNA(VLOOKUP(E1630,E$1:E1629,1,FALSE()))),"OLD",IF(AND(E1630&lt;&gt;"",E1630&lt;&gt;"!!!"),"NEW","")))</f>
        <v> </v>
      </c>
      <c r="G1630" s="24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5" t="str">
        <f>IF(J1630&lt;&gt;1,"",IF(I1630="SBJ","CB","?"))</f>
        <v> </v>
      </c>
      <c r="I1630" s="26" t="str">
        <f>IF(OR(E1630="",E1630="!!!",F1630="NEW"),"",INDEX(B1629:B$2,-1+SUMPRODUCT(MAX(ROW(E1629:E$2)*(E1630=E1629:E$2)))))</f>
        <v> </v>
      </c>
      <c r="J1630" s="26" t="str">
        <f>IF(OR(E1630="",E1630="!!!",F1630="NEW"),"",COUNTBLANK(OFFSET(A$1,,,SUMPRODUCT(MAX(ROW(E$2:E1630)*(E1630=E$2:E1630)))))-COUNTBLANK(OFFSET(A$1,,,SUMPRODUCT(MAX(ROW(E$1:E1629)*(E2=E$1:E1629))))))</f>
        <v> </v>
      </c>
      <c r="K1630" s="26" t="str">
        <f>IF(OR(E1630="",E1630="!!!",F1630="NEW"),"",INDEX(J$1:J1629,SUMPRODUCT(MAX(ROW(E$1:E1629)*(E1630=E$1:E1629)))))</f>
        <v> </v>
      </c>
      <c r="L1630" s="27"/>
    </row>
    <row r="1631" spans="1:12">
      <c r="A1631" s="20" t="s">
        <v>583</v>
      </c>
      <c r="E1631" s="22">
        <f>IF(D1631="?OLD","!!!","")</f>
        <v/>
      </c>
      <c r="F1631" s="23" t="str">
        <f>IF(OR(E1631="",E1631="!!!"),"",IF(NOT(ISNA(VLOOKUP(E1631,E$1:E1630,1,FALSE()))),"OLD",IF(AND(E1631&lt;&gt;"",E1631&lt;&gt;"!!!"),"NEW","")))</f>
        <v> </v>
      </c>
      <c r="G1631" s="24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5" t="str">
        <f>IF(J1631&lt;&gt;1,"",IF(I1631="SBJ","CB","?"))</f>
        <v> </v>
      </c>
      <c r="I1631" s="26" t="str">
        <f>IF(OR(E1631="",E1631="!!!",F1631="NEW"),"",INDEX(B1630:B$2,-1+SUMPRODUCT(MAX(ROW(E1630:E$2)*(E1631=E1630:E$2)))))</f>
        <v> </v>
      </c>
      <c r="J1631" s="26" t="str">
        <f>IF(OR(E1631="",E1631="!!!",F1631="NEW"),"",COUNTBLANK(OFFSET(A$1,,,SUMPRODUCT(MAX(ROW(E$2:E1631)*(E1631=E$2:E1631)))))-COUNTBLANK(OFFSET(A$1,,,SUMPRODUCT(MAX(ROW(E$1:E1630)*(E2=E$1:E1630))))))</f>
        <v> </v>
      </c>
      <c r="K1631" s="26" t="str">
        <f>IF(OR(E1631="",E1631="!!!",F1631="NEW"),"",INDEX(J$1:J1630,SUMPRODUCT(MAX(ROW(E$1:E1630)*(E1631=E$1:E1630)))))</f>
        <v> </v>
      </c>
      <c r="L1631" s="27"/>
    </row>
    <row r="1632" spans="1:12">
      <c r="A1632" s="20" t="s">
        <v>974</v>
      </c>
      <c r="E1632" s="22">
        <f>IF(D1632="?OLD","!!!","")</f>
        <v/>
      </c>
      <c r="F1632" s="23" t="str">
        <f>IF(OR(E1632="",E1632="!!!"),"",IF(NOT(ISNA(VLOOKUP(E1632,E$1:E1631,1,FALSE()))),"OLD",IF(AND(E1632&lt;&gt;"",E1632&lt;&gt;"!!!"),"NEW","")))</f>
        <v> </v>
      </c>
      <c r="G1632" s="24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5" t="str">
        <f>IF(J1632&lt;&gt;1,"",IF(I1632="SBJ","CB","?"))</f>
        <v> </v>
      </c>
      <c r="I1632" s="26" t="str">
        <f>IF(OR(E1632="",E1632="!!!",F1632="NEW"),"",INDEX(B1631:B$2,-1+SUMPRODUCT(MAX(ROW(E1631:E$2)*(E1632=E1631:E$2)))))</f>
        <v> </v>
      </c>
      <c r="J1632" s="26" t="str">
        <f>IF(OR(E1632="",E1632="!!!",F1632="NEW"),"",COUNTBLANK(OFFSET(A$1,,,SUMPRODUCT(MAX(ROW(E$2:E1632)*(E1632=E$2:E1632)))))-COUNTBLANK(OFFSET(A$1,,,SUMPRODUCT(MAX(ROW(E$1:E1631)*(E2=E$1:E1631))))))</f>
        <v> </v>
      </c>
      <c r="K1632" s="26" t="str">
        <f>IF(OR(E1632="",E1632="!!!",F1632="NEW"),"",INDEX(J$1:J1631,SUMPRODUCT(MAX(ROW(E$1:E1631)*(E1632=E$1:E1631)))))</f>
        <v> </v>
      </c>
      <c r="L1632" s="27"/>
    </row>
    <row r="1633" spans="1:12">
      <c r="A1633" s="20" t="s">
        <v>1110</v>
      </c>
      <c r="B1633" s="21" t="s">
        <v>762</v>
      </c>
      <c r="C1633" s="21" t="s">
        <v>613</v>
      </c>
      <c r="D1633" s="21" t="s">
        <v>587</v>
      </c>
      <c r="E1633" s="22">
        <f>IF(D1633="?OLD","!!!","")</f>
        <v/>
      </c>
      <c r="F1633" s="23" t="str">
        <f>IF(OR(E1633="",E1633="!!!"),"",IF(NOT(ISNA(VLOOKUP(E1633,E$1:E1632,1,FALSE()))),"OLD",IF(AND(E1633&lt;&gt;"",E1633&lt;&gt;"!!!"),"NEW","")))</f>
        <v> </v>
      </c>
      <c r="G1633" s="24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5" t="str">
        <f>IF(J1633&lt;&gt;1,"",IF(I1633="SBJ","CB","?"))</f>
        <v> </v>
      </c>
      <c r="I1633" s="26" t="str">
        <f>IF(OR(E1633="",E1633="!!!",F1633="NEW"),"",INDEX(B1632:B$2,-1+SUMPRODUCT(MAX(ROW(E1632:E$2)*(E1633=E1632:E$2)))))</f>
        <v> </v>
      </c>
      <c r="J1633" s="26" t="str">
        <f>IF(OR(E1633="",E1633="!!!",F1633="NEW"),"",COUNTBLANK(OFFSET(A$1,,,SUMPRODUCT(MAX(ROW(E$2:E1633)*(E1633=E$2:E1633)))))-COUNTBLANK(OFFSET(A$1,,,SUMPRODUCT(MAX(ROW(E$1:E1632)*(E2=E$1:E1632))))))</f>
        <v> </v>
      </c>
      <c r="K1633" s="26" t="str">
        <f>IF(OR(E1633="",E1633="!!!",F1633="NEW"),"",INDEX(J$1:J1632,SUMPRODUCT(MAX(ROW(E$1:E1632)*(E1633=E$1:E1632)))))</f>
        <v> </v>
      </c>
      <c r="L1633" s="27"/>
    </row>
    <row r="1634" spans="1:12">
      <c r="A1634" s="20" t="s">
        <v>1386</v>
      </c>
      <c r="E1634" s="22">
        <f>IF(D1634="?OLD","!!!","")</f>
        <v/>
      </c>
      <c r="F1634" s="23" t="str">
        <f>IF(OR(E1634="",E1634="!!!"),"",IF(NOT(ISNA(VLOOKUP(E1634,E$1:E1633,1,FALSE()))),"OLD",IF(AND(E1634&lt;&gt;"",E1634&lt;&gt;"!!!"),"NEW","")))</f>
        <v> </v>
      </c>
      <c r="G1634" s="24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5" t="str">
        <f>IF(J1634&lt;&gt;1,"",IF(I1634="SBJ","CB","?"))</f>
        <v> </v>
      </c>
      <c r="I1634" s="26" t="str">
        <f>IF(OR(E1634="",E1634="!!!",F1634="NEW"),"",INDEX(B1633:B$2,-1+SUMPRODUCT(MAX(ROW(E1633:E$2)*(E1634=E1633:E$2)))))</f>
        <v> </v>
      </c>
      <c r="J1634" s="26" t="str">
        <f>IF(OR(E1634="",E1634="!!!",F1634="NEW"),"",COUNTBLANK(OFFSET(A$1,,,SUMPRODUCT(MAX(ROW(E$2:E1634)*(E1634=E$2:E1634)))))-COUNTBLANK(OFFSET(A$1,,,SUMPRODUCT(MAX(ROW(E$1:E1633)*(E2=E$1:E1633))))))</f>
        <v> </v>
      </c>
      <c r="K1634" s="26" t="str">
        <f>IF(OR(E1634="",E1634="!!!",F1634="NEW"),"",INDEX(J$1:J1633,SUMPRODUCT(MAX(ROW(E$1:E1633)*(E1634=E$1:E1633)))))</f>
        <v> </v>
      </c>
      <c r="L1634" s="27"/>
    </row>
    <row r="1635" spans="1:12">
      <c r="A1635" s="20" t="s">
        <v>483</v>
      </c>
      <c r="E1635" s="22">
        <f>IF(D1635="?OLD","!!!","")</f>
        <v/>
      </c>
      <c r="F1635" s="23" t="str">
        <f>IF(OR(E1635="",E1635="!!!"),"",IF(NOT(ISNA(VLOOKUP(E1635,E$1:E1634,1,FALSE()))),"OLD",IF(AND(E1635&lt;&gt;"",E1635&lt;&gt;"!!!"),"NEW","")))</f>
        <v> </v>
      </c>
      <c r="G1635" s="24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5" t="str">
        <f>IF(J1635&lt;&gt;1,"",IF(I1635="SBJ","CB","?"))</f>
        <v> </v>
      </c>
      <c r="I1635" s="26" t="str">
        <f>IF(OR(E1635="",E1635="!!!",F1635="NEW"),"",INDEX(B1634:B$2,-1+SUMPRODUCT(MAX(ROW(E1634:E$2)*(E1635=E1634:E$2)))))</f>
        <v> </v>
      </c>
      <c r="J1635" s="26" t="str">
        <f>IF(OR(E1635="",E1635="!!!",F1635="NEW"),"",COUNTBLANK(OFFSET(A$1,,,SUMPRODUCT(MAX(ROW(E$2:E1635)*(E1635=E$2:E1635)))))-COUNTBLANK(OFFSET(A$1,,,SUMPRODUCT(MAX(ROW(E$1:E1634)*(E2=E$1:E1634))))))</f>
        <v> </v>
      </c>
      <c r="K1635" s="26" t="str">
        <f>IF(OR(E1635="",E1635="!!!",F1635="NEW"),"",INDEX(J$1:J1634,SUMPRODUCT(MAX(ROW(E$1:E1634)*(E1635=E$1:E1634)))))</f>
        <v> </v>
      </c>
      <c r="L1635" s="27"/>
    </row>
    <row r="1636" spans="1:12">
      <c r="A1636" s="20" t="s">
        <v>1375</v>
      </c>
      <c r="E1636" s="22">
        <f>IF(D1636="?OLD","!!!","")</f>
        <v/>
      </c>
      <c r="F1636" s="23" t="str">
        <f>IF(OR(E1636="",E1636="!!!"),"",IF(NOT(ISNA(VLOOKUP(E1636,E$1:E1635,1,FALSE()))),"OLD",IF(AND(E1636&lt;&gt;"",E1636&lt;&gt;"!!!"),"NEW","")))</f>
        <v> </v>
      </c>
      <c r="G1636" s="24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5" t="str">
        <f>IF(J1636&lt;&gt;1,"",IF(I1636="SBJ","CB","?"))</f>
        <v> </v>
      </c>
      <c r="I1636" s="26" t="str">
        <f>IF(OR(E1636="",E1636="!!!",F1636="NEW"),"",INDEX(B1635:B$2,-1+SUMPRODUCT(MAX(ROW(E1635:E$2)*(E1636=E1635:E$2)))))</f>
        <v> </v>
      </c>
      <c r="J1636" s="26" t="str">
        <f>IF(OR(E1636="",E1636="!!!",F1636="NEW"),"",COUNTBLANK(OFFSET(A$1,,,SUMPRODUCT(MAX(ROW(E$2:E1636)*(E1636=E$2:E1636)))))-COUNTBLANK(OFFSET(A$1,,,SUMPRODUCT(MAX(ROW(E$1:E1635)*(E2=E$1:E1635))))))</f>
        <v> </v>
      </c>
      <c r="K1636" s="26" t="str">
        <f>IF(OR(E1636="",E1636="!!!",F1636="NEW"),"",INDEX(J$1:J1635,SUMPRODUCT(MAX(ROW(E$1:E1635)*(E1636=E$1:E1635)))))</f>
        <v> </v>
      </c>
      <c r="L1636" s="27"/>
    </row>
    <row r="1637" spans="1:12">
      <c r="A1637" s="20" t="s">
        <v>592</v>
      </c>
      <c r="E1637" s="22">
        <f>IF(D1637="?OLD","!!!","")</f>
        <v/>
      </c>
      <c r="F1637" s="23" t="str">
        <f>IF(OR(E1637="",E1637="!!!"),"",IF(NOT(ISNA(VLOOKUP(E1637,E$1:E1636,1,FALSE()))),"OLD",IF(AND(E1637&lt;&gt;"",E1637&lt;&gt;"!!!"),"NEW","")))</f>
        <v> </v>
      </c>
      <c r="G1637" s="24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5" t="str">
        <f>IF(J1637&lt;&gt;1,"",IF(I1637="SBJ","CB","?"))</f>
        <v> </v>
      </c>
      <c r="I1637" s="26" t="str">
        <f>IF(OR(E1637="",E1637="!!!",F1637="NEW"),"",INDEX(B1636:B$2,-1+SUMPRODUCT(MAX(ROW(E1636:E$2)*(E1637=E1636:E$2)))))</f>
        <v> </v>
      </c>
      <c r="J1637" s="26" t="str">
        <f>IF(OR(E1637="",E1637="!!!",F1637="NEW"),"",COUNTBLANK(OFFSET(A$1,,,SUMPRODUCT(MAX(ROW(E$2:E1637)*(E1637=E$2:E1637)))))-COUNTBLANK(OFFSET(A$1,,,SUMPRODUCT(MAX(ROW(E$1:E1636)*(E2=E$1:E1636))))))</f>
        <v> </v>
      </c>
      <c r="K1637" s="26" t="str">
        <f>IF(OR(E1637="",E1637="!!!",F1637="NEW"),"",INDEX(J$1:J1636,SUMPRODUCT(MAX(ROW(E$1:E1636)*(E1637=E$1:E1636)))))</f>
        <v> </v>
      </c>
      <c r="L1637" s="27"/>
    </row>
    <row r="1638" spans="1:12">
      <c r="A1638" s="20"/>
    </row>
    <row r="1639" spans="1:12">
      <c r="A1639" s="20" t="s">
        <v>1387</v>
      </c>
    </row>
    <row r="1640" spans="1:12">
      <c r="A1640" s="20" t="s">
        <v>706</v>
      </c>
      <c r="E1640" s="22">
        <f>IF(D1640="?OLD","!!!","")</f>
        <v/>
      </c>
      <c r="F1640" s="23" t="str">
        <f>IF(OR(E1640="",E1640="!!!"),"",IF(NOT(ISNA(VLOOKUP(E1640,E$1:E1639,1,FALSE()))),"OLD",IF(AND(E1640&lt;&gt;"",E1640&lt;&gt;"!!!"),"NEW","")))</f>
        <v> </v>
      </c>
      <c r="G1640" s="24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5" t="str">
        <f>IF(J1640&lt;&gt;1,"",IF(I1640="SBJ","CB","?"))</f>
        <v> </v>
      </c>
      <c r="I1640" s="26" t="str">
        <f>IF(OR(E1640="",E1640="!!!",F1640="NEW"),"",INDEX(B1639:B$2,-1+SUMPRODUCT(MAX(ROW(E1639:E$2)*(E1640=E1639:E$2)))))</f>
        <v> </v>
      </c>
      <c r="J1640" s="26" t="str">
        <f>IF(OR(E1640="",E1640="!!!",F1640="NEW"),"",COUNTBLANK(OFFSET(A$1,,,SUMPRODUCT(MAX(ROW(E$2:E1640)*(E1640=E$2:E1640)))))-COUNTBLANK(OFFSET(A$1,,,SUMPRODUCT(MAX(ROW(E$1:E1639)*(E2=E$1:E1639))))))</f>
        <v> </v>
      </c>
      <c r="K1640" s="26" t="str">
        <f>IF(OR(E1640="",E1640="!!!",F1640="NEW"),"",INDEX(J$1:J1639,SUMPRODUCT(MAX(ROW(E$1:E1639)*(E1640=E$1:E1639)))))</f>
        <v> </v>
      </c>
      <c r="L1640" s="27"/>
    </row>
    <row r="1641" spans="1:12">
      <c r="A1641" s="20" t="s">
        <v>1388</v>
      </c>
      <c r="E1641" s="22">
        <f>IF(D1641="?OLD","!!!","")</f>
        <v/>
      </c>
      <c r="F1641" s="23" t="str">
        <f>IF(OR(E1641="",E1641="!!!"),"",IF(NOT(ISNA(VLOOKUP(E1641,E$1:E1640,1,FALSE()))),"OLD",IF(AND(E1641&lt;&gt;"",E1641&lt;&gt;"!!!"),"NEW","")))</f>
        <v> </v>
      </c>
      <c r="G1641" s="24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5" t="str">
        <f>IF(J1641&lt;&gt;1,"",IF(I1641="SBJ","CB","?"))</f>
        <v> </v>
      </c>
      <c r="I1641" s="26" t="str">
        <f>IF(OR(E1641="",E1641="!!!",F1641="NEW"),"",INDEX(B1640:B$2,-1+SUMPRODUCT(MAX(ROW(E1640:E$2)*(E1641=E1640:E$2)))))</f>
        <v> </v>
      </c>
      <c r="J1641" s="26" t="str">
        <f>IF(OR(E1641="",E1641="!!!",F1641="NEW"),"",COUNTBLANK(OFFSET(A$1,,,SUMPRODUCT(MAX(ROW(E$2:E1641)*(E1641=E$2:E1641)))))-COUNTBLANK(OFFSET(A$1,,,SUMPRODUCT(MAX(ROW(E$1:E1640)*(E2=E$1:E1640))))))</f>
        <v> </v>
      </c>
      <c r="K1641" s="26" t="str">
        <f>IF(OR(E1641="",E1641="!!!",F1641="NEW"),"",INDEX(J$1:J1640,SUMPRODUCT(MAX(ROW(E$1:E1640)*(E1641=E$1:E1640)))))</f>
        <v> </v>
      </c>
      <c r="L1641" s="27"/>
    </row>
    <row r="1642" spans="1:12">
      <c r="A1642" s="20" t="s">
        <v>1389</v>
      </c>
      <c r="B1642" s="21" t="s">
        <v>615</v>
      </c>
      <c r="E1642" s="22">
        <f>IF(D1642="?OLD","!!!","")</f>
        <v/>
      </c>
      <c r="F1642" s="23" t="str">
        <f>IF(OR(E1642="",E1642="!!!"),"",IF(NOT(ISNA(VLOOKUP(E1642,E$1:E1641,1,FALSE()))),"OLD",IF(AND(E1642&lt;&gt;"",E1642&lt;&gt;"!!!"),"NEW","")))</f>
        <v> </v>
      </c>
      <c r="G1642" s="24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5" t="str">
        <f>IF(J1642&lt;&gt;1,"",IF(I1642="SBJ","CB","?"))</f>
        <v> </v>
      </c>
      <c r="I1642" s="26" t="str">
        <f>IF(OR(E1642="",E1642="!!!",F1642="NEW"),"",INDEX(B1641:B$2,-1+SUMPRODUCT(MAX(ROW(E1641:E$2)*(E1642=E1641:E$2)))))</f>
        <v> </v>
      </c>
      <c r="J1642" s="26" t="str">
        <f>IF(OR(E1642="",E1642="!!!",F1642="NEW"),"",COUNTBLANK(OFFSET(A$1,,,SUMPRODUCT(MAX(ROW(E$2:E1642)*(E1642=E$2:E1642)))))-COUNTBLANK(OFFSET(A$1,,,SUMPRODUCT(MAX(ROW(E$1:E1641)*(E2=E$1:E1641))))))</f>
        <v> </v>
      </c>
      <c r="K1642" s="26" t="str">
        <f>IF(OR(E1642="",E1642="!!!",F1642="NEW"),"",INDEX(J$1:J1641,SUMPRODUCT(MAX(ROW(E$1:E1641)*(E1642=E$1:E1641)))))</f>
        <v> </v>
      </c>
      <c r="L1642" s="27"/>
    </row>
    <row r="1643" spans="1:12">
      <c r="A1643" s="20" t="s">
        <v>583</v>
      </c>
      <c r="E1643" s="22">
        <f>IF(D1643="?OLD","!!!","")</f>
        <v/>
      </c>
      <c r="F1643" s="23" t="str">
        <f>IF(OR(E1643="",E1643="!!!"),"",IF(NOT(ISNA(VLOOKUP(E1643,E$1:E1642,1,FALSE()))),"OLD",IF(AND(E1643&lt;&gt;"",E1643&lt;&gt;"!!!"),"NEW","")))</f>
        <v> </v>
      </c>
      <c r="G1643" s="24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5" t="str">
        <f>IF(J1643&lt;&gt;1,"",IF(I1643="SBJ","CB","?"))</f>
        <v> </v>
      </c>
      <c r="I1643" s="26" t="str">
        <f>IF(OR(E1643="",E1643="!!!",F1643="NEW"),"",INDEX(B1642:B$2,-1+SUMPRODUCT(MAX(ROW(E1642:E$2)*(E1643=E1642:E$2)))))</f>
        <v> </v>
      </c>
      <c r="J1643" s="26" t="str">
        <f>IF(OR(E1643="",E1643="!!!",F1643="NEW"),"",COUNTBLANK(OFFSET(A$1,,,SUMPRODUCT(MAX(ROW(E$2:E1643)*(E1643=E$2:E1643)))))-COUNTBLANK(OFFSET(A$1,,,SUMPRODUCT(MAX(ROW(E$1:E1642)*(E2=E$1:E1642))))))</f>
        <v> </v>
      </c>
      <c r="K1643" s="26" t="str">
        <f>IF(OR(E1643="",E1643="!!!",F1643="NEW"),"",INDEX(J$1:J1642,SUMPRODUCT(MAX(ROW(E$1:E1642)*(E1643=E$1:E1642)))))</f>
        <v> </v>
      </c>
      <c r="L1643" s="27"/>
    </row>
    <row r="1644" spans="1:12">
      <c r="A1644" s="20" t="s">
        <v>1390</v>
      </c>
      <c r="E1644" s="22">
        <f>IF(D1644="?OLD","!!!","")</f>
        <v/>
      </c>
      <c r="F1644" s="23" t="str">
        <f>IF(OR(E1644="",E1644="!!!"),"",IF(NOT(ISNA(VLOOKUP(E1644,E$1:E1643,1,FALSE()))),"OLD",IF(AND(E1644&lt;&gt;"",E1644&lt;&gt;"!!!"),"NEW","")))</f>
        <v> </v>
      </c>
      <c r="G1644" s="24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5" t="str">
        <f>IF(J1644&lt;&gt;1,"",IF(I1644="SBJ","CB","?"))</f>
        <v> </v>
      </c>
      <c r="I1644" s="26" t="str">
        <f>IF(OR(E1644="",E1644="!!!",F1644="NEW"),"",INDEX(B1643:B$2,-1+SUMPRODUCT(MAX(ROW(E1643:E$2)*(E1644=E1643:E$2)))))</f>
        <v> </v>
      </c>
      <c r="J1644" s="26" t="str">
        <f>IF(OR(E1644="",E1644="!!!",F1644="NEW"),"",COUNTBLANK(OFFSET(A$1,,,SUMPRODUCT(MAX(ROW(E$2:E1644)*(E1644=E$2:E1644)))))-COUNTBLANK(OFFSET(A$1,,,SUMPRODUCT(MAX(ROW(E$1:E1643)*(E2=E$1:E1643))))))</f>
        <v> </v>
      </c>
      <c r="K1644" s="26" t="str">
        <f>IF(OR(E1644="",E1644="!!!",F1644="NEW"),"",INDEX(J$1:J1643,SUMPRODUCT(MAX(ROW(E$1:E1643)*(E1644=E$1:E1643)))))</f>
        <v> </v>
      </c>
      <c r="L1644" s="27"/>
    </row>
    <row r="1645" spans="1:12">
      <c r="A1645" s="20" t="s">
        <v>1391</v>
      </c>
      <c r="E1645" s="22">
        <f>IF(D1645="?OLD","!!!","")</f>
        <v/>
      </c>
      <c r="F1645" s="23" t="str">
        <f>IF(OR(E1645="",E1645="!!!"),"",IF(NOT(ISNA(VLOOKUP(E1645,E$1:E1644,1,FALSE()))),"OLD",IF(AND(E1645&lt;&gt;"",E1645&lt;&gt;"!!!"),"NEW","")))</f>
        <v> </v>
      </c>
      <c r="G1645" s="24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5" t="str">
        <f>IF(J1645&lt;&gt;1,"",IF(I1645="SBJ","CB","?"))</f>
        <v> </v>
      </c>
      <c r="I1645" s="26" t="str">
        <f>IF(OR(E1645="",E1645="!!!",F1645="NEW"),"",INDEX(B1644:B$2,-1+SUMPRODUCT(MAX(ROW(E1644:E$2)*(E1645=E1644:E$2)))))</f>
        <v> </v>
      </c>
      <c r="J1645" s="26" t="str">
        <f>IF(OR(E1645="",E1645="!!!",F1645="NEW"),"",COUNTBLANK(OFFSET(A$1,,,SUMPRODUCT(MAX(ROW(E$2:E1645)*(E1645=E$2:E1645)))))-COUNTBLANK(OFFSET(A$1,,,SUMPRODUCT(MAX(ROW(E$1:E1644)*(E2=E$1:E1644))))))</f>
        <v> </v>
      </c>
      <c r="K1645" s="26" t="str">
        <f>IF(OR(E1645="",E1645="!!!",F1645="NEW"),"",INDEX(J$1:J1644,SUMPRODUCT(MAX(ROW(E$1:E1644)*(E1645=E$1:E1644)))))</f>
        <v> </v>
      </c>
      <c r="L1645" s="27"/>
    </row>
    <row r="1646" spans="1:12">
      <c r="A1646" s="20" t="s">
        <v>1392</v>
      </c>
      <c r="E1646" s="22">
        <f>IF(D1646="?OLD","!!!","")</f>
        <v/>
      </c>
      <c r="F1646" s="23" t="str">
        <f>IF(OR(E1646="",E1646="!!!"),"",IF(NOT(ISNA(VLOOKUP(E1646,E$1:E1645,1,FALSE()))),"OLD",IF(AND(E1646&lt;&gt;"",E1646&lt;&gt;"!!!"),"NEW","")))</f>
        <v> </v>
      </c>
      <c r="G1646" s="24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5" t="str">
        <f>IF(J1646&lt;&gt;1,"",IF(I1646="SBJ","CB","?"))</f>
        <v> </v>
      </c>
      <c r="I1646" s="26" t="str">
        <f>IF(OR(E1646="",E1646="!!!",F1646="NEW"),"",INDEX(B1645:B$2,-1+SUMPRODUCT(MAX(ROW(E1645:E$2)*(E1646=E1645:E$2)))))</f>
        <v> </v>
      </c>
      <c r="J1646" s="26" t="str">
        <f>IF(OR(E1646="",E1646="!!!",F1646="NEW"),"",COUNTBLANK(OFFSET(A$1,,,SUMPRODUCT(MAX(ROW(E$2:E1646)*(E1646=E$2:E1646)))))-COUNTBLANK(OFFSET(A$1,,,SUMPRODUCT(MAX(ROW(E$1:E1645)*(E2=E$1:E1645))))))</f>
        <v> </v>
      </c>
      <c r="K1646" s="26" t="str">
        <f>IF(OR(E1646="",E1646="!!!",F1646="NEW"),"",INDEX(J$1:J1645,SUMPRODUCT(MAX(ROW(E$1:E1645)*(E1646=E$1:E1645)))))</f>
        <v> </v>
      </c>
      <c r="L1646" s="27"/>
    </row>
    <row r="1647" spans="1:12">
      <c r="A1647" s="20" t="s">
        <v>630</v>
      </c>
      <c r="E1647" s="22">
        <f>IF(D1647="?OLD","!!!","")</f>
        <v/>
      </c>
      <c r="F1647" s="23" t="str">
        <f>IF(OR(E1647="",E1647="!!!"),"",IF(NOT(ISNA(VLOOKUP(E1647,E$1:E1646,1,FALSE()))),"OLD",IF(AND(E1647&lt;&gt;"",E1647&lt;&gt;"!!!"),"NEW","")))</f>
        <v> </v>
      </c>
      <c r="G1647" s="24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5" t="str">
        <f>IF(J1647&lt;&gt;1,"",IF(I1647="SBJ","CB","?"))</f>
        <v> </v>
      </c>
      <c r="I1647" s="26" t="str">
        <f>IF(OR(E1647="",E1647="!!!",F1647="NEW"),"",INDEX(B1646:B$2,-1+SUMPRODUCT(MAX(ROW(E1646:E$2)*(E1647=E1646:E$2)))))</f>
        <v> </v>
      </c>
      <c r="J1647" s="26" t="str">
        <f>IF(OR(E1647="",E1647="!!!",F1647="NEW"),"",COUNTBLANK(OFFSET(A$1,,,SUMPRODUCT(MAX(ROW(E$2:E1647)*(E1647=E$2:E1647)))))-COUNTBLANK(OFFSET(A$1,,,SUMPRODUCT(MAX(ROW(E$1:E1646)*(E2=E$1:E1646))))))</f>
        <v> </v>
      </c>
      <c r="K1647" s="26" t="str">
        <f>IF(OR(E1647="",E1647="!!!",F1647="NEW"),"",INDEX(J$1:J1646,SUMPRODUCT(MAX(ROW(E$1:E1646)*(E1647=E$1:E1646)))))</f>
        <v> </v>
      </c>
      <c r="L1647" s="27"/>
    </row>
    <row r="1648" spans="1:12">
      <c r="A1648" s="20" t="s">
        <v>1028</v>
      </c>
      <c r="E1648" s="22">
        <f>IF(D1648="?OLD","!!!","")</f>
        <v/>
      </c>
      <c r="F1648" s="23" t="str">
        <f>IF(OR(E1648="",E1648="!!!"),"",IF(NOT(ISNA(VLOOKUP(E1648,E$1:E1647,1,FALSE()))),"OLD",IF(AND(E1648&lt;&gt;"",E1648&lt;&gt;"!!!"),"NEW","")))</f>
        <v> </v>
      </c>
      <c r="G1648" s="24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5" t="str">
        <f>IF(J1648&lt;&gt;1,"",IF(I1648="SBJ","CB","?"))</f>
        <v> </v>
      </c>
      <c r="I1648" s="26" t="str">
        <f>IF(OR(E1648="",E1648="!!!",F1648="NEW"),"",INDEX(B1647:B$2,-1+SUMPRODUCT(MAX(ROW(E1647:E$2)*(E1648=E1647:E$2)))))</f>
        <v> </v>
      </c>
      <c r="J1648" s="26" t="str">
        <f>IF(OR(E1648="",E1648="!!!",F1648="NEW"),"",COUNTBLANK(OFFSET(A$1,,,SUMPRODUCT(MAX(ROW(E$2:E1648)*(E1648=E$2:E1648)))))-COUNTBLANK(OFFSET(A$1,,,SUMPRODUCT(MAX(ROW(E$1:E1647)*(E2=E$1:E1647))))))</f>
        <v> </v>
      </c>
      <c r="K1648" s="26" t="str">
        <f>IF(OR(E1648="",E1648="!!!",F1648="NEW"),"",INDEX(J$1:J1647,SUMPRODUCT(MAX(ROW(E$1:E1647)*(E1648=E$1:E1647)))))</f>
        <v> </v>
      </c>
      <c r="L1648" s="27"/>
    </row>
    <row r="1649" spans="1:12">
      <c r="A1649" s="20" t="s">
        <v>1393</v>
      </c>
      <c r="E1649" s="22">
        <f>IF(D1649="?OLD","!!!","")</f>
        <v/>
      </c>
      <c r="F1649" s="23" t="str">
        <f>IF(OR(E1649="",E1649="!!!"),"",IF(NOT(ISNA(VLOOKUP(E1649,E$1:E1648,1,FALSE()))),"OLD",IF(AND(E1649&lt;&gt;"",E1649&lt;&gt;"!!!"),"NEW","")))</f>
        <v> </v>
      </c>
      <c r="G1649" s="24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5" t="str">
        <f>IF(J1649&lt;&gt;1,"",IF(I1649="SBJ","CB","?"))</f>
        <v> </v>
      </c>
      <c r="I1649" s="26" t="str">
        <f>IF(OR(E1649="",E1649="!!!",F1649="NEW"),"",INDEX(B1648:B$2,-1+SUMPRODUCT(MAX(ROW(E1648:E$2)*(E1649=E1648:E$2)))))</f>
        <v> </v>
      </c>
      <c r="J1649" s="26" t="str">
        <f>IF(OR(E1649="",E1649="!!!",F1649="NEW"),"",COUNTBLANK(OFFSET(A$1,,,SUMPRODUCT(MAX(ROW(E$2:E1649)*(E1649=E$2:E1649)))))-COUNTBLANK(OFFSET(A$1,,,SUMPRODUCT(MAX(ROW(E$1:E1648)*(E2=E$1:E1648))))))</f>
        <v> </v>
      </c>
      <c r="K1649" s="26" t="str">
        <f>IF(OR(E1649="",E1649="!!!",F1649="NEW"),"",INDEX(J$1:J1648,SUMPRODUCT(MAX(ROW(E$1:E1648)*(E1649=E$1:E1648)))))</f>
        <v> </v>
      </c>
      <c r="L1649" s="27"/>
    </row>
    <row r="1650" spans="1:12">
      <c r="A1650" s="20" t="s">
        <v>843</v>
      </c>
      <c r="E1650" s="22">
        <f>IF(D1650="?OLD","!!!","")</f>
        <v/>
      </c>
      <c r="F1650" s="23" t="str">
        <f>IF(OR(E1650="",E1650="!!!"),"",IF(NOT(ISNA(VLOOKUP(E1650,E$1:E1649,1,FALSE()))),"OLD",IF(AND(E1650&lt;&gt;"",E1650&lt;&gt;"!!!"),"NEW","")))</f>
        <v> </v>
      </c>
      <c r="G1650" s="24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5" t="str">
        <f>IF(J1650&lt;&gt;1,"",IF(I1650="SBJ","CB","?"))</f>
        <v> </v>
      </c>
      <c r="I1650" s="26" t="str">
        <f>IF(OR(E1650="",E1650="!!!",F1650="NEW"),"",INDEX(B1649:B$2,-1+SUMPRODUCT(MAX(ROW(E1649:E$2)*(E1650=E1649:E$2)))))</f>
        <v> </v>
      </c>
      <c r="J1650" s="26" t="str">
        <f>IF(OR(E1650="",E1650="!!!",F1650="NEW"),"",COUNTBLANK(OFFSET(A$1,,,SUMPRODUCT(MAX(ROW(E$2:E1650)*(E1650=E$2:E1650)))))-COUNTBLANK(OFFSET(A$1,,,SUMPRODUCT(MAX(ROW(E$1:E1649)*(E2=E$1:E1649))))))</f>
        <v> </v>
      </c>
      <c r="K1650" s="26" t="str">
        <f>IF(OR(E1650="",E1650="!!!",F1650="NEW"),"",INDEX(J$1:J1649,SUMPRODUCT(MAX(ROW(E$1:E1649)*(E1650=E$1:E1649)))))</f>
        <v> </v>
      </c>
      <c r="L1650" s="27"/>
    </row>
    <row r="1651" spans="1:12">
      <c r="A1651" s="20" t="s">
        <v>608</v>
      </c>
      <c r="E1651" s="22">
        <f>IF(D1651="?OLD","!!!","")</f>
        <v/>
      </c>
      <c r="F1651" s="23" t="str">
        <f>IF(OR(E1651="",E1651="!!!"),"",IF(NOT(ISNA(VLOOKUP(E1651,E$1:E1650,1,FALSE()))),"OLD",IF(AND(E1651&lt;&gt;"",E1651&lt;&gt;"!!!"),"NEW","")))</f>
        <v> </v>
      </c>
      <c r="G1651" s="24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5" t="str">
        <f>IF(J1651&lt;&gt;1,"",IF(I1651="SBJ","CB","?"))</f>
        <v> </v>
      </c>
      <c r="I1651" s="26" t="str">
        <f>IF(OR(E1651="",E1651="!!!",F1651="NEW"),"",INDEX(B1650:B$2,-1+SUMPRODUCT(MAX(ROW(E1650:E$2)*(E1651=E1650:E$2)))))</f>
        <v> </v>
      </c>
      <c r="J1651" s="26" t="str">
        <f>IF(OR(E1651="",E1651="!!!",F1651="NEW"),"",COUNTBLANK(OFFSET(A$1,,,SUMPRODUCT(MAX(ROW(E$2:E1651)*(E1651=E$2:E1651)))))-COUNTBLANK(OFFSET(A$1,,,SUMPRODUCT(MAX(ROW(E$1:E1650)*(E2=E$1:E1650))))))</f>
        <v> </v>
      </c>
      <c r="K1651" s="26" t="str">
        <f>IF(OR(E1651="",E1651="!!!",F1651="NEW"),"",INDEX(J$1:J1650,SUMPRODUCT(MAX(ROW(E$1:E1650)*(E1651=E$1:E1650)))))</f>
        <v> </v>
      </c>
      <c r="L1651" s="27"/>
    </row>
    <row r="1652" spans="1:12">
      <c r="A1652" s="20" t="s">
        <v>1394</v>
      </c>
      <c r="E1652" s="22">
        <f>IF(D1652="?OLD","!!!","")</f>
        <v/>
      </c>
      <c r="F1652" s="23" t="str">
        <f>IF(OR(E1652="",E1652="!!!"),"",IF(NOT(ISNA(VLOOKUP(E1652,E$1:E1651,1,FALSE()))),"OLD",IF(AND(E1652&lt;&gt;"",E1652&lt;&gt;"!!!"),"NEW","")))</f>
        <v> </v>
      </c>
      <c r="G1652" s="24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5" t="str">
        <f>IF(J1652&lt;&gt;1,"",IF(I1652="SBJ","CB","?"))</f>
        <v> </v>
      </c>
      <c r="I1652" s="26" t="str">
        <f>IF(OR(E1652="",E1652="!!!",F1652="NEW"),"",INDEX(B1651:B$2,-1+SUMPRODUCT(MAX(ROW(E1651:E$2)*(E1652=E1651:E$2)))))</f>
        <v> </v>
      </c>
      <c r="J1652" s="26" t="str">
        <f>IF(OR(E1652="",E1652="!!!",F1652="NEW"),"",COUNTBLANK(OFFSET(A$1,,,SUMPRODUCT(MAX(ROW(E$2:E1652)*(E1652=E$2:E1652)))))-COUNTBLANK(OFFSET(A$1,,,SUMPRODUCT(MAX(ROW(E$1:E1651)*(E2=E$1:E1651))))))</f>
        <v> </v>
      </c>
      <c r="K1652" s="26" t="str">
        <f>IF(OR(E1652="",E1652="!!!",F1652="NEW"),"",INDEX(J$1:J1651,SUMPRODUCT(MAX(ROW(E$1:E1651)*(E1652=E$1:E1651)))))</f>
        <v> </v>
      </c>
      <c r="L1652" s="27"/>
    </row>
    <row r="1653" spans="1:12">
      <c r="A1653" s="20" t="s">
        <v>583</v>
      </c>
      <c r="E1653" s="22">
        <f>IF(D1653="?OLD","!!!","")</f>
        <v/>
      </c>
      <c r="F1653" s="23" t="str">
        <f>IF(OR(E1653="",E1653="!!!"),"",IF(NOT(ISNA(VLOOKUP(E1653,E$1:E1652,1,FALSE()))),"OLD",IF(AND(E1653&lt;&gt;"",E1653&lt;&gt;"!!!"),"NEW","")))</f>
        <v> </v>
      </c>
      <c r="G1653" s="24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5" t="str">
        <f>IF(J1653&lt;&gt;1,"",IF(I1653="SBJ","CB","?"))</f>
        <v> </v>
      </c>
      <c r="I1653" s="26" t="str">
        <f>IF(OR(E1653="",E1653="!!!",F1653="NEW"),"",INDEX(B1652:B$2,-1+SUMPRODUCT(MAX(ROW(E1652:E$2)*(E1653=E1652:E$2)))))</f>
        <v> </v>
      </c>
      <c r="J1653" s="26" t="str">
        <f>IF(OR(E1653="",E1653="!!!",F1653="NEW"),"",COUNTBLANK(OFFSET(A$1,,,SUMPRODUCT(MAX(ROW(E$2:E1653)*(E1653=E$2:E1653)))))-COUNTBLANK(OFFSET(A$1,,,SUMPRODUCT(MAX(ROW(E$1:E1652)*(E2=E$1:E1652))))))</f>
        <v> </v>
      </c>
      <c r="K1653" s="26" t="str">
        <f>IF(OR(E1653="",E1653="!!!",F1653="NEW"),"",INDEX(J$1:J1652,SUMPRODUCT(MAX(ROW(E$1:E1652)*(E1653=E$1:E1652)))))</f>
        <v> </v>
      </c>
      <c r="L1653" s="27"/>
    </row>
    <row r="1654" spans="1:12">
      <c r="A1654" s="20" t="s">
        <v>630</v>
      </c>
      <c r="E1654" s="22">
        <f>IF(D1654="?OLD","!!!","")</f>
        <v/>
      </c>
      <c r="F1654" s="23" t="str">
        <f>IF(OR(E1654="",E1654="!!!"),"",IF(NOT(ISNA(VLOOKUP(E1654,E$1:E1653,1,FALSE()))),"OLD",IF(AND(E1654&lt;&gt;"",E1654&lt;&gt;"!!!"),"NEW","")))</f>
        <v> </v>
      </c>
      <c r="G1654" s="24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5" t="str">
        <f>IF(J1654&lt;&gt;1,"",IF(I1654="SBJ","CB","?"))</f>
        <v> </v>
      </c>
      <c r="I1654" s="26" t="str">
        <f>IF(OR(E1654="",E1654="!!!",F1654="NEW"),"",INDEX(B1653:B$2,-1+SUMPRODUCT(MAX(ROW(E1653:E$2)*(E1654=E1653:E$2)))))</f>
        <v> </v>
      </c>
      <c r="J1654" s="26" t="str">
        <f>IF(OR(E1654="",E1654="!!!",F1654="NEW"),"",COUNTBLANK(OFFSET(A$1,,,SUMPRODUCT(MAX(ROW(E$2:E1654)*(E1654=E$2:E1654)))))-COUNTBLANK(OFFSET(A$1,,,SUMPRODUCT(MAX(ROW(E$1:E1653)*(E2=E$1:E1653))))))</f>
        <v> </v>
      </c>
      <c r="K1654" s="26" t="str">
        <f>IF(OR(E1654="",E1654="!!!",F1654="NEW"),"",INDEX(J$1:J1653,SUMPRODUCT(MAX(ROW(E$1:E1653)*(E1654=E$1:E1653)))))</f>
        <v> </v>
      </c>
      <c r="L1654" s="27"/>
    </row>
    <row r="1655" spans="1:12">
      <c r="A1655" s="20" t="s">
        <v>656</v>
      </c>
      <c r="B1655" s="21" t="s">
        <v>590</v>
      </c>
      <c r="C1655" s="21" t="s">
        <v>586</v>
      </c>
      <c r="D1655" s="21" t="s">
        <v>587</v>
      </c>
      <c r="E1655" s="22">
        <f>IF(D1655="?OLD","!!!","")</f>
        <v/>
      </c>
      <c r="F1655" s="23" t="str">
        <f>IF(OR(E1655="",E1655="!!!"),"",IF(NOT(ISNA(VLOOKUP(E1655,E$1:E1654,1,FALSE()))),"OLD",IF(AND(E1655&lt;&gt;"",E1655&lt;&gt;"!!!"),"NEW","")))</f>
        <v> </v>
      </c>
      <c r="G1655" s="24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5" t="str">
        <f>IF(J1655&lt;&gt;1,"",IF(I1655="SBJ","CB","?"))</f>
        <v> </v>
      </c>
      <c r="I1655" s="26" t="str">
        <f>IF(OR(E1655="",E1655="!!!",F1655="NEW"),"",INDEX(B1654:B$2,-1+SUMPRODUCT(MAX(ROW(E1654:E$2)*(E1655=E1654:E$2)))))</f>
        <v> </v>
      </c>
      <c r="J1655" s="26" t="str">
        <f>IF(OR(E1655="",E1655="!!!",F1655="NEW"),"",COUNTBLANK(OFFSET(A$1,,,SUMPRODUCT(MAX(ROW(E$2:E1655)*(E1655=E$2:E1655)))))-COUNTBLANK(OFFSET(A$1,,,SUMPRODUCT(MAX(ROW(E$1:E1654)*(E2=E$1:E1654))))))</f>
        <v> </v>
      </c>
      <c r="K1655" s="26" t="str">
        <f>IF(OR(E1655="",E1655="!!!",F1655="NEW"),"",INDEX(J$1:J1654,SUMPRODUCT(MAX(ROW(E$1:E1654)*(E1655=E$1:E1654)))))</f>
        <v> </v>
      </c>
      <c r="L1655" s="27"/>
    </row>
    <row r="1656" spans="1:12">
      <c r="A1656" s="20" t="s">
        <v>1395</v>
      </c>
      <c r="E1656" s="22">
        <f>IF(D1656="?OLD","!!!","")</f>
        <v/>
      </c>
      <c r="F1656" s="23" t="str">
        <f>IF(OR(E1656="",E1656="!!!"),"",IF(NOT(ISNA(VLOOKUP(E1656,E$1:E1655,1,FALSE()))),"OLD",IF(AND(E1656&lt;&gt;"",E1656&lt;&gt;"!!!"),"NEW","")))</f>
        <v> </v>
      </c>
      <c r="G1656" s="24" t="str">
        <f>IF(OR(E1656="",E1656="!!!"),"",IF(OR(J1656=0,AND(J1656=1,K1656=1),AND(J1656=1,I1656="SBJ"),AND(J1656=1,I1656=0)),"?IN_FOCUS",IF(J1656&lt;=2,"?ACTIVATED",IF(J1656&lt;&gt;"","?FAMILIAR",IF(F1656="NEW",IF(ISNA(VLOOKUP(E1656,#REF!,1,FALSE())),"?TYPE_IDENTIFIABLE","?REFERENTIAL"),"_")))))</f>
        <v> </v>
      </c>
      <c r="H1656" s="25" t="str">
        <f>IF(J1656&lt;&gt;1,"",IF(I1656="SBJ","CB","?"))</f>
        <v> </v>
      </c>
      <c r="I1656" s="26" t="str">
        <f>IF(OR(E1656="",E1656="!!!",F1656="NEW"),"",INDEX(B1655:B$2,-1+SUMPRODUCT(MAX(ROW(E1655:E$2)*(E1656=E1655:E$2)))))</f>
        <v> </v>
      </c>
      <c r="J1656" s="26" t="str">
        <f>IF(OR(E1656="",E1656="!!!",F1656="NEW"),"",COUNTBLANK(OFFSET(A$1,,,SUMPRODUCT(MAX(ROW(E$2:E1656)*(E1656=E$2:E1656)))))-COUNTBLANK(OFFSET(A$1,,,SUMPRODUCT(MAX(ROW(E$1:E1655)*(E2=E$1:E1655))))))</f>
        <v> </v>
      </c>
      <c r="K1656" s="26" t="str">
        <f>IF(OR(E1656="",E1656="!!!",F1656="NEW"),"",INDEX(J$1:J1655,SUMPRODUCT(MAX(ROW(E$1:E1655)*(E1656=E$1:E1655)))))</f>
        <v> </v>
      </c>
      <c r="L1656" s="27"/>
    </row>
    <row r="1657" spans="1:12">
      <c r="A1657" s="20" t="s">
        <v>1396</v>
      </c>
      <c r="E1657" s="22">
        <f>IF(D1657="?OLD","!!!","")</f>
        <v/>
      </c>
      <c r="F1657" s="23" t="str">
        <f>IF(OR(E1657="",E1657="!!!"),"",IF(NOT(ISNA(VLOOKUP(E1657,E$1:E1656,1,FALSE()))),"OLD",IF(AND(E1657&lt;&gt;"",E1657&lt;&gt;"!!!"),"NEW","")))</f>
        <v> </v>
      </c>
      <c r="G1657" s="24" t="str">
        <f>IF(OR(E1657="",E1657="!!!"),"",IF(OR(J1657=0,AND(J1657=1,K1657=1),AND(J1657=1,I1657="SBJ"),AND(J1657=1,I1657=0)),"?IN_FOCUS",IF(J1657&lt;=2,"?ACTIVATED",IF(J1657&lt;&gt;"","?FAMILIAR",IF(F1657="NEW",IF(ISNA(VLOOKUP(E1657,#REF!,1,FALSE())),"?TYPE_IDENTIFIABLE","?REFERENTIAL"),"_")))))</f>
        <v> </v>
      </c>
      <c r="H1657" s="25" t="str">
        <f>IF(J1657&lt;&gt;1,"",IF(I1657="SBJ","CB","?"))</f>
        <v> </v>
      </c>
      <c r="I1657" s="26" t="str">
        <f>IF(OR(E1657="",E1657="!!!",F1657="NEW"),"",INDEX(B1656:B$2,-1+SUMPRODUCT(MAX(ROW(E1656:E$2)*(E1657=E1656:E$2)))))</f>
        <v> </v>
      </c>
      <c r="J1657" s="26" t="str">
        <f>IF(OR(E1657="",E1657="!!!",F1657="NEW"),"",COUNTBLANK(OFFSET(A$1,,,SUMPRODUCT(MAX(ROW(E$2:E1657)*(E1657=E$2:E1657)))))-COUNTBLANK(OFFSET(A$1,,,SUMPRODUCT(MAX(ROW(E$1:E1656)*(E2=E$1:E1656))))))</f>
        <v> </v>
      </c>
      <c r="K1657" s="26" t="str">
        <f>IF(OR(E1657="",E1657="!!!",F1657="NEW"),"",INDEX(J$1:J1656,SUMPRODUCT(MAX(ROW(E$1:E1656)*(E1657=E$1:E1656)))))</f>
        <v> </v>
      </c>
      <c r="L1657" s="27"/>
    </row>
    <row r="1658" spans="1:12">
      <c r="A1658" s="20" t="s">
        <v>1397</v>
      </c>
      <c r="B1658" s="21" t="s">
        <v>651</v>
      </c>
      <c r="C1658" s="21" t="s">
        <v>646</v>
      </c>
      <c r="E1658" s="22">
        <f>IF(D1658="?OLD","!!!","")</f>
        <v/>
      </c>
      <c r="F1658" s="23" t="str">
        <f>IF(OR(E1658="",E1658="!!!"),"",IF(NOT(ISNA(VLOOKUP(E1658,E$1:E1657,1,FALSE()))),"OLD",IF(AND(E1658&lt;&gt;"",E1658&lt;&gt;"!!!"),"NEW","")))</f>
        <v> </v>
      </c>
      <c r="G1658" s="24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5" t="str">
        <f>IF(J1658&lt;&gt;1,"",IF(I1658="SBJ","CB","?"))</f>
        <v> </v>
      </c>
      <c r="I1658" s="26" t="str">
        <f>IF(OR(E1658="",E1658="!!!",F1658="NEW"),"",INDEX(B1657:B$2,-1+SUMPRODUCT(MAX(ROW(E1657:E$2)*(E1658=E1657:E$2)))))</f>
        <v> </v>
      </c>
      <c r="J1658" s="26" t="str">
        <f>IF(OR(E1658="",E1658="!!!",F1658="NEW"),"",COUNTBLANK(OFFSET(A$1,,,SUMPRODUCT(MAX(ROW(E$2:E1658)*(E1658=E$2:E1658)))))-COUNTBLANK(OFFSET(A$1,,,SUMPRODUCT(MAX(ROW(E$1:E1657)*(E2=E$1:E1657))))))</f>
        <v> </v>
      </c>
      <c r="K1658" s="26" t="str">
        <f>IF(OR(E1658="",E1658="!!!",F1658="NEW"),"",INDEX(J$1:J1657,SUMPRODUCT(MAX(ROW(E$1:E1657)*(E1658=E$1:E1657)))))</f>
        <v> </v>
      </c>
      <c r="L1658" s="27"/>
    </row>
    <row r="1659" spans="1:12">
      <c r="A1659" s="20" t="s">
        <v>1057</v>
      </c>
      <c r="E1659" s="22">
        <f>IF(D1659="?OLD","!!!","")</f>
        <v/>
      </c>
      <c r="F1659" s="23" t="str">
        <f>IF(OR(E1659="",E1659="!!!"),"",IF(NOT(ISNA(VLOOKUP(E1659,E$1:E1658,1,FALSE()))),"OLD",IF(AND(E1659&lt;&gt;"",E1659&lt;&gt;"!!!"),"NEW","")))</f>
        <v> </v>
      </c>
      <c r="G1659" s="24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5" t="str">
        <f>IF(J1659&lt;&gt;1,"",IF(I1659="SBJ","CB","?"))</f>
        <v> </v>
      </c>
      <c r="I1659" s="26" t="str">
        <f>IF(OR(E1659="",E1659="!!!",F1659="NEW"),"",INDEX(B1658:B$2,-1+SUMPRODUCT(MAX(ROW(E1658:E$2)*(E1659=E1658:E$2)))))</f>
        <v> </v>
      </c>
      <c r="J1659" s="26" t="str">
        <f>IF(OR(E1659="",E1659="!!!",F1659="NEW"),"",COUNTBLANK(OFFSET(A$1,,,SUMPRODUCT(MAX(ROW(E$2:E1659)*(E1659=E$2:E1659)))))-COUNTBLANK(OFFSET(A$1,,,SUMPRODUCT(MAX(ROW(E$1:E1658)*(E2=E$1:E1658))))))</f>
        <v> </v>
      </c>
      <c r="K1659" s="26" t="str">
        <f>IF(OR(E1659="",E1659="!!!",F1659="NEW"),"",INDEX(J$1:J1658,SUMPRODUCT(MAX(ROW(E$1:E1658)*(E1659=E$1:E1658)))))</f>
        <v> </v>
      </c>
      <c r="L1659" s="27"/>
    </row>
    <row r="1660" spans="1:12">
      <c r="A1660" s="20" t="s">
        <v>688</v>
      </c>
      <c r="E1660" s="22">
        <f>IF(D1660="?OLD","!!!","")</f>
        <v/>
      </c>
      <c r="F1660" s="23" t="str">
        <f>IF(OR(E1660="",E1660="!!!"),"",IF(NOT(ISNA(VLOOKUP(E1660,E$1:E1659,1,FALSE()))),"OLD",IF(AND(E1660&lt;&gt;"",E1660&lt;&gt;"!!!"),"NEW","")))</f>
        <v> </v>
      </c>
      <c r="G1660" s="24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5" t="str">
        <f>IF(J1660&lt;&gt;1,"",IF(I1660="SBJ","CB","?"))</f>
        <v> </v>
      </c>
      <c r="I1660" s="26" t="str">
        <f>IF(OR(E1660="",E1660="!!!",F1660="NEW"),"",INDEX(B1659:B$2,-1+SUMPRODUCT(MAX(ROW(E1659:E$2)*(E1660=E1659:E$2)))))</f>
        <v> </v>
      </c>
      <c r="J1660" s="26" t="str">
        <f>IF(OR(E1660="",E1660="!!!",F1660="NEW"),"",COUNTBLANK(OFFSET(A$1,,,SUMPRODUCT(MAX(ROW(E$2:E1660)*(E1660=E$2:E1660)))))-COUNTBLANK(OFFSET(A$1,,,SUMPRODUCT(MAX(ROW(E$1:E1659)*(E2=E$1:E1659))))))</f>
        <v> </v>
      </c>
      <c r="K1660" s="26" t="str">
        <f>IF(OR(E1660="",E1660="!!!",F1660="NEW"),"",INDEX(J$1:J1659,SUMPRODUCT(MAX(ROW(E$1:E1659)*(E1660=E$1:E1659)))))</f>
        <v> </v>
      </c>
      <c r="L1660" s="27"/>
    </row>
    <row r="1661" spans="1:12">
      <c r="A1661" s="20" t="s">
        <v>637</v>
      </c>
      <c r="E1661" s="22">
        <f>IF(D1661="?OLD","!!!","")</f>
        <v/>
      </c>
      <c r="F1661" s="23" t="str">
        <f>IF(OR(E1661="",E1661="!!!"),"",IF(NOT(ISNA(VLOOKUP(E1661,E$1:E1660,1,FALSE()))),"OLD",IF(AND(E1661&lt;&gt;"",E1661&lt;&gt;"!!!"),"NEW","")))</f>
        <v> </v>
      </c>
      <c r="G1661" s="24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5" t="str">
        <f>IF(J1661&lt;&gt;1,"",IF(I1661="SBJ","CB","?"))</f>
        <v> </v>
      </c>
      <c r="I1661" s="26" t="str">
        <f>IF(OR(E1661="",E1661="!!!",F1661="NEW"),"",INDEX(B1660:B$2,-1+SUMPRODUCT(MAX(ROW(E1660:E$2)*(E1661=E1660:E$2)))))</f>
        <v> </v>
      </c>
      <c r="J1661" s="26" t="str">
        <f>IF(OR(E1661="",E1661="!!!",F1661="NEW"),"",COUNTBLANK(OFFSET(A$1,,,SUMPRODUCT(MAX(ROW(E$2:E1661)*(E1661=E$2:E1661)))))-COUNTBLANK(OFFSET(A$1,,,SUMPRODUCT(MAX(ROW(E$1:E1660)*(E2=E$1:E1660))))))</f>
        <v> </v>
      </c>
      <c r="K1661" s="26" t="str">
        <f>IF(OR(E1661="",E1661="!!!",F1661="NEW"),"",INDEX(J$1:J1660,SUMPRODUCT(MAX(ROW(E$1:E1660)*(E1661=E$1:E1660)))))</f>
        <v> </v>
      </c>
      <c r="L1661" s="27"/>
    </row>
    <row r="1662" spans="1:12">
      <c r="A1662" s="20" t="s">
        <v>1398</v>
      </c>
      <c r="E1662" s="22">
        <f>IF(D1662="?OLD","!!!","")</f>
        <v/>
      </c>
      <c r="F1662" s="23" t="str">
        <f>IF(OR(E1662="",E1662="!!!"),"",IF(NOT(ISNA(VLOOKUP(E1662,E$1:E1661,1,FALSE()))),"OLD",IF(AND(E1662&lt;&gt;"",E1662&lt;&gt;"!!!"),"NEW","")))</f>
        <v> </v>
      </c>
      <c r="G1662" s="24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5" t="str">
        <f>IF(J1662&lt;&gt;1,"",IF(I1662="SBJ","CB","?"))</f>
        <v> </v>
      </c>
      <c r="I1662" s="26" t="str">
        <f>IF(OR(E1662="",E1662="!!!",F1662="NEW"),"",INDEX(B1661:B$2,-1+SUMPRODUCT(MAX(ROW(E1661:E$2)*(E1662=E1661:E$2)))))</f>
        <v> </v>
      </c>
      <c r="J1662" s="26" t="str">
        <f>IF(OR(E1662="",E1662="!!!",F1662="NEW"),"",COUNTBLANK(OFFSET(A$1,,,SUMPRODUCT(MAX(ROW(E$2:E1662)*(E1662=E$2:E1662)))))-COUNTBLANK(OFFSET(A$1,,,SUMPRODUCT(MAX(ROW(E$1:E1661)*(E2=E$1:E1661))))))</f>
        <v> </v>
      </c>
      <c r="K1662" s="26" t="str">
        <f>IF(OR(E1662="",E1662="!!!",F1662="NEW"),"",INDEX(J$1:J1661,SUMPRODUCT(MAX(ROW(E$1:E1661)*(E1662=E$1:E1661)))))</f>
        <v> </v>
      </c>
      <c r="L1662" s="27"/>
    </row>
    <row r="1663" spans="1:12">
      <c r="A1663" s="20" t="s">
        <v>1399</v>
      </c>
      <c r="E1663" s="22">
        <f>IF(D1663="?OLD","!!!","")</f>
        <v/>
      </c>
      <c r="F1663" s="23" t="str">
        <f>IF(OR(E1663="",E1663="!!!"),"",IF(NOT(ISNA(VLOOKUP(E1663,E$1:E1662,1,FALSE()))),"OLD",IF(AND(E1663&lt;&gt;"",E1663&lt;&gt;"!!!"),"NEW","")))</f>
        <v> </v>
      </c>
      <c r="G1663" s="24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5" t="str">
        <f>IF(J1663&lt;&gt;1,"",IF(I1663="SBJ","CB","?"))</f>
        <v> </v>
      </c>
      <c r="I1663" s="26" t="str">
        <f>IF(OR(E1663="",E1663="!!!",F1663="NEW"),"",INDEX(B1662:B$2,-1+SUMPRODUCT(MAX(ROW(E1662:E$2)*(E1663=E1662:E$2)))))</f>
        <v> </v>
      </c>
      <c r="J1663" s="26" t="str">
        <f>IF(OR(E1663="",E1663="!!!",F1663="NEW"),"",COUNTBLANK(OFFSET(A$1,,,SUMPRODUCT(MAX(ROW(E$2:E1663)*(E1663=E$2:E1663)))))-COUNTBLANK(OFFSET(A$1,,,SUMPRODUCT(MAX(ROW(E$1:E1662)*(E2=E$1:E1662))))))</f>
        <v> </v>
      </c>
      <c r="K1663" s="26" t="str">
        <f>IF(OR(E1663="",E1663="!!!",F1663="NEW"),"",INDEX(J$1:J1662,SUMPRODUCT(MAX(ROW(E$1:E1662)*(E1663=E$1:E1662)))))</f>
        <v> </v>
      </c>
      <c r="L1663" s="27"/>
    </row>
    <row r="1664" spans="1:12">
      <c r="A1664" s="20" t="s">
        <v>1400</v>
      </c>
      <c r="E1664" s="22">
        <f>IF(D1664="?OLD","!!!","")</f>
        <v/>
      </c>
      <c r="F1664" s="23" t="str">
        <f>IF(OR(E1664="",E1664="!!!"),"",IF(NOT(ISNA(VLOOKUP(E1664,E$1:E1663,1,FALSE()))),"OLD",IF(AND(E1664&lt;&gt;"",E1664&lt;&gt;"!!!"),"NEW","")))</f>
        <v> </v>
      </c>
      <c r="G1664" s="24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5" t="str">
        <f>IF(J1664&lt;&gt;1,"",IF(I1664="SBJ","CB","?"))</f>
        <v> </v>
      </c>
      <c r="I1664" s="26" t="str">
        <f>IF(OR(E1664="",E1664="!!!",F1664="NEW"),"",INDEX(B1663:B$2,-1+SUMPRODUCT(MAX(ROW(E1663:E$2)*(E1664=E1663:E$2)))))</f>
        <v> </v>
      </c>
      <c r="J1664" s="26" t="str">
        <f>IF(OR(E1664="",E1664="!!!",F1664="NEW"),"",COUNTBLANK(OFFSET(A$1,,,SUMPRODUCT(MAX(ROW(E$2:E1664)*(E1664=E$2:E1664)))))-COUNTBLANK(OFFSET(A$1,,,SUMPRODUCT(MAX(ROW(E$1:E1663)*(E2=E$1:E1663))))))</f>
        <v> </v>
      </c>
      <c r="K1664" s="26" t="str">
        <f>IF(OR(E1664="",E1664="!!!",F1664="NEW"),"",INDEX(J$1:J1663,SUMPRODUCT(MAX(ROW(E$1:E1663)*(E1664=E$1:E1663)))))</f>
        <v> </v>
      </c>
      <c r="L1664" s="27"/>
    </row>
    <row r="1665" spans="1:12">
      <c r="A1665" s="20" t="s">
        <v>592</v>
      </c>
      <c r="E1665" s="22">
        <f>IF(D1665="?OLD","!!!","")</f>
        <v/>
      </c>
      <c r="F1665" s="23" t="str">
        <f>IF(OR(E1665="",E1665="!!!"),"",IF(NOT(ISNA(VLOOKUP(E1665,E$1:E1664,1,FALSE()))),"OLD",IF(AND(E1665&lt;&gt;"",E1665&lt;&gt;"!!!"),"NEW","")))</f>
        <v> </v>
      </c>
      <c r="G1665" s="24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5" t="str">
        <f>IF(J1665&lt;&gt;1,"",IF(I1665="SBJ","CB","?"))</f>
        <v> </v>
      </c>
      <c r="I1665" s="26" t="str">
        <f>IF(OR(E1665="",E1665="!!!",F1665="NEW"),"",INDEX(B1664:B$2,-1+SUMPRODUCT(MAX(ROW(E1664:E$2)*(E1665=E1664:E$2)))))</f>
        <v> </v>
      </c>
      <c r="J1665" s="26" t="str">
        <f>IF(OR(E1665="",E1665="!!!",F1665="NEW"),"",COUNTBLANK(OFFSET(A$1,,,SUMPRODUCT(MAX(ROW(E$2:E1665)*(E1665=E$2:E1665)))))-COUNTBLANK(OFFSET(A$1,,,SUMPRODUCT(MAX(ROW(E$1:E1664)*(E2=E$1:E1664))))))</f>
        <v> </v>
      </c>
      <c r="K1665" s="26" t="str">
        <f>IF(OR(E1665="",E1665="!!!",F1665="NEW"),"",INDEX(J$1:J1664,SUMPRODUCT(MAX(ROW(E$1:E1664)*(E1665=E$1:E1664)))))</f>
        <v> </v>
      </c>
      <c r="L1665" s="27"/>
    </row>
    <row r="1666" spans="1:12">
      <c r="A1666" s="20"/>
    </row>
    <row r="1667" spans="1:12">
      <c r="A1667" s="20" t="s">
        <v>1401</v>
      </c>
    </row>
    <row r="1668" spans="1:12">
      <c r="A1668" s="20" t="s">
        <v>706</v>
      </c>
      <c r="E1668" s="22">
        <f>IF(D1668="?OLD","!!!","")</f>
        <v/>
      </c>
      <c r="F1668" s="23" t="str">
        <f>IF(OR(E1668="",E1668="!!!"),"",IF(NOT(ISNA(VLOOKUP(E1668,E$1:E1667,1,FALSE()))),"OLD",IF(AND(E1668&lt;&gt;"",E1668&lt;&gt;"!!!"),"NEW","")))</f>
        <v> </v>
      </c>
      <c r="G1668" s="24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5" t="str">
        <f>IF(J1668&lt;&gt;1,"",IF(I1668="SBJ","CB","?"))</f>
        <v> </v>
      </c>
      <c r="I1668" s="26" t="str">
        <f>IF(OR(E1668="",E1668="!!!",F1668="NEW"),"",INDEX(B1667:B$2,-1+SUMPRODUCT(MAX(ROW(E1667:E$2)*(E1668=E1667:E$2)))))</f>
        <v> </v>
      </c>
      <c r="J1668" s="26" t="str">
        <f>IF(OR(E1668="",E1668="!!!",F1668="NEW"),"",COUNTBLANK(OFFSET(A$1,,,SUMPRODUCT(MAX(ROW(E$2:E1668)*(E1668=E$2:E1668)))))-COUNTBLANK(OFFSET(A$1,,,SUMPRODUCT(MAX(ROW(E$1:E1667)*(E2=E$1:E1667))))))</f>
        <v> </v>
      </c>
      <c r="K1668" s="26" t="str">
        <f>IF(OR(E1668="",E1668="!!!",F1668="NEW"),"",INDEX(J$1:J1667,SUMPRODUCT(MAX(ROW(E$1:E1667)*(E1668=E$1:E1667)))))</f>
        <v> </v>
      </c>
      <c r="L1668" s="27"/>
    </row>
    <row r="1669" spans="1:12">
      <c r="A1669" s="20" t="s">
        <v>1058</v>
      </c>
      <c r="B1669" s="21" t="s">
        <v>651</v>
      </c>
      <c r="C1669" s="21" t="s">
        <v>628</v>
      </c>
      <c r="D1669" s="21" t="s">
        <v>587</v>
      </c>
      <c r="E1669" s="22">
        <f>IF(D1669="?OLD","!!!","")</f>
        <v/>
      </c>
      <c r="F1669" s="23" t="str">
        <f>IF(OR(E1669="",E1669="!!!"),"",IF(NOT(ISNA(VLOOKUP(E1669,E$1:E1668,1,FALSE()))),"OLD",IF(AND(E1669&lt;&gt;"",E1669&lt;&gt;"!!!"),"NEW","")))</f>
        <v> </v>
      </c>
      <c r="G1669" s="24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5" t="str">
        <f>IF(J1669&lt;&gt;1,"",IF(I1669="SBJ","CB","?"))</f>
        <v> </v>
      </c>
      <c r="I1669" s="26" t="str">
        <f>IF(OR(E1669="",E1669="!!!",F1669="NEW"),"",INDEX(B1668:B$2,-1+SUMPRODUCT(MAX(ROW(E1668:E$2)*(E1669=E1668:E$2)))))</f>
        <v> </v>
      </c>
      <c r="J1669" s="26" t="str">
        <f>IF(OR(E1669="",E1669="!!!",F1669="NEW"),"",COUNTBLANK(OFFSET(A$1,,,SUMPRODUCT(MAX(ROW(E$2:E1669)*(E1669=E$2:E1669)))))-COUNTBLANK(OFFSET(A$1,,,SUMPRODUCT(MAX(ROW(E$1:E1668)*(E2=E$1:E1668))))))</f>
        <v> </v>
      </c>
      <c r="K1669" s="26" t="str">
        <f>IF(OR(E1669="",E1669="!!!",F1669="NEW"),"",INDEX(J$1:J1668,SUMPRODUCT(MAX(ROW(E$1:E1668)*(E1669=E$1:E1668)))))</f>
        <v> </v>
      </c>
      <c r="L1669" s="27"/>
    </row>
    <row r="1670" spans="1:12">
      <c r="A1670" s="20" t="s">
        <v>1402</v>
      </c>
      <c r="B1670" s="21" t="s">
        <v>578</v>
      </c>
      <c r="E1670" s="22">
        <f>IF(D1670="?OLD","!!!","")</f>
        <v/>
      </c>
      <c r="F1670" s="23" t="str">
        <f>IF(OR(E1670="",E1670="!!!"),"",IF(NOT(ISNA(VLOOKUP(E1670,E$1:E1669,1,FALSE()))),"OLD",IF(AND(E1670&lt;&gt;"",E1670&lt;&gt;"!!!"),"NEW","")))</f>
        <v> </v>
      </c>
      <c r="G1670" s="24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5" t="str">
        <f>IF(J1670&lt;&gt;1,"",IF(I1670="SBJ","CB","?"))</f>
        <v> </v>
      </c>
      <c r="I1670" s="26" t="str">
        <f>IF(OR(E1670="",E1670="!!!",F1670="NEW"),"",INDEX(B1669:B$2,-1+SUMPRODUCT(MAX(ROW(E1669:E$2)*(E1670=E1669:E$2)))))</f>
        <v> </v>
      </c>
      <c r="J1670" s="26" t="str">
        <f>IF(OR(E1670="",E1670="!!!",F1670="NEW"),"",COUNTBLANK(OFFSET(A$1,,,SUMPRODUCT(MAX(ROW(E$2:E1670)*(E1670=E$2:E1670)))))-COUNTBLANK(OFFSET(A$1,,,SUMPRODUCT(MAX(ROW(E$1:E1669)*(E2=E$1:E1669))))))</f>
        <v> </v>
      </c>
      <c r="K1670" s="26" t="str">
        <f>IF(OR(E1670="",E1670="!!!",F1670="NEW"),"",INDEX(J$1:J1669,SUMPRODUCT(MAX(ROW(E$1:E1669)*(E1670=E$1:E1669)))))</f>
        <v> </v>
      </c>
      <c r="L1670" s="27"/>
    </row>
    <row r="1671" spans="1:12">
      <c r="A1671" s="20" t="s">
        <v>1403</v>
      </c>
      <c r="E1671" s="22">
        <f>IF(D1671="?OLD","!!!","")</f>
        <v/>
      </c>
      <c r="F1671" s="23" t="str">
        <f>IF(OR(E1671="",E1671="!!!"),"",IF(NOT(ISNA(VLOOKUP(E1671,E$1:E1670,1,FALSE()))),"OLD",IF(AND(E1671&lt;&gt;"",E1671&lt;&gt;"!!!"),"NEW","")))</f>
        <v> </v>
      </c>
      <c r="G1671" s="24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5" t="str">
        <f>IF(J1671&lt;&gt;1,"",IF(I1671="SBJ","CB","?"))</f>
        <v> </v>
      </c>
      <c r="I1671" s="26" t="str">
        <f>IF(OR(E1671="",E1671="!!!",F1671="NEW"),"",INDEX(B1670:B$2,-1+SUMPRODUCT(MAX(ROW(E1670:E$2)*(E1671=E1670:E$2)))))</f>
        <v> </v>
      </c>
      <c r="J1671" s="26" t="str">
        <f>IF(OR(E1671="",E1671="!!!",F1671="NEW"),"",COUNTBLANK(OFFSET(A$1,,,SUMPRODUCT(MAX(ROW(E$2:E1671)*(E1671=E$2:E1671)))))-COUNTBLANK(OFFSET(A$1,,,SUMPRODUCT(MAX(ROW(E$1:E1670)*(E2=E$1:E1670))))))</f>
        <v> </v>
      </c>
      <c r="K1671" s="26" t="str">
        <f>IF(OR(E1671="",E1671="!!!",F1671="NEW"),"",INDEX(J$1:J1670,SUMPRODUCT(MAX(ROW(E$1:E1670)*(E1671=E$1:E1670)))))</f>
        <v> </v>
      </c>
      <c r="L1671" s="27"/>
    </row>
    <row r="1672" spans="1:12">
      <c r="A1672" s="20" t="s">
        <v>741</v>
      </c>
      <c r="E1672" s="22">
        <f>IF(D1672="?OLD","!!!","")</f>
        <v/>
      </c>
      <c r="F1672" s="23" t="str">
        <f>IF(OR(E1672="",E1672="!!!"),"",IF(NOT(ISNA(VLOOKUP(E1672,E$1:E1671,1,FALSE()))),"OLD",IF(AND(E1672&lt;&gt;"",E1672&lt;&gt;"!!!"),"NEW","")))</f>
        <v> </v>
      </c>
      <c r="G1672" s="24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5" t="str">
        <f>IF(J1672&lt;&gt;1,"",IF(I1672="SBJ","CB","?"))</f>
        <v> </v>
      </c>
      <c r="I1672" s="26" t="str">
        <f>IF(OR(E1672="",E1672="!!!",F1672="NEW"),"",INDEX(B1671:B$2,-1+SUMPRODUCT(MAX(ROW(E1671:E$2)*(E1672=E1671:E$2)))))</f>
        <v> </v>
      </c>
      <c r="J1672" s="26" t="str">
        <f>IF(OR(E1672="",E1672="!!!",F1672="NEW"),"",COUNTBLANK(OFFSET(A$1,,,SUMPRODUCT(MAX(ROW(E$2:E1672)*(E1672=E$2:E1672)))))-COUNTBLANK(OFFSET(A$1,,,SUMPRODUCT(MAX(ROW(E$1:E1671)*(E2=E$1:E1671))))))</f>
        <v> </v>
      </c>
      <c r="K1672" s="26" t="str">
        <f>IF(OR(E1672="",E1672="!!!",F1672="NEW"),"",INDEX(J$1:J1671,SUMPRODUCT(MAX(ROW(E$1:E1671)*(E1672=E$1:E1671)))))</f>
        <v> </v>
      </c>
      <c r="L1672" s="27"/>
    </row>
    <row r="1673" spans="1:12">
      <c r="A1673" s="20" t="s">
        <v>1291</v>
      </c>
      <c r="E1673" s="22">
        <f>IF(D1673="?OLD","!!!","")</f>
        <v/>
      </c>
      <c r="F1673" s="23" t="str">
        <f>IF(OR(E1673="",E1673="!!!"),"",IF(NOT(ISNA(VLOOKUP(E1673,E$1:E1672,1,FALSE()))),"OLD",IF(AND(E1673&lt;&gt;"",E1673&lt;&gt;"!!!"),"NEW","")))</f>
        <v> </v>
      </c>
      <c r="G1673" s="24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5" t="str">
        <f>IF(J1673&lt;&gt;1,"",IF(I1673="SBJ","CB","?"))</f>
        <v> </v>
      </c>
      <c r="I1673" s="26" t="str">
        <f>IF(OR(E1673="",E1673="!!!",F1673="NEW"),"",INDEX(B1672:B$2,-1+SUMPRODUCT(MAX(ROW(E1672:E$2)*(E1673=E1672:E$2)))))</f>
        <v> </v>
      </c>
      <c r="J1673" s="26" t="str">
        <f>IF(OR(E1673="",E1673="!!!",F1673="NEW"),"",COUNTBLANK(OFFSET(A$1,,,SUMPRODUCT(MAX(ROW(E$2:E1673)*(E1673=E$2:E1673)))))-COUNTBLANK(OFFSET(A$1,,,SUMPRODUCT(MAX(ROW(E$1:E1672)*(E2=E$1:E1672))))))</f>
        <v> </v>
      </c>
      <c r="K1673" s="26" t="str">
        <f>IF(OR(E1673="",E1673="!!!",F1673="NEW"),"",INDEX(J$1:J1672,SUMPRODUCT(MAX(ROW(E$1:E1672)*(E1673=E$1:E1672)))))</f>
        <v> </v>
      </c>
      <c r="L1673" s="27"/>
    </row>
    <row r="1674" spans="1:12">
      <c r="A1674" s="20" t="s">
        <v>77</v>
      </c>
      <c r="E1674" s="22">
        <f>IF(D1674="?OLD","!!!","")</f>
        <v/>
      </c>
      <c r="F1674" s="23" t="str">
        <f>IF(OR(E1674="",E1674="!!!"),"",IF(NOT(ISNA(VLOOKUP(E1674,E$1:E1673,1,FALSE()))),"OLD",IF(AND(E1674&lt;&gt;"",E1674&lt;&gt;"!!!"),"NEW","")))</f>
        <v> </v>
      </c>
      <c r="G1674" s="24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5" t="str">
        <f>IF(J1674&lt;&gt;1,"",IF(I1674="SBJ","CB","?"))</f>
        <v> </v>
      </c>
      <c r="I1674" s="26" t="str">
        <f>IF(OR(E1674="",E1674="!!!",F1674="NEW"),"",INDEX(B1673:B$2,-1+SUMPRODUCT(MAX(ROW(E1673:E$2)*(E1674=E1673:E$2)))))</f>
        <v> </v>
      </c>
      <c r="J1674" s="26" t="str">
        <f>IF(OR(E1674="",E1674="!!!",F1674="NEW"),"",COUNTBLANK(OFFSET(A$1,,,SUMPRODUCT(MAX(ROW(E$2:E1674)*(E1674=E$2:E1674)))))-COUNTBLANK(OFFSET(A$1,,,SUMPRODUCT(MAX(ROW(E$1:E1673)*(E2=E$1:E1673))))))</f>
        <v> </v>
      </c>
      <c r="K1674" s="26" t="str">
        <f>IF(OR(E1674="",E1674="!!!",F1674="NEW"),"",INDEX(J$1:J1673,SUMPRODUCT(MAX(ROW(E$1:E1673)*(E1674=E$1:E1673)))))</f>
        <v> </v>
      </c>
      <c r="L1674" s="27"/>
    </row>
    <row r="1675" spans="1:12">
      <c r="A1675" s="20" t="s">
        <v>912</v>
      </c>
      <c r="E1675" s="22">
        <f>IF(D1675="?OLD","!!!","")</f>
        <v/>
      </c>
      <c r="F1675" s="23" t="str">
        <f>IF(OR(E1675="",E1675="!!!"),"",IF(NOT(ISNA(VLOOKUP(E1675,E$1:E1674,1,FALSE()))),"OLD",IF(AND(E1675&lt;&gt;"",E1675&lt;&gt;"!!!"),"NEW","")))</f>
        <v> </v>
      </c>
      <c r="G1675" s="24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5" t="str">
        <f>IF(J1675&lt;&gt;1,"",IF(I1675="SBJ","CB","?"))</f>
        <v> </v>
      </c>
      <c r="I1675" s="26" t="str">
        <f>IF(OR(E1675="",E1675="!!!",F1675="NEW"),"",INDEX(B1674:B$2,-1+SUMPRODUCT(MAX(ROW(E1674:E$2)*(E1675=E1674:E$2)))))</f>
        <v> </v>
      </c>
      <c r="J1675" s="26" t="str">
        <f>IF(OR(E1675="",E1675="!!!",F1675="NEW"),"",COUNTBLANK(OFFSET(A$1,,,SUMPRODUCT(MAX(ROW(E$2:E1675)*(E1675=E$2:E1675)))))-COUNTBLANK(OFFSET(A$1,,,SUMPRODUCT(MAX(ROW(E$1:E1674)*(E2=E$1:E1674))))))</f>
        <v> </v>
      </c>
      <c r="K1675" s="26" t="str">
        <f>IF(OR(E1675="",E1675="!!!",F1675="NEW"),"",INDEX(J$1:J1674,SUMPRODUCT(MAX(ROW(E$1:E1674)*(E1675=E$1:E1674)))))</f>
        <v> </v>
      </c>
      <c r="L1675" s="27"/>
    </row>
    <row r="1676" spans="1:12">
      <c r="A1676" s="20" t="s">
        <v>1404</v>
      </c>
      <c r="E1676" s="22">
        <f>IF(D1676="?OLD","!!!","")</f>
        <v/>
      </c>
      <c r="F1676" s="23" t="str">
        <f>IF(OR(E1676="",E1676="!!!"),"",IF(NOT(ISNA(VLOOKUP(E1676,E$1:E1675,1,FALSE()))),"OLD",IF(AND(E1676&lt;&gt;"",E1676&lt;&gt;"!!!"),"NEW","")))</f>
        <v> </v>
      </c>
      <c r="G1676" s="24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5" t="str">
        <f>IF(J1676&lt;&gt;1,"",IF(I1676="SBJ","CB","?"))</f>
        <v> </v>
      </c>
      <c r="I1676" s="26" t="str">
        <f>IF(OR(E1676="",E1676="!!!",F1676="NEW"),"",INDEX(B1675:B$2,-1+SUMPRODUCT(MAX(ROW(E1675:E$2)*(E1676=E1675:E$2)))))</f>
        <v> </v>
      </c>
      <c r="J1676" s="26" t="str">
        <f>IF(OR(E1676="",E1676="!!!",F1676="NEW"),"",COUNTBLANK(OFFSET(A$1,,,SUMPRODUCT(MAX(ROW(E$2:E1676)*(E1676=E$2:E1676)))))-COUNTBLANK(OFFSET(A$1,,,SUMPRODUCT(MAX(ROW(E$1:E1675)*(E2=E$1:E1675))))))</f>
        <v> </v>
      </c>
      <c r="K1676" s="26" t="str">
        <f>IF(OR(E1676="",E1676="!!!",F1676="NEW"),"",INDEX(J$1:J1675,SUMPRODUCT(MAX(ROW(E$1:E1675)*(E1676=E$1:E1675)))))</f>
        <v> </v>
      </c>
      <c r="L1676" s="27"/>
    </row>
    <row r="1677" spans="1:12">
      <c r="A1677" s="20" t="s">
        <v>1405</v>
      </c>
      <c r="E1677" s="22">
        <f>IF(D1677="?OLD","!!!","")</f>
        <v/>
      </c>
      <c r="F1677" s="23" t="str">
        <f>IF(OR(E1677="",E1677="!!!"),"",IF(NOT(ISNA(VLOOKUP(E1677,E$1:E1676,1,FALSE()))),"OLD",IF(AND(E1677&lt;&gt;"",E1677&lt;&gt;"!!!"),"NEW","")))</f>
        <v> </v>
      </c>
      <c r="G1677" s="24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5" t="str">
        <f>IF(J1677&lt;&gt;1,"",IF(I1677="SBJ","CB","?"))</f>
        <v> </v>
      </c>
      <c r="I1677" s="26" t="str">
        <f>IF(OR(E1677="",E1677="!!!",F1677="NEW"),"",INDEX(B1676:B$2,-1+SUMPRODUCT(MAX(ROW(E1676:E$2)*(E1677=E1676:E$2)))))</f>
        <v> </v>
      </c>
      <c r="J1677" s="26" t="str">
        <f>IF(OR(E1677="",E1677="!!!",F1677="NEW"),"",COUNTBLANK(OFFSET(A$1,,,SUMPRODUCT(MAX(ROW(E$2:E1677)*(E1677=E$2:E1677)))))-COUNTBLANK(OFFSET(A$1,,,SUMPRODUCT(MAX(ROW(E$1:E1676)*(E2=E$1:E1676))))))</f>
        <v> </v>
      </c>
      <c r="K1677" s="26" t="str">
        <f>IF(OR(E1677="",E1677="!!!",F1677="NEW"),"",INDEX(J$1:J1676,SUMPRODUCT(MAX(ROW(E$1:E1676)*(E1677=E$1:E1676)))))</f>
        <v> </v>
      </c>
      <c r="L1677" s="27"/>
    </row>
    <row r="1678" spans="1:12">
      <c r="A1678" s="20" t="s">
        <v>1406</v>
      </c>
      <c r="B1678" s="21" t="s">
        <v>590</v>
      </c>
      <c r="C1678" s="21" t="s">
        <v>628</v>
      </c>
      <c r="D1678" s="21" t="s">
        <v>587</v>
      </c>
      <c r="E1678" s="22">
        <f>IF(D1678="?OLD","!!!","")</f>
        <v/>
      </c>
      <c r="F1678" s="23" t="str">
        <f>IF(OR(E1678="",E1678="!!!"),"",IF(NOT(ISNA(VLOOKUP(E1678,E$1:E1677,1,FALSE()))),"OLD",IF(AND(E1678&lt;&gt;"",E1678&lt;&gt;"!!!"),"NEW","")))</f>
        <v> </v>
      </c>
      <c r="G1678" s="24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5" t="str">
        <f>IF(J1678&lt;&gt;1,"",IF(I1678="SBJ","CB","?"))</f>
        <v> </v>
      </c>
      <c r="I1678" s="26" t="str">
        <f>IF(OR(E1678="",E1678="!!!",F1678="NEW"),"",INDEX(B1677:B$2,-1+SUMPRODUCT(MAX(ROW(E1677:E$2)*(E1678=E1677:E$2)))))</f>
        <v> </v>
      </c>
      <c r="J1678" s="26" t="str">
        <f>IF(OR(E1678="",E1678="!!!",F1678="NEW"),"",COUNTBLANK(OFFSET(A$1,,,SUMPRODUCT(MAX(ROW(E$2:E1678)*(E1678=E$2:E1678)))))-COUNTBLANK(OFFSET(A$1,,,SUMPRODUCT(MAX(ROW(E$1:E1677)*(E2=E$1:E1677))))))</f>
        <v> </v>
      </c>
      <c r="K1678" s="26" t="str">
        <f>IF(OR(E1678="",E1678="!!!",F1678="NEW"),"",INDEX(J$1:J1677,SUMPRODUCT(MAX(ROW(E$1:E1677)*(E1678=E$1:E1677)))))</f>
        <v> </v>
      </c>
      <c r="L1678" s="27"/>
    </row>
    <row r="1679" spans="1:12">
      <c r="A1679" s="20" t="s">
        <v>630</v>
      </c>
      <c r="E1679" s="22">
        <f>IF(D1679="?OLD","!!!","")</f>
        <v/>
      </c>
      <c r="F1679" s="23" t="str">
        <f>IF(OR(E1679="",E1679="!!!"),"",IF(NOT(ISNA(VLOOKUP(E1679,E$1:E1678,1,FALSE()))),"OLD",IF(AND(E1679&lt;&gt;"",E1679&lt;&gt;"!!!"),"NEW","")))</f>
        <v> </v>
      </c>
      <c r="G1679" s="24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5" t="str">
        <f>IF(J1679&lt;&gt;1,"",IF(I1679="SBJ","CB","?"))</f>
        <v> </v>
      </c>
      <c r="I1679" s="26" t="str">
        <f>IF(OR(E1679="",E1679="!!!",F1679="NEW"),"",INDEX(B1678:B$2,-1+SUMPRODUCT(MAX(ROW(E1678:E$2)*(E1679=E1678:E$2)))))</f>
        <v> </v>
      </c>
      <c r="J1679" s="26" t="str">
        <f>IF(OR(E1679="",E1679="!!!",F1679="NEW"),"",COUNTBLANK(OFFSET(A$1,,,SUMPRODUCT(MAX(ROW(E$2:E1679)*(E1679=E$2:E1679)))))-COUNTBLANK(OFFSET(A$1,,,SUMPRODUCT(MAX(ROW(E$1:E1678)*(E2=E$1:E1678))))))</f>
        <v> </v>
      </c>
      <c r="K1679" s="26" t="str">
        <f>IF(OR(E1679="",E1679="!!!",F1679="NEW"),"",INDEX(J$1:J1678,SUMPRODUCT(MAX(ROW(E$1:E1678)*(E1679=E$1:E1678)))))</f>
        <v> </v>
      </c>
      <c r="L1679" s="27"/>
    </row>
    <row r="1680" spans="1:12">
      <c r="A1680" s="20" t="s">
        <v>1366</v>
      </c>
      <c r="B1680" s="21" t="s">
        <v>645</v>
      </c>
      <c r="C1680" s="21" t="s">
        <v>787</v>
      </c>
      <c r="D1680" s="21" t="s">
        <v>587</v>
      </c>
      <c r="E1680" s="22">
        <f>IF(D1680="?OLD","!!!","")</f>
        <v/>
      </c>
      <c r="F1680" s="23" t="str">
        <f>IF(OR(E1680="",E1680="!!!"),"",IF(NOT(ISNA(VLOOKUP(E1680,E$1:E1679,1,FALSE()))),"OLD",IF(AND(E1680&lt;&gt;"",E1680&lt;&gt;"!!!"),"NEW","")))</f>
        <v> </v>
      </c>
      <c r="G1680" s="24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5" t="str">
        <f>IF(J1680&lt;&gt;1,"",IF(I1680="SBJ","CB","?"))</f>
        <v> </v>
      </c>
      <c r="I1680" s="26" t="str">
        <f>IF(OR(E1680="",E1680="!!!",F1680="NEW"),"",INDEX(B1679:B$2,-1+SUMPRODUCT(MAX(ROW(E1679:E$2)*(E1680=E1679:E$2)))))</f>
        <v> </v>
      </c>
      <c r="J1680" s="26" t="str">
        <f>IF(OR(E1680="",E1680="!!!",F1680="NEW"),"",COUNTBLANK(OFFSET(A$1,,,SUMPRODUCT(MAX(ROW(E$2:E1680)*(E1680=E$2:E1680)))))-COUNTBLANK(OFFSET(A$1,,,SUMPRODUCT(MAX(ROW(E$1:E1679)*(E2=E$1:E1679))))))</f>
        <v> </v>
      </c>
      <c r="K1680" s="26" t="str">
        <f>IF(OR(E1680="",E1680="!!!",F1680="NEW"),"",INDEX(J$1:J1679,SUMPRODUCT(MAX(ROW(E$1:E1679)*(E1680=E$1:E1679)))))</f>
        <v> </v>
      </c>
      <c r="L1680" s="27"/>
    </row>
    <row r="1681" spans="1:12">
      <c r="A1681" s="20" t="s">
        <v>1407</v>
      </c>
      <c r="E1681" s="22">
        <f>IF(D1681="?OLD","!!!","")</f>
        <v/>
      </c>
      <c r="F1681" s="23" t="str">
        <f>IF(OR(E1681="",E1681="!!!"),"",IF(NOT(ISNA(VLOOKUP(E1681,E$1:E1680,1,FALSE()))),"OLD",IF(AND(E1681&lt;&gt;"",E1681&lt;&gt;"!!!"),"NEW","")))</f>
        <v> </v>
      </c>
      <c r="G1681" s="24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5" t="str">
        <f>IF(J1681&lt;&gt;1,"",IF(I1681="SBJ","CB","?"))</f>
        <v> </v>
      </c>
      <c r="I1681" s="26" t="str">
        <f>IF(OR(E1681="",E1681="!!!",F1681="NEW"),"",INDEX(B1680:B$2,-1+SUMPRODUCT(MAX(ROW(E1680:E$2)*(E1681=E1680:E$2)))))</f>
        <v> </v>
      </c>
      <c r="J1681" s="26" t="str">
        <f>IF(OR(E1681="",E1681="!!!",F1681="NEW"),"",COUNTBLANK(OFFSET(A$1,,,SUMPRODUCT(MAX(ROW(E$2:E1681)*(E1681=E$2:E1681)))))-COUNTBLANK(OFFSET(A$1,,,SUMPRODUCT(MAX(ROW(E$1:E1680)*(E2=E$1:E1680))))))</f>
        <v> </v>
      </c>
      <c r="K1681" s="26" t="str">
        <f>IF(OR(E1681="",E1681="!!!",F1681="NEW"),"",INDEX(J$1:J1680,SUMPRODUCT(MAX(ROW(E$1:E1680)*(E1681=E$1:E1680)))))</f>
        <v> </v>
      </c>
      <c r="L1681" s="27"/>
    </row>
    <row r="1682" spans="1:12">
      <c r="A1682" s="20" t="s">
        <v>592</v>
      </c>
      <c r="E1682" s="22">
        <f>IF(D1682="?OLD","!!!","")</f>
        <v/>
      </c>
      <c r="F1682" s="23" t="str">
        <f>IF(OR(E1682="",E1682="!!!"),"",IF(NOT(ISNA(VLOOKUP(E1682,E$1:E1681,1,FALSE()))),"OLD",IF(AND(E1682&lt;&gt;"",E1682&lt;&gt;"!!!"),"NEW","")))</f>
        <v> </v>
      </c>
      <c r="G1682" s="24" t="str">
        <f>IF(OR(E1682="",E1682="!!!"),"",IF(OR(J1682=0,AND(J1682=1,K1682=1),AND(J1682=1,I1682="SBJ"),AND(J1682=1,I1682=0)),"?IN_FOCUS",IF(J1682&lt;=2,"?ACTIVATED",IF(J1682&lt;&gt;"","?FAMILIAR",IF(F1682="NEW",IF(ISNA(VLOOKUP(E1682,#REF!,1,FALSE())),"?TYPE_IDENTIFIABLE","?REFERENTIAL"),"_")))))</f>
        <v> </v>
      </c>
      <c r="H1682" s="25" t="str">
        <f>IF(J1682&lt;&gt;1,"",IF(I1682="SBJ","CB","?"))</f>
        <v> </v>
      </c>
      <c r="I1682" s="26" t="str">
        <f>IF(OR(E1682="",E1682="!!!",F1682="NEW"),"",INDEX(B1681:B$2,-1+SUMPRODUCT(MAX(ROW(E1681:E$2)*(E1682=E1681:E$2)))))</f>
        <v> </v>
      </c>
      <c r="J1682" s="26" t="str">
        <f>IF(OR(E1682="",E1682="!!!",F1682="NEW"),"",COUNTBLANK(OFFSET(A$1,,,SUMPRODUCT(MAX(ROW(E$2:E1682)*(E1682=E$2:E1682)))))-COUNTBLANK(OFFSET(A$1,,,SUMPRODUCT(MAX(ROW(E$1:E1681)*(E2=E$1:E1681))))))</f>
        <v> </v>
      </c>
      <c r="K1682" s="26" t="str">
        <f>IF(OR(E1682="",E1682="!!!",F1682="NEW"),"",INDEX(J$1:J1681,SUMPRODUCT(MAX(ROW(E$1:E1681)*(E1682=E$1:E1681)))))</f>
        <v> </v>
      </c>
      <c r="L1682" s="27"/>
    </row>
    <row r="1683" spans="1:12">
      <c r="A1683" s="20"/>
    </row>
    <row r="1684" spans="1:12">
      <c r="A1684" s="20" t="s">
        <v>1408</v>
      </c>
    </row>
    <row r="1685" spans="1:12">
      <c r="A1685" s="20" t="s">
        <v>1032</v>
      </c>
      <c r="E1685" s="22">
        <f>IF(D1685="?OLD","!!!","")</f>
        <v/>
      </c>
      <c r="F1685" s="23" t="str">
        <f>IF(OR(E1685="",E1685="!!!"),"",IF(NOT(ISNA(VLOOKUP(E1685,E$1:E1684,1,FALSE()))),"OLD",IF(AND(E1685&lt;&gt;"",E1685&lt;&gt;"!!!"),"NEW","")))</f>
        <v> </v>
      </c>
      <c r="G1685" s="24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5" t="str">
        <f>IF(J1685&lt;&gt;1,"",IF(I1685="SBJ","CB","?"))</f>
        <v> </v>
      </c>
      <c r="I1685" s="26" t="str">
        <f>IF(OR(E1685="",E1685="!!!",F1685="NEW"),"",INDEX(B1684:B$2,-1+SUMPRODUCT(MAX(ROW(E1684:E$2)*(E1685=E1684:E$2)))))</f>
        <v> </v>
      </c>
      <c r="J1685" s="26" t="str">
        <f>IF(OR(E1685="",E1685="!!!",F1685="NEW"),"",COUNTBLANK(OFFSET(A$1,,,SUMPRODUCT(MAX(ROW(E$2:E1685)*(E1685=E$2:E1685)))))-COUNTBLANK(OFFSET(A$1,,,SUMPRODUCT(MAX(ROW(E$1:E1684)*(E2=E$1:E1684))))))</f>
        <v> </v>
      </c>
      <c r="K1685" s="26" t="str">
        <f>IF(OR(E1685="",E1685="!!!",F1685="NEW"),"",INDEX(J$1:J1684,SUMPRODUCT(MAX(ROW(E$1:E1684)*(E1685=E$1:E1684)))))</f>
        <v> </v>
      </c>
      <c r="L1685" s="27"/>
    </row>
    <row r="1686" spans="1:12">
      <c r="A1686" s="20" t="s">
        <v>1409</v>
      </c>
      <c r="E1686" s="22">
        <f>IF(D1686="?OLD","!!!","")</f>
        <v/>
      </c>
      <c r="F1686" s="23" t="str">
        <f>IF(OR(E1686="",E1686="!!!"),"",IF(NOT(ISNA(VLOOKUP(E1686,E$1:E1685,1,FALSE()))),"OLD",IF(AND(E1686&lt;&gt;"",E1686&lt;&gt;"!!!"),"NEW","")))</f>
        <v> </v>
      </c>
      <c r="G1686" s="24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5" t="str">
        <f>IF(J1686&lt;&gt;1,"",IF(I1686="SBJ","CB","?"))</f>
        <v> </v>
      </c>
      <c r="I1686" s="26" t="str">
        <f>IF(OR(E1686="",E1686="!!!",F1686="NEW"),"",INDEX(B1685:B$2,-1+SUMPRODUCT(MAX(ROW(E1685:E$2)*(E1686=E1685:E$2)))))</f>
        <v> </v>
      </c>
      <c r="J1686" s="26" t="str">
        <f>IF(OR(E1686="",E1686="!!!",F1686="NEW"),"",COUNTBLANK(OFFSET(A$1,,,SUMPRODUCT(MAX(ROW(E$2:E1686)*(E1686=E$2:E1686)))))-COUNTBLANK(OFFSET(A$1,,,SUMPRODUCT(MAX(ROW(E$1:E1685)*(E2=E$1:E1685))))))</f>
        <v> </v>
      </c>
      <c r="K1686" s="26" t="str">
        <f>IF(OR(E1686="",E1686="!!!",F1686="NEW"),"",INDEX(J$1:J1685,SUMPRODUCT(MAX(ROW(E$1:E1685)*(E1686=E$1:E1685)))))</f>
        <v> </v>
      </c>
      <c r="L1686" s="27"/>
    </row>
    <row r="1687" spans="1:12">
      <c r="A1687" s="20" t="s">
        <v>619</v>
      </c>
      <c r="E1687" s="22">
        <f>IF(D1687="?OLD","!!!","")</f>
        <v/>
      </c>
      <c r="F1687" s="23" t="str">
        <f>IF(OR(E1687="",E1687="!!!"),"",IF(NOT(ISNA(VLOOKUP(E1687,E$1:E1686,1,FALSE()))),"OLD",IF(AND(E1687&lt;&gt;"",E1687&lt;&gt;"!!!"),"NEW","")))</f>
        <v> </v>
      </c>
      <c r="G1687" s="24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5" t="str">
        <f>IF(J1687&lt;&gt;1,"",IF(I1687="SBJ","CB","?"))</f>
        <v> </v>
      </c>
      <c r="I1687" s="26" t="str">
        <f>IF(OR(E1687="",E1687="!!!",F1687="NEW"),"",INDEX(B1686:B$2,-1+SUMPRODUCT(MAX(ROW(E1686:E$2)*(E1687=E1686:E$2)))))</f>
        <v> </v>
      </c>
      <c r="J1687" s="26" t="str">
        <f>IF(OR(E1687="",E1687="!!!",F1687="NEW"),"",COUNTBLANK(OFFSET(A$1,,,SUMPRODUCT(MAX(ROW(E$2:E1687)*(E1687=E$2:E1687)))))-COUNTBLANK(OFFSET(A$1,,,SUMPRODUCT(MAX(ROW(E$1:E1686)*(E2=E$1:E1686))))))</f>
        <v> </v>
      </c>
      <c r="K1687" s="26" t="str">
        <f>IF(OR(E1687="",E1687="!!!",F1687="NEW"),"",INDEX(J$1:J1686,SUMPRODUCT(MAX(ROW(E$1:E1686)*(E1687=E$1:E1686)))))</f>
        <v> </v>
      </c>
      <c r="L1687" s="27"/>
    </row>
    <row r="1688" spans="1:12">
      <c r="A1688" s="20" t="s">
        <v>1410</v>
      </c>
      <c r="E1688" s="22">
        <f>IF(D1688="?OLD","!!!","")</f>
        <v/>
      </c>
      <c r="F1688" s="23" t="str">
        <f>IF(OR(E1688="",E1688="!!!"),"",IF(NOT(ISNA(VLOOKUP(E1688,E$1:E1687,1,FALSE()))),"OLD",IF(AND(E1688&lt;&gt;"",E1688&lt;&gt;"!!!"),"NEW","")))</f>
        <v> </v>
      </c>
      <c r="G1688" s="24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5" t="str">
        <f>IF(J1688&lt;&gt;1,"",IF(I1688="SBJ","CB","?"))</f>
        <v> </v>
      </c>
      <c r="I1688" s="26" t="str">
        <f>IF(OR(E1688="",E1688="!!!",F1688="NEW"),"",INDEX(B1687:B$2,-1+SUMPRODUCT(MAX(ROW(E1687:E$2)*(E1688=E1687:E$2)))))</f>
        <v> </v>
      </c>
      <c r="J1688" s="26" t="str">
        <f>IF(OR(E1688="",E1688="!!!",F1688="NEW"),"",COUNTBLANK(OFFSET(A$1,,,SUMPRODUCT(MAX(ROW(E$2:E1688)*(E1688=E$2:E1688)))))-COUNTBLANK(OFFSET(A$1,,,SUMPRODUCT(MAX(ROW(E$1:E1687)*(E2=E$1:E1687))))))</f>
        <v> </v>
      </c>
      <c r="K1688" s="26" t="str">
        <f>IF(OR(E1688="",E1688="!!!",F1688="NEW"),"",INDEX(J$1:J1687,SUMPRODUCT(MAX(ROW(E$1:E1687)*(E1688=E$1:E1687)))))</f>
        <v> </v>
      </c>
      <c r="L1688" s="27"/>
    </row>
    <row r="1689" spans="1:12">
      <c r="A1689" s="20" t="s">
        <v>1411</v>
      </c>
      <c r="E1689" s="22">
        <f>IF(D1689="?OLD","!!!","")</f>
        <v/>
      </c>
      <c r="F1689" s="23" t="str">
        <f>IF(OR(E1689="",E1689="!!!"),"",IF(NOT(ISNA(VLOOKUP(E1689,E$1:E1688,1,FALSE()))),"OLD",IF(AND(E1689&lt;&gt;"",E1689&lt;&gt;"!!!"),"NEW","")))</f>
        <v> </v>
      </c>
      <c r="G1689" s="24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5" t="str">
        <f>IF(J1689&lt;&gt;1,"",IF(I1689="SBJ","CB","?"))</f>
        <v> </v>
      </c>
      <c r="I1689" s="26" t="str">
        <f>IF(OR(E1689="",E1689="!!!",F1689="NEW"),"",INDEX(B1688:B$2,-1+SUMPRODUCT(MAX(ROW(E1688:E$2)*(E1689=E1688:E$2)))))</f>
        <v> </v>
      </c>
      <c r="J1689" s="26" t="str">
        <f>IF(OR(E1689="",E1689="!!!",F1689="NEW"),"",COUNTBLANK(OFFSET(A$1,,,SUMPRODUCT(MAX(ROW(E$2:E1689)*(E1689=E$2:E1689)))))-COUNTBLANK(OFFSET(A$1,,,SUMPRODUCT(MAX(ROW(E$1:E1688)*(E2=E$1:E1688))))))</f>
        <v> </v>
      </c>
      <c r="K1689" s="26" t="str">
        <f>IF(OR(E1689="",E1689="!!!",F1689="NEW"),"",INDEX(J$1:J1688,SUMPRODUCT(MAX(ROW(E$1:E1688)*(E1689=E$1:E1688)))))</f>
        <v> </v>
      </c>
      <c r="L1689" s="27"/>
    </row>
    <row r="1690" spans="1:12">
      <c r="A1690" s="20" t="s">
        <v>1412</v>
      </c>
      <c r="E1690" s="22">
        <f>IF(D1690="?OLD","!!!","")</f>
        <v/>
      </c>
      <c r="F1690" s="23" t="str">
        <f>IF(OR(E1690="",E1690="!!!"),"",IF(NOT(ISNA(VLOOKUP(E1690,E$1:E1689,1,FALSE()))),"OLD",IF(AND(E1690&lt;&gt;"",E1690&lt;&gt;"!!!"),"NEW","")))</f>
        <v> </v>
      </c>
      <c r="G1690" s="24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5" t="str">
        <f>IF(J1690&lt;&gt;1,"",IF(I1690="SBJ","CB","?"))</f>
        <v> </v>
      </c>
      <c r="I1690" s="26" t="str">
        <f>IF(OR(E1690="",E1690="!!!",F1690="NEW"),"",INDEX(B1689:B$2,-1+SUMPRODUCT(MAX(ROW(E1689:E$2)*(E1690=E1689:E$2)))))</f>
        <v> </v>
      </c>
      <c r="J1690" s="26" t="str">
        <f>IF(OR(E1690="",E1690="!!!",F1690="NEW"),"",COUNTBLANK(OFFSET(A$1,,,SUMPRODUCT(MAX(ROW(E$2:E1690)*(E1690=E$2:E1690)))))-COUNTBLANK(OFFSET(A$1,,,SUMPRODUCT(MAX(ROW(E$1:E1689)*(E2=E$1:E1689))))))</f>
        <v> </v>
      </c>
      <c r="K1690" s="26" t="str">
        <f>IF(OR(E1690="",E1690="!!!",F1690="NEW"),"",INDEX(J$1:J1689,SUMPRODUCT(MAX(ROW(E$1:E1689)*(E1690=E$1:E1689)))))</f>
        <v> </v>
      </c>
      <c r="L1690" s="27"/>
    </row>
    <row r="1691" spans="1:12">
      <c r="A1691" s="20" t="s">
        <v>1104</v>
      </c>
      <c r="B1691" s="21" t="s">
        <v>651</v>
      </c>
      <c r="C1691" s="21" t="s">
        <v>586</v>
      </c>
      <c r="E1691" s="22">
        <f>IF(D1691="?OLD","!!!","")</f>
        <v/>
      </c>
      <c r="F1691" s="23" t="str">
        <f>IF(OR(E1691="",E1691="!!!"),"",IF(NOT(ISNA(VLOOKUP(E1691,E$1:E1690,1,FALSE()))),"OLD",IF(AND(E1691&lt;&gt;"",E1691&lt;&gt;"!!!"),"NEW","")))</f>
        <v> </v>
      </c>
      <c r="G1691" s="24" t="str">
        <f>IF(OR(E1691="",E1691="!!!"),"",IF(OR(J1691=0,AND(J1691=1,K1691=1),AND(J1691=1,I1691="SBJ"),AND(J1691=1,I1691=0)),"?IN_FOCUS",IF(J1691&lt;=2,"?ACTIVATED",IF(J1691&lt;&gt;"","?FAMILIAR",IF(F1691="NEW",IF(ISNA(VLOOKUP(E1691,#REF!,1,FALSE())),"?TYPE_IDENTIFIABLE","?REFERENTIAL"),"_")))))</f>
        <v> </v>
      </c>
      <c r="H1691" s="25" t="str">
        <f>IF(J1691&lt;&gt;1,"",IF(I1691="SBJ","CB","?"))</f>
        <v> </v>
      </c>
      <c r="I1691" s="26" t="str">
        <f>IF(OR(E1691="",E1691="!!!",F1691="NEW"),"",INDEX(B1690:B$2,-1+SUMPRODUCT(MAX(ROW(E1690:E$2)*(E1691=E1690:E$2)))))</f>
        <v> </v>
      </c>
      <c r="J1691" s="26" t="str">
        <f>IF(OR(E1691="",E1691="!!!",F1691="NEW"),"",COUNTBLANK(OFFSET(A$1,,,SUMPRODUCT(MAX(ROW(E$2:E1691)*(E1691=E$2:E1691)))))-COUNTBLANK(OFFSET(A$1,,,SUMPRODUCT(MAX(ROW(E$1:E1690)*(E2=E$1:E1690))))))</f>
        <v> </v>
      </c>
      <c r="K1691" s="26" t="str">
        <f>IF(OR(E1691="",E1691="!!!",F1691="NEW"),"",INDEX(J$1:J1690,SUMPRODUCT(MAX(ROW(E$1:E1690)*(E1691=E$1:E1690)))))</f>
        <v> </v>
      </c>
      <c r="L1691" s="27"/>
    </row>
    <row r="1692" spans="1:12">
      <c r="A1692" s="20" t="s">
        <v>733</v>
      </c>
      <c r="E1692" s="22">
        <f>IF(D1692="?OLD","!!!","")</f>
        <v/>
      </c>
      <c r="F1692" s="23" t="str">
        <f>IF(OR(E1692="",E1692="!!!"),"",IF(NOT(ISNA(VLOOKUP(E1692,E$1:E1691,1,FALSE()))),"OLD",IF(AND(E1692&lt;&gt;"",E1692&lt;&gt;"!!!"),"NEW","")))</f>
        <v> </v>
      </c>
      <c r="G1692" s="24" t="str">
        <f>IF(OR(E1692="",E1692="!!!"),"",IF(OR(J1692=0,AND(J1692=1,K1692=1),AND(J1692=1,I1692="SBJ"),AND(J1692=1,I1692=0)),"?IN_FOCUS",IF(J1692&lt;=2,"?ACTIVATED",IF(J1692&lt;&gt;"","?FAMILIAR",IF(F1692="NEW",IF(ISNA(VLOOKUP(E1692,#REF!,1,FALSE())),"?TYPE_IDENTIFIABLE","?REFERENTIAL"),"_")))))</f>
        <v> </v>
      </c>
      <c r="H1692" s="25" t="str">
        <f>IF(J1692&lt;&gt;1,"",IF(I1692="SBJ","CB","?"))</f>
        <v> </v>
      </c>
      <c r="I1692" s="26" t="str">
        <f>IF(OR(E1692="",E1692="!!!",F1692="NEW"),"",INDEX(B1691:B$2,-1+SUMPRODUCT(MAX(ROW(E1691:E$2)*(E1692=E1691:E$2)))))</f>
        <v> </v>
      </c>
      <c r="J1692" s="26" t="str">
        <f>IF(OR(E1692="",E1692="!!!",F1692="NEW"),"",COUNTBLANK(OFFSET(A$1,,,SUMPRODUCT(MAX(ROW(E$2:E1692)*(E1692=E$2:E1692)))))-COUNTBLANK(OFFSET(A$1,,,SUMPRODUCT(MAX(ROW(E$1:E1691)*(E2=E$1:E1691))))))</f>
        <v> </v>
      </c>
      <c r="K1692" s="26" t="str">
        <f>IF(OR(E1692="",E1692="!!!",F1692="NEW"),"",INDEX(J$1:J1691,SUMPRODUCT(MAX(ROW(E$1:E1691)*(E1692=E$1:E1691)))))</f>
        <v> </v>
      </c>
      <c r="L1692" s="27"/>
    </row>
    <row r="1693" spans="1:12">
      <c r="A1693" s="20" t="s">
        <v>1413</v>
      </c>
      <c r="B1693" s="21" t="s">
        <v>651</v>
      </c>
      <c r="C1693" s="21" t="s">
        <v>628</v>
      </c>
      <c r="D1693" s="21" t="s">
        <v>587</v>
      </c>
      <c r="E1693" s="22">
        <f>IF(D1693="?OLD","!!!","")</f>
        <v/>
      </c>
      <c r="F1693" s="23" t="str">
        <f>IF(OR(E1693="",E1693="!!!"),"",IF(NOT(ISNA(VLOOKUP(E1693,E$1:E1692,1,FALSE()))),"OLD",IF(AND(E1693&lt;&gt;"",E1693&lt;&gt;"!!!"),"NEW","")))</f>
        <v> </v>
      </c>
      <c r="G1693" s="24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5" t="str">
        <f>IF(J1693&lt;&gt;1,"",IF(I1693="SBJ","CB","?"))</f>
        <v> </v>
      </c>
      <c r="I1693" s="26" t="str">
        <f>IF(OR(E1693="",E1693="!!!",F1693="NEW"),"",INDEX(B1692:B$2,-1+SUMPRODUCT(MAX(ROW(E1692:E$2)*(E1693=E1692:E$2)))))</f>
        <v> </v>
      </c>
      <c r="J1693" s="26" t="str">
        <f>IF(OR(E1693="",E1693="!!!",F1693="NEW"),"",COUNTBLANK(OFFSET(A$1,,,SUMPRODUCT(MAX(ROW(E$2:E1693)*(E1693=E$2:E1693)))))-COUNTBLANK(OFFSET(A$1,,,SUMPRODUCT(MAX(ROW(E$1:E1692)*(E2=E$1:E1692))))))</f>
        <v> </v>
      </c>
      <c r="K1693" s="26" t="str">
        <f>IF(OR(E1693="",E1693="!!!",F1693="NEW"),"",INDEX(J$1:J1692,SUMPRODUCT(MAX(ROW(E$1:E1692)*(E1693=E$1:E1692)))))</f>
        <v> </v>
      </c>
      <c r="L1693" s="27"/>
    </row>
    <row r="1694" spans="1:12">
      <c r="A1694" s="20" t="s">
        <v>1414</v>
      </c>
      <c r="E1694" s="22">
        <f>IF(D1694="?OLD","!!!","")</f>
        <v/>
      </c>
      <c r="F1694" s="23" t="str">
        <f>IF(OR(E1694="",E1694="!!!"),"",IF(NOT(ISNA(VLOOKUP(E1694,E$1:E1693,1,FALSE()))),"OLD",IF(AND(E1694&lt;&gt;"",E1694&lt;&gt;"!!!"),"NEW","")))</f>
        <v> </v>
      </c>
      <c r="G1694" s="24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5" t="str">
        <f>IF(J1694&lt;&gt;1,"",IF(I1694="SBJ","CB","?"))</f>
        <v> </v>
      </c>
      <c r="I1694" s="26" t="str">
        <f>IF(OR(E1694="",E1694="!!!",F1694="NEW"),"",INDEX(B1693:B$2,-1+SUMPRODUCT(MAX(ROW(E1693:E$2)*(E1694=E1693:E$2)))))</f>
        <v> </v>
      </c>
      <c r="J1694" s="26" t="str">
        <f>IF(OR(E1694="",E1694="!!!",F1694="NEW"),"",COUNTBLANK(OFFSET(A$1,,,SUMPRODUCT(MAX(ROW(E$2:E1694)*(E1694=E$2:E1694)))))-COUNTBLANK(OFFSET(A$1,,,SUMPRODUCT(MAX(ROW(E$1:E1693)*(E2=E$1:E1693))))))</f>
        <v> </v>
      </c>
      <c r="K1694" s="26" t="str">
        <f>IF(OR(E1694="",E1694="!!!",F1694="NEW"),"",INDEX(J$1:J1693,SUMPRODUCT(MAX(ROW(E$1:E1693)*(E1694=E$1:E1693)))))</f>
        <v> </v>
      </c>
      <c r="L1694" s="27"/>
    </row>
    <row r="1695" spans="1:12">
      <c r="A1695" s="20" t="s">
        <v>1415</v>
      </c>
      <c r="B1695" s="21" t="s">
        <v>578</v>
      </c>
      <c r="E1695" s="22">
        <f>IF(D1695="?OLD","!!!","")</f>
        <v/>
      </c>
      <c r="F1695" s="23" t="str">
        <f>IF(OR(E1695="",E1695="!!!"),"",IF(NOT(ISNA(VLOOKUP(E1695,E$1:E1694,1,FALSE()))),"OLD",IF(AND(E1695&lt;&gt;"",E1695&lt;&gt;"!!!"),"NEW","")))</f>
        <v> </v>
      </c>
      <c r="G1695" s="24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5" t="str">
        <f>IF(J1695&lt;&gt;1,"",IF(I1695="SBJ","CB","?"))</f>
        <v> </v>
      </c>
      <c r="I1695" s="26" t="str">
        <f>IF(OR(E1695="",E1695="!!!",F1695="NEW"),"",INDEX(B1694:B$2,-1+SUMPRODUCT(MAX(ROW(E1694:E$2)*(E1695=E1694:E$2)))))</f>
        <v> </v>
      </c>
      <c r="J1695" s="26" t="str">
        <f>IF(OR(E1695="",E1695="!!!",F1695="NEW"),"",COUNTBLANK(OFFSET(A$1,,,SUMPRODUCT(MAX(ROW(E$2:E1695)*(E1695=E$2:E1695)))))-COUNTBLANK(OFFSET(A$1,,,SUMPRODUCT(MAX(ROW(E$1:E1694)*(E2=E$1:E1694))))))</f>
        <v> </v>
      </c>
      <c r="K1695" s="26" t="str">
        <f>IF(OR(E1695="",E1695="!!!",F1695="NEW"),"",INDEX(J$1:J1694,SUMPRODUCT(MAX(ROW(E$1:E1694)*(E1695=E$1:E1694)))))</f>
        <v> </v>
      </c>
      <c r="L1695" s="27"/>
    </row>
    <row r="1696" spans="1:12">
      <c r="A1696" s="20" t="s">
        <v>718</v>
      </c>
      <c r="E1696" s="22">
        <f>IF(D1696="?OLD","!!!","")</f>
        <v/>
      </c>
      <c r="F1696" s="23" t="str">
        <f>IF(OR(E1696="",E1696="!!!"),"",IF(NOT(ISNA(VLOOKUP(E1696,E$1:E1695,1,FALSE()))),"OLD",IF(AND(E1696&lt;&gt;"",E1696&lt;&gt;"!!!"),"NEW","")))</f>
        <v> </v>
      </c>
      <c r="G1696" s="24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5" t="str">
        <f>IF(J1696&lt;&gt;1,"",IF(I1696="SBJ","CB","?"))</f>
        <v> </v>
      </c>
      <c r="I1696" s="26" t="str">
        <f>IF(OR(E1696="",E1696="!!!",F1696="NEW"),"",INDEX(B1695:B$2,-1+SUMPRODUCT(MAX(ROW(E1695:E$2)*(E1696=E1695:E$2)))))</f>
        <v> </v>
      </c>
      <c r="J1696" s="26" t="str">
        <f>IF(OR(E1696="",E1696="!!!",F1696="NEW"),"",COUNTBLANK(OFFSET(A$1,,,SUMPRODUCT(MAX(ROW(E$2:E1696)*(E1696=E$2:E1696)))))-COUNTBLANK(OFFSET(A$1,,,SUMPRODUCT(MAX(ROW(E$1:E1695)*(E2=E$1:E1695))))))</f>
        <v> </v>
      </c>
      <c r="K1696" s="26" t="str">
        <f>IF(OR(E1696="",E1696="!!!",F1696="NEW"),"",INDEX(J$1:J1695,SUMPRODUCT(MAX(ROW(E$1:E1695)*(E1696=E$1:E1695)))))</f>
        <v> </v>
      </c>
      <c r="L1696" s="27"/>
    </row>
    <row r="1697" spans="1:12">
      <c r="A1697" s="20" t="s">
        <v>1416</v>
      </c>
      <c r="B1697" s="21" t="s">
        <v>585</v>
      </c>
      <c r="C1697" s="21" t="s">
        <v>628</v>
      </c>
      <c r="D1697" s="21" t="s">
        <v>587</v>
      </c>
      <c r="E1697" s="22">
        <f>IF(D1697="?OLD","!!!","")</f>
        <v/>
      </c>
      <c r="F1697" s="23" t="str">
        <f>IF(OR(E1697="",E1697="!!!"),"",IF(NOT(ISNA(VLOOKUP(E1697,E$1:E1696,1,FALSE()))),"OLD",IF(AND(E1697&lt;&gt;"",E1697&lt;&gt;"!!!"),"NEW","")))</f>
        <v> </v>
      </c>
      <c r="G1697" s="24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5" t="str">
        <f>IF(J1697&lt;&gt;1,"",IF(I1697="SBJ","CB","?"))</f>
        <v> </v>
      </c>
      <c r="I1697" s="26" t="str">
        <f>IF(OR(E1697="",E1697="!!!",F1697="NEW"),"",INDEX(B1696:B$2,-1+SUMPRODUCT(MAX(ROW(E1696:E$2)*(E1697=E1696:E$2)))))</f>
        <v> </v>
      </c>
      <c r="J1697" s="26" t="str">
        <f>IF(OR(E1697="",E1697="!!!",F1697="NEW"),"",COUNTBLANK(OFFSET(A$1,,,SUMPRODUCT(MAX(ROW(E$2:E1697)*(E1697=E$2:E1697)))))-COUNTBLANK(OFFSET(A$1,,,SUMPRODUCT(MAX(ROW(E$1:E1696)*(E2=E$1:E1696))))))</f>
        <v> </v>
      </c>
      <c r="K1697" s="26" t="str">
        <f>IF(OR(E1697="",E1697="!!!",F1697="NEW"),"",INDEX(J$1:J1696,SUMPRODUCT(MAX(ROW(E$1:E1696)*(E1697=E$1:E1696)))))</f>
        <v> </v>
      </c>
      <c r="L1697" s="27"/>
    </row>
    <row r="1698" spans="1:12">
      <c r="A1698" s="20" t="s">
        <v>1417</v>
      </c>
      <c r="E1698" s="22">
        <f>IF(D1698="?OLD","!!!","")</f>
        <v/>
      </c>
      <c r="F1698" s="23" t="str">
        <f>IF(OR(E1698="",E1698="!!!"),"",IF(NOT(ISNA(VLOOKUP(E1698,E$1:E1697,1,FALSE()))),"OLD",IF(AND(E1698&lt;&gt;"",E1698&lt;&gt;"!!!"),"NEW","")))</f>
        <v> </v>
      </c>
      <c r="G1698" s="24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5" t="str">
        <f>IF(J1698&lt;&gt;1,"",IF(I1698="SBJ","CB","?"))</f>
        <v> </v>
      </c>
      <c r="I1698" s="26" t="str">
        <f>IF(OR(E1698="",E1698="!!!",F1698="NEW"),"",INDEX(B1697:B$2,-1+SUMPRODUCT(MAX(ROW(E1697:E$2)*(E1698=E1697:E$2)))))</f>
        <v> </v>
      </c>
      <c r="J1698" s="26" t="str">
        <f>IF(OR(E1698="",E1698="!!!",F1698="NEW"),"",COUNTBLANK(OFFSET(A$1,,,SUMPRODUCT(MAX(ROW(E$2:E1698)*(E1698=E$2:E1698)))))-COUNTBLANK(OFFSET(A$1,,,SUMPRODUCT(MAX(ROW(E$1:E1697)*(E2=E$1:E1697))))))</f>
        <v> </v>
      </c>
      <c r="K1698" s="26" t="str">
        <f>IF(OR(E1698="",E1698="!!!",F1698="NEW"),"",INDEX(J$1:J1697,SUMPRODUCT(MAX(ROW(E$1:E1697)*(E1698=E$1:E1697)))))</f>
        <v> </v>
      </c>
      <c r="L1698" s="27"/>
    </row>
    <row r="1699" spans="1:12">
      <c r="A1699" s="20" t="s">
        <v>1418</v>
      </c>
      <c r="E1699" s="22">
        <f>IF(D1699="?OLD","!!!","")</f>
        <v/>
      </c>
      <c r="F1699" s="23" t="str">
        <f>IF(OR(E1699="",E1699="!!!"),"",IF(NOT(ISNA(VLOOKUP(E1699,E$1:E1698,1,FALSE()))),"OLD",IF(AND(E1699&lt;&gt;"",E1699&lt;&gt;"!!!"),"NEW","")))</f>
        <v> </v>
      </c>
      <c r="G1699" s="24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5" t="str">
        <f>IF(J1699&lt;&gt;1,"",IF(I1699="SBJ","CB","?"))</f>
        <v> </v>
      </c>
      <c r="I1699" s="26" t="str">
        <f>IF(OR(E1699="",E1699="!!!",F1699="NEW"),"",INDEX(B1698:B$2,-1+SUMPRODUCT(MAX(ROW(E1698:E$2)*(E1699=E1698:E$2)))))</f>
        <v> </v>
      </c>
      <c r="J1699" s="26" t="str">
        <f>IF(OR(E1699="",E1699="!!!",F1699="NEW"),"",COUNTBLANK(OFFSET(A$1,,,SUMPRODUCT(MAX(ROW(E$2:E1699)*(E1699=E$2:E1699)))))-COUNTBLANK(OFFSET(A$1,,,SUMPRODUCT(MAX(ROW(E$1:E1698)*(E2=E$1:E1698))))))</f>
        <v> </v>
      </c>
      <c r="K1699" s="26" t="str">
        <f>IF(OR(E1699="",E1699="!!!",F1699="NEW"),"",INDEX(J$1:J1698,SUMPRODUCT(MAX(ROW(E$1:E1698)*(E1699=E$1:E1698)))))</f>
        <v> </v>
      </c>
      <c r="L1699" s="27"/>
    </row>
    <row r="1700" spans="1:12">
      <c r="A1700" s="20" t="s">
        <v>159</v>
      </c>
      <c r="E1700" s="22">
        <f>IF(D1700="?OLD","!!!","")</f>
        <v/>
      </c>
      <c r="F1700" s="23" t="str">
        <f>IF(OR(E1700="",E1700="!!!"),"",IF(NOT(ISNA(VLOOKUP(E1700,E$1:E1699,1,FALSE()))),"OLD",IF(AND(E1700&lt;&gt;"",E1700&lt;&gt;"!!!"),"NEW","")))</f>
        <v> </v>
      </c>
      <c r="G1700" s="24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5" t="str">
        <f>IF(J1700&lt;&gt;1,"",IF(I1700="SBJ","CB","?"))</f>
        <v> </v>
      </c>
      <c r="I1700" s="26" t="str">
        <f>IF(OR(E1700="",E1700="!!!",F1700="NEW"),"",INDEX(B1699:B$2,-1+SUMPRODUCT(MAX(ROW(E1699:E$2)*(E1700=E1699:E$2)))))</f>
        <v> </v>
      </c>
      <c r="J1700" s="26" t="str">
        <f>IF(OR(E1700="",E1700="!!!",F1700="NEW"),"",COUNTBLANK(OFFSET(A$1,,,SUMPRODUCT(MAX(ROW(E$2:E1700)*(E1700=E$2:E1700)))))-COUNTBLANK(OFFSET(A$1,,,SUMPRODUCT(MAX(ROW(E$1:E1699)*(E2=E$1:E1699))))))</f>
        <v> </v>
      </c>
      <c r="K1700" s="26" t="str">
        <f>IF(OR(E1700="",E1700="!!!",F1700="NEW"),"",INDEX(J$1:J1699,SUMPRODUCT(MAX(ROW(E$1:E1699)*(E1700=E$1:E1699)))))</f>
        <v> </v>
      </c>
      <c r="L1700" s="27"/>
    </row>
    <row r="1701" spans="1:12">
      <c r="A1701" s="20" t="s">
        <v>12</v>
      </c>
      <c r="E1701" s="22">
        <f>IF(D1701="?OLD","!!!","")</f>
        <v/>
      </c>
      <c r="F1701" s="23" t="str">
        <f>IF(OR(E1701="",E1701="!!!"),"",IF(NOT(ISNA(VLOOKUP(E1701,E$1:E1700,1,FALSE()))),"OLD",IF(AND(E1701&lt;&gt;"",E1701&lt;&gt;"!!!"),"NEW","")))</f>
        <v> </v>
      </c>
      <c r="G1701" s="24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5" t="str">
        <f>IF(J1701&lt;&gt;1,"",IF(I1701="SBJ","CB","?"))</f>
        <v> </v>
      </c>
      <c r="I1701" s="26" t="str">
        <f>IF(OR(E1701="",E1701="!!!",F1701="NEW"),"",INDEX(B1700:B$2,-1+SUMPRODUCT(MAX(ROW(E1700:E$2)*(E1701=E1700:E$2)))))</f>
        <v> </v>
      </c>
      <c r="J1701" s="26" t="str">
        <f>IF(OR(E1701="",E1701="!!!",F1701="NEW"),"",COUNTBLANK(OFFSET(A$1,,,SUMPRODUCT(MAX(ROW(E$2:E1701)*(E1701=E$2:E1701)))))-COUNTBLANK(OFFSET(A$1,,,SUMPRODUCT(MAX(ROW(E$1:E1700)*(E2=E$1:E1700))))))</f>
        <v> </v>
      </c>
      <c r="K1701" s="26" t="str">
        <f>IF(OR(E1701="",E1701="!!!",F1701="NEW"),"",INDEX(J$1:J1700,SUMPRODUCT(MAX(ROW(E$1:E1700)*(E1701=E$1:E1700)))))</f>
        <v> </v>
      </c>
      <c r="L1701" s="27"/>
    </row>
    <row r="1702" spans="1:12">
      <c r="A1702" s="20" t="s">
        <v>178</v>
      </c>
      <c r="E1702" s="22">
        <f>IF(D1702="?OLD","!!!","")</f>
        <v/>
      </c>
      <c r="F1702" s="23" t="str">
        <f>IF(OR(E1702="",E1702="!!!"),"",IF(NOT(ISNA(VLOOKUP(E1702,E$1:E1701,1,FALSE()))),"OLD",IF(AND(E1702&lt;&gt;"",E1702&lt;&gt;"!!!"),"NEW","")))</f>
        <v> </v>
      </c>
      <c r="G1702" s="24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5" t="str">
        <f>IF(J1702&lt;&gt;1,"",IF(I1702="SBJ","CB","?"))</f>
        <v> </v>
      </c>
      <c r="I1702" s="26" t="str">
        <f>IF(OR(E1702="",E1702="!!!",F1702="NEW"),"",INDEX(B1701:B$2,-1+SUMPRODUCT(MAX(ROW(E1701:E$2)*(E1702=E1701:E$2)))))</f>
        <v> </v>
      </c>
      <c r="J1702" s="26" t="str">
        <f>IF(OR(E1702="",E1702="!!!",F1702="NEW"),"",COUNTBLANK(OFFSET(A$1,,,SUMPRODUCT(MAX(ROW(E$2:E1702)*(E1702=E$2:E1702)))))-COUNTBLANK(OFFSET(A$1,,,SUMPRODUCT(MAX(ROW(E$1:E1701)*(E2=E$1:E1701))))))</f>
        <v> </v>
      </c>
      <c r="K1702" s="26" t="str">
        <f>IF(OR(E1702="",E1702="!!!",F1702="NEW"),"",INDEX(J$1:J1701,SUMPRODUCT(MAX(ROW(E$1:E1701)*(E1702=E$1:E1701)))))</f>
        <v> </v>
      </c>
      <c r="L1702" s="27"/>
    </row>
    <row r="1703" spans="1:12">
      <c r="A1703" s="20" t="s">
        <v>583</v>
      </c>
      <c r="E1703" s="22">
        <f>IF(D1703="?OLD","!!!","")</f>
        <v/>
      </c>
      <c r="F1703" s="23" t="str">
        <f>IF(OR(E1703="",E1703="!!!"),"",IF(NOT(ISNA(VLOOKUP(E1703,E$1:E1702,1,FALSE()))),"OLD",IF(AND(E1703&lt;&gt;"",E1703&lt;&gt;"!!!"),"NEW","")))</f>
        <v> </v>
      </c>
      <c r="G1703" s="24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5" t="str">
        <f>IF(J1703&lt;&gt;1,"",IF(I1703="SBJ","CB","?"))</f>
        <v> </v>
      </c>
      <c r="I1703" s="26" t="str">
        <f>IF(OR(E1703="",E1703="!!!",F1703="NEW"),"",INDEX(B1702:B$2,-1+SUMPRODUCT(MAX(ROW(E1702:E$2)*(E1703=E1702:E$2)))))</f>
        <v> </v>
      </c>
      <c r="J1703" s="26" t="str">
        <f>IF(OR(E1703="",E1703="!!!",F1703="NEW"),"",COUNTBLANK(OFFSET(A$1,,,SUMPRODUCT(MAX(ROW(E$2:E1703)*(E1703=E$2:E1703)))))-COUNTBLANK(OFFSET(A$1,,,SUMPRODUCT(MAX(ROW(E$1:E1702)*(E2=E$1:E1702))))))</f>
        <v> </v>
      </c>
      <c r="K1703" s="26" t="str">
        <f>IF(OR(E1703="",E1703="!!!",F1703="NEW"),"",INDEX(J$1:J1702,SUMPRODUCT(MAX(ROW(E$1:E1702)*(E1703=E$1:E1702)))))</f>
        <v> </v>
      </c>
      <c r="L1703" s="27"/>
    </row>
    <row r="1704" spans="1:12">
      <c r="A1704" s="20" t="s">
        <v>1419</v>
      </c>
      <c r="E1704" s="22">
        <f>IF(D1704="?OLD","!!!","")</f>
        <v/>
      </c>
      <c r="F1704" s="23" t="str">
        <f>IF(OR(E1704="",E1704="!!!"),"",IF(NOT(ISNA(VLOOKUP(E1704,E$1:E1703,1,FALSE()))),"OLD",IF(AND(E1704&lt;&gt;"",E1704&lt;&gt;"!!!"),"NEW","")))</f>
        <v> </v>
      </c>
      <c r="G1704" s="24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5" t="str">
        <f>IF(J1704&lt;&gt;1,"",IF(I1704="SBJ","CB","?"))</f>
        <v> </v>
      </c>
      <c r="I1704" s="26" t="str">
        <f>IF(OR(E1704="",E1704="!!!",F1704="NEW"),"",INDEX(B1703:B$2,-1+SUMPRODUCT(MAX(ROW(E1703:E$2)*(E1704=E1703:E$2)))))</f>
        <v> </v>
      </c>
      <c r="J1704" s="26" t="str">
        <f>IF(OR(E1704="",E1704="!!!",F1704="NEW"),"",COUNTBLANK(OFFSET(A$1,,,SUMPRODUCT(MAX(ROW(E$2:E1704)*(E1704=E$2:E1704)))))-COUNTBLANK(OFFSET(A$1,,,SUMPRODUCT(MAX(ROW(E$1:E1703)*(E2=E$1:E1703))))))</f>
        <v> </v>
      </c>
      <c r="K1704" s="26" t="str">
        <f>IF(OR(E1704="",E1704="!!!",F1704="NEW"),"",INDEX(J$1:J1703,SUMPRODUCT(MAX(ROW(E$1:E1703)*(E1704=E$1:E1703)))))</f>
        <v> </v>
      </c>
      <c r="L1704" s="27"/>
    </row>
    <row r="1705" spans="1:12">
      <c r="A1705" s="20" t="s">
        <v>198</v>
      </c>
      <c r="E1705" s="22">
        <f>IF(D1705="?OLD","!!!","")</f>
        <v/>
      </c>
      <c r="F1705" s="23" t="str">
        <f>IF(OR(E1705="",E1705="!!!"),"",IF(NOT(ISNA(VLOOKUP(E1705,E$1:E1704,1,FALSE()))),"OLD",IF(AND(E1705&lt;&gt;"",E1705&lt;&gt;"!!!"),"NEW","")))</f>
        <v> </v>
      </c>
      <c r="G1705" s="24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5" t="str">
        <f>IF(J1705&lt;&gt;1,"",IF(I1705="SBJ","CB","?"))</f>
        <v> </v>
      </c>
      <c r="I1705" s="26" t="str">
        <f>IF(OR(E1705="",E1705="!!!",F1705="NEW"),"",INDEX(B1704:B$2,-1+SUMPRODUCT(MAX(ROW(E1704:E$2)*(E1705=E1704:E$2)))))</f>
        <v> </v>
      </c>
      <c r="J1705" s="26" t="str">
        <f>IF(OR(E1705="",E1705="!!!",F1705="NEW"),"",COUNTBLANK(OFFSET(A$1,,,SUMPRODUCT(MAX(ROW(E$2:E1705)*(E1705=E$2:E1705)))))-COUNTBLANK(OFFSET(A$1,,,SUMPRODUCT(MAX(ROW(E$1:E1704)*(E2=E$1:E1704))))))</f>
        <v> </v>
      </c>
      <c r="K1705" s="26" t="str">
        <f>IF(OR(E1705="",E1705="!!!",F1705="NEW"),"",INDEX(J$1:J1704,SUMPRODUCT(MAX(ROW(E$1:E1704)*(E1705=E$1:E1704)))))</f>
        <v> </v>
      </c>
      <c r="L1705" s="27"/>
    </row>
    <row r="1706" spans="1:12">
      <c r="A1706" s="20" t="s">
        <v>912</v>
      </c>
      <c r="E1706" s="22">
        <f>IF(D1706="?OLD","!!!","")</f>
        <v/>
      </c>
      <c r="F1706" s="23" t="str">
        <f>IF(OR(E1706="",E1706="!!!"),"",IF(NOT(ISNA(VLOOKUP(E1706,E$1:E1705,1,FALSE()))),"OLD",IF(AND(E1706&lt;&gt;"",E1706&lt;&gt;"!!!"),"NEW","")))</f>
        <v> </v>
      </c>
      <c r="G1706" s="24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5" t="str">
        <f>IF(J1706&lt;&gt;1,"",IF(I1706="SBJ","CB","?"))</f>
        <v> </v>
      </c>
      <c r="I1706" s="26" t="str">
        <f>IF(OR(E1706="",E1706="!!!",F1706="NEW"),"",INDEX(B1705:B$2,-1+SUMPRODUCT(MAX(ROW(E1705:E$2)*(E1706=E1705:E$2)))))</f>
        <v> </v>
      </c>
      <c r="J1706" s="26" t="str">
        <f>IF(OR(E1706="",E1706="!!!",F1706="NEW"),"",COUNTBLANK(OFFSET(A$1,,,SUMPRODUCT(MAX(ROW(E$2:E1706)*(E1706=E$2:E1706)))))-COUNTBLANK(OFFSET(A$1,,,SUMPRODUCT(MAX(ROW(E$1:E1705)*(E2=E$1:E1705))))))</f>
        <v> </v>
      </c>
      <c r="K1706" s="26" t="str">
        <f>IF(OR(E1706="",E1706="!!!",F1706="NEW"),"",INDEX(J$1:J1705,SUMPRODUCT(MAX(ROW(E$1:E1705)*(E1706=E$1:E1705)))))</f>
        <v> </v>
      </c>
      <c r="L1706" s="27"/>
    </row>
    <row r="1707" spans="1:12">
      <c r="A1707" s="20" t="s">
        <v>580</v>
      </c>
      <c r="E1707" s="22">
        <f>IF(D1707="?OLD","!!!","")</f>
        <v/>
      </c>
      <c r="F1707" s="23" t="str">
        <f>IF(OR(E1707="",E1707="!!!"),"",IF(NOT(ISNA(VLOOKUP(E1707,E$1:E1706,1,FALSE()))),"OLD",IF(AND(E1707&lt;&gt;"",E1707&lt;&gt;"!!!"),"NEW","")))</f>
        <v> </v>
      </c>
      <c r="G1707" s="24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5" t="str">
        <f>IF(J1707&lt;&gt;1,"",IF(I1707="SBJ","CB","?"))</f>
        <v> </v>
      </c>
      <c r="I1707" s="26" t="str">
        <f>IF(OR(E1707="",E1707="!!!",F1707="NEW"),"",INDEX(B1706:B$2,-1+SUMPRODUCT(MAX(ROW(E1706:E$2)*(E1707=E1706:E$2)))))</f>
        <v> </v>
      </c>
      <c r="J1707" s="26" t="str">
        <f>IF(OR(E1707="",E1707="!!!",F1707="NEW"),"",COUNTBLANK(OFFSET(A$1,,,SUMPRODUCT(MAX(ROW(E$2:E1707)*(E1707=E$2:E1707)))))-COUNTBLANK(OFFSET(A$1,,,SUMPRODUCT(MAX(ROW(E$1:E1706)*(E2=E$1:E1706))))))</f>
        <v> </v>
      </c>
      <c r="K1707" s="26" t="str">
        <f>IF(OR(E1707="",E1707="!!!",F1707="NEW"),"",INDEX(J$1:J1706,SUMPRODUCT(MAX(ROW(E$1:E1706)*(E1707=E$1:E1706)))))</f>
        <v> </v>
      </c>
      <c r="L1707" s="27"/>
    </row>
    <row r="1708" spans="1:12">
      <c r="A1708" s="20" t="s">
        <v>1420</v>
      </c>
      <c r="E1708" s="22">
        <f>IF(D1708="?OLD","!!!","")</f>
        <v/>
      </c>
      <c r="F1708" s="23" t="str">
        <f>IF(OR(E1708="",E1708="!!!"),"",IF(NOT(ISNA(VLOOKUP(E1708,E$1:E1707,1,FALSE()))),"OLD",IF(AND(E1708&lt;&gt;"",E1708&lt;&gt;"!!!"),"NEW","")))</f>
        <v> </v>
      </c>
      <c r="G1708" s="24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5" t="str">
        <f>IF(J1708&lt;&gt;1,"",IF(I1708="SBJ","CB","?"))</f>
        <v> </v>
      </c>
      <c r="I1708" s="26" t="str">
        <f>IF(OR(E1708="",E1708="!!!",F1708="NEW"),"",INDEX(B1707:B$2,-1+SUMPRODUCT(MAX(ROW(E1707:E$2)*(E1708=E1707:E$2)))))</f>
        <v> </v>
      </c>
      <c r="J1708" s="26" t="str">
        <f>IF(OR(E1708="",E1708="!!!",F1708="NEW"),"",COUNTBLANK(OFFSET(A$1,,,SUMPRODUCT(MAX(ROW(E$2:E1708)*(E1708=E$2:E1708)))))-COUNTBLANK(OFFSET(A$1,,,SUMPRODUCT(MAX(ROW(E$1:E1707)*(E2=E$1:E1707))))))</f>
        <v> </v>
      </c>
      <c r="K1708" s="26" t="str">
        <f>IF(OR(E1708="",E1708="!!!",F1708="NEW"),"",INDEX(J$1:J1707,SUMPRODUCT(MAX(ROW(E$1:E1707)*(E1708=E$1:E1707)))))</f>
        <v> </v>
      </c>
      <c r="L1708" s="27"/>
    </row>
    <row r="1709" spans="1:12">
      <c r="A1709" s="20" t="s">
        <v>1421</v>
      </c>
      <c r="E1709" s="22">
        <f>IF(D1709="?OLD","!!!","")</f>
        <v/>
      </c>
      <c r="F1709" s="23" t="str">
        <f>IF(OR(E1709="",E1709="!!!"),"",IF(NOT(ISNA(VLOOKUP(E1709,E$1:E1708,1,FALSE()))),"OLD",IF(AND(E1709&lt;&gt;"",E1709&lt;&gt;"!!!"),"NEW","")))</f>
        <v> </v>
      </c>
      <c r="G1709" s="24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5" t="str">
        <f>IF(J1709&lt;&gt;1,"",IF(I1709="SBJ","CB","?"))</f>
        <v> </v>
      </c>
      <c r="I1709" s="26" t="str">
        <f>IF(OR(E1709="",E1709="!!!",F1709="NEW"),"",INDEX(B1708:B$2,-1+SUMPRODUCT(MAX(ROW(E1708:E$2)*(E1709=E1708:E$2)))))</f>
        <v> </v>
      </c>
      <c r="J1709" s="26" t="str">
        <f>IF(OR(E1709="",E1709="!!!",F1709="NEW"),"",COUNTBLANK(OFFSET(A$1,,,SUMPRODUCT(MAX(ROW(E$2:E1709)*(E1709=E$2:E1709)))))-COUNTBLANK(OFFSET(A$1,,,SUMPRODUCT(MAX(ROW(E$1:E1708)*(E2=E$1:E1708))))))</f>
        <v> </v>
      </c>
      <c r="K1709" s="26" t="str">
        <f>IF(OR(E1709="",E1709="!!!",F1709="NEW"),"",INDEX(J$1:J1708,SUMPRODUCT(MAX(ROW(E$1:E1708)*(E1709=E$1:E1708)))))</f>
        <v> </v>
      </c>
      <c r="L1709" s="27"/>
    </row>
    <row r="1710" spans="1:12">
      <c r="A1710" s="20" t="s">
        <v>592</v>
      </c>
      <c r="E1710" s="22">
        <f>IF(D1710="?OLD","!!!","")</f>
        <v/>
      </c>
      <c r="F1710" s="23" t="str">
        <f>IF(OR(E1710="",E1710="!!!"),"",IF(NOT(ISNA(VLOOKUP(E1710,E$1:E1709,1,FALSE()))),"OLD",IF(AND(E1710&lt;&gt;"",E1710&lt;&gt;"!!!"),"NEW","")))</f>
        <v> </v>
      </c>
      <c r="G1710" s="24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5" t="str">
        <f>IF(J1710&lt;&gt;1,"",IF(I1710="SBJ","CB","?"))</f>
        <v> </v>
      </c>
      <c r="I1710" s="26" t="str">
        <f>IF(OR(E1710="",E1710="!!!",F1710="NEW"),"",INDEX(B1709:B$2,-1+SUMPRODUCT(MAX(ROW(E1709:E$2)*(E1710=E1709:E$2)))))</f>
        <v> </v>
      </c>
      <c r="J1710" s="26" t="str">
        <f>IF(OR(E1710="",E1710="!!!",F1710="NEW"),"",COUNTBLANK(OFFSET(A$1,,,SUMPRODUCT(MAX(ROW(E$2:E1710)*(E1710=E$2:E1710)))))-COUNTBLANK(OFFSET(A$1,,,SUMPRODUCT(MAX(ROW(E$1:E1709)*(E2=E$1:E1709))))))</f>
        <v> </v>
      </c>
      <c r="K1710" s="26" t="str">
        <f>IF(OR(E1710="",E1710="!!!",F1710="NEW"),"",INDEX(J$1:J1709,SUMPRODUCT(MAX(ROW(E$1:E1709)*(E1710=E$1:E1709)))))</f>
        <v> </v>
      </c>
      <c r="L1710" s="27"/>
    </row>
    <row r="1711" spans="1:12">
      <c r="A1711" s="20"/>
    </row>
    <row r="1712" spans="1:12">
      <c r="A1712" s="20" t="s">
        <v>1422</v>
      </c>
    </row>
    <row r="1713" spans="1:12">
      <c r="A1713" s="20" t="s">
        <v>1423</v>
      </c>
      <c r="B1713" s="21" t="s">
        <v>578</v>
      </c>
      <c r="E1713" s="22">
        <f>IF(D1713="?OLD","!!!","")</f>
        <v/>
      </c>
      <c r="F1713" s="23" t="str">
        <f>IF(OR(E1713="",E1713="!!!"),"",IF(NOT(ISNA(VLOOKUP(E1713,E$1:E1712,1,FALSE()))),"OLD",IF(AND(E1713&lt;&gt;"",E1713&lt;&gt;"!!!"),"NEW","")))</f>
        <v> </v>
      </c>
      <c r="G1713" s="24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5" t="str">
        <f>IF(J1713&lt;&gt;1,"",IF(I1713="SBJ","CB","?"))</f>
        <v> </v>
      </c>
      <c r="I1713" s="26" t="str">
        <f>IF(OR(E1713="",E1713="!!!",F1713="NEW"),"",INDEX(B1712:B$2,-1+SUMPRODUCT(MAX(ROW(E1712:E$2)*(E1713=E1712:E$2)))))</f>
        <v> </v>
      </c>
      <c r="J1713" s="26" t="str">
        <f>IF(OR(E1713="",E1713="!!!",F1713="NEW"),"",COUNTBLANK(OFFSET(A$1,,,SUMPRODUCT(MAX(ROW(E$2:E1713)*(E1713=E$2:E1713)))))-COUNTBLANK(OFFSET(A$1,,,SUMPRODUCT(MAX(ROW(E$1:E1712)*(E2=E$1:E1712))))))</f>
        <v> </v>
      </c>
      <c r="K1713" s="26" t="str">
        <f>IF(OR(E1713="",E1713="!!!",F1713="NEW"),"",INDEX(J$1:J1712,SUMPRODUCT(MAX(ROW(E$1:E1712)*(E1713=E$1:E1712)))))</f>
        <v> </v>
      </c>
      <c r="L1713" s="27"/>
    </row>
    <row r="1714" spans="1:12">
      <c r="A1714" s="20" t="s">
        <v>1424</v>
      </c>
      <c r="E1714" s="22">
        <f>IF(D1714="?OLD","!!!","")</f>
        <v/>
      </c>
      <c r="F1714" s="23" t="str">
        <f>IF(OR(E1714="",E1714="!!!"),"",IF(NOT(ISNA(VLOOKUP(E1714,E$1:E1713,1,FALSE()))),"OLD",IF(AND(E1714&lt;&gt;"",E1714&lt;&gt;"!!!"),"NEW","")))</f>
        <v> </v>
      </c>
      <c r="G1714" s="24" t="str">
        <f>IF(OR(E1714="",E1714="!!!"),"",IF(OR(J1714=0,AND(J1714=1,K1714=1),AND(J1714=1,I1714="SBJ"),AND(J1714=1,I1714=0)),"?IN_FOCUS",IF(J1714&lt;=2,"?ACTIVATED",IF(J1714&lt;&gt;"","?FAMILIAR",IF(F1714="NEW",IF(ISNA(VLOOKUP(E1714,#REF!,1,FALSE())),"?TYPE_IDENTIFIABLE","?REFERENTIAL"),"_")))))</f>
        <v> </v>
      </c>
      <c r="H1714" s="25" t="str">
        <f>IF(J1714&lt;&gt;1,"",IF(I1714="SBJ","CB","?"))</f>
        <v> </v>
      </c>
      <c r="I1714" s="26" t="str">
        <f>IF(OR(E1714="",E1714="!!!",F1714="NEW"),"",INDEX(B1713:B$2,-1+SUMPRODUCT(MAX(ROW(E1713:E$2)*(E1714=E1713:E$2)))))</f>
        <v> </v>
      </c>
      <c r="J1714" s="26" t="str">
        <f>IF(OR(E1714="",E1714="!!!",F1714="NEW"),"",COUNTBLANK(OFFSET(A$1,,,SUMPRODUCT(MAX(ROW(E$2:E1714)*(E1714=E$2:E1714)))))-COUNTBLANK(OFFSET(A$1,,,SUMPRODUCT(MAX(ROW(E$1:E1713)*(E2=E$1:E1713))))))</f>
        <v> </v>
      </c>
      <c r="K1714" s="26" t="str">
        <f>IF(OR(E1714="",E1714="!!!",F1714="NEW"),"",INDEX(J$1:J1713,SUMPRODUCT(MAX(ROW(E$1:E1713)*(E1714=E$1:E1713)))))</f>
        <v> </v>
      </c>
      <c r="L1714" s="27"/>
    </row>
    <row r="1715" spans="1:12">
      <c r="A1715" s="20" t="s">
        <v>1425</v>
      </c>
      <c r="B1715" s="21" t="s">
        <v>615</v>
      </c>
      <c r="C1715" s="21" t="s">
        <v>628</v>
      </c>
      <c r="D1715" s="21" t="s">
        <v>587</v>
      </c>
      <c r="E1715" s="22">
        <f>IF(D1715="?OLD","!!!","")</f>
        <v/>
      </c>
      <c r="F1715" s="23" t="str">
        <f>IF(OR(E1715="",E1715="!!!"),"",IF(NOT(ISNA(VLOOKUP(E1715,E$1:E1714,1,FALSE()))),"OLD",IF(AND(E1715&lt;&gt;"",E1715&lt;&gt;"!!!"),"NEW","")))</f>
        <v> </v>
      </c>
      <c r="G1715" s="24" t="str">
        <f>IF(OR(E1715="",E1715="!!!"),"",IF(OR(J1715=0,AND(J1715=1,K1715=1),AND(J1715=1,I1715="SBJ"),AND(J1715=1,I1715=0)),"?IN_FOCUS",IF(J1715&lt;=2,"?ACTIVATED",IF(J1715&lt;&gt;"","?FAMILIAR",IF(F1715="NEW",IF(ISNA(VLOOKUP(E1715,#REF!,1,FALSE())),"?TYPE_IDENTIFIABLE","?REFERENTIAL"),"_")))))</f>
        <v> </v>
      </c>
      <c r="H1715" s="25" t="str">
        <f>IF(J1715&lt;&gt;1,"",IF(I1715="SBJ","CB","?"))</f>
        <v> </v>
      </c>
      <c r="I1715" s="26" t="str">
        <f>IF(OR(E1715="",E1715="!!!",F1715="NEW"),"",INDEX(B1714:B$2,-1+SUMPRODUCT(MAX(ROW(E1714:E$2)*(E1715=E1714:E$2)))))</f>
        <v> </v>
      </c>
      <c r="J1715" s="26" t="str">
        <f>IF(OR(E1715="",E1715="!!!",F1715="NEW"),"",COUNTBLANK(OFFSET(A$1,,,SUMPRODUCT(MAX(ROW(E$2:E1715)*(E1715=E$2:E1715)))))-COUNTBLANK(OFFSET(A$1,,,SUMPRODUCT(MAX(ROW(E$1:E1714)*(E2=E$1:E1714))))))</f>
        <v> </v>
      </c>
      <c r="K1715" s="26" t="str">
        <f>IF(OR(E1715="",E1715="!!!",F1715="NEW"),"",INDEX(J$1:J1714,SUMPRODUCT(MAX(ROW(E$1:E1714)*(E1715=E$1:E1714)))))</f>
        <v> </v>
      </c>
      <c r="L1715" s="27"/>
    </row>
    <row r="1716" spans="1:12">
      <c r="A1716" s="20" t="s">
        <v>1426</v>
      </c>
      <c r="E1716" s="22">
        <f>IF(D1716="?OLD","!!!","")</f>
        <v/>
      </c>
      <c r="F1716" s="23" t="str">
        <f>IF(OR(E1716="",E1716="!!!"),"",IF(NOT(ISNA(VLOOKUP(E1716,E$1:E1715,1,FALSE()))),"OLD",IF(AND(E1716&lt;&gt;"",E1716&lt;&gt;"!!!"),"NEW","")))</f>
        <v> </v>
      </c>
      <c r="G1716" s="24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5" t="str">
        <f>IF(J1716&lt;&gt;1,"",IF(I1716="SBJ","CB","?"))</f>
        <v> </v>
      </c>
      <c r="I1716" s="26" t="str">
        <f>IF(OR(E1716="",E1716="!!!",F1716="NEW"),"",INDEX(B1715:B$2,-1+SUMPRODUCT(MAX(ROW(E1715:E$2)*(E1716=E1715:E$2)))))</f>
        <v> </v>
      </c>
      <c r="J1716" s="26" t="str">
        <f>IF(OR(E1716="",E1716="!!!",F1716="NEW"),"",COUNTBLANK(OFFSET(A$1,,,SUMPRODUCT(MAX(ROW(E$2:E1716)*(E1716=E$2:E1716)))))-COUNTBLANK(OFFSET(A$1,,,SUMPRODUCT(MAX(ROW(E$1:E1715)*(E2=E$1:E1715))))))</f>
        <v> </v>
      </c>
      <c r="K1716" s="26" t="str">
        <f>IF(OR(E1716="",E1716="!!!",F1716="NEW"),"",INDEX(J$1:J1715,SUMPRODUCT(MAX(ROW(E$1:E1715)*(E1716=E$1:E1715)))))</f>
        <v> </v>
      </c>
      <c r="L1716" s="27"/>
    </row>
    <row r="1717" spans="1:12">
      <c r="A1717" s="20" t="s">
        <v>870</v>
      </c>
      <c r="E1717" s="22">
        <f>IF(D1717="?OLD","!!!","")</f>
        <v/>
      </c>
      <c r="F1717" s="23" t="str">
        <f>IF(OR(E1717="",E1717="!!!"),"",IF(NOT(ISNA(VLOOKUP(E1717,E$1:E1716,1,FALSE()))),"OLD",IF(AND(E1717&lt;&gt;"",E1717&lt;&gt;"!!!"),"NEW","")))</f>
        <v> </v>
      </c>
      <c r="G1717" s="24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5" t="str">
        <f>IF(J1717&lt;&gt;1,"",IF(I1717="SBJ","CB","?"))</f>
        <v> </v>
      </c>
      <c r="I1717" s="26" t="str">
        <f>IF(OR(E1717="",E1717="!!!",F1717="NEW"),"",INDEX(B1716:B$2,-1+SUMPRODUCT(MAX(ROW(E1716:E$2)*(E1717=E1716:E$2)))))</f>
        <v> </v>
      </c>
      <c r="J1717" s="26" t="str">
        <f>IF(OR(E1717="",E1717="!!!",F1717="NEW"),"",COUNTBLANK(OFFSET(A$1,,,SUMPRODUCT(MAX(ROW(E$2:E1717)*(E1717=E$2:E1717)))))-COUNTBLANK(OFFSET(A$1,,,SUMPRODUCT(MAX(ROW(E$1:E1716)*(E2=E$1:E1716))))))</f>
        <v> </v>
      </c>
      <c r="K1717" s="26" t="str">
        <f>IF(OR(E1717="",E1717="!!!",F1717="NEW"),"",INDEX(J$1:J1716,SUMPRODUCT(MAX(ROW(E$1:E1716)*(E1717=E$1:E1716)))))</f>
        <v> </v>
      </c>
      <c r="L1717" s="27"/>
    </row>
    <row r="1718" spans="1:12">
      <c r="A1718" s="20" t="s">
        <v>1427</v>
      </c>
      <c r="E1718" s="22">
        <f>IF(D1718="?OLD","!!!","")</f>
        <v/>
      </c>
      <c r="F1718" s="23" t="str">
        <f>IF(OR(E1718="",E1718="!!!"),"",IF(NOT(ISNA(VLOOKUP(E1718,E$1:E1717,1,FALSE()))),"OLD",IF(AND(E1718&lt;&gt;"",E1718&lt;&gt;"!!!"),"NEW","")))</f>
        <v> </v>
      </c>
      <c r="G1718" s="24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5" t="str">
        <f>IF(J1718&lt;&gt;1,"",IF(I1718="SBJ","CB","?"))</f>
        <v> </v>
      </c>
      <c r="I1718" s="26" t="str">
        <f>IF(OR(E1718="",E1718="!!!",F1718="NEW"),"",INDEX(B1717:B$2,-1+SUMPRODUCT(MAX(ROW(E1717:E$2)*(E1718=E1717:E$2)))))</f>
        <v> </v>
      </c>
      <c r="J1718" s="26" t="str">
        <f>IF(OR(E1718="",E1718="!!!",F1718="NEW"),"",COUNTBLANK(OFFSET(A$1,,,SUMPRODUCT(MAX(ROW(E$2:E1718)*(E1718=E$2:E1718)))))-COUNTBLANK(OFFSET(A$1,,,SUMPRODUCT(MAX(ROW(E$1:E1717)*(E2=E$1:E1717))))))</f>
        <v> </v>
      </c>
      <c r="K1718" s="26" t="str">
        <f>IF(OR(E1718="",E1718="!!!",F1718="NEW"),"",INDEX(J$1:J1717,SUMPRODUCT(MAX(ROW(E$1:E1717)*(E1718=E$1:E1717)))))</f>
        <v> </v>
      </c>
      <c r="L1718" s="27"/>
    </row>
    <row r="1719" spans="1:12">
      <c r="A1719" s="20" t="s">
        <v>1411</v>
      </c>
      <c r="E1719" s="22">
        <f>IF(D1719="?OLD","!!!","")</f>
        <v/>
      </c>
      <c r="F1719" s="23" t="str">
        <f>IF(OR(E1719="",E1719="!!!"),"",IF(NOT(ISNA(VLOOKUP(E1719,E$1:E1718,1,FALSE()))),"OLD",IF(AND(E1719&lt;&gt;"",E1719&lt;&gt;"!!!"),"NEW","")))</f>
        <v> </v>
      </c>
      <c r="G1719" s="24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5" t="str">
        <f>IF(J1719&lt;&gt;1,"",IF(I1719="SBJ","CB","?"))</f>
        <v> </v>
      </c>
      <c r="I1719" s="26" t="str">
        <f>IF(OR(E1719="",E1719="!!!",F1719="NEW"),"",INDEX(B1718:B$2,-1+SUMPRODUCT(MAX(ROW(E1718:E$2)*(E1719=E1718:E$2)))))</f>
        <v> </v>
      </c>
      <c r="J1719" s="26" t="str">
        <f>IF(OR(E1719="",E1719="!!!",F1719="NEW"),"",COUNTBLANK(OFFSET(A$1,,,SUMPRODUCT(MAX(ROW(E$2:E1719)*(E1719=E$2:E1719)))))-COUNTBLANK(OFFSET(A$1,,,SUMPRODUCT(MAX(ROW(E$1:E1718)*(E2=E$1:E1718))))))</f>
        <v> </v>
      </c>
      <c r="K1719" s="26" t="str">
        <f>IF(OR(E1719="",E1719="!!!",F1719="NEW"),"",INDEX(J$1:J1718,SUMPRODUCT(MAX(ROW(E$1:E1718)*(E1719=E$1:E1718)))))</f>
        <v> </v>
      </c>
      <c r="L1719" s="27"/>
    </row>
    <row r="1720" spans="1:12">
      <c r="A1720" s="20" t="s">
        <v>898</v>
      </c>
      <c r="B1720" s="21" t="s">
        <v>585</v>
      </c>
      <c r="C1720" s="21" t="s">
        <v>586</v>
      </c>
      <c r="D1720" s="21" t="s">
        <v>587</v>
      </c>
      <c r="E1720" s="22">
        <f>IF(D1720="?OLD","!!!","")</f>
        <v/>
      </c>
      <c r="F1720" s="23" t="str">
        <f>IF(OR(E1720="",E1720="!!!"),"",IF(NOT(ISNA(VLOOKUP(E1720,E$1:E1719,1,FALSE()))),"OLD",IF(AND(E1720&lt;&gt;"",E1720&lt;&gt;"!!!"),"NEW","")))</f>
        <v> </v>
      </c>
      <c r="G1720" s="24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5" t="str">
        <f>IF(J1720&lt;&gt;1,"",IF(I1720="SBJ","CB","?"))</f>
        <v> </v>
      </c>
      <c r="I1720" s="26" t="str">
        <f>IF(OR(E1720="",E1720="!!!",F1720="NEW"),"",INDEX(B1719:B$2,-1+SUMPRODUCT(MAX(ROW(E1719:E$2)*(E1720=E1719:E$2)))))</f>
        <v> </v>
      </c>
      <c r="J1720" s="26" t="str">
        <f>IF(OR(E1720="",E1720="!!!",F1720="NEW"),"",COUNTBLANK(OFFSET(A$1,,,SUMPRODUCT(MAX(ROW(E$2:E1720)*(E1720=E$2:E1720)))))-COUNTBLANK(OFFSET(A$1,,,SUMPRODUCT(MAX(ROW(E$1:E1719)*(E2=E$1:E1719))))))</f>
        <v> </v>
      </c>
      <c r="K1720" s="26" t="str">
        <f>IF(OR(E1720="",E1720="!!!",F1720="NEW"),"",INDEX(J$1:J1719,SUMPRODUCT(MAX(ROW(E$1:E1719)*(E1720=E$1:E1719)))))</f>
        <v> </v>
      </c>
      <c r="L1720" s="27"/>
    </row>
    <row r="1721" spans="1:12">
      <c r="A1721" s="20" t="s">
        <v>583</v>
      </c>
      <c r="E1721" s="22">
        <f>IF(D1721="?OLD","!!!","")</f>
        <v/>
      </c>
      <c r="F1721" s="23" t="str">
        <f>IF(OR(E1721="",E1721="!!!"),"",IF(NOT(ISNA(VLOOKUP(E1721,E$1:E1720,1,FALSE()))),"OLD",IF(AND(E1721&lt;&gt;"",E1721&lt;&gt;"!!!"),"NEW","")))</f>
        <v> </v>
      </c>
      <c r="G1721" s="24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5" t="str">
        <f>IF(J1721&lt;&gt;1,"",IF(I1721="SBJ","CB","?"))</f>
        <v> </v>
      </c>
      <c r="I1721" s="26" t="str">
        <f>IF(OR(E1721="",E1721="!!!",F1721="NEW"),"",INDEX(B1720:B$2,-1+SUMPRODUCT(MAX(ROW(E1720:E$2)*(E1721=E1720:E$2)))))</f>
        <v> </v>
      </c>
      <c r="J1721" s="26" t="str">
        <f>IF(OR(E1721="",E1721="!!!",F1721="NEW"),"",COUNTBLANK(OFFSET(A$1,,,SUMPRODUCT(MAX(ROW(E$2:E1721)*(E1721=E$2:E1721)))))-COUNTBLANK(OFFSET(A$1,,,SUMPRODUCT(MAX(ROW(E$1:E1720)*(E2=E$1:E1720))))))</f>
        <v> </v>
      </c>
      <c r="K1721" s="26" t="str">
        <f>IF(OR(E1721="",E1721="!!!",F1721="NEW"),"",INDEX(J$1:J1720,SUMPRODUCT(MAX(ROW(E$1:E1720)*(E1721=E$1:E1720)))))</f>
        <v> </v>
      </c>
      <c r="L1721" s="27"/>
    </row>
    <row r="1722" spans="1:12">
      <c r="A1722" s="20" t="s">
        <v>1428</v>
      </c>
      <c r="E1722" s="22">
        <f>IF(D1722="?OLD","!!!","")</f>
        <v/>
      </c>
      <c r="F1722" s="23" t="str">
        <f>IF(OR(E1722="",E1722="!!!"),"",IF(NOT(ISNA(VLOOKUP(E1722,E$1:E1721,1,FALSE()))),"OLD",IF(AND(E1722&lt;&gt;"",E1722&lt;&gt;"!!!"),"NEW","")))</f>
        <v> </v>
      </c>
      <c r="G1722" s="24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5" t="str">
        <f>IF(J1722&lt;&gt;1,"",IF(I1722="SBJ","CB","?"))</f>
        <v> </v>
      </c>
      <c r="I1722" s="26" t="str">
        <f>IF(OR(E1722="",E1722="!!!",F1722="NEW"),"",INDEX(B1721:B$2,-1+SUMPRODUCT(MAX(ROW(E1721:E$2)*(E1722=E1721:E$2)))))</f>
        <v> </v>
      </c>
      <c r="J1722" s="26" t="str">
        <f>IF(OR(E1722="",E1722="!!!",F1722="NEW"),"",COUNTBLANK(OFFSET(A$1,,,SUMPRODUCT(MAX(ROW(E$2:E1722)*(E1722=E$2:E1722)))))-COUNTBLANK(OFFSET(A$1,,,SUMPRODUCT(MAX(ROW(E$1:E1721)*(E2=E$1:E1721))))))</f>
        <v> </v>
      </c>
      <c r="K1722" s="26" t="str">
        <f>IF(OR(E1722="",E1722="!!!",F1722="NEW"),"",INDEX(J$1:J1721,SUMPRODUCT(MAX(ROW(E$1:E1721)*(E1722=E$1:E1721)))))</f>
        <v> </v>
      </c>
      <c r="L1722" s="27"/>
    </row>
    <row r="1723" spans="1:12">
      <c r="A1723" s="20" t="s">
        <v>1429</v>
      </c>
      <c r="B1723" s="21" t="s">
        <v>762</v>
      </c>
      <c r="C1723" s="21" t="s">
        <v>613</v>
      </c>
      <c r="D1723" s="21" t="s">
        <v>587</v>
      </c>
      <c r="E1723" s="22">
        <f>IF(D1723="?OLD","!!!","")</f>
        <v/>
      </c>
      <c r="F1723" s="23" t="str">
        <f>IF(OR(E1723="",E1723="!!!"),"",IF(NOT(ISNA(VLOOKUP(E1723,E$1:E1722,1,FALSE()))),"OLD",IF(AND(E1723&lt;&gt;"",E1723&lt;&gt;"!!!"),"NEW","")))</f>
        <v> </v>
      </c>
      <c r="G1723" s="24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5" t="str">
        <f>IF(J1723&lt;&gt;1,"",IF(I1723="SBJ","CB","?"))</f>
        <v> </v>
      </c>
      <c r="I1723" s="26" t="str">
        <f>IF(OR(E1723="",E1723="!!!",F1723="NEW"),"",INDEX(B1722:B$2,-1+SUMPRODUCT(MAX(ROW(E1722:E$2)*(E1723=E1722:E$2)))))</f>
        <v> </v>
      </c>
      <c r="J1723" s="26" t="str">
        <f>IF(OR(E1723="",E1723="!!!",F1723="NEW"),"",COUNTBLANK(OFFSET(A$1,,,SUMPRODUCT(MAX(ROW(E$2:E1723)*(E1723=E$2:E1723)))))-COUNTBLANK(OFFSET(A$1,,,SUMPRODUCT(MAX(ROW(E$1:E1722)*(E2=E$1:E1722))))))</f>
        <v> </v>
      </c>
      <c r="K1723" s="26" t="str">
        <f>IF(OR(E1723="",E1723="!!!",F1723="NEW"),"",INDEX(J$1:J1722,SUMPRODUCT(MAX(ROW(E$1:E1722)*(E1723=E$1:E1722)))))</f>
        <v> </v>
      </c>
      <c r="L1723" s="27"/>
    </row>
    <row r="1724" spans="1:12">
      <c r="A1724" s="20" t="s">
        <v>1134</v>
      </c>
      <c r="E1724" s="22">
        <f>IF(D1724="?OLD","!!!","")</f>
        <v/>
      </c>
      <c r="F1724" s="23" t="str">
        <f>IF(OR(E1724="",E1724="!!!"),"",IF(NOT(ISNA(VLOOKUP(E1724,E$1:E1723,1,FALSE()))),"OLD",IF(AND(E1724&lt;&gt;"",E1724&lt;&gt;"!!!"),"NEW","")))</f>
        <v> </v>
      </c>
      <c r="G1724" s="24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5" t="str">
        <f>IF(J1724&lt;&gt;1,"",IF(I1724="SBJ","CB","?"))</f>
        <v> </v>
      </c>
      <c r="I1724" s="26" t="str">
        <f>IF(OR(E1724="",E1724="!!!",F1724="NEW"),"",INDEX(B1723:B$2,-1+SUMPRODUCT(MAX(ROW(E1723:E$2)*(E1724=E1723:E$2)))))</f>
        <v> </v>
      </c>
      <c r="J1724" s="26" t="str">
        <f>IF(OR(E1724="",E1724="!!!",F1724="NEW"),"",COUNTBLANK(OFFSET(A$1,,,SUMPRODUCT(MAX(ROW(E$2:E1724)*(E1724=E$2:E1724)))))-COUNTBLANK(OFFSET(A$1,,,SUMPRODUCT(MAX(ROW(E$1:E1723)*(E2=E$1:E1723))))))</f>
        <v> </v>
      </c>
      <c r="K1724" s="26" t="str">
        <f>IF(OR(E1724="",E1724="!!!",F1724="NEW"),"",INDEX(J$1:J1723,SUMPRODUCT(MAX(ROW(E$1:E1723)*(E1724=E$1:E1723)))))</f>
        <v> </v>
      </c>
      <c r="L1724" s="27"/>
    </row>
    <row r="1725" spans="1:12">
      <c r="A1725" s="20" t="s">
        <v>592</v>
      </c>
      <c r="E1725" s="22">
        <f>IF(D1725="?OLD","!!!","")</f>
        <v/>
      </c>
      <c r="F1725" s="23" t="str">
        <f>IF(OR(E1725="",E1725="!!!"),"",IF(NOT(ISNA(VLOOKUP(E1725,E$1:E1724,1,FALSE()))),"OLD",IF(AND(E1725&lt;&gt;"",E1725&lt;&gt;"!!!"),"NEW","")))</f>
        <v> </v>
      </c>
      <c r="G1725" s="24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5" t="str">
        <f>IF(J1725&lt;&gt;1,"",IF(I1725="SBJ","CB","?"))</f>
        <v> </v>
      </c>
      <c r="I1725" s="26" t="str">
        <f>IF(OR(E1725="",E1725="!!!",F1725="NEW"),"",INDEX(B1724:B$2,-1+SUMPRODUCT(MAX(ROW(E1724:E$2)*(E1725=E1724:E$2)))))</f>
        <v> </v>
      </c>
      <c r="J1725" s="26" t="str">
        <f>IF(OR(E1725="",E1725="!!!",F1725="NEW"),"",COUNTBLANK(OFFSET(A$1,,,SUMPRODUCT(MAX(ROW(E$2:E1725)*(E1725=E$2:E1725)))))-COUNTBLANK(OFFSET(A$1,,,SUMPRODUCT(MAX(ROW(E$1:E1724)*(E2=E$1:E1724))))))</f>
        <v> </v>
      </c>
      <c r="K1725" s="26" t="str">
        <f>IF(OR(E1725="",E1725="!!!",F1725="NEW"),"",INDEX(J$1:J1724,SUMPRODUCT(MAX(ROW(E$1:E1724)*(E1725=E$1:E1724)))))</f>
        <v> </v>
      </c>
      <c r="L1725" s="27"/>
    </row>
    <row r="1726" spans="1:12">
      <c r="A1726" s="20"/>
    </row>
    <row r="1727" spans="1:12">
      <c r="A1727" s="20" t="s">
        <v>1430</v>
      </c>
    </row>
    <row r="1728" spans="1:12">
      <c r="A1728" s="20" t="s">
        <v>1431</v>
      </c>
      <c r="E1728" s="22">
        <f>IF(D1728="?OLD","!!!","")</f>
        <v/>
      </c>
      <c r="F1728" s="23" t="str">
        <f>IF(OR(E1728="",E1728="!!!"),"",IF(NOT(ISNA(VLOOKUP(E1728,E$1:E1727,1,FALSE()))),"OLD",IF(AND(E1728&lt;&gt;"",E1728&lt;&gt;"!!!"),"NEW","")))</f>
        <v> </v>
      </c>
      <c r="G1728" s="24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5" t="str">
        <f>IF(J1728&lt;&gt;1,"",IF(I1728="SBJ","CB","?"))</f>
        <v> </v>
      </c>
      <c r="I1728" s="26" t="str">
        <f>IF(OR(E1728="",E1728="!!!",F1728="NEW"),"",INDEX(B1727:B$2,-1+SUMPRODUCT(MAX(ROW(E1727:E$2)*(E1728=E1727:E$2)))))</f>
        <v> </v>
      </c>
      <c r="J1728" s="26" t="str">
        <f>IF(OR(E1728="",E1728="!!!",F1728="NEW"),"",COUNTBLANK(OFFSET(A$1,,,SUMPRODUCT(MAX(ROW(E$2:E1728)*(E1728=E$2:E1728)))))-COUNTBLANK(OFFSET(A$1,,,SUMPRODUCT(MAX(ROW(E$1:E1727)*(E2=E$1:E1727))))))</f>
        <v> </v>
      </c>
      <c r="K1728" s="26" t="str">
        <f>IF(OR(E1728="",E1728="!!!",F1728="NEW"),"",INDEX(J$1:J1727,SUMPRODUCT(MAX(ROW(E$1:E1727)*(E1728=E$1:E1727)))))</f>
        <v> </v>
      </c>
      <c r="L1728" s="27"/>
    </row>
    <row r="1729" spans="1:12">
      <c r="A1729" s="20" t="s">
        <v>974</v>
      </c>
      <c r="E1729" s="22">
        <f>IF(D1729="?OLD","!!!","")</f>
        <v/>
      </c>
      <c r="F1729" s="23" t="str">
        <f>IF(OR(E1729="",E1729="!!!"),"",IF(NOT(ISNA(VLOOKUP(E1729,E$1:E1728,1,FALSE()))),"OLD",IF(AND(E1729&lt;&gt;"",E1729&lt;&gt;"!!!"),"NEW","")))</f>
        <v> </v>
      </c>
      <c r="G1729" s="24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5" t="str">
        <f>IF(J1729&lt;&gt;1,"",IF(I1729="SBJ","CB","?"))</f>
        <v> </v>
      </c>
      <c r="I1729" s="26" t="str">
        <f>IF(OR(E1729="",E1729="!!!",F1729="NEW"),"",INDEX(B1728:B$2,-1+SUMPRODUCT(MAX(ROW(E1728:E$2)*(E1729=E1728:E$2)))))</f>
        <v> </v>
      </c>
      <c r="J1729" s="26" t="str">
        <f>IF(OR(E1729="",E1729="!!!",F1729="NEW"),"",COUNTBLANK(OFFSET(A$1,,,SUMPRODUCT(MAX(ROW(E$2:E1729)*(E1729=E$2:E1729)))))-COUNTBLANK(OFFSET(A$1,,,SUMPRODUCT(MAX(ROW(E$1:E1728)*(E2=E$1:E1728))))))</f>
        <v> </v>
      </c>
      <c r="K1729" s="26" t="str">
        <f>IF(OR(E1729="",E1729="!!!",F1729="NEW"),"",INDEX(J$1:J1728,SUMPRODUCT(MAX(ROW(E$1:E1728)*(E1729=E$1:E1728)))))</f>
        <v> </v>
      </c>
      <c r="L1729" s="27"/>
    </row>
    <row r="1730" spans="1:12">
      <c r="A1730" s="20" t="s">
        <v>1110</v>
      </c>
      <c r="B1730" s="21" t="s">
        <v>590</v>
      </c>
      <c r="C1730" s="21" t="s">
        <v>613</v>
      </c>
      <c r="D1730" s="21" t="s">
        <v>587</v>
      </c>
      <c r="E1730" s="22">
        <f>IF(D1730="?OLD","!!!","")</f>
        <v/>
      </c>
      <c r="F1730" s="23" t="str">
        <f>IF(OR(E1730="",E1730="!!!"),"",IF(NOT(ISNA(VLOOKUP(E1730,E$1:E1729,1,FALSE()))),"OLD",IF(AND(E1730&lt;&gt;"",E1730&lt;&gt;"!!!"),"NEW","")))</f>
        <v> </v>
      </c>
      <c r="G1730" s="24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5" t="str">
        <f>IF(J1730&lt;&gt;1,"",IF(I1730="SBJ","CB","?"))</f>
        <v> </v>
      </c>
      <c r="I1730" s="26" t="str">
        <f>IF(OR(E1730="",E1730="!!!",F1730="NEW"),"",INDEX(B1729:B$2,-1+SUMPRODUCT(MAX(ROW(E1729:E$2)*(E1730=E1729:E$2)))))</f>
        <v> </v>
      </c>
      <c r="J1730" s="26" t="str">
        <f>IF(OR(E1730="",E1730="!!!",F1730="NEW"),"",COUNTBLANK(OFFSET(A$1,,,SUMPRODUCT(MAX(ROW(E$2:E1730)*(E1730=E$2:E1730)))))-COUNTBLANK(OFFSET(A$1,,,SUMPRODUCT(MAX(ROW(E$1:E1729)*(E2=E$1:E1729))))))</f>
        <v> </v>
      </c>
      <c r="K1730" s="26" t="str">
        <f>IF(OR(E1730="",E1730="!!!",F1730="NEW"),"",INDEX(J$1:J1729,SUMPRODUCT(MAX(ROW(E$1:E1729)*(E1730=E$1:E1729)))))</f>
        <v> </v>
      </c>
      <c r="L1730" s="27"/>
    </row>
    <row r="1731" spans="1:12">
      <c r="A1731" s="20" t="s">
        <v>1432</v>
      </c>
      <c r="E1731" s="22">
        <f>IF(D1731="?OLD","!!!","")</f>
        <v/>
      </c>
      <c r="F1731" s="23" t="str">
        <f>IF(OR(E1731="",E1731="!!!"),"",IF(NOT(ISNA(VLOOKUP(E1731,E$1:E1730,1,FALSE()))),"OLD",IF(AND(E1731&lt;&gt;"",E1731&lt;&gt;"!!!"),"NEW","")))</f>
        <v> </v>
      </c>
      <c r="G1731" s="24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5" t="str">
        <f>IF(J1731&lt;&gt;1,"",IF(I1731="SBJ","CB","?"))</f>
        <v> </v>
      </c>
      <c r="I1731" s="26" t="str">
        <f>IF(OR(E1731="",E1731="!!!",F1731="NEW"),"",INDEX(B1730:B$2,-1+SUMPRODUCT(MAX(ROW(E1730:E$2)*(E1731=E1730:E$2)))))</f>
        <v> </v>
      </c>
      <c r="J1731" s="26" t="str">
        <f>IF(OR(E1731="",E1731="!!!",F1731="NEW"),"",COUNTBLANK(OFFSET(A$1,,,SUMPRODUCT(MAX(ROW(E$2:E1731)*(E1731=E$2:E1731)))))-COUNTBLANK(OFFSET(A$1,,,SUMPRODUCT(MAX(ROW(E$1:E1730)*(E2=E$1:E1730))))))</f>
        <v> </v>
      </c>
      <c r="K1731" s="26" t="str">
        <f>IF(OR(E1731="",E1731="!!!",F1731="NEW"),"",INDEX(J$1:J1730,SUMPRODUCT(MAX(ROW(E$1:E1730)*(E1731=E$1:E1730)))))</f>
        <v> </v>
      </c>
      <c r="L1731" s="27"/>
    </row>
    <row r="1732" spans="1:12">
      <c r="A1732" s="20" t="s">
        <v>741</v>
      </c>
      <c r="E1732" s="22">
        <f>IF(D1732="?OLD","!!!","")</f>
        <v/>
      </c>
      <c r="F1732" s="23" t="str">
        <f>IF(OR(E1732="",E1732="!!!"),"",IF(NOT(ISNA(VLOOKUP(E1732,E$1:E1731,1,FALSE()))),"OLD",IF(AND(E1732&lt;&gt;"",E1732&lt;&gt;"!!!"),"NEW","")))</f>
        <v> </v>
      </c>
      <c r="G1732" s="24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5" t="str">
        <f>IF(J1732&lt;&gt;1,"",IF(I1732="SBJ","CB","?"))</f>
        <v> </v>
      </c>
      <c r="I1732" s="26" t="str">
        <f>IF(OR(E1732="",E1732="!!!",F1732="NEW"),"",INDEX(B1731:B$2,-1+SUMPRODUCT(MAX(ROW(E1731:E$2)*(E1732=E1731:E$2)))))</f>
        <v> </v>
      </c>
      <c r="J1732" s="26" t="str">
        <f>IF(OR(E1732="",E1732="!!!",F1732="NEW"),"",COUNTBLANK(OFFSET(A$1,,,SUMPRODUCT(MAX(ROW(E$2:E1732)*(E1732=E$2:E1732)))))-COUNTBLANK(OFFSET(A$1,,,SUMPRODUCT(MAX(ROW(E$1:E1731)*(E2=E$1:E1731))))))</f>
        <v> </v>
      </c>
      <c r="K1732" s="26" t="str">
        <f>IF(OR(E1732="",E1732="!!!",F1732="NEW"),"",INDEX(J$1:J1731,SUMPRODUCT(MAX(ROW(E$1:E1731)*(E1732=E$1:E1731)))))</f>
        <v> </v>
      </c>
      <c r="L1732" s="27"/>
    </row>
    <row r="1733" spans="1:12">
      <c r="A1733" s="20" t="s">
        <v>1433</v>
      </c>
      <c r="E1733" s="22">
        <f>IF(D1733="?OLD","!!!","")</f>
        <v/>
      </c>
      <c r="F1733" s="23" t="str">
        <f>IF(OR(E1733="",E1733="!!!"),"",IF(NOT(ISNA(VLOOKUP(E1733,E$1:E1732,1,FALSE()))),"OLD",IF(AND(E1733&lt;&gt;"",E1733&lt;&gt;"!!!"),"NEW","")))</f>
        <v> </v>
      </c>
      <c r="G1733" s="24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5" t="str">
        <f>IF(J1733&lt;&gt;1,"",IF(I1733="SBJ","CB","?"))</f>
        <v> </v>
      </c>
      <c r="I1733" s="26" t="str">
        <f>IF(OR(E1733="",E1733="!!!",F1733="NEW"),"",INDEX(B1732:B$2,-1+SUMPRODUCT(MAX(ROW(E1732:E$2)*(E1733=E1732:E$2)))))</f>
        <v> </v>
      </c>
      <c r="J1733" s="26" t="str">
        <f>IF(OR(E1733="",E1733="!!!",F1733="NEW"),"",COUNTBLANK(OFFSET(A$1,,,SUMPRODUCT(MAX(ROW(E$2:E1733)*(E1733=E$2:E1733)))))-COUNTBLANK(OFFSET(A$1,,,SUMPRODUCT(MAX(ROW(E$1:E1732)*(E2=E$1:E1732))))))</f>
        <v> </v>
      </c>
      <c r="K1733" s="26" t="str">
        <f>IF(OR(E1733="",E1733="!!!",F1733="NEW"),"",INDEX(J$1:J1732,SUMPRODUCT(MAX(ROW(E$1:E1732)*(E1733=E$1:E1732)))))</f>
        <v> </v>
      </c>
      <c r="L1733" s="27"/>
    </row>
    <row r="1734" spans="1:12">
      <c r="A1734" s="20" t="s">
        <v>1434</v>
      </c>
      <c r="E1734" s="22">
        <f>IF(D1734="?OLD","!!!","")</f>
        <v/>
      </c>
      <c r="F1734" s="23" t="str">
        <f>IF(OR(E1734="",E1734="!!!"),"",IF(NOT(ISNA(VLOOKUP(E1734,E$1:E1733,1,FALSE()))),"OLD",IF(AND(E1734&lt;&gt;"",E1734&lt;&gt;"!!!"),"NEW","")))</f>
        <v> </v>
      </c>
      <c r="G1734" s="24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5" t="str">
        <f>IF(J1734&lt;&gt;1,"",IF(I1734="SBJ","CB","?"))</f>
        <v> </v>
      </c>
      <c r="I1734" s="26" t="str">
        <f>IF(OR(E1734="",E1734="!!!",F1734="NEW"),"",INDEX(B1733:B$2,-1+SUMPRODUCT(MAX(ROW(E1733:E$2)*(E1734=E1733:E$2)))))</f>
        <v> </v>
      </c>
      <c r="J1734" s="26" t="str">
        <f>IF(OR(E1734="",E1734="!!!",F1734="NEW"),"",COUNTBLANK(OFFSET(A$1,,,SUMPRODUCT(MAX(ROW(E$2:E1734)*(E1734=E$2:E1734)))))-COUNTBLANK(OFFSET(A$1,,,SUMPRODUCT(MAX(ROW(E$1:E1733)*(E2=E$1:E1733))))))</f>
        <v> </v>
      </c>
      <c r="K1734" s="26" t="str">
        <f>IF(OR(E1734="",E1734="!!!",F1734="NEW"),"",INDEX(J$1:J1733,SUMPRODUCT(MAX(ROW(E$1:E1733)*(E1734=E$1:E1733)))))</f>
        <v> </v>
      </c>
      <c r="L1734" s="27"/>
    </row>
    <row r="1735" spans="1:12">
      <c r="A1735" s="20" t="s">
        <v>1110</v>
      </c>
      <c r="B1735" s="21" t="s">
        <v>578</v>
      </c>
      <c r="C1735" s="21" t="s">
        <v>613</v>
      </c>
      <c r="D1735" s="21" t="s">
        <v>587</v>
      </c>
      <c r="E1735" s="22">
        <f>IF(D1735="?OLD","!!!","")</f>
        <v/>
      </c>
      <c r="F1735" s="23" t="str">
        <f>IF(OR(E1735="",E1735="!!!"),"",IF(NOT(ISNA(VLOOKUP(E1735,E$1:E1734,1,FALSE()))),"OLD",IF(AND(E1735&lt;&gt;"",E1735&lt;&gt;"!!!"),"NEW","")))</f>
        <v> </v>
      </c>
      <c r="G1735" s="24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5" t="str">
        <f>IF(J1735&lt;&gt;1,"",IF(I1735="SBJ","CB","?"))</f>
        <v> </v>
      </c>
      <c r="I1735" s="26" t="str">
        <f>IF(OR(E1735="",E1735="!!!",F1735="NEW"),"",INDEX(B1734:B$2,-1+SUMPRODUCT(MAX(ROW(E1734:E$2)*(E1735=E1734:E$2)))))</f>
        <v> </v>
      </c>
      <c r="J1735" s="26" t="str">
        <f>IF(OR(E1735="",E1735="!!!",F1735="NEW"),"",COUNTBLANK(OFFSET(A$1,,,SUMPRODUCT(MAX(ROW(E$2:E1735)*(E1735=E$2:E1735)))))-COUNTBLANK(OFFSET(A$1,,,SUMPRODUCT(MAX(ROW(E$1:E1734)*(E2=E$1:E1734))))))</f>
        <v> </v>
      </c>
      <c r="K1735" s="26" t="str">
        <f>IF(OR(E1735="",E1735="!!!",F1735="NEW"),"",INDEX(J$1:J1734,SUMPRODUCT(MAX(ROW(E$1:E1734)*(E1735=E$1:E1734)))))</f>
        <v> </v>
      </c>
      <c r="L1735" s="27"/>
    </row>
    <row r="1736" spans="1:12">
      <c r="A1736" s="20" t="s">
        <v>1435</v>
      </c>
      <c r="E1736" s="22">
        <f>IF(D1736="?OLD","!!!","")</f>
        <v/>
      </c>
      <c r="F1736" s="23" t="str">
        <f>IF(OR(E1736="",E1736="!!!"),"",IF(NOT(ISNA(VLOOKUP(E1736,E$1:E1735,1,FALSE()))),"OLD",IF(AND(E1736&lt;&gt;"",E1736&lt;&gt;"!!!"),"NEW","")))</f>
        <v> </v>
      </c>
      <c r="G1736" s="24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5" t="str">
        <f>IF(J1736&lt;&gt;1,"",IF(I1736="SBJ","CB","?"))</f>
        <v> </v>
      </c>
      <c r="I1736" s="26" t="str">
        <f>IF(OR(E1736="",E1736="!!!",F1736="NEW"),"",INDEX(B1735:B$2,-1+SUMPRODUCT(MAX(ROW(E1735:E$2)*(E1736=E1735:E$2)))))</f>
        <v> </v>
      </c>
      <c r="J1736" s="26" t="str">
        <f>IF(OR(E1736="",E1736="!!!",F1736="NEW"),"",COUNTBLANK(OFFSET(A$1,,,SUMPRODUCT(MAX(ROW(E$2:E1736)*(E1736=E$2:E1736)))))-COUNTBLANK(OFFSET(A$1,,,SUMPRODUCT(MAX(ROW(E$1:E1735)*(E2=E$1:E1735))))))</f>
        <v> </v>
      </c>
      <c r="K1736" s="26" t="str">
        <f>IF(OR(E1736="",E1736="!!!",F1736="NEW"),"",INDEX(J$1:J1735,SUMPRODUCT(MAX(ROW(E$1:E1735)*(E1736=E$1:E1735)))))</f>
        <v> </v>
      </c>
      <c r="L1736" s="27"/>
    </row>
    <row r="1737" spans="1:12">
      <c r="A1737" s="20" t="s">
        <v>1436</v>
      </c>
      <c r="E1737" s="22">
        <f>IF(D1737="?OLD","!!!","")</f>
        <v/>
      </c>
      <c r="F1737" s="23" t="str">
        <f>IF(OR(E1737="",E1737="!!!"),"",IF(NOT(ISNA(VLOOKUP(E1737,E$1:E1736,1,FALSE()))),"OLD",IF(AND(E1737&lt;&gt;"",E1737&lt;&gt;"!!!"),"NEW","")))</f>
        <v> </v>
      </c>
      <c r="G1737" s="24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5" t="str">
        <f>IF(J1737&lt;&gt;1,"",IF(I1737="SBJ","CB","?"))</f>
        <v> </v>
      </c>
      <c r="I1737" s="26" t="str">
        <f>IF(OR(E1737="",E1737="!!!",F1737="NEW"),"",INDEX(B1736:B$2,-1+SUMPRODUCT(MAX(ROW(E1736:E$2)*(E1737=E1736:E$2)))))</f>
        <v> </v>
      </c>
      <c r="J1737" s="26" t="str">
        <f>IF(OR(E1737="",E1737="!!!",F1737="NEW"),"",COUNTBLANK(OFFSET(A$1,,,SUMPRODUCT(MAX(ROW(E$2:E1737)*(E1737=E$2:E1737)))))-COUNTBLANK(OFFSET(A$1,,,SUMPRODUCT(MAX(ROW(E$1:E1736)*(E2=E$1:E1736))))))</f>
        <v> </v>
      </c>
      <c r="K1737" s="26" t="str">
        <f>IF(OR(E1737="",E1737="!!!",F1737="NEW"),"",INDEX(J$1:J1736,SUMPRODUCT(MAX(ROW(E$1:E1736)*(E1737=E$1:E1736)))))</f>
        <v> </v>
      </c>
      <c r="L1737" s="27"/>
    </row>
    <row r="1738" spans="1:12">
      <c r="A1738" s="20" t="s">
        <v>1437</v>
      </c>
      <c r="B1738" s="21" t="s">
        <v>615</v>
      </c>
      <c r="E1738" s="22">
        <f>IF(D1738="?OLD","!!!","")</f>
        <v/>
      </c>
      <c r="F1738" s="23" t="str">
        <f>IF(OR(E1738="",E1738="!!!"),"",IF(NOT(ISNA(VLOOKUP(E1738,E$1:E1737,1,FALSE()))),"OLD",IF(AND(E1738&lt;&gt;"",E1738&lt;&gt;"!!!"),"NEW","")))</f>
        <v> </v>
      </c>
      <c r="G1738" s="24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5" t="str">
        <f>IF(J1738&lt;&gt;1,"",IF(I1738="SBJ","CB","?"))</f>
        <v> </v>
      </c>
      <c r="I1738" s="26" t="str">
        <f>IF(OR(E1738="",E1738="!!!",F1738="NEW"),"",INDEX(B1737:B$2,-1+SUMPRODUCT(MAX(ROW(E1737:E$2)*(E1738=E1737:E$2)))))</f>
        <v> </v>
      </c>
      <c r="J1738" s="26" t="str">
        <f>IF(OR(E1738="",E1738="!!!",F1738="NEW"),"",COUNTBLANK(OFFSET(A$1,,,SUMPRODUCT(MAX(ROW(E$2:E1738)*(E1738=E$2:E1738)))))-COUNTBLANK(OFFSET(A$1,,,SUMPRODUCT(MAX(ROW(E$1:E1737)*(E2=E$1:E1737))))))</f>
        <v> </v>
      </c>
      <c r="K1738" s="26" t="str">
        <f>IF(OR(E1738="",E1738="!!!",F1738="NEW"),"",INDEX(J$1:J1737,SUMPRODUCT(MAX(ROW(E$1:E1737)*(E1738=E$1:E1737)))))</f>
        <v> </v>
      </c>
      <c r="L1738" s="27"/>
    </row>
    <row r="1739" spans="1:12">
      <c r="A1739" s="20" t="s">
        <v>583</v>
      </c>
      <c r="E1739" s="22">
        <f>IF(D1739="?OLD","!!!","")</f>
        <v/>
      </c>
      <c r="F1739" s="23" t="str">
        <f>IF(OR(E1739="",E1739="!!!"),"",IF(NOT(ISNA(VLOOKUP(E1739,E$1:E1738,1,FALSE()))),"OLD",IF(AND(E1739&lt;&gt;"",E1739&lt;&gt;"!!!"),"NEW","")))</f>
        <v> </v>
      </c>
      <c r="G1739" s="24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5" t="str">
        <f>IF(J1739&lt;&gt;1,"",IF(I1739="SBJ","CB","?"))</f>
        <v> </v>
      </c>
      <c r="I1739" s="26" t="str">
        <f>IF(OR(E1739="",E1739="!!!",F1739="NEW"),"",INDEX(B1738:B$2,-1+SUMPRODUCT(MAX(ROW(E1738:E$2)*(E1739=E1738:E$2)))))</f>
        <v> </v>
      </c>
      <c r="J1739" s="26" t="str">
        <f>IF(OR(E1739="",E1739="!!!",F1739="NEW"),"",COUNTBLANK(OFFSET(A$1,,,SUMPRODUCT(MAX(ROW(E$2:E1739)*(E1739=E$2:E1739)))))-COUNTBLANK(OFFSET(A$1,,,SUMPRODUCT(MAX(ROW(E$1:E1738)*(E2=E$1:E1738))))))</f>
        <v> </v>
      </c>
      <c r="K1739" s="26" t="str">
        <f>IF(OR(E1739="",E1739="!!!",F1739="NEW"),"",INDEX(J$1:J1738,SUMPRODUCT(MAX(ROW(E$1:E1738)*(E1739=E$1:E1738)))))</f>
        <v> </v>
      </c>
      <c r="L1739" s="27"/>
    </row>
    <row r="1740" spans="1:12">
      <c r="A1740" s="20" t="s">
        <v>1438</v>
      </c>
      <c r="E1740" s="22">
        <f>IF(D1740="?OLD","!!!","")</f>
        <v/>
      </c>
      <c r="F1740" s="23" t="str">
        <f>IF(OR(E1740="",E1740="!!!"),"",IF(NOT(ISNA(VLOOKUP(E1740,E$1:E1739,1,FALSE()))),"OLD",IF(AND(E1740&lt;&gt;"",E1740&lt;&gt;"!!!"),"NEW","")))</f>
        <v> </v>
      </c>
      <c r="G1740" s="24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5" t="str">
        <f>IF(J1740&lt;&gt;1,"",IF(I1740="SBJ","CB","?"))</f>
        <v> </v>
      </c>
      <c r="I1740" s="26" t="str">
        <f>IF(OR(E1740="",E1740="!!!",F1740="NEW"),"",INDEX(B1739:B$2,-1+SUMPRODUCT(MAX(ROW(E1739:E$2)*(E1740=E1739:E$2)))))</f>
        <v> </v>
      </c>
      <c r="J1740" s="26" t="str">
        <f>IF(OR(E1740="",E1740="!!!",F1740="NEW"),"",COUNTBLANK(OFFSET(A$1,,,SUMPRODUCT(MAX(ROW(E$2:E1740)*(E1740=E$2:E1740)))))-COUNTBLANK(OFFSET(A$1,,,SUMPRODUCT(MAX(ROW(E$1:E1739)*(E2=E$1:E1739))))))</f>
        <v> </v>
      </c>
      <c r="K1740" s="26" t="str">
        <f>IF(OR(E1740="",E1740="!!!",F1740="NEW"),"",INDEX(J$1:J1739,SUMPRODUCT(MAX(ROW(E$1:E1739)*(E1740=E$1:E1739)))))</f>
        <v> </v>
      </c>
      <c r="L1740" s="27"/>
    </row>
    <row r="1741" spans="1:12">
      <c r="A1741" s="20" t="s">
        <v>1434</v>
      </c>
      <c r="E1741" s="22">
        <f>IF(D1741="?OLD","!!!","")</f>
        <v/>
      </c>
      <c r="F1741" s="23" t="str">
        <f>IF(OR(E1741="",E1741="!!!"),"",IF(NOT(ISNA(VLOOKUP(E1741,E$1:E1740,1,FALSE()))),"OLD",IF(AND(E1741&lt;&gt;"",E1741&lt;&gt;"!!!"),"NEW","")))</f>
        <v> </v>
      </c>
      <c r="G1741" s="24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5" t="str">
        <f>IF(J1741&lt;&gt;1,"",IF(I1741="SBJ","CB","?"))</f>
        <v> </v>
      </c>
      <c r="I1741" s="26" t="str">
        <f>IF(OR(E1741="",E1741="!!!",F1741="NEW"),"",INDEX(B1740:B$2,-1+SUMPRODUCT(MAX(ROW(E1740:E$2)*(E1741=E1740:E$2)))))</f>
        <v> </v>
      </c>
      <c r="J1741" s="26" t="str">
        <f>IF(OR(E1741="",E1741="!!!",F1741="NEW"),"",COUNTBLANK(OFFSET(A$1,,,SUMPRODUCT(MAX(ROW(E$2:E1741)*(E1741=E$2:E1741)))))-COUNTBLANK(OFFSET(A$1,,,SUMPRODUCT(MAX(ROW(E$1:E1740)*(E2=E$1:E1740))))))</f>
        <v> </v>
      </c>
      <c r="K1741" s="26" t="str">
        <f>IF(OR(E1741="",E1741="!!!",F1741="NEW"),"",INDEX(J$1:J1740,SUMPRODUCT(MAX(ROW(E$1:E1740)*(E1741=E$1:E1740)))))</f>
        <v> </v>
      </c>
      <c r="L1741" s="27"/>
    </row>
    <row r="1742" spans="1:12">
      <c r="A1742" s="20" t="s">
        <v>1439</v>
      </c>
      <c r="B1742" s="21" t="s">
        <v>601</v>
      </c>
      <c r="C1742" s="21" t="s">
        <v>787</v>
      </c>
      <c r="D1742" s="21" t="s">
        <v>587</v>
      </c>
      <c r="E1742" s="22">
        <f>IF(D1742="?OLD","!!!","")</f>
        <v/>
      </c>
      <c r="F1742" s="23" t="str">
        <f>IF(OR(E1742="",E1742="!!!"),"",IF(NOT(ISNA(VLOOKUP(E1742,E$1:E1741,1,FALSE()))),"OLD",IF(AND(E1742&lt;&gt;"",E1742&lt;&gt;"!!!"),"NEW","")))</f>
        <v> </v>
      </c>
      <c r="G1742" s="24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5" t="str">
        <f>IF(J1742&lt;&gt;1,"",IF(I1742="SBJ","CB","?"))</f>
        <v> </v>
      </c>
      <c r="I1742" s="26" t="str">
        <f>IF(OR(E1742="",E1742="!!!",F1742="NEW"),"",INDEX(B1741:B$2,-1+SUMPRODUCT(MAX(ROW(E1741:E$2)*(E1742=E1741:E$2)))))</f>
        <v> </v>
      </c>
      <c r="J1742" s="26" t="str">
        <f>IF(OR(E1742="",E1742="!!!",F1742="NEW"),"",COUNTBLANK(OFFSET(A$1,,,SUMPRODUCT(MAX(ROW(E$2:E1742)*(E1742=E$2:E1742)))))-COUNTBLANK(OFFSET(A$1,,,SUMPRODUCT(MAX(ROW(E$1:E1741)*(E2=E$1:E1741))))))</f>
        <v> </v>
      </c>
      <c r="K1742" s="26" t="str">
        <f>IF(OR(E1742="",E1742="!!!",F1742="NEW"),"",INDEX(J$1:J1741,SUMPRODUCT(MAX(ROW(E$1:E1741)*(E1742=E$1:E1741)))))</f>
        <v> </v>
      </c>
      <c r="L1742" s="27"/>
    </row>
    <row r="1743" spans="1:12">
      <c r="A1743" s="20" t="s">
        <v>1440</v>
      </c>
      <c r="B1743" s="21" t="s">
        <v>635</v>
      </c>
      <c r="E1743" s="22">
        <f>IF(D1743="?OLD","!!!","")</f>
        <v/>
      </c>
      <c r="F1743" s="23" t="str">
        <f>IF(OR(E1743="",E1743="!!!"),"",IF(NOT(ISNA(VLOOKUP(E1743,E$1:E1742,1,FALSE()))),"OLD",IF(AND(E1743&lt;&gt;"",E1743&lt;&gt;"!!!"),"NEW","")))</f>
        <v> </v>
      </c>
      <c r="G1743" s="24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5" t="str">
        <f>IF(J1743&lt;&gt;1,"",IF(I1743="SBJ","CB","?"))</f>
        <v> </v>
      </c>
      <c r="I1743" s="26" t="str">
        <f>IF(OR(E1743="",E1743="!!!",F1743="NEW"),"",INDEX(B1742:B$2,-1+SUMPRODUCT(MAX(ROW(E1742:E$2)*(E1743=E1742:E$2)))))</f>
        <v> </v>
      </c>
      <c r="J1743" s="26" t="str">
        <f>IF(OR(E1743="",E1743="!!!",F1743="NEW"),"",COUNTBLANK(OFFSET(A$1,,,SUMPRODUCT(MAX(ROW(E$2:E1743)*(E1743=E$2:E1743)))))-COUNTBLANK(OFFSET(A$1,,,SUMPRODUCT(MAX(ROW(E$1:E1742)*(E2=E$1:E1742))))))</f>
        <v> </v>
      </c>
      <c r="K1743" s="26" t="str">
        <f>IF(OR(E1743="",E1743="!!!",F1743="NEW"),"",INDEX(J$1:J1742,SUMPRODUCT(MAX(ROW(E$1:E1742)*(E1743=E$1:E1742)))))</f>
        <v> </v>
      </c>
      <c r="L1743" s="27"/>
    </row>
    <row r="1744" spans="1:12">
      <c r="A1744" s="20" t="s">
        <v>1081</v>
      </c>
      <c r="E1744" s="22">
        <f>IF(D1744="?OLD","!!!","")</f>
        <v/>
      </c>
      <c r="F1744" s="23" t="str">
        <f>IF(OR(E1744="",E1744="!!!"),"",IF(NOT(ISNA(VLOOKUP(E1744,E$1:E1743,1,FALSE()))),"OLD",IF(AND(E1744&lt;&gt;"",E1744&lt;&gt;"!!!"),"NEW","")))</f>
        <v> </v>
      </c>
      <c r="G1744" s="24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5" t="str">
        <f>IF(J1744&lt;&gt;1,"",IF(I1744="SBJ","CB","?"))</f>
        <v> </v>
      </c>
      <c r="I1744" s="26" t="str">
        <f>IF(OR(E1744="",E1744="!!!",F1744="NEW"),"",INDEX(B1743:B$2,-1+SUMPRODUCT(MAX(ROW(E1743:E$2)*(E1744=E1743:E$2)))))</f>
        <v> </v>
      </c>
      <c r="J1744" s="26" t="str">
        <f>IF(OR(E1744="",E1744="!!!",F1744="NEW"),"",COUNTBLANK(OFFSET(A$1,,,SUMPRODUCT(MAX(ROW(E$2:E1744)*(E1744=E$2:E1744)))))-COUNTBLANK(OFFSET(A$1,,,SUMPRODUCT(MAX(ROW(E$1:E1743)*(E2=E$1:E1743))))))</f>
        <v> </v>
      </c>
      <c r="K1744" s="26" t="str">
        <f>IF(OR(E1744="",E1744="!!!",F1744="NEW"),"",INDEX(J$1:J1743,SUMPRODUCT(MAX(ROW(E$1:E1743)*(E1744=E$1:E1743)))))</f>
        <v> </v>
      </c>
      <c r="L1744" s="27"/>
    </row>
    <row r="1745" spans="1:12">
      <c r="A1745" s="20" t="s">
        <v>1342</v>
      </c>
      <c r="E1745" s="22">
        <f>IF(D1745="?OLD","!!!","")</f>
        <v/>
      </c>
      <c r="F1745" s="23" t="str">
        <f>IF(OR(E1745="",E1745="!!!"),"",IF(NOT(ISNA(VLOOKUP(E1745,E$1:E1744,1,FALSE()))),"OLD",IF(AND(E1745&lt;&gt;"",E1745&lt;&gt;"!!!"),"NEW","")))</f>
        <v> </v>
      </c>
      <c r="G1745" s="24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5" t="str">
        <f>IF(J1745&lt;&gt;1,"",IF(I1745="SBJ","CB","?"))</f>
        <v> </v>
      </c>
      <c r="I1745" s="26" t="str">
        <f>IF(OR(E1745="",E1745="!!!",F1745="NEW"),"",INDEX(B1744:B$2,-1+SUMPRODUCT(MAX(ROW(E1744:E$2)*(E1745=E1744:E$2)))))</f>
        <v> </v>
      </c>
      <c r="J1745" s="26" t="str">
        <f>IF(OR(E1745="",E1745="!!!",F1745="NEW"),"",COUNTBLANK(OFFSET(A$1,,,SUMPRODUCT(MAX(ROW(E$2:E1745)*(E1745=E$2:E1745)))))-COUNTBLANK(OFFSET(A$1,,,SUMPRODUCT(MAX(ROW(E$1:E1744)*(E2=E$1:E1744))))))</f>
        <v> </v>
      </c>
      <c r="K1745" s="26" t="str">
        <f>IF(OR(E1745="",E1745="!!!",F1745="NEW"),"",INDEX(J$1:J1744,SUMPRODUCT(MAX(ROW(E$1:E1744)*(E1745=E$1:E1744)))))</f>
        <v> </v>
      </c>
      <c r="L1745" s="27"/>
    </row>
    <row r="1746" spans="1:12">
      <c r="A1746" s="20" t="s">
        <v>583</v>
      </c>
      <c r="E1746" s="22">
        <f>IF(D1746="?OLD","!!!","")</f>
        <v/>
      </c>
      <c r="F1746" s="23" t="str">
        <f>IF(OR(E1746="",E1746="!!!"),"",IF(NOT(ISNA(VLOOKUP(E1746,E$1:E1745,1,FALSE()))),"OLD",IF(AND(E1746&lt;&gt;"",E1746&lt;&gt;"!!!"),"NEW","")))</f>
        <v> </v>
      </c>
      <c r="G1746" s="24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5" t="str">
        <f>IF(J1746&lt;&gt;1,"",IF(I1746="SBJ","CB","?"))</f>
        <v> </v>
      </c>
      <c r="I1746" s="26" t="str">
        <f>IF(OR(E1746="",E1746="!!!",F1746="NEW"),"",INDEX(B1745:B$2,-1+SUMPRODUCT(MAX(ROW(E1745:E$2)*(E1746=E1745:E$2)))))</f>
        <v> </v>
      </c>
      <c r="J1746" s="26" t="str">
        <f>IF(OR(E1746="",E1746="!!!",F1746="NEW"),"",COUNTBLANK(OFFSET(A$1,,,SUMPRODUCT(MAX(ROW(E$2:E1746)*(E1746=E$2:E1746)))))-COUNTBLANK(OFFSET(A$1,,,SUMPRODUCT(MAX(ROW(E$1:E1745)*(E2=E$1:E1745))))))</f>
        <v> </v>
      </c>
      <c r="K1746" s="26" t="str">
        <f>IF(OR(E1746="",E1746="!!!",F1746="NEW"),"",INDEX(J$1:J1745,SUMPRODUCT(MAX(ROW(E$1:E1745)*(E1746=E$1:E1745)))))</f>
        <v> </v>
      </c>
      <c r="L1746" s="27"/>
    </row>
    <row r="1747" spans="1:12">
      <c r="A1747" s="20" t="s">
        <v>1402</v>
      </c>
      <c r="B1747" s="21" t="s">
        <v>590</v>
      </c>
      <c r="E1747" s="22">
        <f>IF(D1747="?OLD","!!!","")</f>
        <v/>
      </c>
      <c r="F1747" s="23" t="str">
        <f>IF(OR(E1747="",E1747="!!!"),"",IF(NOT(ISNA(VLOOKUP(E1747,E$1:E1746,1,FALSE()))),"OLD",IF(AND(E1747&lt;&gt;"",E1747&lt;&gt;"!!!"),"NEW","")))</f>
        <v> </v>
      </c>
      <c r="G1747" s="24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5" t="str">
        <f>IF(J1747&lt;&gt;1,"",IF(I1747="SBJ","CB","?"))</f>
        <v> </v>
      </c>
      <c r="I1747" s="26" t="str">
        <f>IF(OR(E1747="",E1747="!!!",F1747="NEW"),"",INDEX(B1746:B$2,-1+SUMPRODUCT(MAX(ROW(E1746:E$2)*(E1747=E1746:E$2)))))</f>
        <v> </v>
      </c>
      <c r="J1747" s="26" t="str">
        <f>IF(OR(E1747="",E1747="!!!",F1747="NEW"),"",COUNTBLANK(OFFSET(A$1,,,SUMPRODUCT(MAX(ROW(E$2:E1747)*(E1747=E$2:E1747)))))-COUNTBLANK(OFFSET(A$1,,,SUMPRODUCT(MAX(ROW(E$1:E1746)*(E2=E$1:E1746))))))</f>
        <v> </v>
      </c>
      <c r="K1747" s="26" t="str">
        <f>IF(OR(E1747="",E1747="!!!",F1747="NEW"),"",INDEX(J$1:J1746,SUMPRODUCT(MAX(ROW(E$1:E1746)*(E1747=E$1:E1746)))))</f>
        <v> </v>
      </c>
      <c r="L1747" s="27"/>
    </row>
    <row r="1748" spans="1:12">
      <c r="A1748" s="20" t="s">
        <v>1441</v>
      </c>
      <c r="E1748" s="22">
        <f>IF(D1748="?OLD","!!!","")</f>
        <v/>
      </c>
      <c r="F1748" s="23" t="str">
        <f>IF(OR(E1748="",E1748="!!!"),"",IF(NOT(ISNA(VLOOKUP(E1748,E$1:E1747,1,FALSE()))),"OLD",IF(AND(E1748&lt;&gt;"",E1748&lt;&gt;"!!!"),"NEW","")))</f>
        <v> </v>
      </c>
      <c r="G1748" s="24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5" t="str">
        <f>IF(J1748&lt;&gt;1,"",IF(I1748="SBJ","CB","?"))</f>
        <v> </v>
      </c>
      <c r="I1748" s="26" t="str">
        <f>IF(OR(E1748="",E1748="!!!",F1748="NEW"),"",INDEX(B1747:B$2,-1+SUMPRODUCT(MAX(ROW(E1747:E$2)*(E1748=E1747:E$2)))))</f>
        <v> </v>
      </c>
      <c r="J1748" s="26" t="str">
        <f>IF(OR(E1748="",E1748="!!!",F1748="NEW"),"",COUNTBLANK(OFFSET(A$1,,,SUMPRODUCT(MAX(ROW(E$2:E1748)*(E1748=E$2:E1748)))))-COUNTBLANK(OFFSET(A$1,,,SUMPRODUCT(MAX(ROW(E$1:E1747)*(E2=E$1:E1747))))))</f>
        <v> </v>
      </c>
      <c r="K1748" s="26" t="str">
        <f>IF(OR(E1748="",E1748="!!!",F1748="NEW"),"",INDEX(J$1:J1747,SUMPRODUCT(MAX(ROW(E$1:E1747)*(E1748=E$1:E1747)))))</f>
        <v> </v>
      </c>
      <c r="L1748" s="27"/>
    </row>
    <row r="1749" spans="1:12">
      <c r="A1749" s="20" t="s">
        <v>1442</v>
      </c>
      <c r="E1749" s="22">
        <f>IF(D1749="?OLD","!!!","")</f>
        <v/>
      </c>
      <c r="F1749" s="23" t="str">
        <f>IF(OR(E1749="",E1749="!!!"),"",IF(NOT(ISNA(VLOOKUP(E1749,E$1:E1748,1,FALSE()))),"OLD",IF(AND(E1749&lt;&gt;"",E1749&lt;&gt;"!!!"),"NEW","")))</f>
        <v> </v>
      </c>
      <c r="G1749" s="24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5" t="str">
        <f>IF(J1749&lt;&gt;1,"",IF(I1749="SBJ","CB","?"))</f>
        <v> </v>
      </c>
      <c r="I1749" s="26" t="str">
        <f>IF(OR(E1749="",E1749="!!!",F1749="NEW"),"",INDEX(B1748:B$2,-1+SUMPRODUCT(MAX(ROW(E1748:E$2)*(E1749=E1748:E$2)))))</f>
        <v> </v>
      </c>
      <c r="J1749" s="26" t="str">
        <f>IF(OR(E1749="",E1749="!!!",F1749="NEW"),"",COUNTBLANK(OFFSET(A$1,,,SUMPRODUCT(MAX(ROW(E$2:E1749)*(E1749=E$2:E1749)))))-COUNTBLANK(OFFSET(A$1,,,SUMPRODUCT(MAX(ROW(E$1:E1748)*(E2=E$1:E1748))))))</f>
        <v> </v>
      </c>
      <c r="K1749" s="26" t="str">
        <f>IF(OR(E1749="",E1749="!!!",F1749="NEW"),"",INDEX(J$1:J1748,SUMPRODUCT(MAX(ROW(E$1:E1748)*(E1749=E$1:E1748)))))</f>
        <v> </v>
      </c>
      <c r="L1749" s="27"/>
    </row>
    <row r="1750" spans="1:12">
      <c r="A1750" s="20" t="s">
        <v>1164</v>
      </c>
      <c r="E1750" s="22">
        <f>IF(D1750="?OLD","!!!","")</f>
        <v/>
      </c>
      <c r="F1750" s="23" t="str">
        <f>IF(OR(E1750="",E1750="!!!"),"",IF(NOT(ISNA(VLOOKUP(E1750,E$1:E1749,1,FALSE()))),"OLD",IF(AND(E1750&lt;&gt;"",E1750&lt;&gt;"!!!"),"NEW","")))</f>
        <v> </v>
      </c>
      <c r="G1750" s="24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5" t="str">
        <f>IF(J1750&lt;&gt;1,"",IF(I1750="SBJ","CB","?"))</f>
        <v> </v>
      </c>
      <c r="I1750" s="26" t="str">
        <f>IF(OR(E1750="",E1750="!!!",F1750="NEW"),"",INDEX(B1749:B$2,-1+SUMPRODUCT(MAX(ROW(E1749:E$2)*(E1750=E1749:E$2)))))</f>
        <v> </v>
      </c>
      <c r="J1750" s="26" t="str">
        <f>IF(OR(E1750="",E1750="!!!",F1750="NEW"),"",COUNTBLANK(OFFSET(A$1,,,SUMPRODUCT(MAX(ROW(E$2:E1750)*(E1750=E$2:E1750)))))-COUNTBLANK(OFFSET(A$1,,,SUMPRODUCT(MAX(ROW(E$1:E1749)*(E2=E$1:E1749))))))</f>
        <v> </v>
      </c>
      <c r="K1750" s="26" t="str">
        <f>IF(OR(E1750="",E1750="!!!",F1750="NEW"),"",INDEX(J$1:J1749,SUMPRODUCT(MAX(ROW(E$1:E1749)*(E1750=E$1:E1749)))))</f>
        <v> </v>
      </c>
      <c r="L1750" s="27"/>
    </row>
    <row r="1751" spans="1:12">
      <c r="A1751" s="20" t="s">
        <v>272</v>
      </c>
      <c r="E1751" s="22">
        <f>IF(D1751="?OLD","!!!","")</f>
        <v/>
      </c>
      <c r="F1751" s="23" t="str">
        <f>IF(OR(E1751="",E1751="!!!"),"",IF(NOT(ISNA(VLOOKUP(E1751,E$1:E1750,1,FALSE()))),"OLD",IF(AND(E1751&lt;&gt;"",E1751&lt;&gt;"!!!"),"NEW","")))</f>
        <v> </v>
      </c>
      <c r="G1751" s="24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5" t="str">
        <f>IF(J1751&lt;&gt;1,"",IF(I1751="SBJ","CB","?"))</f>
        <v> </v>
      </c>
      <c r="I1751" s="26" t="str">
        <f>IF(OR(E1751="",E1751="!!!",F1751="NEW"),"",INDEX(B1750:B$2,-1+SUMPRODUCT(MAX(ROW(E1750:E$2)*(E1751=E1750:E$2)))))</f>
        <v> </v>
      </c>
      <c r="J1751" s="26" t="str">
        <f>IF(OR(E1751="",E1751="!!!",F1751="NEW"),"",COUNTBLANK(OFFSET(A$1,,,SUMPRODUCT(MAX(ROW(E$2:E1751)*(E1751=E$2:E1751)))))-COUNTBLANK(OFFSET(A$1,,,SUMPRODUCT(MAX(ROW(E$1:E1750)*(E2=E$1:E1750))))))</f>
        <v> </v>
      </c>
      <c r="K1751" s="26" t="str">
        <f>IF(OR(E1751="",E1751="!!!",F1751="NEW"),"",INDEX(J$1:J1750,SUMPRODUCT(MAX(ROW(E$1:E1750)*(E1751=E$1:E1750)))))</f>
        <v> </v>
      </c>
      <c r="L1751" s="27"/>
    </row>
    <row r="1752" spans="1:12">
      <c r="A1752" s="20" t="s">
        <v>12</v>
      </c>
      <c r="E1752" s="22">
        <f>IF(D1752="?OLD","!!!","")</f>
        <v/>
      </c>
      <c r="F1752" s="23" t="str">
        <f>IF(OR(E1752="",E1752="!!!"),"",IF(NOT(ISNA(VLOOKUP(E1752,E$1:E1751,1,FALSE()))),"OLD",IF(AND(E1752&lt;&gt;"",E1752&lt;&gt;"!!!"),"NEW","")))</f>
        <v> </v>
      </c>
      <c r="G1752" s="24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5" t="str">
        <f>IF(J1752&lt;&gt;1,"",IF(I1752="SBJ","CB","?"))</f>
        <v> </v>
      </c>
      <c r="I1752" s="26" t="str">
        <f>IF(OR(E1752="",E1752="!!!",F1752="NEW"),"",INDEX(B1751:B$2,-1+SUMPRODUCT(MAX(ROW(E1751:E$2)*(E1752=E1751:E$2)))))</f>
        <v> </v>
      </c>
      <c r="J1752" s="26" t="str">
        <f>IF(OR(E1752="",E1752="!!!",F1752="NEW"),"",COUNTBLANK(OFFSET(A$1,,,SUMPRODUCT(MAX(ROW(E$2:E1752)*(E1752=E$2:E1752)))))-COUNTBLANK(OFFSET(A$1,,,SUMPRODUCT(MAX(ROW(E$1:E1751)*(E2=E$1:E1751))))))</f>
        <v> </v>
      </c>
      <c r="K1752" s="26" t="str">
        <f>IF(OR(E1752="",E1752="!!!",F1752="NEW"),"",INDEX(J$1:J1751,SUMPRODUCT(MAX(ROW(E$1:E1751)*(E1752=E$1:E1751)))))</f>
        <v> </v>
      </c>
      <c r="L1752" s="27"/>
    </row>
    <row r="1753" spans="1:12">
      <c r="A1753" s="20" t="s">
        <v>291</v>
      </c>
      <c r="E1753" s="22">
        <f>IF(D1753="?OLD","!!!","")</f>
        <v/>
      </c>
      <c r="F1753" s="23" t="str">
        <f>IF(OR(E1753="",E1753="!!!"),"",IF(NOT(ISNA(VLOOKUP(E1753,E$1:E1752,1,FALSE()))),"OLD",IF(AND(E1753&lt;&gt;"",E1753&lt;&gt;"!!!"),"NEW","")))</f>
        <v> </v>
      </c>
      <c r="G1753" s="24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5" t="str">
        <f>IF(J1753&lt;&gt;1,"",IF(I1753="SBJ","CB","?"))</f>
        <v> </v>
      </c>
      <c r="I1753" s="26" t="str">
        <f>IF(OR(E1753="",E1753="!!!",F1753="NEW"),"",INDEX(B1752:B$2,-1+SUMPRODUCT(MAX(ROW(E1752:E$2)*(E1753=E1752:E$2)))))</f>
        <v> </v>
      </c>
      <c r="J1753" s="26" t="str">
        <f>IF(OR(E1753="",E1753="!!!",F1753="NEW"),"",COUNTBLANK(OFFSET(A$1,,,SUMPRODUCT(MAX(ROW(E$2:E1753)*(E1753=E$2:E1753)))))-COUNTBLANK(OFFSET(A$1,,,SUMPRODUCT(MAX(ROW(E$1:E1752)*(E2=E$1:E1752))))))</f>
        <v> </v>
      </c>
      <c r="K1753" s="26" t="str">
        <f>IF(OR(E1753="",E1753="!!!",F1753="NEW"),"",INDEX(J$1:J1752,SUMPRODUCT(MAX(ROW(E$1:E1752)*(E1753=E$1:E1752)))))</f>
        <v> </v>
      </c>
      <c r="L1753" s="27"/>
    </row>
    <row r="1754" spans="1:12">
      <c r="A1754" s="20" t="s">
        <v>630</v>
      </c>
      <c r="E1754" s="22">
        <f>IF(D1754="?OLD","!!!","")</f>
        <v/>
      </c>
      <c r="F1754" s="23" t="str">
        <f>IF(OR(E1754="",E1754="!!!"),"",IF(NOT(ISNA(VLOOKUP(E1754,E$1:E1753,1,FALSE()))),"OLD",IF(AND(E1754&lt;&gt;"",E1754&lt;&gt;"!!!"),"NEW","")))</f>
        <v> </v>
      </c>
      <c r="G1754" s="24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5" t="str">
        <f>IF(J1754&lt;&gt;1,"",IF(I1754="SBJ","CB","?"))</f>
        <v> </v>
      </c>
      <c r="I1754" s="26" t="str">
        <f>IF(OR(E1754="",E1754="!!!",F1754="NEW"),"",INDEX(B1753:B$2,-1+SUMPRODUCT(MAX(ROW(E1753:E$2)*(E1754=E1753:E$2)))))</f>
        <v> </v>
      </c>
      <c r="J1754" s="26" t="str">
        <f>IF(OR(E1754="",E1754="!!!",F1754="NEW"),"",COUNTBLANK(OFFSET(A$1,,,SUMPRODUCT(MAX(ROW(E$2:E1754)*(E1754=E$2:E1754)))))-COUNTBLANK(OFFSET(A$1,,,SUMPRODUCT(MAX(ROW(E$1:E1753)*(E2=E$1:E1753))))))</f>
        <v> </v>
      </c>
      <c r="K1754" s="26" t="str">
        <f>IF(OR(E1754="",E1754="!!!",F1754="NEW"),"",INDEX(J$1:J1753,SUMPRODUCT(MAX(ROW(E$1:E1753)*(E1754=E$1:E1753)))))</f>
        <v> </v>
      </c>
      <c r="L1754" s="27"/>
    </row>
    <row r="1755" spans="1:12">
      <c r="A1755" s="20" t="s">
        <v>1409</v>
      </c>
      <c r="E1755" s="22">
        <f>IF(D1755="?OLD","!!!","")</f>
        <v/>
      </c>
      <c r="F1755" s="23" t="str">
        <f>IF(OR(E1755="",E1755="!!!"),"",IF(NOT(ISNA(VLOOKUP(E1755,E$1:E1754,1,FALSE()))),"OLD",IF(AND(E1755&lt;&gt;"",E1755&lt;&gt;"!!!"),"NEW","")))</f>
        <v> </v>
      </c>
      <c r="G1755" s="24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5" t="str">
        <f>IF(J1755&lt;&gt;1,"",IF(I1755="SBJ","CB","?"))</f>
        <v> </v>
      </c>
      <c r="I1755" s="26" t="str">
        <f>IF(OR(E1755="",E1755="!!!",F1755="NEW"),"",INDEX(B1754:B$2,-1+SUMPRODUCT(MAX(ROW(E1754:E$2)*(E1755=E1754:E$2)))))</f>
        <v> </v>
      </c>
      <c r="J1755" s="26" t="str">
        <f>IF(OR(E1755="",E1755="!!!",F1755="NEW"),"",COUNTBLANK(OFFSET(A$1,,,SUMPRODUCT(MAX(ROW(E$2:E1755)*(E1755=E$2:E1755)))))-COUNTBLANK(OFFSET(A$1,,,SUMPRODUCT(MAX(ROW(E$1:E1754)*(E2=E$1:E1754))))))</f>
        <v> </v>
      </c>
      <c r="K1755" s="26" t="str">
        <f>IF(OR(E1755="",E1755="!!!",F1755="NEW"),"",INDEX(J$1:J1754,SUMPRODUCT(MAX(ROW(E$1:E1754)*(E1755=E$1:E1754)))))</f>
        <v> </v>
      </c>
      <c r="L1755" s="27"/>
    </row>
    <row r="1756" spans="1:12">
      <c r="A1756" s="20" t="s">
        <v>310</v>
      </c>
      <c r="E1756" s="22">
        <f>IF(D1756="?OLD","!!!","")</f>
        <v/>
      </c>
      <c r="F1756" s="23" t="str">
        <f>IF(OR(E1756="",E1756="!!!"),"",IF(NOT(ISNA(VLOOKUP(E1756,E$1:E1755,1,FALSE()))),"OLD",IF(AND(E1756&lt;&gt;"",E1756&lt;&gt;"!!!"),"NEW","")))</f>
        <v> </v>
      </c>
      <c r="G1756" s="24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5" t="str">
        <f>IF(J1756&lt;&gt;1,"",IF(I1756="SBJ","CB","?"))</f>
        <v> </v>
      </c>
      <c r="I1756" s="26" t="str">
        <f>IF(OR(E1756="",E1756="!!!",F1756="NEW"),"",INDEX(B1755:B$2,-1+SUMPRODUCT(MAX(ROW(E1755:E$2)*(E1756=E1755:E$2)))))</f>
        <v> </v>
      </c>
      <c r="J1756" s="26" t="str">
        <f>IF(OR(E1756="",E1756="!!!",F1756="NEW"),"",COUNTBLANK(OFFSET(A$1,,,SUMPRODUCT(MAX(ROW(E$2:E1756)*(E1756=E$2:E1756)))))-COUNTBLANK(OFFSET(A$1,,,SUMPRODUCT(MAX(ROW(E$1:E1755)*(E2=E$1:E1755))))))</f>
        <v> </v>
      </c>
      <c r="K1756" s="26" t="str">
        <f>IF(OR(E1756="",E1756="!!!",F1756="NEW"),"",INDEX(J$1:J1755,SUMPRODUCT(MAX(ROW(E$1:E1755)*(E1756=E$1:E1755)))))</f>
        <v> </v>
      </c>
      <c r="L1756" s="27"/>
    </row>
    <row r="1757" spans="1:12">
      <c r="A1757" s="20" t="s">
        <v>912</v>
      </c>
      <c r="E1757" s="22">
        <f>IF(D1757="?OLD","!!!","")</f>
        <v/>
      </c>
      <c r="F1757" s="23" t="str">
        <f>IF(OR(E1757="",E1757="!!!"),"",IF(NOT(ISNA(VLOOKUP(E1757,E$1:E1756,1,FALSE()))),"OLD",IF(AND(E1757&lt;&gt;"",E1757&lt;&gt;"!!!"),"NEW","")))</f>
        <v> </v>
      </c>
      <c r="G1757" s="24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5" t="str">
        <f>IF(J1757&lt;&gt;1,"",IF(I1757="SBJ","CB","?"))</f>
        <v> </v>
      </c>
      <c r="I1757" s="26" t="str">
        <f>IF(OR(E1757="",E1757="!!!",F1757="NEW"),"",INDEX(B1756:B$2,-1+SUMPRODUCT(MAX(ROW(E1756:E$2)*(E1757=E1756:E$2)))))</f>
        <v> </v>
      </c>
      <c r="J1757" s="26" t="str">
        <f>IF(OR(E1757="",E1757="!!!",F1757="NEW"),"",COUNTBLANK(OFFSET(A$1,,,SUMPRODUCT(MAX(ROW(E$2:E1757)*(E1757=E$2:E1757)))))-COUNTBLANK(OFFSET(A$1,,,SUMPRODUCT(MAX(ROW(E$1:E1756)*(E2=E$1:E1756))))))</f>
        <v> </v>
      </c>
      <c r="K1757" s="26" t="str">
        <f>IF(OR(E1757="",E1757="!!!",F1757="NEW"),"",INDEX(J$1:J1756,SUMPRODUCT(MAX(ROW(E$1:E1756)*(E1757=E$1:E1756)))))</f>
        <v> </v>
      </c>
      <c r="L1757" s="27"/>
    </row>
    <row r="1758" spans="1:12">
      <c r="A1758" s="20" t="s">
        <v>583</v>
      </c>
      <c r="E1758" s="22">
        <f>IF(D1758="?OLD","!!!","")</f>
        <v/>
      </c>
      <c r="F1758" s="23" t="str">
        <f>IF(OR(E1758="",E1758="!!!"),"",IF(NOT(ISNA(VLOOKUP(E1758,E$1:E1757,1,FALSE()))),"OLD",IF(AND(E1758&lt;&gt;"",E1758&lt;&gt;"!!!"),"NEW","")))</f>
        <v> </v>
      </c>
      <c r="G1758" s="24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5" t="str">
        <f>IF(J1758&lt;&gt;1,"",IF(I1758="SBJ","CB","?"))</f>
        <v> </v>
      </c>
      <c r="I1758" s="26" t="str">
        <f>IF(OR(E1758="",E1758="!!!",F1758="NEW"),"",INDEX(B1757:B$2,-1+SUMPRODUCT(MAX(ROW(E1757:E$2)*(E1758=E1757:E$2)))))</f>
        <v> </v>
      </c>
      <c r="J1758" s="26" t="str">
        <f>IF(OR(E1758="",E1758="!!!",F1758="NEW"),"",COUNTBLANK(OFFSET(A$1,,,SUMPRODUCT(MAX(ROW(E$2:E1758)*(E1758=E$2:E1758)))))-COUNTBLANK(OFFSET(A$1,,,SUMPRODUCT(MAX(ROW(E$1:E1757)*(E2=E$1:E1757))))))</f>
        <v> </v>
      </c>
      <c r="K1758" s="26" t="str">
        <f>IF(OR(E1758="",E1758="!!!",F1758="NEW"),"",INDEX(J$1:J1757,SUMPRODUCT(MAX(ROW(E$1:E1757)*(E1758=E$1:E1757)))))</f>
        <v> </v>
      </c>
      <c r="L1758" s="27"/>
    </row>
    <row r="1759" spans="1:12">
      <c r="A1759" s="20" t="s">
        <v>1362</v>
      </c>
      <c r="E1759" s="22">
        <f>IF(D1759="?OLD","!!!","")</f>
        <v/>
      </c>
      <c r="F1759" s="23" t="str">
        <f>IF(OR(E1759="",E1759="!!!"),"",IF(NOT(ISNA(VLOOKUP(E1759,E$1:E1758,1,FALSE()))),"OLD",IF(AND(E1759&lt;&gt;"",E1759&lt;&gt;"!!!"),"NEW","")))</f>
        <v> </v>
      </c>
      <c r="G1759" s="24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5" t="str">
        <f>IF(J1759&lt;&gt;1,"",IF(I1759="SBJ","CB","?"))</f>
        <v> </v>
      </c>
      <c r="I1759" s="26" t="str">
        <f>IF(OR(E1759="",E1759="!!!",F1759="NEW"),"",INDEX(B1758:B$2,-1+SUMPRODUCT(MAX(ROW(E1758:E$2)*(E1759=E1758:E$2)))))</f>
        <v> </v>
      </c>
      <c r="J1759" s="26" t="str">
        <f>IF(OR(E1759="",E1759="!!!",F1759="NEW"),"",COUNTBLANK(OFFSET(A$1,,,SUMPRODUCT(MAX(ROW(E$2:E1759)*(E1759=E$2:E1759)))))-COUNTBLANK(OFFSET(A$1,,,SUMPRODUCT(MAX(ROW(E$1:E1758)*(E2=E$1:E1758))))))</f>
        <v> </v>
      </c>
      <c r="K1759" s="26" t="str">
        <f>IF(OR(E1759="",E1759="!!!",F1759="NEW"),"",INDEX(J$1:J1758,SUMPRODUCT(MAX(ROW(E$1:E1758)*(E1759=E$1:E1758)))))</f>
        <v> </v>
      </c>
      <c r="L1759" s="27"/>
    </row>
    <row r="1760" spans="1:12">
      <c r="A1760" s="20" t="s">
        <v>369</v>
      </c>
      <c r="E1760" s="22">
        <f>IF(D1760="?OLD","!!!","")</f>
        <v/>
      </c>
      <c r="F1760" s="23" t="str">
        <f>IF(OR(E1760="",E1760="!!!"),"",IF(NOT(ISNA(VLOOKUP(E1760,E$1:E1759,1,FALSE()))),"OLD",IF(AND(E1760&lt;&gt;"",E1760&lt;&gt;"!!!"),"NEW","")))</f>
        <v> </v>
      </c>
      <c r="G1760" s="24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5" t="str">
        <f>IF(J1760&lt;&gt;1,"",IF(I1760="SBJ","CB","?"))</f>
        <v> </v>
      </c>
      <c r="I1760" s="26" t="str">
        <f>IF(OR(E1760="",E1760="!!!",F1760="NEW"),"",INDEX(B1759:B$2,-1+SUMPRODUCT(MAX(ROW(E1759:E$2)*(E1760=E1759:E$2)))))</f>
        <v> </v>
      </c>
      <c r="J1760" s="26" t="str">
        <f>IF(OR(E1760="",E1760="!!!",F1760="NEW"),"",COUNTBLANK(OFFSET(A$1,,,SUMPRODUCT(MAX(ROW(E$2:E1760)*(E1760=E$2:E1760)))))-COUNTBLANK(OFFSET(A$1,,,SUMPRODUCT(MAX(ROW(E$1:E1759)*(E2=E$1:E1759))))))</f>
        <v> </v>
      </c>
      <c r="K1760" s="26" t="str">
        <f>IF(OR(E1760="",E1760="!!!",F1760="NEW"),"",INDEX(J$1:J1759,SUMPRODUCT(MAX(ROW(E$1:E1759)*(E1760=E$1:E1759)))))</f>
        <v> </v>
      </c>
      <c r="L1760" s="27"/>
    </row>
    <row r="1761" spans="1:12">
      <c r="A1761" s="20" t="s">
        <v>685</v>
      </c>
      <c r="B1761" s="21" t="s">
        <v>590</v>
      </c>
      <c r="C1761" s="21" t="s">
        <v>613</v>
      </c>
      <c r="D1761" s="21" t="s">
        <v>587</v>
      </c>
      <c r="E1761" s="22">
        <f>IF(D1761="?OLD","!!!","")</f>
        <v/>
      </c>
      <c r="F1761" s="23" t="str">
        <f>IF(OR(E1761="",E1761="!!!"),"",IF(NOT(ISNA(VLOOKUP(E1761,E$1:E1760,1,FALSE()))),"OLD",IF(AND(E1761&lt;&gt;"",E1761&lt;&gt;"!!!"),"NEW","")))</f>
        <v> </v>
      </c>
      <c r="G1761" s="24" t="str">
        <f>IF(OR(E1761="",E1761="!!!"),"",IF(OR(J1761=0,AND(J1761=1,K1761=1),AND(J1761=1,I1761="SBJ"),AND(J1761=1,I1761=0)),"?IN_FOCUS",IF(J1761&lt;=2,"?ACTIVATED",IF(J1761&lt;&gt;"","?FAMILIAR",IF(F1761="NEW",IF(ISNA(VLOOKUP(E1761,#REF!,1,FALSE())),"?TYPE_IDENTIFIABLE","?REFERENTIAL"),"_")))))</f>
        <v> </v>
      </c>
      <c r="H1761" s="25" t="str">
        <f>IF(J1761&lt;&gt;1,"",IF(I1761="SBJ","CB","?"))</f>
        <v> </v>
      </c>
      <c r="I1761" s="26" t="str">
        <f>IF(OR(E1761="",E1761="!!!",F1761="NEW"),"",INDEX(B1760:B$2,-1+SUMPRODUCT(MAX(ROW(E1760:E$2)*(E1761=E1760:E$2)))))</f>
        <v> </v>
      </c>
      <c r="J1761" s="26" t="str">
        <f>IF(OR(E1761="",E1761="!!!",F1761="NEW"),"",COUNTBLANK(OFFSET(A$1,,,SUMPRODUCT(MAX(ROW(E$2:E1761)*(E1761=E$2:E1761)))))-COUNTBLANK(OFFSET(A$1,,,SUMPRODUCT(MAX(ROW(E$1:E1760)*(E2=E$1:E1760))))))</f>
        <v> </v>
      </c>
      <c r="K1761" s="26" t="str">
        <f>IF(OR(E1761="",E1761="!!!",F1761="NEW"),"",INDEX(J$1:J1760,SUMPRODUCT(MAX(ROW(E$1:E1760)*(E1761=E$1:E1760)))))</f>
        <v> </v>
      </c>
      <c r="L1761" s="27"/>
    </row>
    <row r="1762" spans="1:12">
      <c r="A1762" s="20" t="s">
        <v>677</v>
      </c>
      <c r="E1762" s="22">
        <f>IF(D1762="?OLD","!!!","")</f>
        <v/>
      </c>
      <c r="F1762" s="23" t="str">
        <f>IF(OR(E1762="",E1762="!!!"),"",IF(NOT(ISNA(VLOOKUP(E1762,E$1:E1761,1,FALSE()))),"OLD",IF(AND(E1762&lt;&gt;"",E1762&lt;&gt;"!!!"),"NEW","")))</f>
        <v> </v>
      </c>
      <c r="G1762" s="24" t="str">
        <f>IF(OR(E1762="",E1762="!!!"),"",IF(OR(J1762=0,AND(J1762=1,K1762=1),AND(J1762=1,I1762="SBJ"),AND(J1762=1,I1762=0)),"?IN_FOCUS",IF(J1762&lt;=2,"?ACTIVATED",IF(J1762&lt;&gt;"","?FAMILIAR",IF(F1762="NEW",IF(ISNA(VLOOKUP(E1762,#REF!,1,FALSE())),"?TYPE_IDENTIFIABLE","?REFERENTIAL"),"_")))))</f>
        <v> </v>
      </c>
      <c r="H1762" s="25" t="str">
        <f>IF(J1762&lt;&gt;1,"",IF(I1762="SBJ","CB","?"))</f>
        <v> </v>
      </c>
      <c r="I1762" s="26" t="str">
        <f>IF(OR(E1762="",E1762="!!!",F1762="NEW"),"",INDEX(B1761:B$2,-1+SUMPRODUCT(MAX(ROW(E1761:E$2)*(E1762=E1761:E$2)))))</f>
        <v> </v>
      </c>
      <c r="J1762" s="26" t="str">
        <f>IF(OR(E1762="",E1762="!!!",F1762="NEW"),"",COUNTBLANK(OFFSET(A$1,,,SUMPRODUCT(MAX(ROW(E$2:E1762)*(E1762=E$2:E1762)))))-COUNTBLANK(OFFSET(A$1,,,SUMPRODUCT(MAX(ROW(E$1:E1761)*(E2=E$1:E1761))))))</f>
        <v> </v>
      </c>
      <c r="K1762" s="26" t="str">
        <f>IF(OR(E1762="",E1762="!!!",F1762="NEW"),"",INDEX(J$1:J1761,SUMPRODUCT(MAX(ROW(E$1:E1761)*(E1762=E$1:E1761)))))</f>
        <v> </v>
      </c>
      <c r="L1762" s="27"/>
    </row>
    <row r="1763" spans="1:12">
      <c r="A1763" s="20" t="s">
        <v>1443</v>
      </c>
      <c r="E1763" s="22">
        <f>IF(D1763="?OLD","!!!","")</f>
        <v/>
      </c>
      <c r="F1763" s="23" t="str">
        <f>IF(OR(E1763="",E1763="!!!"),"",IF(NOT(ISNA(VLOOKUP(E1763,E$1:E1762,1,FALSE()))),"OLD",IF(AND(E1763&lt;&gt;"",E1763&lt;&gt;"!!!"),"NEW","")))</f>
        <v> </v>
      </c>
      <c r="G1763" s="24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5" t="str">
        <f>IF(J1763&lt;&gt;1,"",IF(I1763="SBJ","CB","?"))</f>
        <v> </v>
      </c>
      <c r="I1763" s="26" t="str">
        <f>IF(OR(E1763="",E1763="!!!",F1763="NEW"),"",INDEX(B1762:B$2,-1+SUMPRODUCT(MAX(ROW(E1762:E$2)*(E1763=E1762:E$2)))))</f>
        <v> </v>
      </c>
      <c r="J1763" s="26" t="str">
        <f>IF(OR(E1763="",E1763="!!!",F1763="NEW"),"",COUNTBLANK(OFFSET(A$1,,,SUMPRODUCT(MAX(ROW(E$2:E1763)*(E1763=E$2:E1763)))))-COUNTBLANK(OFFSET(A$1,,,SUMPRODUCT(MAX(ROW(E$1:E1762)*(E2=E$1:E1762))))))</f>
        <v> </v>
      </c>
      <c r="K1763" s="26" t="str">
        <f>IF(OR(E1763="",E1763="!!!",F1763="NEW"),"",INDEX(J$1:J1762,SUMPRODUCT(MAX(ROW(E$1:E1762)*(E1763=E$1:E1762)))))</f>
        <v> </v>
      </c>
      <c r="L1763" s="27"/>
    </row>
    <row r="1764" spans="1:12">
      <c r="A1764" s="20" t="s">
        <v>1444</v>
      </c>
      <c r="E1764" s="22">
        <f>IF(D1764="?OLD","!!!","")</f>
        <v/>
      </c>
      <c r="F1764" s="23" t="str">
        <f>IF(OR(E1764="",E1764="!!!"),"",IF(NOT(ISNA(VLOOKUP(E1764,E$1:E1763,1,FALSE()))),"OLD",IF(AND(E1764&lt;&gt;"",E1764&lt;&gt;"!!!"),"NEW","")))</f>
        <v> </v>
      </c>
      <c r="G1764" s="24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5" t="str">
        <f>IF(J1764&lt;&gt;1,"",IF(I1764="SBJ","CB","?"))</f>
        <v> </v>
      </c>
      <c r="I1764" s="26" t="str">
        <f>IF(OR(E1764="",E1764="!!!",F1764="NEW"),"",INDEX(B1763:B$2,-1+SUMPRODUCT(MAX(ROW(E1763:E$2)*(E1764=E1763:E$2)))))</f>
        <v> </v>
      </c>
      <c r="J1764" s="26" t="str">
        <f>IF(OR(E1764="",E1764="!!!",F1764="NEW"),"",COUNTBLANK(OFFSET(A$1,,,SUMPRODUCT(MAX(ROW(E$2:E1764)*(E1764=E$2:E1764)))))-COUNTBLANK(OFFSET(A$1,,,SUMPRODUCT(MAX(ROW(E$1:E1763)*(E2=E$1:E1763))))))</f>
        <v> </v>
      </c>
      <c r="K1764" s="26" t="str">
        <f>IF(OR(E1764="",E1764="!!!",F1764="NEW"),"",INDEX(J$1:J1763,SUMPRODUCT(MAX(ROW(E$1:E1763)*(E1764=E$1:E1763)))))</f>
        <v> </v>
      </c>
      <c r="L1764" s="27"/>
    </row>
    <row r="1765" spans="1:12">
      <c r="A1765" s="20" t="s">
        <v>583</v>
      </c>
      <c r="E1765" s="22">
        <f>IF(D1765="?OLD","!!!","")</f>
        <v/>
      </c>
      <c r="F1765" s="23" t="str">
        <f>IF(OR(E1765="",E1765="!!!"),"",IF(NOT(ISNA(VLOOKUP(E1765,E$1:E1764,1,FALSE()))),"OLD",IF(AND(E1765&lt;&gt;"",E1765&lt;&gt;"!!!"),"NEW","")))</f>
        <v> </v>
      </c>
      <c r="G1765" s="24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5" t="str">
        <f>IF(J1765&lt;&gt;1,"",IF(I1765="SBJ","CB","?"))</f>
        <v> </v>
      </c>
      <c r="I1765" s="26" t="str">
        <f>IF(OR(E1765="",E1765="!!!",F1765="NEW"),"",INDEX(B1764:B$2,-1+SUMPRODUCT(MAX(ROW(E1764:E$2)*(E1765=E1764:E$2)))))</f>
        <v> </v>
      </c>
      <c r="J1765" s="26" t="str">
        <f>IF(OR(E1765="",E1765="!!!",F1765="NEW"),"",COUNTBLANK(OFFSET(A$1,,,SUMPRODUCT(MAX(ROW(E$2:E1765)*(E1765=E$2:E1765)))))-COUNTBLANK(OFFSET(A$1,,,SUMPRODUCT(MAX(ROW(E$1:E1764)*(E2=E$1:E1764))))))</f>
        <v> </v>
      </c>
      <c r="K1765" s="26" t="str">
        <f>IF(OR(E1765="",E1765="!!!",F1765="NEW"),"",INDEX(J$1:J1764,SUMPRODUCT(MAX(ROW(E$1:E1764)*(E1765=E$1:E1764)))))</f>
        <v> </v>
      </c>
      <c r="L1765" s="27"/>
    </row>
    <row r="1766" spans="1:12">
      <c r="A1766" s="20" t="s">
        <v>1362</v>
      </c>
      <c r="E1766" s="22">
        <f>IF(D1766="?OLD","!!!","")</f>
        <v/>
      </c>
      <c r="F1766" s="23" t="str">
        <f>IF(OR(E1766="",E1766="!!!"),"",IF(NOT(ISNA(VLOOKUP(E1766,E$1:E1765,1,FALSE()))),"OLD",IF(AND(E1766&lt;&gt;"",E1766&lt;&gt;"!!!"),"NEW","")))</f>
        <v> </v>
      </c>
      <c r="G1766" s="24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5" t="str">
        <f>IF(J1766&lt;&gt;1,"",IF(I1766="SBJ","CB","?"))</f>
        <v> </v>
      </c>
      <c r="I1766" s="26" t="str">
        <f>IF(OR(E1766="",E1766="!!!",F1766="NEW"),"",INDEX(B1765:B$2,-1+SUMPRODUCT(MAX(ROW(E1765:E$2)*(E1766=E1765:E$2)))))</f>
        <v> </v>
      </c>
      <c r="J1766" s="26" t="str">
        <f>IF(OR(E1766="",E1766="!!!",F1766="NEW"),"",COUNTBLANK(OFFSET(A$1,,,SUMPRODUCT(MAX(ROW(E$2:E1766)*(E1766=E$2:E1766)))))-COUNTBLANK(OFFSET(A$1,,,SUMPRODUCT(MAX(ROW(E$1:E1765)*(E2=E$1:E1765))))))</f>
        <v> </v>
      </c>
      <c r="K1766" s="26" t="str">
        <f>IF(OR(E1766="",E1766="!!!",F1766="NEW"),"",INDEX(J$1:J1765,SUMPRODUCT(MAX(ROW(E$1:E1765)*(E1766=E$1:E1765)))))</f>
        <v> </v>
      </c>
      <c r="L1766" s="27"/>
    </row>
    <row r="1767" spans="1:12">
      <c r="A1767" s="20" t="s">
        <v>369</v>
      </c>
      <c r="E1767" s="22">
        <f>IF(D1767="?OLD","!!!","")</f>
        <v/>
      </c>
      <c r="F1767" s="23" t="str">
        <f>IF(OR(E1767="",E1767="!!!"),"",IF(NOT(ISNA(VLOOKUP(E1767,E$1:E1766,1,FALSE()))),"OLD",IF(AND(E1767&lt;&gt;"",E1767&lt;&gt;"!!!"),"NEW","")))</f>
        <v> </v>
      </c>
      <c r="G1767" s="24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5" t="str">
        <f>IF(J1767&lt;&gt;1,"",IF(I1767="SBJ","CB","?"))</f>
        <v> </v>
      </c>
      <c r="I1767" s="26" t="str">
        <f>IF(OR(E1767="",E1767="!!!",F1767="NEW"),"",INDEX(B1766:B$2,-1+SUMPRODUCT(MAX(ROW(E1766:E$2)*(E1767=E1766:E$2)))))</f>
        <v> </v>
      </c>
      <c r="J1767" s="26" t="str">
        <f>IF(OR(E1767="",E1767="!!!",F1767="NEW"),"",COUNTBLANK(OFFSET(A$1,,,SUMPRODUCT(MAX(ROW(E$2:E1767)*(E1767=E$2:E1767)))))-COUNTBLANK(OFFSET(A$1,,,SUMPRODUCT(MAX(ROW(E$1:E1766)*(E2=E$1:E1766))))))</f>
        <v> </v>
      </c>
      <c r="K1767" s="26" t="str">
        <f>IF(OR(E1767="",E1767="!!!",F1767="NEW"),"",INDEX(J$1:J1766,SUMPRODUCT(MAX(ROW(E$1:E1766)*(E1767=E$1:E1766)))))</f>
        <v> </v>
      </c>
      <c r="L1767" s="27"/>
    </row>
    <row r="1768" spans="1:12">
      <c r="A1768" s="20" t="s">
        <v>967</v>
      </c>
      <c r="B1768" s="21" t="s">
        <v>605</v>
      </c>
      <c r="E1768" s="22">
        <f>IF(D1768="?OLD","!!!","")</f>
        <v/>
      </c>
      <c r="F1768" s="23" t="str">
        <f>IF(OR(E1768="",E1768="!!!"),"",IF(NOT(ISNA(VLOOKUP(E1768,E$1:E1767,1,FALSE()))),"OLD",IF(AND(E1768&lt;&gt;"",E1768&lt;&gt;"!!!"),"NEW","")))</f>
        <v> </v>
      </c>
      <c r="G1768" s="24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5" t="str">
        <f>IF(J1768&lt;&gt;1,"",IF(I1768="SBJ","CB","?"))</f>
        <v> </v>
      </c>
      <c r="I1768" s="26" t="str">
        <f>IF(OR(E1768="",E1768="!!!",F1768="NEW"),"",INDEX(B1767:B$2,-1+SUMPRODUCT(MAX(ROW(E1767:E$2)*(E1768=E1767:E$2)))))</f>
        <v> </v>
      </c>
      <c r="J1768" s="26" t="str">
        <f>IF(OR(E1768="",E1768="!!!",F1768="NEW"),"",COUNTBLANK(OFFSET(A$1,,,SUMPRODUCT(MAX(ROW(E$2:E1768)*(E1768=E$2:E1768)))))-COUNTBLANK(OFFSET(A$1,,,SUMPRODUCT(MAX(ROW(E$1:E1767)*(E2=E$1:E1767))))))</f>
        <v> </v>
      </c>
      <c r="K1768" s="26" t="str">
        <f>IF(OR(E1768="",E1768="!!!",F1768="NEW"),"",INDEX(J$1:J1767,SUMPRODUCT(MAX(ROW(E$1:E1767)*(E1768=E$1:E1767)))))</f>
        <v> </v>
      </c>
      <c r="L1768" s="27"/>
    </row>
    <row r="1769" spans="1:12">
      <c r="A1769" s="20" t="s">
        <v>583</v>
      </c>
      <c r="E1769" s="22">
        <f>IF(D1769="?OLD","!!!","")</f>
        <v/>
      </c>
      <c r="F1769" s="23" t="str">
        <f>IF(OR(E1769="",E1769="!!!"),"",IF(NOT(ISNA(VLOOKUP(E1769,E$1:E1768,1,FALSE()))),"OLD",IF(AND(E1769&lt;&gt;"",E1769&lt;&gt;"!!!"),"NEW","")))</f>
        <v> </v>
      </c>
      <c r="G1769" s="24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5" t="str">
        <f>IF(J1769&lt;&gt;1,"",IF(I1769="SBJ","CB","?"))</f>
        <v> </v>
      </c>
      <c r="I1769" s="26" t="str">
        <f>IF(OR(E1769="",E1769="!!!",F1769="NEW"),"",INDEX(B1768:B$2,-1+SUMPRODUCT(MAX(ROW(E1768:E$2)*(E1769=E1768:E$2)))))</f>
        <v> </v>
      </c>
      <c r="J1769" s="26" t="str">
        <f>IF(OR(E1769="",E1769="!!!",F1769="NEW"),"",COUNTBLANK(OFFSET(A$1,,,SUMPRODUCT(MAX(ROW(E$2:E1769)*(E1769=E$2:E1769)))))-COUNTBLANK(OFFSET(A$1,,,SUMPRODUCT(MAX(ROW(E$1:E1768)*(E2=E$1:E1768))))))</f>
        <v> </v>
      </c>
      <c r="K1769" s="26" t="str">
        <f>IF(OR(E1769="",E1769="!!!",F1769="NEW"),"",INDEX(J$1:J1768,SUMPRODUCT(MAX(ROW(E$1:E1768)*(E1769=E$1:E1768)))))</f>
        <v> </v>
      </c>
      <c r="L1769" s="27"/>
    </row>
    <row r="1770" spans="1:12">
      <c r="A1770" s="20" t="s">
        <v>619</v>
      </c>
      <c r="E1770" s="22">
        <f>IF(D1770="?OLD","!!!","")</f>
        <v/>
      </c>
      <c r="F1770" s="23" t="str">
        <f>IF(OR(E1770="",E1770="!!!"),"",IF(NOT(ISNA(VLOOKUP(E1770,E$1:E1769,1,FALSE()))),"OLD",IF(AND(E1770&lt;&gt;"",E1770&lt;&gt;"!!!"),"NEW","")))</f>
        <v> </v>
      </c>
      <c r="G1770" s="24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5" t="str">
        <f>IF(J1770&lt;&gt;1,"",IF(I1770="SBJ","CB","?"))</f>
        <v> </v>
      </c>
      <c r="I1770" s="26" t="str">
        <f>IF(OR(E1770="",E1770="!!!",F1770="NEW"),"",INDEX(B1769:B$2,-1+SUMPRODUCT(MAX(ROW(E1769:E$2)*(E1770=E1769:E$2)))))</f>
        <v> </v>
      </c>
      <c r="J1770" s="26" t="str">
        <f>IF(OR(E1770="",E1770="!!!",F1770="NEW"),"",COUNTBLANK(OFFSET(A$1,,,SUMPRODUCT(MAX(ROW(E$2:E1770)*(E1770=E$2:E1770)))))-COUNTBLANK(OFFSET(A$1,,,SUMPRODUCT(MAX(ROW(E$1:E1769)*(E2=E$1:E1769))))))</f>
        <v> </v>
      </c>
      <c r="K1770" s="26" t="str">
        <f>IF(OR(E1770="",E1770="!!!",F1770="NEW"),"",INDEX(J$1:J1769,SUMPRODUCT(MAX(ROW(E$1:E1769)*(E1770=E$1:E1769)))))</f>
        <v> </v>
      </c>
      <c r="L1770" s="27"/>
    </row>
    <row r="1771" spans="1:12">
      <c r="A1771" s="20" t="s">
        <v>1013</v>
      </c>
      <c r="B1771" s="21" t="s">
        <v>722</v>
      </c>
      <c r="C1771" s="21" t="s">
        <v>602</v>
      </c>
      <c r="E1771" s="22">
        <f>IF(D1771="?OLD","!!!","")</f>
        <v/>
      </c>
      <c r="F1771" s="23" t="str">
        <f>IF(OR(E1771="",E1771="!!!"),"",IF(NOT(ISNA(VLOOKUP(E1771,E$1:E1770,1,FALSE()))),"OLD",IF(AND(E1771&lt;&gt;"",E1771&lt;&gt;"!!!"),"NEW","")))</f>
        <v> </v>
      </c>
      <c r="G1771" s="24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5" t="str">
        <f>IF(J1771&lt;&gt;1,"",IF(I1771="SBJ","CB","?"))</f>
        <v> </v>
      </c>
      <c r="I1771" s="26" t="str">
        <f>IF(OR(E1771="",E1771="!!!",F1771="NEW"),"",INDEX(B1770:B$2,-1+SUMPRODUCT(MAX(ROW(E1770:E$2)*(E1771=E1770:E$2)))))</f>
        <v> </v>
      </c>
      <c r="J1771" s="26" t="str">
        <f>IF(OR(E1771="",E1771="!!!",F1771="NEW"),"",COUNTBLANK(OFFSET(A$1,,,SUMPRODUCT(MAX(ROW(E$2:E1771)*(E1771=E$2:E1771)))))-COUNTBLANK(OFFSET(A$1,,,SUMPRODUCT(MAX(ROW(E$1:E1770)*(E2=E$1:E1770))))))</f>
        <v> </v>
      </c>
      <c r="K1771" s="26" t="str">
        <f>IF(OR(E1771="",E1771="!!!",F1771="NEW"),"",INDEX(J$1:J1770,SUMPRODUCT(MAX(ROW(E$1:E1770)*(E1771=E$1:E1770)))))</f>
        <v> </v>
      </c>
      <c r="L1771" s="27"/>
    </row>
    <row r="1772" spans="1:12">
      <c r="A1772" s="20" t="s">
        <v>685</v>
      </c>
      <c r="B1772" s="21" t="s">
        <v>883</v>
      </c>
      <c r="C1772" s="21" t="s">
        <v>613</v>
      </c>
      <c r="D1772" s="21" t="s">
        <v>587</v>
      </c>
      <c r="E1772" s="22">
        <f>IF(D1772="?OLD","!!!","")</f>
        <v/>
      </c>
      <c r="F1772" s="23" t="str">
        <f>IF(OR(E1772="",E1772="!!!"),"",IF(NOT(ISNA(VLOOKUP(E1772,E$1:E1771,1,FALSE()))),"OLD",IF(AND(E1772&lt;&gt;"",E1772&lt;&gt;"!!!"),"NEW","")))</f>
        <v> </v>
      </c>
      <c r="G1772" s="24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5" t="str">
        <f>IF(J1772&lt;&gt;1,"",IF(I1772="SBJ","CB","?"))</f>
        <v> </v>
      </c>
      <c r="I1772" s="26" t="str">
        <f>IF(OR(E1772="",E1772="!!!",F1772="NEW"),"",INDEX(B1771:B$2,-1+SUMPRODUCT(MAX(ROW(E1771:E$2)*(E1772=E1771:E$2)))))</f>
        <v> </v>
      </c>
      <c r="J1772" s="26" t="str">
        <f>IF(OR(E1772="",E1772="!!!",F1772="NEW"),"",COUNTBLANK(OFFSET(A$1,,,SUMPRODUCT(MAX(ROW(E$2:E1772)*(E1772=E$2:E1772)))))-COUNTBLANK(OFFSET(A$1,,,SUMPRODUCT(MAX(ROW(E$1:E1771)*(E2=E$1:E1771))))))</f>
        <v> </v>
      </c>
      <c r="K1772" s="26" t="str">
        <f>IF(OR(E1772="",E1772="!!!",F1772="NEW"),"",INDEX(J$1:J1771,SUMPRODUCT(MAX(ROW(E$1:E1771)*(E1772=E$1:E1771)))))</f>
        <v> </v>
      </c>
      <c r="L1772" s="27"/>
    </row>
    <row r="1773" spans="1:12">
      <c r="A1773" s="20" t="s">
        <v>1445</v>
      </c>
      <c r="E1773" s="22">
        <f>IF(D1773="?OLD","!!!","")</f>
        <v/>
      </c>
      <c r="F1773" s="23" t="str">
        <f>IF(OR(E1773="",E1773="!!!"),"",IF(NOT(ISNA(VLOOKUP(E1773,E$1:E1772,1,FALSE()))),"OLD",IF(AND(E1773&lt;&gt;"",E1773&lt;&gt;"!!!"),"NEW","")))</f>
        <v> </v>
      </c>
      <c r="G1773" s="24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5" t="str">
        <f>IF(J1773&lt;&gt;1,"",IF(I1773="SBJ","CB","?"))</f>
        <v> </v>
      </c>
      <c r="I1773" s="26" t="str">
        <f>IF(OR(E1773="",E1773="!!!",F1773="NEW"),"",INDEX(B1772:B$2,-1+SUMPRODUCT(MAX(ROW(E1772:E$2)*(E1773=E1772:E$2)))))</f>
        <v> </v>
      </c>
      <c r="J1773" s="26" t="str">
        <f>IF(OR(E1773="",E1773="!!!",F1773="NEW"),"",COUNTBLANK(OFFSET(A$1,,,SUMPRODUCT(MAX(ROW(E$2:E1773)*(E1773=E$2:E1773)))))-COUNTBLANK(OFFSET(A$1,,,SUMPRODUCT(MAX(ROW(E$1:E1772)*(E2=E$1:E1772))))))</f>
        <v> </v>
      </c>
      <c r="K1773" s="26" t="str">
        <f>IF(OR(E1773="",E1773="!!!",F1773="NEW"),"",INDEX(J$1:J1772,SUMPRODUCT(MAX(ROW(E$1:E1772)*(E1773=E$1:E1772)))))</f>
        <v> </v>
      </c>
      <c r="L1773" s="27"/>
    </row>
    <row r="1774" spans="1:12">
      <c r="A1774" s="20" t="s">
        <v>583</v>
      </c>
      <c r="E1774" s="22">
        <f>IF(D1774="?OLD","!!!","")</f>
        <v/>
      </c>
      <c r="F1774" s="23" t="str">
        <f>IF(OR(E1774="",E1774="!!!"),"",IF(NOT(ISNA(VLOOKUP(E1774,E$1:E1773,1,FALSE()))),"OLD",IF(AND(E1774&lt;&gt;"",E1774&lt;&gt;"!!!"),"NEW","")))</f>
        <v> </v>
      </c>
      <c r="G1774" s="24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5" t="str">
        <f>IF(J1774&lt;&gt;1,"",IF(I1774="SBJ","CB","?"))</f>
        <v> </v>
      </c>
      <c r="I1774" s="26" t="str">
        <f>IF(OR(E1774="",E1774="!!!",F1774="NEW"),"",INDEX(B1773:B$2,-1+SUMPRODUCT(MAX(ROW(E1773:E$2)*(E1774=E1773:E$2)))))</f>
        <v> </v>
      </c>
      <c r="J1774" s="26" t="str">
        <f>IF(OR(E1774="",E1774="!!!",F1774="NEW"),"",COUNTBLANK(OFFSET(A$1,,,SUMPRODUCT(MAX(ROW(E$2:E1774)*(E1774=E$2:E1774)))))-COUNTBLANK(OFFSET(A$1,,,SUMPRODUCT(MAX(ROW(E$1:E1773)*(E2=E$1:E1773))))))</f>
        <v> </v>
      </c>
      <c r="K1774" s="26" t="str">
        <f>IF(OR(E1774="",E1774="!!!",F1774="NEW"),"",INDEX(J$1:J1773,SUMPRODUCT(MAX(ROW(E$1:E1773)*(E1774=E$1:E1773)))))</f>
        <v> </v>
      </c>
      <c r="L1774" s="27"/>
    </row>
    <row r="1775" spans="1:12">
      <c r="A1775" s="20" t="s">
        <v>677</v>
      </c>
      <c r="E1775" s="22">
        <f>IF(D1775="?OLD","!!!","")</f>
        <v/>
      </c>
      <c r="F1775" s="23" t="str">
        <f>IF(OR(E1775="",E1775="!!!"),"",IF(NOT(ISNA(VLOOKUP(E1775,E$1:E1774,1,FALSE()))),"OLD",IF(AND(E1775&lt;&gt;"",E1775&lt;&gt;"!!!"),"NEW","")))</f>
        <v> </v>
      </c>
      <c r="G1775" s="24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5" t="str">
        <f>IF(J1775&lt;&gt;1,"",IF(I1775="SBJ","CB","?"))</f>
        <v> </v>
      </c>
      <c r="I1775" s="26" t="str">
        <f>IF(OR(E1775="",E1775="!!!",F1775="NEW"),"",INDEX(B1774:B$2,-1+SUMPRODUCT(MAX(ROW(E1774:E$2)*(E1775=E1774:E$2)))))</f>
        <v> </v>
      </c>
      <c r="J1775" s="26" t="str">
        <f>IF(OR(E1775="",E1775="!!!",F1775="NEW"),"",COUNTBLANK(OFFSET(A$1,,,SUMPRODUCT(MAX(ROW(E$2:E1775)*(E1775=E$2:E1775)))))-COUNTBLANK(OFFSET(A$1,,,SUMPRODUCT(MAX(ROW(E$1:E1774)*(E2=E$1:E1774))))))</f>
        <v> </v>
      </c>
      <c r="K1775" s="26" t="str">
        <f>IF(OR(E1775="",E1775="!!!",F1775="NEW"),"",INDEX(J$1:J1774,SUMPRODUCT(MAX(ROW(E$1:E1774)*(E1775=E$1:E1774)))))</f>
        <v> </v>
      </c>
      <c r="L1775" s="27"/>
    </row>
    <row r="1776" spans="1:12">
      <c r="A1776" s="20" t="s">
        <v>1198</v>
      </c>
      <c r="B1776" s="21" t="s">
        <v>892</v>
      </c>
      <c r="C1776" s="21" t="s">
        <v>613</v>
      </c>
      <c r="D1776" s="21" t="s">
        <v>587</v>
      </c>
      <c r="E1776" s="22">
        <f>IF(D1776="?OLD","!!!","")</f>
        <v/>
      </c>
      <c r="F1776" s="23" t="str">
        <f>IF(OR(E1776="",E1776="!!!"),"",IF(NOT(ISNA(VLOOKUP(E1776,E$1:E1775,1,FALSE()))),"OLD",IF(AND(E1776&lt;&gt;"",E1776&lt;&gt;"!!!"),"NEW","")))</f>
        <v> </v>
      </c>
      <c r="G1776" s="24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5" t="str">
        <f>IF(J1776&lt;&gt;1,"",IF(I1776="SBJ","CB","?"))</f>
        <v> </v>
      </c>
      <c r="I1776" s="26" t="str">
        <f>IF(OR(E1776="",E1776="!!!",F1776="NEW"),"",INDEX(B1775:B$2,-1+SUMPRODUCT(MAX(ROW(E1775:E$2)*(E1776=E1775:E$2)))))</f>
        <v> </v>
      </c>
      <c r="J1776" s="26" t="str">
        <f>IF(OR(E1776="",E1776="!!!",F1776="NEW"),"",COUNTBLANK(OFFSET(A$1,,,SUMPRODUCT(MAX(ROW(E$2:E1776)*(E1776=E$2:E1776)))))-COUNTBLANK(OFFSET(A$1,,,SUMPRODUCT(MAX(ROW(E$1:E1775)*(E2=E$1:E1775))))))</f>
        <v> </v>
      </c>
      <c r="K1776" s="26" t="str">
        <f>IF(OR(E1776="",E1776="!!!",F1776="NEW"),"",INDEX(J$1:J1775,SUMPRODUCT(MAX(ROW(E$1:E1775)*(E1776=E$1:E1775)))))</f>
        <v> </v>
      </c>
      <c r="L1776" s="27"/>
    </row>
    <row r="1777" spans="1:12">
      <c r="A1777" s="20" t="s">
        <v>1444</v>
      </c>
      <c r="E1777" s="22">
        <f>IF(D1777="?OLD","!!!","")</f>
        <v/>
      </c>
      <c r="F1777" s="23" t="str">
        <f>IF(OR(E1777="",E1777="!!!"),"",IF(NOT(ISNA(VLOOKUP(E1777,E$1:E1776,1,FALSE()))),"OLD",IF(AND(E1777&lt;&gt;"",E1777&lt;&gt;"!!!"),"NEW","")))</f>
        <v> </v>
      </c>
      <c r="G1777" s="24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5" t="str">
        <f>IF(J1777&lt;&gt;1,"",IF(I1777="SBJ","CB","?"))</f>
        <v> </v>
      </c>
      <c r="I1777" s="26" t="str">
        <f>IF(OR(E1777="",E1777="!!!",F1777="NEW"),"",INDEX(B1776:B$2,-1+SUMPRODUCT(MAX(ROW(E1776:E$2)*(E1777=E1776:E$2)))))</f>
        <v> </v>
      </c>
      <c r="J1777" s="26" t="str">
        <f>IF(OR(E1777="",E1777="!!!",F1777="NEW"),"",COUNTBLANK(OFFSET(A$1,,,SUMPRODUCT(MAX(ROW(E$2:E1777)*(E1777=E$2:E1777)))))-COUNTBLANK(OFFSET(A$1,,,SUMPRODUCT(MAX(ROW(E$1:E1776)*(E2=E$1:E1776))))))</f>
        <v> </v>
      </c>
      <c r="K1777" s="26" t="str">
        <f>IF(OR(E1777="",E1777="!!!",F1777="NEW"),"",INDEX(J$1:J1776,SUMPRODUCT(MAX(ROW(E$1:E1776)*(E1777=E$1:E1776)))))</f>
        <v> </v>
      </c>
      <c r="L1777" s="27"/>
    </row>
    <row r="1778" spans="1:12">
      <c r="A1778" s="20" t="s">
        <v>583</v>
      </c>
      <c r="E1778" s="22">
        <f>IF(D1778="?OLD","!!!","")</f>
        <v/>
      </c>
      <c r="F1778" s="23" t="str">
        <f>IF(OR(E1778="",E1778="!!!"),"",IF(NOT(ISNA(VLOOKUP(E1778,E$1:E1777,1,FALSE()))),"OLD",IF(AND(E1778&lt;&gt;"",E1778&lt;&gt;"!!!"),"NEW","")))</f>
        <v> </v>
      </c>
      <c r="G1778" s="24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5" t="str">
        <f>IF(J1778&lt;&gt;1,"",IF(I1778="SBJ","CB","?"))</f>
        <v> </v>
      </c>
      <c r="I1778" s="26" t="str">
        <f>IF(OR(E1778="",E1778="!!!",F1778="NEW"),"",INDEX(B1777:B$2,-1+SUMPRODUCT(MAX(ROW(E1777:E$2)*(E1778=E1777:E$2)))))</f>
        <v> </v>
      </c>
      <c r="J1778" s="26" t="str">
        <f>IF(OR(E1778="",E1778="!!!",F1778="NEW"),"",COUNTBLANK(OFFSET(A$1,,,SUMPRODUCT(MAX(ROW(E$2:E1778)*(E1778=E$2:E1778)))))-COUNTBLANK(OFFSET(A$1,,,SUMPRODUCT(MAX(ROW(E$1:E1777)*(E2=E$1:E1777))))))</f>
        <v> </v>
      </c>
      <c r="K1778" s="26" t="str">
        <f>IF(OR(E1778="",E1778="!!!",F1778="NEW"),"",INDEX(J$1:J1777,SUMPRODUCT(MAX(ROW(E$1:E1777)*(E1778=E$1:E1777)))))</f>
        <v> </v>
      </c>
      <c r="L1778" s="27"/>
    </row>
    <row r="1779" spans="1:12">
      <c r="A1779" s="20" t="s">
        <v>1362</v>
      </c>
      <c r="E1779" s="22">
        <f>IF(D1779="?OLD","!!!","")</f>
        <v/>
      </c>
      <c r="F1779" s="23" t="str">
        <f>IF(OR(E1779="",E1779="!!!"),"",IF(NOT(ISNA(VLOOKUP(E1779,E$1:E1778,1,FALSE()))),"OLD",IF(AND(E1779&lt;&gt;"",E1779&lt;&gt;"!!!"),"NEW","")))</f>
        <v> </v>
      </c>
      <c r="G1779" s="24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5" t="str">
        <f>IF(J1779&lt;&gt;1,"",IF(I1779="SBJ","CB","?"))</f>
        <v> </v>
      </c>
      <c r="I1779" s="26" t="str">
        <f>IF(OR(E1779="",E1779="!!!",F1779="NEW"),"",INDEX(B1778:B$2,-1+SUMPRODUCT(MAX(ROW(E1778:E$2)*(E1779=E1778:E$2)))))</f>
        <v> </v>
      </c>
      <c r="J1779" s="26" t="str">
        <f>IF(OR(E1779="",E1779="!!!",F1779="NEW"),"",COUNTBLANK(OFFSET(A$1,,,SUMPRODUCT(MAX(ROW(E$2:E1779)*(E1779=E$2:E1779)))))-COUNTBLANK(OFFSET(A$1,,,SUMPRODUCT(MAX(ROW(E$1:E1778)*(E2=E$1:E1778))))))</f>
        <v> </v>
      </c>
      <c r="K1779" s="26" t="str">
        <f>IF(OR(E1779="",E1779="!!!",F1779="NEW"),"",INDEX(J$1:J1778,SUMPRODUCT(MAX(ROW(E$1:E1778)*(E1779=E$1:E1778)))))</f>
        <v> </v>
      </c>
      <c r="L1779" s="27"/>
    </row>
    <row r="1780" spans="1:12">
      <c r="A1780" s="20" t="s">
        <v>369</v>
      </c>
      <c r="E1780" s="22">
        <f>IF(D1780="?OLD","!!!","")</f>
        <v/>
      </c>
      <c r="F1780" s="23" t="str">
        <f>IF(OR(E1780="",E1780="!!!"),"",IF(NOT(ISNA(VLOOKUP(E1780,E$1:E1779,1,FALSE()))),"OLD",IF(AND(E1780&lt;&gt;"",E1780&lt;&gt;"!!!"),"NEW","")))</f>
        <v> </v>
      </c>
      <c r="G1780" s="24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5" t="str">
        <f>IF(J1780&lt;&gt;1,"",IF(I1780="SBJ","CB","?"))</f>
        <v> </v>
      </c>
      <c r="I1780" s="26" t="str">
        <f>IF(OR(E1780="",E1780="!!!",F1780="NEW"),"",INDEX(B1779:B$2,-1+SUMPRODUCT(MAX(ROW(E1779:E$2)*(E1780=E1779:E$2)))))</f>
        <v> </v>
      </c>
      <c r="J1780" s="26" t="str">
        <f>IF(OR(E1780="",E1780="!!!",F1780="NEW"),"",COUNTBLANK(OFFSET(A$1,,,SUMPRODUCT(MAX(ROW(E$2:E1780)*(E1780=E$2:E1780)))))-COUNTBLANK(OFFSET(A$1,,,SUMPRODUCT(MAX(ROW(E$1:E1779)*(E2=E$1:E1779))))))</f>
        <v> </v>
      </c>
      <c r="K1780" s="26" t="str">
        <f>IF(OR(E1780="",E1780="!!!",F1780="NEW"),"",INDEX(J$1:J1779,SUMPRODUCT(MAX(ROW(E$1:E1779)*(E1780=E$1:E1779)))))</f>
        <v> </v>
      </c>
      <c r="L1780" s="27"/>
    </row>
    <row r="1781" spans="1:12">
      <c r="A1781" s="20" t="s">
        <v>1090</v>
      </c>
      <c r="E1781" s="22">
        <f>IF(D1781="?OLD","!!!","")</f>
        <v/>
      </c>
      <c r="F1781" s="23" t="str">
        <f>IF(OR(E1781="",E1781="!!!"),"",IF(NOT(ISNA(VLOOKUP(E1781,E$1:E1780,1,FALSE()))),"OLD",IF(AND(E1781&lt;&gt;"",E1781&lt;&gt;"!!!"),"NEW","")))</f>
        <v> </v>
      </c>
      <c r="G1781" s="24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5" t="str">
        <f>IF(J1781&lt;&gt;1,"",IF(I1781="SBJ","CB","?"))</f>
        <v> </v>
      </c>
      <c r="I1781" s="26" t="str">
        <f>IF(OR(E1781="",E1781="!!!",F1781="NEW"),"",INDEX(B1780:B$2,-1+SUMPRODUCT(MAX(ROW(E1780:E$2)*(E1781=E1780:E$2)))))</f>
        <v> </v>
      </c>
      <c r="J1781" s="26" t="str">
        <f>IF(OR(E1781="",E1781="!!!",F1781="NEW"),"",COUNTBLANK(OFFSET(A$1,,,SUMPRODUCT(MAX(ROW(E$2:E1781)*(E1781=E$2:E1781)))))-COUNTBLANK(OFFSET(A$1,,,SUMPRODUCT(MAX(ROW(E$1:E1780)*(E2=E$1:E1780))))))</f>
        <v> </v>
      </c>
      <c r="K1781" s="26" t="str">
        <f>IF(OR(E1781="",E1781="!!!",F1781="NEW"),"",INDEX(J$1:J1780,SUMPRODUCT(MAX(ROW(E$1:E1780)*(E1781=E$1:E1780)))))</f>
        <v> </v>
      </c>
      <c r="L1781" s="27"/>
    </row>
    <row r="1782" spans="1:12">
      <c r="A1782" s="20" t="s">
        <v>778</v>
      </c>
      <c r="E1782" s="22">
        <f>IF(D1782="?OLD","!!!","")</f>
        <v/>
      </c>
      <c r="F1782" s="23" t="str">
        <f>IF(OR(E1782="",E1782="!!!"),"",IF(NOT(ISNA(VLOOKUP(E1782,E$1:E1781,1,FALSE()))),"OLD",IF(AND(E1782&lt;&gt;"",E1782&lt;&gt;"!!!"),"NEW","")))</f>
        <v> </v>
      </c>
      <c r="G1782" s="24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5" t="str">
        <f>IF(J1782&lt;&gt;1,"",IF(I1782="SBJ","CB","?"))</f>
        <v> </v>
      </c>
      <c r="I1782" s="26" t="str">
        <f>IF(OR(E1782="",E1782="!!!",F1782="NEW"),"",INDEX(B1781:B$2,-1+SUMPRODUCT(MAX(ROW(E1781:E$2)*(E1782=E1781:E$2)))))</f>
        <v> </v>
      </c>
      <c r="J1782" s="26" t="str">
        <f>IF(OR(E1782="",E1782="!!!",F1782="NEW"),"",COUNTBLANK(OFFSET(A$1,,,SUMPRODUCT(MAX(ROW(E$2:E1782)*(E1782=E$2:E1782)))))-COUNTBLANK(OFFSET(A$1,,,SUMPRODUCT(MAX(ROW(E$1:E1781)*(E2=E$1:E1781))))))</f>
        <v> </v>
      </c>
      <c r="K1782" s="26" t="str">
        <f>IF(OR(E1782="",E1782="!!!",F1782="NEW"),"",INDEX(J$1:J1781,SUMPRODUCT(MAX(ROW(E$1:E1781)*(E1782=E$1:E1781)))))</f>
        <v> </v>
      </c>
      <c r="L1782" s="27"/>
    </row>
    <row r="1783" spans="1:12">
      <c r="A1783" s="20" t="s">
        <v>583</v>
      </c>
      <c r="E1783" s="22">
        <f>IF(D1783="?OLD","!!!","")</f>
        <v/>
      </c>
      <c r="F1783" s="23" t="str">
        <f>IF(OR(E1783="",E1783="!!!"),"",IF(NOT(ISNA(VLOOKUP(E1783,E$1:E1782,1,FALSE()))),"OLD",IF(AND(E1783&lt;&gt;"",E1783&lt;&gt;"!!!"),"NEW","")))</f>
        <v> </v>
      </c>
      <c r="G1783" s="24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5" t="str">
        <f>IF(J1783&lt;&gt;1,"",IF(I1783="SBJ","CB","?"))</f>
        <v> </v>
      </c>
      <c r="I1783" s="26" t="str">
        <f>IF(OR(E1783="",E1783="!!!",F1783="NEW"),"",INDEX(B1782:B$2,-1+SUMPRODUCT(MAX(ROW(E1782:E$2)*(E1783=E1782:E$2)))))</f>
        <v> </v>
      </c>
      <c r="J1783" s="26" t="str">
        <f>IF(OR(E1783="",E1783="!!!",F1783="NEW"),"",COUNTBLANK(OFFSET(A$1,,,SUMPRODUCT(MAX(ROW(E$2:E1783)*(E1783=E$2:E1783)))))-COUNTBLANK(OFFSET(A$1,,,SUMPRODUCT(MAX(ROW(E$1:E1782)*(E2=E$1:E1782))))))</f>
        <v> </v>
      </c>
      <c r="K1783" s="26" t="str">
        <f>IF(OR(E1783="",E1783="!!!",F1783="NEW"),"",INDEX(J$1:J1782,SUMPRODUCT(MAX(ROW(E$1:E1782)*(E1783=E$1:E1782)))))</f>
        <v> </v>
      </c>
      <c r="L1783" s="27"/>
    </row>
    <row r="1784" spans="1:12">
      <c r="A1784" s="20" t="s">
        <v>733</v>
      </c>
      <c r="E1784" s="22">
        <f>IF(D1784="?OLD","!!!","")</f>
        <v/>
      </c>
      <c r="F1784" s="23" t="str">
        <f>IF(OR(E1784="",E1784="!!!"),"",IF(NOT(ISNA(VLOOKUP(E1784,E$1:E1783,1,FALSE()))),"OLD",IF(AND(E1784&lt;&gt;"",E1784&lt;&gt;"!!!"),"NEW","")))</f>
        <v> </v>
      </c>
      <c r="G1784" s="24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5" t="str">
        <f>IF(J1784&lt;&gt;1,"",IF(I1784="SBJ","CB","?"))</f>
        <v> </v>
      </c>
      <c r="I1784" s="26" t="str">
        <f>IF(OR(E1784="",E1784="!!!",F1784="NEW"),"",INDEX(B1783:B$2,-1+SUMPRODUCT(MAX(ROW(E1783:E$2)*(E1784=E1783:E$2)))))</f>
        <v> </v>
      </c>
      <c r="J1784" s="26" t="str">
        <f>IF(OR(E1784="",E1784="!!!",F1784="NEW"),"",COUNTBLANK(OFFSET(A$1,,,SUMPRODUCT(MAX(ROW(E$2:E1784)*(E1784=E$2:E1784)))))-COUNTBLANK(OFFSET(A$1,,,SUMPRODUCT(MAX(ROW(E$1:E1783)*(E2=E$1:E1783))))))</f>
        <v> </v>
      </c>
      <c r="K1784" s="26" t="str">
        <f>IF(OR(E1784="",E1784="!!!",F1784="NEW"),"",INDEX(J$1:J1783,SUMPRODUCT(MAX(ROW(E$1:E1783)*(E1784=E$1:E1783)))))</f>
        <v> </v>
      </c>
      <c r="L1784" s="27"/>
    </row>
    <row r="1785" spans="1:12">
      <c r="A1785" s="20" t="s">
        <v>1095</v>
      </c>
      <c r="E1785" s="22">
        <f>IF(D1785="?OLD","!!!","")</f>
        <v/>
      </c>
      <c r="F1785" s="23" t="str">
        <f>IF(OR(E1785="",E1785="!!!"),"",IF(NOT(ISNA(VLOOKUP(E1785,E$1:E1784,1,FALSE()))),"OLD",IF(AND(E1785&lt;&gt;"",E1785&lt;&gt;"!!!"),"NEW","")))</f>
        <v> </v>
      </c>
      <c r="G1785" s="24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5" t="str">
        <f>IF(J1785&lt;&gt;1,"",IF(I1785="SBJ","CB","?"))</f>
        <v> </v>
      </c>
      <c r="I1785" s="26" t="str">
        <f>IF(OR(E1785="",E1785="!!!",F1785="NEW"),"",INDEX(B1784:B$2,-1+SUMPRODUCT(MAX(ROW(E1784:E$2)*(E1785=E1784:E$2)))))</f>
        <v> </v>
      </c>
      <c r="J1785" s="26" t="str">
        <f>IF(OR(E1785="",E1785="!!!",F1785="NEW"),"",COUNTBLANK(OFFSET(A$1,,,SUMPRODUCT(MAX(ROW(E$2:E1785)*(E1785=E$2:E1785)))))-COUNTBLANK(OFFSET(A$1,,,SUMPRODUCT(MAX(ROW(E$1:E1784)*(E2=E$1:E1784))))))</f>
        <v> </v>
      </c>
      <c r="K1785" s="26" t="str">
        <f>IF(OR(E1785="",E1785="!!!",F1785="NEW"),"",INDEX(J$1:J1784,SUMPRODUCT(MAX(ROW(E$1:E1784)*(E1785=E$1:E1784)))))</f>
        <v> </v>
      </c>
      <c r="L1785" s="27"/>
    </row>
    <row r="1786" spans="1:12">
      <c r="A1786" s="20" t="s">
        <v>1446</v>
      </c>
      <c r="B1786" s="21" t="s">
        <v>627</v>
      </c>
      <c r="C1786" s="21" t="s">
        <v>628</v>
      </c>
      <c r="D1786" s="21" t="s">
        <v>587</v>
      </c>
      <c r="E1786" s="22">
        <f>IF(D1786="?OLD","!!!","")</f>
        <v/>
      </c>
      <c r="F1786" s="23" t="str">
        <f>IF(OR(E1786="",E1786="!!!"),"",IF(NOT(ISNA(VLOOKUP(E1786,E$1:E1785,1,FALSE()))),"OLD",IF(AND(E1786&lt;&gt;"",E1786&lt;&gt;"!!!"),"NEW","")))</f>
        <v> </v>
      </c>
      <c r="G1786" s="24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5" t="str">
        <f>IF(J1786&lt;&gt;1,"",IF(I1786="SBJ","CB","?"))</f>
        <v> </v>
      </c>
      <c r="I1786" s="26" t="str">
        <f>IF(OR(E1786="",E1786="!!!",F1786="NEW"),"",INDEX(B1785:B$2,-1+SUMPRODUCT(MAX(ROW(E1785:E$2)*(E1786=E1785:E$2)))))</f>
        <v> </v>
      </c>
      <c r="J1786" s="26" t="str">
        <f>IF(OR(E1786="",E1786="!!!",F1786="NEW"),"",COUNTBLANK(OFFSET(A$1,,,SUMPRODUCT(MAX(ROW(E$2:E1786)*(E1786=E$2:E1786)))))-COUNTBLANK(OFFSET(A$1,,,SUMPRODUCT(MAX(ROW(E$1:E1785)*(E2=E$1:E1785))))))</f>
        <v> </v>
      </c>
      <c r="K1786" s="26" t="str">
        <f>IF(OR(E1786="",E1786="!!!",F1786="NEW"),"",INDEX(J$1:J1785,SUMPRODUCT(MAX(ROW(E$1:E1785)*(E1786=E$1:E1785)))))</f>
        <v> </v>
      </c>
      <c r="L1786" s="27"/>
    </row>
    <row r="1787" spans="1:12">
      <c r="A1787" s="20" t="s">
        <v>580</v>
      </c>
      <c r="E1787" s="22">
        <f>IF(D1787="?OLD","!!!","")</f>
        <v/>
      </c>
      <c r="F1787" s="23" t="str">
        <f>IF(OR(E1787="",E1787="!!!"),"",IF(NOT(ISNA(VLOOKUP(E1787,E$1:E1786,1,FALSE()))),"OLD",IF(AND(E1787&lt;&gt;"",E1787&lt;&gt;"!!!"),"NEW","")))</f>
        <v> </v>
      </c>
      <c r="G1787" s="24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5" t="str">
        <f>IF(J1787&lt;&gt;1,"",IF(I1787="SBJ","CB","?"))</f>
        <v> </v>
      </c>
      <c r="I1787" s="26" t="str">
        <f>IF(OR(E1787="",E1787="!!!",F1787="NEW"),"",INDEX(B1786:B$2,-1+SUMPRODUCT(MAX(ROW(E1786:E$2)*(E1787=E1786:E$2)))))</f>
        <v> </v>
      </c>
      <c r="J1787" s="26" t="str">
        <f>IF(OR(E1787="",E1787="!!!",F1787="NEW"),"",COUNTBLANK(OFFSET(A$1,,,SUMPRODUCT(MAX(ROW(E$2:E1787)*(E1787=E$2:E1787)))))-COUNTBLANK(OFFSET(A$1,,,SUMPRODUCT(MAX(ROW(E$1:E1786)*(E2=E$1:E1786))))))</f>
        <v> </v>
      </c>
      <c r="K1787" s="26" t="str">
        <f>IF(OR(E1787="",E1787="!!!",F1787="NEW"),"",INDEX(J$1:J1786,SUMPRODUCT(MAX(ROW(E$1:E1786)*(E1787=E$1:E1786)))))</f>
        <v> </v>
      </c>
      <c r="L1787" s="27"/>
    </row>
    <row r="1788" spans="1:12">
      <c r="A1788" s="20" t="s">
        <v>1447</v>
      </c>
      <c r="B1788" s="21" t="s">
        <v>627</v>
      </c>
      <c r="C1788" s="21" t="s">
        <v>628</v>
      </c>
      <c r="D1788" s="21" t="s">
        <v>587</v>
      </c>
      <c r="E1788" s="22">
        <f>IF(D1788="?OLD","!!!","")</f>
        <v/>
      </c>
      <c r="F1788" s="23" t="str">
        <f>IF(OR(E1788="",E1788="!!!"),"",IF(NOT(ISNA(VLOOKUP(E1788,E$1:E1787,1,FALSE()))),"OLD",IF(AND(E1788&lt;&gt;"",E1788&lt;&gt;"!!!"),"NEW","")))</f>
        <v> </v>
      </c>
      <c r="G1788" s="24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5" t="str">
        <f>IF(J1788&lt;&gt;1,"",IF(I1788="SBJ","CB","?"))</f>
        <v> </v>
      </c>
      <c r="I1788" s="26" t="str">
        <f>IF(OR(E1788="",E1788="!!!",F1788="NEW"),"",INDEX(B1787:B$2,-1+SUMPRODUCT(MAX(ROW(E1787:E$2)*(E1788=E1787:E$2)))))</f>
        <v> </v>
      </c>
      <c r="J1788" s="26" t="str">
        <f>IF(OR(E1788="",E1788="!!!",F1788="NEW"),"",COUNTBLANK(OFFSET(A$1,,,SUMPRODUCT(MAX(ROW(E$2:E1788)*(E1788=E$2:E1788)))))-COUNTBLANK(OFFSET(A$1,,,SUMPRODUCT(MAX(ROW(E$1:E1787)*(E2=E$1:E1787))))))</f>
        <v> </v>
      </c>
      <c r="K1788" s="26" t="str">
        <f>IF(OR(E1788="",E1788="!!!",F1788="NEW"),"",INDEX(J$1:J1787,SUMPRODUCT(MAX(ROW(E$1:E1787)*(E1788=E$1:E1787)))))</f>
        <v> </v>
      </c>
      <c r="L1788" s="27"/>
    </row>
    <row r="1789" spans="1:12">
      <c r="A1789" s="20" t="s">
        <v>583</v>
      </c>
      <c r="E1789" s="22">
        <f>IF(D1789="?OLD","!!!","")</f>
        <v/>
      </c>
      <c r="F1789" s="23" t="str">
        <f>IF(OR(E1789="",E1789="!!!"),"",IF(NOT(ISNA(VLOOKUP(E1789,E$1:E1788,1,FALSE()))),"OLD",IF(AND(E1789&lt;&gt;"",E1789&lt;&gt;"!!!"),"NEW","")))</f>
        <v> </v>
      </c>
      <c r="G1789" s="24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5" t="str">
        <f>IF(J1789&lt;&gt;1,"",IF(I1789="SBJ","CB","?"))</f>
        <v> </v>
      </c>
      <c r="I1789" s="26" t="str">
        <f>IF(OR(E1789="",E1789="!!!",F1789="NEW"),"",INDEX(B1788:B$2,-1+SUMPRODUCT(MAX(ROW(E1788:E$2)*(E1789=E1788:E$2)))))</f>
        <v> </v>
      </c>
      <c r="J1789" s="26" t="str">
        <f>IF(OR(E1789="",E1789="!!!",F1789="NEW"),"",COUNTBLANK(OFFSET(A$1,,,SUMPRODUCT(MAX(ROW(E$2:E1789)*(E1789=E$2:E1789)))))-COUNTBLANK(OFFSET(A$1,,,SUMPRODUCT(MAX(ROW(E$1:E1788)*(E2=E$1:E1788))))))</f>
        <v> </v>
      </c>
      <c r="K1789" s="26" t="str">
        <f>IF(OR(E1789="",E1789="!!!",F1789="NEW"),"",INDEX(J$1:J1788,SUMPRODUCT(MAX(ROW(E$1:E1788)*(E1789=E$1:E1788)))))</f>
        <v> </v>
      </c>
      <c r="L1789" s="27"/>
    </row>
    <row r="1790" spans="1:12">
      <c r="A1790" s="20" t="s">
        <v>1357</v>
      </c>
      <c r="E1790" s="22">
        <f>IF(D1790="?OLD","!!!","")</f>
        <v/>
      </c>
      <c r="F1790" s="23" t="str">
        <f>IF(OR(E1790="",E1790="!!!"),"",IF(NOT(ISNA(VLOOKUP(E1790,E$1:E1789,1,FALSE()))),"OLD",IF(AND(E1790&lt;&gt;"",E1790&lt;&gt;"!!!"),"NEW","")))</f>
        <v> </v>
      </c>
      <c r="G1790" s="24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5" t="str">
        <f>IF(J1790&lt;&gt;1,"",IF(I1790="SBJ","CB","?"))</f>
        <v> </v>
      </c>
      <c r="I1790" s="26" t="str">
        <f>IF(OR(E1790="",E1790="!!!",F1790="NEW"),"",INDEX(B1789:B$2,-1+SUMPRODUCT(MAX(ROW(E1789:E$2)*(E1790=E1789:E$2)))))</f>
        <v> </v>
      </c>
      <c r="J1790" s="26" t="str">
        <f>IF(OR(E1790="",E1790="!!!",F1790="NEW"),"",COUNTBLANK(OFFSET(A$1,,,SUMPRODUCT(MAX(ROW(E$2:E1790)*(E1790=E$2:E1790)))))-COUNTBLANK(OFFSET(A$1,,,SUMPRODUCT(MAX(ROW(E$1:E1789)*(E2=E$1:E1789))))))</f>
        <v> </v>
      </c>
      <c r="K1790" s="26" t="str">
        <f>IF(OR(E1790="",E1790="!!!",F1790="NEW"),"",INDEX(J$1:J1789,SUMPRODUCT(MAX(ROW(E$1:E1789)*(E1790=E$1:E1789)))))</f>
        <v> </v>
      </c>
      <c r="L1790" s="27"/>
    </row>
    <row r="1791" spans="1:12">
      <c r="A1791" s="20" t="s">
        <v>1095</v>
      </c>
      <c r="B1791" s="21" t="s">
        <v>762</v>
      </c>
      <c r="E1791" s="22">
        <f>IF(D1791="?OLD","!!!","")</f>
        <v/>
      </c>
      <c r="F1791" s="23" t="str">
        <f>IF(OR(E1791="",E1791="!!!"),"",IF(NOT(ISNA(VLOOKUP(E1791,E$1:E1790,1,FALSE()))),"OLD",IF(AND(E1791&lt;&gt;"",E1791&lt;&gt;"!!!"),"NEW","")))</f>
        <v> </v>
      </c>
      <c r="G1791" s="24" t="str">
        <f>IF(OR(E1791="",E1791="!!!"),"",IF(OR(J1791=0,AND(J1791=1,K1791=1),AND(J1791=1,I1791="SBJ"),AND(J1791=1,I1791=0)),"?IN_FOCUS",IF(J1791&lt;=2,"?ACTIVATED",IF(J1791&lt;&gt;"","?FAMILIAR",IF(F1791="NEW",IF(ISNA(VLOOKUP(E1791,#REF!,1,FALSE())),"?TYPE_IDENTIFIABLE","?REFERENTIAL"),"_")))))</f>
        <v> </v>
      </c>
      <c r="H1791" s="25" t="str">
        <f>IF(J1791&lt;&gt;1,"",IF(I1791="SBJ","CB","?"))</f>
        <v> </v>
      </c>
      <c r="I1791" s="26" t="str">
        <f>IF(OR(E1791="",E1791="!!!",F1791="NEW"),"",INDEX(B1790:B$2,-1+SUMPRODUCT(MAX(ROW(E1790:E$2)*(E1791=E1790:E$2)))))</f>
        <v> </v>
      </c>
      <c r="J1791" s="26" t="str">
        <f>IF(OR(E1791="",E1791="!!!",F1791="NEW"),"",COUNTBLANK(OFFSET(A$1,,,SUMPRODUCT(MAX(ROW(E$2:E1791)*(E1791=E$2:E1791)))))-COUNTBLANK(OFFSET(A$1,,,SUMPRODUCT(MAX(ROW(E$1:E1790)*(E2=E$1:E1790))))))</f>
        <v> </v>
      </c>
      <c r="K1791" s="26" t="str">
        <f>IF(OR(E1791="",E1791="!!!",F1791="NEW"),"",INDEX(J$1:J1790,SUMPRODUCT(MAX(ROW(E$1:E1790)*(E1791=E$1:E1790)))))</f>
        <v> </v>
      </c>
      <c r="L1791" s="27"/>
    </row>
    <row r="1792" spans="1:12">
      <c r="A1792" s="20" t="s">
        <v>583</v>
      </c>
      <c r="E1792" s="22">
        <f>IF(D1792="?OLD","!!!","")</f>
        <v/>
      </c>
      <c r="F1792" s="23" t="str">
        <f>IF(OR(E1792="",E1792="!!!"),"",IF(NOT(ISNA(VLOOKUP(E1792,E$1:E1791,1,FALSE()))),"OLD",IF(AND(E1792&lt;&gt;"",E1792&lt;&gt;"!!!"),"NEW","")))</f>
        <v> </v>
      </c>
      <c r="G1792" s="24" t="str">
        <f>IF(OR(E1792="",E1792="!!!"),"",IF(OR(J1792=0,AND(J1792=1,K1792=1),AND(J1792=1,I1792="SBJ"),AND(J1792=1,I1792=0)),"?IN_FOCUS",IF(J1792&lt;=2,"?ACTIVATED",IF(J1792&lt;&gt;"","?FAMILIAR",IF(F1792="NEW",IF(ISNA(VLOOKUP(E1792,#REF!,1,FALSE())),"?TYPE_IDENTIFIABLE","?REFERENTIAL"),"_")))))</f>
        <v> </v>
      </c>
      <c r="H1792" s="25" t="str">
        <f>IF(J1792&lt;&gt;1,"",IF(I1792="SBJ","CB","?"))</f>
        <v> </v>
      </c>
      <c r="I1792" s="26" t="str">
        <f>IF(OR(E1792="",E1792="!!!",F1792="NEW"),"",INDEX(B1791:B$2,-1+SUMPRODUCT(MAX(ROW(E1791:E$2)*(E1792=E1791:E$2)))))</f>
        <v> </v>
      </c>
      <c r="J1792" s="26" t="str">
        <f>IF(OR(E1792="",E1792="!!!",F1792="NEW"),"",COUNTBLANK(OFFSET(A$1,,,SUMPRODUCT(MAX(ROW(E$2:E1792)*(E1792=E$2:E1792)))))-COUNTBLANK(OFFSET(A$1,,,SUMPRODUCT(MAX(ROW(E$1:E1791)*(E2=E$1:E1791))))))</f>
        <v> </v>
      </c>
      <c r="K1792" s="26" t="str">
        <f>IF(OR(E1792="",E1792="!!!",F1792="NEW"),"",INDEX(J$1:J1791,SUMPRODUCT(MAX(ROW(E$1:E1791)*(E1792=E$1:E1791)))))</f>
        <v> </v>
      </c>
      <c r="L1792" s="27"/>
    </row>
    <row r="1793" spans="1:12">
      <c r="A1793" s="20" t="s">
        <v>1448</v>
      </c>
      <c r="E1793" s="22">
        <f>IF(D1793="?OLD","!!!","")</f>
        <v/>
      </c>
      <c r="F1793" s="23" t="str">
        <f>IF(OR(E1793="",E1793="!!!"),"",IF(NOT(ISNA(VLOOKUP(E1793,E$1:E1792,1,FALSE()))),"OLD",IF(AND(E1793&lt;&gt;"",E1793&lt;&gt;"!!!"),"NEW","")))</f>
        <v> </v>
      </c>
      <c r="G1793" s="24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5" t="str">
        <f>IF(J1793&lt;&gt;1,"",IF(I1793="SBJ","CB","?"))</f>
        <v> </v>
      </c>
      <c r="I1793" s="26" t="str">
        <f>IF(OR(E1793="",E1793="!!!",F1793="NEW"),"",INDEX(B1792:B$2,-1+SUMPRODUCT(MAX(ROW(E1792:E$2)*(E1793=E1792:E$2)))))</f>
        <v> </v>
      </c>
      <c r="J1793" s="26" t="str">
        <f>IF(OR(E1793="",E1793="!!!",F1793="NEW"),"",COUNTBLANK(OFFSET(A$1,,,SUMPRODUCT(MAX(ROW(E$2:E1793)*(E1793=E$2:E1793)))))-COUNTBLANK(OFFSET(A$1,,,SUMPRODUCT(MAX(ROW(E$1:E1792)*(E2=E$1:E1792))))))</f>
        <v> </v>
      </c>
      <c r="K1793" s="26" t="str">
        <f>IF(OR(E1793="",E1793="!!!",F1793="NEW"),"",INDEX(J$1:J1792,SUMPRODUCT(MAX(ROW(E$1:E1792)*(E1793=E$1:E1792)))))</f>
        <v> </v>
      </c>
      <c r="L1793" s="27"/>
    </row>
    <row r="1794" spans="1:12">
      <c r="A1794" s="20" t="s">
        <v>1449</v>
      </c>
      <c r="B1794" s="21" t="s">
        <v>722</v>
      </c>
      <c r="C1794" s="21" t="s">
        <v>613</v>
      </c>
      <c r="D1794" s="21" t="s">
        <v>587</v>
      </c>
      <c r="E1794" s="22">
        <f>IF(D1794="?OLD","!!!","")</f>
        <v/>
      </c>
      <c r="F1794" s="23" t="str">
        <f>IF(OR(E1794="",E1794="!!!"),"",IF(NOT(ISNA(VLOOKUP(E1794,E$1:E1793,1,FALSE()))),"OLD",IF(AND(E1794&lt;&gt;"",E1794&lt;&gt;"!!!"),"NEW","")))</f>
        <v> </v>
      </c>
      <c r="G1794" s="24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5" t="str">
        <f>IF(J1794&lt;&gt;1,"",IF(I1794="SBJ","CB","?"))</f>
        <v> </v>
      </c>
      <c r="I1794" s="26" t="str">
        <f>IF(OR(E1794="",E1794="!!!",F1794="NEW"),"",INDEX(B1793:B$2,-1+SUMPRODUCT(MAX(ROW(E1793:E$2)*(E1794=E1793:E$2)))))</f>
        <v> </v>
      </c>
      <c r="J1794" s="26" t="str">
        <f>IF(OR(E1794="",E1794="!!!",F1794="NEW"),"",COUNTBLANK(OFFSET(A$1,,,SUMPRODUCT(MAX(ROW(E$2:E1794)*(E1794=E$2:E1794)))))-COUNTBLANK(OFFSET(A$1,,,SUMPRODUCT(MAX(ROW(E$1:E1793)*(E2=E$1:E1793))))))</f>
        <v> </v>
      </c>
      <c r="K1794" s="26" t="str">
        <f>IF(OR(E1794="",E1794="!!!",F1794="NEW"),"",INDEX(J$1:J1793,SUMPRODUCT(MAX(ROW(E$1:E1793)*(E1794=E$1:E1793)))))</f>
        <v> </v>
      </c>
      <c r="L1794" s="27"/>
    </row>
    <row r="1795" spans="1:12">
      <c r="A1795" s="20" t="s">
        <v>583</v>
      </c>
      <c r="E1795" s="22">
        <f>IF(D1795="?OLD","!!!","")</f>
        <v/>
      </c>
      <c r="F1795" s="23" t="str">
        <f>IF(OR(E1795="",E1795="!!!"),"",IF(NOT(ISNA(VLOOKUP(E1795,E$1:E1794,1,FALSE()))),"OLD",IF(AND(E1795&lt;&gt;"",E1795&lt;&gt;"!!!"),"NEW","")))</f>
        <v> </v>
      </c>
      <c r="G1795" s="24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5" t="str">
        <f>IF(J1795&lt;&gt;1,"",IF(I1795="SBJ","CB","?"))</f>
        <v> </v>
      </c>
      <c r="I1795" s="26" t="str">
        <f>IF(OR(E1795="",E1795="!!!",F1795="NEW"),"",INDEX(B1794:B$2,-1+SUMPRODUCT(MAX(ROW(E1794:E$2)*(E1795=E1794:E$2)))))</f>
        <v> </v>
      </c>
      <c r="J1795" s="26" t="str">
        <f>IF(OR(E1795="",E1795="!!!",F1795="NEW"),"",COUNTBLANK(OFFSET(A$1,,,SUMPRODUCT(MAX(ROW(E$2:E1795)*(E1795=E$2:E1795)))))-COUNTBLANK(OFFSET(A$1,,,SUMPRODUCT(MAX(ROW(E$1:E1794)*(E2=E$1:E1794))))))</f>
        <v> </v>
      </c>
      <c r="K1795" s="26" t="str">
        <f>IF(OR(E1795="",E1795="!!!",F1795="NEW"),"",INDEX(J$1:J1794,SUMPRODUCT(MAX(ROW(E$1:E1794)*(E1795=E$1:E1794)))))</f>
        <v> </v>
      </c>
      <c r="L1795" s="27"/>
    </row>
    <row r="1796" spans="1:12">
      <c r="A1796" s="20" t="s">
        <v>1450</v>
      </c>
      <c r="E1796" s="22">
        <f>IF(D1796="?OLD","!!!","")</f>
        <v/>
      </c>
      <c r="F1796" s="23" t="str">
        <f>IF(OR(E1796="",E1796="!!!"),"",IF(NOT(ISNA(VLOOKUP(E1796,E$1:E1795,1,FALSE()))),"OLD",IF(AND(E1796&lt;&gt;"",E1796&lt;&gt;"!!!"),"NEW","")))</f>
        <v> </v>
      </c>
      <c r="G1796" s="24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5" t="str">
        <f>IF(J1796&lt;&gt;1,"",IF(I1796="SBJ","CB","?"))</f>
        <v> </v>
      </c>
      <c r="I1796" s="26" t="str">
        <f>IF(OR(E1796="",E1796="!!!",F1796="NEW"),"",INDEX(B1795:B$2,-1+SUMPRODUCT(MAX(ROW(E1795:E$2)*(E1796=E1795:E$2)))))</f>
        <v> </v>
      </c>
      <c r="J1796" s="26" t="str">
        <f>IF(OR(E1796="",E1796="!!!",F1796="NEW"),"",COUNTBLANK(OFFSET(A$1,,,SUMPRODUCT(MAX(ROW(E$2:E1796)*(E1796=E$2:E1796)))))-COUNTBLANK(OFFSET(A$1,,,SUMPRODUCT(MAX(ROW(E$1:E1795)*(E2=E$1:E1795))))))</f>
        <v> </v>
      </c>
      <c r="K1796" s="26" t="str">
        <f>IF(OR(E1796="",E1796="!!!",F1796="NEW"),"",INDEX(J$1:J1795,SUMPRODUCT(MAX(ROW(E$1:E1795)*(E1796=E$1:E1795)))))</f>
        <v> </v>
      </c>
      <c r="L1796" s="27"/>
    </row>
    <row r="1797" spans="1:12">
      <c r="A1797" s="20" t="s">
        <v>597</v>
      </c>
      <c r="E1797" s="22">
        <f>IF(D1797="?OLD","!!!","")</f>
        <v/>
      </c>
      <c r="F1797" s="23" t="str">
        <f>IF(OR(E1797="",E1797="!!!"),"",IF(NOT(ISNA(VLOOKUP(E1797,E$1:E1796,1,FALSE()))),"OLD",IF(AND(E1797&lt;&gt;"",E1797&lt;&gt;"!!!"),"NEW","")))</f>
        <v> </v>
      </c>
      <c r="G1797" s="24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5" t="str">
        <f>IF(J1797&lt;&gt;1,"",IF(I1797="SBJ","CB","?"))</f>
        <v> </v>
      </c>
      <c r="I1797" s="26" t="str">
        <f>IF(OR(E1797="",E1797="!!!",F1797="NEW"),"",INDEX(B1796:B$2,-1+SUMPRODUCT(MAX(ROW(E1796:E$2)*(E1797=E1796:E$2)))))</f>
        <v> </v>
      </c>
      <c r="J1797" s="26" t="str">
        <f>IF(OR(E1797="",E1797="!!!",F1797="NEW"),"",COUNTBLANK(OFFSET(A$1,,,SUMPRODUCT(MAX(ROW(E$2:E1797)*(E1797=E$2:E1797)))))-COUNTBLANK(OFFSET(A$1,,,SUMPRODUCT(MAX(ROW(E$1:E1796)*(E2=E$1:E1796))))))</f>
        <v> </v>
      </c>
      <c r="K1797" s="26" t="str">
        <f>IF(OR(E1797="",E1797="!!!",F1797="NEW"),"",INDEX(J$1:J1796,SUMPRODUCT(MAX(ROW(E$1:E1796)*(E1797=E$1:E1796)))))</f>
        <v> </v>
      </c>
      <c r="L1797" s="27"/>
    </row>
    <row r="1798" spans="1:12">
      <c r="A1798" s="20" t="s">
        <v>682</v>
      </c>
      <c r="E1798" s="22">
        <f>IF(D1798="?OLD","!!!","")</f>
        <v/>
      </c>
      <c r="F1798" s="23" t="str">
        <f>IF(OR(E1798="",E1798="!!!"),"",IF(NOT(ISNA(VLOOKUP(E1798,E$1:E1797,1,FALSE()))),"OLD",IF(AND(E1798&lt;&gt;"",E1798&lt;&gt;"!!!"),"NEW","")))</f>
        <v> </v>
      </c>
      <c r="G1798" s="24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5" t="str">
        <f>IF(J1798&lt;&gt;1,"",IF(I1798="SBJ","CB","?"))</f>
        <v> </v>
      </c>
      <c r="I1798" s="26" t="str">
        <f>IF(OR(E1798="",E1798="!!!",F1798="NEW"),"",INDEX(B1797:B$2,-1+SUMPRODUCT(MAX(ROW(E1797:E$2)*(E1798=E1797:E$2)))))</f>
        <v> </v>
      </c>
      <c r="J1798" s="26" t="str">
        <f>IF(OR(E1798="",E1798="!!!",F1798="NEW"),"",COUNTBLANK(OFFSET(A$1,,,SUMPRODUCT(MAX(ROW(E$2:E1798)*(E1798=E$2:E1798)))))-COUNTBLANK(OFFSET(A$1,,,SUMPRODUCT(MAX(ROW(E$1:E1797)*(E2=E$1:E1797))))))</f>
        <v> </v>
      </c>
      <c r="K1798" s="26" t="str">
        <f>IF(OR(E1798="",E1798="!!!",F1798="NEW"),"",INDEX(J$1:J1797,SUMPRODUCT(MAX(ROW(E$1:E1797)*(E1798=E$1:E1797)))))</f>
        <v> </v>
      </c>
      <c r="L1798" s="27"/>
    </row>
    <row r="1799" spans="1:12">
      <c r="A1799" s="20" t="s">
        <v>1451</v>
      </c>
      <c r="E1799" s="22">
        <f>IF(D1799="?OLD","!!!","")</f>
        <v/>
      </c>
      <c r="F1799" s="23" t="str">
        <f>IF(OR(E1799="",E1799="!!!"),"",IF(NOT(ISNA(VLOOKUP(E1799,E$1:E1798,1,FALSE()))),"OLD",IF(AND(E1799&lt;&gt;"",E1799&lt;&gt;"!!!"),"NEW","")))</f>
        <v> </v>
      </c>
      <c r="G1799" s="24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5" t="str">
        <f>IF(J1799&lt;&gt;1,"",IF(I1799="SBJ","CB","?"))</f>
        <v> </v>
      </c>
      <c r="I1799" s="26" t="str">
        <f>IF(OR(E1799="",E1799="!!!",F1799="NEW"),"",INDEX(B1798:B$2,-1+SUMPRODUCT(MAX(ROW(E1798:E$2)*(E1799=E1798:E$2)))))</f>
        <v> </v>
      </c>
      <c r="J1799" s="26" t="str">
        <f>IF(OR(E1799="",E1799="!!!",F1799="NEW"),"",COUNTBLANK(OFFSET(A$1,,,SUMPRODUCT(MAX(ROW(E$2:E1799)*(E1799=E$2:E1799)))))-COUNTBLANK(OFFSET(A$1,,,SUMPRODUCT(MAX(ROW(E$1:E1798)*(E2=E$1:E1798))))))</f>
        <v> </v>
      </c>
      <c r="K1799" s="26" t="str">
        <f>IF(OR(E1799="",E1799="!!!",F1799="NEW"),"",INDEX(J$1:J1798,SUMPRODUCT(MAX(ROW(E$1:E1798)*(E1799=E$1:E1798)))))</f>
        <v> </v>
      </c>
      <c r="L1799" s="27"/>
    </row>
    <row r="1800" spans="1:12">
      <c r="A1800" s="20" t="s">
        <v>873</v>
      </c>
      <c r="E1800" s="22">
        <f>IF(D1800="?OLD","!!!","")</f>
        <v/>
      </c>
      <c r="F1800" s="23" t="str">
        <f>IF(OR(E1800="",E1800="!!!"),"",IF(NOT(ISNA(VLOOKUP(E1800,E$1:E1799,1,FALSE()))),"OLD",IF(AND(E1800&lt;&gt;"",E1800&lt;&gt;"!!!"),"NEW","")))</f>
        <v> </v>
      </c>
      <c r="G1800" s="24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5" t="str">
        <f>IF(J1800&lt;&gt;1,"",IF(I1800="SBJ","CB","?"))</f>
        <v> </v>
      </c>
      <c r="I1800" s="26" t="str">
        <f>IF(OR(E1800="",E1800="!!!",F1800="NEW"),"",INDEX(B1799:B$2,-1+SUMPRODUCT(MAX(ROW(E1799:E$2)*(E1800=E1799:E$2)))))</f>
        <v> </v>
      </c>
      <c r="J1800" s="26" t="str">
        <f>IF(OR(E1800="",E1800="!!!",F1800="NEW"),"",COUNTBLANK(OFFSET(A$1,,,SUMPRODUCT(MAX(ROW(E$2:E1800)*(E1800=E$2:E1800)))))-COUNTBLANK(OFFSET(A$1,,,SUMPRODUCT(MAX(ROW(E$1:E1799)*(E2=E$1:E1799))))))</f>
        <v> </v>
      </c>
      <c r="K1800" s="26" t="str">
        <f>IF(OR(E1800="",E1800="!!!",F1800="NEW"),"",INDEX(J$1:J1799,SUMPRODUCT(MAX(ROW(E$1:E1799)*(E1800=E$1:E1799)))))</f>
        <v> </v>
      </c>
      <c r="L1800" s="27"/>
    </row>
    <row r="1801" spans="1:12">
      <c r="A1801" s="20" t="s">
        <v>1257</v>
      </c>
      <c r="E1801" s="22">
        <f>IF(D1801="?OLD","!!!","")</f>
        <v/>
      </c>
      <c r="F1801" s="23" t="str">
        <f>IF(OR(E1801="",E1801="!!!"),"",IF(NOT(ISNA(VLOOKUP(E1801,E$1:E1800,1,FALSE()))),"OLD",IF(AND(E1801&lt;&gt;"",E1801&lt;&gt;"!!!"),"NEW","")))</f>
        <v> </v>
      </c>
      <c r="G1801" s="24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5" t="str">
        <f>IF(J1801&lt;&gt;1,"",IF(I1801="SBJ","CB","?"))</f>
        <v> </v>
      </c>
      <c r="I1801" s="26" t="str">
        <f>IF(OR(E1801="",E1801="!!!",F1801="NEW"),"",INDEX(B1800:B$2,-1+SUMPRODUCT(MAX(ROW(E1800:E$2)*(E1801=E1800:E$2)))))</f>
        <v> </v>
      </c>
      <c r="J1801" s="26" t="str">
        <f>IF(OR(E1801="",E1801="!!!",F1801="NEW"),"",COUNTBLANK(OFFSET(A$1,,,SUMPRODUCT(MAX(ROW(E$2:E1801)*(E1801=E$2:E1801)))))-COUNTBLANK(OFFSET(A$1,,,SUMPRODUCT(MAX(ROW(E$1:E1800)*(E2=E$1:E1800))))))</f>
        <v> </v>
      </c>
      <c r="K1801" s="26" t="str">
        <f>IF(OR(E1801="",E1801="!!!",F1801="NEW"),"",INDEX(J$1:J1800,SUMPRODUCT(MAX(ROW(E$1:E1800)*(E1801=E$1:E1800)))))</f>
        <v> </v>
      </c>
      <c r="L1801" s="27"/>
    </row>
    <row r="1802" spans="1:12">
      <c r="A1802" s="20" t="s">
        <v>753</v>
      </c>
      <c r="E1802" s="22">
        <f>IF(D1802="?OLD","!!!","")</f>
        <v/>
      </c>
      <c r="F1802" s="23" t="str">
        <f>IF(OR(E1802="",E1802="!!!"),"",IF(NOT(ISNA(VLOOKUP(E1802,E$1:E1801,1,FALSE()))),"OLD",IF(AND(E1802&lt;&gt;"",E1802&lt;&gt;"!!!"),"NEW","")))</f>
        <v> </v>
      </c>
      <c r="G1802" s="24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5" t="str">
        <f>IF(J1802&lt;&gt;1,"",IF(I1802="SBJ","CB","?"))</f>
        <v> </v>
      </c>
      <c r="I1802" s="26" t="str">
        <f>IF(OR(E1802="",E1802="!!!",F1802="NEW"),"",INDEX(B1801:B$2,-1+SUMPRODUCT(MAX(ROW(E1801:E$2)*(E1802=E1801:E$2)))))</f>
        <v> </v>
      </c>
      <c r="J1802" s="26" t="str">
        <f>IF(OR(E1802="",E1802="!!!",F1802="NEW"),"",COUNTBLANK(OFFSET(A$1,,,SUMPRODUCT(MAX(ROW(E$2:E1802)*(E1802=E$2:E1802)))))-COUNTBLANK(OFFSET(A$1,,,SUMPRODUCT(MAX(ROW(E$1:E1801)*(E2=E$1:E1801))))))</f>
        <v> </v>
      </c>
      <c r="K1802" s="26" t="str">
        <f>IF(OR(E1802="",E1802="!!!",F1802="NEW"),"",INDEX(J$1:J1801,SUMPRODUCT(MAX(ROW(E$1:E1801)*(E1802=E$1:E1801)))))</f>
        <v> </v>
      </c>
      <c r="L1802" s="27"/>
    </row>
    <row r="1803" spans="1:12">
      <c r="A1803" s="20" t="s">
        <v>1278</v>
      </c>
      <c r="E1803" s="22">
        <f>IF(D1803="?OLD","!!!","")</f>
        <v/>
      </c>
      <c r="F1803" s="23" t="str">
        <f>IF(OR(E1803="",E1803="!!!"),"",IF(NOT(ISNA(VLOOKUP(E1803,E$1:E1802,1,FALSE()))),"OLD",IF(AND(E1803&lt;&gt;"",E1803&lt;&gt;"!!!"),"NEW","")))</f>
        <v> </v>
      </c>
      <c r="G1803" s="24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5" t="str">
        <f>IF(J1803&lt;&gt;1,"",IF(I1803="SBJ","CB","?"))</f>
        <v> </v>
      </c>
      <c r="I1803" s="26" t="str">
        <f>IF(OR(E1803="",E1803="!!!",F1803="NEW"),"",INDEX(B1802:B$2,-1+SUMPRODUCT(MAX(ROW(E1802:E$2)*(E1803=E1802:E$2)))))</f>
        <v> </v>
      </c>
      <c r="J1803" s="26" t="str">
        <f>IF(OR(E1803="",E1803="!!!",F1803="NEW"),"",COUNTBLANK(OFFSET(A$1,,,SUMPRODUCT(MAX(ROW(E$2:E1803)*(E1803=E$2:E1803)))))-COUNTBLANK(OFFSET(A$1,,,SUMPRODUCT(MAX(ROW(E$1:E1802)*(E2=E$1:E1802))))))</f>
        <v> </v>
      </c>
      <c r="K1803" s="26" t="str">
        <f>IF(OR(E1803="",E1803="!!!",F1803="NEW"),"",INDEX(J$1:J1802,SUMPRODUCT(MAX(ROW(E$1:E1802)*(E1803=E$1:E1802)))))</f>
        <v> </v>
      </c>
      <c r="L1803" s="27"/>
    </row>
    <row r="1804" spans="1:12">
      <c r="A1804" s="20" t="s">
        <v>630</v>
      </c>
      <c r="E1804" s="22">
        <f>IF(D1804="?OLD","!!!","")</f>
        <v/>
      </c>
      <c r="F1804" s="23" t="str">
        <f>IF(OR(E1804="",E1804="!!!"),"",IF(NOT(ISNA(VLOOKUP(E1804,E$1:E1803,1,FALSE()))),"OLD",IF(AND(E1804&lt;&gt;"",E1804&lt;&gt;"!!!"),"NEW","")))</f>
        <v> </v>
      </c>
      <c r="G1804" s="24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5" t="str">
        <f>IF(J1804&lt;&gt;1,"",IF(I1804="SBJ","CB","?"))</f>
        <v> </v>
      </c>
      <c r="I1804" s="26" t="str">
        <f>IF(OR(E1804="",E1804="!!!",F1804="NEW"),"",INDEX(B1803:B$2,-1+SUMPRODUCT(MAX(ROW(E1803:E$2)*(E1804=E1803:E$2)))))</f>
        <v> </v>
      </c>
      <c r="J1804" s="26" t="str">
        <f>IF(OR(E1804="",E1804="!!!",F1804="NEW"),"",COUNTBLANK(OFFSET(A$1,,,SUMPRODUCT(MAX(ROW(E$2:E1804)*(E1804=E$2:E1804)))))-COUNTBLANK(OFFSET(A$1,,,SUMPRODUCT(MAX(ROW(E$1:E1803)*(E2=E$1:E1803))))))</f>
        <v> </v>
      </c>
      <c r="K1804" s="26" t="str">
        <f>IF(OR(E1804="",E1804="!!!",F1804="NEW"),"",INDEX(J$1:J1803,SUMPRODUCT(MAX(ROW(E$1:E1803)*(E1804=E$1:E1803)))))</f>
        <v> </v>
      </c>
      <c r="L1804" s="27"/>
    </row>
    <row r="1805" spans="1:12">
      <c r="A1805" s="20" t="s">
        <v>1452</v>
      </c>
      <c r="E1805" s="22">
        <f>IF(D1805="?OLD","!!!","")</f>
        <v/>
      </c>
      <c r="F1805" s="23" t="str">
        <f>IF(OR(E1805="",E1805="!!!"),"",IF(NOT(ISNA(VLOOKUP(E1805,E$1:E1804,1,FALSE()))),"OLD",IF(AND(E1805&lt;&gt;"",E1805&lt;&gt;"!!!"),"NEW","")))</f>
        <v> </v>
      </c>
      <c r="G1805" s="24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5" t="str">
        <f>IF(J1805&lt;&gt;1,"",IF(I1805="SBJ","CB","?"))</f>
        <v> </v>
      </c>
      <c r="I1805" s="26" t="str">
        <f>IF(OR(E1805="",E1805="!!!",F1805="NEW"),"",INDEX(B1804:B$2,-1+SUMPRODUCT(MAX(ROW(E1804:E$2)*(E1805=E1804:E$2)))))</f>
        <v> </v>
      </c>
      <c r="J1805" s="26" t="str">
        <f>IF(OR(E1805="",E1805="!!!",F1805="NEW"),"",COUNTBLANK(OFFSET(A$1,,,SUMPRODUCT(MAX(ROW(E$2:E1805)*(E1805=E$2:E1805)))))-COUNTBLANK(OFFSET(A$1,,,SUMPRODUCT(MAX(ROW(E$1:E1804)*(E2=E$1:E1804))))))</f>
        <v> </v>
      </c>
      <c r="K1805" s="26" t="str">
        <f>IF(OR(E1805="",E1805="!!!",F1805="NEW"),"",INDEX(J$1:J1804,SUMPRODUCT(MAX(ROW(E$1:E1804)*(E1805=E$1:E1804)))))</f>
        <v> </v>
      </c>
      <c r="L1805" s="27"/>
    </row>
    <row r="1806" spans="1:12">
      <c r="A1806" s="20" t="s">
        <v>1453</v>
      </c>
      <c r="E1806" s="22">
        <f>IF(D1806="?OLD","!!!","")</f>
        <v/>
      </c>
      <c r="F1806" s="23" t="str">
        <f>IF(OR(E1806="",E1806="!!!"),"",IF(NOT(ISNA(VLOOKUP(E1806,E$1:E1805,1,FALSE()))),"OLD",IF(AND(E1806&lt;&gt;"",E1806&lt;&gt;"!!!"),"NEW","")))</f>
        <v> </v>
      </c>
      <c r="G1806" s="24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5" t="str">
        <f>IF(J1806&lt;&gt;1,"",IF(I1806="SBJ","CB","?"))</f>
        <v> </v>
      </c>
      <c r="I1806" s="26" t="str">
        <f>IF(OR(E1806="",E1806="!!!",F1806="NEW"),"",INDEX(B1805:B$2,-1+SUMPRODUCT(MAX(ROW(E1805:E$2)*(E1806=E1805:E$2)))))</f>
        <v> </v>
      </c>
      <c r="J1806" s="26" t="str">
        <f>IF(OR(E1806="",E1806="!!!",F1806="NEW"),"",COUNTBLANK(OFFSET(A$1,,,SUMPRODUCT(MAX(ROW(E$2:E1806)*(E1806=E$2:E1806)))))-COUNTBLANK(OFFSET(A$1,,,SUMPRODUCT(MAX(ROW(E$1:E1805)*(E2=E$1:E1805))))))</f>
        <v> </v>
      </c>
      <c r="K1806" s="26" t="str">
        <f>IF(OR(E1806="",E1806="!!!",F1806="NEW"),"",INDEX(J$1:J1805,SUMPRODUCT(MAX(ROW(E$1:E1805)*(E1806=E$1:E1805)))))</f>
        <v> </v>
      </c>
      <c r="L1806" s="27"/>
    </row>
    <row r="1807" spans="1:12">
      <c r="A1807" s="20" t="s">
        <v>917</v>
      </c>
      <c r="B1807" s="21" t="s">
        <v>830</v>
      </c>
      <c r="E1807" s="22">
        <f>IF(D1807="?OLD","!!!","")</f>
        <v/>
      </c>
      <c r="F1807" s="23" t="str">
        <f>IF(OR(E1807="",E1807="!!!"),"",IF(NOT(ISNA(VLOOKUP(E1807,E$1:E1806,1,FALSE()))),"OLD",IF(AND(E1807&lt;&gt;"",E1807&lt;&gt;"!!!"),"NEW","")))</f>
        <v> </v>
      </c>
      <c r="G1807" s="24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5" t="str">
        <f>IF(J1807&lt;&gt;1,"",IF(I1807="SBJ","CB","?"))</f>
        <v> </v>
      </c>
      <c r="I1807" s="26" t="str">
        <f>IF(OR(E1807="",E1807="!!!",F1807="NEW"),"",INDEX(B1806:B$2,-1+SUMPRODUCT(MAX(ROW(E1806:E$2)*(E1807=E1806:E$2)))))</f>
        <v> </v>
      </c>
      <c r="J1807" s="26" t="str">
        <f>IF(OR(E1807="",E1807="!!!",F1807="NEW"),"",COUNTBLANK(OFFSET(A$1,,,SUMPRODUCT(MAX(ROW(E$2:E1807)*(E1807=E$2:E1807)))))-COUNTBLANK(OFFSET(A$1,,,SUMPRODUCT(MAX(ROW(E$1:E1806)*(E2=E$1:E1806))))))</f>
        <v> </v>
      </c>
      <c r="K1807" s="26" t="str">
        <f>IF(OR(E1807="",E1807="!!!",F1807="NEW"),"",INDEX(J$1:J1806,SUMPRODUCT(MAX(ROW(E$1:E1806)*(E1807=E$1:E1806)))))</f>
        <v> </v>
      </c>
      <c r="L1807" s="27"/>
    </row>
    <row r="1808" spans="1:12">
      <c r="A1808" s="20" t="s">
        <v>597</v>
      </c>
      <c r="E1808" s="22">
        <f>IF(D1808="?OLD","!!!","")</f>
        <v/>
      </c>
      <c r="F1808" s="23" t="str">
        <f>IF(OR(E1808="",E1808="!!!"),"",IF(NOT(ISNA(VLOOKUP(E1808,E$1:E1807,1,FALSE()))),"OLD",IF(AND(E1808&lt;&gt;"",E1808&lt;&gt;"!!!"),"NEW","")))</f>
        <v> </v>
      </c>
      <c r="G1808" s="24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5" t="str">
        <f>IF(J1808&lt;&gt;1,"",IF(I1808="SBJ","CB","?"))</f>
        <v> </v>
      </c>
      <c r="I1808" s="26" t="str">
        <f>IF(OR(E1808="",E1808="!!!",F1808="NEW"),"",INDEX(B1807:B$2,-1+SUMPRODUCT(MAX(ROW(E1807:E$2)*(E1808=E1807:E$2)))))</f>
        <v> </v>
      </c>
      <c r="J1808" s="26" t="str">
        <f>IF(OR(E1808="",E1808="!!!",F1808="NEW"),"",COUNTBLANK(OFFSET(A$1,,,SUMPRODUCT(MAX(ROW(E$2:E1808)*(E1808=E$2:E1808)))))-COUNTBLANK(OFFSET(A$1,,,SUMPRODUCT(MAX(ROW(E$1:E1807)*(E2=E$1:E1807))))))</f>
        <v> </v>
      </c>
      <c r="K1808" s="26" t="str">
        <f>IF(OR(E1808="",E1808="!!!",F1808="NEW"),"",INDEX(J$1:J1807,SUMPRODUCT(MAX(ROW(E$1:E1807)*(E1808=E$1:E1807)))))</f>
        <v> </v>
      </c>
      <c r="L1808" s="27"/>
    </row>
    <row r="1809" spans="1:12">
      <c r="A1809" s="20" t="s">
        <v>1454</v>
      </c>
      <c r="E1809" s="22">
        <f>IF(D1809="?OLD","!!!","")</f>
        <v/>
      </c>
      <c r="F1809" s="23" t="str">
        <f>IF(OR(E1809="",E1809="!!!"),"",IF(NOT(ISNA(VLOOKUP(E1809,E$1:E1808,1,FALSE()))),"OLD",IF(AND(E1809&lt;&gt;"",E1809&lt;&gt;"!!!"),"NEW","")))</f>
        <v> </v>
      </c>
      <c r="G1809" s="24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5" t="str">
        <f>IF(J1809&lt;&gt;1,"",IF(I1809="SBJ","CB","?"))</f>
        <v> </v>
      </c>
      <c r="I1809" s="26" t="str">
        <f>IF(OR(E1809="",E1809="!!!",F1809="NEW"),"",INDEX(B1808:B$2,-1+SUMPRODUCT(MAX(ROW(E1808:E$2)*(E1809=E1808:E$2)))))</f>
        <v> </v>
      </c>
      <c r="J1809" s="26" t="str">
        <f>IF(OR(E1809="",E1809="!!!",F1809="NEW"),"",COUNTBLANK(OFFSET(A$1,,,SUMPRODUCT(MAX(ROW(E$2:E1809)*(E1809=E$2:E1809)))))-COUNTBLANK(OFFSET(A$1,,,SUMPRODUCT(MAX(ROW(E$1:E1808)*(E2=E$1:E1808))))))</f>
        <v> </v>
      </c>
      <c r="K1809" s="26" t="str">
        <f>IF(OR(E1809="",E1809="!!!",F1809="NEW"),"",INDEX(J$1:J1808,SUMPRODUCT(MAX(ROW(E$1:E1808)*(E1809=E$1:E1808)))))</f>
        <v> </v>
      </c>
      <c r="L1809" s="27"/>
    </row>
    <row r="1810" spans="1:12">
      <c r="A1810" s="20" t="s">
        <v>1455</v>
      </c>
      <c r="E1810" s="22">
        <f>IF(D1810="?OLD","!!!","")</f>
        <v/>
      </c>
      <c r="F1810" s="23" t="str">
        <f>IF(OR(E1810="",E1810="!!!"),"",IF(NOT(ISNA(VLOOKUP(E1810,E$1:E1809,1,FALSE()))),"OLD",IF(AND(E1810&lt;&gt;"",E1810&lt;&gt;"!!!"),"NEW","")))</f>
        <v> </v>
      </c>
      <c r="G1810" s="24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5" t="str">
        <f>IF(J1810&lt;&gt;1,"",IF(I1810="SBJ","CB","?"))</f>
        <v> </v>
      </c>
      <c r="I1810" s="26" t="str">
        <f>IF(OR(E1810="",E1810="!!!",F1810="NEW"),"",INDEX(B1809:B$2,-1+SUMPRODUCT(MAX(ROW(E1809:E$2)*(E1810=E1809:E$2)))))</f>
        <v> </v>
      </c>
      <c r="J1810" s="26" t="str">
        <f>IF(OR(E1810="",E1810="!!!",F1810="NEW"),"",COUNTBLANK(OFFSET(A$1,,,SUMPRODUCT(MAX(ROW(E$2:E1810)*(E1810=E$2:E1810)))))-COUNTBLANK(OFFSET(A$1,,,SUMPRODUCT(MAX(ROW(E$1:E1809)*(E2=E$1:E1809))))))</f>
        <v> </v>
      </c>
      <c r="K1810" s="26" t="str">
        <f>IF(OR(E1810="",E1810="!!!",F1810="NEW"),"",INDEX(J$1:J1809,SUMPRODUCT(MAX(ROW(E$1:E1809)*(E1810=E$1:E1809)))))</f>
        <v> </v>
      </c>
      <c r="L1810" s="27"/>
    </row>
    <row r="1811" spans="1:12">
      <c r="A1811" s="20" t="s">
        <v>583</v>
      </c>
      <c r="E1811" s="22">
        <f>IF(D1811="?OLD","!!!","")</f>
        <v/>
      </c>
      <c r="F1811" s="23" t="str">
        <f>IF(OR(E1811="",E1811="!!!"),"",IF(NOT(ISNA(VLOOKUP(E1811,E$1:E1810,1,FALSE()))),"OLD",IF(AND(E1811&lt;&gt;"",E1811&lt;&gt;"!!!"),"NEW","")))</f>
        <v> </v>
      </c>
      <c r="G1811" s="24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5" t="str">
        <f>IF(J1811&lt;&gt;1,"",IF(I1811="SBJ","CB","?"))</f>
        <v> </v>
      </c>
      <c r="I1811" s="26" t="str">
        <f>IF(OR(E1811="",E1811="!!!",F1811="NEW"),"",INDEX(B1810:B$2,-1+SUMPRODUCT(MAX(ROW(E1810:E$2)*(E1811=E1810:E$2)))))</f>
        <v> </v>
      </c>
      <c r="J1811" s="26" t="str">
        <f>IF(OR(E1811="",E1811="!!!",F1811="NEW"),"",COUNTBLANK(OFFSET(A$1,,,SUMPRODUCT(MAX(ROW(E$2:E1811)*(E1811=E$2:E1811)))))-COUNTBLANK(OFFSET(A$1,,,SUMPRODUCT(MAX(ROW(E$1:E1810)*(E2=E$1:E1810))))))</f>
        <v> </v>
      </c>
      <c r="K1811" s="26" t="str">
        <f>IF(OR(E1811="",E1811="!!!",F1811="NEW"),"",INDEX(J$1:J1810,SUMPRODUCT(MAX(ROW(E$1:E1810)*(E1811=E$1:E1810)))))</f>
        <v> </v>
      </c>
      <c r="L1811" s="27"/>
    </row>
    <row r="1812" spans="1:12">
      <c r="A1812" s="20" t="s">
        <v>733</v>
      </c>
      <c r="E1812" s="22">
        <f>IF(D1812="?OLD","!!!","")</f>
        <v/>
      </c>
      <c r="F1812" s="23" t="str">
        <f>IF(OR(E1812="",E1812="!!!"),"",IF(NOT(ISNA(VLOOKUP(E1812,E$1:E1811,1,FALSE()))),"OLD",IF(AND(E1812&lt;&gt;"",E1812&lt;&gt;"!!!"),"NEW","")))</f>
        <v> </v>
      </c>
      <c r="G1812" s="24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5" t="str">
        <f>IF(J1812&lt;&gt;1,"",IF(I1812="SBJ","CB","?"))</f>
        <v> </v>
      </c>
      <c r="I1812" s="26" t="str">
        <f>IF(OR(E1812="",E1812="!!!",F1812="NEW"),"",INDEX(B1811:B$2,-1+SUMPRODUCT(MAX(ROW(E1811:E$2)*(E1812=E1811:E$2)))))</f>
        <v> </v>
      </c>
      <c r="J1812" s="26" t="str">
        <f>IF(OR(E1812="",E1812="!!!",F1812="NEW"),"",COUNTBLANK(OFFSET(A$1,,,SUMPRODUCT(MAX(ROW(E$2:E1812)*(E1812=E$2:E1812)))))-COUNTBLANK(OFFSET(A$1,,,SUMPRODUCT(MAX(ROW(E$1:E1811)*(E2=E$1:E1811))))))</f>
        <v> </v>
      </c>
      <c r="K1812" s="26" t="str">
        <f>IF(OR(E1812="",E1812="!!!",F1812="NEW"),"",INDEX(J$1:J1811,SUMPRODUCT(MAX(ROW(E$1:E1811)*(E1812=E$1:E1811)))))</f>
        <v> </v>
      </c>
      <c r="L1812" s="27"/>
    </row>
    <row r="1813" spans="1:12">
      <c r="A1813" s="20" t="s">
        <v>1456</v>
      </c>
      <c r="E1813" s="22">
        <f>IF(D1813="?OLD","!!!","")</f>
        <v/>
      </c>
      <c r="F1813" s="23" t="str">
        <f>IF(OR(E1813="",E1813="!!!"),"",IF(NOT(ISNA(VLOOKUP(E1813,E$1:E1812,1,FALSE()))),"OLD",IF(AND(E1813&lt;&gt;"",E1813&lt;&gt;"!!!"),"NEW","")))</f>
        <v> </v>
      </c>
      <c r="G1813" s="24" t="str">
        <f>IF(OR(E1813="",E1813="!!!"),"",IF(OR(J1813=0,AND(J1813=1,K1813=1),AND(J1813=1,I1813="SBJ"),AND(J1813=1,I1813=0)),"?IN_FOCUS",IF(J1813&lt;=2,"?ACTIVATED",IF(J1813&lt;&gt;"","?FAMILIAR",IF(F1813="NEW",IF(ISNA(VLOOKUP(E1813,#REF!,1,FALSE())),"?TYPE_IDENTIFIABLE","?REFERENTIAL"),"_")))))</f>
        <v> </v>
      </c>
      <c r="H1813" s="25" t="str">
        <f>IF(J1813&lt;&gt;1,"",IF(I1813="SBJ","CB","?"))</f>
        <v> </v>
      </c>
      <c r="I1813" s="26" t="str">
        <f>IF(OR(E1813="",E1813="!!!",F1813="NEW"),"",INDEX(B1812:B$2,-1+SUMPRODUCT(MAX(ROW(E1812:E$2)*(E1813=E1812:E$2)))))</f>
        <v> </v>
      </c>
      <c r="J1813" s="26" t="str">
        <f>IF(OR(E1813="",E1813="!!!",F1813="NEW"),"",COUNTBLANK(OFFSET(A$1,,,SUMPRODUCT(MAX(ROW(E$2:E1813)*(E1813=E$2:E1813)))))-COUNTBLANK(OFFSET(A$1,,,SUMPRODUCT(MAX(ROW(E$1:E1812)*(E2=E$1:E1812))))))</f>
        <v> </v>
      </c>
      <c r="K1813" s="26" t="str">
        <f>IF(OR(E1813="",E1813="!!!",F1813="NEW"),"",INDEX(J$1:J1812,SUMPRODUCT(MAX(ROW(E$1:E1812)*(E1813=E$1:E1812)))))</f>
        <v> </v>
      </c>
      <c r="L1813" s="27"/>
    </row>
    <row r="1814" spans="1:12">
      <c r="A1814" s="20" t="s">
        <v>1095</v>
      </c>
      <c r="B1814" s="21" t="s">
        <v>784</v>
      </c>
      <c r="E1814" s="22">
        <f>IF(D1814="?OLD","!!!","")</f>
        <v/>
      </c>
      <c r="F1814" s="23" t="str">
        <f>IF(OR(E1814="",E1814="!!!"),"",IF(NOT(ISNA(VLOOKUP(E1814,E$1:E1813,1,FALSE()))),"OLD",IF(AND(E1814&lt;&gt;"",E1814&lt;&gt;"!!!"),"NEW","")))</f>
        <v> </v>
      </c>
      <c r="G1814" s="24" t="str">
        <f>IF(OR(E1814="",E1814="!!!"),"",IF(OR(J1814=0,AND(J1814=1,K1814=1),AND(J1814=1,I1814="SBJ"),AND(J1814=1,I1814=0)),"?IN_FOCUS",IF(J1814&lt;=2,"?ACTIVATED",IF(J1814&lt;&gt;"","?FAMILIAR",IF(F1814="NEW",IF(ISNA(VLOOKUP(E1814,#REF!,1,FALSE())),"?TYPE_IDENTIFIABLE","?REFERENTIAL"),"_")))))</f>
        <v> </v>
      </c>
      <c r="H1814" s="25" t="str">
        <f>IF(J1814&lt;&gt;1,"",IF(I1814="SBJ","CB","?"))</f>
        <v> </v>
      </c>
      <c r="I1814" s="26" t="str">
        <f>IF(OR(E1814="",E1814="!!!",F1814="NEW"),"",INDEX(B1813:B$2,-1+SUMPRODUCT(MAX(ROW(E1813:E$2)*(E1814=E1813:E$2)))))</f>
        <v> </v>
      </c>
      <c r="J1814" s="26" t="str">
        <f>IF(OR(E1814="",E1814="!!!",F1814="NEW"),"",COUNTBLANK(OFFSET(A$1,,,SUMPRODUCT(MAX(ROW(E$2:E1814)*(E1814=E$2:E1814)))))-COUNTBLANK(OFFSET(A$1,,,SUMPRODUCT(MAX(ROW(E$1:E1813)*(E2=E$1:E1813))))))</f>
        <v> </v>
      </c>
      <c r="K1814" s="26" t="str">
        <f>IF(OR(E1814="",E1814="!!!",F1814="NEW"),"",INDEX(J$1:J1813,SUMPRODUCT(MAX(ROW(E$1:E1813)*(E1814=E$1:E1813)))))</f>
        <v> </v>
      </c>
      <c r="L1814" s="27"/>
    </row>
    <row r="1815" spans="1:12">
      <c r="A1815" s="20" t="s">
        <v>1446</v>
      </c>
      <c r="B1815" s="21" t="s">
        <v>827</v>
      </c>
      <c r="C1815" s="21" t="s">
        <v>628</v>
      </c>
      <c r="D1815" s="21" t="s">
        <v>587</v>
      </c>
      <c r="E1815" s="22">
        <f>IF(D1815="?OLD","!!!","")</f>
        <v/>
      </c>
      <c r="F1815" s="23" t="str">
        <f>IF(OR(E1815="",E1815="!!!"),"",IF(NOT(ISNA(VLOOKUP(E1815,E$1:E1814,1,FALSE()))),"OLD",IF(AND(E1815&lt;&gt;"",E1815&lt;&gt;"!!!"),"NEW","")))</f>
        <v> </v>
      </c>
      <c r="G1815" s="24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5" t="str">
        <f>IF(J1815&lt;&gt;1,"",IF(I1815="SBJ","CB","?"))</f>
        <v> </v>
      </c>
      <c r="I1815" s="26" t="str">
        <f>IF(OR(E1815="",E1815="!!!",F1815="NEW"),"",INDEX(B1814:B$2,-1+SUMPRODUCT(MAX(ROW(E1814:E$2)*(E1815=E1814:E$2)))))</f>
        <v> </v>
      </c>
      <c r="J1815" s="26" t="str">
        <f>IF(OR(E1815="",E1815="!!!",F1815="NEW"),"",COUNTBLANK(OFFSET(A$1,,,SUMPRODUCT(MAX(ROW(E$2:E1815)*(E1815=E$2:E1815)))))-COUNTBLANK(OFFSET(A$1,,,SUMPRODUCT(MAX(ROW(E$1:E1814)*(E2=E$1:E1814))))))</f>
        <v> </v>
      </c>
      <c r="K1815" s="26" t="str">
        <f>IF(OR(E1815="",E1815="!!!",F1815="NEW"),"",INDEX(J$1:J1814,SUMPRODUCT(MAX(ROW(E$1:E1814)*(E1815=E$1:E1814)))))</f>
        <v> </v>
      </c>
      <c r="L1815" s="27"/>
    </row>
    <row r="1816" spans="1:12">
      <c r="A1816" s="20" t="s">
        <v>583</v>
      </c>
      <c r="E1816" s="22">
        <f>IF(D1816="?OLD","!!!","")</f>
        <v/>
      </c>
      <c r="F1816" s="23" t="str">
        <f>IF(OR(E1816="",E1816="!!!"),"",IF(NOT(ISNA(VLOOKUP(E1816,E$1:E1815,1,FALSE()))),"OLD",IF(AND(E1816&lt;&gt;"",E1816&lt;&gt;"!!!"),"NEW","")))</f>
        <v> </v>
      </c>
      <c r="G1816" s="24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5" t="str">
        <f>IF(J1816&lt;&gt;1,"",IF(I1816="SBJ","CB","?"))</f>
        <v> </v>
      </c>
      <c r="I1816" s="26" t="str">
        <f>IF(OR(E1816="",E1816="!!!",F1816="NEW"),"",INDEX(B1815:B$2,-1+SUMPRODUCT(MAX(ROW(E1815:E$2)*(E1816=E1815:E$2)))))</f>
        <v> </v>
      </c>
      <c r="J1816" s="26" t="str">
        <f>IF(OR(E1816="",E1816="!!!",F1816="NEW"),"",COUNTBLANK(OFFSET(A$1,,,SUMPRODUCT(MAX(ROW(E$2:E1816)*(E1816=E$2:E1816)))))-COUNTBLANK(OFFSET(A$1,,,SUMPRODUCT(MAX(ROW(E$1:E1815)*(E2=E$1:E1815))))))</f>
        <v> </v>
      </c>
      <c r="K1816" s="26" t="str">
        <f>IF(OR(E1816="",E1816="!!!",F1816="NEW"),"",INDEX(J$1:J1815,SUMPRODUCT(MAX(ROW(E$1:E1815)*(E1816=E$1:E1815)))))</f>
        <v> </v>
      </c>
      <c r="L1816" s="27"/>
    </row>
    <row r="1817" spans="1:12">
      <c r="A1817" s="20" t="s">
        <v>810</v>
      </c>
      <c r="E1817" s="22">
        <f>IF(D1817="?OLD","!!!","")</f>
        <v/>
      </c>
      <c r="F1817" s="23" t="str">
        <f>IF(OR(E1817="",E1817="!!!"),"",IF(NOT(ISNA(VLOOKUP(E1817,E$1:E1816,1,FALSE()))),"OLD",IF(AND(E1817&lt;&gt;"",E1817&lt;&gt;"!!!"),"NEW","")))</f>
        <v> </v>
      </c>
      <c r="G1817" s="24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5" t="str">
        <f>IF(J1817&lt;&gt;1,"",IF(I1817="SBJ","CB","?"))</f>
        <v> </v>
      </c>
      <c r="I1817" s="26" t="str">
        <f>IF(OR(E1817="",E1817="!!!",F1817="NEW"),"",INDEX(B1816:B$2,-1+SUMPRODUCT(MAX(ROW(E1816:E$2)*(E1817=E1816:E$2)))))</f>
        <v> </v>
      </c>
      <c r="J1817" s="26" t="str">
        <f>IF(OR(E1817="",E1817="!!!",F1817="NEW"),"",COUNTBLANK(OFFSET(A$1,,,SUMPRODUCT(MAX(ROW(E$2:E1817)*(E1817=E$2:E1817)))))-COUNTBLANK(OFFSET(A$1,,,SUMPRODUCT(MAX(ROW(E$1:E1816)*(E2=E$1:E1816))))))</f>
        <v> </v>
      </c>
      <c r="K1817" s="26" t="str">
        <f>IF(OR(E1817="",E1817="!!!",F1817="NEW"),"",INDEX(J$1:J1816,SUMPRODUCT(MAX(ROW(E$1:E1816)*(E1817=E$1:E1816)))))</f>
        <v> </v>
      </c>
      <c r="L1817" s="27"/>
    </row>
    <row r="1818" spans="1:12">
      <c r="A1818" s="20" t="s">
        <v>1457</v>
      </c>
      <c r="E1818" s="22">
        <f>IF(D1818="?OLD","!!!","")</f>
        <v/>
      </c>
      <c r="F1818" s="23" t="str">
        <f>IF(OR(E1818="",E1818="!!!"),"",IF(NOT(ISNA(VLOOKUP(E1818,E$1:E1817,1,FALSE()))),"OLD",IF(AND(E1818&lt;&gt;"",E1818&lt;&gt;"!!!"),"NEW","")))</f>
        <v> </v>
      </c>
      <c r="G1818" s="24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5" t="str">
        <f>IF(J1818&lt;&gt;1,"",IF(I1818="SBJ","CB","?"))</f>
        <v> </v>
      </c>
      <c r="I1818" s="26" t="str">
        <f>IF(OR(E1818="",E1818="!!!",F1818="NEW"),"",INDEX(B1817:B$2,-1+SUMPRODUCT(MAX(ROW(E1817:E$2)*(E1818=E1817:E$2)))))</f>
        <v> </v>
      </c>
      <c r="J1818" s="26" t="str">
        <f>IF(OR(E1818="",E1818="!!!",F1818="NEW"),"",COUNTBLANK(OFFSET(A$1,,,SUMPRODUCT(MAX(ROW(E$2:E1818)*(E1818=E$2:E1818)))))-COUNTBLANK(OFFSET(A$1,,,SUMPRODUCT(MAX(ROW(E$1:E1817)*(E2=E$1:E1817))))))</f>
        <v> </v>
      </c>
      <c r="K1818" s="26" t="str">
        <f>IF(OR(E1818="",E1818="!!!",F1818="NEW"),"",INDEX(J$1:J1817,SUMPRODUCT(MAX(ROW(E$1:E1817)*(E1818=E$1:E1817)))))</f>
        <v> </v>
      </c>
      <c r="L1818" s="27"/>
    </row>
    <row r="1819" spans="1:12">
      <c r="A1819" s="20" t="s">
        <v>1458</v>
      </c>
      <c r="B1819" s="21" t="s">
        <v>1045</v>
      </c>
      <c r="E1819" s="22">
        <f>IF(D1819="?OLD","!!!","")</f>
        <v/>
      </c>
      <c r="F1819" s="23" t="str">
        <f>IF(OR(E1819="",E1819="!!!"),"",IF(NOT(ISNA(VLOOKUP(E1819,E$1:E1818,1,FALSE()))),"OLD",IF(AND(E1819&lt;&gt;"",E1819&lt;&gt;"!!!"),"NEW","")))</f>
        <v> </v>
      </c>
      <c r="G1819" s="24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5" t="str">
        <f>IF(J1819&lt;&gt;1,"",IF(I1819="SBJ","CB","?"))</f>
        <v> </v>
      </c>
      <c r="I1819" s="26" t="str">
        <f>IF(OR(E1819="",E1819="!!!",F1819="NEW"),"",INDEX(B1818:B$2,-1+SUMPRODUCT(MAX(ROW(E1818:E$2)*(E1819=E1818:E$2)))))</f>
        <v> </v>
      </c>
      <c r="J1819" s="26" t="str">
        <f>IF(OR(E1819="",E1819="!!!",F1819="NEW"),"",COUNTBLANK(OFFSET(A$1,,,SUMPRODUCT(MAX(ROW(E$2:E1819)*(E1819=E$2:E1819)))))-COUNTBLANK(OFFSET(A$1,,,SUMPRODUCT(MAX(ROW(E$1:E1818)*(E2=E$1:E1818))))))</f>
        <v> </v>
      </c>
      <c r="K1819" s="26" t="str">
        <f>IF(OR(E1819="",E1819="!!!",F1819="NEW"),"",INDEX(J$1:J1818,SUMPRODUCT(MAX(ROW(E$1:E1818)*(E1819=E$1:E1818)))))</f>
        <v> </v>
      </c>
      <c r="L1819" s="27"/>
    </row>
    <row r="1820" spans="1:12">
      <c r="A1820" s="20" t="s">
        <v>753</v>
      </c>
      <c r="E1820" s="22">
        <f>IF(D1820="?OLD","!!!","")</f>
        <v/>
      </c>
      <c r="F1820" s="23" t="str">
        <f>IF(OR(E1820="",E1820="!!!"),"",IF(NOT(ISNA(VLOOKUP(E1820,E$1:E1819,1,FALSE()))),"OLD",IF(AND(E1820&lt;&gt;"",E1820&lt;&gt;"!!!"),"NEW","")))</f>
        <v> </v>
      </c>
      <c r="G1820" s="24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5" t="str">
        <f>IF(J1820&lt;&gt;1,"",IF(I1820="SBJ","CB","?"))</f>
        <v> </v>
      </c>
      <c r="I1820" s="26" t="str">
        <f>IF(OR(E1820="",E1820="!!!",F1820="NEW"),"",INDEX(B1819:B$2,-1+SUMPRODUCT(MAX(ROW(E1819:E$2)*(E1820=E1819:E$2)))))</f>
        <v> </v>
      </c>
      <c r="J1820" s="26" t="str">
        <f>IF(OR(E1820="",E1820="!!!",F1820="NEW"),"",COUNTBLANK(OFFSET(A$1,,,SUMPRODUCT(MAX(ROW(E$2:E1820)*(E1820=E$2:E1820)))))-COUNTBLANK(OFFSET(A$1,,,SUMPRODUCT(MAX(ROW(E$1:E1819)*(E2=E$1:E1819))))))</f>
        <v> </v>
      </c>
      <c r="K1820" s="26" t="str">
        <f>IF(OR(E1820="",E1820="!!!",F1820="NEW"),"",INDEX(J$1:J1819,SUMPRODUCT(MAX(ROW(E$1:E1819)*(E1820=E$1:E1819)))))</f>
        <v> </v>
      </c>
      <c r="L1820" s="27"/>
    </row>
    <row r="1821" spans="1:12">
      <c r="A1821" s="20" t="s">
        <v>1459</v>
      </c>
      <c r="E1821" s="22">
        <f>IF(D1821="?OLD","!!!","")</f>
        <v/>
      </c>
      <c r="F1821" s="23" t="str">
        <f>IF(OR(E1821="",E1821="!!!"),"",IF(NOT(ISNA(VLOOKUP(E1821,E$1:E1820,1,FALSE()))),"OLD",IF(AND(E1821&lt;&gt;"",E1821&lt;&gt;"!!!"),"NEW","")))</f>
        <v> </v>
      </c>
      <c r="G1821" s="24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5" t="str">
        <f>IF(J1821&lt;&gt;1,"",IF(I1821="SBJ","CB","?"))</f>
        <v> </v>
      </c>
      <c r="I1821" s="26" t="str">
        <f>IF(OR(E1821="",E1821="!!!",F1821="NEW"),"",INDEX(B1820:B$2,-1+SUMPRODUCT(MAX(ROW(E1820:E$2)*(E1821=E1820:E$2)))))</f>
        <v> </v>
      </c>
      <c r="J1821" s="26" t="str">
        <f>IF(OR(E1821="",E1821="!!!",F1821="NEW"),"",COUNTBLANK(OFFSET(A$1,,,SUMPRODUCT(MAX(ROW(E$2:E1821)*(E1821=E$2:E1821)))))-COUNTBLANK(OFFSET(A$1,,,SUMPRODUCT(MAX(ROW(E$1:E1820)*(E2=E$1:E1820))))))</f>
        <v> </v>
      </c>
      <c r="K1821" s="26" t="str">
        <f>IF(OR(E1821="",E1821="!!!",F1821="NEW"),"",INDEX(J$1:J1820,SUMPRODUCT(MAX(ROW(E$1:E1820)*(E1821=E$1:E1820)))))</f>
        <v> </v>
      </c>
      <c r="L1821" s="27"/>
    </row>
    <row r="1822" spans="1:12">
      <c r="A1822" s="20" t="s">
        <v>583</v>
      </c>
      <c r="E1822" s="22">
        <f>IF(D1822="?OLD","!!!","")</f>
        <v/>
      </c>
      <c r="F1822" s="23" t="str">
        <f>IF(OR(E1822="",E1822="!!!"),"",IF(NOT(ISNA(VLOOKUP(E1822,E$1:E1821,1,FALSE()))),"OLD",IF(AND(E1822&lt;&gt;"",E1822&lt;&gt;"!!!"),"NEW","")))</f>
        <v> </v>
      </c>
      <c r="G1822" s="24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5" t="str">
        <f>IF(J1822&lt;&gt;1,"",IF(I1822="SBJ","CB","?"))</f>
        <v> </v>
      </c>
      <c r="I1822" s="26" t="str">
        <f>IF(OR(E1822="",E1822="!!!",F1822="NEW"),"",INDEX(B1821:B$2,-1+SUMPRODUCT(MAX(ROW(E1821:E$2)*(E1822=E1821:E$2)))))</f>
        <v> </v>
      </c>
      <c r="J1822" s="26" t="str">
        <f>IF(OR(E1822="",E1822="!!!",F1822="NEW"),"",COUNTBLANK(OFFSET(A$1,,,SUMPRODUCT(MAX(ROW(E$2:E1822)*(E1822=E$2:E1822)))))-COUNTBLANK(OFFSET(A$1,,,SUMPRODUCT(MAX(ROW(E$1:E1821)*(E2=E$1:E1821))))))</f>
        <v> </v>
      </c>
      <c r="K1822" s="26" t="str">
        <f>IF(OR(E1822="",E1822="!!!",F1822="NEW"),"",INDEX(J$1:J1821,SUMPRODUCT(MAX(ROW(E$1:E1821)*(E1822=E$1:E1821)))))</f>
        <v> </v>
      </c>
      <c r="L1822" s="27"/>
    </row>
    <row r="1823" spans="1:12">
      <c r="A1823" s="20" t="s">
        <v>1460</v>
      </c>
      <c r="E1823" s="22">
        <f>IF(D1823="?OLD","!!!","")</f>
        <v/>
      </c>
      <c r="F1823" s="23" t="str">
        <f>IF(OR(E1823="",E1823="!!!"),"",IF(NOT(ISNA(VLOOKUP(E1823,E$1:E1822,1,FALSE()))),"OLD",IF(AND(E1823&lt;&gt;"",E1823&lt;&gt;"!!!"),"NEW","")))</f>
        <v> </v>
      </c>
      <c r="G1823" s="24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5" t="str">
        <f>IF(J1823&lt;&gt;1,"",IF(I1823="SBJ","CB","?"))</f>
        <v> </v>
      </c>
      <c r="I1823" s="26" t="str">
        <f>IF(OR(E1823="",E1823="!!!",F1823="NEW"),"",INDEX(B1822:B$2,-1+SUMPRODUCT(MAX(ROW(E1822:E$2)*(E1823=E1822:E$2)))))</f>
        <v> </v>
      </c>
      <c r="J1823" s="26" t="str">
        <f>IF(OR(E1823="",E1823="!!!",F1823="NEW"),"",COUNTBLANK(OFFSET(A$1,,,SUMPRODUCT(MAX(ROW(E$2:E1823)*(E1823=E$2:E1823)))))-COUNTBLANK(OFFSET(A$1,,,SUMPRODUCT(MAX(ROW(E$1:E1822)*(E2=E$1:E1822))))))</f>
        <v> </v>
      </c>
      <c r="K1823" s="26" t="str">
        <f>IF(OR(E1823="",E1823="!!!",F1823="NEW"),"",INDEX(J$1:J1822,SUMPRODUCT(MAX(ROW(E$1:E1822)*(E1823=E$1:E1822)))))</f>
        <v> </v>
      </c>
      <c r="L1823" s="27"/>
    </row>
    <row r="1824" spans="1:12">
      <c r="A1824" s="20" t="s">
        <v>1236</v>
      </c>
      <c r="B1824" s="21" t="s">
        <v>883</v>
      </c>
      <c r="C1824" s="21" t="s">
        <v>613</v>
      </c>
      <c r="D1824" s="21" t="s">
        <v>587</v>
      </c>
      <c r="E1824" s="22">
        <f>IF(D1824="?OLD","!!!","")</f>
        <v/>
      </c>
      <c r="F1824" s="23" t="str">
        <f>IF(OR(E1824="",E1824="!!!"),"",IF(NOT(ISNA(VLOOKUP(E1824,E$1:E1823,1,FALSE()))),"OLD",IF(AND(E1824&lt;&gt;"",E1824&lt;&gt;"!!!"),"NEW","")))</f>
        <v> </v>
      </c>
      <c r="G1824" s="24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5" t="str">
        <f>IF(J1824&lt;&gt;1,"",IF(I1824="SBJ","CB","?"))</f>
        <v> </v>
      </c>
      <c r="I1824" s="26" t="str">
        <f>IF(OR(E1824="",E1824="!!!",F1824="NEW"),"",INDEX(B1823:B$2,-1+SUMPRODUCT(MAX(ROW(E1823:E$2)*(E1824=E1823:E$2)))))</f>
        <v> </v>
      </c>
      <c r="J1824" s="26" t="str">
        <f>IF(OR(E1824="",E1824="!!!",F1824="NEW"),"",COUNTBLANK(OFFSET(A$1,,,SUMPRODUCT(MAX(ROW(E$2:E1824)*(E1824=E$2:E1824)))))-COUNTBLANK(OFFSET(A$1,,,SUMPRODUCT(MAX(ROW(E$1:E1823)*(E2=E$1:E1823))))))</f>
        <v> </v>
      </c>
      <c r="K1824" s="26" t="str">
        <f>IF(OR(E1824="",E1824="!!!",F1824="NEW"),"",INDEX(J$1:J1823,SUMPRODUCT(MAX(ROW(E$1:E1823)*(E1824=E$1:E1823)))))</f>
        <v> </v>
      </c>
      <c r="L1824" s="27"/>
    </row>
    <row r="1825" spans="1:12">
      <c r="A1825" s="20" t="s">
        <v>1461</v>
      </c>
      <c r="E1825" s="22">
        <f>IF(D1825="?OLD","!!!","")</f>
        <v/>
      </c>
      <c r="F1825" s="23" t="str">
        <f>IF(OR(E1825="",E1825="!!!"),"",IF(NOT(ISNA(VLOOKUP(E1825,E$1:E1824,1,FALSE()))),"OLD",IF(AND(E1825&lt;&gt;"",E1825&lt;&gt;"!!!"),"NEW","")))</f>
        <v> </v>
      </c>
      <c r="G1825" s="24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5" t="str">
        <f>IF(J1825&lt;&gt;1,"",IF(I1825="SBJ","CB","?"))</f>
        <v> </v>
      </c>
      <c r="I1825" s="26" t="str">
        <f>IF(OR(E1825="",E1825="!!!",F1825="NEW"),"",INDEX(B1824:B$2,-1+SUMPRODUCT(MAX(ROW(E1824:E$2)*(E1825=E1824:E$2)))))</f>
        <v> </v>
      </c>
      <c r="J1825" s="26" t="str">
        <f>IF(OR(E1825="",E1825="!!!",F1825="NEW"),"",COUNTBLANK(OFFSET(A$1,,,SUMPRODUCT(MAX(ROW(E$2:E1825)*(E1825=E$2:E1825)))))-COUNTBLANK(OFFSET(A$1,,,SUMPRODUCT(MAX(ROW(E$1:E1824)*(E2=E$1:E1824))))))</f>
        <v> </v>
      </c>
      <c r="K1825" s="26" t="str">
        <f>IF(OR(E1825="",E1825="!!!",F1825="NEW"),"",INDEX(J$1:J1824,SUMPRODUCT(MAX(ROW(E$1:E1824)*(E1825=E$1:E1824)))))</f>
        <v> </v>
      </c>
      <c r="L1825" s="27"/>
    </row>
    <row r="1826" spans="1:12">
      <c r="A1826" s="20" t="s">
        <v>753</v>
      </c>
      <c r="E1826" s="22">
        <f>IF(D1826="?OLD","!!!","")</f>
        <v/>
      </c>
      <c r="F1826" s="23" t="str">
        <f>IF(OR(E1826="",E1826="!!!"),"",IF(NOT(ISNA(VLOOKUP(E1826,E$1:E1825,1,FALSE()))),"OLD",IF(AND(E1826&lt;&gt;"",E1826&lt;&gt;"!!!"),"NEW","")))</f>
        <v> </v>
      </c>
      <c r="G1826" s="24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5" t="str">
        <f>IF(J1826&lt;&gt;1,"",IF(I1826="SBJ","CB","?"))</f>
        <v> </v>
      </c>
      <c r="I1826" s="26" t="str">
        <f>IF(OR(E1826="",E1826="!!!",F1826="NEW"),"",INDEX(B1825:B$2,-1+SUMPRODUCT(MAX(ROW(E1825:E$2)*(E1826=E1825:E$2)))))</f>
        <v> </v>
      </c>
      <c r="J1826" s="26" t="str">
        <f>IF(OR(E1826="",E1826="!!!",F1826="NEW"),"",COUNTBLANK(OFFSET(A$1,,,SUMPRODUCT(MAX(ROW(E$2:E1826)*(E1826=E$2:E1826)))))-COUNTBLANK(OFFSET(A$1,,,SUMPRODUCT(MAX(ROW(E$1:E1825)*(E2=E$1:E1825))))))</f>
        <v> </v>
      </c>
      <c r="K1826" s="26" t="str">
        <f>IF(OR(E1826="",E1826="!!!",F1826="NEW"),"",INDEX(J$1:J1825,SUMPRODUCT(MAX(ROW(E$1:E1825)*(E1826=E$1:E1825)))))</f>
        <v> </v>
      </c>
      <c r="L1826" s="27"/>
    </row>
    <row r="1827" spans="1:12">
      <c r="A1827" s="20" t="s">
        <v>1278</v>
      </c>
      <c r="E1827" s="22">
        <f>IF(D1827="?OLD","!!!","")</f>
        <v/>
      </c>
      <c r="F1827" s="23" t="str">
        <f>IF(OR(E1827="",E1827="!!!"),"",IF(NOT(ISNA(VLOOKUP(E1827,E$1:E1826,1,FALSE()))),"OLD",IF(AND(E1827&lt;&gt;"",E1827&lt;&gt;"!!!"),"NEW","")))</f>
        <v> </v>
      </c>
      <c r="G1827" s="24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5" t="str">
        <f>IF(J1827&lt;&gt;1,"",IF(I1827="SBJ","CB","?"))</f>
        <v> </v>
      </c>
      <c r="I1827" s="26" t="str">
        <f>IF(OR(E1827="",E1827="!!!",F1827="NEW"),"",INDEX(B1826:B$2,-1+SUMPRODUCT(MAX(ROW(E1826:E$2)*(E1827=E1826:E$2)))))</f>
        <v> </v>
      </c>
      <c r="J1827" s="26" t="str">
        <f>IF(OR(E1827="",E1827="!!!",F1827="NEW"),"",COUNTBLANK(OFFSET(A$1,,,SUMPRODUCT(MAX(ROW(E$2:E1827)*(E1827=E$2:E1827)))))-COUNTBLANK(OFFSET(A$1,,,SUMPRODUCT(MAX(ROW(E$1:E1826)*(E2=E$1:E1826))))))</f>
        <v> </v>
      </c>
      <c r="K1827" s="26" t="str">
        <f>IF(OR(E1827="",E1827="!!!",F1827="NEW"),"",INDEX(J$1:J1826,SUMPRODUCT(MAX(ROW(E$1:E1826)*(E1827=E$1:E1826)))))</f>
        <v> </v>
      </c>
      <c r="L1827" s="27"/>
    </row>
    <row r="1828" spans="1:12">
      <c r="A1828" s="20" t="s">
        <v>583</v>
      </c>
      <c r="E1828" s="22">
        <f>IF(D1828="?OLD","!!!","")</f>
        <v/>
      </c>
      <c r="F1828" s="23" t="str">
        <f>IF(OR(E1828="",E1828="!!!"),"",IF(NOT(ISNA(VLOOKUP(E1828,E$1:E1827,1,FALSE()))),"OLD",IF(AND(E1828&lt;&gt;"",E1828&lt;&gt;"!!!"),"NEW","")))</f>
        <v> </v>
      </c>
      <c r="G1828" s="24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5" t="str">
        <f>IF(J1828&lt;&gt;1,"",IF(I1828="SBJ","CB","?"))</f>
        <v> </v>
      </c>
      <c r="I1828" s="26" t="str">
        <f>IF(OR(E1828="",E1828="!!!",F1828="NEW"),"",INDEX(B1827:B$2,-1+SUMPRODUCT(MAX(ROW(E1827:E$2)*(E1828=E1827:E$2)))))</f>
        <v> </v>
      </c>
      <c r="J1828" s="26" t="str">
        <f>IF(OR(E1828="",E1828="!!!",F1828="NEW"),"",COUNTBLANK(OFFSET(A$1,,,SUMPRODUCT(MAX(ROW(E$2:E1828)*(E1828=E$2:E1828)))))-COUNTBLANK(OFFSET(A$1,,,SUMPRODUCT(MAX(ROW(E$1:E1827)*(E2=E$1:E1827))))))</f>
        <v> </v>
      </c>
      <c r="K1828" s="26" t="str">
        <f>IF(OR(E1828="",E1828="!!!",F1828="NEW"),"",INDEX(J$1:J1827,SUMPRODUCT(MAX(ROW(E$1:E1827)*(E1828=E$1:E1827)))))</f>
        <v> </v>
      </c>
      <c r="L1828" s="27"/>
    </row>
    <row r="1829" spans="1:12">
      <c r="A1829" s="20" t="s">
        <v>1362</v>
      </c>
      <c r="E1829" s="22">
        <f>IF(D1829="?OLD","!!!","")</f>
        <v/>
      </c>
      <c r="F1829" s="23" t="str">
        <f>IF(OR(E1829="",E1829="!!!"),"",IF(NOT(ISNA(VLOOKUP(E1829,E$1:E1828,1,FALSE()))),"OLD",IF(AND(E1829&lt;&gt;"",E1829&lt;&gt;"!!!"),"NEW","")))</f>
        <v> </v>
      </c>
      <c r="G1829" s="24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5" t="str">
        <f>IF(J1829&lt;&gt;1,"",IF(I1829="SBJ","CB","?"))</f>
        <v> </v>
      </c>
      <c r="I1829" s="26" t="str">
        <f>IF(OR(E1829="",E1829="!!!",F1829="NEW"),"",INDEX(B1828:B$2,-1+SUMPRODUCT(MAX(ROW(E1828:E$2)*(E1829=E1828:E$2)))))</f>
        <v> </v>
      </c>
      <c r="J1829" s="26" t="str">
        <f>IF(OR(E1829="",E1829="!!!",F1829="NEW"),"",COUNTBLANK(OFFSET(A$1,,,SUMPRODUCT(MAX(ROW(E$2:E1829)*(E1829=E$2:E1829)))))-COUNTBLANK(OFFSET(A$1,,,SUMPRODUCT(MAX(ROW(E$1:E1828)*(E2=E$1:E1828))))))</f>
        <v> </v>
      </c>
      <c r="K1829" s="26" t="str">
        <f>IF(OR(E1829="",E1829="!!!",F1829="NEW"),"",INDEX(J$1:J1828,SUMPRODUCT(MAX(ROW(E$1:E1828)*(E1829=E$1:E1828)))))</f>
        <v> </v>
      </c>
      <c r="L1829" s="27"/>
    </row>
    <row r="1830" spans="1:12">
      <c r="A1830" s="20" t="s">
        <v>369</v>
      </c>
      <c r="E1830" s="22">
        <f>IF(D1830="?OLD","!!!","")</f>
        <v/>
      </c>
      <c r="F1830" s="23" t="str">
        <f>IF(OR(E1830="",E1830="!!!"),"",IF(NOT(ISNA(VLOOKUP(E1830,E$1:E1829,1,FALSE()))),"OLD",IF(AND(E1830&lt;&gt;"",E1830&lt;&gt;"!!!"),"NEW","")))</f>
        <v> </v>
      </c>
      <c r="G1830" s="24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5" t="str">
        <f>IF(J1830&lt;&gt;1,"",IF(I1830="SBJ","CB","?"))</f>
        <v> </v>
      </c>
      <c r="I1830" s="26" t="str">
        <f>IF(OR(E1830="",E1830="!!!",F1830="NEW"),"",INDEX(B1829:B$2,-1+SUMPRODUCT(MAX(ROW(E1829:E$2)*(E1830=E1829:E$2)))))</f>
        <v> </v>
      </c>
      <c r="J1830" s="26" t="str">
        <f>IF(OR(E1830="",E1830="!!!",F1830="NEW"),"",COUNTBLANK(OFFSET(A$1,,,SUMPRODUCT(MAX(ROW(E$2:E1830)*(E1830=E$2:E1830)))))-COUNTBLANK(OFFSET(A$1,,,SUMPRODUCT(MAX(ROW(E$1:E1829)*(E2=E$1:E1829))))))</f>
        <v> </v>
      </c>
      <c r="K1830" s="26" t="str">
        <f>IF(OR(E1830="",E1830="!!!",F1830="NEW"),"",INDEX(J$1:J1829,SUMPRODUCT(MAX(ROW(E$1:E1829)*(E1830=E$1:E1829)))))</f>
        <v> </v>
      </c>
      <c r="L1830" s="27"/>
    </row>
    <row r="1831" spans="1:12">
      <c r="A1831" s="20" t="s">
        <v>1236</v>
      </c>
      <c r="B1831" s="21" t="s">
        <v>784</v>
      </c>
      <c r="C1831" s="21" t="s">
        <v>613</v>
      </c>
      <c r="D1831" s="21" t="s">
        <v>587</v>
      </c>
      <c r="E1831" s="22">
        <f>IF(D1831="?OLD","!!!","")</f>
        <v/>
      </c>
      <c r="F1831" s="23" t="str">
        <f>IF(OR(E1831="",E1831="!!!"),"",IF(NOT(ISNA(VLOOKUP(E1831,E$1:E1830,1,FALSE()))),"OLD",IF(AND(E1831&lt;&gt;"",E1831&lt;&gt;"!!!"),"NEW","")))</f>
        <v> </v>
      </c>
      <c r="G1831" s="24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5" t="str">
        <f>IF(J1831&lt;&gt;1,"",IF(I1831="SBJ","CB","?"))</f>
        <v> </v>
      </c>
      <c r="I1831" s="26" t="str">
        <f>IF(OR(E1831="",E1831="!!!",F1831="NEW"),"",INDEX(B1830:B$2,-1+SUMPRODUCT(MAX(ROW(E1830:E$2)*(E1831=E1830:E$2)))))</f>
        <v> </v>
      </c>
      <c r="J1831" s="26" t="str">
        <f>IF(OR(E1831="",E1831="!!!",F1831="NEW"),"",COUNTBLANK(OFFSET(A$1,,,SUMPRODUCT(MAX(ROW(E$2:E1831)*(E1831=E$2:E1831)))))-COUNTBLANK(OFFSET(A$1,,,SUMPRODUCT(MAX(ROW(E$1:E1830)*(E2=E$1:E1830))))))</f>
        <v> </v>
      </c>
      <c r="K1831" s="26" t="str">
        <f>IF(OR(E1831="",E1831="!!!",F1831="NEW"),"",INDEX(J$1:J1830,SUMPRODUCT(MAX(ROW(E$1:E1830)*(E1831=E$1:E1830)))))</f>
        <v> </v>
      </c>
      <c r="L1831" s="27"/>
    </row>
    <row r="1832" spans="1:12">
      <c r="A1832" s="20" t="s">
        <v>656</v>
      </c>
      <c r="B1832" s="21" t="s">
        <v>830</v>
      </c>
      <c r="C1832" s="21" t="s">
        <v>586</v>
      </c>
      <c r="D1832" s="21" t="s">
        <v>587</v>
      </c>
      <c r="E1832" s="22">
        <f>IF(D1832="?OLD","!!!","")</f>
        <v/>
      </c>
      <c r="F1832" s="23" t="str">
        <f>IF(OR(E1832="",E1832="!!!"),"",IF(NOT(ISNA(VLOOKUP(E1832,E$1:E1831,1,FALSE()))),"OLD",IF(AND(E1832&lt;&gt;"",E1832&lt;&gt;"!!!"),"NEW","")))</f>
        <v> </v>
      </c>
      <c r="G1832" s="24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5" t="str">
        <f>IF(J1832&lt;&gt;1,"",IF(I1832="SBJ","CB","?"))</f>
        <v> </v>
      </c>
      <c r="I1832" s="26" t="str">
        <f>IF(OR(E1832="",E1832="!!!",F1832="NEW"),"",INDEX(B1831:B$2,-1+SUMPRODUCT(MAX(ROW(E1831:E$2)*(E1832=E1831:E$2)))))</f>
        <v> </v>
      </c>
      <c r="J1832" s="26" t="str">
        <f>IF(OR(E1832="",E1832="!!!",F1832="NEW"),"",COUNTBLANK(OFFSET(A$1,,,SUMPRODUCT(MAX(ROW(E$2:E1832)*(E1832=E$2:E1832)))))-COUNTBLANK(OFFSET(A$1,,,SUMPRODUCT(MAX(ROW(E$1:E1831)*(E2=E$1:E1831))))))</f>
        <v> </v>
      </c>
      <c r="K1832" s="26" t="str">
        <f>IF(OR(E1832="",E1832="!!!",F1832="NEW"),"",INDEX(J$1:J1831,SUMPRODUCT(MAX(ROW(E$1:E1831)*(E1832=E$1:E1831)))))</f>
        <v> </v>
      </c>
      <c r="L1832" s="27"/>
    </row>
    <row r="1833" spans="1:12">
      <c r="A1833" s="20" t="s">
        <v>1462</v>
      </c>
      <c r="E1833" s="22">
        <f>IF(D1833="?OLD","!!!","")</f>
        <v/>
      </c>
      <c r="F1833" s="23" t="str">
        <f>IF(OR(E1833="",E1833="!!!"),"",IF(NOT(ISNA(VLOOKUP(E1833,E$1:E1832,1,FALSE()))),"OLD",IF(AND(E1833&lt;&gt;"",E1833&lt;&gt;"!!!"),"NEW","")))</f>
        <v> </v>
      </c>
      <c r="G1833" s="24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5" t="str">
        <f>IF(J1833&lt;&gt;1,"",IF(I1833="SBJ","CB","?"))</f>
        <v> </v>
      </c>
      <c r="I1833" s="26" t="str">
        <f>IF(OR(E1833="",E1833="!!!",F1833="NEW"),"",INDEX(B1832:B$2,-1+SUMPRODUCT(MAX(ROW(E1832:E$2)*(E1833=E1832:E$2)))))</f>
        <v> </v>
      </c>
      <c r="J1833" s="26" t="str">
        <f>IF(OR(E1833="",E1833="!!!",F1833="NEW"),"",COUNTBLANK(OFFSET(A$1,,,SUMPRODUCT(MAX(ROW(E$2:E1833)*(E1833=E$2:E1833)))))-COUNTBLANK(OFFSET(A$1,,,SUMPRODUCT(MAX(ROW(E$1:E1832)*(E2=E$1:E1832))))))</f>
        <v> </v>
      </c>
      <c r="K1833" s="26" t="str">
        <f>IF(OR(E1833="",E1833="!!!",F1833="NEW"),"",INDEX(J$1:J1832,SUMPRODUCT(MAX(ROW(E$1:E1832)*(E1833=E$1:E1832)))))</f>
        <v> </v>
      </c>
      <c r="L1833" s="27"/>
    </row>
    <row r="1834" spans="1:12">
      <c r="A1834" s="20" t="s">
        <v>592</v>
      </c>
      <c r="E1834" s="22">
        <f>IF(D1834="?OLD","!!!","")</f>
        <v/>
      </c>
      <c r="F1834" s="23" t="str">
        <f>IF(OR(E1834="",E1834="!!!"),"",IF(NOT(ISNA(VLOOKUP(E1834,E$1:E1833,1,FALSE()))),"OLD",IF(AND(E1834&lt;&gt;"",E1834&lt;&gt;"!!!"),"NEW","")))</f>
        <v> </v>
      </c>
      <c r="G1834" s="24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5" t="str">
        <f>IF(J1834&lt;&gt;1,"",IF(I1834="SBJ","CB","?"))</f>
        <v> </v>
      </c>
      <c r="I1834" s="26" t="str">
        <f>IF(OR(E1834="",E1834="!!!",F1834="NEW"),"",INDEX(B1833:B$2,-1+SUMPRODUCT(MAX(ROW(E1833:E$2)*(E1834=E1833:E$2)))))</f>
        <v> </v>
      </c>
      <c r="J1834" s="26" t="str">
        <f>IF(OR(E1834="",E1834="!!!",F1834="NEW"),"",COUNTBLANK(OFFSET(A$1,,,SUMPRODUCT(MAX(ROW(E$2:E1834)*(E1834=E$2:E1834)))))-COUNTBLANK(OFFSET(A$1,,,SUMPRODUCT(MAX(ROW(E$1:E1833)*(E2=E$1:E1833))))))</f>
        <v> </v>
      </c>
      <c r="K1834" s="26" t="str">
        <f>IF(OR(E1834="",E1834="!!!",F1834="NEW"),"",INDEX(J$1:J1833,SUMPRODUCT(MAX(ROW(E$1:E1833)*(E1834=E$1:E1833)))))</f>
        <v> </v>
      </c>
      <c r="L1834" s="27"/>
    </row>
    <row r="1835" spans="1:12">
      <c r="A1835" s="20"/>
    </row>
    <row r="1836" spans="1:12">
      <c r="A1836" s="20" t="s">
        <v>1463</v>
      </c>
    </row>
    <row r="1837" spans="1:12">
      <c r="A1837" s="20" t="s">
        <v>1464</v>
      </c>
      <c r="E1837" s="22">
        <f>IF(D1837="?OLD","!!!","")</f>
        <v/>
      </c>
      <c r="F1837" s="23" t="str">
        <f>IF(OR(E1837="",E1837="!!!"),"",IF(NOT(ISNA(VLOOKUP(E1837,E$1:E1836,1,FALSE()))),"OLD",IF(AND(E1837&lt;&gt;"",E1837&lt;&gt;"!!!"),"NEW","")))</f>
        <v> </v>
      </c>
      <c r="G1837" s="24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5" t="str">
        <f>IF(J1837&lt;&gt;1,"",IF(I1837="SBJ","CB","?"))</f>
        <v> </v>
      </c>
      <c r="I1837" s="26" t="str">
        <f>IF(OR(E1837="",E1837="!!!",F1837="NEW"),"",INDEX(B1836:B$2,-1+SUMPRODUCT(MAX(ROW(E1836:E$2)*(E1837=E1836:E$2)))))</f>
        <v> </v>
      </c>
      <c r="J1837" s="26" t="str">
        <f>IF(OR(E1837="",E1837="!!!",F1837="NEW"),"",COUNTBLANK(OFFSET(A$1,,,SUMPRODUCT(MAX(ROW(E$2:E1837)*(E1837=E$2:E1837)))))-COUNTBLANK(OFFSET(A$1,,,SUMPRODUCT(MAX(ROW(E$1:E1836)*(E2=E$1:E1836))))))</f>
        <v> </v>
      </c>
      <c r="K1837" s="26" t="str">
        <f>IF(OR(E1837="",E1837="!!!",F1837="NEW"),"",INDEX(J$1:J1836,SUMPRODUCT(MAX(ROW(E$1:E1836)*(E1837=E$1:E1836)))))</f>
        <v> </v>
      </c>
      <c r="L1837" s="27"/>
    </row>
    <row r="1838" spans="1:12">
      <c r="A1838" s="20" t="s">
        <v>1465</v>
      </c>
      <c r="E1838" s="22">
        <f>IF(D1838="?OLD","!!!","")</f>
        <v/>
      </c>
      <c r="F1838" s="23" t="str">
        <f>IF(OR(E1838="",E1838="!!!"),"",IF(NOT(ISNA(VLOOKUP(E1838,E$1:E1837,1,FALSE()))),"OLD",IF(AND(E1838&lt;&gt;"",E1838&lt;&gt;"!!!"),"NEW","")))</f>
        <v> </v>
      </c>
      <c r="G1838" s="24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5" t="str">
        <f>IF(J1838&lt;&gt;1,"",IF(I1838="SBJ","CB","?"))</f>
        <v> </v>
      </c>
      <c r="I1838" s="26" t="str">
        <f>IF(OR(E1838="",E1838="!!!",F1838="NEW"),"",INDEX(B1837:B$2,-1+SUMPRODUCT(MAX(ROW(E1837:E$2)*(E1838=E1837:E$2)))))</f>
        <v> </v>
      </c>
      <c r="J1838" s="26" t="str">
        <f>IF(OR(E1838="",E1838="!!!",F1838="NEW"),"",COUNTBLANK(OFFSET(A$1,,,SUMPRODUCT(MAX(ROW(E$2:E1838)*(E1838=E$2:E1838)))))-COUNTBLANK(OFFSET(A$1,,,SUMPRODUCT(MAX(ROW(E$1:E1837)*(E2=E$1:E1837))))))</f>
        <v> </v>
      </c>
      <c r="K1838" s="26" t="str">
        <f>IF(OR(E1838="",E1838="!!!",F1838="NEW"),"",INDEX(J$1:J1837,SUMPRODUCT(MAX(ROW(E$1:E1837)*(E1838=E$1:E1837)))))</f>
        <v> </v>
      </c>
      <c r="L1838" s="27"/>
    </row>
    <row r="1839" spans="1:12">
      <c r="A1839" s="20" t="s">
        <v>1466</v>
      </c>
      <c r="B1839" s="21" t="s">
        <v>578</v>
      </c>
      <c r="C1839" s="21" t="s">
        <v>646</v>
      </c>
      <c r="E1839" s="22">
        <f>IF(D1839="?OLD","!!!","")</f>
        <v/>
      </c>
      <c r="F1839" s="23" t="str">
        <f>IF(OR(E1839="",E1839="!!!"),"",IF(NOT(ISNA(VLOOKUP(E1839,E$1:E1838,1,FALSE()))),"OLD",IF(AND(E1839&lt;&gt;"",E1839&lt;&gt;"!!!"),"NEW","")))</f>
        <v> </v>
      </c>
      <c r="G1839" s="24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5" t="str">
        <f>IF(J1839&lt;&gt;1,"",IF(I1839="SBJ","CB","?"))</f>
        <v> </v>
      </c>
      <c r="I1839" s="26" t="str">
        <f>IF(OR(E1839="",E1839="!!!",F1839="NEW"),"",INDEX(B1838:B$2,-1+SUMPRODUCT(MAX(ROW(E1838:E$2)*(E1839=E1838:E$2)))))</f>
        <v> </v>
      </c>
      <c r="J1839" s="26" t="str">
        <f>IF(OR(E1839="",E1839="!!!",F1839="NEW"),"",COUNTBLANK(OFFSET(A$1,,,SUMPRODUCT(MAX(ROW(E$2:E1839)*(E1839=E$2:E1839)))))-COUNTBLANK(OFFSET(A$1,,,SUMPRODUCT(MAX(ROW(E$1:E1838)*(E2=E$1:E1838))))))</f>
        <v> </v>
      </c>
      <c r="K1839" s="26" t="str">
        <f>IF(OR(E1839="",E1839="!!!",F1839="NEW"),"",INDEX(J$1:J1838,SUMPRODUCT(MAX(ROW(E$1:E1838)*(E1839=E$1:E1838)))))</f>
        <v> </v>
      </c>
      <c r="L1839" s="27"/>
    </row>
    <row r="1840" spans="1:12">
      <c r="A1840" s="20" t="s">
        <v>1383</v>
      </c>
      <c r="E1840" s="22">
        <f>IF(D1840="?OLD","!!!","")</f>
        <v/>
      </c>
      <c r="F1840" s="23" t="str">
        <f>IF(OR(E1840="",E1840="!!!"),"",IF(NOT(ISNA(VLOOKUP(E1840,E$1:E1839,1,FALSE()))),"OLD",IF(AND(E1840&lt;&gt;"",E1840&lt;&gt;"!!!"),"NEW","")))</f>
        <v> </v>
      </c>
      <c r="G1840" s="24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5" t="str">
        <f>IF(J1840&lt;&gt;1,"",IF(I1840="SBJ","CB","?"))</f>
        <v> </v>
      </c>
      <c r="I1840" s="26" t="str">
        <f>IF(OR(E1840="",E1840="!!!",F1840="NEW"),"",INDEX(B1839:B$2,-1+SUMPRODUCT(MAX(ROW(E1839:E$2)*(E1840=E1839:E$2)))))</f>
        <v> </v>
      </c>
      <c r="J1840" s="26" t="str">
        <f>IF(OR(E1840="",E1840="!!!",F1840="NEW"),"",COUNTBLANK(OFFSET(A$1,,,SUMPRODUCT(MAX(ROW(E$2:E1840)*(E1840=E$2:E1840)))))-COUNTBLANK(OFFSET(A$1,,,SUMPRODUCT(MAX(ROW(E$1:E1839)*(E2=E$1:E1839))))))</f>
        <v> </v>
      </c>
      <c r="K1840" s="26" t="str">
        <f>IF(OR(E1840="",E1840="!!!",F1840="NEW"),"",INDEX(J$1:J1839,SUMPRODUCT(MAX(ROW(E$1:E1839)*(E1840=E$1:E1839)))))</f>
        <v> </v>
      </c>
      <c r="L1840" s="27"/>
    </row>
    <row r="1841" spans="1:12">
      <c r="A1841" s="20" t="s">
        <v>609</v>
      </c>
      <c r="E1841" s="22">
        <f>IF(D1841="?OLD","!!!","")</f>
        <v/>
      </c>
      <c r="F1841" s="23" t="str">
        <f>IF(OR(E1841="",E1841="!!!"),"",IF(NOT(ISNA(VLOOKUP(E1841,E$1:E1840,1,FALSE()))),"OLD",IF(AND(E1841&lt;&gt;"",E1841&lt;&gt;"!!!"),"NEW","")))</f>
        <v> </v>
      </c>
      <c r="G1841" s="24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5" t="str">
        <f>IF(J1841&lt;&gt;1,"",IF(I1841="SBJ","CB","?"))</f>
        <v> </v>
      </c>
      <c r="I1841" s="26" t="str">
        <f>IF(OR(E1841="",E1841="!!!",F1841="NEW"),"",INDEX(B1840:B$2,-1+SUMPRODUCT(MAX(ROW(E1840:E$2)*(E1841=E1840:E$2)))))</f>
        <v> </v>
      </c>
      <c r="J1841" s="26" t="str">
        <f>IF(OR(E1841="",E1841="!!!",F1841="NEW"),"",COUNTBLANK(OFFSET(A$1,,,SUMPRODUCT(MAX(ROW(E$2:E1841)*(E1841=E$2:E1841)))))-COUNTBLANK(OFFSET(A$1,,,SUMPRODUCT(MAX(ROW(E$1:E1840)*(E2=E$1:E1840))))))</f>
        <v> </v>
      </c>
      <c r="K1841" s="26" t="str">
        <f>IF(OR(E1841="",E1841="!!!",F1841="NEW"),"",INDEX(J$1:J1840,SUMPRODUCT(MAX(ROW(E$1:E1840)*(E1841=E$1:E1840)))))</f>
        <v> </v>
      </c>
      <c r="L1841" s="27"/>
    </row>
    <row r="1842" spans="1:12">
      <c r="A1842" s="20" t="s">
        <v>1467</v>
      </c>
      <c r="E1842" s="22">
        <f>IF(D1842="?OLD","!!!","")</f>
        <v/>
      </c>
      <c r="F1842" s="23" t="str">
        <f>IF(OR(E1842="",E1842="!!!"),"",IF(NOT(ISNA(VLOOKUP(E1842,E$1:E1841,1,FALSE()))),"OLD",IF(AND(E1842&lt;&gt;"",E1842&lt;&gt;"!!!"),"NEW","")))</f>
        <v> </v>
      </c>
      <c r="G1842" s="24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5" t="str">
        <f>IF(J1842&lt;&gt;1,"",IF(I1842="SBJ","CB","?"))</f>
        <v> </v>
      </c>
      <c r="I1842" s="26" t="str">
        <f>IF(OR(E1842="",E1842="!!!",F1842="NEW"),"",INDEX(B1841:B$2,-1+SUMPRODUCT(MAX(ROW(E1841:E$2)*(E1842=E1841:E$2)))))</f>
        <v> </v>
      </c>
      <c r="J1842" s="26" t="str">
        <f>IF(OR(E1842="",E1842="!!!",F1842="NEW"),"",COUNTBLANK(OFFSET(A$1,,,SUMPRODUCT(MAX(ROW(E$2:E1842)*(E1842=E$2:E1842)))))-COUNTBLANK(OFFSET(A$1,,,SUMPRODUCT(MAX(ROW(E$1:E1841)*(E2=E$1:E1841))))))</f>
        <v> </v>
      </c>
      <c r="K1842" s="26" t="str">
        <f>IF(OR(E1842="",E1842="!!!",F1842="NEW"),"",INDEX(J$1:J1841,SUMPRODUCT(MAX(ROW(E$1:E1841)*(E1842=E$1:E1841)))))</f>
        <v> </v>
      </c>
      <c r="L1842" s="27"/>
    </row>
    <row r="1843" spans="1:12">
      <c r="A1843" s="20" t="s">
        <v>1468</v>
      </c>
      <c r="E1843" s="22">
        <f>IF(D1843="?OLD","!!!","")</f>
        <v/>
      </c>
      <c r="F1843" s="23" t="str">
        <f>IF(OR(E1843="",E1843="!!!"),"",IF(NOT(ISNA(VLOOKUP(E1843,E$1:E1842,1,FALSE()))),"OLD",IF(AND(E1843&lt;&gt;"",E1843&lt;&gt;"!!!"),"NEW","")))</f>
        <v> </v>
      </c>
      <c r="G1843" s="24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5" t="str">
        <f>IF(J1843&lt;&gt;1,"",IF(I1843="SBJ","CB","?"))</f>
        <v> </v>
      </c>
      <c r="I1843" s="26" t="str">
        <f>IF(OR(E1843="",E1843="!!!",F1843="NEW"),"",INDEX(B1842:B$2,-1+SUMPRODUCT(MAX(ROW(E1842:E$2)*(E1843=E1842:E$2)))))</f>
        <v> </v>
      </c>
      <c r="J1843" s="26" t="str">
        <f>IF(OR(E1843="",E1843="!!!",F1843="NEW"),"",COUNTBLANK(OFFSET(A$1,,,SUMPRODUCT(MAX(ROW(E$2:E1843)*(E1843=E$2:E1843)))))-COUNTBLANK(OFFSET(A$1,,,SUMPRODUCT(MAX(ROW(E$1:E1842)*(E2=E$1:E1842))))))</f>
        <v> </v>
      </c>
      <c r="K1843" s="26" t="str">
        <f>IF(OR(E1843="",E1843="!!!",F1843="NEW"),"",INDEX(J$1:J1842,SUMPRODUCT(MAX(ROW(E$1:E1842)*(E1843=E$1:E1842)))))</f>
        <v> </v>
      </c>
      <c r="L1843" s="27"/>
    </row>
    <row r="1844" spans="1:12">
      <c r="A1844" s="20" t="s">
        <v>720</v>
      </c>
      <c r="E1844" s="22">
        <f>IF(D1844="?OLD","!!!","")</f>
        <v/>
      </c>
      <c r="F1844" s="23" t="str">
        <f>IF(OR(E1844="",E1844="!!!"),"",IF(NOT(ISNA(VLOOKUP(E1844,E$1:E1843,1,FALSE()))),"OLD",IF(AND(E1844&lt;&gt;"",E1844&lt;&gt;"!!!"),"NEW","")))</f>
        <v> </v>
      </c>
      <c r="G1844" s="24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5" t="str">
        <f>IF(J1844&lt;&gt;1,"",IF(I1844="SBJ","CB","?"))</f>
        <v> </v>
      </c>
      <c r="I1844" s="26" t="str">
        <f>IF(OR(E1844="",E1844="!!!",F1844="NEW"),"",INDEX(B1843:B$2,-1+SUMPRODUCT(MAX(ROW(E1843:E$2)*(E1844=E1843:E$2)))))</f>
        <v> </v>
      </c>
      <c r="J1844" s="26" t="str">
        <f>IF(OR(E1844="",E1844="!!!",F1844="NEW"),"",COUNTBLANK(OFFSET(A$1,,,SUMPRODUCT(MAX(ROW(E$2:E1844)*(E1844=E$2:E1844)))))-COUNTBLANK(OFFSET(A$1,,,SUMPRODUCT(MAX(ROW(E$1:E1843)*(E2=E$1:E1843))))))</f>
        <v> </v>
      </c>
      <c r="K1844" s="26" t="str">
        <f>IF(OR(E1844="",E1844="!!!",F1844="NEW"),"",INDEX(J$1:J1843,SUMPRODUCT(MAX(ROW(E$1:E1843)*(E1844=E$1:E1843)))))</f>
        <v> </v>
      </c>
      <c r="L1844" s="27"/>
    </row>
    <row r="1845" spans="1:12">
      <c r="A1845" s="20" t="s">
        <v>136</v>
      </c>
      <c r="B1845" s="21" t="s">
        <v>635</v>
      </c>
      <c r="C1845" s="21" t="s">
        <v>586</v>
      </c>
      <c r="D1845" s="21" t="s">
        <v>587</v>
      </c>
      <c r="E1845" s="22">
        <f>IF(D1845="?OLD","!!!","")</f>
        <v/>
      </c>
      <c r="F1845" s="23" t="str">
        <f>IF(OR(E1845="",E1845="!!!"),"",IF(NOT(ISNA(VLOOKUP(E1845,E$1:E1844,1,FALSE()))),"OLD",IF(AND(E1845&lt;&gt;"",E1845&lt;&gt;"!!!"),"NEW","")))</f>
        <v> </v>
      </c>
      <c r="G1845" s="24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5" t="str">
        <f>IF(J1845&lt;&gt;1,"",IF(I1845="SBJ","CB","?"))</f>
        <v> </v>
      </c>
      <c r="I1845" s="26" t="str">
        <f>IF(OR(E1845="",E1845="!!!",F1845="NEW"),"",INDEX(B1844:B$2,-1+SUMPRODUCT(MAX(ROW(E1844:E$2)*(E1845=E1844:E$2)))))</f>
        <v> </v>
      </c>
      <c r="J1845" s="26" t="str">
        <f>IF(OR(E1845="",E1845="!!!",F1845="NEW"),"",COUNTBLANK(OFFSET(A$1,,,SUMPRODUCT(MAX(ROW(E$2:E1845)*(E1845=E$2:E1845)))))-COUNTBLANK(OFFSET(A$1,,,SUMPRODUCT(MAX(ROW(E$1:E1844)*(E2=E$1:E1844))))))</f>
        <v> </v>
      </c>
      <c r="K1845" s="26" t="str">
        <f>IF(OR(E1845="",E1845="!!!",F1845="NEW"),"",INDEX(J$1:J1844,SUMPRODUCT(MAX(ROW(E$1:E1844)*(E1845=E$1:E1844)))))</f>
        <v> </v>
      </c>
      <c r="L1845" s="27"/>
    </row>
    <row r="1846" spans="1:12">
      <c r="A1846" s="20" t="s">
        <v>778</v>
      </c>
      <c r="E1846" s="22">
        <f>IF(D1846="?OLD","!!!","")</f>
        <v/>
      </c>
      <c r="F1846" s="23" t="str">
        <f>IF(OR(E1846="",E1846="!!!"),"",IF(NOT(ISNA(VLOOKUP(E1846,E$1:E1845,1,FALSE()))),"OLD",IF(AND(E1846&lt;&gt;"",E1846&lt;&gt;"!!!"),"NEW","")))</f>
        <v> </v>
      </c>
      <c r="G1846" s="24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5" t="str">
        <f>IF(J1846&lt;&gt;1,"",IF(I1846="SBJ","CB","?"))</f>
        <v> </v>
      </c>
      <c r="I1846" s="26" t="str">
        <f>IF(OR(E1846="",E1846="!!!",F1846="NEW"),"",INDEX(B1845:B$2,-1+SUMPRODUCT(MAX(ROW(E1845:E$2)*(E1846=E1845:E$2)))))</f>
        <v> </v>
      </c>
      <c r="J1846" s="26" t="str">
        <f>IF(OR(E1846="",E1846="!!!",F1846="NEW"),"",COUNTBLANK(OFFSET(A$1,,,SUMPRODUCT(MAX(ROW(E$2:E1846)*(E1846=E$2:E1846)))))-COUNTBLANK(OFFSET(A$1,,,SUMPRODUCT(MAX(ROW(E$1:E1845)*(E2=E$1:E1845))))))</f>
        <v> </v>
      </c>
      <c r="K1846" s="26" t="str">
        <f>IF(OR(E1846="",E1846="!!!",F1846="NEW"),"",INDEX(J$1:J1845,SUMPRODUCT(MAX(ROW(E$1:E1845)*(E1846=E$1:E1845)))))</f>
        <v> </v>
      </c>
      <c r="L1846" s="27"/>
    </row>
    <row r="1847" spans="1:12">
      <c r="A1847" s="20" t="s">
        <v>1385</v>
      </c>
      <c r="E1847" s="22">
        <f>IF(D1847="?OLD","!!!","")</f>
        <v/>
      </c>
      <c r="F1847" s="23" t="str">
        <f>IF(OR(E1847="",E1847="!!!"),"",IF(NOT(ISNA(VLOOKUP(E1847,E$1:E1846,1,FALSE()))),"OLD",IF(AND(E1847&lt;&gt;"",E1847&lt;&gt;"!!!"),"NEW","")))</f>
        <v> </v>
      </c>
      <c r="G1847" s="24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5" t="str">
        <f>IF(J1847&lt;&gt;1,"",IF(I1847="SBJ","CB","?"))</f>
        <v> </v>
      </c>
      <c r="I1847" s="26" t="str">
        <f>IF(OR(E1847="",E1847="!!!",F1847="NEW"),"",INDEX(B1846:B$2,-1+SUMPRODUCT(MAX(ROW(E1846:E$2)*(E1847=E1846:E$2)))))</f>
        <v> </v>
      </c>
      <c r="J1847" s="26" t="str">
        <f>IF(OR(E1847="",E1847="!!!",F1847="NEW"),"",COUNTBLANK(OFFSET(A$1,,,SUMPRODUCT(MAX(ROW(E$2:E1847)*(E1847=E$2:E1847)))))-COUNTBLANK(OFFSET(A$1,,,SUMPRODUCT(MAX(ROW(E$1:E1846)*(E2=E$1:E1846))))))</f>
        <v> </v>
      </c>
      <c r="K1847" s="26" t="str">
        <f>IF(OR(E1847="",E1847="!!!",F1847="NEW"),"",INDEX(J$1:J1846,SUMPRODUCT(MAX(ROW(E$1:E1846)*(E1847=E$1:E1846)))))</f>
        <v> </v>
      </c>
      <c r="L1847" s="27"/>
    </row>
    <row r="1848" spans="1:12">
      <c r="A1848" s="20" t="s">
        <v>1469</v>
      </c>
      <c r="E1848" s="22">
        <f>IF(D1848="?OLD","!!!","")</f>
        <v/>
      </c>
      <c r="F1848" s="23" t="str">
        <f>IF(OR(E1848="",E1848="!!!"),"",IF(NOT(ISNA(VLOOKUP(E1848,E$1:E1847,1,FALSE()))),"OLD",IF(AND(E1848&lt;&gt;"",E1848&lt;&gt;"!!!"),"NEW","")))</f>
        <v> </v>
      </c>
      <c r="G1848" s="24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5" t="str">
        <f>IF(J1848&lt;&gt;1,"",IF(I1848="SBJ","CB","?"))</f>
        <v> </v>
      </c>
      <c r="I1848" s="26" t="str">
        <f>IF(OR(E1848="",E1848="!!!",F1848="NEW"),"",INDEX(B1847:B$2,-1+SUMPRODUCT(MAX(ROW(E1847:E$2)*(E1848=E1847:E$2)))))</f>
        <v> </v>
      </c>
      <c r="J1848" s="26" t="str">
        <f>IF(OR(E1848="",E1848="!!!",F1848="NEW"),"",COUNTBLANK(OFFSET(A$1,,,SUMPRODUCT(MAX(ROW(E$2:E1848)*(E1848=E$2:E1848)))))-COUNTBLANK(OFFSET(A$1,,,SUMPRODUCT(MAX(ROW(E$1:E1847)*(E2=E$1:E1847))))))</f>
        <v> </v>
      </c>
      <c r="K1848" s="26" t="str">
        <f>IF(OR(E1848="",E1848="!!!",F1848="NEW"),"",INDEX(J$1:J1847,SUMPRODUCT(MAX(ROW(E$1:E1847)*(E1848=E$1:E1847)))))</f>
        <v> </v>
      </c>
      <c r="L1848" s="27"/>
    </row>
    <row r="1849" spans="1:12">
      <c r="A1849" s="20" t="s">
        <v>1470</v>
      </c>
      <c r="E1849" s="22">
        <f>IF(D1849="?OLD","!!!","")</f>
        <v/>
      </c>
      <c r="F1849" s="23" t="str">
        <f>IF(OR(E1849="",E1849="!!!"),"",IF(NOT(ISNA(VLOOKUP(E1849,E$1:E1848,1,FALSE()))),"OLD",IF(AND(E1849&lt;&gt;"",E1849&lt;&gt;"!!!"),"NEW","")))</f>
        <v> </v>
      </c>
      <c r="G1849" s="24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5" t="str">
        <f>IF(J1849&lt;&gt;1,"",IF(I1849="SBJ","CB","?"))</f>
        <v> </v>
      </c>
      <c r="I1849" s="26" t="str">
        <f>IF(OR(E1849="",E1849="!!!",F1849="NEW"),"",INDEX(B1848:B$2,-1+SUMPRODUCT(MAX(ROW(E1848:E$2)*(E1849=E1848:E$2)))))</f>
        <v> </v>
      </c>
      <c r="J1849" s="26" t="str">
        <f>IF(OR(E1849="",E1849="!!!",F1849="NEW"),"",COUNTBLANK(OFFSET(A$1,,,SUMPRODUCT(MAX(ROW(E$2:E1849)*(E1849=E$2:E1849)))))-COUNTBLANK(OFFSET(A$1,,,SUMPRODUCT(MAX(ROW(E$1:E1848)*(E2=E$1:E1848))))))</f>
        <v> </v>
      </c>
      <c r="K1849" s="26" t="str">
        <f>IF(OR(E1849="",E1849="!!!",F1849="NEW"),"",INDEX(J$1:J1848,SUMPRODUCT(MAX(ROW(E$1:E1848)*(E1849=E$1:E1848)))))</f>
        <v> </v>
      </c>
      <c r="L1849" s="27"/>
    </row>
    <row r="1850" spans="1:12">
      <c r="A1850" s="20" t="s">
        <v>1471</v>
      </c>
      <c r="E1850" s="22">
        <f>IF(D1850="?OLD","!!!","")</f>
        <v/>
      </c>
      <c r="F1850" s="23" t="str">
        <f>IF(OR(E1850="",E1850="!!!"),"",IF(NOT(ISNA(VLOOKUP(E1850,E$1:E1849,1,FALSE()))),"OLD",IF(AND(E1850&lt;&gt;"",E1850&lt;&gt;"!!!"),"NEW","")))</f>
        <v> </v>
      </c>
      <c r="G1850" s="24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5" t="str">
        <f>IF(J1850&lt;&gt;1,"",IF(I1850="SBJ","CB","?"))</f>
        <v> </v>
      </c>
      <c r="I1850" s="26" t="str">
        <f>IF(OR(E1850="",E1850="!!!",F1850="NEW"),"",INDEX(B1849:B$2,-1+SUMPRODUCT(MAX(ROW(E1849:E$2)*(E1850=E1849:E$2)))))</f>
        <v> </v>
      </c>
      <c r="J1850" s="26" t="str">
        <f>IF(OR(E1850="",E1850="!!!",F1850="NEW"),"",COUNTBLANK(OFFSET(A$1,,,SUMPRODUCT(MAX(ROW(E$2:E1850)*(E1850=E$2:E1850)))))-COUNTBLANK(OFFSET(A$1,,,SUMPRODUCT(MAX(ROW(E$1:E1849)*(E2=E$1:E1849))))))</f>
        <v> </v>
      </c>
      <c r="K1850" s="26" t="str">
        <f>IF(OR(E1850="",E1850="!!!",F1850="NEW"),"",INDEX(J$1:J1849,SUMPRODUCT(MAX(ROW(E$1:E1849)*(E1850=E$1:E1849)))))</f>
        <v> </v>
      </c>
      <c r="L1850" s="27"/>
    </row>
    <row r="1851" spans="1:12">
      <c r="A1851" s="20" t="s">
        <v>583</v>
      </c>
      <c r="E1851" s="22">
        <f>IF(D1851="?OLD","!!!","")</f>
        <v/>
      </c>
      <c r="F1851" s="23" t="str">
        <f>IF(OR(E1851="",E1851="!!!"),"",IF(NOT(ISNA(VLOOKUP(E1851,E$1:E1850,1,FALSE()))),"OLD",IF(AND(E1851&lt;&gt;"",E1851&lt;&gt;"!!!"),"NEW","")))</f>
        <v> </v>
      </c>
      <c r="G1851" s="24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5" t="str">
        <f>IF(J1851&lt;&gt;1,"",IF(I1851="SBJ","CB","?"))</f>
        <v> </v>
      </c>
      <c r="I1851" s="26" t="str">
        <f>IF(OR(E1851="",E1851="!!!",F1851="NEW"),"",INDEX(B1850:B$2,-1+SUMPRODUCT(MAX(ROW(E1850:E$2)*(E1851=E1850:E$2)))))</f>
        <v> </v>
      </c>
      <c r="J1851" s="26" t="str">
        <f>IF(OR(E1851="",E1851="!!!",F1851="NEW"),"",COUNTBLANK(OFFSET(A$1,,,SUMPRODUCT(MAX(ROW(E$2:E1851)*(E1851=E$2:E1851)))))-COUNTBLANK(OFFSET(A$1,,,SUMPRODUCT(MAX(ROW(E$1:E1850)*(E2=E$1:E1850))))))</f>
        <v> </v>
      </c>
      <c r="K1851" s="26" t="str">
        <f>IF(OR(E1851="",E1851="!!!",F1851="NEW"),"",INDEX(J$1:J1850,SUMPRODUCT(MAX(ROW(E$1:E1850)*(E1851=E$1:E1850)))))</f>
        <v> </v>
      </c>
      <c r="L1851" s="27"/>
    </row>
    <row r="1852" spans="1:12">
      <c r="A1852" s="20" t="s">
        <v>1472</v>
      </c>
      <c r="E1852" s="22">
        <f>IF(D1852="?OLD","!!!","")</f>
        <v/>
      </c>
      <c r="F1852" s="23" t="str">
        <f>IF(OR(E1852="",E1852="!!!"),"",IF(NOT(ISNA(VLOOKUP(E1852,E$1:E1851,1,FALSE()))),"OLD",IF(AND(E1852&lt;&gt;"",E1852&lt;&gt;"!!!"),"NEW","")))</f>
        <v> </v>
      </c>
      <c r="G1852" s="24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5" t="str">
        <f>IF(J1852&lt;&gt;1,"",IF(I1852="SBJ","CB","?"))</f>
        <v> </v>
      </c>
      <c r="I1852" s="26" t="str">
        <f>IF(OR(E1852="",E1852="!!!",F1852="NEW"),"",INDEX(B1851:B$2,-1+SUMPRODUCT(MAX(ROW(E1851:E$2)*(E1852=E1851:E$2)))))</f>
        <v> </v>
      </c>
      <c r="J1852" s="26" t="str">
        <f>IF(OR(E1852="",E1852="!!!",F1852="NEW"),"",COUNTBLANK(OFFSET(A$1,,,SUMPRODUCT(MAX(ROW(E$2:E1852)*(E1852=E$2:E1852)))))-COUNTBLANK(OFFSET(A$1,,,SUMPRODUCT(MAX(ROW(E$1:E1851)*(E2=E$1:E1851))))))</f>
        <v> </v>
      </c>
      <c r="K1852" s="26" t="str">
        <f>IF(OR(E1852="",E1852="!!!",F1852="NEW"),"",INDEX(J$1:J1851,SUMPRODUCT(MAX(ROW(E$1:E1851)*(E1852=E$1:E1851)))))</f>
        <v> </v>
      </c>
      <c r="L1852" s="27"/>
    </row>
    <row r="1853" spans="1:12">
      <c r="A1853" s="20" t="s">
        <v>733</v>
      </c>
      <c r="E1853" s="22">
        <f>IF(D1853="?OLD","!!!","")</f>
        <v/>
      </c>
      <c r="F1853" s="23" t="str">
        <f>IF(OR(E1853="",E1853="!!!"),"",IF(NOT(ISNA(VLOOKUP(E1853,E$1:E1852,1,FALSE()))),"OLD",IF(AND(E1853&lt;&gt;"",E1853&lt;&gt;"!!!"),"NEW","")))</f>
        <v> </v>
      </c>
      <c r="G1853" s="24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5" t="str">
        <f>IF(J1853&lt;&gt;1,"",IF(I1853="SBJ","CB","?"))</f>
        <v> </v>
      </c>
      <c r="I1853" s="26" t="str">
        <f>IF(OR(E1853="",E1853="!!!",F1853="NEW"),"",INDEX(B1852:B$2,-1+SUMPRODUCT(MAX(ROW(E1852:E$2)*(E1853=E1852:E$2)))))</f>
        <v> </v>
      </c>
      <c r="J1853" s="26" t="str">
        <f>IF(OR(E1853="",E1853="!!!",F1853="NEW"),"",COUNTBLANK(OFFSET(A$1,,,SUMPRODUCT(MAX(ROW(E$2:E1853)*(E1853=E$2:E1853)))))-COUNTBLANK(OFFSET(A$1,,,SUMPRODUCT(MAX(ROW(E$1:E1852)*(E2=E$1:E1852))))))</f>
        <v> </v>
      </c>
      <c r="K1853" s="26" t="str">
        <f>IF(OR(E1853="",E1853="!!!",F1853="NEW"),"",INDEX(J$1:J1852,SUMPRODUCT(MAX(ROW(E$1:E1852)*(E1853=E$1:E1852)))))</f>
        <v> </v>
      </c>
      <c r="L1853" s="27"/>
    </row>
    <row r="1854" spans="1:12">
      <c r="A1854" s="20" t="s">
        <v>685</v>
      </c>
      <c r="B1854" s="21" t="s">
        <v>605</v>
      </c>
      <c r="C1854" s="21" t="s">
        <v>613</v>
      </c>
      <c r="D1854" s="21" t="s">
        <v>587</v>
      </c>
      <c r="E1854" s="22">
        <f>IF(D1854="?OLD","!!!","")</f>
        <v/>
      </c>
      <c r="F1854" s="23" t="str">
        <f>IF(OR(E1854="",E1854="!!!"),"",IF(NOT(ISNA(VLOOKUP(E1854,E$1:E1853,1,FALSE()))),"OLD",IF(AND(E1854&lt;&gt;"",E1854&lt;&gt;"!!!"),"NEW","")))</f>
        <v> </v>
      </c>
      <c r="G1854" s="24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5" t="str">
        <f>IF(J1854&lt;&gt;1,"",IF(I1854="SBJ","CB","?"))</f>
        <v> </v>
      </c>
      <c r="I1854" s="26" t="str">
        <f>IF(OR(E1854="",E1854="!!!",F1854="NEW"),"",INDEX(B1853:B$2,-1+SUMPRODUCT(MAX(ROW(E1853:E$2)*(E1854=E1853:E$2)))))</f>
        <v> </v>
      </c>
      <c r="J1854" s="26" t="str">
        <f>IF(OR(E1854="",E1854="!!!",F1854="NEW"),"",COUNTBLANK(OFFSET(A$1,,,SUMPRODUCT(MAX(ROW(E$2:E1854)*(E1854=E$2:E1854)))))-COUNTBLANK(OFFSET(A$1,,,SUMPRODUCT(MAX(ROW(E$1:E1853)*(E2=E$1:E1853))))))</f>
        <v> </v>
      </c>
      <c r="K1854" s="26" t="str">
        <f>IF(OR(E1854="",E1854="!!!",F1854="NEW"),"",INDEX(J$1:J1853,SUMPRODUCT(MAX(ROW(E$1:E1853)*(E1854=E$1:E1853)))))</f>
        <v> </v>
      </c>
      <c r="L1854" s="27"/>
    </row>
    <row r="1855" spans="1:12">
      <c r="A1855" s="20" t="s">
        <v>630</v>
      </c>
      <c r="E1855" s="22">
        <f>IF(D1855="?OLD","!!!","")</f>
        <v/>
      </c>
      <c r="F1855" s="23" t="str">
        <f>IF(OR(E1855="",E1855="!!!"),"",IF(NOT(ISNA(VLOOKUP(E1855,E$1:E1854,1,FALSE()))),"OLD",IF(AND(E1855&lt;&gt;"",E1855&lt;&gt;"!!!"),"NEW","")))</f>
        <v> </v>
      </c>
      <c r="G1855" s="24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5" t="str">
        <f>IF(J1855&lt;&gt;1,"",IF(I1855="SBJ","CB","?"))</f>
        <v> </v>
      </c>
      <c r="I1855" s="26" t="str">
        <f>IF(OR(E1855="",E1855="!!!",F1855="NEW"),"",INDEX(B1854:B$2,-1+SUMPRODUCT(MAX(ROW(E1854:E$2)*(E1855=E1854:E$2)))))</f>
        <v> </v>
      </c>
      <c r="J1855" s="26" t="str">
        <f>IF(OR(E1855="",E1855="!!!",F1855="NEW"),"",COUNTBLANK(OFFSET(A$1,,,SUMPRODUCT(MAX(ROW(E$2:E1855)*(E1855=E$2:E1855)))))-COUNTBLANK(OFFSET(A$1,,,SUMPRODUCT(MAX(ROW(E$1:E1854)*(E2=E$1:E1854))))))</f>
        <v> </v>
      </c>
      <c r="K1855" s="26" t="str">
        <f>IF(OR(E1855="",E1855="!!!",F1855="NEW"),"",INDEX(J$1:J1854,SUMPRODUCT(MAX(ROW(E$1:E1854)*(E1855=E$1:E1854)))))</f>
        <v> </v>
      </c>
      <c r="L1855" s="27"/>
    </row>
    <row r="1856" spans="1:12">
      <c r="A1856" s="20" t="s">
        <v>609</v>
      </c>
      <c r="E1856" s="22">
        <f>IF(D1856="?OLD","!!!","")</f>
        <v/>
      </c>
      <c r="F1856" s="23" t="str">
        <f>IF(OR(E1856="",E1856="!!!"),"",IF(NOT(ISNA(VLOOKUP(E1856,E$1:E1855,1,FALSE()))),"OLD",IF(AND(E1856&lt;&gt;"",E1856&lt;&gt;"!!!"),"NEW","")))</f>
        <v> </v>
      </c>
      <c r="G1856" s="24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5" t="str">
        <f>IF(J1856&lt;&gt;1,"",IF(I1856="SBJ","CB","?"))</f>
        <v> </v>
      </c>
      <c r="I1856" s="26" t="str">
        <f>IF(OR(E1856="",E1856="!!!",F1856="NEW"),"",INDEX(B1855:B$2,-1+SUMPRODUCT(MAX(ROW(E1855:E$2)*(E1856=E1855:E$2)))))</f>
        <v> </v>
      </c>
      <c r="J1856" s="26" t="str">
        <f>IF(OR(E1856="",E1856="!!!",F1856="NEW"),"",COUNTBLANK(OFFSET(A$1,,,SUMPRODUCT(MAX(ROW(E$2:E1856)*(E1856=E$2:E1856)))))-COUNTBLANK(OFFSET(A$1,,,SUMPRODUCT(MAX(ROW(E$1:E1855)*(E2=E$1:E1855))))))</f>
        <v> </v>
      </c>
      <c r="K1856" s="26" t="str">
        <f>IF(OR(E1856="",E1856="!!!",F1856="NEW"),"",INDEX(J$1:J1855,SUMPRODUCT(MAX(ROW(E$1:E1855)*(E1856=E$1:E1855)))))</f>
        <v> </v>
      </c>
      <c r="L1856" s="27"/>
    </row>
    <row r="1857" spans="1:12">
      <c r="A1857" s="20" t="s">
        <v>1473</v>
      </c>
      <c r="E1857" s="22">
        <f>IF(D1857="?OLD","!!!","")</f>
        <v/>
      </c>
      <c r="F1857" s="23" t="str">
        <f>IF(OR(E1857="",E1857="!!!"),"",IF(NOT(ISNA(VLOOKUP(E1857,E$1:E1856,1,FALSE()))),"OLD",IF(AND(E1857&lt;&gt;"",E1857&lt;&gt;"!!!"),"NEW","")))</f>
        <v> </v>
      </c>
      <c r="G1857" s="24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5" t="str">
        <f>IF(J1857&lt;&gt;1,"",IF(I1857="SBJ","CB","?"))</f>
        <v> </v>
      </c>
      <c r="I1857" s="26" t="str">
        <f>IF(OR(E1857="",E1857="!!!",F1857="NEW"),"",INDEX(B1856:B$2,-1+SUMPRODUCT(MAX(ROW(E1856:E$2)*(E1857=E1856:E$2)))))</f>
        <v> </v>
      </c>
      <c r="J1857" s="26" t="str">
        <f>IF(OR(E1857="",E1857="!!!",F1857="NEW"),"",COUNTBLANK(OFFSET(A$1,,,SUMPRODUCT(MAX(ROW(E$2:E1857)*(E1857=E$2:E1857)))))-COUNTBLANK(OFFSET(A$1,,,SUMPRODUCT(MAX(ROW(E$1:E1856)*(E2=E$1:E1856))))))</f>
        <v> </v>
      </c>
      <c r="K1857" s="26" t="str">
        <f>IF(OR(E1857="",E1857="!!!",F1857="NEW"),"",INDEX(J$1:J1856,SUMPRODUCT(MAX(ROW(E$1:E1856)*(E1857=E$1:E1856)))))</f>
        <v> </v>
      </c>
      <c r="L1857" s="27"/>
    </row>
    <row r="1858" spans="1:12">
      <c r="A1858" s="20" t="s">
        <v>975</v>
      </c>
      <c r="E1858" s="22">
        <f>IF(D1858="?OLD","!!!","")</f>
        <v/>
      </c>
      <c r="F1858" s="23" t="str">
        <f>IF(OR(E1858="",E1858="!!!"),"",IF(NOT(ISNA(VLOOKUP(E1858,E$1:E1857,1,FALSE()))),"OLD",IF(AND(E1858&lt;&gt;"",E1858&lt;&gt;"!!!"),"NEW","")))</f>
        <v> </v>
      </c>
      <c r="G1858" s="24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5" t="str">
        <f>IF(J1858&lt;&gt;1,"",IF(I1858="SBJ","CB","?"))</f>
        <v> </v>
      </c>
      <c r="I1858" s="26" t="str">
        <f>IF(OR(E1858="",E1858="!!!",F1858="NEW"),"",INDEX(B1857:B$2,-1+SUMPRODUCT(MAX(ROW(E1857:E$2)*(E1858=E1857:E$2)))))</f>
        <v> </v>
      </c>
      <c r="J1858" s="26" t="str">
        <f>IF(OR(E1858="",E1858="!!!",F1858="NEW"),"",COUNTBLANK(OFFSET(A$1,,,SUMPRODUCT(MAX(ROW(E$2:E1858)*(E1858=E$2:E1858)))))-COUNTBLANK(OFFSET(A$1,,,SUMPRODUCT(MAX(ROW(E$1:E1857)*(E2=E$1:E1857))))))</f>
        <v> </v>
      </c>
      <c r="K1858" s="26" t="str">
        <f>IF(OR(E1858="",E1858="!!!",F1858="NEW"),"",INDEX(J$1:J1857,SUMPRODUCT(MAX(ROW(E$1:E1857)*(E1858=E$1:E1857)))))</f>
        <v> </v>
      </c>
      <c r="L1858" s="27"/>
    </row>
    <row r="1859" spans="1:12">
      <c r="A1859" s="20" t="s">
        <v>580</v>
      </c>
      <c r="E1859" s="22">
        <f>IF(D1859="?OLD","!!!","")</f>
        <v/>
      </c>
      <c r="F1859" s="23" t="str">
        <f>IF(OR(E1859="",E1859="!!!"),"",IF(NOT(ISNA(VLOOKUP(E1859,E$1:E1858,1,FALSE()))),"OLD",IF(AND(E1859&lt;&gt;"",E1859&lt;&gt;"!!!"),"NEW","")))</f>
        <v> </v>
      </c>
      <c r="G1859" s="24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5" t="str">
        <f>IF(J1859&lt;&gt;1,"",IF(I1859="SBJ","CB","?"))</f>
        <v> </v>
      </c>
      <c r="I1859" s="26" t="str">
        <f>IF(OR(E1859="",E1859="!!!",F1859="NEW"),"",INDEX(B1858:B$2,-1+SUMPRODUCT(MAX(ROW(E1858:E$2)*(E1859=E1858:E$2)))))</f>
        <v> </v>
      </c>
      <c r="J1859" s="26" t="str">
        <f>IF(OR(E1859="",E1859="!!!",F1859="NEW"),"",COUNTBLANK(OFFSET(A$1,,,SUMPRODUCT(MAX(ROW(E$2:E1859)*(E1859=E$2:E1859)))))-COUNTBLANK(OFFSET(A$1,,,SUMPRODUCT(MAX(ROW(E$1:E1858)*(E2=E$1:E1858))))))</f>
        <v> </v>
      </c>
      <c r="K1859" s="26" t="str">
        <f>IF(OR(E1859="",E1859="!!!",F1859="NEW"),"",INDEX(J$1:J1858,SUMPRODUCT(MAX(ROW(E$1:E1858)*(E1859=E$1:E1858)))))</f>
        <v> </v>
      </c>
      <c r="L1859" s="27"/>
    </row>
    <row r="1860" spans="1:12">
      <c r="A1860" s="20" t="s">
        <v>1474</v>
      </c>
      <c r="E1860" s="22">
        <f>IF(D1860="?OLD","!!!","")</f>
        <v/>
      </c>
      <c r="F1860" s="23" t="str">
        <f>IF(OR(E1860="",E1860="!!!"),"",IF(NOT(ISNA(VLOOKUP(E1860,E$1:E1859,1,FALSE()))),"OLD",IF(AND(E1860&lt;&gt;"",E1860&lt;&gt;"!!!"),"NEW","")))</f>
        <v> </v>
      </c>
      <c r="G1860" s="24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5" t="str">
        <f>IF(J1860&lt;&gt;1,"",IF(I1860="SBJ","CB","?"))</f>
        <v> </v>
      </c>
      <c r="I1860" s="26" t="str">
        <f>IF(OR(E1860="",E1860="!!!",F1860="NEW"),"",INDEX(B1859:B$2,-1+SUMPRODUCT(MAX(ROW(E1859:E$2)*(E1860=E1859:E$2)))))</f>
        <v> </v>
      </c>
      <c r="J1860" s="26" t="str">
        <f>IF(OR(E1860="",E1860="!!!",F1860="NEW"),"",COUNTBLANK(OFFSET(A$1,,,SUMPRODUCT(MAX(ROW(E$2:E1860)*(E1860=E$2:E1860)))))-COUNTBLANK(OFFSET(A$1,,,SUMPRODUCT(MAX(ROW(E$1:E1859)*(E2=E$1:E1859))))))</f>
        <v> </v>
      </c>
      <c r="K1860" s="26" t="str">
        <f>IF(OR(E1860="",E1860="!!!",F1860="NEW"),"",INDEX(J$1:J1859,SUMPRODUCT(MAX(ROW(E$1:E1859)*(E1860=E$1:E1859)))))</f>
        <v> </v>
      </c>
      <c r="L1860" s="27"/>
    </row>
    <row r="1861" spans="1:12">
      <c r="A1861" s="20" t="s">
        <v>1475</v>
      </c>
      <c r="B1861" s="21" t="s">
        <v>601</v>
      </c>
      <c r="C1861" s="21" t="s">
        <v>586</v>
      </c>
      <c r="E1861" s="22">
        <f>IF(D1861="?OLD","!!!","")</f>
        <v/>
      </c>
      <c r="F1861" s="23" t="str">
        <f>IF(OR(E1861="",E1861="!!!"),"",IF(NOT(ISNA(VLOOKUP(E1861,E$1:E1860,1,FALSE()))),"OLD",IF(AND(E1861&lt;&gt;"",E1861&lt;&gt;"!!!"),"NEW","")))</f>
        <v> </v>
      </c>
      <c r="G1861" s="24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5" t="str">
        <f>IF(J1861&lt;&gt;1,"",IF(I1861="SBJ","CB","?"))</f>
        <v> </v>
      </c>
      <c r="I1861" s="26" t="str">
        <f>IF(OR(E1861="",E1861="!!!",F1861="NEW"),"",INDEX(B1860:B$2,-1+SUMPRODUCT(MAX(ROW(E1860:E$2)*(E1861=E1860:E$2)))))</f>
        <v> </v>
      </c>
      <c r="J1861" s="26" t="str">
        <f>IF(OR(E1861="",E1861="!!!",F1861="NEW"),"",COUNTBLANK(OFFSET(A$1,,,SUMPRODUCT(MAX(ROW(E$2:E1861)*(E1861=E$2:E1861)))))-COUNTBLANK(OFFSET(A$1,,,SUMPRODUCT(MAX(ROW(E$1:E1860)*(E2=E$1:E1860))))))</f>
        <v> </v>
      </c>
      <c r="K1861" s="26" t="str">
        <f>IF(OR(E1861="",E1861="!!!",F1861="NEW"),"",INDEX(J$1:J1860,SUMPRODUCT(MAX(ROW(E$1:E1860)*(E1861=E$1:E1860)))))</f>
        <v> </v>
      </c>
      <c r="L1861" s="27"/>
    </row>
    <row r="1862" spans="1:12">
      <c r="A1862" s="20" t="s">
        <v>592</v>
      </c>
      <c r="E1862" s="22">
        <f>IF(D1862="?OLD","!!!","")</f>
        <v/>
      </c>
      <c r="F1862" s="23" t="str">
        <f>IF(OR(E1862="",E1862="!!!"),"",IF(NOT(ISNA(VLOOKUP(E1862,E$1:E1861,1,FALSE()))),"OLD",IF(AND(E1862&lt;&gt;"",E1862&lt;&gt;"!!!"),"NEW","")))</f>
        <v> </v>
      </c>
      <c r="G1862" s="24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5" t="str">
        <f>IF(J1862&lt;&gt;1,"",IF(I1862="SBJ","CB","?"))</f>
        <v> </v>
      </c>
      <c r="I1862" s="26" t="str">
        <f>IF(OR(E1862="",E1862="!!!",F1862="NEW"),"",INDEX(B1861:B$2,-1+SUMPRODUCT(MAX(ROW(E1861:E$2)*(E1862=E1861:E$2)))))</f>
        <v> </v>
      </c>
      <c r="J1862" s="26" t="str">
        <f>IF(OR(E1862="",E1862="!!!",F1862="NEW"),"",COUNTBLANK(OFFSET(A$1,,,SUMPRODUCT(MAX(ROW(E$2:E1862)*(E1862=E$2:E1862)))))-COUNTBLANK(OFFSET(A$1,,,SUMPRODUCT(MAX(ROW(E$1:E1861)*(E2=E$1:E1861))))))</f>
        <v> </v>
      </c>
      <c r="K1862" s="26" t="str">
        <f>IF(OR(E1862="",E1862="!!!",F1862="NEW"),"",INDEX(J$1:J1861,SUMPRODUCT(MAX(ROW(E$1:E1861)*(E1862=E$1:E1861)))))</f>
        <v> </v>
      </c>
      <c r="L1862" s="27"/>
    </row>
    <row r="1863" spans="1:12">
      <c r="A1863" s="20"/>
    </row>
    <row r="1864" spans="1:12">
      <c r="A1864" s="20" t="s">
        <v>1476</v>
      </c>
    </row>
    <row r="1865" spans="1:12">
      <c r="A1865" s="20" t="s">
        <v>1247</v>
      </c>
      <c r="E1865" s="22">
        <f>IF(D1865="?OLD","!!!","")</f>
        <v/>
      </c>
      <c r="F1865" s="23" t="str">
        <f>IF(OR(E1865="",E1865="!!!"),"",IF(NOT(ISNA(VLOOKUP(E1865,E$1:E1864,1,FALSE()))),"OLD",IF(AND(E1865&lt;&gt;"",E1865&lt;&gt;"!!!"),"NEW","")))</f>
        <v> </v>
      </c>
      <c r="G1865" s="24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5" t="str">
        <f>IF(J1865&lt;&gt;1,"",IF(I1865="SBJ","CB","?"))</f>
        <v> </v>
      </c>
      <c r="I1865" s="26" t="str">
        <f>IF(OR(E1865="",E1865="!!!",F1865="NEW"),"",INDEX(B1864:B$2,-1+SUMPRODUCT(MAX(ROW(E1864:E$2)*(E1865=E1864:E$2)))))</f>
        <v> </v>
      </c>
      <c r="J1865" s="26" t="str">
        <f>IF(OR(E1865="",E1865="!!!",F1865="NEW"),"",COUNTBLANK(OFFSET(A$1,,,SUMPRODUCT(MAX(ROW(E$2:E1865)*(E1865=E$2:E1865)))))-COUNTBLANK(OFFSET(A$1,,,SUMPRODUCT(MAX(ROW(E$1:E1864)*(E2=E$1:E1864))))))</f>
        <v> </v>
      </c>
      <c r="K1865" s="26" t="str">
        <f>IF(OR(E1865="",E1865="!!!",F1865="NEW"),"",INDEX(J$1:J1864,SUMPRODUCT(MAX(ROW(E$1:E1864)*(E1865=E$1:E1864)))))</f>
        <v> </v>
      </c>
      <c r="L1865" s="27"/>
    </row>
    <row r="1866" spans="1:12">
      <c r="A1866" s="20" t="s">
        <v>580</v>
      </c>
      <c r="E1866" s="22">
        <f>IF(D1866="?OLD","!!!","")</f>
        <v/>
      </c>
      <c r="F1866" s="23" t="str">
        <f>IF(OR(E1866="",E1866="!!!"),"",IF(NOT(ISNA(VLOOKUP(E1866,E$1:E1865,1,FALSE()))),"OLD",IF(AND(E1866&lt;&gt;"",E1866&lt;&gt;"!!!"),"NEW","")))</f>
        <v> </v>
      </c>
      <c r="G1866" s="24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5" t="str">
        <f>IF(J1866&lt;&gt;1,"",IF(I1866="SBJ","CB","?"))</f>
        <v> </v>
      </c>
      <c r="I1866" s="26" t="str">
        <f>IF(OR(E1866="",E1866="!!!",F1866="NEW"),"",INDEX(B1865:B$2,-1+SUMPRODUCT(MAX(ROW(E1865:E$2)*(E1866=E1865:E$2)))))</f>
        <v> </v>
      </c>
      <c r="J1866" s="26" t="str">
        <f>IF(OR(E1866="",E1866="!!!",F1866="NEW"),"",COUNTBLANK(OFFSET(A$1,,,SUMPRODUCT(MAX(ROW(E$2:E1866)*(E1866=E$2:E1866)))))-COUNTBLANK(OFFSET(A$1,,,SUMPRODUCT(MAX(ROW(E$1:E1865)*(E2=E$1:E1865))))))</f>
        <v> </v>
      </c>
      <c r="K1866" s="26" t="str">
        <f>IF(OR(E1866="",E1866="!!!",F1866="NEW"),"",INDEX(J$1:J1865,SUMPRODUCT(MAX(ROW(E$1:E1865)*(E1866=E$1:E1865)))))</f>
        <v> </v>
      </c>
      <c r="L1866" s="27"/>
    </row>
    <row r="1867" spans="1:12">
      <c r="A1867" s="20" t="s">
        <v>740</v>
      </c>
      <c r="B1867" s="21" t="s">
        <v>651</v>
      </c>
      <c r="C1867" s="21" t="s">
        <v>602</v>
      </c>
      <c r="E1867" s="22">
        <f>IF(D1867="?OLD","!!!","")</f>
        <v/>
      </c>
      <c r="F1867" s="23" t="str">
        <f>IF(OR(E1867="",E1867="!!!"),"",IF(NOT(ISNA(VLOOKUP(E1867,E$1:E1866,1,FALSE()))),"OLD",IF(AND(E1867&lt;&gt;"",E1867&lt;&gt;"!!!"),"NEW","")))</f>
        <v> </v>
      </c>
      <c r="G1867" s="24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5" t="str">
        <f>IF(J1867&lt;&gt;1,"",IF(I1867="SBJ","CB","?"))</f>
        <v> </v>
      </c>
      <c r="I1867" s="26" t="str">
        <f>IF(OR(E1867="",E1867="!!!",F1867="NEW"),"",INDEX(B1866:B$2,-1+SUMPRODUCT(MAX(ROW(E1866:E$2)*(E1867=E1866:E$2)))))</f>
        <v> </v>
      </c>
      <c r="J1867" s="26" t="str">
        <f>IF(OR(E1867="",E1867="!!!",F1867="NEW"),"",COUNTBLANK(OFFSET(A$1,,,SUMPRODUCT(MAX(ROW(E$2:E1867)*(E1867=E$2:E1867)))))-COUNTBLANK(OFFSET(A$1,,,SUMPRODUCT(MAX(ROW(E$1:E1866)*(E2=E$1:E1866))))))</f>
        <v> </v>
      </c>
      <c r="K1867" s="26" t="str">
        <f>IF(OR(E1867="",E1867="!!!",F1867="NEW"),"",INDEX(J$1:J1866,SUMPRODUCT(MAX(ROW(E$1:E1866)*(E1867=E$1:E1866)))))</f>
        <v> </v>
      </c>
      <c r="L1867" s="27"/>
    </row>
    <row r="1868" spans="1:12">
      <c r="A1868" s="20" t="s">
        <v>1477</v>
      </c>
      <c r="B1868" s="21" t="s">
        <v>578</v>
      </c>
      <c r="E1868" s="22">
        <f>IF(D1868="?OLD","!!!","")</f>
        <v/>
      </c>
      <c r="F1868" s="23" t="str">
        <f>IF(OR(E1868="",E1868="!!!"),"",IF(NOT(ISNA(VLOOKUP(E1868,E$1:E1867,1,FALSE()))),"OLD",IF(AND(E1868&lt;&gt;"",E1868&lt;&gt;"!!!"),"NEW","")))</f>
        <v> </v>
      </c>
      <c r="G1868" s="24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5" t="str">
        <f>IF(J1868&lt;&gt;1,"",IF(I1868="SBJ","CB","?"))</f>
        <v> </v>
      </c>
      <c r="I1868" s="26" t="str">
        <f>IF(OR(E1868="",E1868="!!!",F1868="NEW"),"",INDEX(B1867:B$2,-1+SUMPRODUCT(MAX(ROW(E1867:E$2)*(E1868=E1867:E$2)))))</f>
        <v> </v>
      </c>
      <c r="J1868" s="26" t="str">
        <f>IF(OR(E1868="",E1868="!!!",F1868="NEW"),"",COUNTBLANK(OFFSET(A$1,,,SUMPRODUCT(MAX(ROW(E$2:E1868)*(E1868=E$2:E1868)))))-COUNTBLANK(OFFSET(A$1,,,SUMPRODUCT(MAX(ROW(E$1:E1867)*(E2=E$1:E1867))))))</f>
        <v> </v>
      </c>
      <c r="K1868" s="26" t="str">
        <f>IF(OR(E1868="",E1868="!!!",F1868="NEW"),"",INDEX(J$1:J1867,SUMPRODUCT(MAX(ROW(E$1:E1867)*(E1868=E$1:E1867)))))</f>
        <v> </v>
      </c>
      <c r="L1868" s="27"/>
    </row>
    <row r="1869" spans="1:12">
      <c r="A1869" s="20" t="s">
        <v>583</v>
      </c>
      <c r="E1869" s="22">
        <f>IF(D1869="?OLD","!!!","")</f>
        <v/>
      </c>
      <c r="F1869" s="23" t="str">
        <f>IF(OR(E1869="",E1869="!!!"),"",IF(NOT(ISNA(VLOOKUP(E1869,E$1:E1868,1,FALSE()))),"OLD",IF(AND(E1869&lt;&gt;"",E1869&lt;&gt;"!!!"),"NEW","")))</f>
        <v> </v>
      </c>
      <c r="G1869" s="24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5" t="str">
        <f>IF(J1869&lt;&gt;1,"",IF(I1869="SBJ","CB","?"))</f>
        <v> </v>
      </c>
      <c r="I1869" s="26" t="str">
        <f>IF(OR(E1869="",E1869="!!!",F1869="NEW"),"",INDEX(B1868:B$2,-1+SUMPRODUCT(MAX(ROW(E1868:E$2)*(E1869=E1868:E$2)))))</f>
        <v> </v>
      </c>
      <c r="J1869" s="26" t="str">
        <f>IF(OR(E1869="",E1869="!!!",F1869="NEW"),"",COUNTBLANK(OFFSET(A$1,,,SUMPRODUCT(MAX(ROW(E$2:E1869)*(E1869=E$2:E1869)))))-COUNTBLANK(OFFSET(A$1,,,SUMPRODUCT(MAX(ROW(E$1:E1868)*(E2=E$1:E1868))))))</f>
        <v> </v>
      </c>
      <c r="K1869" s="26" t="str">
        <f>IF(OR(E1869="",E1869="!!!",F1869="NEW"),"",INDEX(J$1:J1868,SUMPRODUCT(MAX(ROW(E$1:E1868)*(E1869=E$1:E1868)))))</f>
        <v> </v>
      </c>
      <c r="L1869" s="27"/>
    </row>
    <row r="1870" spans="1:12">
      <c r="A1870" s="20" t="s">
        <v>630</v>
      </c>
      <c r="E1870" s="22">
        <f>IF(D1870="?OLD","!!!","")</f>
        <v/>
      </c>
      <c r="F1870" s="23" t="str">
        <f>IF(OR(E1870="",E1870="!!!"),"",IF(NOT(ISNA(VLOOKUP(E1870,E$1:E1869,1,FALSE()))),"OLD",IF(AND(E1870&lt;&gt;"",E1870&lt;&gt;"!!!"),"NEW","")))</f>
        <v> </v>
      </c>
      <c r="G1870" s="24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5" t="str">
        <f>IF(J1870&lt;&gt;1,"",IF(I1870="SBJ","CB","?"))</f>
        <v> </v>
      </c>
      <c r="I1870" s="26" t="str">
        <f>IF(OR(E1870="",E1870="!!!",F1870="NEW"),"",INDEX(B1869:B$2,-1+SUMPRODUCT(MAX(ROW(E1869:E$2)*(E1870=E1869:E$2)))))</f>
        <v> </v>
      </c>
      <c r="J1870" s="26" t="str">
        <f>IF(OR(E1870="",E1870="!!!",F1870="NEW"),"",COUNTBLANK(OFFSET(A$1,,,SUMPRODUCT(MAX(ROW(E$2:E1870)*(E1870=E$2:E1870)))))-COUNTBLANK(OFFSET(A$1,,,SUMPRODUCT(MAX(ROW(E$1:E1869)*(E2=E$1:E1869))))))</f>
        <v> </v>
      </c>
      <c r="K1870" s="26" t="str">
        <f>IF(OR(E1870="",E1870="!!!",F1870="NEW"),"",INDEX(J$1:J1869,SUMPRODUCT(MAX(ROW(E$1:E1869)*(E1870=E$1:E1869)))))</f>
        <v> </v>
      </c>
      <c r="L1870" s="27"/>
    </row>
    <row r="1871" spans="1:12">
      <c r="A1871" s="20" t="s">
        <v>1477</v>
      </c>
      <c r="B1871" s="21" t="s">
        <v>590</v>
      </c>
      <c r="E1871" s="22">
        <f>IF(D1871="?OLD","!!!","")</f>
        <v/>
      </c>
      <c r="F1871" s="23" t="str">
        <f>IF(OR(E1871="",E1871="!!!"),"",IF(NOT(ISNA(VLOOKUP(E1871,E$1:E1870,1,FALSE()))),"OLD",IF(AND(E1871&lt;&gt;"",E1871&lt;&gt;"!!!"),"NEW","")))</f>
        <v> </v>
      </c>
      <c r="G1871" s="24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5" t="str">
        <f>IF(J1871&lt;&gt;1,"",IF(I1871="SBJ","CB","?"))</f>
        <v> </v>
      </c>
      <c r="I1871" s="26" t="str">
        <f>IF(OR(E1871="",E1871="!!!",F1871="NEW"),"",INDEX(B1870:B$2,-1+SUMPRODUCT(MAX(ROW(E1870:E$2)*(E1871=E1870:E$2)))))</f>
        <v> </v>
      </c>
      <c r="J1871" s="26" t="str">
        <f>IF(OR(E1871="",E1871="!!!",F1871="NEW"),"",COUNTBLANK(OFFSET(A$1,,,SUMPRODUCT(MAX(ROW(E$2:E1871)*(E1871=E$2:E1871)))))-COUNTBLANK(OFFSET(A$1,,,SUMPRODUCT(MAX(ROW(E$1:E1870)*(E2=E$1:E1870))))))</f>
        <v> </v>
      </c>
      <c r="K1871" s="26" t="str">
        <f>IF(OR(E1871="",E1871="!!!",F1871="NEW"),"",INDEX(J$1:J1870,SUMPRODUCT(MAX(ROW(E$1:E1870)*(E1871=E$1:E1870)))))</f>
        <v> </v>
      </c>
      <c r="L1871" s="27"/>
    </row>
    <row r="1872" spans="1:12">
      <c r="A1872" s="20" t="s">
        <v>580</v>
      </c>
      <c r="E1872" s="22">
        <f>IF(D1872="?OLD","!!!","")</f>
        <v/>
      </c>
      <c r="F1872" s="23" t="str">
        <f>IF(OR(E1872="",E1872="!!!"),"",IF(NOT(ISNA(VLOOKUP(E1872,E$1:E1871,1,FALSE()))),"OLD",IF(AND(E1872&lt;&gt;"",E1872&lt;&gt;"!!!"),"NEW","")))</f>
        <v> </v>
      </c>
      <c r="G1872" s="24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5" t="str">
        <f>IF(J1872&lt;&gt;1,"",IF(I1872="SBJ","CB","?"))</f>
        <v> </v>
      </c>
      <c r="I1872" s="26" t="str">
        <f>IF(OR(E1872="",E1872="!!!",F1872="NEW"),"",INDEX(B1871:B$2,-1+SUMPRODUCT(MAX(ROW(E1871:E$2)*(E1872=E1871:E$2)))))</f>
        <v> </v>
      </c>
      <c r="J1872" s="26" t="str">
        <f>IF(OR(E1872="",E1872="!!!",F1872="NEW"),"",COUNTBLANK(OFFSET(A$1,,,SUMPRODUCT(MAX(ROW(E$2:E1872)*(E1872=E$2:E1872)))))-COUNTBLANK(OFFSET(A$1,,,SUMPRODUCT(MAX(ROW(E$1:E1871)*(E2=E$1:E1871))))))</f>
        <v> </v>
      </c>
      <c r="K1872" s="26" t="str">
        <f>IF(OR(E1872="",E1872="!!!",F1872="NEW"),"",INDEX(J$1:J1871,SUMPRODUCT(MAX(ROW(E$1:E1871)*(E1872=E$1:E1871)))))</f>
        <v> </v>
      </c>
      <c r="L1872" s="27"/>
    </row>
    <row r="1873" spans="1:12">
      <c r="A1873" s="20" t="s">
        <v>1478</v>
      </c>
      <c r="E1873" s="22">
        <f>IF(D1873="?OLD","!!!","")</f>
        <v/>
      </c>
      <c r="F1873" s="23" t="str">
        <f>IF(OR(E1873="",E1873="!!!"),"",IF(NOT(ISNA(VLOOKUP(E1873,E$1:E1872,1,FALSE()))),"OLD",IF(AND(E1873&lt;&gt;"",E1873&lt;&gt;"!!!"),"NEW","")))</f>
        <v> </v>
      </c>
      <c r="G1873" s="24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5" t="str">
        <f>IF(J1873&lt;&gt;1,"",IF(I1873="SBJ","CB","?"))</f>
        <v> </v>
      </c>
      <c r="I1873" s="26" t="str">
        <f>IF(OR(E1873="",E1873="!!!",F1873="NEW"),"",INDEX(B1872:B$2,-1+SUMPRODUCT(MAX(ROW(E1872:E$2)*(E1873=E1872:E$2)))))</f>
        <v> </v>
      </c>
      <c r="J1873" s="26" t="str">
        <f>IF(OR(E1873="",E1873="!!!",F1873="NEW"),"",COUNTBLANK(OFFSET(A$1,,,SUMPRODUCT(MAX(ROW(E$2:E1873)*(E1873=E$2:E1873)))))-COUNTBLANK(OFFSET(A$1,,,SUMPRODUCT(MAX(ROW(E$1:E1872)*(E2=E$1:E1872))))))</f>
        <v> </v>
      </c>
      <c r="K1873" s="26" t="str">
        <f>IF(OR(E1873="",E1873="!!!",F1873="NEW"),"",INDEX(J$1:J1872,SUMPRODUCT(MAX(ROW(E$1:E1872)*(E1873=E$1:E1872)))))</f>
        <v> </v>
      </c>
      <c r="L1873" s="27"/>
    </row>
    <row r="1874" spans="1:12">
      <c r="A1874" s="20" t="s">
        <v>822</v>
      </c>
      <c r="E1874" s="22">
        <f>IF(D1874="?OLD","!!!","")</f>
        <v/>
      </c>
      <c r="F1874" s="23" t="str">
        <f>IF(OR(E1874="",E1874="!!!"),"",IF(NOT(ISNA(VLOOKUP(E1874,E$1:E1873,1,FALSE()))),"OLD",IF(AND(E1874&lt;&gt;"",E1874&lt;&gt;"!!!"),"NEW","")))</f>
        <v> </v>
      </c>
      <c r="G1874" s="24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5" t="str">
        <f>IF(J1874&lt;&gt;1,"",IF(I1874="SBJ","CB","?"))</f>
        <v> </v>
      </c>
      <c r="I1874" s="26" t="str">
        <f>IF(OR(E1874="",E1874="!!!",F1874="NEW"),"",INDEX(B1873:B$2,-1+SUMPRODUCT(MAX(ROW(E1873:E$2)*(E1874=E1873:E$2)))))</f>
        <v> </v>
      </c>
      <c r="J1874" s="26" t="str">
        <f>IF(OR(E1874="",E1874="!!!",F1874="NEW"),"",COUNTBLANK(OFFSET(A$1,,,SUMPRODUCT(MAX(ROW(E$2:E1874)*(E1874=E$2:E1874)))))-COUNTBLANK(OFFSET(A$1,,,SUMPRODUCT(MAX(ROW(E$1:E1873)*(E2=E$1:E1873))))))</f>
        <v> </v>
      </c>
      <c r="K1874" s="26" t="str">
        <f>IF(OR(E1874="",E1874="!!!",F1874="NEW"),"",INDEX(J$1:J1873,SUMPRODUCT(MAX(ROW(E$1:E1873)*(E1874=E$1:E1873)))))</f>
        <v> </v>
      </c>
      <c r="L1874" s="27"/>
    </row>
    <row r="1875" spans="1:12">
      <c r="A1875" s="20" t="s">
        <v>583</v>
      </c>
      <c r="E1875" s="22">
        <f>IF(D1875="?OLD","!!!","")</f>
        <v/>
      </c>
      <c r="F1875" s="23" t="str">
        <f>IF(OR(E1875="",E1875="!!!"),"",IF(NOT(ISNA(VLOOKUP(E1875,E$1:E1874,1,FALSE()))),"OLD",IF(AND(E1875&lt;&gt;"",E1875&lt;&gt;"!!!"),"NEW","")))</f>
        <v> </v>
      </c>
      <c r="G1875" s="24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5" t="str">
        <f>IF(J1875&lt;&gt;1,"",IF(I1875="SBJ","CB","?"))</f>
        <v> </v>
      </c>
      <c r="I1875" s="26" t="str">
        <f>IF(OR(E1875="",E1875="!!!",F1875="NEW"),"",INDEX(B1874:B$2,-1+SUMPRODUCT(MAX(ROW(E1874:E$2)*(E1875=E1874:E$2)))))</f>
        <v> </v>
      </c>
      <c r="J1875" s="26" t="str">
        <f>IF(OR(E1875="",E1875="!!!",F1875="NEW"),"",COUNTBLANK(OFFSET(A$1,,,SUMPRODUCT(MAX(ROW(E$2:E1875)*(E1875=E$2:E1875)))))-COUNTBLANK(OFFSET(A$1,,,SUMPRODUCT(MAX(ROW(E$1:E1874)*(E2=E$1:E1874))))))</f>
        <v> </v>
      </c>
      <c r="K1875" s="26" t="str">
        <f>IF(OR(E1875="",E1875="!!!",F1875="NEW"),"",INDEX(J$1:J1874,SUMPRODUCT(MAX(ROW(E$1:E1874)*(E1875=E$1:E1874)))))</f>
        <v> </v>
      </c>
      <c r="L1875" s="27"/>
    </row>
    <row r="1876" spans="1:12">
      <c r="A1876" s="20" t="s">
        <v>1362</v>
      </c>
      <c r="E1876" s="22">
        <f>IF(D1876="?OLD","!!!","")</f>
        <v/>
      </c>
      <c r="F1876" s="23" t="str">
        <f>IF(OR(E1876="",E1876="!!!"),"",IF(NOT(ISNA(VLOOKUP(E1876,E$1:E1875,1,FALSE()))),"OLD",IF(AND(E1876&lt;&gt;"",E1876&lt;&gt;"!!!"),"NEW","")))</f>
        <v> </v>
      </c>
      <c r="G1876" s="24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5" t="str">
        <f>IF(J1876&lt;&gt;1,"",IF(I1876="SBJ","CB","?"))</f>
        <v> </v>
      </c>
      <c r="I1876" s="26" t="str">
        <f>IF(OR(E1876="",E1876="!!!",F1876="NEW"),"",INDEX(B1875:B$2,-1+SUMPRODUCT(MAX(ROW(E1875:E$2)*(E1876=E1875:E$2)))))</f>
        <v> </v>
      </c>
      <c r="J1876" s="26" t="str">
        <f>IF(OR(E1876="",E1876="!!!",F1876="NEW"),"",COUNTBLANK(OFFSET(A$1,,,SUMPRODUCT(MAX(ROW(E$2:E1876)*(E1876=E$2:E1876)))))-COUNTBLANK(OFFSET(A$1,,,SUMPRODUCT(MAX(ROW(E$1:E1875)*(E2=E$1:E1875))))))</f>
        <v> </v>
      </c>
      <c r="K1876" s="26" t="str">
        <f>IF(OR(E1876="",E1876="!!!",F1876="NEW"),"",INDEX(J$1:J1875,SUMPRODUCT(MAX(ROW(E$1:E1875)*(E1876=E$1:E1875)))))</f>
        <v> </v>
      </c>
      <c r="L1876" s="27"/>
    </row>
    <row r="1877" spans="1:12">
      <c r="A1877" s="20" t="s">
        <v>369</v>
      </c>
      <c r="E1877" s="22">
        <f>IF(D1877="?OLD","!!!","")</f>
        <v/>
      </c>
      <c r="F1877" s="23" t="str">
        <f>IF(OR(E1877="",E1877="!!!"),"",IF(NOT(ISNA(VLOOKUP(E1877,E$1:E1876,1,FALSE()))),"OLD",IF(AND(E1877&lt;&gt;"",E1877&lt;&gt;"!!!"),"NEW","")))</f>
        <v> </v>
      </c>
      <c r="G1877" s="24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5" t="str">
        <f>IF(J1877&lt;&gt;1,"",IF(I1877="SBJ","CB","?"))</f>
        <v> </v>
      </c>
      <c r="I1877" s="26" t="str">
        <f>IF(OR(E1877="",E1877="!!!",F1877="NEW"),"",INDEX(B1876:B$2,-1+SUMPRODUCT(MAX(ROW(E1876:E$2)*(E1877=E1876:E$2)))))</f>
        <v> </v>
      </c>
      <c r="J1877" s="26" t="str">
        <f>IF(OR(E1877="",E1877="!!!",F1877="NEW"),"",COUNTBLANK(OFFSET(A$1,,,SUMPRODUCT(MAX(ROW(E$2:E1877)*(E1877=E$2:E1877)))))-COUNTBLANK(OFFSET(A$1,,,SUMPRODUCT(MAX(ROW(E$1:E1876)*(E2=E$1:E1876))))))</f>
        <v> </v>
      </c>
      <c r="K1877" s="26" t="str">
        <f>IF(OR(E1877="",E1877="!!!",F1877="NEW"),"",INDEX(J$1:J1876,SUMPRODUCT(MAX(ROW(E$1:E1876)*(E1877=E$1:E1876)))))</f>
        <v> </v>
      </c>
      <c r="L1877" s="27"/>
    </row>
    <row r="1878" spans="1:12">
      <c r="A1878" s="20" t="s">
        <v>754</v>
      </c>
      <c r="B1878" s="21" t="s">
        <v>590</v>
      </c>
      <c r="E1878" s="22">
        <f>IF(D1878="?OLD","!!!","")</f>
        <v/>
      </c>
      <c r="F1878" s="23" t="str">
        <f>IF(OR(E1878="",E1878="!!!"),"",IF(NOT(ISNA(VLOOKUP(E1878,E$1:E1877,1,FALSE()))),"OLD",IF(AND(E1878&lt;&gt;"",E1878&lt;&gt;"!!!"),"NEW","")))</f>
        <v> </v>
      </c>
      <c r="G1878" s="24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5" t="str">
        <f>IF(J1878&lt;&gt;1,"",IF(I1878="SBJ","CB","?"))</f>
        <v> </v>
      </c>
      <c r="I1878" s="26" t="str">
        <f>IF(OR(E1878="",E1878="!!!",F1878="NEW"),"",INDEX(B1877:B$2,-1+SUMPRODUCT(MAX(ROW(E1877:E$2)*(E1878=E1877:E$2)))))</f>
        <v> </v>
      </c>
      <c r="J1878" s="26" t="str">
        <f>IF(OR(E1878="",E1878="!!!",F1878="NEW"),"",COUNTBLANK(OFFSET(A$1,,,SUMPRODUCT(MAX(ROW(E$2:E1878)*(E1878=E$2:E1878)))))-COUNTBLANK(OFFSET(A$1,,,SUMPRODUCT(MAX(ROW(E$1:E1877)*(E2=E$1:E1877))))))</f>
        <v> </v>
      </c>
      <c r="K1878" s="26" t="str">
        <f>IF(OR(E1878="",E1878="!!!",F1878="NEW"),"",INDEX(J$1:J1877,SUMPRODUCT(MAX(ROW(E$1:E1877)*(E1878=E$1:E1877)))))</f>
        <v> </v>
      </c>
      <c r="L1878" s="27"/>
    </row>
    <row r="1879" spans="1:12">
      <c r="A1879" s="20" t="s">
        <v>1479</v>
      </c>
      <c r="E1879" s="22">
        <f>IF(D1879="?OLD","!!!","")</f>
        <v/>
      </c>
      <c r="F1879" s="23" t="str">
        <f>IF(OR(E1879="",E1879="!!!"),"",IF(NOT(ISNA(VLOOKUP(E1879,E$1:E1878,1,FALSE()))),"OLD",IF(AND(E1879&lt;&gt;"",E1879&lt;&gt;"!!!"),"NEW","")))</f>
        <v> </v>
      </c>
      <c r="G1879" s="24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5" t="str">
        <f>IF(J1879&lt;&gt;1,"",IF(I1879="SBJ","CB","?"))</f>
        <v> </v>
      </c>
      <c r="I1879" s="26" t="str">
        <f>IF(OR(E1879="",E1879="!!!",F1879="NEW"),"",INDEX(B1878:B$2,-1+SUMPRODUCT(MAX(ROW(E1878:E$2)*(E1879=E1878:E$2)))))</f>
        <v> </v>
      </c>
      <c r="J1879" s="26" t="str">
        <f>IF(OR(E1879="",E1879="!!!",F1879="NEW"),"",COUNTBLANK(OFFSET(A$1,,,SUMPRODUCT(MAX(ROW(E$2:E1879)*(E1879=E$2:E1879)))))-COUNTBLANK(OFFSET(A$1,,,SUMPRODUCT(MAX(ROW(E$1:E1878)*(E2=E$1:E1878))))))</f>
        <v> </v>
      </c>
      <c r="K1879" s="26" t="str">
        <f>IF(OR(E1879="",E1879="!!!",F1879="NEW"),"",INDEX(J$1:J1878,SUMPRODUCT(MAX(ROW(E$1:E1878)*(E1879=E$1:E1878)))))</f>
        <v> </v>
      </c>
      <c r="L1879" s="27"/>
    </row>
    <row r="1880" spans="1:12">
      <c r="A1880" s="20" t="s">
        <v>1480</v>
      </c>
      <c r="E1880" s="22">
        <f>IF(D1880="?OLD","!!!","")</f>
        <v/>
      </c>
      <c r="F1880" s="23" t="str">
        <f>IF(OR(E1880="",E1880="!!!"),"",IF(NOT(ISNA(VLOOKUP(E1880,E$1:E1879,1,FALSE()))),"OLD",IF(AND(E1880&lt;&gt;"",E1880&lt;&gt;"!!!"),"NEW","")))</f>
        <v> </v>
      </c>
      <c r="G1880" s="24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5" t="str">
        <f>IF(J1880&lt;&gt;1,"",IF(I1880="SBJ","CB","?"))</f>
        <v> </v>
      </c>
      <c r="I1880" s="26" t="str">
        <f>IF(OR(E1880="",E1880="!!!",F1880="NEW"),"",INDEX(B1879:B$2,-1+SUMPRODUCT(MAX(ROW(E1879:E$2)*(E1880=E1879:E$2)))))</f>
        <v> </v>
      </c>
      <c r="J1880" s="26" t="str">
        <f>IF(OR(E1880="",E1880="!!!",F1880="NEW"),"",COUNTBLANK(OFFSET(A$1,,,SUMPRODUCT(MAX(ROW(E$2:E1880)*(E1880=E$2:E1880)))))-COUNTBLANK(OFFSET(A$1,,,SUMPRODUCT(MAX(ROW(E$1:E1879)*(E2=E$1:E1879))))))</f>
        <v> </v>
      </c>
      <c r="K1880" s="26" t="str">
        <f>IF(OR(E1880="",E1880="!!!",F1880="NEW"),"",INDEX(J$1:J1879,SUMPRODUCT(MAX(ROW(E$1:E1879)*(E1880=E$1:E1879)))))</f>
        <v> </v>
      </c>
      <c r="L1880" s="27"/>
    </row>
    <row r="1881" spans="1:12">
      <c r="A1881" s="20" t="s">
        <v>583</v>
      </c>
      <c r="E1881" s="22">
        <f>IF(D1881="?OLD","!!!","")</f>
        <v/>
      </c>
      <c r="F1881" s="23" t="str">
        <f>IF(OR(E1881="",E1881="!!!"),"",IF(NOT(ISNA(VLOOKUP(E1881,E$1:E1880,1,FALSE()))),"OLD",IF(AND(E1881&lt;&gt;"",E1881&lt;&gt;"!!!"),"NEW","")))</f>
        <v> </v>
      </c>
      <c r="G1881" s="24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5" t="str">
        <f>IF(J1881&lt;&gt;1,"",IF(I1881="SBJ","CB","?"))</f>
        <v> </v>
      </c>
      <c r="I1881" s="26" t="str">
        <f>IF(OR(E1881="",E1881="!!!",F1881="NEW"),"",INDEX(B1880:B$2,-1+SUMPRODUCT(MAX(ROW(E1880:E$2)*(E1881=E1880:E$2)))))</f>
        <v> </v>
      </c>
      <c r="J1881" s="26" t="str">
        <f>IF(OR(E1881="",E1881="!!!",F1881="NEW"),"",COUNTBLANK(OFFSET(A$1,,,SUMPRODUCT(MAX(ROW(E$2:E1881)*(E1881=E$2:E1881)))))-COUNTBLANK(OFFSET(A$1,,,SUMPRODUCT(MAX(ROW(E$1:E1880)*(E2=E$1:E1880))))))</f>
        <v> </v>
      </c>
      <c r="K1881" s="26" t="str">
        <f>IF(OR(E1881="",E1881="!!!",F1881="NEW"),"",INDEX(J$1:J1880,SUMPRODUCT(MAX(ROW(E$1:E1880)*(E1881=E$1:E1880)))))</f>
        <v> </v>
      </c>
      <c r="L1881" s="27"/>
    </row>
    <row r="1882" spans="1:12">
      <c r="A1882" s="20" t="s">
        <v>1481</v>
      </c>
      <c r="E1882" s="22">
        <f>IF(D1882="?OLD","!!!","")</f>
        <v/>
      </c>
      <c r="F1882" s="23" t="str">
        <f>IF(OR(E1882="",E1882="!!!"),"",IF(NOT(ISNA(VLOOKUP(E1882,E$1:E1881,1,FALSE()))),"OLD",IF(AND(E1882&lt;&gt;"",E1882&lt;&gt;"!!!"),"NEW","")))</f>
        <v> </v>
      </c>
      <c r="G1882" s="24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5" t="str">
        <f>IF(J1882&lt;&gt;1,"",IF(I1882="SBJ","CB","?"))</f>
        <v> </v>
      </c>
      <c r="I1882" s="26" t="str">
        <f>IF(OR(E1882="",E1882="!!!",F1882="NEW"),"",INDEX(B1881:B$2,-1+SUMPRODUCT(MAX(ROW(E1881:E$2)*(E1882=E1881:E$2)))))</f>
        <v> </v>
      </c>
      <c r="J1882" s="26" t="str">
        <f>IF(OR(E1882="",E1882="!!!",F1882="NEW"),"",COUNTBLANK(OFFSET(A$1,,,SUMPRODUCT(MAX(ROW(E$2:E1882)*(E1882=E$2:E1882)))))-COUNTBLANK(OFFSET(A$1,,,SUMPRODUCT(MAX(ROW(E$1:E1881)*(E2=E$1:E1881))))))</f>
        <v> </v>
      </c>
      <c r="K1882" s="26" t="str">
        <f>IF(OR(E1882="",E1882="!!!",F1882="NEW"),"",INDEX(J$1:J1881,SUMPRODUCT(MAX(ROW(E$1:E1881)*(E1882=E$1:E1881)))))</f>
        <v> </v>
      </c>
      <c r="L1882" s="27"/>
    </row>
    <row r="1883" spans="1:12">
      <c r="A1883" s="20" t="s">
        <v>1482</v>
      </c>
      <c r="E1883" s="22">
        <f>IF(D1883="?OLD","!!!","")</f>
        <v/>
      </c>
      <c r="F1883" s="23" t="str">
        <f>IF(OR(E1883="",E1883="!!!"),"",IF(NOT(ISNA(VLOOKUP(E1883,E$1:E1882,1,FALSE()))),"OLD",IF(AND(E1883&lt;&gt;"",E1883&lt;&gt;"!!!"),"NEW","")))</f>
        <v> </v>
      </c>
      <c r="G1883" s="24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5" t="str">
        <f>IF(J1883&lt;&gt;1,"",IF(I1883="SBJ","CB","?"))</f>
        <v> </v>
      </c>
      <c r="I1883" s="26" t="str">
        <f>IF(OR(E1883="",E1883="!!!",F1883="NEW"),"",INDEX(B1882:B$2,-1+SUMPRODUCT(MAX(ROW(E1882:E$2)*(E1883=E1882:E$2)))))</f>
        <v> </v>
      </c>
      <c r="J1883" s="26" t="str">
        <f>IF(OR(E1883="",E1883="!!!",F1883="NEW"),"",COUNTBLANK(OFFSET(A$1,,,SUMPRODUCT(MAX(ROW(E$2:E1883)*(E1883=E$2:E1883)))))-COUNTBLANK(OFFSET(A$1,,,SUMPRODUCT(MAX(ROW(E$1:E1882)*(E2=E$1:E1882))))))</f>
        <v> </v>
      </c>
      <c r="K1883" s="26" t="str">
        <f>IF(OR(E1883="",E1883="!!!",F1883="NEW"),"",INDEX(J$1:J1882,SUMPRODUCT(MAX(ROW(E$1:E1882)*(E1883=E$1:E1882)))))</f>
        <v> </v>
      </c>
      <c r="L1883" s="27"/>
    </row>
    <row r="1884" spans="1:12">
      <c r="A1884" s="20" t="s">
        <v>685</v>
      </c>
      <c r="B1884" s="21" t="s">
        <v>605</v>
      </c>
      <c r="C1884" s="21" t="s">
        <v>613</v>
      </c>
      <c r="D1884" s="21" t="s">
        <v>587</v>
      </c>
      <c r="E1884" s="22">
        <f>IF(D1884="?OLD","!!!","")</f>
        <v/>
      </c>
      <c r="F1884" s="23" t="str">
        <f>IF(OR(E1884="",E1884="!!!"),"",IF(NOT(ISNA(VLOOKUP(E1884,E$1:E1883,1,FALSE()))),"OLD",IF(AND(E1884&lt;&gt;"",E1884&lt;&gt;"!!!"),"NEW","")))</f>
        <v> </v>
      </c>
      <c r="G1884" s="24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5" t="str">
        <f>IF(J1884&lt;&gt;1,"",IF(I1884="SBJ","CB","?"))</f>
        <v> </v>
      </c>
      <c r="I1884" s="26" t="str">
        <f>IF(OR(E1884="",E1884="!!!",F1884="NEW"),"",INDEX(B1883:B$2,-1+SUMPRODUCT(MAX(ROW(E1883:E$2)*(E1884=E1883:E$2)))))</f>
        <v> </v>
      </c>
      <c r="J1884" s="26" t="str">
        <f>IF(OR(E1884="",E1884="!!!",F1884="NEW"),"",COUNTBLANK(OFFSET(A$1,,,SUMPRODUCT(MAX(ROW(E$2:E1884)*(E1884=E$2:E1884)))))-COUNTBLANK(OFFSET(A$1,,,SUMPRODUCT(MAX(ROW(E$1:E1883)*(E2=E$1:E1883))))))</f>
        <v> </v>
      </c>
      <c r="K1884" s="26" t="str">
        <f>IF(OR(E1884="",E1884="!!!",F1884="NEW"),"",INDEX(J$1:J1883,SUMPRODUCT(MAX(ROW(E$1:E1883)*(E1884=E$1:E1883)))))</f>
        <v> </v>
      </c>
      <c r="L1884" s="27"/>
    </row>
    <row r="1885" spans="1:12">
      <c r="A1885" s="20" t="s">
        <v>1483</v>
      </c>
      <c r="E1885" s="22">
        <f>IF(D1885="?OLD","!!!","")</f>
        <v/>
      </c>
      <c r="F1885" s="23" t="str">
        <f>IF(OR(E1885="",E1885="!!!"),"",IF(NOT(ISNA(VLOOKUP(E1885,E$1:E1884,1,FALSE()))),"OLD",IF(AND(E1885&lt;&gt;"",E1885&lt;&gt;"!!!"),"NEW","")))</f>
        <v> </v>
      </c>
      <c r="G1885" s="24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5" t="str">
        <f>IF(J1885&lt;&gt;1,"",IF(I1885="SBJ","CB","?"))</f>
        <v> </v>
      </c>
      <c r="I1885" s="26" t="str">
        <f>IF(OR(E1885="",E1885="!!!",F1885="NEW"),"",INDEX(B1884:B$2,-1+SUMPRODUCT(MAX(ROW(E1884:E$2)*(E1885=E1884:E$2)))))</f>
        <v> </v>
      </c>
      <c r="J1885" s="26" t="str">
        <f>IF(OR(E1885="",E1885="!!!",F1885="NEW"),"",COUNTBLANK(OFFSET(A$1,,,SUMPRODUCT(MAX(ROW(E$2:E1885)*(E1885=E$2:E1885)))))-COUNTBLANK(OFFSET(A$1,,,SUMPRODUCT(MAX(ROW(E$1:E1884)*(E2=E$1:E1884))))))</f>
        <v> </v>
      </c>
      <c r="K1885" s="26" t="str">
        <f>IF(OR(E1885="",E1885="!!!",F1885="NEW"),"",INDEX(J$1:J1884,SUMPRODUCT(MAX(ROW(E$1:E1884)*(E1885=E$1:E1884)))))</f>
        <v> </v>
      </c>
      <c r="L1885" s="27"/>
    </row>
    <row r="1886" spans="1:12">
      <c r="A1886" s="20" t="s">
        <v>580</v>
      </c>
      <c r="E1886" s="22">
        <f>IF(D1886="?OLD","!!!","")</f>
        <v/>
      </c>
      <c r="F1886" s="23" t="str">
        <f>IF(OR(E1886="",E1886="!!!"),"",IF(NOT(ISNA(VLOOKUP(E1886,E$1:E1885,1,FALSE()))),"OLD",IF(AND(E1886&lt;&gt;"",E1886&lt;&gt;"!!!"),"NEW","")))</f>
        <v> </v>
      </c>
      <c r="G1886" s="24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5" t="str">
        <f>IF(J1886&lt;&gt;1,"",IF(I1886="SBJ","CB","?"))</f>
        <v> </v>
      </c>
      <c r="I1886" s="26" t="str">
        <f>IF(OR(E1886="",E1886="!!!",F1886="NEW"),"",INDEX(B1885:B$2,-1+SUMPRODUCT(MAX(ROW(E1885:E$2)*(E1886=E1885:E$2)))))</f>
        <v> </v>
      </c>
      <c r="J1886" s="26" t="str">
        <f>IF(OR(E1886="",E1886="!!!",F1886="NEW"),"",COUNTBLANK(OFFSET(A$1,,,SUMPRODUCT(MAX(ROW(E$2:E1886)*(E1886=E$2:E1886)))))-COUNTBLANK(OFFSET(A$1,,,SUMPRODUCT(MAX(ROW(E$1:E1885)*(E2=E$1:E1885))))))</f>
        <v> </v>
      </c>
      <c r="K1886" s="26" t="str">
        <f>IF(OR(E1886="",E1886="!!!",F1886="NEW"),"",INDEX(J$1:J1885,SUMPRODUCT(MAX(ROW(E$1:E1885)*(E1886=E$1:E1885)))))</f>
        <v> </v>
      </c>
      <c r="L1886" s="27"/>
    </row>
    <row r="1887" spans="1:12">
      <c r="A1887" s="20" t="s">
        <v>1484</v>
      </c>
      <c r="E1887" s="22">
        <f>IF(D1887="?OLD","!!!","")</f>
        <v/>
      </c>
      <c r="F1887" s="23" t="str">
        <f>IF(OR(E1887="",E1887="!!!"),"",IF(NOT(ISNA(VLOOKUP(E1887,E$1:E1886,1,FALSE()))),"OLD",IF(AND(E1887&lt;&gt;"",E1887&lt;&gt;"!!!"),"NEW","")))</f>
        <v> </v>
      </c>
      <c r="G1887" s="24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5" t="str">
        <f>IF(J1887&lt;&gt;1,"",IF(I1887="SBJ","CB","?"))</f>
        <v> </v>
      </c>
      <c r="I1887" s="26" t="str">
        <f>IF(OR(E1887="",E1887="!!!",F1887="NEW"),"",INDEX(B1886:B$2,-1+SUMPRODUCT(MAX(ROW(E1886:E$2)*(E1887=E1886:E$2)))))</f>
        <v> </v>
      </c>
      <c r="J1887" s="26" t="str">
        <f>IF(OR(E1887="",E1887="!!!",F1887="NEW"),"",COUNTBLANK(OFFSET(A$1,,,SUMPRODUCT(MAX(ROW(E$2:E1887)*(E1887=E$2:E1887)))))-COUNTBLANK(OFFSET(A$1,,,SUMPRODUCT(MAX(ROW(E$1:E1886)*(E2=E$1:E1886))))))</f>
        <v> </v>
      </c>
      <c r="K1887" s="26" t="str">
        <f>IF(OR(E1887="",E1887="!!!",F1887="NEW"),"",INDEX(J$1:J1886,SUMPRODUCT(MAX(ROW(E$1:E1886)*(E1887=E$1:E1886)))))</f>
        <v> </v>
      </c>
      <c r="L1887" s="27"/>
    </row>
    <row r="1888" spans="1:12">
      <c r="A1888" s="20" t="s">
        <v>917</v>
      </c>
      <c r="E1888" s="22">
        <f>IF(D1888="?OLD","!!!","")</f>
        <v/>
      </c>
      <c r="F1888" s="23" t="str">
        <f>IF(OR(E1888="",E1888="!!!"),"",IF(NOT(ISNA(VLOOKUP(E1888,E$1:E1887,1,FALSE()))),"OLD",IF(AND(E1888&lt;&gt;"",E1888&lt;&gt;"!!!"),"NEW","")))</f>
        <v> </v>
      </c>
      <c r="G1888" s="24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5" t="str">
        <f>IF(J1888&lt;&gt;1,"",IF(I1888="SBJ","CB","?"))</f>
        <v> </v>
      </c>
      <c r="I1888" s="26" t="str">
        <f>IF(OR(E1888="",E1888="!!!",F1888="NEW"),"",INDEX(B1887:B$2,-1+SUMPRODUCT(MAX(ROW(E1887:E$2)*(E1888=E1887:E$2)))))</f>
        <v> </v>
      </c>
      <c r="J1888" s="26" t="str">
        <f>IF(OR(E1888="",E1888="!!!",F1888="NEW"),"",COUNTBLANK(OFFSET(A$1,,,SUMPRODUCT(MAX(ROW(E$2:E1888)*(E1888=E$2:E1888)))))-COUNTBLANK(OFFSET(A$1,,,SUMPRODUCT(MAX(ROW(E$1:E1887)*(E2=E$1:E1887))))))</f>
        <v> </v>
      </c>
      <c r="K1888" s="26" t="str">
        <f>IF(OR(E1888="",E1888="!!!",F1888="NEW"),"",INDEX(J$1:J1887,SUMPRODUCT(MAX(ROW(E$1:E1887)*(E1888=E$1:E1887)))))</f>
        <v> </v>
      </c>
      <c r="L1888" s="27"/>
    </row>
    <row r="1889" spans="1:12">
      <c r="A1889" s="20" t="s">
        <v>630</v>
      </c>
      <c r="E1889" s="22">
        <f>IF(D1889="?OLD","!!!","")</f>
        <v/>
      </c>
      <c r="F1889" s="23" t="str">
        <f>IF(OR(E1889="",E1889="!!!"),"",IF(NOT(ISNA(VLOOKUP(E1889,E$1:E1888,1,FALSE()))),"OLD",IF(AND(E1889&lt;&gt;"",E1889&lt;&gt;"!!!"),"NEW","")))</f>
        <v> </v>
      </c>
      <c r="G1889" s="24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5" t="str">
        <f>IF(J1889&lt;&gt;1,"",IF(I1889="SBJ","CB","?"))</f>
        <v> </v>
      </c>
      <c r="I1889" s="26" t="str">
        <f>IF(OR(E1889="",E1889="!!!",F1889="NEW"),"",INDEX(B1888:B$2,-1+SUMPRODUCT(MAX(ROW(E1888:E$2)*(E1889=E1888:E$2)))))</f>
        <v> </v>
      </c>
      <c r="J1889" s="26" t="str">
        <f>IF(OR(E1889="",E1889="!!!",F1889="NEW"),"",COUNTBLANK(OFFSET(A$1,,,SUMPRODUCT(MAX(ROW(E$2:E1889)*(E1889=E$2:E1889)))))-COUNTBLANK(OFFSET(A$1,,,SUMPRODUCT(MAX(ROW(E$1:E1888)*(E2=E$1:E1888))))))</f>
        <v> </v>
      </c>
      <c r="K1889" s="26" t="str">
        <f>IF(OR(E1889="",E1889="!!!",F1889="NEW"),"",INDEX(J$1:J1888,SUMPRODUCT(MAX(ROW(E$1:E1888)*(E1889=E$1:E1888)))))</f>
        <v> </v>
      </c>
      <c r="L1889" s="27"/>
    </row>
    <row r="1890" spans="1:12">
      <c r="A1890" s="20" t="s">
        <v>1485</v>
      </c>
      <c r="E1890" s="22">
        <f>IF(D1890="?OLD","!!!","")</f>
        <v/>
      </c>
      <c r="F1890" s="23" t="str">
        <f>IF(OR(E1890="",E1890="!!!"),"",IF(NOT(ISNA(VLOOKUP(E1890,E$1:E1889,1,FALSE()))),"OLD",IF(AND(E1890&lt;&gt;"",E1890&lt;&gt;"!!!"),"NEW","")))</f>
        <v> </v>
      </c>
      <c r="G1890" s="24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5" t="str">
        <f>IF(J1890&lt;&gt;1,"",IF(I1890="SBJ","CB","?"))</f>
        <v> </v>
      </c>
      <c r="I1890" s="26" t="str">
        <f>IF(OR(E1890="",E1890="!!!",F1890="NEW"),"",INDEX(B1889:B$2,-1+SUMPRODUCT(MAX(ROW(E1889:E$2)*(E1890=E1889:E$2)))))</f>
        <v> </v>
      </c>
      <c r="J1890" s="26" t="str">
        <f>IF(OR(E1890="",E1890="!!!",F1890="NEW"),"",COUNTBLANK(OFFSET(A$1,,,SUMPRODUCT(MAX(ROW(E$2:E1890)*(E1890=E$2:E1890)))))-COUNTBLANK(OFFSET(A$1,,,SUMPRODUCT(MAX(ROW(E$1:E1889)*(E2=E$1:E1889))))))</f>
        <v> </v>
      </c>
      <c r="K1890" s="26" t="str">
        <f>IF(OR(E1890="",E1890="!!!",F1890="NEW"),"",INDEX(J$1:J1889,SUMPRODUCT(MAX(ROW(E$1:E1889)*(E1890=E$1:E1889)))))</f>
        <v> </v>
      </c>
      <c r="L1890" s="27"/>
    </row>
    <row r="1891" spans="1:12">
      <c r="A1891" s="20" t="s">
        <v>666</v>
      </c>
      <c r="E1891" s="22">
        <f>IF(D1891="?OLD","!!!","")</f>
        <v/>
      </c>
      <c r="F1891" s="23" t="str">
        <f>IF(OR(E1891="",E1891="!!!"),"",IF(NOT(ISNA(VLOOKUP(E1891,E$1:E1890,1,FALSE()))),"OLD",IF(AND(E1891&lt;&gt;"",E1891&lt;&gt;"!!!"),"NEW","")))</f>
        <v> </v>
      </c>
      <c r="G1891" s="24" t="str">
        <f>IF(OR(E1891="",E1891="!!!"),"",IF(OR(J1891=0,AND(J1891=1,K1891=1),AND(J1891=1,I1891="SBJ"),AND(J1891=1,I1891=0)),"?IN_FOCUS",IF(J1891&lt;=2,"?ACTIVATED",IF(J1891&lt;&gt;"","?FAMILIAR",IF(F1891="NEW",IF(ISNA(VLOOKUP(E1891,#REF!,1,FALSE())),"?TYPE_IDENTIFIABLE","?REFERENTIAL"),"_")))))</f>
        <v> </v>
      </c>
      <c r="H1891" s="25" t="str">
        <f>IF(J1891&lt;&gt;1,"",IF(I1891="SBJ","CB","?"))</f>
        <v> </v>
      </c>
      <c r="I1891" s="26" t="str">
        <f>IF(OR(E1891="",E1891="!!!",F1891="NEW"),"",INDEX(B1890:B$2,-1+SUMPRODUCT(MAX(ROW(E1890:E$2)*(E1891=E1890:E$2)))))</f>
        <v> </v>
      </c>
      <c r="J1891" s="26" t="str">
        <f>IF(OR(E1891="",E1891="!!!",F1891="NEW"),"",COUNTBLANK(OFFSET(A$1,,,SUMPRODUCT(MAX(ROW(E$2:E1891)*(E1891=E$2:E1891)))))-COUNTBLANK(OFFSET(A$1,,,SUMPRODUCT(MAX(ROW(E$1:E1890)*(E2=E$1:E1890))))))</f>
        <v> </v>
      </c>
      <c r="K1891" s="26" t="str">
        <f>IF(OR(E1891="",E1891="!!!",F1891="NEW"),"",INDEX(J$1:J1890,SUMPRODUCT(MAX(ROW(E$1:E1890)*(E1891=E$1:E1890)))))</f>
        <v> </v>
      </c>
      <c r="L1891" s="27"/>
    </row>
    <row r="1892" spans="1:12">
      <c r="A1892" s="20" t="s">
        <v>583</v>
      </c>
      <c r="E1892" s="22">
        <f>IF(D1892="?OLD","!!!","")</f>
        <v/>
      </c>
      <c r="F1892" s="23" t="str">
        <f>IF(OR(E1892="",E1892="!!!"),"",IF(NOT(ISNA(VLOOKUP(E1892,E$1:E1891,1,FALSE()))),"OLD",IF(AND(E1892&lt;&gt;"",E1892&lt;&gt;"!!!"),"NEW","")))</f>
        <v> </v>
      </c>
      <c r="G1892" s="24" t="str">
        <f>IF(OR(E1892="",E1892="!!!"),"",IF(OR(J1892=0,AND(J1892=1,K1892=1),AND(J1892=1,I1892="SBJ"),AND(J1892=1,I1892=0)),"?IN_FOCUS",IF(J1892&lt;=2,"?ACTIVATED",IF(J1892&lt;&gt;"","?FAMILIAR",IF(F1892="NEW",IF(ISNA(VLOOKUP(E1892,#REF!,1,FALSE())),"?TYPE_IDENTIFIABLE","?REFERENTIAL"),"_")))))</f>
        <v> </v>
      </c>
      <c r="H1892" s="25" t="str">
        <f>IF(J1892&lt;&gt;1,"",IF(I1892="SBJ","CB","?"))</f>
        <v> </v>
      </c>
      <c r="I1892" s="26" t="str">
        <f>IF(OR(E1892="",E1892="!!!",F1892="NEW"),"",INDEX(B1891:B$2,-1+SUMPRODUCT(MAX(ROW(E1891:E$2)*(E1892=E1891:E$2)))))</f>
        <v> </v>
      </c>
      <c r="J1892" s="26" t="str">
        <f>IF(OR(E1892="",E1892="!!!",F1892="NEW"),"",COUNTBLANK(OFFSET(A$1,,,SUMPRODUCT(MAX(ROW(E$2:E1892)*(E1892=E$2:E1892)))))-COUNTBLANK(OFFSET(A$1,,,SUMPRODUCT(MAX(ROW(E$1:E1891)*(E2=E$1:E1891))))))</f>
        <v> </v>
      </c>
      <c r="K1892" s="26" t="str">
        <f>IF(OR(E1892="",E1892="!!!",F1892="NEW"),"",INDEX(J$1:J1891,SUMPRODUCT(MAX(ROW(E$1:E1891)*(E1892=E$1:E1891)))))</f>
        <v> </v>
      </c>
      <c r="L1892" s="27"/>
    </row>
    <row r="1893" spans="1:12">
      <c r="A1893" s="20" t="s">
        <v>685</v>
      </c>
      <c r="B1893" s="21" t="s">
        <v>605</v>
      </c>
      <c r="C1893" s="21" t="s">
        <v>613</v>
      </c>
      <c r="D1893" s="21" t="s">
        <v>587</v>
      </c>
      <c r="E1893" s="22">
        <f>IF(D1893="?OLD","!!!","")</f>
        <v/>
      </c>
      <c r="F1893" s="23" t="str">
        <f>IF(OR(E1893="",E1893="!!!"),"",IF(NOT(ISNA(VLOOKUP(E1893,E$1:E1892,1,FALSE()))),"OLD",IF(AND(E1893&lt;&gt;"",E1893&lt;&gt;"!!!"),"NEW","")))</f>
        <v> </v>
      </c>
      <c r="G1893" s="24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5" t="str">
        <f>IF(J1893&lt;&gt;1,"",IF(I1893="SBJ","CB","?"))</f>
        <v> </v>
      </c>
      <c r="I1893" s="26" t="str">
        <f>IF(OR(E1893="",E1893="!!!",F1893="NEW"),"",INDEX(B1892:B$2,-1+SUMPRODUCT(MAX(ROW(E1892:E$2)*(E1893=E1892:E$2)))))</f>
        <v> </v>
      </c>
      <c r="J1893" s="26" t="str">
        <f>IF(OR(E1893="",E1893="!!!",F1893="NEW"),"",COUNTBLANK(OFFSET(A$1,,,SUMPRODUCT(MAX(ROW(E$2:E1893)*(E1893=E$2:E1893)))))-COUNTBLANK(OFFSET(A$1,,,SUMPRODUCT(MAX(ROW(E$1:E1892)*(E2=E$1:E1892))))))</f>
        <v> </v>
      </c>
      <c r="K1893" s="26" t="str">
        <f>IF(OR(E1893="",E1893="!!!",F1893="NEW"),"",INDEX(J$1:J1892,SUMPRODUCT(MAX(ROW(E$1:E1892)*(E1893=E$1:E1892)))))</f>
        <v> </v>
      </c>
      <c r="L1893" s="27"/>
    </row>
    <row r="1894" spans="1:12">
      <c r="A1894" s="20" t="s">
        <v>1486</v>
      </c>
      <c r="E1894" s="22">
        <f>IF(D1894="?OLD","!!!","")</f>
        <v/>
      </c>
      <c r="F1894" s="23" t="str">
        <f>IF(OR(E1894="",E1894="!!!"),"",IF(NOT(ISNA(VLOOKUP(E1894,E$1:E1893,1,FALSE()))),"OLD",IF(AND(E1894&lt;&gt;"",E1894&lt;&gt;"!!!"),"NEW","")))</f>
        <v> </v>
      </c>
      <c r="G1894" s="24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5" t="str">
        <f>IF(J1894&lt;&gt;1,"",IF(I1894="SBJ","CB","?"))</f>
        <v> </v>
      </c>
      <c r="I1894" s="26" t="str">
        <f>IF(OR(E1894="",E1894="!!!",F1894="NEW"),"",INDEX(B1893:B$2,-1+SUMPRODUCT(MAX(ROW(E1893:E$2)*(E1894=E1893:E$2)))))</f>
        <v> </v>
      </c>
      <c r="J1894" s="26" t="str">
        <f>IF(OR(E1894="",E1894="!!!",F1894="NEW"),"",COUNTBLANK(OFFSET(A$1,,,SUMPRODUCT(MAX(ROW(E$2:E1894)*(E1894=E$2:E1894)))))-COUNTBLANK(OFFSET(A$1,,,SUMPRODUCT(MAX(ROW(E$1:E1893)*(E2=E$1:E1893))))))</f>
        <v> </v>
      </c>
      <c r="K1894" s="26" t="str">
        <f>IF(OR(E1894="",E1894="!!!",F1894="NEW"),"",INDEX(J$1:J1893,SUMPRODUCT(MAX(ROW(E$1:E1893)*(E1894=E$1:E1893)))))</f>
        <v> </v>
      </c>
      <c r="L1894" s="27"/>
    </row>
    <row r="1895" spans="1:12">
      <c r="A1895" s="20" t="s">
        <v>377</v>
      </c>
      <c r="E1895" s="22">
        <f>IF(D1895="?OLD","!!!","")</f>
        <v/>
      </c>
      <c r="F1895" s="23" t="str">
        <f>IF(OR(E1895="",E1895="!!!"),"",IF(NOT(ISNA(VLOOKUP(E1895,E$1:E1894,1,FALSE()))),"OLD",IF(AND(E1895&lt;&gt;"",E1895&lt;&gt;"!!!"),"NEW","")))</f>
        <v> </v>
      </c>
      <c r="G1895" s="24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5" t="str">
        <f>IF(J1895&lt;&gt;1,"",IF(I1895="SBJ","CB","?"))</f>
        <v> </v>
      </c>
      <c r="I1895" s="26" t="str">
        <f>IF(OR(E1895="",E1895="!!!",F1895="NEW"),"",INDEX(B1894:B$2,-1+SUMPRODUCT(MAX(ROW(E1894:E$2)*(E1895=E1894:E$2)))))</f>
        <v> </v>
      </c>
      <c r="J1895" s="26" t="str">
        <f>IF(OR(E1895="",E1895="!!!",F1895="NEW"),"",COUNTBLANK(OFFSET(A$1,,,SUMPRODUCT(MAX(ROW(E$2:E1895)*(E1895=E$2:E1895)))))-COUNTBLANK(OFFSET(A$1,,,SUMPRODUCT(MAX(ROW(E$1:E1894)*(E2=E$1:E1894))))))</f>
        <v> </v>
      </c>
      <c r="K1895" s="26" t="str">
        <f>IF(OR(E1895="",E1895="!!!",F1895="NEW"),"",INDEX(J$1:J1894,SUMPRODUCT(MAX(ROW(E$1:E1894)*(E1895=E$1:E1894)))))</f>
        <v> </v>
      </c>
      <c r="L1895" s="27"/>
    </row>
    <row r="1896" spans="1:12">
      <c r="A1896" s="20" t="s">
        <v>687</v>
      </c>
      <c r="E1896" s="22">
        <f>IF(D1896="?OLD","!!!","")</f>
        <v/>
      </c>
      <c r="F1896" s="23" t="str">
        <f>IF(OR(E1896="",E1896="!!!"),"",IF(NOT(ISNA(VLOOKUP(E1896,E$1:E1895,1,FALSE()))),"OLD",IF(AND(E1896&lt;&gt;"",E1896&lt;&gt;"!!!"),"NEW","")))</f>
        <v> </v>
      </c>
      <c r="G1896" s="24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5" t="str">
        <f>IF(J1896&lt;&gt;1,"",IF(I1896="SBJ","CB","?"))</f>
        <v> </v>
      </c>
      <c r="I1896" s="26" t="str">
        <f>IF(OR(E1896="",E1896="!!!",F1896="NEW"),"",INDEX(B1895:B$2,-1+SUMPRODUCT(MAX(ROW(E1895:E$2)*(E1896=E1895:E$2)))))</f>
        <v> </v>
      </c>
      <c r="J1896" s="26" t="str">
        <f>IF(OR(E1896="",E1896="!!!",F1896="NEW"),"",COUNTBLANK(OFFSET(A$1,,,SUMPRODUCT(MAX(ROW(E$2:E1896)*(E1896=E$2:E1896)))))-COUNTBLANK(OFFSET(A$1,,,SUMPRODUCT(MAX(ROW(E$1:E1895)*(E2=E$1:E1895))))))</f>
        <v> </v>
      </c>
      <c r="K1896" s="26" t="str">
        <f>IF(OR(E1896="",E1896="!!!",F1896="NEW"),"",INDEX(J$1:J1895,SUMPRODUCT(MAX(ROW(E$1:E1895)*(E1896=E$1:E1895)))))</f>
        <v> </v>
      </c>
      <c r="L1896" s="27"/>
    </row>
    <row r="1897" spans="1:12">
      <c r="A1897" s="20" t="s">
        <v>619</v>
      </c>
      <c r="E1897" s="22">
        <f>IF(D1897="?OLD","!!!","")</f>
        <v/>
      </c>
      <c r="F1897" s="23" t="str">
        <f>IF(OR(E1897="",E1897="!!!"),"",IF(NOT(ISNA(VLOOKUP(E1897,E$1:E1896,1,FALSE()))),"OLD",IF(AND(E1897&lt;&gt;"",E1897&lt;&gt;"!!!"),"NEW","")))</f>
        <v> </v>
      </c>
      <c r="G1897" s="24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5" t="str">
        <f>IF(J1897&lt;&gt;1,"",IF(I1897="SBJ","CB","?"))</f>
        <v> </v>
      </c>
      <c r="I1897" s="26" t="str">
        <f>IF(OR(E1897="",E1897="!!!",F1897="NEW"),"",INDEX(B1896:B$2,-1+SUMPRODUCT(MAX(ROW(E1896:E$2)*(E1897=E1896:E$2)))))</f>
        <v> </v>
      </c>
      <c r="J1897" s="26" t="str">
        <f>IF(OR(E1897="",E1897="!!!",F1897="NEW"),"",COUNTBLANK(OFFSET(A$1,,,SUMPRODUCT(MAX(ROW(E$2:E1897)*(E1897=E$2:E1897)))))-COUNTBLANK(OFFSET(A$1,,,SUMPRODUCT(MAX(ROW(E$1:E1896)*(E2=E$1:E1896))))))</f>
        <v> </v>
      </c>
      <c r="K1897" s="26" t="str">
        <f>IF(OR(E1897="",E1897="!!!",F1897="NEW"),"",INDEX(J$1:J1896,SUMPRODUCT(MAX(ROW(E$1:E1896)*(E1897=E$1:E1896)))))</f>
        <v> </v>
      </c>
      <c r="L1897" s="27"/>
    </row>
    <row r="1898" spans="1:12">
      <c r="A1898" s="20" t="s">
        <v>1225</v>
      </c>
      <c r="E1898" s="22">
        <f>IF(D1898="?OLD","!!!","")</f>
        <v/>
      </c>
      <c r="F1898" s="23" t="str">
        <f>IF(OR(E1898="",E1898="!!!"),"",IF(NOT(ISNA(VLOOKUP(E1898,E$1:E1897,1,FALSE()))),"OLD",IF(AND(E1898&lt;&gt;"",E1898&lt;&gt;"!!!"),"NEW","")))</f>
        <v> </v>
      </c>
      <c r="G1898" s="24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5" t="str">
        <f>IF(J1898&lt;&gt;1,"",IF(I1898="SBJ","CB","?"))</f>
        <v> </v>
      </c>
      <c r="I1898" s="26" t="str">
        <f>IF(OR(E1898="",E1898="!!!",F1898="NEW"),"",INDEX(B1897:B$2,-1+SUMPRODUCT(MAX(ROW(E1897:E$2)*(E1898=E1897:E$2)))))</f>
        <v> </v>
      </c>
      <c r="J1898" s="26" t="str">
        <f>IF(OR(E1898="",E1898="!!!",F1898="NEW"),"",COUNTBLANK(OFFSET(A$1,,,SUMPRODUCT(MAX(ROW(E$2:E1898)*(E1898=E$2:E1898)))))-COUNTBLANK(OFFSET(A$1,,,SUMPRODUCT(MAX(ROW(E$1:E1897)*(E2=E$1:E1897))))))</f>
        <v> </v>
      </c>
      <c r="K1898" s="26" t="str">
        <f>IF(OR(E1898="",E1898="!!!",F1898="NEW"),"",INDEX(J$1:J1897,SUMPRODUCT(MAX(ROW(E$1:E1897)*(E1898=E$1:E1897)))))</f>
        <v> </v>
      </c>
      <c r="L1898" s="27"/>
    </row>
    <row r="1899" spans="1:12">
      <c r="A1899" s="20" t="s">
        <v>592</v>
      </c>
      <c r="E1899" s="22">
        <f>IF(D1899="?OLD","!!!","")</f>
        <v/>
      </c>
      <c r="F1899" s="23" t="str">
        <f>IF(OR(E1899="",E1899="!!!"),"",IF(NOT(ISNA(VLOOKUP(E1899,E$1:E1898,1,FALSE()))),"OLD",IF(AND(E1899&lt;&gt;"",E1899&lt;&gt;"!!!"),"NEW","")))</f>
        <v> </v>
      </c>
      <c r="G1899" s="24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5" t="str">
        <f>IF(J1899&lt;&gt;1,"",IF(I1899="SBJ","CB","?"))</f>
        <v> </v>
      </c>
      <c r="I1899" s="26" t="str">
        <f>IF(OR(E1899="",E1899="!!!",F1899="NEW"),"",INDEX(B1898:B$2,-1+SUMPRODUCT(MAX(ROW(E1898:E$2)*(E1899=E1898:E$2)))))</f>
        <v> </v>
      </c>
      <c r="J1899" s="26" t="str">
        <f>IF(OR(E1899="",E1899="!!!",F1899="NEW"),"",COUNTBLANK(OFFSET(A$1,,,SUMPRODUCT(MAX(ROW(E$2:E1899)*(E1899=E$2:E1899)))))-COUNTBLANK(OFFSET(A$1,,,SUMPRODUCT(MAX(ROW(E$1:E1898)*(E2=E$1:E1898))))))</f>
        <v> </v>
      </c>
      <c r="K1899" s="26" t="str">
        <f>IF(OR(E1899="",E1899="!!!",F1899="NEW"),"",INDEX(J$1:J1898,SUMPRODUCT(MAX(ROW(E$1:E1898)*(E1899=E$1:E1898)))))</f>
        <v> </v>
      </c>
      <c r="L1899" s="27"/>
    </row>
    <row r="1900" spans="1:12">
      <c r="A1900" s="20"/>
    </row>
    <row r="1901" spans="1:12">
      <c r="A1901" s="20" t="s">
        <v>1487</v>
      </c>
    </row>
    <row r="1902" spans="1:12">
      <c r="A1902" s="20" t="s">
        <v>662</v>
      </c>
      <c r="E1902" s="22">
        <f>IF(D1902="?OLD","!!!","")</f>
        <v/>
      </c>
      <c r="F1902" s="23" t="str">
        <f>IF(OR(E1902="",E1902="!!!"),"",IF(NOT(ISNA(VLOOKUP(E1902,E$1:E1901,1,FALSE()))),"OLD",IF(AND(E1902&lt;&gt;"",E1902&lt;&gt;"!!!"),"NEW","")))</f>
        <v> </v>
      </c>
      <c r="G1902" s="24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5" t="str">
        <f>IF(J1902&lt;&gt;1,"",IF(I1902="SBJ","CB","?"))</f>
        <v> </v>
      </c>
      <c r="I1902" s="26" t="str">
        <f>IF(OR(E1902="",E1902="!!!",F1902="NEW"),"",INDEX(B1901:B$2,-1+SUMPRODUCT(MAX(ROW(E1901:E$2)*(E1902=E1901:E$2)))))</f>
        <v> </v>
      </c>
      <c r="J1902" s="26" t="str">
        <f>IF(OR(E1902="",E1902="!!!",F1902="NEW"),"",COUNTBLANK(OFFSET(A$1,,,SUMPRODUCT(MAX(ROW(E$2:E1902)*(E1902=E$2:E1902)))))-COUNTBLANK(OFFSET(A$1,,,SUMPRODUCT(MAX(ROW(E$1:E1901)*(E2=E$1:E1901))))))</f>
        <v> </v>
      </c>
      <c r="K1902" s="26" t="str">
        <f>IF(OR(E1902="",E1902="!!!",F1902="NEW"),"",INDEX(J$1:J1901,SUMPRODUCT(MAX(ROW(E$1:E1901)*(E1902=E$1:E1901)))))</f>
        <v> </v>
      </c>
      <c r="L1902" s="27"/>
    </row>
    <row r="1903" spans="1:12">
      <c r="A1903" s="20" t="s">
        <v>778</v>
      </c>
      <c r="E1903" s="22">
        <f>IF(D1903="?OLD","!!!","")</f>
        <v/>
      </c>
      <c r="F1903" s="23" t="str">
        <f>IF(OR(E1903="",E1903="!!!"),"",IF(NOT(ISNA(VLOOKUP(E1903,E$1:E1902,1,FALSE()))),"OLD",IF(AND(E1903&lt;&gt;"",E1903&lt;&gt;"!!!"),"NEW","")))</f>
        <v> </v>
      </c>
      <c r="G1903" s="24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5" t="str">
        <f>IF(J1903&lt;&gt;1,"",IF(I1903="SBJ","CB","?"))</f>
        <v> </v>
      </c>
      <c r="I1903" s="26" t="str">
        <f>IF(OR(E1903="",E1903="!!!",F1903="NEW"),"",INDEX(B1902:B$2,-1+SUMPRODUCT(MAX(ROW(E1902:E$2)*(E1903=E1902:E$2)))))</f>
        <v> </v>
      </c>
      <c r="J1903" s="26" t="str">
        <f>IF(OR(E1903="",E1903="!!!",F1903="NEW"),"",COUNTBLANK(OFFSET(A$1,,,SUMPRODUCT(MAX(ROW(E$2:E1903)*(E1903=E$2:E1903)))))-COUNTBLANK(OFFSET(A$1,,,SUMPRODUCT(MAX(ROW(E$1:E1902)*(E2=E$1:E1902))))))</f>
        <v> </v>
      </c>
      <c r="K1903" s="26" t="str">
        <f>IF(OR(E1903="",E1903="!!!",F1903="NEW"),"",INDEX(J$1:J1902,SUMPRODUCT(MAX(ROW(E$1:E1902)*(E1903=E$1:E1902)))))</f>
        <v> </v>
      </c>
      <c r="L1903" s="27"/>
    </row>
    <row r="1904" spans="1:12">
      <c r="A1904" s="20" t="s">
        <v>735</v>
      </c>
      <c r="E1904" s="22">
        <f>IF(D1904="?OLD","!!!","")</f>
        <v/>
      </c>
      <c r="F1904" s="23" t="str">
        <f>IF(OR(E1904="",E1904="!!!"),"",IF(NOT(ISNA(VLOOKUP(E1904,E$1:E1903,1,FALSE()))),"OLD",IF(AND(E1904&lt;&gt;"",E1904&lt;&gt;"!!!"),"NEW","")))</f>
        <v> </v>
      </c>
      <c r="G1904" s="24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5" t="str">
        <f>IF(J1904&lt;&gt;1,"",IF(I1904="SBJ","CB","?"))</f>
        <v> </v>
      </c>
      <c r="I1904" s="26" t="str">
        <f>IF(OR(E1904="",E1904="!!!",F1904="NEW"),"",INDEX(B1903:B$2,-1+SUMPRODUCT(MAX(ROW(E1903:E$2)*(E1904=E1903:E$2)))))</f>
        <v> </v>
      </c>
      <c r="J1904" s="26" t="str">
        <f>IF(OR(E1904="",E1904="!!!",F1904="NEW"),"",COUNTBLANK(OFFSET(A$1,,,SUMPRODUCT(MAX(ROW(E$2:E1904)*(E1904=E$2:E1904)))))-COUNTBLANK(OFFSET(A$1,,,SUMPRODUCT(MAX(ROW(E$1:E1903)*(E2=E$1:E1903))))))</f>
        <v> </v>
      </c>
      <c r="K1904" s="26" t="str">
        <f>IF(OR(E1904="",E1904="!!!",F1904="NEW"),"",INDEX(J$1:J1903,SUMPRODUCT(MAX(ROW(E$1:E1903)*(E1904=E$1:E1903)))))</f>
        <v> </v>
      </c>
      <c r="L1904" s="27"/>
    </row>
    <row r="1905" spans="1:12">
      <c r="A1905" s="20" t="s">
        <v>1488</v>
      </c>
      <c r="E1905" s="22">
        <f>IF(D1905="?OLD","!!!","")</f>
        <v/>
      </c>
      <c r="F1905" s="23" t="str">
        <f>IF(OR(E1905="",E1905="!!!"),"",IF(NOT(ISNA(VLOOKUP(E1905,E$1:E1904,1,FALSE()))),"OLD",IF(AND(E1905&lt;&gt;"",E1905&lt;&gt;"!!!"),"NEW","")))</f>
        <v> </v>
      </c>
      <c r="G1905" s="24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5" t="str">
        <f>IF(J1905&lt;&gt;1,"",IF(I1905="SBJ","CB","?"))</f>
        <v> </v>
      </c>
      <c r="I1905" s="26" t="str">
        <f>IF(OR(E1905="",E1905="!!!",F1905="NEW"),"",INDEX(B1904:B$2,-1+SUMPRODUCT(MAX(ROW(E1904:E$2)*(E1905=E1904:E$2)))))</f>
        <v> </v>
      </c>
      <c r="J1905" s="26" t="str">
        <f>IF(OR(E1905="",E1905="!!!",F1905="NEW"),"",COUNTBLANK(OFFSET(A$1,,,SUMPRODUCT(MAX(ROW(E$2:E1905)*(E1905=E$2:E1905)))))-COUNTBLANK(OFFSET(A$1,,,SUMPRODUCT(MAX(ROW(E$1:E1904)*(E2=E$1:E1904))))))</f>
        <v> </v>
      </c>
      <c r="K1905" s="26" t="str">
        <f>IF(OR(E1905="",E1905="!!!",F1905="NEW"),"",INDEX(J$1:J1904,SUMPRODUCT(MAX(ROW(E$1:E1904)*(E1905=E$1:E1904)))))</f>
        <v> </v>
      </c>
      <c r="L1905" s="27"/>
    </row>
    <row r="1906" spans="1:12">
      <c r="A1906" s="20" t="s">
        <v>687</v>
      </c>
      <c r="E1906" s="22">
        <f>IF(D1906="?OLD","!!!","")</f>
        <v/>
      </c>
      <c r="F1906" s="23" t="str">
        <f>IF(OR(E1906="",E1906="!!!"),"",IF(NOT(ISNA(VLOOKUP(E1906,E$1:E1905,1,FALSE()))),"OLD",IF(AND(E1906&lt;&gt;"",E1906&lt;&gt;"!!!"),"NEW","")))</f>
        <v> </v>
      </c>
      <c r="G1906" s="24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5" t="str">
        <f>IF(J1906&lt;&gt;1,"",IF(I1906="SBJ","CB","?"))</f>
        <v> </v>
      </c>
      <c r="I1906" s="26" t="str">
        <f>IF(OR(E1906="",E1906="!!!",F1906="NEW"),"",INDEX(B1905:B$2,-1+SUMPRODUCT(MAX(ROW(E1905:E$2)*(E1906=E1905:E$2)))))</f>
        <v> </v>
      </c>
      <c r="J1906" s="26" t="str">
        <f>IF(OR(E1906="",E1906="!!!",F1906="NEW"),"",COUNTBLANK(OFFSET(A$1,,,SUMPRODUCT(MAX(ROW(E$2:E1906)*(E1906=E$2:E1906)))))-COUNTBLANK(OFFSET(A$1,,,SUMPRODUCT(MAX(ROW(E$1:E1905)*(E2=E$1:E1905))))))</f>
        <v> </v>
      </c>
      <c r="K1906" s="26" t="str">
        <f>IF(OR(E1906="",E1906="!!!",F1906="NEW"),"",INDEX(J$1:J1905,SUMPRODUCT(MAX(ROW(E$1:E1905)*(E1906=E$1:E1905)))))</f>
        <v> </v>
      </c>
      <c r="L1906" s="27"/>
    </row>
    <row r="1907" spans="1:12">
      <c r="A1907" s="20" t="s">
        <v>619</v>
      </c>
      <c r="E1907" s="22">
        <f>IF(D1907="?OLD","!!!","")</f>
        <v/>
      </c>
      <c r="F1907" s="23" t="str">
        <f>IF(OR(E1907="",E1907="!!!"),"",IF(NOT(ISNA(VLOOKUP(E1907,E$1:E1906,1,FALSE()))),"OLD",IF(AND(E1907&lt;&gt;"",E1907&lt;&gt;"!!!"),"NEW","")))</f>
        <v> </v>
      </c>
      <c r="G1907" s="24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5" t="str">
        <f>IF(J1907&lt;&gt;1,"",IF(I1907="SBJ","CB","?"))</f>
        <v> </v>
      </c>
      <c r="I1907" s="26" t="str">
        <f>IF(OR(E1907="",E1907="!!!",F1907="NEW"),"",INDEX(B1906:B$2,-1+SUMPRODUCT(MAX(ROW(E1906:E$2)*(E1907=E1906:E$2)))))</f>
        <v> </v>
      </c>
      <c r="J1907" s="26" t="str">
        <f>IF(OR(E1907="",E1907="!!!",F1907="NEW"),"",COUNTBLANK(OFFSET(A$1,,,SUMPRODUCT(MAX(ROW(E$2:E1907)*(E1907=E$2:E1907)))))-COUNTBLANK(OFFSET(A$1,,,SUMPRODUCT(MAX(ROW(E$1:E1906)*(E2=E$1:E1906))))))</f>
        <v> </v>
      </c>
      <c r="K1907" s="26" t="str">
        <f>IF(OR(E1907="",E1907="!!!",F1907="NEW"),"",INDEX(J$1:J1906,SUMPRODUCT(MAX(ROW(E$1:E1906)*(E1907=E$1:E1906)))))</f>
        <v> </v>
      </c>
      <c r="L1907" s="27"/>
    </row>
    <row r="1908" spans="1:12">
      <c r="A1908" s="20" t="s">
        <v>1225</v>
      </c>
      <c r="E1908" s="22">
        <f>IF(D1908="?OLD","!!!","")</f>
        <v/>
      </c>
      <c r="F1908" s="23" t="str">
        <f>IF(OR(E1908="",E1908="!!!"),"",IF(NOT(ISNA(VLOOKUP(E1908,E$1:E1907,1,FALSE()))),"OLD",IF(AND(E1908&lt;&gt;"",E1908&lt;&gt;"!!!"),"NEW","")))</f>
        <v> </v>
      </c>
      <c r="G1908" s="24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5" t="str">
        <f>IF(J1908&lt;&gt;1,"",IF(I1908="SBJ","CB","?"))</f>
        <v> </v>
      </c>
      <c r="I1908" s="26" t="str">
        <f>IF(OR(E1908="",E1908="!!!",F1908="NEW"),"",INDEX(B1907:B$2,-1+SUMPRODUCT(MAX(ROW(E1907:E$2)*(E1908=E1907:E$2)))))</f>
        <v> </v>
      </c>
      <c r="J1908" s="26" t="str">
        <f>IF(OR(E1908="",E1908="!!!",F1908="NEW"),"",COUNTBLANK(OFFSET(A$1,,,SUMPRODUCT(MAX(ROW(E$2:E1908)*(E1908=E$2:E1908)))))-COUNTBLANK(OFFSET(A$1,,,SUMPRODUCT(MAX(ROW(E$1:E1907)*(E2=E$1:E1907))))))</f>
        <v> </v>
      </c>
      <c r="K1908" s="26" t="str">
        <f>IF(OR(E1908="",E1908="!!!",F1908="NEW"),"",INDEX(J$1:J1907,SUMPRODUCT(MAX(ROW(E$1:E1907)*(E1908=E$1:E1907)))))</f>
        <v> </v>
      </c>
      <c r="L1908" s="27"/>
    </row>
    <row r="1909" spans="1:12">
      <c r="A1909" s="20" t="s">
        <v>583</v>
      </c>
      <c r="E1909" s="22">
        <f>IF(D1909="?OLD","!!!","")</f>
        <v/>
      </c>
      <c r="F1909" s="23" t="str">
        <f>IF(OR(E1909="",E1909="!!!"),"",IF(NOT(ISNA(VLOOKUP(E1909,E$1:E1908,1,FALSE()))),"OLD",IF(AND(E1909&lt;&gt;"",E1909&lt;&gt;"!!!"),"NEW","")))</f>
        <v> </v>
      </c>
      <c r="G1909" s="24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5" t="str">
        <f>IF(J1909&lt;&gt;1,"",IF(I1909="SBJ","CB","?"))</f>
        <v> </v>
      </c>
      <c r="I1909" s="26" t="str">
        <f>IF(OR(E1909="",E1909="!!!",F1909="NEW"),"",INDEX(B1908:B$2,-1+SUMPRODUCT(MAX(ROW(E1908:E$2)*(E1909=E1908:E$2)))))</f>
        <v> </v>
      </c>
      <c r="J1909" s="26" t="str">
        <f>IF(OR(E1909="",E1909="!!!",F1909="NEW"),"",COUNTBLANK(OFFSET(A$1,,,SUMPRODUCT(MAX(ROW(E$2:E1909)*(E1909=E$2:E1909)))))-COUNTBLANK(OFFSET(A$1,,,SUMPRODUCT(MAX(ROW(E$1:E1908)*(E2=E$1:E1908))))))</f>
        <v> </v>
      </c>
      <c r="K1909" s="26" t="str">
        <f>IF(OR(E1909="",E1909="!!!",F1909="NEW"),"",INDEX(J$1:J1908,SUMPRODUCT(MAX(ROW(E$1:E1908)*(E1909=E$1:E1908)))))</f>
        <v> </v>
      </c>
      <c r="L1909" s="27"/>
    </row>
    <row r="1910" spans="1:12">
      <c r="A1910" s="20" t="s">
        <v>811</v>
      </c>
      <c r="E1910" s="22">
        <f>IF(D1910="?OLD","!!!","")</f>
        <v/>
      </c>
      <c r="F1910" s="23" t="str">
        <f>IF(OR(E1910="",E1910="!!!"),"",IF(NOT(ISNA(VLOOKUP(E1910,E$1:E1909,1,FALSE()))),"OLD",IF(AND(E1910&lt;&gt;"",E1910&lt;&gt;"!!!"),"NEW","")))</f>
        <v> </v>
      </c>
      <c r="G1910" s="24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5" t="str">
        <f>IF(J1910&lt;&gt;1,"",IF(I1910="SBJ","CB","?"))</f>
        <v> </v>
      </c>
      <c r="I1910" s="26" t="str">
        <f>IF(OR(E1910="",E1910="!!!",F1910="NEW"),"",INDEX(B1909:B$2,-1+SUMPRODUCT(MAX(ROW(E1909:E$2)*(E1910=E1909:E$2)))))</f>
        <v> </v>
      </c>
      <c r="J1910" s="26" t="str">
        <f>IF(OR(E1910="",E1910="!!!",F1910="NEW"),"",COUNTBLANK(OFFSET(A$1,,,SUMPRODUCT(MAX(ROW(E$2:E1910)*(E1910=E$2:E1910)))))-COUNTBLANK(OFFSET(A$1,,,SUMPRODUCT(MAX(ROW(E$1:E1909)*(E2=E$1:E1909))))))</f>
        <v> </v>
      </c>
      <c r="K1910" s="26" t="str">
        <f>IF(OR(E1910="",E1910="!!!",F1910="NEW"),"",INDEX(J$1:J1909,SUMPRODUCT(MAX(ROW(E$1:E1909)*(E1910=E$1:E1909)))))</f>
        <v> </v>
      </c>
      <c r="L1910" s="27"/>
    </row>
    <row r="1911" spans="1:12">
      <c r="A1911" s="20" t="s">
        <v>583</v>
      </c>
      <c r="E1911" s="22">
        <f>IF(D1911="?OLD","!!!","")</f>
        <v/>
      </c>
      <c r="F1911" s="23" t="str">
        <f>IF(OR(E1911="",E1911="!!!"),"",IF(NOT(ISNA(VLOOKUP(E1911,E$1:E1910,1,FALSE()))),"OLD",IF(AND(E1911&lt;&gt;"",E1911&lt;&gt;"!!!"),"NEW","")))</f>
        <v> </v>
      </c>
      <c r="G1911" s="24" t="str">
        <f>IF(OR(E1911="",E1911="!!!"),"",IF(OR(J1911=0,AND(J1911=1,K1911=1),AND(J1911=1,I1911="SBJ"),AND(J1911=1,I1911=0)),"?IN_FOCUS",IF(J1911&lt;=2,"?ACTIVATED",IF(J1911&lt;&gt;"","?FAMILIAR",IF(F1911="NEW",IF(ISNA(VLOOKUP(E1911,#REF!,1,FALSE())),"?TYPE_IDENTIFIABLE","?REFERENTIAL"),"_")))))</f>
        <v> </v>
      </c>
      <c r="H1911" s="25" t="str">
        <f>IF(J1911&lt;&gt;1,"",IF(I1911="SBJ","CB","?"))</f>
        <v> </v>
      </c>
      <c r="I1911" s="26" t="str">
        <f>IF(OR(E1911="",E1911="!!!",F1911="NEW"),"",INDEX(B1910:B$2,-1+SUMPRODUCT(MAX(ROW(E1910:E$2)*(E1911=E1910:E$2)))))</f>
        <v> </v>
      </c>
      <c r="J1911" s="26" t="str">
        <f>IF(OR(E1911="",E1911="!!!",F1911="NEW"),"",COUNTBLANK(OFFSET(A$1,,,SUMPRODUCT(MAX(ROW(E$2:E1911)*(E1911=E$2:E1911)))))-COUNTBLANK(OFFSET(A$1,,,SUMPRODUCT(MAX(ROW(E$1:E1910)*(E2=E$1:E1910))))))</f>
        <v> </v>
      </c>
      <c r="K1911" s="26" t="str">
        <f>IF(OR(E1911="",E1911="!!!",F1911="NEW"),"",INDEX(J$1:J1910,SUMPRODUCT(MAX(ROW(E$1:E1910)*(E1911=E$1:E1910)))))</f>
        <v> </v>
      </c>
      <c r="L1911" s="27"/>
    </row>
    <row r="1912" spans="1:12">
      <c r="A1912" s="20" t="s">
        <v>1489</v>
      </c>
      <c r="B1912" s="21" t="s">
        <v>590</v>
      </c>
      <c r="C1912" s="21" t="s">
        <v>628</v>
      </c>
      <c r="D1912" s="21" t="s">
        <v>587</v>
      </c>
      <c r="E1912" s="22">
        <f>IF(D1912="?OLD","!!!","")</f>
        <v/>
      </c>
      <c r="F1912" s="23" t="str">
        <f>IF(OR(E1912="",E1912="!!!"),"",IF(NOT(ISNA(VLOOKUP(E1912,E$1:E1911,1,FALSE()))),"OLD",IF(AND(E1912&lt;&gt;"",E1912&lt;&gt;"!!!"),"NEW","")))</f>
        <v> </v>
      </c>
      <c r="G1912" s="24" t="str">
        <f>IF(OR(E1912="",E1912="!!!"),"",IF(OR(J1912=0,AND(J1912=1,K1912=1),AND(J1912=1,I1912="SBJ"),AND(J1912=1,I1912=0)),"?IN_FOCUS",IF(J1912&lt;=2,"?ACTIVATED",IF(J1912&lt;&gt;"","?FAMILIAR",IF(F1912="NEW",IF(ISNA(VLOOKUP(E1912,#REF!,1,FALSE())),"?TYPE_IDENTIFIABLE","?REFERENTIAL"),"_")))))</f>
        <v> </v>
      </c>
      <c r="H1912" s="25" t="str">
        <f>IF(J1912&lt;&gt;1,"",IF(I1912="SBJ","CB","?"))</f>
        <v> </v>
      </c>
      <c r="I1912" s="26" t="str">
        <f>IF(OR(E1912="",E1912="!!!",F1912="NEW"),"",INDEX(B1911:B$2,-1+SUMPRODUCT(MAX(ROW(E1911:E$2)*(E1912=E1911:E$2)))))</f>
        <v> </v>
      </c>
      <c r="J1912" s="26" t="str">
        <f>IF(OR(E1912="",E1912="!!!",F1912="NEW"),"",COUNTBLANK(OFFSET(A$1,,,SUMPRODUCT(MAX(ROW(E$2:E1912)*(E1912=E$2:E1912)))))-COUNTBLANK(OFFSET(A$1,,,SUMPRODUCT(MAX(ROW(E$1:E1911)*(E2=E$1:E1911))))))</f>
        <v> </v>
      </c>
      <c r="K1912" s="26" t="str">
        <f>IF(OR(E1912="",E1912="!!!",F1912="NEW"),"",INDEX(J$1:J1911,SUMPRODUCT(MAX(ROW(E$1:E1911)*(E1912=E$1:E1911)))))</f>
        <v> </v>
      </c>
      <c r="L1912" s="27"/>
    </row>
    <row r="1913" spans="1:12">
      <c r="A1913" s="20" t="s">
        <v>630</v>
      </c>
      <c r="E1913" s="22">
        <f>IF(D1913="?OLD","!!!","")</f>
        <v/>
      </c>
      <c r="F1913" s="23" t="str">
        <f>IF(OR(E1913="",E1913="!!!"),"",IF(NOT(ISNA(VLOOKUP(E1913,E$1:E1912,1,FALSE()))),"OLD",IF(AND(E1913&lt;&gt;"",E1913&lt;&gt;"!!!"),"NEW","")))</f>
        <v> </v>
      </c>
      <c r="G1913" s="24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5" t="str">
        <f>IF(J1913&lt;&gt;1,"",IF(I1913="SBJ","CB","?"))</f>
        <v> </v>
      </c>
      <c r="I1913" s="26" t="str">
        <f>IF(OR(E1913="",E1913="!!!",F1913="NEW"),"",INDEX(B1912:B$2,-1+SUMPRODUCT(MAX(ROW(E1912:E$2)*(E1913=E1912:E$2)))))</f>
        <v> </v>
      </c>
      <c r="J1913" s="26" t="str">
        <f>IF(OR(E1913="",E1913="!!!",F1913="NEW"),"",COUNTBLANK(OFFSET(A$1,,,SUMPRODUCT(MAX(ROW(E$2:E1913)*(E1913=E$2:E1913)))))-COUNTBLANK(OFFSET(A$1,,,SUMPRODUCT(MAX(ROW(E$1:E1912)*(E2=E$1:E1912))))))</f>
        <v> </v>
      </c>
      <c r="K1913" s="26" t="str">
        <f>IF(OR(E1913="",E1913="!!!",F1913="NEW"),"",INDEX(J$1:J1912,SUMPRODUCT(MAX(ROW(E$1:E1912)*(E1913=E$1:E1912)))))</f>
        <v> </v>
      </c>
      <c r="L1913" s="27"/>
    </row>
    <row r="1914" spans="1:12">
      <c r="A1914" s="20" t="s">
        <v>1058</v>
      </c>
      <c r="B1914" s="21" t="s">
        <v>601</v>
      </c>
      <c r="C1914" s="21" t="s">
        <v>628</v>
      </c>
      <c r="D1914" s="21" t="s">
        <v>587</v>
      </c>
      <c r="E1914" s="22">
        <f>IF(D1914="?OLD","!!!","")</f>
        <v/>
      </c>
      <c r="F1914" s="23" t="str">
        <f>IF(OR(E1914="",E1914="!!!"),"",IF(NOT(ISNA(VLOOKUP(E1914,E$1:E1913,1,FALSE()))),"OLD",IF(AND(E1914&lt;&gt;"",E1914&lt;&gt;"!!!"),"NEW","")))</f>
        <v> </v>
      </c>
      <c r="G1914" s="24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5" t="str">
        <f>IF(J1914&lt;&gt;1,"",IF(I1914="SBJ","CB","?"))</f>
        <v> </v>
      </c>
      <c r="I1914" s="26" t="str">
        <f>IF(OR(E1914="",E1914="!!!",F1914="NEW"),"",INDEX(B1913:B$2,-1+SUMPRODUCT(MAX(ROW(E1913:E$2)*(E1914=E1913:E$2)))))</f>
        <v> </v>
      </c>
      <c r="J1914" s="26" t="str">
        <f>IF(OR(E1914="",E1914="!!!",F1914="NEW"),"",COUNTBLANK(OFFSET(A$1,,,SUMPRODUCT(MAX(ROW(E$2:E1914)*(E1914=E$2:E1914)))))-COUNTBLANK(OFFSET(A$1,,,SUMPRODUCT(MAX(ROW(E$1:E1913)*(E2=E$1:E1913))))))</f>
        <v> </v>
      </c>
      <c r="K1914" s="26" t="str">
        <f>IF(OR(E1914="",E1914="!!!",F1914="NEW"),"",INDEX(J$1:J1913,SUMPRODUCT(MAX(ROW(E$1:E1913)*(E1914=E$1:E1913)))))</f>
        <v> </v>
      </c>
      <c r="L1914" s="27"/>
    </row>
    <row r="1915" spans="1:12">
      <c r="A1915" s="20" t="s">
        <v>583</v>
      </c>
      <c r="E1915" s="22">
        <f>IF(D1915="?OLD","!!!","")</f>
        <v/>
      </c>
      <c r="F1915" s="23" t="str">
        <f>IF(OR(E1915="",E1915="!!!"),"",IF(NOT(ISNA(VLOOKUP(E1915,E$1:E1914,1,FALSE()))),"OLD",IF(AND(E1915&lt;&gt;"",E1915&lt;&gt;"!!!"),"NEW","")))</f>
        <v> </v>
      </c>
      <c r="G1915" s="24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5" t="str">
        <f>IF(J1915&lt;&gt;1,"",IF(I1915="SBJ","CB","?"))</f>
        <v> </v>
      </c>
      <c r="I1915" s="26" t="str">
        <f>IF(OR(E1915="",E1915="!!!",F1915="NEW"),"",INDEX(B1914:B$2,-1+SUMPRODUCT(MAX(ROW(E1914:E$2)*(E1915=E1914:E$2)))))</f>
        <v> </v>
      </c>
      <c r="J1915" s="26" t="str">
        <f>IF(OR(E1915="",E1915="!!!",F1915="NEW"),"",COUNTBLANK(OFFSET(A$1,,,SUMPRODUCT(MAX(ROW(E$2:E1915)*(E1915=E$2:E1915)))))-COUNTBLANK(OFFSET(A$1,,,SUMPRODUCT(MAX(ROW(E$1:E1914)*(E2=E$1:E1914))))))</f>
        <v> </v>
      </c>
      <c r="K1915" s="26" t="str">
        <f>IF(OR(E1915="",E1915="!!!",F1915="NEW"),"",INDEX(J$1:J1914,SUMPRODUCT(MAX(ROW(E$1:E1914)*(E1915=E$1:E1914)))))</f>
        <v> </v>
      </c>
      <c r="L1915" s="27"/>
    </row>
    <row r="1916" spans="1:12">
      <c r="A1916" s="20" t="s">
        <v>685</v>
      </c>
      <c r="B1916" s="21" t="s">
        <v>578</v>
      </c>
      <c r="C1916" s="21" t="s">
        <v>613</v>
      </c>
      <c r="D1916" s="21" t="s">
        <v>587</v>
      </c>
      <c r="E1916" s="22">
        <f>IF(D1916="?OLD","!!!","")</f>
        <v/>
      </c>
      <c r="F1916" s="23" t="str">
        <f>IF(OR(E1916="",E1916="!!!"),"",IF(NOT(ISNA(VLOOKUP(E1916,E$1:E1915,1,FALSE()))),"OLD",IF(AND(E1916&lt;&gt;"",E1916&lt;&gt;"!!!"),"NEW","")))</f>
        <v> </v>
      </c>
      <c r="G1916" s="24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5" t="str">
        <f>IF(J1916&lt;&gt;1,"",IF(I1916="SBJ","CB","?"))</f>
        <v> </v>
      </c>
      <c r="I1916" s="26" t="str">
        <f>IF(OR(E1916="",E1916="!!!",F1916="NEW"),"",INDEX(B1915:B$2,-1+SUMPRODUCT(MAX(ROW(E1915:E$2)*(E1916=E1915:E$2)))))</f>
        <v> </v>
      </c>
      <c r="J1916" s="26" t="str">
        <f>IF(OR(E1916="",E1916="!!!",F1916="NEW"),"",COUNTBLANK(OFFSET(A$1,,,SUMPRODUCT(MAX(ROW(E$2:E1916)*(E1916=E$2:E1916)))))-COUNTBLANK(OFFSET(A$1,,,SUMPRODUCT(MAX(ROW(E$1:E1915)*(E2=E$1:E1915))))))</f>
        <v> </v>
      </c>
      <c r="K1916" s="26" t="str">
        <f>IF(OR(E1916="",E1916="!!!",F1916="NEW"),"",INDEX(J$1:J1915,SUMPRODUCT(MAX(ROW(E$1:E1915)*(E1916=E$1:E1915)))))</f>
        <v> </v>
      </c>
      <c r="L1916" s="27"/>
    </row>
    <row r="1917" spans="1:12">
      <c r="A1917" s="20" t="s">
        <v>1490</v>
      </c>
      <c r="E1917" s="22">
        <f>IF(D1917="?OLD","!!!","")</f>
        <v/>
      </c>
      <c r="F1917" s="23" t="str">
        <f>IF(OR(E1917="",E1917="!!!"),"",IF(NOT(ISNA(VLOOKUP(E1917,E$1:E1916,1,FALSE()))),"OLD",IF(AND(E1917&lt;&gt;"",E1917&lt;&gt;"!!!"),"NEW","")))</f>
        <v> </v>
      </c>
      <c r="G1917" s="24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5" t="str">
        <f>IF(J1917&lt;&gt;1,"",IF(I1917="SBJ","CB","?"))</f>
        <v> </v>
      </c>
      <c r="I1917" s="26" t="str">
        <f>IF(OR(E1917="",E1917="!!!",F1917="NEW"),"",INDEX(B1916:B$2,-1+SUMPRODUCT(MAX(ROW(E1916:E$2)*(E1917=E1916:E$2)))))</f>
        <v> </v>
      </c>
      <c r="J1917" s="26" t="str">
        <f>IF(OR(E1917="",E1917="!!!",F1917="NEW"),"",COUNTBLANK(OFFSET(A$1,,,SUMPRODUCT(MAX(ROW(E$2:E1917)*(E1917=E$2:E1917)))))-COUNTBLANK(OFFSET(A$1,,,SUMPRODUCT(MAX(ROW(E$1:E1916)*(E2=E$1:E1916))))))</f>
        <v> </v>
      </c>
      <c r="K1917" s="26" t="str">
        <f>IF(OR(E1917="",E1917="!!!",F1917="NEW"),"",INDEX(J$1:J1916,SUMPRODUCT(MAX(ROW(E$1:E1916)*(E1917=E$1:E1916)))))</f>
        <v> </v>
      </c>
      <c r="L1917" s="27"/>
    </row>
    <row r="1918" spans="1:12">
      <c r="A1918" s="20" t="s">
        <v>687</v>
      </c>
      <c r="E1918" s="22">
        <f>IF(D1918="?OLD","!!!","")</f>
        <v/>
      </c>
      <c r="F1918" s="23" t="str">
        <f>IF(OR(E1918="",E1918="!!!"),"",IF(NOT(ISNA(VLOOKUP(E1918,E$1:E1917,1,FALSE()))),"OLD",IF(AND(E1918&lt;&gt;"",E1918&lt;&gt;"!!!"),"NEW","")))</f>
        <v> </v>
      </c>
      <c r="G1918" s="24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5" t="str">
        <f>IF(J1918&lt;&gt;1,"",IF(I1918="SBJ","CB","?"))</f>
        <v> </v>
      </c>
      <c r="I1918" s="26" t="str">
        <f>IF(OR(E1918="",E1918="!!!",F1918="NEW"),"",INDEX(B1917:B$2,-1+SUMPRODUCT(MAX(ROW(E1917:E$2)*(E1918=E1917:E$2)))))</f>
        <v> </v>
      </c>
      <c r="J1918" s="26" t="str">
        <f>IF(OR(E1918="",E1918="!!!",F1918="NEW"),"",COUNTBLANK(OFFSET(A$1,,,SUMPRODUCT(MAX(ROW(E$2:E1918)*(E1918=E$2:E1918)))))-COUNTBLANK(OFFSET(A$1,,,SUMPRODUCT(MAX(ROW(E$1:E1917)*(E2=E$1:E1917))))))</f>
        <v> </v>
      </c>
      <c r="K1918" s="26" t="str">
        <f>IF(OR(E1918="",E1918="!!!",F1918="NEW"),"",INDEX(J$1:J1917,SUMPRODUCT(MAX(ROW(E$1:E1917)*(E1918=E$1:E1917)))))</f>
        <v> </v>
      </c>
      <c r="L1918" s="27"/>
    </row>
    <row r="1919" spans="1:12">
      <c r="A1919" s="20" t="s">
        <v>619</v>
      </c>
      <c r="E1919" s="22">
        <f>IF(D1919="?OLD","!!!","")</f>
        <v/>
      </c>
      <c r="F1919" s="23" t="str">
        <f>IF(OR(E1919="",E1919="!!!"),"",IF(NOT(ISNA(VLOOKUP(E1919,E$1:E1918,1,FALSE()))),"OLD",IF(AND(E1919&lt;&gt;"",E1919&lt;&gt;"!!!"),"NEW","")))</f>
        <v> </v>
      </c>
      <c r="G1919" s="24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5" t="str">
        <f>IF(J1919&lt;&gt;1,"",IF(I1919="SBJ","CB","?"))</f>
        <v> </v>
      </c>
      <c r="I1919" s="26" t="str">
        <f>IF(OR(E1919="",E1919="!!!",F1919="NEW"),"",INDEX(B1918:B$2,-1+SUMPRODUCT(MAX(ROW(E1918:E$2)*(E1919=E1918:E$2)))))</f>
        <v> </v>
      </c>
      <c r="J1919" s="26" t="str">
        <f>IF(OR(E1919="",E1919="!!!",F1919="NEW"),"",COUNTBLANK(OFFSET(A$1,,,SUMPRODUCT(MAX(ROW(E$2:E1919)*(E1919=E$2:E1919)))))-COUNTBLANK(OFFSET(A$1,,,SUMPRODUCT(MAX(ROW(E$1:E1918)*(E2=E$1:E1918))))))</f>
        <v> </v>
      </c>
      <c r="K1919" s="26" t="str">
        <f>IF(OR(E1919="",E1919="!!!",F1919="NEW"),"",INDEX(J$1:J1918,SUMPRODUCT(MAX(ROW(E$1:E1918)*(E1919=E$1:E1918)))))</f>
        <v> </v>
      </c>
      <c r="L1919" s="27"/>
    </row>
    <row r="1920" spans="1:12">
      <c r="A1920" s="20" t="s">
        <v>1225</v>
      </c>
      <c r="E1920" s="22">
        <f>IF(D1920="?OLD","!!!","")</f>
        <v/>
      </c>
      <c r="F1920" s="23" t="str">
        <f>IF(OR(E1920="",E1920="!!!"),"",IF(NOT(ISNA(VLOOKUP(E1920,E$1:E1919,1,FALSE()))),"OLD",IF(AND(E1920&lt;&gt;"",E1920&lt;&gt;"!!!"),"NEW","")))</f>
        <v> </v>
      </c>
      <c r="G1920" s="24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5" t="str">
        <f>IF(J1920&lt;&gt;1,"",IF(I1920="SBJ","CB","?"))</f>
        <v> </v>
      </c>
      <c r="I1920" s="26" t="str">
        <f>IF(OR(E1920="",E1920="!!!",F1920="NEW"),"",INDEX(B1919:B$2,-1+SUMPRODUCT(MAX(ROW(E1919:E$2)*(E1920=E1919:E$2)))))</f>
        <v> </v>
      </c>
      <c r="J1920" s="26" t="str">
        <f>IF(OR(E1920="",E1920="!!!",F1920="NEW"),"",COUNTBLANK(OFFSET(A$1,,,SUMPRODUCT(MAX(ROW(E$2:E1920)*(E1920=E$2:E1920)))))-COUNTBLANK(OFFSET(A$1,,,SUMPRODUCT(MAX(ROW(E$1:E1919)*(E2=E$1:E1919))))))</f>
        <v> </v>
      </c>
      <c r="K1920" s="26" t="str">
        <f>IF(OR(E1920="",E1920="!!!",F1920="NEW"),"",INDEX(J$1:J1919,SUMPRODUCT(MAX(ROW(E$1:E1919)*(E1920=E$1:E1919)))))</f>
        <v> </v>
      </c>
      <c r="L1920" s="27"/>
    </row>
    <row r="1921" spans="1:12">
      <c r="A1921" s="20" t="s">
        <v>739</v>
      </c>
      <c r="E1921" s="22">
        <f>IF(D1921="?OLD","!!!","")</f>
        <v/>
      </c>
      <c r="F1921" s="23" t="str">
        <f>IF(OR(E1921="",E1921="!!!"),"",IF(NOT(ISNA(VLOOKUP(E1921,E$1:E1920,1,FALSE()))),"OLD",IF(AND(E1921&lt;&gt;"",E1921&lt;&gt;"!!!"),"NEW","")))</f>
        <v> </v>
      </c>
      <c r="G1921" s="24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5" t="str">
        <f>IF(J1921&lt;&gt;1,"",IF(I1921="SBJ","CB","?"))</f>
        <v> </v>
      </c>
      <c r="I1921" s="26" t="str">
        <f>IF(OR(E1921="",E1921="!!!",F1921="NEW"),"",INDEX(B1920:B$2,-1+SUMPRODUCT(MAX(ROW(E1920:E$2)*(E1921=E1920:E$2)))))</f>
        <v> </v>
      </c>
      <c r="J1921" s="26" t="str">
        <f>IF(OR(E1921="",E1921="!!!",F1921="NEW"),"",COUNTBLANK(OFFSET(A$1,,,SUMPRODUCT(MAX(ROW(E$2:E1921)*(E1921=E$2:E1921)))))-COUNTBLANK(OFFSET(A$1,,,SUMPRODUCT(MAX(ROW(E$1:E1920)*(E2=E$1:E1920))))))</f>
        <v> </v>
      </c>
      <c r="K1921" s="26" t="str">
        <f>IF(OR(E1921="",E1921="!!!",F1921="NEW"),"",INDEX(J$1:J1920,SUMPRODUCT(MAX(ROW(E$1:E1920)*(E1921=E$1:E1920)))))</f>
        <v> </v>
      </c>
      <c r="L1921" s="27"/>
    </row>
    <row r="1922" spans="1:12">
      <c r="A1922" s="20" t="s">
        <v>1090</v>
      </c>
      <c r="E1922" s="22">
        <f>IF(D1922="?OLD","!!!","")</f>
        <v/>
      </c>
      <c r="F1922" s="23" t="str">
        <f>IF(OR(E1922="",E1922="!!!"),"",IF(NOT(ISNA(VLOOKUP(E1922,E$1:E1921,1,FALSE()))),"OLD",IF(AND(E1922&lt;&gt;"",E1922&lt;&gt;"!!!"),"NEW","")))</f>
        <v> </v>
      </c>
      <c r="G1922" s="24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5" t="str">
        <f>IF(J1922&lt;&gt;1,"",IF(I1922="SBJ","CB","?"))</f>
        <v> </v>
      </c>
      <c r="I1922" s="26" t="str">
        <f>IF(OR(E1922="",E1922="!!!",F1922="NEW"),"",INDEX(B1921:B$2,-1+SUMPRODUCT(MAX(ROW(E1921:E$2)*(E1922=E1921:E$2)))))</f>
        <v> </v>
      </c>
      <c r="J1922" s="26" t="str">
        <f>IF(OR(E1922="",E1922="!!!",F1922="NEW"),"",COUNTBLANK(OFFSET(A$1,,,SUMPRODUCT(MAX(ROW(E$2:E1922)*(E1922=E$2:E1922)))))-COUNTBLANK(OFFSET(A$1,,,SUMPRODUCT(MAX(ROW(E$1:E1921)*(E2=E$1:E1921))))))</f>
        <v> </v>
      </c>
      <c r="K1922" s="26" t="str">
        <f>IF(OR(E1922="",E1922="!!!",F1922="NEW"),"",INDEX(J$1:J1921,SUMPRODUCT(MAX(ROW(E$1:E1921)*(E1922=E$1:E1921)))))</f>
        <v> </v>
      </c>
      <c r="L1922" s="27"/>
    </row>
    <row r="1923" spans="1:12">
      <c r="A1923" s="20" t="s">
        <v>592</v>
      </c>
      <c r="E1923" s="22">
        <f>IF(D1923="?OLD","!!!","")</f>
        <v/>
      </c>
      <c r="F1923" s="23" t="str">
        <f>IF(OR(E1923="",E1923="!!!"),"",IF(NOT(ISNA(VLOOKUP(E1923,E$1:E1922,1,FALSE()))),"OLD",IF(AND(E1923&lt;&gt;"",E1923&lt;&gt;"!!!"),"NEW","")))</f>
        <v> </v>
      </c>
      <c r="G1923" s="24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5" t="str">
        <f>IF(J1923&lt;&gt;1,"",IF(I1923="SBJ","CB","?"))</f>
        <v> </v>
      </c>
      <c r="I1923" s="26" t="str">
        <f>IF(OR(E1923="",E1923="!!!",F1923="NEW"),"",INDEX(B1922:B$2,-1+SUMPRODUCT(MAX(ROW(E1922:E$2)*(E1923=E1922:E$2)))))</f>
        <v> </v>
      </c>
      <c r="J1923" s="26" t="str">
        <f>IF(OR(E1923="",E1923="!!!",F1923="NEW"),"",COUNTBLANK(OFFSET(A$1,,,SUMPRODUCT(MAX(ROW(E$2:E1923)*(E1923=E$2:E1923)))))-COUNTBLANK(OFFSET(A$1,,,SUMPRODUCT(MAX(ROW(E$1:E1922)*(E2=E$1:E1922))))))</f>
        <v> </v>
      </c>
      <c r="K1923" s="26" t="str">
        <f>IF(OR(E1923="",E1923="!!!",F1923="NEW"),"",INDEX(J$1:J1922,SUMPRODUCT(MAX(ROW(E$1:E1922)*(E1923=E$1:E1922)))))</f>
        <v> </v>
      </c>
      <c r="L1923" s="27"/>
    </row>
    <row r="1924" spans="1:12">
      <c r="A1924" s="20"/>
    </row>
    <row r="1925" spans="1:12">
      <c r="A1925" s="20" t="s">
        <v>1491</v>
      </c>
    </row>
    <row r="1926" spans="1:12">
      <c r="A1926" s="20" t="s">
        <v>662</v>
      </c>
      <c r="E1926" s="22">
        <f>IF(D1926="?OLD","!!!","")</f>
        <v/>
      </c>
      <c r="F1926" s="23" t="str">
        <f>IF(OR(E1926="",E1926="!!!"),"",IF(NOT(ISNA(VLOOKUP(E1926,E$1:E1925,1,FALSE()))),"OLD",IF(AND(E1926&lt;&gt;"",E1926&lt;&gt;"!!!"),"NEW","")))</f>
        <v> </v>
      </c>
      <c r="G1926" s="24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5" t="str">
        <f>IF(J1926&lt;&gt;1,"",IF(I1926="SBJ","CB","?"))</f>
        <v> </v>
      </c>
      <c r="I1926" s="26" t="str">
        <f>IF(OR(E1926="",E1926="!!!",F1926="NEW"),"",INDEX(B1925:B$2,-1+SUMPRODUCT(MAX(ROW(E1925:E$2)*(E1926=E1925:E$2)))))</f>
        <v> </v>
      </c>
      <c r="J1926" s="26" t="str">
        <f>IF(OR(E1926="",E1926="!!!",F1926="NEW"),"",COUNTBLANK(OFFSET(A$1,,,SUMPRODUCT(MAX(ROW(E$2:E1926)*(E1926=E$2:E1926)))))-COUNTBLANK(OFFSET(A$1,,,SUMPRODUCT(MAX(ROW(E$1:E1925)*(E2=E$1:E1925))))))</f>
        <v> </v>
      </c>
      <c r="K1926" s="26" t="str">
        <f>IF(OR(E1926="",E1926="!!!",F1926="NEW"),"",INDEX(J$1:J1925,SUMPRODUCT(MAX(ROW(E$1:E1925)*(E1926=E$1:E1925)))))</f>
        <v> </v>
      </c>
      <c r="L1926" s="27"/>
    </row>
    <row r="1927" spans="1:12">
      <c r="A1927" s="20" t="s">
        <v>778</v>
      </c>
      <c r="E1927" s="22">
        <f>IF(D1927="?OLD","!!!","")</f>
        <v/>
      </c>
      <c r="F1927" s="23" t="str">
        <f>IF(OR(E1927="",E1927="!!!"),"",IF(NOT(ISNA(VLOOKUP(E1927,E$1:E1926,1,FALSE()))),"OLD",IF(AND(E1927&lt;&gt;"",E1927&lt;&gt;"!!!"),"NEW","")))</f>
        <v> </v>
      </c>
      <c r="G1927" s="24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5" t="str">
        <f>IF(J1927&lt;&gt;1,"",IF(I1927="SBJ","CB","?"))</f>
        <v> </v>
      </c>
      <c r="I1927" s="26" t="str">
        <f>IF(OR(E1927="",E1927="!!!",F1927="NEW"),"",INDEX(B1926:B$2,-1+SUMPRODUCT(MAX(ROW(E1926:E$2)*(E1927=E1926:E$2)))))</f>
        <v> </v>
      </c>
      <c r="J1927" s="26" t="str">
        <f>IF(OR(E1927="",E1927="!!!",F1927="NEW"),"",COUNTBLANK(OFFSET(A$1,,,SUMPRODUCT(MAX(ROW(E$2:E1927)*(E1927=E$2:E1927)))))-COUNTBLANK(OFFSET(A$1,,,SUMPRODUCT(MAX(ROW(E$1:E1926)*(E2=E$1:E1926))))))</f>
        <v> </v>
      </c>
      <c r="K1927" s="26" t="str">
        <f>IF(OR(E1927="",E1927="!!!",F1927="NEW"),"",INDEX(J$1:J1926,SUMPRODUCT(MAX(ROW(E$1:E1926)*(E1927=E$1:E1926)))))</f>
        <v> </v>
      </c>
      <c r="L1927" s="27"/>
    </row>
    <row r="1928" spans="1:12">
      <c r="A1928" s="20" t="s">
        <v>754</v>
      </c>
      <c r="B1928" s="21" t="s">
        <v>590</v>
      </c>
      <c r="E1928" s="22">
        <f>IF(D1928="?OLD","!!!","")</f>
        <v/>
      </c>
      <c r="F1928" s="23" t="str">
        <f>IF(OR(E1928="",E1928="!!!"),"",IF(NOT(ISNA(VLOOKUP(E1928,E$1:E1927,1,FALSE()))),"OLD",IF(AND(E1928&lt;&gt;"",E1928&lt;&gt;"!!!"),"NEW","")))</f>
        <v> </v>
      </c>
      <c r="G1928" s="24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5" t="str">
        <f>IF(J1928&lt;&gt;1,"",IF(I1928="SBJ","CB","?"))</f>
        <v> </v>
      </c>
      <c r="I1928" s="26" t="str">
        <f>IF(OR(E1928="",E1928="!!!",F1928="NEW"),"",INDEX(B1927:B$2,-1+SUMPRODUCT(MAX(ROW(E1927:E$2)*(E1928=E1927:E$2)))))</f>
        <v> </v>
      </c>
      <c r="J1928" s="26" t="str">
        <f>IF(OR(E1928="",E1928="!!!",F1928="NEW"),"",COUNTBLANK(OFFSET(A$1,,,SUMPRODUCT(MAX(ROW(E$2:E1928)*(E1928=E$2:E1928)))))-COUNTBLANK(OFFSET(A$1,,,SUMPRODUCT(MAX(ROW(E$1:E1927)*(E2=E$1:E1927))))))</f>
        <v> </v>
      </c>
      <c r="K1928" s="26" t="str">
        <f>IF(OR(E1928="",E1928="!!!",F1928="NEW"),"",INDEX(J$1:J1927,SUMPRODUCT(MAX(ROW(E$1:E1927)*(E1928=E$1:E1927)))))</f>
        <v> </v>
      </c>
      <c r="L1928" s="27"/>
    </row>
    <row r="1929" spans="1:12">
      <c r="A1929" s="20" t="s">
        <v>1492</v>
      </c>
      <c r="E1929" s="22">
        <f>IF(D1929="?OLD","!!!","")</f>
        <v/>
      </c>
      <c r="F1929" s="23" t="str">
        <f>IF(OR(E1929="",E1929="!!!"),"",IF(NOT(ISNA(VLOOKUP(E1929,E$1:E1928,1,FALSE()))),"OLD",IF(AND(E1929&lt;&gt;"",E1929&lt;&gt;"!!!"),"NEW","")))</f>
        <v> </v>
      </c>
      <c r="G1929" s="24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5" t="str">
        <f>IF(J1929&lt;&gt;1,"",IF(I1929="SBJ","CB","?"))</f>
        <v> </v>
      </c>
      <c r="I1929" s="26" t="str">
        <f>IF(OR(E1929="",E1929="!!!",F1929="NEW"),"",INDEX(B1928:B$2,-1+SUMPRODUCT(MAX(ROW(E1928:E$2)*(E1929=E1928:E$2)))))</f>
        <v> </v>
      </c>
      <c r="J1929" s="26" t="str">
        <f>IF(OR(E1929="",E1929="!!!",F1929="NEW"),"",COUNTBLANK(OFFSET(A$1,,,SUMPRODUCT(MAX(ROW(E$2:E1929)*(E1929=E$2:E1929)))))-COUNTBLANK(OFFSET(A$1,,,SUMPRODUCT(MAX(ROW(E$1:E1928)*(E2=E$1:E1928))))))</f>
        <v> </v>
      </c>
      <c r="K1929" s="26" t="str">
        <f>IF(OR(E1929="",E1929="!!!",F1929="NEW"),"",INDEX(J$1:J1928,SUMPRODUCT(MAX(ROW(E$1:E1928)*(E1929=E$1:E1928)))))</f>
        <v> </v>
      </c>
      <c r="L1929" s="27"/>
    </row>
    <row r="1930" spans="1:12">
      <c r="A1930" s="20" t="s">
        <v>583</v>
      </c>
      <c r="E1930" s="22">
        <f>IF(D1930="?OLD","!!!","")</f>
        <v/>
      </c>
      <c r="F1930" s="23" t="str">
        <f>IF(OR(E1930="",E1930="!!!"),"",IF(NOT(ISNA(VLOOKUP(E1930,E$1:E1929,1,FALSE()))),"OLD",IF(AND(E1930&lt;&gt;"",E1930&lt;&gt;"!!!"),"NEW","")))</f>
        <v> </v>
      </c>
      <c r="G1930" s="24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5" t="str">
        <f>IF(J1930&lt;&gt;1,"",IF(I1930="SBJ","CB","?"))</f>
        <v> </v>
      </c>
      <c r="I1930" s="26" t="str">
        <f>IF(OR(E1930="",E1930="!!!",F1930="NEW"),"",INDEX(B1929:B$2,-1+SUMPRODUCT(MAX(ROW(E1929:E$2)*(E1930=E1929:E$2)))))</f>
        <v> </v>
      </c>
      <c r="J1930" s="26" t="str">
        <f>IF(OR(E1930="",E1930="!!!",F1930="NEW"),"",COUNTBLANK(OFFSET(A$1,,,SUMPRODUCT(MAX(ROW(E$2:E1930)*(E1930=E$2:E1930)))))-COUNTBLANK(OFFSET(A$1,,,SUMPRODUCT(MAX(ROW(E$1:E1929)*(E2=E$1:E1929))))))</f>
        <v> </v>
      </c>
      <c r="K1930" s="26" t="str">
        <f>IF(OR(E1930="",E1930="!!!",F1930="NEW"),"",INDEX(J$1:J1929,SUMPRODUCT(MAX(ROW(E$1:E1929)*(E1930=E$1:E1929)))))</f>
        <v> </v>
      </c>
      <c r="L1930" s="27"/>
    </row>
    <row r="1931" spans="1:12">
      <c r="A1931" s="20" t="s">
        <v>685</v>
      </c>
      <c r="B1931" s="21" t="s">
        <v>578</v>
      </c>
      <c r="C1931" s="21" t="s">
        <v>613</v>
      </c>
      <c r="D1931" s="21" t="s">
        <v>587</v>
      </c>
      <c r="E1931" s="22">
        <f>IF(D1931="?OLD","!!!","")</f>
        <v/>
      </c>
      <c r="F1931" s="23" t="str">
        <f>IF(OR(E1931="",E1931="!!!"),"",IF(NOT(ISNA(VLOOKUP(E1931,E$1:E1930,1,FALSE()))),"OLD",IF(AND(E1931&lt;&gt;"",E1931&lt;&gt;"!!!"),"NEW","")))</f>
        <v> </v>
      </c>
      <c r="G1931" s="24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5" t="str">
        <f>IF(J1931&lt;&gt;1,"",IF(I1931="SBJ","CB","?"))</f>
        <v> </v>
      </c>
      <c r="I1931" s="26" t="str">
        <f>IF(OR(E1931="",E1931="!!!",F1931="NEW"),"",INDEX(B1930:B$2,-1+SUMPRODUCT(MAX(ROW(E1930:E$2)*(E1931=E1930:E$2)))))</f>
        <v> </v>
      </c>
      <c r="J1931" s="26" t="str">
        <f>IF(OR(E1931="",E1931="!!!",F1931="NEW"),"",COUNTBLANK(OFFSET(A$1,,,SUMPRODUCT(MAX(ROW(E$2:E1931)*(E1931=E$2:E1931)))))-COUNTBLANK(OFFSET(A$1,,,SUMPRODUCT(MAX(ROW(E$1:E1930)*(E2=E$1:E1930))))))</f>
        <v> </v>
      </c>
      <c r="K1931" s="26" t="str">
        <f>IF(OR(E1931="",E1931="!!!",F1931="NEW"),"",INDEX(J$1:J1930,SUMPRODUCT(MAX(ROW(E$1:E1930)*(E1931=E$1:E1930)))))</f>
        <v> </v>
      </c>
      <c r="L1931" s="27"/>
    </row>
    <row r="1932" spans="1:12">
      <c r="A1932" s="20" t="s">
        <v>1492</v>
      </c>
      <c r="E1932" s="22">
        <f>IF(D1932="?OLD","!!!","")</f>
        <v/>
      </c>
      <c r="F1932" s="23" t="str">
        <f>IF(OR(E1932="",E1932="!!!"),"",IF(NOT(ISNA(VLOOKUP(E1932,E$1:E1931,1,FALSE()))),"OLD",IF(AND(E1932&lt;&gt;"",E1932&lt;&gt;"!!!"),"NEW","")))</f>
        <v> </v>
      </c>
      <c r="G1932" s="24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5" t="str">
        <f>IF(J1932&lt;&gt;1,"",IF(I1932="SBJ","CB","?"))</f>
        <v> </v>
      </c>
      <c r="I1932" s="26" t="str">
        <f>IF(OR(E1932="",E1932="!!!",F1932="NEW"),"",INDEX(B1931:B$2,-1+SUMPRODUCT(MAX(ROW(E1931:E$2)*(E1932=E1931:E$2)))))</f>
        <v> </v>
      </c>
      <c r="J1932" s="26" t="str">
        <f>IF(OR(E1932="",E1932="!!!",F1932="NEW"),"",COUNTBLANK(OFFSET(A$1,,,SUMPRODUCT(MAX(ROW(E$2:E1932)*(E1932=E$2:E1932)))))-COUNTBLANK(OFFSET(A$1,,,SUMPRODUCT(MAX(ROW(E$1:E1931)*(E2=E$1:E1931))))))</f>
        <v> </v>
      </c>
      <c r="K1932" s="26" t="str">
        <f>IF(OR(E1932="",E1932="!!!",F1932="NEW"),"",INDEX(J$1:J1931,SUMPRODUCT(MAX(ROW(E$1:E1931)*(E1932=E$1:E1931)))))</f>
        <v> </v>
      </c>
      <c r="L1932" s="27"/>
    </row>
    <row r="1933" spans="1:12">
      <c r="A1933" s="20" t="s">
        <v>739</v>
      </c>
      <c r="E1933" s="22">
        <f>IF(D1933="?OLD","!!!","")</f>
        <v/>
      </c>
      <c r="F1933" s="23" t="str">
        <f>IF(OR(E1933="",E1933="!!!"),"",IF(NOT(ISNA(VLOOKUP(E1933,E$1:E1932,1,FALSE()))),"OLD",IF(AND(E1933&lt;&gt;"",E1933&lt;&gt;"!!!"),"NEW","")))</f>
        <v> </v>
      </c>
      <c r="G1933" s="24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5" t="str">
        <f>IF(J1933&lt;&gt;1,"",IF(I1933="SBJ","CB","?"))</f>
        <v> </v>
      </c>
      <c r="I1933" s="26" t="str">
        <f>IF(OR(E1933="",E1933="!!!",F1933="NEW"),"",INDEX(B1932:B$2,-1+SUMPRODUCT(MAX(ROW(E1932:E$2)*(E1933=E1932:E$2)))))</f>
        <v> </v>
      </c>
      <c r="J1933" s="26" t="str">
        <f>IF(OR(E1933="",E1933="!!!",F1933="NEW"),"",COUNTBLANK(OFFSET(A$1,,,SUMPRODUCT(MAX(ROW(E$2:E1933)*(E1933=E$2:E1933)))))-COUNTBLANK(OFFSET(A$1,,,SUMPRODUCT(MAX(ROW(E$1:E1932)*(E2=E$1:E1932))))))</f>
        <v> </v>
      </c>
      <c r="K1933" s="26" t="str">
        <f>IF(OR(E1933="",E1933="!!!",F1933="NEW"),"",INDEX(J$1:J1932,SUMPRODUCT(MAX(ROW(E$1:E1932)*(E1933=E$1:E1932)))))</f>
        <v> </v>
      </c>
      <c r="L1933" s="27"/>
    </row>
    <row r="1934" spans="1:12">
      <c r="A1934" s="20" t="s">
        <v>1090</v>
      </c>
      <c r="E1934" s="22">
        <f>IF(D1934="?OLD","!!!","")</f>
        <v/>
      </c>
      <c r="F1934" s="23" t="str">
        <f>IF(OR(E1934="",E1934="!!!"),"",IF(NOT(ISNA(VLOOKUP(E1934,E$1:E1933,1,FALSE()))),"OLD",IF(AND(E1934&lt;&gt;"",E1934&lt;&gt;"!!!"),"NEW","")))</f>
        <v> </v>
      </c>
      <c r="G1934" s="24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5" t="str">
        <f>IF(J1934&lt;&gt;1,"",IF(I1934="SBJ","CB","?"))</f>
        <v> </v>
      </c>
      <c r="I1934" s="26" t="str">
        <f>IF(OR(E1934="",E1934="!!!",F1934="NEW"),"",INDEX(B1933:B$2,-1+SUMPRODUCT(MAX(ROW(E1933:E$2)*(E1934=E1933:E$2)))))</f>
        <v> </v>
      </c>
      <c r="J1934" s="26" t="str">
        <f>IF(OR(E1934="",E1934="!!!",F1934="NEW"),"",COUNTBLANK(OFFSET(A$1,,,SUMPRODUCT(MAX(ROW(E$2:E1934)*(E1934=E$2:E1934)))))-COUNTBLANK(OFFSET(A$1,,,SUMPRODUCT(MAX(ROW(E$1:E1933)*(E2=E$1:E1933))))))</f>
        <v> </v>
      </c>
      <c r="K1934" s="26" t="str">
        <f>IF(OR(E1934="",E1934="!!!",F1934="NEW"),"",INDEX(J$1:J1933,SUMPRODUCT(MAX(ROW(E$1:E1933)*(E1934=E$1:E1933)))))</f>
        <v> </v>
      </c>
      <c r="L1934" s="27"/>
    </row>
    <row r="1935" spans="1:12">
      <c r="A1935" s="20" t="s">
        <v>592</v>
      </c>
      <c r="E1935" s="22">
        <f>IF(D1935="?OLD","!!!","")</f>
        <v/>
      </c>
      <c r="F1935" s="23" t="str">
        <f>IF(OR(E1935="",E1935="!!!"),"",IF(NOT(ISNA(VLOOKUP(E1935,E$1:E1934,1,FALSE()))),"OLD",IF(AND(E1935&lt;&gt;"",E1935&lt;&gt;"!!!"),"NEW","")))</f>
        <v> </v>
      </c>
      <c r="G1935" s="24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5" t="str">
        <f>IF(J1935&lt;&gt;1,"",IF(I1935="SBJ","CB","?"))</f>
        <v> </v>
      </c>
      <c r="I1935" s="26" t="str">
        <f>IF(OR(E1935="",E1935="!!!",F1935="NEW"),"",INDEX(B1934:B$2,-1+SUMPRODUCT(MAX(ROW(E1934:E$2)*(E1935=E1934:E$2)))))</f>
        <v> </v>
      </c>
      <c r="J1935" s="26" t="str">
        <f>IF(OR(E1935="",E1935="!!!",F1935="NEW"),"",COUNTBLANK(OFFSET(A$1,,,SUMPRODUCT(MAX(ROW(E$2:E1935)*(E1935=E$2:E1935)))))-COUNTBLANK(OFFSET(A$1,,,SUMPRODUCT(MAX(ROW(E$1:E1934)*(E2=E$1:E1934))))))</f>
        <v> </v>
      </c>
      <c r="K1935" s="26" t="str">
        <f>IF(OR(E1935="",E1935="!!!",F1935="NEW"),"",INDEX(J$1:J1934,SUMPRODUCT(MAX(ROW(E$1:E1934)*(E1935=E$1:E1934)))))</f>
        <v> </v>
      </c>
      <c r="L1935" s="27"/>
    </row>
    <row r="1936" spans="1:12">
      <c r="A1936" s="20"/>
    </row>
    <row r="1937" spans="1:12">
      <c r="A1937" s="20" t="s">
        <v>1493</v>
      </c>
    </row>
    <row r="1938" spans="1:12">
      <c r="A1938" s="20" t="s">
        <v>1489</v>
      </c>
      <c r="B1938" s="21" t="s">
        <v>578</v>
      </c>
      <c r="C1938" s="21" t="s">
        <v>628</v>
      </c>
      <c r="D1938" s="21" t="s">
        <v>587</v>
      </c>
      <c r="E1938" s="22">
        <f>IF(D1938="?OLD","!!!","")</f>
        <v/>
      </c>
      <c r="F1938" s="23" t="str">
        <f>IF(OR(E1938="",E1938="!!!"),"",IF(NOT(ISNA(VLOOKUP(E1938,E$1:E1937,1,FALSE()))),"OLD",IF(AND(E1938&lt;&gt;"",E1938&lt;&gt;"!!!"),"NEW","")))</f>
        <v> </v>
      </c>
      <c r="G1938" s="24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5" t="str">
        <f>IF(J1938&lt;&gt;1,"",IF(I1938="SBJ","CB","?"))</f>
        <v> </v>
      </c>
      <c r="I1938" s="26" t="str">
        <f>IF(OR(E1938="",E1938="!!!",F1938="NEW"),"",INDEX(B1937:B$2,-1+SUMPRODUCT(MAX(ROW(E1937:E$2)*(E1938=E1937:E$2)))))</f>
        <v> </v>
      </c>
      <c r="J1938" s="26" t="str">
        <f>IF(OR(E1938="",E1938="!!!",F1938="NEW"),"",COUNTBLANK(OFFSET(A$1,,,SUMPRODUCT(MAX(ROW(E$2:E1938)*(E1938=E$2:E1938)))))-COUNTBLANK(OFFSET(A$1,,,SUMPRODUCT(MAX(ROW(E$1:E1937)*(E2=E$1:E1937))))))</f>
        <v> </v>
      </c>
      <c r="K1938" s="26" t="str">
        <f>IF(OR(E1938="",E1938="!!!",F1938="NEW"),"",INDEX(J$1:J1937,SUMPRODUCT(MAX(ROW(E$1:E1937)*(E1938=E$1:E1937)))))</f>
        <v> </v>
      </c>
      <c r="L1938" s="27"/>
    </row>
    <row r="1939" spans="1:12">
      <c r="A1939" s="20" t="s">
        <v>630</v>
      </c>
      <c r="E1939" s="22">
        <f>IF(D1939="?OLD","!!!","")</f>
        <v/>
      </c>
      <c r="F1939" s="23" t="str">
        <f>IF(OR(E1939="",E1939="!!!"),"",IF(NOT(ISNA(VLOOKUP(E1939,E$1:E1938,1,FALSE()))),"OLD",IF(AND(E1939&lt;&gt;"",E1939&lt;&gt;"!!!"),"NEW","")))</f>
        <v> </v>
      </c>
      <c r="G1939" s="24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5" t="str">
        <f>IF(J1939&lt;&gt;1,"",IF(I1939="SBJ","CB","?"))</f>
        <v> </v>
      </c>
      <c r="I1939" s="26" t="str">
        <f>IF(OR(E1939="",E1939="!!!",F1939="NEW"),"",INDEX(B1938:B$2,-1+SUMPRODUCT(MAX(ROW(E1938:E$2)*(E1939=E1938:E$2)))))</f>
        <v> </v>
      </c>
      <c r="J1939" s="26" t="str">
        <f>IF(OR(E1939="",E1939="!!!",F1939="NEW"),"",COUNTBLANK(OFFSET(A$1,,,SUMPRODUCT(MAX(ROW(E$2:E1939)*(E1939=E$2:E1939)))))-COUNTBLANK(OFFSET(A$1,,,SUMPRODUCT(MAX(ROW(E$1:E1938)*(E2=E$1:E1938))))))</f>
        <v> </v>
      </c>
      <c r="K1939" s="26" t="str">
        <f>IF(OR(E1939="",E1939="!!!",F1939="NEW"),"",INDEX(J$1:J1938,SUMPRODUCT(MAX(ROW(E$1:E1938)*(E1939=E$1:E1938)))))</f>
        <v> </v>
      </c>
      <c r="L1939" s="27"/>
    </row>
    <row r="1940" spans="1:12">
      <c r="A1940" s="20" t="s">
        <v>1058</v>
      </c>
      <c r="B1940" s="21" t="s">
        <v>585</v>
      </c>
      <c r="C1940" s="21" t="s">
        <v>628</v>
      </c>
      <c r="D1940" s="21" t="s">
        <v>587</v>
      </c>
      <c r="E1940" s="22">
        <f>IF(D1940="?OLD","!!!","")</f>
        <v/>
      </c>
      <c r="F1940" s="23" t="str">
        <f>IF(OR(E1940="",E1940="!!!"),"",IF(NOT(ISNA(VLOOKUP(E1940,E$1:E1939,1,FALSE()))),"OLD",IF(AND(E1940&lt;&gt;"",E1940&lt;&gt;"!!!"),"NEW","")))</f>
        <v> </v>
      </c>
      <c r="G1940" s="24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5" t="str">
        <f>IF(J1940&lt;&gt;1,"",IF(I1940="SBJ","CB","?"))</f>
        <v> </v>
      </c>
      <c r="I1940" s="26" t="str">
        <f>IF(OR(E1940="",E1940="!!!",F1940="NEW"),"",INDEX(B1939:B$2,-1+SUMPRODUCT(MAX(ROW(E1939:E$2)*(E1940=E1939:E$2)))))</f>
        <v> </v>
      </c>
      <c r="J1940" s="26" t="str">
        <f>IF(OR(E1940="",E1940="!!!",F1940="NEW"),"",COUNTBLANK(OFFSET(A$1,,,SUMPRODUCT(MAX(ROW(E$2:E1940)*(E1940=E$2:E1940)))))-COUNTBLANK(OFFSET(A$1,,,SUMPRODUCT(MAX(ROW(E$1:E1939)*(E2=E$1:E1939))))))</f>
        <v> </v>
      </c>
      <c r="K1940" s="26" t="str">
        <f>IF(OR(E1940="",E1940="!!!",F1940="NEW"),"",INDEX(J$1:J1939,SUMPRODUCT(MAX(ROW(E$1:E1939)*(E1940=E$1:E1939)))))</f>
        <v> </v>
      </c>
      <c r="L1940" s="27"/>
    </row>
    <row r="1941" spans="1:12">
      <c r="A1941" s="20" t="s">
        <v>583</v>
      </c>
      <c r="E1941" s="22">
        <f>IF(D1941="?OLD","!!!","")</f>
        <v/>
      </c>
      <c r="F1941" s="23" t="str">
        <f>IF(OR(E1941="",E1941="!!!"),"",IF(NOT(ISNA(VLOOKUP(E1941,E$1:E1940,1,FALSE()))),"OLD",IF(AND(E1941&lt;&gt;"",E1941&lt;&gt;"!!!"),"NEW","")))</f>
        <v> </v>
      </c>
      <c r="G1941" s="24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5" t="str">
        <f>IF(J1941&lt;&gt;1,"",IF(I1941="SBJ","CB","?"))</f>
        <v> </v>
      </c>
      <c r="I1941" s="26" t="str">
        <f>IF(OR(E1941="",E1941="!!!",F1941="NEW"),"",INDEX(B1940:B$2,-1+SUMPRODUCT(MAX(ROW(E1940:E$2)*(E1941=E1940:E$2)))))</f>
        <v> </v>
      </c>
      <c r="J1941" s="26" t="str">
        <f>IF(OR(E1941="",E1941="!!!",F1941="NEW"),"",COUNTBLANK(OFFSET(A$1,,,SUMPRODUCT(MAX(ROW(E$2:E1941)*(E1941=E$2:E1941)))))-COUNTBLANK(OFFSET(A$1,,,SUMPRODUCT(MAX(ROW(E$1:E1940)*(E2=E$1:E1940))))))</f>
        <v> </v>
      </c>
      <c r="K1941" s="26" t="str">
        <f>IF(OR(E1941="",E1941="!!!",F1941="NEW"),"",INDEX(J$1:J1940,SUMPRODUCT(MAX(ROW(E$1:E1940)*(E1941=E$1:E1940)))))</f>
        <v> </v>
      </c>
      <c r="L1941" s="27"/>
    </row>
    <row r="1942" spans="1:12">
      <c r="A1942" s="20" t="s">
        <v>1494</v>
      </c>
      <c r="E1942" s="22">
        <f>IF(D1942="?OLD","!!!","")</f>
        <v/>
      </c>
      <c r="F1942" s="23" t="str">
        <f>IF(OR(E1942="",E1942="!!!"),"",IF(NOT(ISNA(VLOOKUP(E1942,E$1:E1941,1,FALSE()))),"OLD",IF(AND(E1942&lt;&gt;"",E1942&lt;&gt;"!!!"),"NEW","")))</f>
        <v> </v>
      </c>
      <c r="G1942" s="24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5" t="str">
        <f>IF(J1942&lt;&gt;1,"",IF(I1942="SBJ","CB","?"))</f>
        <v> </v>
      </c>
      <c r="I1942" s="26" t="str">
        <f>IF(OR(E1942="",E1942="!!!",F1942="NEW"),"",INDEX(B1941:B$2,-1+SUMPRODUCT(MAX(ROW(E1941:E$2)*(E1942=E1941:E$2)))))</f>
        <v> </v>
      </c>
      <c r="J1942" s="26" t="str">
        <f>IF(OR(E1942="",E1942="!!!",F1942="NEW"),"",COUNTBLANK(OFFSET(A$1,,,SUMPRODUCT(MAX(ROW(E$2:E1942)*(E1942=E$2:E1942)))))-COUNTBLANK(OFFSET(A$1,,,SUMPRODUCT(MAX(ROW(E$1:E1941)*(E2=E$1:E1941))))))</f>
        <v> </v>
      </c>
      <c r="K1942" s="26" t="str">
        <f>IF(OR(E1942="",E1942="!!!",F1942="NEW"),"",INDEX(J$1:J1941,SUMPRODUCT(MAX(ROW(E$1:E1941)*(E1942=E$1:E1941)))))</f>
        <v> </v>
      </c>
      <c r="L1942" s="27"/>
    </row>
    <row r="1943" spans="1:12">
      <c r="A1943" s="20" t="s">
        <v>753</v>
      </c>
      <c r="E1943" s="22">
        <f>IF(D1943="?OLD","!!!","")</f>
        <v/>
      </c>
      <c r="F1943" s="23" t="str">
        <f>IF(OR(E1943="",E1943="!!!"),"",IF(NOT(ISNA(VLOOKUP(E1943,E$1:E1942,1,FALSE()))),"OLD",IF(AND(E1943&lt;&gt;"",E1943&lt;&gt;"!!!"),"NEW","")))</f>
        <v> </v>
      </c>
      <c r="G1943" s="24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5" t="str">
        <f>IF(J1943&lt;&gt;1,"",IF(I1943="SBJ","CB","?"))</f>
        <v> </v>
      </c>
      <c r="I1943" s="26" t="str">
        <f>IF(OR(E1943="",E1943="!!!",F1943="NEW"),"",INDEX(B1942:B$2,-1+SUMPRODUCT(MAX(ROW(E1942:E$2)*(E1943=E1942:E$2)))))</f>
        <v> </v>
      </c>
      <c r="J1943" s="26" t="str">
        <f>IF(OR(E1943="",E1943="!!!",F1943="NEW"),"",COUNTBLANK(OFFSET(A$1,,,SUMPRODUCT(MAX(ROW(E$2:E1943)*(E1943=E$2:E1943)))))-COUNTBLANK(OFFSET(A$1,,,SUMPRODUCT(MAX(ROW(E$1:E1942)*(E2=E$1:E1942))))))</f>
        <v> </v>
      </c>
      <c r="K1943" s="26" t="str">
        <f>IF(OR(E1943="",E1943="!!!",F1943="NEW"),"",INDEX(J$1:J1942,SUMPRODUCT(MAX(ROW(E$1:E1942)*(E1943=E$1:E1942)))))</f>
        <v> </v>
      </c>
      <c r="L1943" s="27"/>
    </row>
    <row r="1944" spans="1:12">
      <c r="A1944" s="20" t="s">
        <v>1495</v>
      </c>
      <c r="E1944" s="22">
        <f>IF(D1944="?OLD","!!!","")</f>
        <v/>
      </c>
      <c r="F1944" s="23" t="str">
        <f>IF(OR(E1944="",E1944="!!!"),"",IF(NOT(ISNA(VLOOKUP(E1944,E$1:E1943,1,FALSE()))),"OLD",IF(AND(E1944&lt;&gt;"",E1944&lt;&gt;"!!!"),"NEW","")))</f>
        <v> </v>
      </c>
      <c r="G1944" s="24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5" t="str">
        <f>IF(J1944&lt;&gt;1,"",IF(I1944="SBJ","CB","?"))</f>
        <v> </v>
      </c>
      <c r="I1944" s="26" t="str">
        <f>IF(OR(E1944="",E1944="!!!",F1944="NEW"),"",INDEX(B1943:B$2,-1+SUMPRODUCT(MAX(ROW(E1943:E$2)*(E1944=E1943:E$2)))))</f>
        <v> </v>
      </c>
      <c r="J1944" s="26" t="str">
        <f>IF(OR(E1944="",E1944="!!!",F1944="NEW"),"",COUNTBLANK(OFFSET(A$1,,,SUMPRODUCT(MAX(ROW(E$2:E1944)*(E1944=E$2:E1944)))))-COUNTBLANK(OFFSET(A$1,,,SUMPRODUCT(MAX(ROW(E$1:E1943)*(E2=E$1:E1943))))))</f>
        <v> </v>
      </c>
      <c r="K1944" s="26" t="str">
        <f>IF(OR(E1944="",E1944="!!!",F1944="NEW"),"",INDEX(J$1:J1943,SUMPRODUCT(MAX(ROW(E$1:E1943)*(E1944=E$1:E1943)))))</f>
        <v> </v>
      </c>
      <c r="L1944" s="27"/>
    </row>
    <row r="1945" spans="1:12">
      <c r="A1945" s="20" t="s">
        <v>1496</v>
      </c>
      <c r="E1945" s="22">
        <f>IF(D1945="?OLD","!!!","")</f>
        <v/>
      </c>
      <c r="F1945" s="23" t="str">
        <f>IF(OR(E1945="",E1945="!!!"),"",IF(NOT(ISNA(VLOOKUP(E1945,E$1:E1944,1,FALSE()))),"OLD",IF(AND(E1945&lt;&gt;"",E1945&lt;&gt;"!!!"),"NEW","")))</f>
        <v> </v>
      </c>
      <c r="G1945" s="24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5" t="str">
        <f>IF(J1945&lt;&gt;1,"",IF(I1945="SBJ","CB","?"))</f>
        <v> </v>
      </c>
      <c r="I1945" s="26" t="str">
        <f>IF(OR(E1945="",E1945="!!!",F1945="NEW"),"",INDEX(B1944:B$2,-1+SUMPRODUCT(MAX(ROW(E1944:E$2)*(E1945=E1944:E$2)))))</f>
        <v> </v>
      </c>
      <c r="J1945" s="26" t="str">
        <f>IF(OR(E1945="",E1945="!!!",F1945="NEW"),"",COUNTBLANK(OFFSET(A$1,,,SUMPRODUCT(MAX(ROW(E$2:E1945)*(E1945=E$2:E1945)))))-COUNTBLANK(OFFSET(A$1,,,SUMPRODUCT(MAX(ROW(E$1:E1944)*(E2=E$1:E1944))))))</f>
        <v> </v>
      </c>
      <c r="K1945" s="26" t="str">
        <f>IF(OR(E1945="",E1945="!!!",F1945="NEW"),"",INDEX(J$1:J1944,SUMPRODUCT(MAX(ROW(E$1:E1944)*(E1945=E$1:E1944)))))</f>
        <v> </v>
      </c>
      <c r="L1945" s="27"/>
    </row>
    <row r="1946" spans="1:12">
      <c r="A1946" s="20" t="s">
        <v>580</v>
      </c>
      <c r="E1946" s="22">
        <f>IF(D1946="?OLD","!!!","")</f>
        <v/>
      </c>
      <c r="F1946" s="23" t="str">
        <f>IF(OR(E1946="",E1946="!!!"),"",IF(NOT(ISNA(VLOOKUP(E1946,E$1:E1945,1,FALSE()))),"OLD",IF(AND(E1946&lt;&gt;"",E1946&lt;&gt;"!!!"),"NEW","")))</f>
        <v> </v>
      </c>
      <c r="G1946" s="24" t="str">
        <f>IF(OR(E1946="",E1946="!!!"),"",IF(OR(J1946=0,AND(J1946=1,K1946=1),AND(J1946=1,I1946="SBJ"),AND(J1946=1,I1946=0)),"?IN_FOCUS",IF(J1946&lt;=2,"?ACTIVATED",IF(J1946&lt;&gt;"","?FAMILIAR",IF(F1946="NEW",IF(ISNA(VLOOKUP(E1946,#REF!,1,FALSE())),"?TYPE_IDENTIFIABLE","?REFERENTIAL"),"_")))))</f>
        <v> </v>
      </c>
      <c r="H1946" s="25" t="str">
        <f>IF(J1946&lt;&gt;1,"",IF(I1946="SBJ","CB","?"))</f>
        <v> </v>
      </c>
      <c r="I1946" s="26" t="str">
        <f>IF(OR(E1946="",E1946="!!!",F1946="NEW"),"",INDEX(B1945:B$2,-1+SUMPRODUCT(MAX(ROW(E1945:E$2)*(E1946=E1945:E$2)))))</f>
        <v> </v>
      </c>
      <c r="J1946" s="26" t="str">
        <f>IF(OR(E1946="",E1946="!!!",F1946="NEW"),"",COUNTBLANK(OFFSET(A$1,,,SUMPRODUCT(MAX(ROW(E$2:E1946)*(E1946=E$2:E1946)))))-COUNTBLANK(OFFSET(A$1,,,SUMPRODUCT(MAX(ROW(E$1:E1945)*(E2=E$1:E1945))))))</f>
        <v> </v>
      </c>
      <c r="K1946" s="26" t="str">
        <f>IF(OR(E1946="",E1946="!!!",F1946="NEW"),"",INDEX(J$1:J1945,SUMPRODUCT(MAX(ROW(E$1:E1945)*(E1946=E$1:E1945)))))</f>
        <v> </v>
      </c>
      <c r="L1946" s="27"/>
    </row>
    <row r="1947" spans="1:12">
      <c r="A1947" s="20" t="s">
        <v>1497</v>
      </c>
      <c r="B1947" s="21" t="s">
        <v>585</v>
      </c>
      <c r="C1947" s="21" t="s">
        <v>628</v>
      </c>
      <c r="D1947" s="21" t="s">
        <v>587</v>
      </c>
      <c r="E1947" s="22">
        <f>IF(D1947="?OLD","!!!","")</f>
        <v/>
      </c>
      <c r="F1947" s="23" t="str">
        <f>IF(OR(E1947="",E1947="!!!"),"",IF(NOT(ISNA(VLOOKUP(E1947,E$1:E1946,1,FALSE()))),"OLD",IF(AND(E1947&lt;&gt;"",E1947&lt;&gt;"!!!"),"NEW","")))</f>
        <v> </v>
      </c>
      <c r="G1947" s="24" t="str">
        <f>IF(OR(E1947="",E1947="!!!"),"",IF(OR(J1947=0,AND(J1947=1,K1947=1),AND(J1947=1,I1947="SBJ"),AND(J1947=1,I1947=0)),"?IN_FOCUS",IF(J1947&lt;=2,"?ACTIVATED",IF(J1947&lt;&gt;"","?FAMILIAR",IF(F1947="NEW",IF(ISNA(VLOOKUP(E1947,#REF!,1,FALSE())),"?TYPE_IDENTIFIABLE","?REFERENTIAL"),"_")))))</f>
        <v> </v>
      </c>
      <c r="H1947" s="25" t="str">
        <f>IF(J1947&lt;&gt;1,"",IF(I1947="SBJ","CB","?"))</f>
        <v> </v>
      </c>
      <c r="I1947" s="26" t="str">
        <f>IF(OR(E1947="",E1947="!!!",F1947="NEW"),"",INDEX(B1946:B$2,-1+SUMPRODUCT(MAX(ROW(E1946:E$2)*(E1947=E1946:E$2)))))</f>
        <v> </v>
      </c>
      <c r="J1947" s="26" t="str">
        <f>IF(OR(E1947="",E1947="!!!",F1947="NEW"),"",COUNTBLANK(OFFSET(A$1,,,SUMPRODUCT(MAX(ROW(E$2:E1947)*(E1947=E$2:E1947)))))-COUNTBLANK(OFFSET(A$1,,,SUMPRODUCT(MAX(ROW(E$1:E1946)*(E2=E$1:E1946))))))</f>
        <v> </v>
      </c>
      <c r="K1947" s="26" t="str">
        <f>IF(OR(E1947="",E1947="!!!",F1947="NEW"),"",INDEX(J$1:J1946,SUMPRODUCT(MAX(ROW(E$1:E1946)*(E1947=E$1:E1946)))))</f>
        <v> </v>
      </c>
      <c r="L1947" s="27"/>
    </row>
    <row r="1948" spans="1:12">
      <c r="A1948" s="20" t="s">
        <v>583</v>
      </c>
      <c r="E1948" s="22">
        <f>IF(D1948="?OLD","!!!","")</f>
        <v/>
      </c>
      <c r="F1948" s="23" t="str">
        <f>IF(OR(E1948="",E1948="!!!"),"",IF(NOT(ISNA(VLOOKUP(E1948,E$1:E1947,1,FALSE()))),"OLD",IF(AND(E1948&lt;&gt;"",E1948&lt;&gt;"!!!"),"NEW","")))</f>
        <v> </v>
      </c>
      <c r="G1948" s="24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5" t="str">
        <f>IF(J1948&lt;&gt;1,"",IF(I1948="SBJ","CB","?"))</f>
        <v> </v>
      </c>
      <c r="I1948" s="26" t="str">
        <f>IF(OR(E1948="",E1948="!!!",F1948="NEW"),"",INDEX(B1947:B$2,-1+SUMPRODUCT(MAX(ROW(E1947:E$2)*(E1948=E1947:E$2)))))</f>
        <v> </v>
      </c>
      <c r="J1948" s="26" t="str">
        <f>IF(OR(E1948="",E1948="!!!",F1948="NEW"),"",COUNTBLANK(OFFSET(A$1,,,SUMPRODUCT(MAX(ROW(E$2:E1948)*(E1948=E$2:E1948)))))-COUNTBLANK(OFFSET(A$1,,,SUMPRODUCT(MAX(ROW(E$1:E1947)*(E2=E$1:E1947))))))</f>
        <v> </v>
      </c>
      <c r="K1948" s="26" t="str">
        <f>IF(OR(E1948="",E1948="!!!",F1948="NEW"),"",INDEX(J$1:J1947,SUMPRODUCT(MAX(ROW(E$1:E1947)*(E1948=E$1:E1947)))))</f>
        <v> </v>
      </c>
      <c r="L1948" s="27"/>
    </row>
    <row r="1949" spans="1:12">
      <c r="A1949" s="20" t="s">
        <v>1498</v>
      </c>
      <c r="E1949" s="22">
        <f>IF(D1949="?OLD","!!!","")</f>
        <v/>
      </c>
      <c r="F1949" s="23" t="str">
        <f>IF(OR(E1949="",E1949="!!!"),"",IF(NOT(ISNA(VLOOKUP(E1949,E$1:E1948,1,FALSE()))),"OLD",IF(AND(E1949&lt;&gt;"",E1949&lt;&gt;"!!!"),"NEW","")))</f>
        <v> </v>
      </c>
      <c r="G1949" s="24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5" t="str">
        <f>IF(J1949&lt;&gt;1,"",IF(I1949="SBJ","CB","?"))</f>
        <v> </v>
      </c>
      <c r="I1949" s="26" t="str">
        <f>IF(OR(E1949="",E1949="!!!",F1949="NEW"),"",INDEX(B1948:B$2,-1+SUMPRODUCT(MAX(ROW(E1948:E$2)*(E1949=E1948:E$2)))))</f>
        <v> </v>
      </c>
      <c r="J1949" s="26" t="str">
        <f>IF(OR(E1949="",E1949="!!!",F1949="NEW"),"",COUNTBLANK(OFFSET(A$1,,,SUMPRODUCT(MAX(ROW(E$2:E1949)*(E1949=E$2:E1949)))))-COUNTBLANK(OFFSET(A$1,,,SUMPRODUCT(MAX(ROW(E$1:E1948)*(E2=E$1:E1948))))))</f>
        <v> </v>
      </c>
      <c r="K1949" s="26" t="str">
        <f>IF(OR(E1949="",E1949="!!!",F1949="NEW"),"",INDEX(J$1:J1948,SUMPRODUCT(MAX(ROW(E$1:E1948)*(E1949=E$1:E1948)))))</f>
        <v> </v>
      </c>
      <c r="L1949" s="27"/>
    </row>
    <row r="1950" spans="1:12">
      <c r="A1950" s="20" t="s">
        <v>1499</v>
      </c>
      <c r="E1950" s="22">
        <f>IF(D1950="?OLD","!!!","")</f>
        <v/>
      </c>
      <c r="F1950" s="23" t="str">
        <f>IF(OR(E1950="",E1950="!!!"),"",IF(NOT(ISNA(VLOOKUP(E1950,E$1:E1949,1,FALSE()))),"OLD",IF(AND(E1950&lt;&gt;"",E1950&lt;&gt;"!!!"),"NEW","")))</f>
        <v> </v>
      </c>
      <c r="G1950" s="24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5" t="str">
        <f>IF(J1950&lt;&gt;1,"",IF(I1950="SBJ","CB","?"))</f>
        <v> </v>
      </c>
      <c r="I1950" s="26" t="str">
        <f>IF(OR(E1950="",E1950="!!!",F1950="NEW"),"",INDEX(B1949:B$2,-1+SUMPRODUCT(MAX(ROW(E1949:E$2)*(E1950=E1949:E$2)))))</f>
        <v> </v>
      </c>
      <c r="J1950" s="26" t="str">
        <f>IF(OR(E1950="",E1950="!!!",F1950="NEW"),"",COUNTBLANK(OFFSET(A$1,,,SUMPRODUCT(MAX(ROW(E$2:E1950)*(E1950=E$2:E1950)))))-COUNTBLANK(OFFSET(A$1,,,SUMPRODUCT(MAX(ROW(E$1:E1949)*(E2=E$1:E1949))))))</f>
        <v> </v>
      </c>
      <c r="K1950" s="26" t="str">
        <f>IF(OR(E1950="",E1950="!!!",F1950="NEW"),"",INDEX(J$1:J1949,SUMPRODUCT(MAX(ROW(E$1:E1949)*(E1950=E$1:E1949)))))</f>
        <v> </v>
      </c>
      <c r="L1950" s="27"/>
    </row>
    <row r="1951" spans="1:12">
      <c r="A1951" s="20" t="s">
        <v>1500</v>
      </c>
      <c r="E1951" s="22">
        <f>IF(D1951="?OLD","!!!","")</f>
        <v/>
      </c>
      <c r="F1951" s="23" t="str">
        <f>IF(OR(E1951="",E1951="!!!"),"",IF(NOT(ISNA(VLOOKUP(E1951,E$1:E1950,1,FALSE()))),"OLD",IF(AND(E1951&lt;&gt;"",E1951&lt;&gt;"!!!"),"NEW","")))</f>
        <v> </v>
      </c>
      <c r="G1951" s="24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5" t="str">
        <f>IF(J1951&lt;&gt;1,"",IF(I1951="SBJ","CB","?"))</f>
        <v> </v>
      </c>
      <c r="I1951" s="26" t="str">
        <f>IF(OR(E1951="",E1951="!!!",F1951="NEW"),"",INDEX(B1950:B$2,-1+SUMPRODUCT(MAX(ROW(E1950:E$2)*(E1951=E1950:E$2)))))</f>
        <v> </v>
      </c>
      <c r="J1951" s="26" t="str">
        <f>IF(OR(E1951="",E1951="!!!",F1951="NEW"),"",COUNTBLANK(OFFSET(A$1,,,SUMPRODUCT(MAX(ROW(E$2:E1951)*(E1951=E$2:E1951)))))-COUNTBLANK(OFFSET(A$1,,,SUMPRODUCT(MAX(ROW(E$1:E1950)*(E2=E$1:E1950))))))</f>
        <v> </v>
      </c>
      <c r="K1951" s="26" t="str">
        <f>IF(OR(E1951="",E1951="!!!",F1951="NEW"),"",INDEX(J$1:J1950,SUMPRODUCT(MAX(ROW(E$1:E1950)*(E1951=E$1:E1950)))))</f>
        <v> </v>
      </c>
      <c r="L1951" s="27"/>
    </row>
    <row r="1952" spans="1:12">
      <c r="A1952" s="20" t="s">
        <v>583</v>
      </c>
      <c r="E1952" s="22">
        <f>IF(D1952="?OLD","!!!","")</f>
        <v/>
      </c>
      <c r="F1952" s="23" t="str">
        <f>IF(OR(E1952="",E1952="!!!"),"",IF(NOT(ISNA(VLOOKUP(E1952,E$1:E1951,1,FALSE()))),"OLD",IF(AND(E1952&lt;&gt;"",E1952&lt;&gt;"!!!"),"NEW","")))</f>
        <v> </v>
      </c>
      <c r="G1952" s="24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5" t="str">
        <f>IF(J1952&lt;&gt;1,"",IF(I1952="SBJ","CB","?"))</f>
        <v> </v>
      </c>
      <c r="I1952" s="26" t="str">
        <f>IF(OR(E1952="",E1952="!!!",F1952="NEW"),"",INDEX(B1951:B$2,-1+SUMPRODUCT(MAX(ROW(E1951:E$2)*(E1952=E1951:E$2)))))</f>
        <v> </v>
      </c>
      <c r="J1952" s="26" t="str">
        <f>IF(OR(E1952="",E1952="!!!",F1952="NEW"),"",COUNTBLANK(OFFSET(A$1,,,SUMPRODUCT(MAX(ROW(E$2:E1952)*(E1952=E$2:E1952)))))-COUNTBLANK(OFFSET(A$1,,,SUMPRODUCT(MAX(ROW(E$1:E1951)*(E2=E$1:E1951))))))</f>
        <v> </v>
      </c>
      <c r="K1952" s="26" t="str">
        <f>IF(OR(E1952="",E1952="!!!",F1952="NEW"),"",INDEX(J$1:J1951,SUMPRODUCT(MAX(ROW(E$1:E1951)*(E1952=E$1:E1951)))))</f>
        <v> </v>
      </c>
      <c r="L1952" s="27"/>
    </row>
    <row r="1953" spans="1:12">
      <c r="A1953" s="20" t="s">
        <v>1501</v>
      </c>
      <c r="E1953" s="22">
        <f>IF(D1953="?OLD","!!!","")</f>
        <v/>
      </c>
      <c r="F1953" s="23" t="str">
        <f>IF(OR(E1953="",E1953="!!!"),"",IF(NOT(ISNA(VLOOKUP(E1953,E$1:E1952,1,FALSE()))),"OLD",IF(AND(E1953&lt;&gt;"",E1953&lt;&gt;"!!!"),"NEW","")))</f>
        <v> </v>
      </c>
      <c r="G1953" s="24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5" t="str">
        <f>IF(J1953&lt;&gt;1,"",IF(I1953="SBJ","CB","?"))</f>
        <v> </v>
      </c>
      <c r="I1953" s="26" t="str">
        <f>IF(OR(E1953="",E1953="!!!",F1953="NEW"),"",INDEX(B1952:B$2,-1+SUMPRODUCT(MAX(ROW(E1952:E$2)*(E1953=E1952:E$2)))))</f>
        <v> </v>
      </c>
      <c r="J1953" s="26" t="str">
        <f>IF(OR(E1953="",E1953="!!!",F1953="NEW"),"",COUNTBLANK(OFFSET(A$1,,,SUMPRODUCT(MAX(ROW(E$2:E1953)*(E1953=E$2:E1953)))))-COUNTBLANK(OFFSET(A$1,,,SUMPRODUCT(MAX(ROW(E$1:E1952)*(E2=E$1:E1952))))))</f>
        <v> </v>
      </c>
      <c r="K1953" s="26" t="str">
        <f>IF(OR(E1953="",E1953="!!!",F1953="NEW"),"",INDEX(J$1:J1952,SUMPRODUCT(MAX(ROW(E$1:E1952)*(E1953=E$1:E1952)))))</f>
        <v> </v>
      </c>
      <c r="L1953" s="27"/>
    </row>
    <row r="1954" spans="1:12">
      <c r="A1954" s="20" t="s">
        <v>630</v>
      </c>
      <c r="E1954" s="22">
        <f>IF(D1954="?OLD","!!!","")</f>
        <v/>
      </c>
      <c r="F1954" s="23" t="str">
        <f>IF(OR(E1954="",E1954="!!!"),"",IF(NOT(ISNA(VLOOKUP(E1954,E$1:E1953,1,FALSE()))),"OLD",IF(AND(E1954&lt;&gt;"",E1954&lt;&gt;"!!!"),"NEW","")))</f>
        <v> </v>
      </c>
      <c r="G1954" s="24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5" t="str">
        <f>IF(J1954&lt;&gt;1,"",IF(I1954="SBJ","CB","?"))</f>
        <v> </v>
      </c>
      <c r="I1954" s="26" t="str">
        <f>IF(OR(E1954="",E1954="!!!",F1954="NEW"),"",INDEX(B1953:B$2,-1+SUMPRODUCT(MAX(ROW(E1953:E$2)*(E1954=E1953:E$2)))))</f>
        <v> </v>
      </c>
      <c r="J1954" s="26" t="str">
        <f>IF(OR(E1954="",E1954="!!!",F1954="NEW"),"",COUNTBLANK(OFFSET(A$1,,,SUMPRODUCT(MAX(ROW(E$2:E1954)*(E1954=E$2:E1954)))))-COUNTBLANK(OFFSET(A$1,,,SUMPRODUCT(MAX(ROW(E$1:E1953)*(E2=E$1:E1953))))))</f>
        <v> </v>
      </c>
      <c r="K1954" s="26" t="str">
        <f>IF(OR(E1954="",E1954="!!!",F1954="NEW"),"",INDEX(J$1:J1953,SUMPRODUCT(MAX(ROW(E$1:E1953)*(E1954=E$1:E1953)))))</f>
        <v> </v>
      </c>
      <c r="L1954" s="27"/>
    </row>
    <row r="1955" spans="1:12">
      <c r="A1955" s="20" t="s">
        <v>1502</v>
      </c>
      <c r="E1955" s="22">
        <f>IF(D1955="?OLD","!!!","")</f>
        <v/>
      </c>
      <c r="F1955" s="23" t="str">
        <f>IF(OR(E1955="",E1955="!!!"),"",IF(NOT(ISNA(VLOOKUP(E1955,E$1:E1954,1,FALSE()))),"OLD",IF(AND(E1955&lt;&gt;"",E1955&lt;&gt;"!!!"),"NEW","")))</f>
        <v> </v>
      </c>
      <c r="G1955" s="24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5" t="str">
        <f>IF(J1955&lt;&gt;1,"",IF(I1955="SBJ","CB","?"))</f>
        <v> </v>
      </c>
      <c r="I1955" s="26" t="str">
        <f>IF(OR(E1955="",E1955="!!!",F1955="NEW"),"",INDEX(B1954:B$2,-1+SUMPRODUCT(MAX(ROW(E1954:E$2)*(E1955=E1954:E$2)))))</f>
        <v> </v>
      </c>
      <c r="J1955" s="26" t="str">
        <f>IF(OR(E1955="",E1955="!!!",F1955="NEW"),"",COUNTBLANK(OFFSET(A$1,,,SUMPRODUCT(MAX(ROW(E$2:E1955)*(E1955=E$2:E1955)))))-COUNTBLANK(OFFSET(A$1,,,SUMPRODUCT(MAX(ROW(E$1:E1954)*(E2=E$1:E1954))))))</f>
        <v> </v>
      </c>
      <c r="K1955" s="26" t="str">
        <f>IF(OR(E1955="",E1955="!!!",F1955="NEW"),"",INDEX(J$1:J1954,SUMPRODUCT(MAX(ROW(E$1:E1954)*(E1955=E$1:E1954)))))</f>
        <v> </v>
      </c>
      <c r="L1955" s="27"/>
    </row>
    <row r="1956" spans="1:12">
      <c r="A1956" s="20" t="s">
        <v>580</v>
      </c>
      <c r="E1956" s="22">
        <f>IF(D1956="?OLD","!!!","")</f>
        <v/>
      </c>
      <c r="F1956" s="23" t="str">
        <f>IF(OR(E1956="",E1956="!!!"),"",IF(NOT(ISNA(VLOOKUP(E1956,E$1:E1955,1,FALSE()))),"OLD",IF(AND(E1956&lt;&gt;"",E1956&lt;&gt;"!!!"),"NEW","")))</f>
        <v> </v>
      </c>
      <c r="G1956" s="24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5" t="str">
        <f>IF(J1956&lt;&gt;1,"",IF(I1956="SBJ","CB","?"))</f>
        <v> </v>
      </c>
      <c r="I1956" s="26" t="str">
        <f>IF(OR(E1956="",E1956="!!!",F1956="NEW"),"",INDEX(B1955:B$2,-1+SUMPRODUCT(MAX(ROW(E1955:E$2)*(E1956=E1955:E$2)))))</f>
        <v> </v>
      </c>
      <c r="J1956" s="26" t="str">
        <f>IF(OR(E1956="",E1956="!!!",F1956="NEW"),"",COUNTBLANK(OFFSET(A$1,,,SUMPRODUCT(MAX(ROW(E$2:E1956)*(E1956=E$2:E1956)))))-COUNTBLANK(OFFSET(A$1,,,SUMPRODUCT(MAX(ROW(E$1:E1955)*(E2=E$1:E1955))))))</f>
        <v> </v>
      </c>
      <c r="K1956" s="26" t="str">
        <f>IF(OR(E1956="",E1956="!!!",F1956="NEW"),"",INDEX(J$1:J1955,SUMPRODUCT(MAX(ROW(E$1:E1955)*(E1956=E$1:E1955)))))</f>
        <v> </v>
      </c>
      <c r="L1956" s="27"/>
    </row>
    <row r="1957" spans="1:12">
      <c r="A1957" s="20" t="s">
        <v>1503</v>
      </c>
      <c r="E1957" s="22">
        <f>IF(D1957="?OLD","!!!","")</f>
        <v/>
      </c>
      <c r="F1957" s="23" t="str">
        <f>IF(OR(E1957="",E1957="!!!"),"",IF(NOT(ISNA(VLOOKUP(E1957,E$1:E1956,1,FALSE()))),"OLD",IF(AND(E1957&lt;&gt;"",E1957&lt;&gt;"!!!"),"NEW","")))</f>
        <v> </v>
      </c>
      <c r="G1957" s="24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5" t="str">
        <f>IF(J1957&lt;&gt;1,"",IF(I1957="SBJ","CB","?"))</f>
        <v> </v>
      </c>
      <c r="I1957" s="26" t="str">
        <f>IF(OR(E1957="",E1957="!!!",F1957="NEW"),"",INDEX(B1956:B$2,-1+SUMPRODUCT(MAX(ROW(E1956:E$2)*(E1957=E1956:E$2)))))</f>
        <v> </v>
      </c>
      <c r="J1957" s="26" t="str">
        <f>IF(OR(E1957="",E1957="!!!",F1957="NEW"),"",COUNTBLANK(OFFSET(A$1,,,SUMPRODUCT(MAX(ROW(E$2:E1957)*(E1957=E$2:E1957)))))-COUNTBLANK(OFFSET(A$1,,,SUMPRODUCT(MAX(ROW(E$1:E1956)*(E2=E$1:E1956))))))</f>
        <v> </v>
      </c>
      <c r="K1957" s="26" t="str">
        <f>IF(OR(E1957="",E1957="!!!",F1957="NEW"),"",INDEX(J$1:J1956,SUMPRODUCT(MAX(ROW(E$1:E1956)*(E1957=E$1:E1956)))))</f>
        <v> </v>
      </c>
      <c r="L1957" s="27"/>
    </row>
    <row r="1958" spans="1:12">
      <c r="A1958" s="20" t="s">
        <v>1504</v>
      </c>
      <c r="E1958" s="22">
        <f>IF(D1958="?OLD","!!!","")</f>
        <v/>
      </c>
      <c r="F1958" s="23" t="str">
        <f>IF(OR(E1958="",E1958="!!!"),"",IF(NOT(ISNA(VLOOKUP(E1958,E$1:E1957,1,FALSE()))),"OLD",IF(AND(E1958&lt;&gt;"",E1958&lt;&gt;"!!!"),"NEW","")))</f>
        <v> </v>
      </c>
      <c r="G1958" s="24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5" t="str">
        <f>IF(J1958&lt;&gt;1,"",IF(I1958="SBJ","CB","?"))</f>
        <v> </v>
      </c>
      <c r="I1958" s="26" t="str">
        <f>IF(OR(E1958="",E1958="!!!",F1958="NEW"),"",INDEX(B1957:B$2,-1+SUMPRODUCT(MAX(ROW(E1957:E$2)*(E1958=E1957:E$2)))))</f>
        <v> </v>
      </c>
      <c r="J1958" s="26" t="str">
        <f>IF(OR(E1958="",E1958="!!!",F1958="NEW"),"",COUNTBLANK(OFFSET(A$1,,,SUMPRODUCT(MAX(ROW(E$2:E1958)*(E1958=E$2:E1958)))))-COUNTBLANK(OFFSET(A$1,,,SUMPRODUCT(MAX(ROW(E$1:E1957)*(E2=E$1:E1957))))))</f>
        <v> </v>
      </c>
      <c r="K1958" s="26" t="str">
        <f>IF(OR(E1958="",E1958="!!!",F1958="NEW"),"",INDEX(J$1:J1957,SUMPRODUCT(MAX(ROW(E$1:E1957)*(E1958=E$1:E1957)))))</f>
        <v> </v>
      </c>
      <c r="L1958" s="27"/>
    </row>
    <row r="1959" spans="1:12">
      <c r="A1959" s="20" t="s">
        <v>592</v>
      </c>
      <c r="E1959" s="22">
        <f>IF(D1959="?OLD","!!!","")</f>
        <v/>
      </c>
      <c r="F1959" s="23" t="str">
        <f>IF(OR(E1959="",E1959="!!!"),"",IF(NOT(ISNA(VLOOKUP(E1959,E$1:E1958,1,FALSE()))),"OLD",IF(AND(E1959&lt;&gt;"",E1959&lt;&gt;"!!!"),"NEW","")))</f>
        <v> </v>
      </c>
      <c r="G1959" s="24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5" t="str">
        <f>IF(J1959&lt;&gt;1,"",IF(I1959="SBJ","CB","?"))</f>
        <v> </v>
      </c>
      <c r="I1959" s="26" t="str">
        <f>IF(OR(E1959="",E1959="!!!",F1959="NEW"),"",INDEX(B1958:B$2,-1+SUMPRODUCT(MAX(ROW(E1958:E$2)*(E1959=E1958:E$2)))))</f>
        <v> </v>
      </c>
      <c r="J1959" s="26" t="str">
        <f>IF(OR(E1959="",E1959="!!!",F1959="NEW"),"",COUNTBLANK(OFFSET(A$1,,,SUMPRODUCT(MAX(ROW(E$2:E1959)*(E1959=E$2:E1959)))))-COUNTBLANK(OFFSET(A$1,,,SUMPRODUCT(MAX(ROW(E$1:E1958)*(E2=E$1:E1958))))))</f>
        <v> </v>
      </c>
      <c r="K1959" s="26" t="str">
        <f>IF(OR(E1959="",E1959="!!!",F1959="NEW"),"",INDEX(J$1:J1958,SUMPRODUCT(MAX(ROW(E$1:E1958)*(E1959=E$1:E1958)))))</f>
        <v> </v>
      </c>
      <c r="L1959" s="27"/>
    </row>
    <row r="1960" spans="1:12">
      <c r="A1960" s="20"/>
    </row>
    <row r="1961" spans="1:12">
      <c r="A1961" s="20" t="s">
        <v>1505</v>
      </c>
    </row>
    <row r="1962" spans="1:12">
      <c r="A1962" s="20" t="s">
        <v>765</v>
      </c>
      <c r="B1962" s="21" t="s">
        <v>578</v>
      </c>
      <c r="C1962" s="21" t="s">
        <v>613</v>
      </c>
      <c r="D1962" s="21" t="s">
        <v>587</v>
      </c>
      <c r="E1962" s="22">
        <f>IF(D1962="?OLD","!!!","")</f>
        <v/>
      </c>
      <c r="F1962" s="23" t="str">
        <f>IF(OR(E1962="",E1962="!!!"),"",IF(NOT(ISNA(VLOOKUP(E1962,E$1:E1961,1,FALSE()))),"OLD",IF(AND(E1962&lt;&gt;"",E1962&lt;&gt;"!!!"),"NEW","")))</f>
        <v> </v>
      </c>
      <c r="G1962" s="24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5" t="str">
        <f>IF(J1962&lt;&gt;1,"",IF(I1962="SBJ","CB","?"))</f>
        <v> </v>
      </c>
      <c r="I1962" s="26" t="str">
        <f>IF(OR(E1962="",E1962="!!!",F1962="NEW"),"",INDEX(B1961:B$2,-1+SUMPRODUCT(MAX(ROW(E1961:E$2)*(E1962=E1961:E$2)))))</f>
        <v> </v>
      </c>
      <c r="J1962" s="26" t="str">
        <f>IF(OR(E1962="",E1962="!!!",F1962="NEW"),"",COUNTBLANK(OFFSET(A$1,,,SUMPRODUCT(MAX(ROW(E$2:E1962)*(E1962=E$2:E1962)))))-COUNTBLANK(OFFSET(A$1,,,SUMPRODUCT(MAX(ROW(E$1:E1961)*(E2=E$1:E1961))))))</f>
        <v> </v>
      </c>
      <c r="K1962" s="26" t="str">
        <f>IF(OR(E1962="",E1962="!!!",F1962="NEW"),"",INDEX(J$1:J1961,SUMPRODUCT(MAX(ROW(E$1:E1961)*(E1962=E$1:E1961)))))</f>
        <v> </v>
      </c>
      <c r="L1962" s="27"/>
    </row>
    <row r="1963" spans="1:12">
      <c r="A1963" s="20" t="s">
        <v>1506</v>
      </c>
      <c r="E1963" s="22">
        <f>IF(D1963="?OLD","!!!","")</f>
        <v/>
      </c>
      <c r="F1963" s="23" t="str">
        <f>IF(OR(E1963="",E1963="!!!"),"",IF(NOT(ISNA(VLOOKUP(E1963,E$1:E1962,1,FALSE()))),"OLD",IF(AND(E1963&lt;&gt;"",E1963&lt;&gt;"!!!"),"NEW","")))</f>
        <v> </v>
      </c>
      <c r="G1963" s="24" t="str">
        <f>IF(OR(E1963="",E1963="!!!"),"",IF(OR(J1963=0,AND(J1963=1,K1963=1),AND(J1963=1,I1963="SBJ"),AND(J1963=1,I1963=0)),"?IN_FOCUS",IF(J1963&lt;=2,"?ACTIVATED",IF(J1963&lt;&gt;"","?FAMILIAR",IF(F1963="NEW",IF(ISNA(VLOOKUP(E1963,#REF!,1,FALSE())),"?TYPE_IDENTIFIABLE","?REFERENTIAL"),"_")))))</f>
        <v> </v>
      </c>
      <c r="H1963" s="25" t="str">
        <f>IF(J1963&lt;&gt;1,"",IF(I1963="SBJ","CB","?"))</f>
        <v> </v>
      </c>
      <c r="I1963" s="26" t="str">
        <f>IF(OR(E1963="",E1963="!!!",F1963="NEW"),"",INDEX(B1962:B$2,-1+SUMPRODUCT(MAX(ROW(E1962:E$2)*(E1963=E1962:E$2)))))</f>
        <v> </v>
      </c>
      <c r="J1963" s="26" t="str">
        <f>IF(OR(E1963="",E1963="!!!",F1963="NEW"),"",COUNTBLANK(OFFSET(A$1,,,SUMPRODUCT(MAX(ROW(E$2:E1963)*(E1963=E$2:E1963)))))-COUNTBLANK(OFFSET(A$1,,,SUMPRODUCT(MAX(ROW(E$1:E1962)*(E2=E$1:E1962))))))</f>
        <v> </v>
      </c>
      <c r="K1963" s="26" t="str">
        <f>IF(OR(E1963="",E1963="!!!",F1963="NEW"),"",INDEX(J$1:J1962,SUMPRODUCT(MAX(ROW(E$1:E1962)*(E1963=E$1:E1962)))))</f>
        <v> </v>
      </c>
      <c r="L1963" s="27"/>
    </row>
    <row r="1964" spans="1:12">
      <c r="A1964" s="20" t="s">
        <v>608</v>
      </c>
      <c r="E1964" s="22">
        <f>IF(D1964="?OLD","!!!","")</f>
        <v/>
      </c>
      <c r="F1964" s="23" t="str">
        <f>IF(OR(E1964="",E1964="!!!"),"",IF(NOT(ISNA(VLOOKUP(E1964,E$1:E1963,1,FALSE()))),"OLD",IF(AND(E1964&lt;&gt;"",E1964&lt;&gt;"!!!"),"NEW","")))</f>
        <v> </v>
      </c>
      <c r="G1964" s="24" t="str">
        <f>IF(OR(E1964="",E1964="!!!"),"",IF(OR(J1964=0,AND(J1964=1,K1964=1),AND(J1964=1,I1964="SBJ"),AND(J1964=1,I1964=0)),"?IN_FOCUS",IF(J1964&lt;=2,"?ACTIVATED",IF(J1964&lt;&gt;"","?FAMILIAR",IF(F1964="NEW",IF(ISNA(VLOOKUP(E1964,#REF!,1,FALSE())),"?TYPE_IDENTIFIABLE","?REFERENTIAL"),"_")))))</f>
        <v> </v>
      </c>
      <c r="H1964" s="25" t="str">
        <f>IF(J1964&lt;&gt;1,"",IF(I1964="SBJ","CB","?"))</f>
        <v> </v>
      </c>
      <c r="I1964" s="26" t="str">
        <f>IF(OR(E1964="",E1964="!!!",F1964="NEW"),"",INDEX(B1963:B$2,-1+SUMPRODUCT(MAX(ROW(E1963:E$2)*(E1964=E1963:E$2)))))</f>
        <v> </v>
      </c>
      <c r="J1964" s="26" t="str">
        <f>IF(OR(E1964="",E1964="!!!",F1964="NEW"),"",COUNTBLANK(OFFSET(A$1,,,SUMPRODUCT(MAX(ROW(E$2:E1964)*(E1964=E$2:E1964)))))-COUNTBLANK(OFFSET(A$1,,,SUMPRODUCT(MAX(ROW(E$1:E1963)*(E2=E$1:E1963))))))</f>
        <v> </v>
      </c>
      <c r="K1964" s="26" t="str">
        <f>IF(OR(E1964="",E1964="!!!",F1964="NEW"),"",INDEX(J$1:J1963,SUMPRODUCT(MAX(ROW(E$1:E1963)*(E1964=E$1:E1963)))))</f>
        <v> </v>
      </c>
      <c r="L1964" s="27"/>
    </row>
    <row r="1965" spans="1:12">
      <c r="A1965" s="20" t="s">
        <v>718</v>
      </c>
      <c r="E1965" s="22">
        <f>IF(D1965="?OLD","!!!","")</f>
        <v/>
      </c>
      <c r="F1965" s="23" t="str">
        <f>IF(OR(E1965="",E1965="!!!"),"",IF(NOT(ISNA(VLOOKUP(E1965,E$1:E1964,1,FALSE()))),"OLD",IF(AND(E1965&lt;&gt;"",E1965&lt;&gt;"!!!"),"NEW","")))</f>
        <v> </v>
      </c>
      <c r="G1965" s="24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5" t="str">
        <f>IF(J1965&lt;&gt;1,"",IF(I1965="SBJ","CB","?"))</f>
        <v> </v>
      </c>
      <c r="I1965" s="26" t="str">
        <f>IF(OR(E1965="",E1965="!!!",F1965="NEW"),"",INDEX(B1964:B$2,-1+SUMPRODUCT(MAX(ROW(E1964:E$2)*(E1965=E1964:E$2)))))</f>
        <v> </v>
      </c>
      <c r="J1965" s="26" t="str">
        <f>IF(OR(E1965="",E1965="!!!",F1965="NEW"),"",COUNTBLANK(OFFSET(A$1,,,SUMPRODUCT(MAX(ROW(E$2:E1965)*(E1965=E$2:E1965)))))-COUNTBLANK(OFFSET(A$1,,,SUMPRODUCT(MAX(ROW(E$1:E1964)*(E2=E$1:E1964))))))</f>
        <v> </v>
      </c>
      <c r="K1965" s="26" t="str">
        <f>IF(OR(E1965="",E1965="!!!",F1965="NEW"),"",INDEX(J$1:J1964,SUMPRODUCT(MAX(ROW(E$1:E1964)*(E1965=E$1:E1964)))))</f>
        <v> </v>
      </c>
      <c r="L1965" s="27"/>
    </row>
    <row r="1966" spans="1:12">
      <c r="A1966" s="20" t="s">
        <v>719</v>
      </c>
      <c r="B1966" s="21" t="s">
        <v>651</v>
      </c>
      <c r="C1966" s="21" t="s">
        <v>586</v>
      </c>
      <c r="D1966" s="21" t="s">
        <v>587</v>
      </c>
      <c r="E1966" s="22">
        <f>IF(D1966="?OLD","!!!","")</f>
        <v/>
      </c>
      <c r="F1966" s="23" t="str">
        <f>IF(OR(E1966="",E1966="!!!"),"",IF(NOT(ISNA(VLOOKUP(E1966,E$1:E1965,1,FALSE()))),"OLD",IF(AND(E1966&lt;&gt;"",E1966&lt;&gt;"!!!"),"NEW","")))</f>
        <v> </v>
      </c>
      <c r="G1966" s="24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5" t="str">
        <f>IF(J1966&lt;&gt;1,"",IF(I1966="SBJ","CB","?"))</f>
        <v> </v>
      </c>
      <c r="I1966" s="26" t="str">
        <f>IF(OR(E1966="",E1966="!!!",F1966="NEW"),"",INDEX(B1965:B$2,-1+SUMPRODUCT(MAX(ROW(E1965:E$2)*(E1966=E1965:E$2)))))</f>
        <v> </v>
      </c>
      <c r="J1966" s="26" t="str">
        <f>IF(OR(E1966="",E1966="!!!",F1966="NEW"),"",COUNTBLANK(OFFSET(A$1,,,SUMPRODUCT(MAX(ROW(E$2:E1966)*(E1966=E$2:E1966)))))-COUNTBLANK(OFFSET(A$1,,,SUMPRODUCT(MAX(ROW(E$1:E1965)*(E2=E$1:E1965))))))</f>
        <v> </v>
      </c>
      <c r="K1966" s="26" t="str">
        <f>IF(OR(E1966="",E1966="!!!",F1966="NEW"),"",INDEX(J$1:J1965,SUMPRODUCT(MAX(ROW(E$1:E1965)*(E1966=E$1:E1965)))))</f>
        <v> </v>
      </c>
      <c r="L1966" s="27"/>
    </row>
    <row r="1967" spans="1:12">
      <c r="A1967" s="20" t="s">
        <v>583</v>
      </c>
      <c r="E1967" s="22">
        <f>IF(D1967="?OLD","!!!","")</f>
        <v/>
      </c>
      <c r="F1967" s="23" t="str">
        <f>IF(OR(E1967="",E1967="!!!"),"",IF(NOT(ISNA(VLOOKUP(E1967,E$1:E1966,1,FALSE()))),"OLD",IF(AND(E1967&lt;&gt;"",E1967&lt;&gt;"!!!"),"NEW","")))</f>
        <v> </v>
      </c>
      <c r="G1967" s="24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5" t="str">
        <f>IF(J1967&lt;&gt;1,"",IF(I1967="SBJ","CB","?"))</f>
        <v> </v>
      </c>
      <c r="I1967" s="26" t="str">
        <f>IF(OR(E1967="",E1967="!!!",F1967="NEW"),"",INDEX(B1966:B$2,-1+SUMPRODUCT(MAX(ROW(E1966:E$2)*(E1967=E1966:E$2)))))</f>
        <v> </v>
      </c>
      <c r="J1967" s="26" t="str">
        <f>IF(OR(E1967="",E1967="!!!",F1967="NEW"),"",COUNTBLANK(OFFSET(A$1,,,SUMPRODUCT(MAX(ROW(E$2:E1967)*(E1967=E$2:E1967)))))-COUNTBLANK(OFFSET(A$1,,,SUMPRODUCT(MAX(ROW(E$1:E1966)*(E2=E$1:E1966))))))</f>
        <v> </v>
      </c>
      <c r="K1967" s="26" t="str">
        <f>IF(OR(E1967="",E1967="!!!",F1967="NEW"),"",INDEX(J$1:J1966,SUMPRODUCT(MAX(ROW(E$1:E1966)*(E1967=E$1:E1966)))))</f>
        <v> </v>
      </c>
      <c r="L1967" s="27"/>
    </row>
    <row r="1968" spans="1:12">
      <c r="A1968" s="20" t="s">
        <v>783</v>
      </c>
      <c r="B1968" s="21" t="s">
        <v>605</v>
      </c>
      <c r="C1968" s="21" t="s">
        <v>602</v>
      </c>
      <c r="E1968" s="22">
        <f>IF(D1968="?OLD","!!!","")</f>
        <v/>
      </c>
      <c r="F1968" s="23" t="str">
        <f>IF(OR(E1968="",E1968="!!!"),"",IF(NOT(ISNA(VLOOKUP(E1968,E$1:E1967,1,FALSE()))),"OLD",IF(AND(E1968&lt;&gt;"",E1968&lt;&gt;"!!!"),"NEW","")))</f>
        <v> </v>
      </c>
      <c r="G1968" s="24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5" t="str">
        <f>IF(J1968&lt;&gt;1,"",IF(I1968="SBJ","CB","?"))</f>
        <v> </v>
      </c>
      <c r="I1968" s="26" t="str">
        <f>IF(OR(E1968="",E1968="!!!",F1968="NEW"),"",INDEX(B1967:B$2,-1+SUMPRODUCT(MAX(ROW(E1967:E$2)*(E1968=E1967:E$2)))))</f>
        <v> </v>
      </c>
      <c r="J1968" s="26" t="str">
        <f>IF(OR(E1968="",E1968="!!!",F1968="NEW"),"",COUNTBLANK(OFFSET(A$1,,,SUMPRODUCT(MAX(ROW(E$2:E1968)*(E1968=E$2:E1968)))))-COUNTBLANK(OFFSET(A$1,,,SUMPRODUCT(MAX(ROW(E$1:E1967)*(E2=E$1:E1967))))))</f>
        <v> </v>
      </c>
      <c r="K1968" s="26" t="str">
        <f>IF(OR(E1968="",E1968="!!!",F1968="NEW"),"",INDEX(J$1:J1967,SUMPRODUCT(MAX(ROW(E$1:E1967)*(E1968=E$1:E1967)))))</f>
        <v> </v>
      </c>
      <c r="L1968" s="27"/>
    </row>
    <row r="1969" spans="1:12">
      <c r="A1969" s="20" t="s">
        <v>1467</v>
      </c>
      <c r="E1969" s="22">
        <f>IF(D1969="?OLD","!!!","")</f>
        <v/>
      </c>
      <c r="F1969" s="23" t="str">
        <f>IF(OR(E1969="",E1969="!!!"),"",IF(NOT(ISNA(VLOOKUP(E1969,E$1:E1968,1,FALSE()))),"OLD",IF(AND(E1969&lt;&gt;"",E1969&lt;&gt;"!!!"),"NEW","")))</f>
        <v> </v>
      </c>
      <c r="G1969" s="24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5" t="str">
        <f>IF(J1969&lt;&gt;1,"",IF(I1969="SBJ","CB","?"))</f>
        <v> </v>
      </c>
      <c r="I1969" s="26" t="str">
        <f>IF(OR(E1969="",E1969="!!!",F1969="NEW"),"",INDEX(B1968:B$2,-1+SUMPRODUCT(MAX(ROW(E1968:E$2)*(E1969=E1968:E$2)))))</f>
        <v> </v>
      </c>
      <c r="J1969" s="26" t="str">
        <f>IF(OR(E1969="",E1969="!!!",F1969="NEW"),"",COUNTBLANK(OFFSET(A$1,,,SUMPRODUCT(MAX(ROW(E$2:E1969)*(E1969=E$2:E1969)))))-COUNTBLANK(OFFSET(A$1,,,SUMPRODUCT(MAX(ROW(E$1:E1968)*(E2=E$1:E1968))))))</f>
        <v> </v>
      </c>
      <c r="K1969" s="26" t="str">
        <f>IF(OR(E1969="",E1969="!!!",F1969="NEW"),"",INDEX(J$1:J1968,SUMPRODUCT(MAX(ROW(E$1:E1968)*(E1969=E$1:E1968)))))</f>
        <v> </v>
      </c>
      <c r="L1969" s="27"/>
    </row>
    <row r="1970" spans="1:12">
      <c r="A1970" s="20" t="s">
        <v>1507</v>
      </c>
      <c r="E1970" s="22">
        <f>IF(D1970="?OLD","!!!","")</f>
        <v/>
      </c>
      <c r="F1970" s="23" t="str">
        <f>IF(OR(E1970="",E1970="!!!"),"",IF(NOT(ISNA(VLOOKUP(E1970,E$1:E1969,1,FALSE()))),"OLD",IF(AND(E1970&lt;&gt;"",E1970&lt;&gt;"!!!"),"NEW","")))</f>
        <v> </v>
      </c>
      <c r="G1970" s="24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5" t="str">
        <f>IF(J1970&lt;&gt;1,"",IF(I1970="SBJ","CB","?"))</f>
        <v> </v>
      </c>
      <c r="I1970" s="26" t="str">
        <f>IF(OR(E1970="",E1970="!!!",F1970="NEW"),"",INDEX(B1969:B$2,-1+SUMPRODUCT(MAX(ROW(E1969:E$2)*(E1970=E1969:E$2)))))</f>
        <v> </v>
      </c>
      <c r="J1970" s="26" t="str">
        <f>IF(OR(E1970="",E1970="!!!",F1970="NEW"),"",COUNTBLANK(OFFSET(A$1,,,SUMPRODUCT(MAX(ROW(E$2:E1970)*(E1970=E$2:E1970)))))-COUNTBLANK(OFFSET(A$1,,,SUMPRODUCT(MAX(ROW(E$1:E1969)*(E2=E$1:E1969))))))</f>
        <v> </v>
      </c>
      <c r="K1970" s="26" t="str">
        <f>IF(OR(E1970="",E1970="!!!",F1970="NEW"),"",INDEX(J$1:J1969,SUMPRODUCT(MAX(ROW(E$1:E1969)*(E1970=E$1:E1969)))))</f>
        <v> </v>
      </c>
      <c r="L1970" s="27"/>
    </row>
    <row r="1971" spans="1:12">
      <c r="A1971" s="20" t="s">
        <v>592</v>
      </c>
      <c r="E1971" s="22">
        <f>IF(D1971="?OLD","!!!","")</f>
        <v/>
      </c>
      <c r="F1971" s="23" t="str">
        <f>IF(OR(E1971="",E1971="!!!"),"",IF(NOT(ISNA(VLOOKUP(E1971,E$1:E1970,1,FALSE()))),"OLD",IF(AND(E1971&lt;&gt;"",E1971&lt;&gt;"!!!"),"NEW","")))</f>
        <v> </v>
      </c>
      <c r="G1971" s="24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5" t="str">
        <f>IF(J1971&lt;&gt;1,"",IF(I1971="SBJ","CB","?"))</f>
        <v> </v>
      </c>
      <c r="I1971" s="26" t="str">
        <f>IF(OR(E1971="",E1971="!!!",F1971="NEW"),"",INDEX(B1970:B$2,-1+SUMPRODUCT(MAX(ROW(E1970:E$2)*(E1971=E1970:E$2)))))</f>
        <v> </v>
      </c>
      <c r="J1971" s="26" t="str">
        <f>IF(OR(E1971="",E1971="!!!",F1971="NEW"),"",COUNTBLANK(OFFSET(A$1,,,SUMPRODUCT(MAX(ROW(E$2:E1971)*(E1971=E$2:E1971)))))-COUNTBLANK(OFFSET(A$1,,,SUMPRODUCT(MAX(ROW(E$1:E1970)*(E2=E$1:E1970))))))</f>
        <v> </v>
      </c>
      <c r="K1971" s="26" t="str">
        <f>IF(OR(E1971="",E1971="!!!",F1971="NEW"),"",INDEX(J$1:J1970,SUMPRODUCT(MAX(ROW(E$1:E1970)*(E1971=E$1:E1970)))))</f>
        <v> </v>
      </c>
      <c r="L1971" s="27"/>
    </row>
    <row r="1972" spans="1:12">
      <c r="A1972" s="20"/>
    </row>
    <row r="1973" spans="1:12">
      <c r="A1973" s="20" t="s">
        <v>1508</v>
      </c>
    </row>
    <row r="1974" spans="1:12">
      <c r="A1974" s="20" t="s">
        <v>832</v>
      </c>
      <c r="B1974" s="21" t="s">
        <v>578</v>
      </c>
      <c r="E1974" s="22">
        <f>IF(D1974="?OLD","!!!","")</f>
        <v/>
      </c>
      <c r="F1974" s="23" t="str">
        <f>IF(OR(E1974="",E1974="!!!"),"",IF(NOT(ISNA(VLOOKUP(E1974,E$1:E1973,1,FALSE()))),"OLD",IF(AND(E1974&lt;&gt;"",E1974&lt;&gt;"!!!"),"NEW","")))</f>
        <v> </v>
      </c>
      <c r="G1974" s="24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5" t="str">
        <f>IF(J1974&lt;&gt;1,"",IF(I1974="SBJ","CB","?"))</f>
        <v> </v>
      </c>
      <c r="I1974" s="26" t="str">
        <f>IF(OR(E1974="",E1974="!!!",F1974="NEW"),"",INDEX(B1973:B$2,-1+SUMPRODUCT(MAX(ROW(E1973:E$2)*(E1974=E1973:E$2)))))</f>
        <v> </v>
      </c>
      <c r="J1974" s="26" t="str">
        <f>IF(OR(E1974="",E1974="!!!",F1974="NEW"),"",COUNTBLANK(OFFSET(A$1,,,SUMPRODUCT(MAX(ROW(E$2:E1974)*(E1974=E$2:E1974)))))-COUNTBLANK(OFFSET(A$1,,,SUMPRODUCT(MAX(ROW(E$1:E1973)*(E2=E$1:E1973))))))</f>
        <v> </v>
      </c>
      <c r="K1974" s="26" t="str">
        <f>IF(OR(E1974="",E1974="!!!",F1974="NEW"),"",INDEX(J$1:J1973,SUMPRODUCT(MAX(ROW(E$1:E1973)*(E1974=E$1:E1973)))))</f>
        <v> </v>
      </c>
      <c r="L1974" s="27"/>
    </row>
    <row r="1975" spans="1:12">
      <c r="A1975" s="20" t="s">
        <v>609</v>
      </c>
      <c r="E1975" s="22">
        <f>IF(D1975="?OLD","!!!","")</f>
        <v/>
      </c>
      <c r="F1975" s="23" t="str">
        <f>IF(OR(E1975="",E1975="!!!"),"",IF(NOT(ISNA(VLOOKUP(E1975,E$1:E1974,1,FALSE()))),"OLD",IF(AND(E1975&lt;&gt;"",E1975&lt;&gt;"!!!"),"NEW","")))</f>
        <v> </v>
      </c>
      <c r="G1975" s="24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5" t="str">
        <f>IF(J1975&lt;&gt;1,"",IF(I1975="SBJ","CB","?"))</f>
        <v> </v>
      </c>
      <c r="I1975" s="26" t="str">
        <f>IF(OR(E1975="",E1975="!!!",F1975="NEW"),"",INDEX(B1974:B$2,-1+SUMPRODUCT(MAX(ROW(E1974:E$2)*(E1975=E1974:E$2)))))</f>
        <v> </v>
      </c>
      <c r="J1975" s="26" t="str">
        <f>IF(OR(E1975="",E1975="!!!",F1975="NEW"),"",COUNTBLANK(OFFSET(A$1,,,SUMPRODUCT(MAX(ROW(E$2:E1975)*(E1975=E$2:E1975)))))-COUNTBLANK(OFFSET(A$1,,,SUMPRODUCT(MAX(ROW(E$1:E1974)*(E2=E$1:E1974))))))</f>
        <v> </v>
      </c>
      <c r="K1975" s="26" t="str">
        <f>IF(OR(E1975="",E1975="!!!",F1975="NEW"),"",INDEX(J$1:J1974,SUMPRODUCT(MAX(ROW(E$1:E1974)*(E1975=E$1:E1974)))))</f>
        <v> </v>
      </c>
      <c r="L1975" s="27"/>
    </row>
    <row r="1976" spans="1:12">
      <c r="A1976" s="20" t="s">
        <v>1509</v>
      </c>
      <c r="E1976" s="22">
        <f>IF(D1976="?OLD","!!!","")</f>
        <v/>
      </c>
      <c r="F1976" s="23" t="str">
        <f>IF(OR(E1976="",E1976="!!!"),"",IF(NOT(ISNA(VLOOKUP(E1976,E$1:E1975,1,FALSE()))),"OLD",IF(AND(E1976&lt;&gt;"",E1976&lt;&gt;"!!!"),"NEW","")))</f>
        <v> </v>
      </c>
      <c r="G1976" s="24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5" t="str">
        <f>IF(J1976&lt;&gt;1,"",IF(I1976="SBJ","CB","?"))</f>
        <v> </v>
      </c>
      <c r="I1976" s="26" t="str">
        <f>IF(OR(E1976="",E1976="!!!",F1976="NEW"),"",INDEX(B1975:B$2,-1+SUMPRODUCT(MAX(ROW(E1975:E$2)*(E1976=E1975:E$2)))))</f>
        <v> </v>
      </c>
      <c r="J1976" s="26" t="str">
        <f>IF(OR(E1976="",E1976="!!!",F1976="NEW"),"",COUNTBLANK(OFFSET(A$1,,,SUMPRODUCT(MAX(ROW(E$2:E1976)*(E1976=E$2:E1976)))))-COUNTBLANK(OFFSET(A$1,,,SUMPRODUCT(MAX(ROW(E$1:E1975)*(E2=E$1:E1975))))))</f>
        <v> </v>
      </c>
      <c r="K1976" s="26" t="str">
        <f>IF(OR(E1976="",E1976="!!!",F1976="NEW"),"",INDEX(J$1:J1975,SUMPRODUCT(MAX(ROW(E$1:E1975)*(E1976=E$1:E1975)))))</f>
        <v> </v>
      </c>
      <c r="L1976" s="27"/>
    </row>
    <row r="1977" spans="1:12">
      <c r="A1977" s="20" t="s">
        <v>873</v>
      </c>
      <c r="E1977" s="22">
        <f>IF(D1977="?OLD","!!!","")</f>
        <v/>
      </c>
      <c r="F1977" s="23" t="str">
        <f>IF(OR(E1977="",E1977="!!!"),"",IF(NOT(ISNA(VLOOKUP(E1977,E$1:E1976,1,FALSE()))),"OLD",IF(AND(E1977&lt;&gt;"",E1977&lt;&gt;"!!!"),"NEW","")))</f>
        <v> </v>
      </c>
      <c r="G1977" s="24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5" t="str">
        <f>IF(J1977&lt;&gt;1,"",IF(I1977="SBJ","CB","?"))</f>
        <v> </v>
      </c>
      <c r="I1977" s="26" t="str">
        <f>IF(OR(E1977="",E1977="!!!",F1977="NEW"),"",INDEX(B1976:B$2,-1+SUMPRODUCT(MAX(ROW(E1976:E$2)*(E1977=E1976:E$2)))))</f>
        <v> </v>
      </c>
      <c r="J1977" s="26" t="str">
        <f>IF(OR(E1977="",E1977="!!!",F1977="NEW"),"",COUNTBLANK(OFFSET(A$1,,,SUMPRODUCT(MAX(ROW(E$2:E1977)*(E1977=E$2:E1977)))))-COUNTBLANK(OFFSET(A$1,,,SUMPRODUCT(MAX(ROW(E$1:E1976)*(E2=E$1:E1976))))))</f>
        <v> </v>
      </c>
      <c r="K1977" s="26" t="str">
        <f>IF(OR(E1977="",E1977="!!!",F1977="NEW"),"",INDEX(J$1:J1976,SUMPRODUCT(MAX(ROW(E$1:E1976)*(E1977=E$1:E1976)))))</f>
        <v> </v>
      </c>
      <c r="L1977" s="27"/>
    </row>
    <row r="1978" spans="1:12">
      <c r="A1978" s="20" t="s">
        <v>1510</v>
      </c>
      <c r="E1978" s="22">
        <f>IF(D1978="?OLD","!!!","")</f>
        <v/>
      </c>
      <c r="F1978" s="23" t="str">
        <f>IF(OR(E1978="",E1978="!!!"),"",IF(NOT(ISNA(VLOOKUP(E1978,E$1:E1977,1,FALSE()))),"OLD",IF(AND(E1978&lt;&gt;"",E1978&lt;&gt;"!!!"),"NEW","")))</f>
        <v> </v>
      </c>
      <c r="G1978" s="24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5" t="str">
        <f>IF(J1978&lt;&gt;1,"",IF(I1978="SBJ","CB","?"))</f>
        <v> </v>
      </c>
      <c r="I1978" s="26" t="str">
        <f>IF(OR(E1978="",E1978="!!!",F1978="NEW"),"",INDEX(B1977:B$2,-1+SUMPRODUCT(MAX(ROW(E1977:E$2)*(E1978=E1977:E$2)))))</f>
        <v> </v>
      </c>
      <c r="J1978" s="26" t="str">
        <f>IF(OR(E1978="",E1978="!!!",F1978="NEW"),"",COUNTBLANK(OFFSET(A$1,,,SUMPRODUCT(MAX(ROW(E$2:E1978)*(E1978=E$2:E1978)))))-COUNTBLANK(OFFSET(A$1,,,SUMPRODUCT(MAX(ROW(E$1:E1977)*(E2=E$1:E1977))))))</f>
        <v> </v>
      </c>
      <c r="K1978" s="26" t="str">
        <f>IF(OR(E1978="",E1978="!!!",F1978="NEW"),"",INDEX(J$1:J1977,SUMPRODUCT(MAX(ROW(E$1:E1977)*(E1978=E$1:E1977)))))</f>
        <v> </v>
      </c>
      <c r="L1978" s="27"/>
    </row>
    <row r="1979" spans="1:12">
      <c r="A1979" s="20" t="s">
        <v>898</v>
      </c>
      <c r="B1979" s="21" t="s">
        <v>651</v>
      </c>
      <c r="C1979" s="21" t="s">
        <v>586</v>
      </c>
      <c r="D1979" s="21" t="s">
        <v>587</v>
      </c>
      <c r="E1979" s="22">
        <f>IF(D1979="?OLD","!!!","")</f>
        <v/>
      </c>
      <c r="F1979" s="23" t="str">
        <f>IF(OR(E1979="",E1979="!!!"),"",IF(NOT(ISNA(VLOOKUP(E1979,E$1:E1978,1,FALSE()))),"OLD",IF(AND(E1979&lt;&gt;"",E1979&lt;&gt;"!!!"),"NEW","")))</f>
        <v> </v>
      </c>
      <c r="G1979" s="24" t="str">
        <f>IF(OR(E1979="",E1979="!!!"),"",IF(OR(J1979=0,AND(J1979=1,K1979=1),AND(J1979=1,I1979="SBJ"),AND(J1979=1,I1979=0)),"?IN_FOCUS",IF(J1979&lt;=2,"?ACTIVATED",IF(J1979&lt;&gt;"","?FAMILIAR",IF(F1979="NEW",IF(ISNA(VLOOKUP(E1979,#REF!,1,FALSE())),"?TYPE_IDENTIFIABLE","?REFERENTIAL"),"_")))))</f>
        <v> </v>
      </c>
      <c r="H1979" s="25" t="str">
        <f>IF(J1979&lt;&gt;1,"",IF(I1979="SBJ","CB","?"))</f>
        <v> </v>
      </c>
      <c r="I1979" s="26" t="str">
        <f>IF(OR(E1979="",E1979="!!!",F1979="NEW"),"",INDEX(B1978:B$2,-1+SUMPRODUCT(MAX(ROW(E1978:E$2)*(E1979=E1978:E$2)))))</f>
        <v> </v>
      </c>
      <c r="J1979" s="26" t="str">
        <f>IF(OR(E1979="",E1979="!!!",F1979="NEW"),"",COUNTBLANK(OFFSET(A$1,,,SUMPRODUCT(MAX(ROW(E$2:E1979)*(E1979=E$2:E1979)))))-COUNTBLANK(OFFSET(A$1,,,SUMPRODUCT(MAX(ROW(E$1:E1978)*(E2=E$1:E1978))))))</f>
        <v> </v>
      </c>
      <c r="K1979" s="26" t="str">
        <f>IF(OR(E1979="",E1979="!!!",F1979="NEW"),"",INDEX(J$1:J1978,SUMPRODUCT(MAX(ROW(E$1:E1978)*(E1979=E$1:E1978)))))</f>
        <v> </v>
      </c>
      <c r="L1979" s="27"/>
    </row>
    <row r="1980" spans="1:12">
      <c r="A1980" s="20" t="s">
        <v>583</v>
      </c>
      <c r="E1980" s="22">
        <f>IF(D1980="?OLD","!!!","")</f>
        <v/>
      </c>
      <c r="F1980" s="23" t="str">
        <f>IF(OR(E1980="",E1980="!!!"),"",IF(NOT(ISNA(VLOOKUP(E1980,E$1:E1979,1,FALSE()))),"OLD",IF(AND(E1980&lt;&gt;"",E1980&lt;&gt;"!!!"),"NEW","")))</f>
        <v> </v>
      </c>
      <c r="G1980" s="24" t="str">
        <f>IF(OR(E1980="",E1980="!!!"),"",IF(OR(J1980=0,AND(J1980=1,K1980=1),AND(J1980=1,I1980="SBJ"),AND(J1980=1,I1980=0)),"?IN_FOCUS",IF(J1980&lt;=2,"?ACTIVATED",IF(J1980&lt;&gt;"","?FAMILIAR",IF(F1980="NEW",IF(ISNA(VLOOKUP(E1980,#REF!,1,FALSE())),"?TYPE_IDENTIFIABLE","?REFERENTIAL"),"_")))))</f>
        <v> </v>
      </c>
      <c r="H1980" s="25" t="str">
        <f>IF(J1980&lt;&gt;1,"",IF(I1980="SBJ","CB","?"))</f>
        <v> </v>
      </c>
      <c r="I1980" s="26" t="str">
        <f>IF(OR(E1980="",E1980="!!!",F1980="NEW"),"",INDEX(B1979:B$2,-1+SUMPRODUCT(MAX(ROW(E1979:E$2)*(E1980=E1979:E$2)))))</f>
        <v> </v>
      </c>
      <c r="J1980" s="26" t="str">
        <f>IF(OR(E1980="",E1980="!!!",F1980="NEW"),"",COUNTBLANK(OFFSET(A$1,,,SUMPRODUCT(MAX(ROW(E$2:E1980)*(E1980=E$2:E1980)))))-COUNTBLANK(OFFSET(A$1,,,SUMPRODUCT(MAX(ROW(E$1:E1979)*(E2=E$1:E1979))))))</f>
        <v> </v>
      </c>
      <c r="K1980" s="26" t="str">
        <f>IF(OR(E1980="",E1980="!!!",F1980="NEW"),"",INDEX(J$1:J1979,SUMPRODUCT(MAX(ROW(E$1:E1979)*(E1980=E$1:E1979)))))</f>
        <v> </v>
      </c>
      <c r="L1980" s="27"/>
    </row>
    <row r="1981" spans="1:12">
      <c r="A1981" s="20" t="s">
        <v>676</v>
      </c>
      <c r="B1981" s="21" t="s">
        <v>590</v>
      </c>
      <c r="C1981" s="21" t="s">
        <v>613</v>
      </c>
      <c r="D1981" s="21" t="s">
        <v>587</v>
      </c>
      <c r="E1981" s="22">
        <f>IF(D1981="?OLD","!!!","")</f>
        <v/>
      </c>
      <c r="F1981" s="23" t="str">
        <f>IF(OR(E1981="",E1981="!!!"),"",IF(NOT(ISNA(VLOOKUP(E1981,E$1:E1980,1,FALSE()))),"OLD",IF(AND(E1981&lt;&gt;"",E1981&lt;&gt;"!!!"),"NEW","")))</f>
        <v> </v>
      </c>
      <c r="G1981" s="24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5" t="str">
        <f>IF(J1981&lt;&gt;1,"",IF(I1981="SBJ","CB","?"))</f>
        <v> </v>
      </c>
      <c r="I1981" s="26" t="str">
        <f>IF(OR(E1981="",E1981="!!!",F1981="NEW"),"",INDEX(B1980:B$2,-1+SUMPRODUCT(MAX(ROW(E1980:E$2)*(E1981=E1980:E$2)))))</f>
        <v> </v>
      </c>
      <c r="J1981" s="26" t="str">
        <f>IF(OR(E1981="",E1981="!!!",F1981="NEW"),"",COUNTBLANK(OFFSET(A$1,,,SUMPRODUCT(MAX(ROW(E$2:E1981)*(E1981=E$2:E1981)))))-COUNTBLANK(OFFSET(A$1,,,SUMPRODUCT(MAX(ROW(E$1:E1980)*(E2=E$1:E1980))))))</f>
        <v> </v>
      </c>
      <c r="K1981" s="26" t="str">
        <f>IF(OR(E1981="",E1981="!!!",F1981="NEW"),"",INDEX(J$1:J1980,SUMPRODUCT(MAX(ROW(E$1:E1980)*(E1981=E$1:E1980)))))</f>
        <v> </v>
      </c>
      <c r="L1981" s="27"/>
    </row>
    <row r="1982" spans="1:12">
      <c r="A1982" s="20" t="s">
        <v>617</v>
      </c>
      <c r="E1982" s="22">
        <f>IF(D1982="?OLD","!!!","")</f>
        <v/>
      </c>
      <c r="F1982" s="23" t="str">
        <f>IF(OR(E1982="",E1982="!!!"),"",IF(NOT(ISNA(VLOOKUP(E1982,E$1:E1981,1,FALSE()))),"OLD",IF(AND(E1982&lt;&gt;"",E1982&lt;&gt;"!!!"),"NEW","")))</f>
        <v> </v>
      </c>
      <c r="G1982" s="24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5" t="str">
        <f>IF(J1982&lt;&gt;1,"",IF(I1982="SBJ","CB","?"))</f>
        <v> </v>
      </c>
      <c r="I1982" s="26" t="str">
        <f>IF(OR(E1982="",E1982="!!!",F1982="NEW"),"",INDEX(B1981:B$2,-1+SUMPRODUCT(MAX(ROW(E1981:E$2)*(E1982=E1981:E$2)))))</f>
        <v> </v>
      </c>
      <c r="J1982" s="26" t="str">
        <f>IF(OR(E1982="",E1982="!!!",F1982="NEW"),"",COUNTBLANK(OFFSET(A$1,,,SUMPRODUCT(MAX(ROW(E$2:E1982)*(E1982=E$2:E1982)))))-COUNTBLANK(OFFSET(A$1,,,SUMPRODUCT(MAX(ROW(E$1:E1981)*(E2=E$1:E1981))))))</f>
        <v> </v>
      </c>
      <c r="K1982" s="26" t="str">
        <f>IF(OR(E1982="",E1982="!!!",F1982="NEW"),"",INDEX(J$1:J1981,SUMPRODUCT(MAX(ROW(E$1:E1981)*(E1982=E$1:E1981)))))</f>
        <v> </v>
      </c>
      <c r="L1982" s="27"/>
    </row>
    <row r="1983" spans="1:12">
      <c r="A1983" s="20" t="s">
        <v>398</v>
      </c>
      <c r="E1983" s="22">
        <f>IF(D1983="?OLD","!!!","")</f>
        <v/>
      </c>
      <c r="F1983" s="23" t="str">
        <f>IF(OR(E1983="",E1983="!!!"),"",IF(NOT(ISNA(VLOOKUP(E1983,E$1:E1982,1,FALSE()))),"OLD",IF(AND(E1983&lt;&gt;"",E1983&lt;&gt;"!!!"),"NEW","")))</f>
        <v> </v>
      </c>
      <c r="G1983" s="24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5" t="str">
        <f>IF(J1983&lt;&gt;1,"",IF(I1983="SBJ","CB","?"))</f>
        <v> </v>
      </c>
      <c r="I1983" s="26" t="str">
        <f>IF(OR(E1983="",E1983="!!!",F1983="NEW"),"",INDEX(B1982:B$2,-1+SUMPRODUCT(MAX(ROW(E1982:E$2)*(E1983=E1982:E$2)))))</f>
        <v> </v>
      </c>
      <c r="J1983" s="26" t="str">
        <f>IF(OR(E1983="",E1983="!!!",F1983="NEW"),"",COUNTBLANK(OFFSET(A$1,,,SUMPRODUCT(MAX(ROW(E$2:E1983)*(E1983=E$2:E1983)))))-COUNTBLANK(OFFSET(A$1,,,SUMPRODUCT(MAX(ROW(E$1:E1982)*(E2=E$1:E1982))))))</f>
        <v> </v>
      </c>
      <c r="K1983" s="26" t="str">
        <f>IF(OR(E1983="",E1983="!!!",F1983="NEW"),"",INDEX(J$1:J1982,SUMPRODUCT(MAX(ROW(E$1:E1982)*(E1983=E$1:E1982)))))</f>
        <v> </v>
      </c>
      <c r="L1983" s="27"/>
    </row>
    <row r="1984" spans="1:12">
      <c r="A1984" s="20" t="s">
        <v>1511</v>
      </c>
      <c r="E1984" s="22">
        <f>IF(D1984="?OLD","!!!","")</f>
        <v/>
      </c>
      <c r="F1984" s="23" t="str">
        <f>IF(OR(E1984="",E1984="!!!"),"",IF(NOT(ISNA(VLOOKUP(E1984,E$1:E1983,1,FALSE()))),"OLD",IF(AND(E1984&lt;&gt;"",E1984&lt;&gt;"!!!"),"NEW","")))</f>
        <v> </v>
      </c>
      <c r="G1984" s="24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5" t="str">
        <f>IF(J1984&lt;&gt;1,"",IF(I1984="SBJ","CB","?"))</f>
        <v> </v>
      </c>
      <c r="I1984" s="26" t="str">
        <f>IF(OR(E1984="",E1984="!!!",F1984="NEW"),"",INDEX(B1983:B$2,-1+SUMPRODUCT(MAX(ROW(E1983:E$2)*(E1984=E1983:E$2)))))</f>
        <v> </v>
      </c>
      <c r="J1984" s="26" t="str">
        <f>IF(OR(E1984="",E1984="!!!",F1984="NEW"),"",COUNTBLANK(OFFSET(A$1,,,SUMPRODUCT(MAX(ROW(E$2:E1984)*(E1984=E$2:E1984)))))-COUNTBLANK(OFFSET(A$1,,,SUMPRODUCT(MAX(ROW(E$1:E1983)*(E2=E$1:E1983))))))</f>
        <v> </v>
      </c>
      <c r="K1984" s="26" t="str">
        <f>IF(OR(E1984="",E1984="!!!",F1984="NEW"),"",INDEX(J$1:J1983,SUMPRODUCT(MAX(ROW(E$1:E1983)*(E1984=E$1:E1983)))))</f>
        <v> </v>
      </c>
      <c r="L1984" s="27"/>
    </row>
    <row r="1985" spans="1:12">
      <c r="A1985" s="20" t="s">
        <v>583</v>
      </c>
      <c r="E1985" s="22">
        <f>IF(D1985="?OLD","!!!","")</f>
        <v/>
      </c>
      <c r="F1985" s="23" t="str">
        <f>IF(OR(E1985="",E1985="!!!"),"",IF(NOT(ISNA(VLOOKUP(E1985,E$1:E1984,1,FALSE()))),"OLD",IF(AND(E1985&lt;&gt;"",E1985&lt;&gt;"!!!"),"NEW","")))</f>
        <v> </v>
      </c>
      <c r="G1985" s="24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5" t="str">
        <f>IF(J1985&lt;&gt;1,"",IF(I1985="SBJ","CB","?"))</f>
        <v> </v>
      </c>
      <c r="I1985" s="26" t="str">
        <f>IF(OR(E1985="",E1985="!!!",F1985="NEW"),"",INDEX(B1984:B$2,-1+SUMPRODUCT(MAX(ROW(E1984:E$2)*(E1985=E1984:E$2)))))</f>
        <v> </v>
      </c>
      <c r="J1985" s="26" t="str">
        <f>IF(OR(E1985="",E1985="!!!",F1985="NEW"),"",COUNTBLANK(OFFSET(A$1,,,SUMPRODUCT(MAX(ROW(E$2:E1985)*(E1985=E$2:E1985)))))-COUNTBLANK(OFFSET(A$1,,,SUMPRODUCT(MAX(ROW(E$1:E1984)*(E2=E$1:E1984))))))</f>
        <v> </v>
      </c>
      <c r="K1985" s="26" t="str">
        <f>IF(OR(E1985="",E1985="!!!",F1985="NEW"),"",INDEX(J$1:J1984,SUMPRODUCT(MAX(ROW(E$1:E1984)*(E1985=E$1:E1984)))))</f>
        <v> </v>
      </c>
      <c r="L1985" s="27"/>
    </row>
    <row r="1986" spans="1:12">
      <c r="A1986" s="20" t="s">
        <v>630</v>
      </c>
      <c r="E1986" s="22">
        <f>IF(D1986="?OLD","!!!","")</f>
        <v/>
      </c>
      <c r="F1986" s="23" t="str">
        <f>IF(OR(E1986="",E1986="!!!"),"",IF(NOT(ISNA(VLOOKUP(E1986,E$1:E1985,1,FALSE()))),"OLD",IF(AND(E1986&lt;&gt;"",E1986&lt;&gt;"!!!"),"NEW","")))</f>
        <v> </v>
      </c>
      <c r="G1986" s="24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5" t="str">
        <f>IF(J1986&lt;&gt;1,"",IF(I1986="SBJ","CB","?"))</f>
        <v> </v>
      </c>
      <c r="I1986" s="26" t="str">
        <f>IF(OR(E1986="",E1986="!!!",F1986="NEW"),"",INDEX(B1985:B$2,-1+SUMPRODUCT(MAX(ROW(E1985:E$2)*(E1986=E1985:E$2)))))</f>
        <v> </v>
      </c>
      <c r="J1986" s="26" t="str">
        <f>IF(OR(E1986="",E1986="!!!",F1986="NEW"),"",COUNTBLANK(OFFSET(A$1,,,SUMPRODUCT(MAX(ROW(E$2:E1986)*(E1986=E$2:E1986)))))-COUNTBLANK(OFFSET(A$1,,,SUMPRODUCT(MAX(ROW(E$1:E1985)*(E2=E$1:E1985))))))</f>
        <v> </v>
      </c>
      <c r="K1986" s="26" t="str">
        <f>IF(OR(E1986="",E1986="!!!",F1986="NEW"),"",INDEX(J$1:J1985,SUMPRODUCT(MAX(ROW(E$1:E1985)*(E1986=E$1:E1985)))))</f>
        <v> </v>
      </c>
      <c r="L1986" s="27"/>
    </row>
    <row r="1987" spans="1:12">
      <c r="A1987" s="20" t="s">
        <v>685</v>
      </c>
      <c r="B1987" s="21" t="s">
        <v>590</v>
      </c>
      <c r="C1987" s="21" t="s">
        <v>613</v>
      </c>
      <c r="D1987" s="21" t="s">
        <v>587</v>
      </c>
      <c r="E1987" s="22">
        <f>IF(D1987="?OLD","!!!","")</f>
        <v/>
      </c>
      <c r="F1987" s="23" t="str">
        <f>IF(OR(E1987="",E1987="!!!"),"",IF(NOT(ISNA(VLOOKUP(E1987,E$1:E1986,1,FALSE()))),"OLD",IF(AND(E1987&lt;&gt;"",E1987&lt;&gt;"!!!"),"NEW","")))</f>
        <v> </v>
      </c>
      <c r="G1987" s="24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5" t="str">
        <f>IF(J1987&lt;&gt;1,"",IF(I1987="SBJ","CB","?"))</f>
        <v> </v>
      </c>
      <c r="I1987" s="26" t="str">
        <f>IF(OR(E1987="",E1987="!!!",F1987="NEW"),"",INDEX(B1986:B$2,-1+SUMPRODUCT(MAX(ROW(E1986:E$2)*(E1987=E1986:E$2)))))</f>
        <v> </v>
      </c>
      <c r="J1987" s="26" t="str">
        <f>IF(OR(E1987="",E1987="!!!",F1987="NEW"),"",COUNTBLANK(OFFSET(A$1,,,SUMPRODUCT(MAX(ROW(E$2:E1987)*(E1987=E$2:E1987)))))-COUNTBLANK(OFFSET(A$1,,,SUMPRODUCT(MAX(ROW(E$1:E1986)*(E2=E$1:E1986))))))</f>
        <v> </v>
      </c>
      <c r="K1987" s="26" t="str">
        <f>IF(OR(E1987="",E1987="!!!",F1987="NEW"),"",INDEX(J$1:J1986,SUMPRODUCT(MAX(ROW(E$1:E1986)*(E1987=E$1:E1986)))))</f>
        <v> </v>
      </c>
      <c r="L1987" s="27"/>
    </row>
    <row r="1988" spans="1:12">
      <c r="A1988" s="20" t="s">
        <v>1512</v>
      </c>
      <c r="E1988" s="22">
        <f>IF(D1988="?OLD","!!!","")</f>
        <v/>
      </c>
      <c r="F1988" s="23" t="str">
        <f>IF(OR(E1988="",E1988="!!!"),"",IF(NOT(ISNA(VLOOKUP(E1988,E$1:E1987,1,FALSE()))),"OLD",IF(AND(E1988&lt;&gt;"",E1988&lt;&gt;"!!!"),"NEW","")))</f>
        <v> </v>
      </c>
      <c r="G1988" s="24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5" t="str">
        <f>IF(J1988&lt;&gt;1,"",IF(I1988="SBJ","CB","?"))</f>
        <v> </v>
      </c>
      <c r="I1988" s="26" t="str">
        <f>IF(OR(E1988="",E1988="!!!",F1988="NEW"),"",INDEX(B1987:B$2,-1+SUMPRODUCT(MAX(ROW(E1987:E$2)*(E1988=E1987:E$2)))))</f>
        <v> </v>
      </c>
      <c r="J1988" s="26" t="str">
        <f>IF(OR(E1988="",E1988="!!!",F1988="NEW"),"",COUNTBLANK(OFFSET(A$1,,,SUMPRODUCT(MAX(ROW(E$2:E1988)*(E1988=E$2:E1988)))))-COUNTBLANK(OFFSET(A$1,,,SUMPRODUCT(MAX(ROW(E$1:E1987)*(E2=E$1:E1987))))))</f>
        <v> </v>
      </c>
      <c r="K1988" s="26" t="str">
        <f>IF(OR(E1988="",E1988="!!!",F1988="NEW"),"",INDEX(J$1:J1987,SUMPRODUCT(MAX(ROW(E$1:E1987)*(E1988=E$1:E1987)))))</f>
        <v> </v>
      </c>
      <c r="L1988" s="27"/>
    </row>
    <row r="1989" spans="1:12">
      <c r="A1989" s="20" t="s">
        <v>1445</v>
      </c>
      <c r="E1989" s="22">
        <f>IF(D1989="?OLD","!!!","")</f>
        <v/>
      </c>
      <c r="F1989" s="23" t="str">
        <f>IF(OR(E1989="",E1989="!!!"),"",IF(NOT(ISNA(VLOOKUP(E1989,E$1:E1988,1,FALSE()))),"OLD",IF(AND(E1989&lt;&gt;"",E1989&lt;&gt;"!!!"),"NEW","")))</f>
        <v> </v>
      </c>
      <c r="G1989" s="24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5" t="str">
        <f>IF(J1989&lt;&gt;1,"",IF(I1989="SBJ","CB","?"))</f>
        <v> </v>
      </c>
      <c r="I1989" s="26" t="str">
        <f>IF(OR(E1989="",E1989="!!!",F1989="NEW"),"",INDEX(B1988:B$2,-1+SUMPRODUCT(MAX(ROW(E1988:E$2)*(E1989=E1988:E$2)))))</f>
        <v> </v>
      </c>
      <c r="J1989" s="26" t="str">
        <f>IF(OR(E1989="",E1989="!!!",F1989="NEW"),"",COUNTBLANK(OFFSET(A$1,,,SUMPRODUCT(MAX(ROW(E$2:E1989)*(E1989=E$2:E1989)))))-COUNTBLANK(OFFSET(A$1,,,SUMPRODUCT(MAX(ROW(E$1:E1988)*(E2=E$1:E1988))))))</f>
        <v> </v>
      </c>
      <c r="K1989" s="26" t="str">
        <f>IF(OR(E1989="",E1989="!!!",F1989="NEW"),"",INDEX(J$1:J1988,SUMPRODUCT(MAX(ROW(E$1:E1988)*(E1989=E$1:E1988)))))</f>
        <v> </v>
      </c>
      <c r="L1989" s="27"/>
    </row>
    <row r="1990" spans="1:12">
      <c r="A1990" s="20" t="s">
        <v>1511</v>
      </c>
      <c r="E1990" s="22">
        <f>IF(D1990="?OLD","!!!","")</f>
        <v/>
      </c>
      <c r="F1990" s="23" t="str">
        <f>IF(OR(E1990="",E1990="!!!"),"",IF(NOT(ISNA(VLOOKUP(E1990,E$1:E1989,1,FALSE()))),"OLD",IF(AND(E1990&lt;&gt;"",E1990&lt;&gt;"!!!"),"NEW","")))</f>
        <v> </v>
      </c>
      <c r="G1990" s="24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5" t="str">
        <f>IF(J1990&lt;&gt;1,"",IF(I1990="SBJ","CB","?"))</f>
        <v> </v>
      </c>
      <c r="I1990" s="26" t="str">
        <f>IF(OR(E1990="",E1990="!!!",F1990="NEW"),"",INDEX(B1989:B$2,-1+SUMPRODUCT(MAX(ROW(E1989:E$2)*(E1990=E1989:E$2)))))</f>
        <v> </v>
      </c>
      <c r="J1990" s="26" t="str">
        <f>IF(OR(E1990="",E1990="!!!",F1990="NEW"),"",COUNTBLANK(OFFSET(A$1,,,SUMPRODUCT(MAX(ROW(E$2:E1990)*(E1990=E$2:E1990)))))-COUNTBLANK(OFFSET(A$1,,,SUMPRODUCT(MAX(ROW(E$1:E1989)*(E2=E$1:E1989))))))</f>
        <v> </v>
      </c>
      <c r="K1990" s="26" t="str">
        <f>IF(OR(E1990="",E1990="!!!",F1990="NEW"),"",INDEX(J$1:J1989,SUMPRODUCT(MAX(ROW(E$1:E1989)*(E1990=E$1:E1989)))))</f>
        <v> </v>
      </c>
      <c r="L1990" s="27"/>
    </row>
    <row r="1991" spans="1:12">
      <c r="A1991" s="20" t="s">
        <v>592</v>
      </c>
      <c r="E1991" s="22">
        <f>IF(D1991="?OLD","!!!","")</f>
        <v/>
      </c>
      <c r="F1991" s="23" t="str">
        <f>IF(OR(E1991="",E1991="!!!"),"",IF(NOT(ISNA(VLOOKUP(E1991,E$1:E1990,1,FALSE()))),"OLD",IF(AND(E1991&lt;&gt;"",E1991&lt;&gt;"!!!"),"NEW","")))</f>
        <v> </v>
      </c>
      <c r="G1991" s="24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5" t="str">
        <f>IF(J1991&lt;&gt;1,"",IF(I1991="SBJ","CB","?"))</f>
        <v> </v>
      </c>
      <c r="I1991" s="26" t="str">
        <f>IF(OR(E1991="",E1991="!!!",F1991="NEW"),"",INDEX(B1990:B$2,-1+SUMPRODUCT(MAX(ROW(E1990:E$2)*(E1991=E1990:E$2)))))</f>
        <v> </v>
      </c>
      <c r="J1991" s="26" t="str">
        <f>IF(OR(E1991="",E1991="!!!",F1991="NEW"),"",COUNTBLANK(OFFSET(A$1,,,SUMPRODUCT(MAX(ROW(E$2:E1991)*(E1991=E$2:E1991)))))-COUNTBLANK(OFFSET(A$1,,,SUMPRODUCT(MAX(ROW(E$1:E1990)*(E2=E$1:E1990))))))</f>
        <v> </v>
      </c>
      <c r="K1991" s="26" t="str">
        <f>IF(OR(E1991="",E1991="!!!",F1991="NEW"),"",INDEX(J$1:J1990,SUMPRODUCT(MAX(ROW(E$1:E1990)*(E1991=E$1:E1990)))))</f>
        <v> </v>
      </c>
      <c r="L1991" s="27"/>
    </row>
    <row r="1992" spans="1:12">
      <c r="A1992" s="20"/>
    </row>
    <row r="1993" spans="1:12">
      <c r="A1993" s="20" t="s">
        <v>1513</v>
      </c>
    </row>
    <row r="1994" spans="1:12">
      <c r="A1994" s="20" t="s">
        <v>1514</v>
      </c>
      <c r="E1994" s="22">
        <f>IF(D1994="?OLD","!!!","")</f>
        <v/>
      </c>
      <c r="F1994" s="23" t="str">
        <f>IF(OR(E1994="",E1994="!!!"),"",IF(NOT(ISNA(VLOOKUP(E1994,E$1:E1993,1,FALSE()))),"OLD",IF(AND(E1994&lt;&gt;"",E1994&lt;&gt;"!!!"),"NEW","")))</f>
        <v> </v>
      </c>
      <c r="G1994" s="24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5" t="str">
        <f>IF(J1994&lt;&gt;1,"",IF(I1994="SBJ","CB","?"))</f>
        <v> </v>
      </c>
      <c r="I1994" s="26" t="str">
        <f>IF(OR(E1994="",E1994="!!!",F1994="NEW"),"",INDEX(B1993:B$2,-1+SUMPRODUCT(MAX(ROW(E1993:E$2)*(E1994=E1993:E$2)))))</f>
        <v> </v>
      </c>
      <c r="J1994" s="26" t="str">
        <f>IF(OR(E1994="",E1994="!!!",F1994="NEW"),"",COUNTBLANK(OFFSET(A$1,,,SUMPRODUCT(MAX(ROW(E$2:E1994)*(E1994=E$2:E1994)))))-COUNTBLANK(OFFSET(A$1,,,SUMPRODUCT(MAX(ROW(E$1:E1993)*(E2=E$1:E1993))))))</f>
        <v> </v>
      </c>
      <c r="K1994" s="26" t="str">
        <f>IF(OR(E1994="",E1994="!!!",F1994="NEW"),"",INDEX(J$1:J1993,SUMPRODUCT(MAX(ROW(E$1:E1993)*(E1994=E$1:E1993)))))</f>
        <v> </v>
      </c>
      <c r="L1994" s="27"/>
    </row>
    <row r="1995" spans="1:12">
      <c r="A1995" s="20" t="s">
        <v>1515</v>
      </c>
      <c r="E1995" s="22">
        <f>IF(D1995="?OLD","!!!","")</f>
        <v/>
      </c>
      <c r="F1995" s="23" t="str">
        <f>IF(OR(E1995="",E1995="!!!"),"",IF(NOT(ISNA(VLOOKUP(E1995,E$1:E1994,1,FALSE()))),"OLD",IF(AND(E1995&lt;&gt;"",E1995&lt;&gt;"!!!"),"NEW","")))</f>
        <v> </v>
      </c>
      <c r="G1995" s="24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5" t="str">
        <f>IF(J1995&lt;&gt;1,"",IF(I1995="SBJ","CB","?"))</f>
        <v> </v>
      </c>
      <c r="I1995" s="26" t="str">
        <f>IF(OR(E1995="",E1995="!!!",F1995="NEW"),"",INDEX(B1994:B$2,-1+SUMPRODUCT(MAX(ROW(E1994:E$2)*(E1995=E1994:E$2)))))</f>
        <v> </v>
      </c>
      <c r="J1995" s="26" t="str">
        <f>IF(OR(E1995="",E1995="!!!",F1995="NEW"),"",COUNTBLANK(OFFSET(A$1,,,SUMPRODUCT(MAX(ROW(E$2:E1995)*(E1995=E$2:E1995)))))-COUNTBLANK(OFFSET(A$1,,,SUMPRODUCT(MAX(ROW(E$1:E1994)*(E2=E$1:E1994))))))</f>
        <v> </v>
      </c>
      <c r="K1995" s="26" t="str">
        <f>IF(OR(E1995="",E1995="!!!",F1995="NEW"),"",INDEX(J$1:J1994,SUMPRODUCT(MAX(ROW(E$1:E1994)*(E1995=E$1:E1994)))))</f>
        <v> </v>
      </c>
      <c r="L1995" s="27"/>
    </row>
    <row r="1996" spans="1:12">
      <c r="A1996" s="20" t="s">
        <v>583</v>
      </c>
      <c r="E1996" s="22">
        <f>IF(D1996="?OLD","!!!","")</f>
        <v/>
      </c>
      <c r="F1996" s="23" t="str">
        <f>IF(OR(E1996="",E1996="!!!"),"",IF(NOT(ISNA(VLOOKUP(E1996,E$1:E1995,1,FALSE()))),"OLD",IF(AND(E1996&lt;&gt;"",E1996&lt;&gt;"!!!"),"NEW","")))</f>
        <v> </v>
      </c>
      <c r="G1996" s="24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5" t="str">
        <f>IF(J1996&lt;&gt;1,"",IF(I1996="SBJ","CB","?"))</f>
        <v> </v>
      </c>
      <c r="I1996" s="26" t="str">
        <f>IF(OR(E1996="",E1996="!!!",F1996="NEW"),"",INDEX(B1995:B$2,-1+SUMPRODUCT(MAX(ROW(E1995:E$2)*(E1996=E1995:E$2)))))</f>
        <v> </v>
      </c>
      <c r="J1996" s="26" t="str">
        <f>IF(OR(E1996="",E1996="!!!",F1996="NEW"),"",COUNTBLANK(OFFSET(A$1,,,SUMPRODUCT(MAX(ROW(E$2:E1996)*(E1996=E$2:E1996)))))-COUNTBLANK(OFFSET(A$1,,,SUMPRODUCT(MAX(ROW(E$1:E1995)*(E2=E$1:E1995))))))</f>
        <v> </v>
      </c>
      <c r="K1996" s="26" t="str">
        <f>IF(OR(E1996="",E1996="!!!",F1996="NEW"),"",INDEX(J$1:J1995,SUMPRODUCT(MAX(ROW(E$1:E1995)*(E1996=E$1:E1995)))))</f>
        <v> </v>
      </c>
      <c r="L1996" s="27"/>
    </row>
    <row r="1997" spans="1:12">
      <c r="A1997" s="20" t="s">
        <v>685</v>
      </c>
      <c r="B1997" s="21" t="s">
        <v>578</v>
      </c>
      <c r="C1997" s="21" t="s">
        <v>613</v>
      </c>
      <c r="D1997" s="21" t="s">
        <v>587</v>
      </c>
      <c r="E1997" s="22">
        <f>IF(D1997="?OLD","!!!","")</f>
        <v/>
      </c>
      <c r="F1997" s="23" t="str">
        <f>IF(OR(E1997="",E1997="!!!"),"",IF(NOT(ISNA(VLOOKUP(E1997,E$1:E1996,1,FALSE()))),"OLD",IF(AND(E1997&lt;&gt;"",E1997&lt;&gt;"!!!"),"NEW","")))</f>
        <v> </v>
      </c>
      <c r="G1997" s="24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5" t="str">
        <f>IF(J1997&lt;&gt;1,"",IF(I1997="SBJ","CB","?"))</f>
        <v> </v>
      </c>
      <c r="I1997" s="26" t="str">
        <f>IF(OR(E1997="",E1997="!!!",F1997="NEW"),"",INDEX(B1996:B$2,-1+SUMPRODUCT(MAX(ROW(E1996:E$2)*(E1997=E1996:E$2)))))</f>
        <v> </v>
      </c>
      <c r="J1997" s="26" t="str">
        <f>IF(OR(E1997="",E1997="!!!",F1997="NEW"),"",COUNTBLANK(OFFSET(A$1,,,SUMPRODUCT(MAX(ROW(E$2:E1997)*(E1997=E$2:E1997)))))-COUNTBLANK(OFFSET(A$1,,,SUMPRODUCT(MAX(ROW(E$1:E1996)*(E2=E$1:E1996))))))</f>
        <v> </v>
      </c>
      <c r="K1997" s="26" t="str">
        <f>IF(OR(E1997="",E1997="!!!",F1997="NEW"),"",INDEX(J$1:J1996,SUMPRODUCT(MAX(ROW(E$1:E1996)*(E1997=E$1:E1996)))))</f>
        <v> </v>
      </c>
      <c r="L1997" s="27"/>
    </row>
    <row r="1998" spans="1:12">
      <c r="A1998" s="20" t="s">
        <v>776</v>
      </c>
      <c r="E1998" s="22">
        <f>IF(D1998="?OLD","!!!","")</f>
        <v/>
      </c>
      <c r="F1998" s="23" t="str">
        <f>IF(OR(E1998="",E1998="!!!"),"",IF(NOT(ISNA(VLOOKUP(E1998,E$1:E1997,1,FALSE()))),"OLD",IF(AND(E1998&lt;&gt;"",E1998&lt;&gt;"!!!"),"NEW","")))</f>
        <v> </v>
      </c>
      <c r="G1998" s="24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5" t="str">
        <f>IF(J1998&lt;&gt;1,"",IF(I1998="SBJ","CB","?"))</f>
        <v> </v>
      </c>
      <c r="I1998" s="26" t="str">
        <f>IF(OR(E1998="",E1998="!!!",F1998="NEW"),"",INDEX(B1997:B$2,-1+SUMPRODUCT(MAX(ROW(E1997:E$2)*(E1998=E1997:E$2)))))</f>
        <v> </v>
      </c>
      <c r="J1998" s="26" t="str">
        <f>IF(OR(E1998="",E1998="!!!",F1998="NEW"),"",COUNTBLANK(OFFSET(A$1,,,SUMPRODUCT(MAX(ROW(E$2:E1998)*(E1998=E$2:E1998)))))-COUNTBLANK(OFFSET(A$1,,,SUMPRODUCT(MAX(ROW(E$1:E1997)*(E2=E$1:E1997))))))</f>
        <v> </v>
      </c>
      <c r="K1998" s="26" t="str">
        <f>IF(OR(E1998="",E1998="!!!",F1998="NEW"),"",INDEX(J$1:J1997,SUMPRODUCT(MAX(ROW(E$1:E1997)*(E1998=E$1:E1997)))))</f>
        <v> </v>
      </c>
      <c r="L1998" s="27"/>
    </row>
    <row r="1999" spans="1:12">
      <c r="A1999" s="20" t="s">
        <v>970</v>
      </c>
      <c r="E1999" s="22">
        <f>IF(D1999="?OLD","!!!","")</f>
        <v/>
      </c>
      <c r="F1999" s="23" t="str">
        <f>IF(OR(E1999="",E1999="!!!"),"",IF(NOT(ISNA(VLOOKUP(E1999,E$1:E1998,1,FALSE()))),"OLD",IF(AND(E1999&lt;&gt;"",E1999&lt;&gt;"!!!"),"NEW","")))</f>
        <v> </v>
      </c>
      <c r="G1999" s="24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5" t="str">
        <f>IF(J1999&lt;&gt;1,"",IF(I1999="SBJ","CB","?"))</f>
        <v> </v>
      </c>
      <c r="I1999" s="26" t="str">
        <f>IF(OR(E1999="",E1999="!!!",F1999="NEW"),"",INDEX(B1998:B$2,-1+SUMPRODUCT(MAX(ROW(E1998:E$2)*(E1999=E1998:E$2)))))</f>
        <v> </v>
      </c>
      <c r="J1999" s="26" t="str">
        <f>IF(OR(E1999="",E1999="!!!",F1999="NEW"),"",COUNTBLANK(OFFSET(A$1,,,SUMPRODUCT(MAX(ROW(E$2:E1999)*(E1999=E$2:E1999)))))-COUNTBLANK(OFFSET(A$1,,,SUMPRODUCT(MAX(ROW(E$1:E1998)*(E2=E$1:E1998))))))</f>
        <v> </v>
      </c>
      <c r="K1999" s="26" t="str">
        <f>IF(OR(E1999="",E1999="!!!",F1999="NEW"),"",INDEX(J$1:J1998,SUMPRODUCT(MAX(ROW(E$1:E1998)*(E1999=E$1:E1998)))))</f>
        <v> </v>
      </c>
      <c r="L1999" s="27"/>
    </row>
    <row r="2000" spans="1:12">
      <c r="A2000" s="20" t="s">
        <v>779</v>
      </c>
      <c r="E2000" s="22">
        <f>IF(D2000="?OLD","!!!","")</f>
        <v/>
      </c>
      <c r="F2000" s="23" t="str">
        <f>IF(OR(E2000="",E2000="!!!"),"",IF(NOT(ISNA(VLOOKUP(E2000,E$1:E1999,1,FALSE()))),"OLD",IF(AND(E2000&lt;&gt;"",E2000&lt;&gt;"!!!"),"NEW","")))</f>
        <v> </v>
      </c>
      <c r="G2000" s="24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5" t="str">
        <f>IF(J2000&lt;&gt;1,"",IF(I2000="SBJ","CB","?"))</f>
        <v> </v>
      </c>
      <c r="I2000" s="26" t="str">
        <f>IF(OR(E2000="",E2000="!!!",F2000="NEW"),"",INDEX(B1999:B$2,-1+SUMPRODUCT(MAX(ROW(E1999:E$2)*(E2000=E1999:E$2)))))</f>
        <v> </v>
      </c>
      <c r="J2000" s="26" t="str">
        <f>IF(OR(E2000="",E2000="!!!",F2000="NEW"),"",COUNTBLANK(OFFSET(A$1,,,SUMPRODUCT(MAX(ROW(E$2:E2000)*(E2000=E$2:E2000)))))-COUNTBLANK(OFFSET(A$1,,,SUMPRODUCT(MAX(ROW(E$1:E1999)*(E2=E$1:E1999))))))</f>
        <v> </v>
      </c>
      <c r="K2000" s="26" t="str">
        <f>IF(OR(E2000="",E2000="!!!",F2000="NEW"),"",INDEX(J$1:J1999,SUMPRODUCT(MAX(ROW(E$1:E1999)*(E2000=E$1:E1999)))))</f>
        <v> </v>
      </c>
      <c r="L2000" s="27"/>
    </row>
    <row r="2001" spans="1:12">
      <c r="A2001" s="20" t="s">
        <v>1516</v>
      </c>
      <c r="E2001" s="22">
        <f>IF(D2001="?OLD","!!!","")</f>
        <v/>
      </c>
      <c r="F2001" s="23" t="str">
        <f>IF(OR(E2001="",E2001="!!!"),"",IF(NOT(ISNA(VLOOKUP(E2001,E$1:E2000,1,FALSE()))),"OLD",IF(AND(E2001&lt;&gt;"",E2001&lt;&gt;"!!!"),"NEW","")))</f>
        <v> </v>
      </c>
      <c r="G2001" s="24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5" t="str">
        <f>IF(J2001&lt;&gt;1,"",IF(I2001="SBJ","CB","?"))</f>
        <v> </v>
      </c>
      <c r="I2001" s="26" t="str">
        <f>IF(OR(E2001="",E2001="!!!",F2001="NEW"),"",INDEX(B2000:B$2,-1+SUMPRODUCT(MAX(ROW(E2000:E$2)*(E2001=E2000:E$2)))))</f>
        <v> </v>
      </c>
      <c r="J2001" s="26" t="str">
        <f>IF(OR(E2001="",E2001="!!!",F2001="NEW"),"",COUNTBLANK(OFFSET(A$1,,,SUMPRODUCT(MAX(ROW(E$2:E2001)*(E2001=E$2:E2001)))))-COUNTBLANK(OFFSET(A$1,,,SUMPRODUCT(MAX(ROW(E$1:E2000)*(E2=E$1:E2000))))))</f>
        <v> </v>
      </c>
      <c r="K2001" s="26" t="str">
        <f>IF(OR(E2001="",E2001="!!!",F2001="NEW"),"",INDEX(J$1:J2000,SUMPRODUCT(MAX(ROW(E$1:E2000)*(E2001=E$1:E2000)))))</f>
        <v> </v>
      </c>
      <c r="L2001" s="27"/>
    </row>
    <row r="2002" spans="1:12">
      <c r="A2002" s="20" t="s">
        <v>1517</v>
      </c>
      <c r="E2002" s="22">
        <f>IF(D2002="?OLD","!!!","")</f>
        <v/>
      </c>
      <c r="F2002" s="23" t="str">
        <f>IF(OR(E2002="",E2002="!!!"),"",IF(NOT(ISNA(VLOOKUP(E2002,E$1:E2001,1,FALSE()))),"OLD",IF(AND(E2002&lt;&gt;"",E2002&lt;&gt;"!!!"),"NEW","")))</f>
        <v> </v>
      </c>
      <c r="G2002" s="24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5" t="str">
        <f>IF(J2002&lt;&gt;1,"",IF(I2002="SBJ","CB","?"))</f>
        <v> </v>
      </c>
      <c r="I2002" s="26" t="str">
        <f>IF(OR(E2002="",E2002="!!!",F2002="NEW"),"",INDEX(B2001:B$2,-1+SUMPRODUCT(MAX(ROW(E2001:E$2)*(E2002=E2001:E$2)))))</f>
        <v> </v>
      </c>
      <c r="J2002" s="26" t="str">
        <f>IF(OR(E2002="",E2002="!!!",F2002="NEW"),"",COUNTBLANK(OFFSET(A$1,,,SUMPRODUCT(MAX(ROW(E$2:E2002)*(E2002=E$2:E2002)))))-COUNTBLANK(OFFSET(A$1,,,SUMPRODUCT(MAX(ROW(E$1:E2001)*(E2=E$1:E2001))))))</f>
        <v> </v>
      </c>
      <c r="K2002" s="26" t="str">
        <f>IF(OR(E2002="",E2002="!!!",F2002="NEW"),"",INDEX(J$1:J2001,SUMPRODUCT(MAX(ROW(E$1:E2001)*(E2002=E$1:E2001)))))</f>
        <v> </v>
      </c>
      <c r="L2002" s="27"/>
    </row>
    <row r="2003" spans="1:12">
      <c r="A2003" s="20" t="s">
        <v>592</v>
      </c>
      <c r="E2003" s="22">
        <f>IF(D2003="?OLD","!!!","")</f>
        <v/>
      </c>
      <c r="F2003" s="23" t="str">
        <f>IF(OR(E2003="",E2003="!!!"),"",IF(NOT(ISNA(VLOOKUP(E2003,E$1:E2002,1,FALSE()))),"OLD",IF(AND(E2003&lt;&gt;"",E2003&lt;&gt;"!!!"),"NEW","")))</f>
        <v> </v>
      </c>
      <c r="G2003" s="24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5" t="str">
        <f>IF(J2003&lt;&gt;1,"",IF(I2003="SBJ","CB","?"))</f>
        <v> </v>
      </c>
      <c r="I2003" s="26" t="str">
        <f>IF(OR(E2003="",E2003="!!!",F2003="NEW"),"",INDEX(B2002:B$2,-1+SUMPRODUCT(MAX(ROW(E2002:E$2)*(E2003=E2002:E$2)))))</f>
        <v> </v>
      </c>
      <c r="J2003" s="26" t="str">
        <f>IF(OR(E2003="",E2003="!!!",F2003="NEW"),"",COUNTBLANK(OFFSET(A$1,,,SUMPRODUCT(MAX(ROW(E$2:E2003)*(E2003=E$2:E2003)))))-COUNTBLANK(OFFSET(A$1,,,SUMPRODUCT(MAX(ROW(E$1:E2002)*(E2=E$1:E2002))))))</f>
        <v> </v>
      </c>
      <c r="K2003" s="26" t="str">
        <f>IF(OR(E2003="",E2003="!!!",F2003="NEW"),"",INDEX(J$1:J2002,SUMPRODUCT(MAX(ROW(E$1:E2002)*(E2003=E$1:E2002)))))</f>
        <v> </v>
      </c>
      <c r="L2003" s="27"/>
    </row>
    <row r="2004" spans="1:12">
      <c r="A2004" s="20"/>
    </row>
    <row r="2005" spans="1:12">
      <c r="A2005" s="20" t="s">
        <v>1518</v>
      </c>
    </row>
    <row r="2006" spans="1:12">
      <c r="A2006" s="20" t="s">
        <v>1519</v>
      </c>
      <c r="E2006" s="22">
        <f>IF(D2006="?OLD","!!!","")</f>
        <v/>
      </c>
      <c r="F2006" s="23" t="str">
        <f>IF(OR(E2006="",E2006="!!!"),"",IF(NOT(ISNA(VLOOKUP(E2006,E$1:E2005,1,FALSE()))),"OLD",IF(AND(E2006&lt;&gt;"",E2006&lt;&gt;"!!!"),"NEW","")))</f>
        <v> </v>
      </c>
      <c r="G2006" s="24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5" t="str">
        <f>IF(J2006&lt;&gt;1,"",IF(I2006="SBJ","CB","?"))</f>
        <v> </v>
      </c>
      <c r="I2006" s="26" t="str">
        <f>IF(OR(E2006="",E2006="!!!",F2006="NEW"),"",INDEX(B2005:B$2,-1+SUMPRODUCT(MAX(ROW(E2005:E$2)*(E2006=E2005:E$2)))))</f>
        <v> </v>
      </c>
      <c r="J2006" s="26" t="str">
        <f>IF(OR(E2006="",E2006="!!!",F2006="NEW"),"",COUNTBLANK(OFFSET(A$1,,,SUMPRODUCT(MAX(ROW(E$2:E2006)*(E2006=E$2:E2006)))))-COUNTBLANK(OFFSET(A$1,,,SUMPRODUCT(MAX(ROW(E$1:E2005)*(E2=E$1:E2005))))))</f>
        <v> </v>
      </c>
      <c r="K2006" s="26" t="str">
        <f>IF(OR(E2006="",E2006="!!!",F2006="NEW"),"",INDEX(J$1:J2005,SUMPRODUCT(MAX(ROW(E$1:E2005)*(E2006=E$1:E2005)))))</f>
        <v> </v>
      </c>
      <c r="L2006" s="27"/>
    </row>
    <row r="2007" spans="1:12">
      <c r="A2007" s="20" t="s">
        <v>758</v>
      </c>
      <c r="B2007" s="21" t="s">
        <v>578</v>
      </c>
      <c r="C2007" s="21" t="s">
        <v>586</v>
      </c>
      <c r="E2007" s="22">
        <f>IF(D2007="?OLD","!!!","")</f>
        <v/>
      </c>
      <c r="F2007" s="23" t="str">
        <f>IF(OR(E2007="",E2007="!!!"),"",IF(NOT(ISNA(VLOOKUP(E2007,E$1:E2006,1,FALSE()))),"OLD",IF(AND(E2007&lt;&gt;"",E2007&lt;&gt;"!!!"),"NEW","")))</f>
        <v> </v>
      </c>
      <c r="G2007" s="24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5" t="str">
        <f>IF(J2007&lt;&gt;1,"",IF(I2007="SBJ","CB","?"))</f>
        <v> </v>
      </c>
      <c r="I2007" s="26" t="str">
        <f>IF(OR(E2007="",E2007="!!!",F2007="NEW"),"",INDEX(B2006:B$2,-1+SUMPRODUCT(MAX(ROW(E2006:E$2)*(E2007=E2006:E$2)))))</f>
        <v> </v>
      </c>
      <c r="J2007" s="26" t="str">
        <f>IF(OR(E2007="",E2007="!!!",F2007="NEW"),"",COUNTBLANK(OFFSET(A$1,,,SUMPRODUCT(MAX(ROW(E$2:E2007)*(E2007=E$2:E2007)))))-COUNTBLANK(OFFSET(A$1,,,SUMPRODUCT(MAX(ROW(E$1:E2006)*(E2=E$1:E2006))))))</f>
        <v> </v>
      </c>
      <c r="K2007" s="26" t="str">
        <f>IF(OR(E2007="",E2007="!!!",F2007="NEW"),"",INDEX(J$1:J2006,SUMPRODUCT(MAX(ROW(E$1:E2006)*(E2007=E$1:E2006)))))</f>
        <v> </v>
      </c>
      <c r="L2007" s="27"/>
    </row>
    <row r="2008" spans="1:12">
      <c r="A2008" s="20" t="s">
        <v>733</v>
      </c>
      <c r="E2008" s="22">
        <f>IF(D2008="?OLD","!!!","")</f>
        <v/>
      </c>
      <c r="F2008" s="23" t="str">
        <f>IF(OR(E2008="",E2008="!!!"),"",IF(NOT(ISNA(VLOOKUP(E2008,E$1:E2007,1,FALSE()))),"OLD",IF(AND(E2008&lt;&gt;"",E2008&lt;&gt;"!!!"),"NEW","")))</f>
        <v> </v>
      </c>
      <c r="G2008" s="24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5" t="str">
        <f>IF(J2008&lt;&gt;1,"",IF(I2008="SBJ","CB","?"))</f>
        <v> </v>
      </c>
      <c r="I2008" s="26" t="str">
        <f>IF(OR(E2008="",E2008="!!!",F2008="NEW"),"",INDEX(B2007:B$2,-1+SUMPRODUCT(MAX(ROW(E2007:E$2)*(E2008=E2007:E$2)))))</f>
        <v> </v>
      </c>
      <c r="J2008" s="26" t="str">
        <f>IF(OR(E2008="",E2008="!!!",F2008="NEW"),"",COUNTBLANK(OFFSET(A$1,,,SUMPRODUCT(MAX(ROW(E$2:E2008)*(E2008=E$2:E2008)))))-COUNTBLANK(OFFSET(A$1,,,SUMPRODUCT(MAX(ROW(E$1:E2007)*(E2=E$1:E2007))))))</f>
        <v> </v>
      </c>
      <c r="K2008" s="26" t="str">
        <f>IF(OR(E2008="",E2008="!!!",F2008="NEW"),"",INDEX(J$1:J2007,SUMPRODUCT(MAX(ROW(E$1:E2007)*(E2008=E$1:E2007)))))</f>
        <v> </v>
      </c>
      <c r="L2008" s="27"/>
    </row>
    <row r="2009" spans="1:12">
      <c r="A2009" s="20" t="s">
        <v>1520</v>
      </c>
      <c r="B2009" s="21" t="s">
        <v>585</v>
      </c>
      <c r="C2009" s="21" t="s">
        <v>628</v>
      </c>
      <c r="D2009" s="21" t="s">
        <v>587</v>
      </c>
      <c r="E2009" s="22">
        <f>IF(D2009="?OLD","!!!","")</f>
        <v/>
      </c>
      <c r="F2009" s="23" t="str">
        <f>IF(OR(E2009="",E2009="!!!"),"",IF(NOT(ISNA(VLOOKUP(E2009,E$1:E2008,1,FALSE()))),"OLD",IF(AND(E2009&lt;&gt;"",E2009&lt;&gt;"!!!"),"NEW","")))</f>
        <v> </v>
      </c>
      <c r="G2009" s="24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5" t="str">
        <f>IF(J2009&lt;&gt;1,"",IF(I2009="SBJ","CB","?"))</f>
        <v> </v>
      </c>
      <c r="I2009" s="26" t="str">
        <f>IF(OR(E2009="",E2009="!!!",F2009="NEW"),"",INDEX(B2008:B$2,-1+SUMPRODUCT(MAX(ROW(E2008:E$2)*(E2009=E2008:E$2)))))</f>
        <v> </v>
      </c>
      <c r="J2009" s="26" t="str">
        <f>IF(OR(E2009="",E2009="!!!",F2009="NEW"),"",COUNTBLANK(OFFSET(A$1,,,SUMPRODUCT(MAX(ROW(E$2:E2009)*(E2009=E$2:E2009)))))-COUNTBLANK(OFFSET(A$1,,,SUMPRODUCT(MAX(ROW(E$1:E2008)*(E2=E$1:E2008))))))</f>
        <v> </v>
      </c>
      <c r="K2009" s="26" t="str">
        <f>IF(OR(E2009="",E2009="!!!",F2009="NEW"),"",INDEX(J$1:J2008,SUMPRODUCT(MAX(ROW(E$1:E2008)*(E2009=E$1:E2008)))))</f>
        <v> </v>
      </c>
      <c r="L2009" s="27"/>
    </row>
    <row r="2010" spans="1:12">
      <c r="A2010" s="20" t="s">
        <v>630</v>
      </c>
      <c r="E2010" s="22">
        <f>IF(D2010="?OLD","!!!","")</f>
        <v/>
      </c>
      <c r="F2010" s="23" t="str">
        <f>IF(OR(E2010="",E2010="!!!"),"",IF(NOT(ISNA(VLOOKUP(E2010,E$1:E2009,1,FALSE()))),"OLD",IF(AND(E2010&lt;&gt;"",E2010&lt;&gt;"!!!"),"NEW","")))</f>
        <v> </v>
      </c>
      <c r="G2010" s="24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5" t="str">
        <f>IF(J2010&lt;&gt;1,"",IF(I2010="SBJ","CB","?"))</f>
        <v> </v>
      </c>
      <c r="I2010" s="26" t="str">
        <f>IF(OR(E2010="",E2010="!!!",F2010="NEW"),"",INDEX(B2009:B$2,-1+SUMPRODUCT(MAX(ROW(E2009:E$2)*(E2010=E2009:E$2)))))</f>
        <v> </v>
      </c>
      <c r="J2010" s="26" t="str">
        <f>IF(OR(E2010="",E2010="!!!",F2010="NEW"),"",COUNTBLANK(OFFSET(A$1,,,SUMPRODUCT(MAX(ROW(E$2:E2010)*(E2010=E$2:E2010)))))-COUNTBLANK(OFFSET(A$1,,,SUMPRODUCT(MAX(ROW(E$1:E2009)*(E2=E$1:E2009))))))</f>
        <v> </v>
      </c>
      <c r="K2010" s="26" t="str">
        <f>IF(OR(E2010="",E2010="!!!",F2010="NEW"),"",INDEX(J$1:J2009,SUMPRODUCT(MAX(ROW(E$1:E2009)*(E2010=E$1:E2009)))))</f>
        <v> </v>
      </c>
      <c r="L2010" s="27"/>
    </row>
    <row r="2011" spans="1:12">
      <c r="A2011" s="20" t="s">
        <v>1521</v>
      </c>
      <c r="B2011" s="21" t="s">
        <v>585</v>
      </c>
      <c r="C2011" s="21" t="s">
        <v>628</v>
      </c>
      <c r="D2011" s="21" t="s">
        <v>587</v>
      </c>
      <c r="E2011" s="22">
        <f>IF(D2011="?OLD","!!!","")</f>
        <v/>
      </c>
      <c r="F2011" s="23" t="str">
        <f>IF(OR(E2011="",E2011="!!!"),"",IF(NOT(ISNA(VLOOKUP(E2011,E$1:E2010,1,FALSE()))),"OLD",IF(AND(E2011&lt;&gt;"",E2011&lt;&gt;"!!!"),"NEW","")))</f>
        <v> </v>
      </c>
      <c r="G2011" s="24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5" t="str">
        <f>IF(J2011&lt;&gt;1,"",IF(I2011="SBJ","CB","?"))</f>
        <v> </v>
      </c>
      <c r="I2011" s="26" t="str">
        <f>IF(OR(E2011="",E2011="!!!",F2011="NEW"),"",INDEX(B2010:B$2,-1+SUMPRODUCT(MAX(ROW(E2010:E$2)*(E2011=E2010:E$2)))))</f>
        <v> </v>
      </c>
      <c r="J2011" s="26" t="str">
        <f>IF(OR(E2011="",E2011="!!!",F2011="NEW"),"",COUNTBLANK(OFFSET(A$1,,,SUMPRODUCT(MAX(ROW(E$2:E2011)*(E2011=E$2:E2011)))))-COUNTBLANK(OFFSET(A$1,,,SUMPRODUCT(MAX(ROW(E$1:E2010)*(E2=E$1:E2010))))))</f>
        <v> </v>
      </c>
      <c r="K2011" s="26" t="str">
        <f>IF(OR(E2011="",E2011="!!!",F2011="NEW"),"",INDEX(J$1:J2010,SUMPRODUCT(MAX(ROW(E$1:E2010)*(E2011=E$1:E2010)))))</f>
        <v> </v>
      </c>
      <c r="L2011" s="27"/>
    </row>
    <row r="2012" spans="1:12">
      <c r="A2012" s="20" t="s">
        <v>583</v>
      </c>
      <c r="E2012" s="22">
        <f>IF(D2012="?OLD","!!!","")</f>
        <v/>
      </c>
      <c r="F2012" s="23" t="str">
        <f>IF(OR(E2012="",E2012="!!!"),"",IF(NOT(ISNA(VLOOKUP(E2012,E$1:E2011,1,FALSE()))),"OLD",IF(AND(E2012&lt;&gt;"",E2012&lt;&gt;"!!!"),"NEW","")))</f>
        <v> </v>
      </c>
      <c r="G2012" s="24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5" t="str">
        <f>IF(J2012&lt;&gt;1,"",IF(I2012="SBJ","CB","?"))</f>
        <v> </v>
      </c>
      <c r="I2012" s="26" t="str">
        <f>IF(OR(E2012="",E2012="!!!",F2012="NEW"),"",INDEX(B2011:B$2,-1+SUMPRODUCT(MAX(ROW(E2011:E$2)*(E2012=E2011:E$2)))))</f>
        <v> </v>
      </c>
      <c r="J2012" s="26" t="str">
        <f>IF(OR(E2012="",E2012="!!!",F2012="NEW"),"",COUNTBLANK(OFFSET(A$1,,,SUMPRODUCT(MAX(ROW(E$2:E2012)*(E2012=E$2:E2012)))))-COUNTBLANK(OFFSET(A$1,,,SUMPRODUCT(MAX(ROW(E$1:E2011)*(E2=E$1:E2011))))))</f>
        <v> </v>
      </c>
      <c r="K2012" s="26" t="str">
        <f>IF(OR(E2012="",E2012="!!!",F2012="NEW"),"",INDEX(J$1:J2011,SUMPRODUCT(MAX(ROW(E$1:E2011)*(E2012=E$1:E2011)))))</f>
        <v> </v>
      </c>
      <c r="L2012" s="27"/>
    </row>
    <row r="2013" spans="1:12">
      <c r="A2013" s="20" t="s">
        <v>616</v>
      </c>
      <c r="B2013" s="21" t="s">
        <v>892</v>
      </c>
      <c r="C2013" s="21" t="s">
        <v>602</v>
      </c>
      <c r="E2013" s="22">
        <f>IF(D2013="?OLD","!!!","")</f>
        <v/>
      </c>
      <c r="F2013" s="23" t="str">
        <f>IF(OR(E2013="",E2013="!!!"),"",IF(NOT(ISNA(VLOOKUP(E2013,E$1:E2012,1,FALSE()))),"OLD",IF(AND(E2013&lt;&gt;"",E2013&lt;&gt;"!!!"),"NEW","")))</f>
        <v> </v>
      </c>
      <c r="G2013" s="24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5" t="str">
        <f>IF(J2013&lt;&gt;1,"",IF(I2013="SBJ","CB","?"))</f>
        <v> </v>
      </c>
      <c r="I2013" s="26" t="str">
        <f>IF(OR(E2013="",E2013="!!!",F2013="NEW"),"",INDEX(B2012:B$2,-1+SUMPRODUCT(MAX(ROW(E2012:E$2)*(E2013=E2012:E$2)))))</f>
        <v> </v>
      </c>
      <c r="J2013" s="26" t="str">
        <f>IF(OR(E2013="",E2013="!!!",F2013="NEW"),"",COUNTBLANK(OFFSET(A$1,,,SUMPRODUCT(MAX(ROW(E$2:E2013)*(E2013=E$2:E2013)))))-COUNTBLANK(OFFSET(A$1,,,SUMPRODUCT(MAX(ROW(E$1:E2012)*(E2=E$1:E2012))))))</f>
        <v> </v>
      </c>
      <c r="K2013" s="26" t="str">
        <f>IF(OR(E2013="",E2013="!!!",F2013="NEW"),"",INDEX(J$1:J2012,SUMPRODUCT(MAX(ROW(E$1:E2012)*(E2013=E$1:E2012)))))</f>
        <v> </v>
      </c>
      <c r="L2013" s="27"/>
    </row>
    <row r="2014" spans="1:12">
      <c r="A2014" s="20" t="s">
        <v>716</v>
      </c>
      <c r="B2014" s="21" t="s">
        <v>605</v>
      </c>
      <c r="C2014" s="21" t="s">
        <v>613</v>
      </c>
      <c r="D2014" s="21" t="s">
        <v>587</v>
      </c>
      <c r="E2014" s="22">
        <f>IF(D2014="?OLD","!!!","")</f>
        <v/>
      </c>
      <c r="F2014" s="23" t="str">
        <f>IF(OR(E2014="",E2014="!!!"),"",IF(NOT(ISNA(VLOOKUP(E2014,E$1:E2013,1,FALSE()))),"OLD",IF(AND(E2014&lt;&gt;"",E2014&lt;&gt;"!!!"),"NEW","")))</f>
        <v> </v>
      </c>
      <c r="G2014" s="24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5" t="str">
        <f>IF(J2014&lt;&gt;1,"",IF(I2014="SBJ","CB","?"))</f>
        <v> </v>
      </c>
      <c r="I2014" s="26" t="str">
        <f>IF(OR(E2014="",E2014="!!!",F2014="NEW"),"",INDEX(B2013:B$2,-1+SUMPRODUCT(MAX(ROW(E2013:E$2)*(E2014=E2013:E$2)))))</f>
        <v> </v>
      </c>
      <c r="J2014" s="26" t="str">
        <f>IF(OR(E2014="",E2014="!!!",F2014="NEW"),"",COUNTBLANK(OFFSET(A$1,,,SUMPRODUCT(MAX(ROW(E$2:E2014)*(E2014=E$2:E2014)))))-COUNTBLANK(OFFSET(A$1,,,SUMPRODUCT(MAX(ROW(E$1:E2013)*(E2=E$1:E2013))))))</f>
        <v> </v>
      </c>
      <c r="K2014" s="26" t="str">
        <f>IF(OR(E2014="",E2014="!!!",F2014="NEW"),"",INDEX(J$1:J2013,SUMPRODUCT(MAX(ROW(E$1:E2013)*(E2014=E$1:E2013)))))</f>
        <v> </v>
      </c>
      <c r="L2014" s="27"/>
    </row>
    <row r="2015" spans="1:12">
      <c r="A2015" s="20" t="s">
        <v>1522</v>
      </c>
      <c r="E2015" s="22">
        <f>IF(D2015="?OLD","!!!","")</f>
        <v/>
      </c>
      <c r="F2015" s="23" t="str">
        <f>IF(OR(E2015="",E2015="!!!"),"",IF(NOT(ISNA(VLOOKUP(E2015,E$1:E2014,1,FALSE()))),"OLD",IF(AND(E2015&lt;&gt;"",E2015&lt;&gt;"!!!"),"NEW","")))</f>
        <v> </v>
      </c>
      <c r="G2015" s="24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5" t="str">
        <f>IF(J2015&lt;&gt;1,"",IF(I2015="SBJ","CB","?"))</f>
        <v> </v>
      </c>
      <c r="I2015" s="26" t="str">
        <f>IF(OR(E2015="",E2015="!!!",F2015="NEW"),"",INDEX(B2014:B$2,-1+SUMPRODUCT(MAX(ROW(E2014:E$2)*(E2015=E2014:E$2)))))</f>
        <v> </v>
      </c>
      <c r="J2015" s="26" t="str">
        <f>IF(OR(E2015="",E2015="!!!",F2015="NEW"),"",COUNTBLANK(OFFSET(A$1,,,SUMPRODUCT(MAX(ROW(E$2:E2015)*(E2015=E$2:E2015)))))-COUNTBLANK(OFFSET(A$1,,,SUMPRODUCT(MAX(ROW(E$1:E2014)*(E2=E$1:E2014))))))</f>
        <v> </v>
      </c>
      <c r="K2015" s="26" t="str">
        <f>IF(OR(E2015="",E2015="!!!",F2015="NEW"),"",INDEX(J$1:J2014,SUMPRODUCT(MAX(ROW(E$1:E2014)*(E2015=E$1:E2014)))))</f>
        <v> </v>
      </c>
      <c r="L2015" s="27"/>
    </row>
    <row r="2016" spans="1:12">
      <c r="A2016" s="20" t="s">
        <v>583</v>
      </c>
      <c r="E2016" s="22">
        <f>IF(D2016="?OLD","!!!","")</f>
        <v/>
      </c>
      <c r="F2016" s="23" t="str">
        <f>IF(OR(E2016="",E2016="!!!"),"",IF(NOT(ISNA(VLOOKUP(E2016,E$1:E2015,1,FALSE()))),"OLD",IF(AND(E2016&lt;&gt;"",E2016&lt;&gt;"!!!"),"NEW","")))</f>
        <v> </v>
      </c>
      <c r="G2016" s="24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5" t="str">
        <f>IF(J2016&lt;&gt;1,"",IF(I2016="SBJ","CB","?"))</f>
        <v> </v>
      </c>
      <c r="I2016" s="26" t="str">
        <f>IF(OR(E2016="",E2016="!!!",F2016="NEW"),"",INDEX(B2015:B$2,-1+SUMPRODUCT(MAX(ROW(E2015:E$2)*(E2016=E2015:E$2)))))</f>
        <v> </v>
      </c>
      <c r="J2016" s="26" t="str">
        <f>IF(OR(E2016="",E2016="!!!",F2016="NEW"),"",COUNTBLANK(OFFSET(A$1,,,SUMPRODUCT(MAX(ROW(E$2:E2016)*(E2016=E$2:E2016)))))-COUNTBLANK(OFFSET(A$1,,,SUMPRODUCT(MAX(ROW(E$1:E2015)*(E2=E$1:E2015))))))</f>
        <v> </v>
      </c>
      <c r="K2016" s="26" t="str">
        <f>IF(OR(E2016="",E2016="!!!",F2016="NEW"),"",INDEX(J$1:J2015,SUMPRODUCT(MAX(ROW(E$1:E2015)*(E2016=E$1:E2015)))))</f>
        <v> </v>
      </c>
      <c r="L2016" s="27"/>
    </row>
    <row r="2017" spans="1:12">
      <c r="A2017" s="20" t="s">
        <v>1523</v>
      </c>
      <c r="E2017" s="22">
        <f>IF(D2017="?OLD","!!!","")</f>
        <v/>
      </c>
      <c r="F2017" s="23" t="str">
        <f>IF(OR(E2017="",E2017="!!!"),"",IF(NOT(ISNA(VLOOKUP(E2017,E$1:E2016,1,FALSE()))),"OLD",IF(AND(E2017&lt;&gt;"",E2017&lt;&gt;"!!!"),"NEW","")))</f>
        <v> </v>
      </c>
      <c r="G2017" s="24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5" t="str">
        <f>IF(J2017&lt;&gt;1,"",IF(I2017="SBJ","CB","?"))</f>
        <v> </v>
      </c>
      <c r="I2017" s="26" t="str">
        <f>IF(OR(E2017="",E2017="!!!",F2017="NEW"),"",INDEX(B2016:B$2,-1+SUMPRODUCT(MAX(ROW(E2016:E$2)*(E2017=E2016:E$2)))))</f>
        <v> </v>
      </c>
      <c r="J2017" s="26" t="str">
        <f>IF(OR(E2017="",E2017="!!!",F2017="NEW"),"",COUNTBLANK(OFFSET(A$1,,,SUMPRODUCT(MAX(ROW(E$2:E2017)*(E2017=E$2:E2017)))))-COUNTBLANK(OFFSET(A$1,,,SUMPRODUCT(MAX(ROW(E$1:E2016)*(E2=E$1:E2016))))))</f>
        <v> </v>
      </c>
      <c r="K2017" s="26" t="str">
        <f>IF(OR(E2017="",E2017="!!!",F2017="NEW"),"",INDEX(J$1:J2016,SUMPRODUCT(MAX(ROW(E$1:E2016)*(E2017=E$1:E2016)))))</f>
        <v> </v>
      </c>
      <c r="L2017" s="27"/>
    </row>
    <row r="2018" spans="1:12">
      <c r="A2018" s="20" t="s">
        <v>1524</v>
      </c>
      <c r="E2018" s="22">
        <f>IF(D2018="?OLD","!!!","")</f>
        <v/>
      </c>
      <c r="F2018" s="23" t="str">
        <f>IF(OR(E2018="",E2018="!!!"),"",IF(NOT(ISNA(VLOOKUP(E2018,E$1:E2017,1,FALSE()))),"OLD",IF(AND(E2018&lt;&gt;"",E2018&lt;&gt;"!!!"),"NEW","")))</f>
        <v> </v>
      </c>
      <c r="G2018" s="24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5" t="str">
        <f>IF(J2018&lt;&gt;1,"",IF(I2018="SBJ","CB","?"))</f>
        <v> </v>
      </c>
      <c r="I2018" s="26" t="str">
        <f>IF(OR(E2018="",E2018="!!!",F2018="NEW"),"",INDEX(B2017:B$2,-1+SUMPRODUCT(MAX(ROW(E2017:E$2)*(E2018=E2017:E$2)))))</f>
        <v> </v>
      </c>
      <c r="J2018" s="26" t="str">
        <f>IF(OR(E2018="",E2018="!!!",F2018="NEW"),"",COUNTBLANK(OFFSET(A$1,,,SUMPRODUCT(MAX(ROW(E$2:E2018)*(E2018=E$2:E2018)))))-COUNTBLANK(OFFSET(A$1,,,SUMPRODUCT(MAX(ROW(E$1:E2017)*(E2=E$1:E2017))))))</f>
        <v> </v>
      </c>
      <c r="K2018" s="26" t="str">
        <f>IF(OR(E2018="",E2018="!!!",F2018="NEW"),"",INDEX(J$1:J2017,SUMPRODUCT(MAX(ROW(E$1:E2017)*(E2018=E$1:E2017)))))</f>
        <v> </v>
      </c>
      <c r="L2018" s="27"/>
    </row>
    <row r="2019" spans="1:12">
      <c r="A2019" s="20" t="s">
        <v>1525</v>
      </c>
      <c r="E2019" s="22">
        <f>IF(D2019="?OLD","!!!","")</f>
        <v/>
      </c>
      <c r="F2019" s="23" t="str">
        <f>IF(OR(E2019="",E2019="!!!"),"",IF(NOT(ISNA(VLOOKUP(E2019,E$1:E2018,1,FALSE()))),"OLD",IF(AND(E2019&lt;&gt;"",E2019&lt;&gt;"!!!"),"NEW","")))</f>
        <v> </v>
      </c>
      <c r="G2019" s="24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5" t="str">
        <f>IF(J2019&lt;&gt;1,"",IF(I2019="SBJ","CB","?"))</f>
        <v> </v>
      </c>
      <c r="I2019" s="26" t="str">
        <f>IF(OR(E2019="",E2019="!!!",F2019="NEW"),"",INDEX(B2018:B$2,-1+SUMPRODUCT(MAX(ROW(E2018:E$2)*(E2019=E2018:E$2)))))</f>
        <v> </v>
      </c>
      <c r="J2019" s="26" t="str">
        <f>IF(OR(E2019="",E2019="!!!",F2019="NEW"),"",COUNTBLANK(OFFSET(A$1,,,SUMPRODUCT(MAX(ROW(E$2:E2019)*(E2019=E$2:E2019)))))-COUNTBLANK(OFFSET(A$1,,,SUMPRODUCT(MAX(ROW(E$1:E2018)*(E2=E$1:E2018))))))</f>
        <v> </v>
      </c>
      <c r="K2019" s="26" t="str">
        <f>IF(OR(E2019="",E2019="!!!",F2019="NEW"),"",INDEX(J$1:J2018,SUMPRODUCT(MAX(ROW(E$1:E2018)*(E2019=E$1:E2018)))))</f>
        <v> </v>
      </c>
      <c r="L2019" s="27"/>
    </row>
    <row r="2020" spans="1:12">
      <c r="A2020" s="20" t="s">
        <v>1164</v>
      </c>
      <c r="E2020" s="22">
        <f>IF(D2020="?OLD","!!!","")</f>
        <v/>
      </c>
      <c r="F2020" s="23" t="str">
        <f>IF(OR(E2020="",E2020="!!!"),"",IF(NOT(ISNA(VLOOKUP(E2020,E$1:E2019,1,FALSE()))),"OLD",IF(AND(E2020&lt;&gt;"",E2020&lt;&gt;"!!!"),"NEW","")))</f>
        <v> </v>
      </c>
      <c r="G2020" s="24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5" t="str">
        <f>IF(J2020&lt;&gt;1,"",IF(I2020="SBJ","CB","?"))</f>
        <v> </v>
      </c>
      <c r="I2020" s="26" t="str">
        <f>IF(OR(E2020="",E2020="!!!",F2020="NEW"),"",INDEX(B2019:B$2,-1+SUMPRODUCT(MAX(ROW(E2019:E$2)*(E2020=E2019:E$2)))))</f>
        <v> </v>
      </c>
      <c r="J2020" s="26" t="str">
        <f>IF(OR(E2020="",E2020="!!!",F2020="NEW"),"",COUNTBLANK(OFFSET(A$1,,,SUMPRODUCT(MAX(ROW(E$2:E2020)*(E2020=E$2:E2020)))))-COUNTBLANK(OFFSET(A$1,,,SUMPRODUCT(MAX(ROW(E$1:E2019)*(E2=E$1:E2019))))))</f>
        <v> </v>
      </c>
      <c r="K2020" s="26" t="str">
        <f>IF(OR(E2020="",E2020="!!!",F2020="NEW"),"",INDEX(J$1:J2019,SUMPRODUCT(MAX(ROW(E$1:E2019)*(E2020=E$1:E2019)))))</f>
        <v> </v>
      </c>
      <c r="L2020" s="27"/>
    </row>
    <row r="2021" spans="1:12">
      <c r="A2021" s="20" t="s">
        <v>1526</v>
      </c>
      <c r="B2021" s="21" t="s">
        <v>585</v>
      </c>
      <c r="C2021" s="21" t="s">
        <v>628</v>
      </c>
      <c r="D2021" s="21" t="s">
        <v>587</v>
      </c>
      <c r="E2021" s="22">
        <f>IF(D2021="?OLD","!!!","")</f>
        <v/>
      </c>
      <c r="F2021" s="23" t="str">
        <f>IF(OR(E2021="",E2021="!!!"),"",IF(NOT(ISNA(VLOOKUP(E2021,E$1:E2020,1,FALSE()))),"OLD",IF(AND(E2021&lt;&gt;"",E2021&lt;&gt;"!!!"),"NEW","")))</f>
        <v> </v>
      </c>
      <c r="G2021" s="24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5" t="str">
        <f>IF(J2021&lt;&gt;1,"",IF(I2021="SBJ","CB","?"))</f>
        <v> </v>
      </c>
      <c r="I2021" s="26" t="str">
        <f>IF(OR(E2021="",E2021="!!!",F2021="NEW"),"",INDEX(B2020:B$2,-1+SUMPRODUCT(MAX(ROW(E2020:E$2)*(E2021=E2020:E$2)))))</f>
        <v> </v>
      </c>
      <c r="J2021" s="26" t="str">
        <f>IF(OR(E2021="",E2021="!!!",F2021="NEW"),"",COUNTBLANK(OFFSET(A$1,,,SUMPRODUCT(MAX(ROW(E$2:E2021)*(E2021=E$2:E2021)))))-COUNTBLANK(OFFSET(A$1,,,SUMPRODUCT(MAX(ROW(E$1:E2020)*(E2=E$1:E2020))))))</f>
        <v> </v>
      </c>
      <c r="K2021" s="26" t="str">
        <f>IF(OR(E2021="",E2021="!!!",F2021="NEW"),"",INDEX(J$1:J2020,SUMPRODUCT(MAX(ROW(E$1:E2020)*(E2021=E$1:E2020)))))</f>
        <v> </v>
      </c>
      <c r="L2021" s="27"/>
    </row>
    <row r="2022" spans="1:12">
      <c r="A2022" s="20" t="s">
        <v>592</v>
      </c>
      <c r="E2022" s="22">
        <f>IF(D2022="?OLD","!!!","")</f>
        <v/>
      </c>
      <c r="F2022" s="23" t="str">
        <f>IF(OR(E2022="",E2022="!!!"),"",IF(NOT(ISNA(VLOOKUP(E2022,E$1:E2021,1,FALSE()))),"OLD",IF(AND(E2022&lt;&gt;"",E2022&lt;&gt;"!!!"),"NEW","")))</f>
        <v> </v>
      </c>
      <c r="G2022" s="24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5" t="str">
        <f>IF(J2022&lt;&gt;1,"",IF(I2022="SBJ","CB","?"))</f>
        <v> </v>
      </c>
      <c r="I2022" s="26" t="str">
        <f>IF(OR(E2022="",E2022="!!!",F2022="NEW"),"",INDEX(B2021:B$2,-1+SUMPRODUCT(MAX(ROW(E2021:E$2)*(E2022=E2021:E$2)))))</f>
        <v> </v>
      </c>
      <c r="J2022" s="26" t="str">
        <f>IF(OR(E2022="",E2022="!!!",F2022="NEW"),"",COUNTBLANK(OFFSET(A$1,,,SUMPRODUCT(MAX(ROW(E$2:E2022)*(E2022=E$2:E2022)))))-COUNTBLANK(OFFSET(A$1,,,SUMPRODUCT(MAX(ROW(E$1:E2021)*(E2=E$1:E2021))))))</f>
        <v> </v>
      </c>
      <c r="K2022" s="26" t="str">
        <f>IF(OR(E2022="",E2022="!!!",F2022="NEW"),"",INDEX(J$1:J2021,SUMPRODUCT(MAX(ROW(E$1:E2021)*(E2022=E$1:E2021)))))</f>
        <v> </v>
      </c>
      <c r="L2022" s="27"/>
    </row>
    <row r="2023" spans="1:12">
      <c r="A2023" s="20"/>
    </row>
    <row r="2024" spans="1:12">
      <c r="A2024" s="20" t="s">
        <v>1527</v>
      </c>
    </row>
    <row r="2025" spans="1:12">
      <c r="A2025" s="20" t="s">
        <v>706</v>
      </c>
      <c r="E2025" s="22">
        <f>IF(D2025="?OLD","!!!","")</f>
        <v/>
      </c>
      <c r="F2025" s="23" t="str">
        <f>IF(OR(E2025="",E2025="!!!"),"",IF(NOT(ISNA(VLOOKUP(E2025,E$1:E2024,1,FALSE()))),"OLD",IF(AND(E2025&lt;&gt;"",E2025&lt;&gt;"!!!"),"NEW","")))</f>
        <v> </v>
      </c>
      <c r="G2025" s="24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5" t="str">
        <f>IF(J2025&lt;&gt;1,"",IF(I2025="SBJ","CB","?"))</f>
        <v> </v>
      </c>
      <c r="I2025" s="26" t="str">
        <f>IF(OR(E2025="",E2025="!!!",F2025="NEW"),"",INDEX(B2024:B$2,-1+SUMPRODUCT(MAX(ROW(E2024:E$2)*(E2025=E2024:E$2)))))</f>
        <v> </v>
      </c>
      <c r="J2025" s="26" t="str">
        <f>IF(OR(E2025="",E2025="!!!",F2025="NEW"),"",COUNTBLANK(OFFSET(A$1,,,SUMPRODUCT(MAX(ROW(E$2:E2025)*(E2025=E$2:E2025)))))-COUNTBLANK(OFFSET(A$1,,,SUMPRODUCT(MAX(ROW(E$1:E2024)*(E2=E$1:E2024))))))</f>
        <v> </v>
      </c>
      <c r="K2025" s="26" t="str">
        <f>IF(OR(E2025="",E2025="!!!",F2025="NEW"),"",INDEX(J$1:J2024,SUMPRODUCT(MAX(ROW(E$1:E2024)*(E2025=E$1:E2024)))))</f>
        <v> </v>
      </c>
      <c r="L2025" s="27"/>
    </row>
    <row r="2026" spans="1:12">
      <c r="A2026" s="20" t="s">
        <v>1528</v>
      </c>
      <c r="B2026" s="21" t="s">
        <v>651</v>
      </c>
      <c r="C2026" s="21" t="s">
        <v>628</v>
      </c>
      <c r="D2026" s="21" t="s">
        <v>587</v>
      </c>
      <c r="E2026" s="22">
        <f>IF(D2026="?OLD","!!!","")</f>
        <v/>
      </c>
      <c r="F2026" s="23" t="str">
        <f>IF(OR(E2026="",E2026="!!!"),"",IF(NOT(ISNA(VLOOKUP(E2026,E$1:E2025,1,FALSE()))),"OLD",IF(AND(E2026&lt;&gt;"",E2026&lt;&gt;"!!!"),"NEW","")))</f>
        <v> </v>
      </c>
      <c r="G2026" s="24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5" t="str">
        <f>IF(J2026&lt;&gt;1,"",IF(I2026="SBJ","CB","?"))</f>
        <v> </v>
      </c>
      <c r="I2026" s="26" t="str">
        <f>IF(OR(E2026="",E2026="!!!",F2026="NEW"),"",INDEX(B2025:B$2,-1+SUMPRODUCT(MAX(ROW(E2025:E$2)*(E2026=E2025:E$2)))))</f>
        <v> </v>
      </c>
      <c r="J2026" s="26" t="str">
        <f>IF(OR(E2026="",E2026="!!!",F2026="NEW"),"",COUNTBLANK(OFFSET(A$1,,,SUMPRODUCT(MAX(ROW(E$2:E2026)*(E2026=E$2:E2026)))))-COUNTBLANK(OFFSET(A$1,,,SUMPRODUCT(MAX(ROW(E$1:E2025)*(E2=E$1:E2025))))))</f>
        <v> </v>
      </c>
      <c r="K2026" s="26" t="str">
        <f>IF(OR(E2026="",E2026="!!!",F2026="NEW"),"",INDEX(J$1:J2025,SUMPRODUCT(MAX(ROW(E$1:E2025)*(E2026=E$1:E2025)))))</f>
        <v> </v>
      </c>
      <c r="L2026" s="27"/>
    </row>
    <row r="2027" spans="1:12">
      <c r="A2027" s="20" t="s">
        <v>24</v>
      </c>
      <c r="E2027" s="22">
        <f>IF(D2027="?OLD","!!!","")</f>
        <v/>
      </c>
      <c r="F2027" s="23" t="str">
        <f>IF(OR(E2027="",E2027="!!!"),"",IF(NOT(ISNA(VLOOKUP(E2027,E$1:E2026,1,FALSE()))),"OLD",IF(AND(E2027&lt;&gt;"",E2027&lt;&gt;"!!!"),"NEW","")))</f>
        <v> </v>
      </c>
      <c r="G2027" s="24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5" t="str">
        <f>IF(J2027&lt;&gt;1,"",IF(I2027="SBJ","CB","?"))</f>
        <v> </v>
      </c>
      <c r="I2027" s="26" t="str">
        <f>IF(OR(E2027="",E2027="!!!",F2027="NEW"),"",INDEX(B2026:B$2,-1+SUMPRODUCT(MAX(ROW(E2026:E$2)*(E2027=E2026:E$2)))))</f>
        <v> </v>
      </c>
      <c r="J2027" s="26" t="str">
        <f>IF(OR(E2027="",E2027="!!!",F2027="NEW"),"",COUNTBLANK(OFFSET(A$1,,,SUMPRODUCT(MAX(ROW(E$2:E2027)*(E2027=E$2:E2027)))))-COUNTBLANK(OFFSET(A$1,,,SUMPRODUCT(MAX(ROW(E$1:E2026)*(E2=E$1:E2026))))))</f>
        <v> </v>
      </c>
      <c r="K2027" s="26" t="str">
        <f>IF(OR(E2027="",E2027="!!!",F2027="NEW"),"",INDEX(J$1:J2026,SUMPRODUCT(MAX(ROW(E$1:E2026)*(E2027=E$1:E2026)))))</f>
        <v> </v>
      </c>
      <c r="L2027" s="27"/>
    </row>
    <row r="2028" spans="1:12">
      <c r="A2028" s="20" t="s">
        <v>810</v>
      </c>
      <c r="E2028" s="22">
        <f>IF(D2028="?OLD","!!!","")</f>
        <v/>
      </c>
      <c r="F2028" s="23" t="str">
        <f>IF(OR(E2028="",E2028="!!!"),"",IF(NOT(ISNA(VLOOKUP(E2028,E$1:E2027,1,FALSE()))),"OLD",IF(AND(E2028&lt;&gt;"",E2028&lt;&gt;"!!!"),"NEW","")))</f>
        <v> </v>
      </c>
      <c r="G2028" s="24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5" t="str">
        <f>IF(J2028&lt;&gt;1,"",IF(I2028="SBJ","CB","?"))</f>
        <v> </v>
      </c>
      <c r="I2028" s="26" t="str">
        <f>IF(OR(E2028="",E2028="!!!",F2028="NEW"),"",INDEX(B2027:B$2,-1+SUMPRODUCT(MAX(ROW(E2027:E$2)*(E2028=E2027:E$2)))))</f>
        <v> </v>
      </c>
      <c r="J2028" s="26" t="str">
        <f>IF(OR(E2028="",E2028="!!!",F2028="NEW"),"",COUNTBLANK(OFFSET(A$1,,,SUMPRODUCT(MAX(ROW(E$2:E2028)*(E2028=E$2:E2028)))))-COUNTBLANK(OFFSET(A$1,,,SUMPRODUCT(MAX(ROW(E$1:E2027)*(E2=E$1:E2027))))))</f>
        <v> </v>
      </c>
      <c r="K2028" s="26" t="str">
        <f>IF(OR(E2028="",E2028="!!!",F2028="NEW"),"",INDEX(J$1:J2027,SUMPRODUCT(MAX(ROW(E$1:E2027)*(E2028=E$1:E2027)))))</f>
        <v> </v>
      </c>
      <c r="L2028" s="27"/>
    </row>
    <row r="2029" spans="1:12">
      <c r="A2029" s="20" t="s">
        <v>28</v>
      </c>
      <c r="E2029" s="22">
        <f>IF(D2029="?OLD","!!!","")</f>
        <v/>
      </c>
      <c r="F2029" s="23" t="str">
        <f>IF(OR(E2029="",E2029="!!!"),"",IF(NOT(ISNA(VLOOKUP(E2029,E$1:E2028,1,FALSE()))),"OLD",IF(AND(E2029&lt;&gt;"",E2029&lt;&gt;"!!!"),"NEW","")))</f>
        <v> </v>
      </c>
      <c r="G2029" s="24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5" t="str">
        <f>IF(J2029&lt;&gt;1,"",IF(I2029="SBJ","CB","?"))</f>
        <v> </v>
      </c>
      <c r="I2029" s="26" t="str">
        <f>IF(OR(E2029="",E2029="!!!",F2029="NEW"),"",INDEX(B2028:B$2,-1+SUMPRODUCT(MAX(ROW(E2028:E$2)*(E2029=E2028:E$2)))))</f>
        <v> </v>
      </c>
      <c r="J2029" s="26" t="str">
        <f>IF(OR(E2029="",E2029="!!!",F2029="NEW"),"",COUNTBLANK(OFFSET(A$1,,,SUMPRODUCT(MAX(ROW(E$2:E2029)*(E2029=E$2:E2029)))))-COUNTBLANK(OFFSET(A$1,,,SUMPRODUCT(MAX(ROW(E$1:E2028)*(E2=E$1:E2028))))))</f>
        <v> </v>
      </c>
      <c r="K2029" s="26" t="str">
        <f>IF(OR(E2029="",E2029="!!!",F2029="NEW"),"",INDEX(J$1:J2028,SUMPRODUCT(MAX(ROW(E$1:E2028)*(E2029=E$1:E2028)))))</f>
        <v> </v>
      </c>
      <c r="L2029" s="27"/>
    </row>
    <row r="2030" spans="1:12">
      <c r="A2030" s="20" t="s">
        <v>673</v>
      </c>
      <c r="B2030" s="21" t="s">
        <v>651</v>
      </c>
      <c r="C2030" s="21" t="s">
        <v>646</v>
      </c>
      <c r="E2030" s="22">
        <f>IF(D2030="?OLD","!!!","")</f>
        <v/>
      </c>
      <c r="F2030" s="23" t="str">
        <f>IF(OR(E2030="",E2030="!!!"),"",IF(NOT(ISNA(VLOOKUP(E2030,E$1:E2029,1,FALSE()))),"OLD",IF(AND(E2030&lt;&gt;"",E2030&lt;&gt;"!!!"),"NEW","")))</f>
        <v> </v>
      </c>
      <c r="G2030" s="24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5" t="str">
        <f>IF(J2030&lt;&gt;1,"",IF(I2030="SBJ","CB","?"))</f>
        <v> </v>
      </c>
      <c r="I2030" s="26" t="str">
        <f>IF(OR(E2030="",E2030="!!!",F2030="NEW"),"",INDEX(B2029:B$2,-1+SUMPRODUCT(MAX(ROW(E2029:E$2)*(E2030=E2029:E$2)))))</f>
        <v> </v>
      </c>
      <c r="J2030" s="26" t="str">
        <f>IF(OR(E2030="",E2030="!!!",F2030="NEW"),"",COUNTBLANK(OFFSET(A$1,,,SUMPRODUCT(MAX(ROW(E$2:E2030)*(E2030=E$2:E2030)))))-COUNTBLANK(OFFSET(A$1,,,SUMPRODUCT(MAX(ROW(E$1:E2029)*(E2=E$1:E2029))))))</f>
        <v> </v>
      </c>
      <c r="K2030" s="26" t="str">
        <f>IF(OR(E2030="",E2030="!!!",F2030="NEW"),"",INDEX(J$1:J2029,SUMPRODUCT(MAX(ROW(E$1:E2029)*(E2030=E$1:E2029)))))</f>
        <v> </v>
      </c>
      <c r="L2030" s="27"/>
    </row>
    <row r="2031" spans="1:12">
      <c r="A2031" s="20" t="s">
        <v>674</v>
      </c>
      <c r="E2031" s="22">
        <f>IF(D2031="?OLD","!!!","")</f>
        <v/>
      </c>
      <c r="F2031" s="23" t="str">
        <f>IF(OR(E2031="",E2031="!!!"),"",IF(NOT(ISNA(VLOOKUP(E2031,E$1:E2030,1,FALSE()))),"OLD",IF(AND(E2031&lt;&gt;"",E2031&lt;&gt;"!!!"),"NEW","")))</f>
        <v> </v>
      </c>
      <c r="G2031" s="24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5" t="str">
        <f>IF(J2031&lt;&gt;1,"",IF(I2031="SBJ","CB","?"))</f>
        <v> </v>
      </c>
      <c r="I2031" s="26" t="str">
        <f>IF(OR(E2031="",E2031="!!!",F2031="NEW"),"",INDEX(B2030:B$2,-1+SUMPRODUCT(MAX(ROW(E2030:E$2)*(E2031=E2030:E$2)))))</f>
        <v> </v>
      </c>
      <c r="J2031" s="26" t="str">
        <f>IF(OR(E2031="",E2031="!!!",F2031="NEW"),"",COUNTBLANK(OFFSET(A$1,,,SUMPRODUCT(MAX(ROW(E$2:E2031)*(E2031=E$2:E2031)))))-COUNTBLANK(OFFSET(A$1,,,SUMPRODUCT(MAX(ROW(E$1:E2030)*(E2=E$1:E2030))))))</f>
        <v> </v>
      </c>
      <c r="K2031" s="26" t="str">
        <f>IF(OR(E2031="",E2031="!!!",F2031="NEW"),"",INDEX(J$1:J2030,SUMPRODUCT(MAX(ROW(E$1:E2030)*(E2031=E$1:E2030)))))</f>
        <v> </v>
      </c>
      <c r="L2031" s="27"/>
    </row>
    <row r="2032" spans="1:12">
      <c r="A2032" s="20" t="s">
        <v>1529</v>
      </c>
      <c r="E2032" s="22">
        <f>IF(D2032="?OLD","!!!","")</f>
        <v/>
      </c>
      <c r="F2032" s="23" t="str">
        <f>IF(OR(E2032="",E2032="!!!"),"",IF(NOT(ISNA(VLOOKUP(E2032,E$1:E2031,1,FALSE()))),"OLD",IF(AND(E2032&lt;&gt;"",E2032&lt;&gt;"!!!"),"NEW","")))</f>
        <v> </v>
      </c>
      <c r="G2032" s="24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5" t="str">
        <f>IF(J2032&lt;&gt;1,"",IF(I2032="SBJ","CB","?"))</f>
        <v> </v>
      </c>
      <c r="I2032" s="26" t="str">
        <f>IF(OR(E2032="",E2032="!!!",F2032="NEW"),"",INDEX(B2031:B$2,-1+SUMPRODUCT(MAX(ROW(E2031:E$2)*(E2032=E2031:E$2)))))</f>
        <v> </v>
      </c>
      <c r="J2032" s="26" t="str">
        <f>IF(OR(E2032="",E2032="!!!",F2032="NEW"),"",COUNTBLANK(OFFSET(A$1,,,SUMPRODUCT(MAX(ROW(E$2:E2032)*(E2032=E$2:E2032)))))-COUNTBLANK(OFFSET(A$1,,,SUMPRODUCT(MAX(ROW(E$1:E2031)*(E2=E$1:E2031))))))</f>
        <v> </v>
      </c>
      <c r="K2032" s="26" t="str">
        <f>IF(OR(E2032="",E2032="!!!",F2032="NEW"),"",INDEX(J$1:J2031,SUMPRODUCT(MAX(ROW(E$1:E2031)*(E2032=E$1:E2031)))))</f>
        <v> </v>
      </c>
      <c r="L2032" s="27"/>
    </row>
    <row r="2033" spans="1:12">
      <c r="A2033" s="20" t="s">
        <v>735</v>
      </c>
      <c r="B2033" s="21" t="s">
        <v>585</v>
      </c>
      <c r="C2033" s="21" t="s">
        <v>646</v>
      </c>
      <c r="E2033" s="22">
        <f>IF(D2033="?OLD","!!!","")</f>
        <v/>
      </c>
      <c r="F2033" s="23" t="str">
        <f>IF(OR(E2033="",E2033="!!!"),"",IF(NOT(ISNA(VLOOKUP(E2033,E$1:E2032,1,FALSE()))),"OLD",IF(AND(E2033&lt;&gt;"",E2033&lt;&gt;"!!!"),"NEW","")))</f>
        <v> </v>
      </c>
      <c r="G2033" s="24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5" t="str">
        <f>IF(J2033&lt;&gt;1,"",IF(I2033="SBJ","CB","?"))</f>
        <v> </v>
      </c>
      <c r="I2033" s="26" t="str">
        <f>IF(OR(E2033="",E2033="!!!",F2033="NEW"),"",INDEX(B2032:B$2,-1+SUMPRODUCT(MAX(ROW(E2032:E$2)*(E2033=E2032:E$2)))))</f>
        <v> </v>
      </c>
      <c r="J2033" s="26" t="str">
        <f>IF(OR(E2033="",E2033="!!!",F2033="NEW"),"",COUNTBLANK(OFFSET(A$1,,,SUMPRODUCT(MAX(ROW(E$2:E2033)*(E2033=E$2:E2033)))))-COUNTBLANK(OFFSET(A$1,,,SUMPRODUCT(MAX(ROW(E$1:E2032)*(E2=E$1:E2032))))))</f>
        <v> </v>
      </c>
      <c r="K2033" s="26" t="str">
        <f>IF(OR(E2033="",E2033="!!!",F2033="NEW"),"",INDEX(J$1:J2032,SUMPRODUCT(MAX(ROW(E$1:E2032)*(E2033=E$1:E2032)))))</f>
        <v> </v>
      </c>
      <c r="L2033" s="27"/>
    </row>
    <row r="2034" spans="1:12">
      <c r="A2034" s="20" t="s">
        <v>1530</v>
      </c>
      <c r="E2034" s="22">
        <f>IF(D2034="?OLD","!!!","")</f>
        <v/>
      </c>
      <c r="F2034" s="23" t="str">
        <f>IF(OR(E2034="",E2034="!!!"),"",IF(NOT(ISNA(VLOOKUP(E2034,E$1:E2033,1,FALSE()))),"OLD",IF(AND(E2034&lt;&gt;"",E2034&lt;&gt;"!!!"),"NEW","")))</f>
        <v> </v>
      </c>
      <c r="G2034" s="24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5" t="str">
        <f>IF(J2034&lt;&gt;1,"",IF(I2034="SBJ","CB","?"))</f>
        <v> </v>
      </c>
      <c r="I2034" s="26" t="str">
        <f>IF(OR(E2034="",E2034="!!!",F2034="NEW"),"",INDEX(B2033:B$2,-1+SUMPRODUCT(MAX(ROW(E2033:E$2)*(E2034=E2033:E$2)))))</f>
        <v> </v>
      </c>
      <c r="J2034" s="26" t="str">
        <f>IF(OR(E2034="",E2034="!!!",F2034="NEW"),"",COUNTBLANK(OFFSET(A$1,,,SUMPRODUCT(MAX(ROW(E$2:E2034)*(E2034=E$2:E2034)))))-COUNTBLANK(OFFSET(A$1,,,SUMPRODUCT(MAX(ROW(E$1:E2033)*(E2=E$1:E2033))))))</f>
        <v> </v>
      </c>
      <c r="K2034" s="26" t="str">
        <f>IF(OR(E2034="",E2034="!!!",F2034="NEW"),"",INDEX(J$1:J2033,SUMPRODUCT(MAX(ROW(E$1:E2033)*(E2034=E$1:E2033)))))</f>
        <v> </v>
      </c>
      <c r="L2034" s="27"/>
    </row>
    <row r="2035" spans="1:12">
      <c r="A2035" s="20" t="s">
        <v>583</v>
      </c>
      <c r="E2035" s="22">
        <f>IF(D2035="?OLD","!!!","")</f>
        <v/>
      </c>
      <c r="F2035" s="23" t="str">
        <f>IF(OR(E2035="",E2035="!!!"),"",IF(NOT(ISNA(VLOOKUP(E2035,E$1:E2034,1,FALSE()))),"OLD",IF(AND(E2035&lt;&gt;"",E2035&lt;&gt;"!!!"),"NEW","")))</f>
        <v> </v>
      </c>
      <c r="G2035" s="24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5" t="str">
        <f>IF(J2035&lt;&gt;1,"",IF(I2035="SBJ","CB","?"))</f>
        <v> </v>
      </c>
      <c r="I2035" s="26" t="str">
        <f>IF(OR(E2035="",E2035="!!!",F2035="NEW"),"",INDEX(B2034:B$2,-1+SUMPRODUCT(MAX(ROW(E2034:E$2)*(E2035=E2034:E$2)))))</f>
        <v> </v>
      </c>
      <c r="J2035" s="26" t="str">
        <f>IF(OR(E2035="",E2035="!!!",F2035="NEW"),"",COUNTBLANK(OFFSET(A$1,,,SUMPRODUCT(MAX(ROW(E$2:E2035)*(E2035=E$2:E2035)))))-COUNTBLANK(OFFSET(A$1,,,SUMPRODUCT(MAX(ROW(E$1:E2034)*(E2=E$1:E2034))))))</f>
        <v> </v>
      </c>
      <c r="K2035" s="26" t="str">
        <f>IF(OR(E2035="",E2035="!!!",F2035="NEW"),"",INDEX(J$1:J2034,SUMPRODUCT(MAX(ROW(E$1:E2034)*(E2035=E$1:E2034)))))</f>
        <v> </v>
      </c>
      <c r="L2035" s="27"/>
    </row>
    <row r="2036" spans="1:12">
      <c r="A2036" s="20" t="s">
        <v>999</v>
      </c>
      <c r="E2036" s="22">
        <f>IF(D2036="?OLD","!!!","")</f>
        <v/>
      </c>
      <c r="F2036" s="23" t="str">
        <f>IF(OR(E2036="",E2036="!!!"),"",IF(NOT(ISNA(VLOOKUP(E2036,E$1:E2035,1,FALSE()))),"OLD",IF(AND(E2036&lt;&gt;"",E2036&lt;&gt;"!!!"),"NEW","")))</f>
        <v> </v>
      </c>
      <c r="G2036" s="24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5" t="str">
        <f>IF(J2036&lt;&gt;1,"",IF(I2036="SBJ","CB","?"))</f>
        <v> </v>
      </c>
      <c r="I2036" s="26" t="str">
        <f>IF(OR(E2036="",E2036="!!!",F2036="NEW"),"",INDEX(B2035:B$2,-1+SUMPRODUCT(MAX(ROW(E2035:E$2)*(E2036=E2035:E$2)))))</f>
        <v> </v>
      </c>
      <c r="J2036" s="26" t="str">
        <f>IF(OR(E2036="",E2036="!!!",F2036="NEW"),"",COUNTBLANK(OFFSET(A$1,,,SUMPRODUCT(MAX(ROW(E$2:E2036)*(E2036=E$2:E2036)))))-COUNTBLANK(OFFSET(A$1,,,SUMPRODUCT(MAX(ROW(E$1:E2035)*(E2=E$1:E2035))))))</f>
        <v> </v>
      </c>
      <c r="K2036" s="26" t="str">
        <f>IF(OR(E2036="",E2036="!!!",F2036="NEW"),"",INDEX(J$1:J2035,SUMPRODUCT(MAX(ROW(E$1:E2035)*(E2036=E$1:E2035)))))</f>
        <v> </v>
      </c>
      <c r="L2036" s="27"/>
    </row>
    <row r="2037" spans="1:12">
      <c r="A2037" s="20" t="s">
        <v>1531</v>
      </c>
      <c r="E2037" s="22">
        <f>IF(D2037="?OLD","!!!","")</f>
        <v/>
      </c>
      <c r="F2037" s="23" t="str">
        <f>IF(OR(E2037="",E2037="!!!"),"",IF(NOT(ISNA(VLOOKUP(E2037,E$1:E2036,1,FALSE()))),"OLD",IF(AND(E2037&lt;&gt;"",E2037&lt;&gt;"!!!"),"NEW","")))</f>
        <v> </v>
      </c>
      <c r="G2037" s="24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5" t="str">
        <f>IF(J2037&lt;&gt;1,"",IF(I2037="SBJ","CB","?"))</f>
        <v> </v>
      </c>
      <c r="I2037" s="26" t="str">
        <f>IF(OR(E2037="",E2037="!!!",F2037="NEW"),"",INDEX(B2036:B$2,-1+SUMPRODUCT(MAX(ROW(E2036:E$2)*(E2037=E2036:E$2)))))</f>
        <v> </v>
      </c>
      <c r="J2037" s="26" t="str">
        <f>IF(OR(E2037="",E2037="!!!",F2037="NEW"),"",COUNTBLANK(OFFSET(A$1,,,SUMPRODUCT(MAX(ROW(E$2:E2037)*(E2037=E$2:E2037)))))-COUNTBLANK(OFFSET(A$1,,,SUMPRODUCT(MAX(ROW(E$1:E2036)*(E2=E$1:E2036))))))</f>
        <v> </v>
      </c>
      <c r="K2037" s="26" t="str">
        <f>IF(OR(E2037="",E2037="!!!",F2037="NEW"),"",INDEX(J$1:J2036,SUMPRODUCT(MAX(ROW(E$1:E2036)*(E2037=E$1:E2036)))))</f>
        <v> </v>
      </c>
      <c r="L2037" s="27"/>
    </row>
    <row r="2038" spans="1:12">
      <c r="A2038" s="20" t="s">
        <v>687</v>
      </c>
      <c r="B2038" s="21" t="s">
        <v>635</v>
      </c>
      <c r="E2038" s="22">
        <f>IF(D2038="?OLD","!!!","")</f>
        <v/>
      </c>
      <c r="F2038" s="23" t="str">
        <f>IF(OR(E2038="",E2038="!!!"),"",IF(NOT(ISNA(VLOOKUP(E2038,E$1:E2037,1,FALSE()))),"OLD",IF(AND(E2038&lt;&gt;"",E2038&lt;&gt;"!!!"),"NEW","")))</f>
        <v> </v>
      </c>
      <c r="G2038" s="24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5" t="str">
        <f>IF(J2038&lt;&gt;1,"",IF(I2038="SBJ","CB","?"))</f>
        <v> </v>
      </c>
      <c r="I2038" s="26" t="str">
        <f>IF(OR(E2038="",E2038="!!!",F2038="NEW"),"",INDEX(B2037:B$2,-1+SUMPRODUCT(MAX(ROW(E2037:E$2)*(E2038=E2037:E$2)))))</f>
        <v> </v>
      </c>
      <c r="J2038" s="26" t="str">
        <f>IF(OR(E2038="",E2038="!!!",F2038="NEW"),"",COUNTBLANK(OFFSET(A$1,,,SUMPRODUCT(MAX(ROW(E$2:E2038)*(E2038=E$2:E2038)))))-COUNTBLANK(OFFSET(A$1,,,SUMPRODUCT(MAX(ROW(E$1:E2037)*(E2=E$1:E2037))))))</f>
        <v> </v>
      </c>
      <c r="K2038" s="26" t="str">
        <f>IF(OR(E2038="",E2038="!!!",F2038="NEW"),"",INDEX(J$1:J2037,SUMPRODUCT(MAX(ROW(E$1:E2037)*(E2038=E$1:E2037)))))</f>
        <v> </v>
      </c>
      <c r="L2038" s="27"/>
    </row>
    <row r="2039" spans="1:12">
      <c r="A2039" s="20" t="s">
        <v>1532</v>
      </c>
      <c r="E2039" s="22">
        <f>IF(D2039="?OLD","!!!","")</f>
        <v/>
      </c>
      <c r="F2039" s="23" t="str">
        <f>IF(OR(E2039="",E2039="!!!"),"",IF(NOT(ISNA(VLOOKUP(E2039,E$1:E2038,1,FALSE()))),"OLD",IF(AND(E2039&lt;&gt;"",E2039&lt;&gt;"!!!"),"NEW","")))</f>
        <v> </v>
      </c>
      <c r="G2039" s="24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5" t="str">
        <f>IF(J2039&lt;&gt;1,"",IF(I2039="SBJ","CB","?"))</f>
        <v> </v>
      </c>
      <c r="I2039" s="26" t="str">
        <f>IF(OR(E2039="",E2039="!!!",F2039="NEW"),"",INDEX(B2038:B$2,-1+SUMPRODUCT(MAX(ROW(E2038:E$2)*(E2039=E2038:E$2)))))</f>
        <v> </v>
      </c>
      <c r="J2039" s="26" t="str">
        <f>IF(OR(E2039="",E2039="!!!",F2039="NEW"),"",COUNTBLANK(OFFSET(A$1,,,SUMPRODUCT(MAX(ROW(E$2:E2039)*(E2039=E$2:E2039)))))-COUNTBLANK(OFFSET(A$1,,,SUMPRODUCT(MAX(ROW(E$1:E2038)*(E2=E$1:E2038))))))</f>
        <v> </v>
      </c>
      <c r="K2039" s="26" t="str">
        <f>IF(OR(E2039="",E2039="!!!",F2039="NEW"),"",INDEX(J$1:J2038,SUMPRODUCT(MAX(ROW(E$1:E2038)*(E2039=E$1:E2038)))))</f>
        <v> </v>
      </c>
      <c r="L2039" s="27"/>
    </row>
    <row r="2040" spans="1:12">
      <c r="A2040" s="20" t="s">
        <v>583</v>
      </c>
      <c r="E2040" s="22">
        <f>IF(D2040="?OLD","!!!","")</f>
        <v/>
      </c>
      <c r="F2040" s="23" t="str">
        <f>IF(OR(E2040="",E2040="!!!"),"",IF(NOT(ISNA(VLOOKUP(E2040,E$1:E2039,1,FALSE()))),"OLD",IF(AND(E2040&lt;&gt;"",E2040&lt;&gt;"!!!"),"NEW","")))</f>
        <v> </v>
      </c>
      <c r="G2040" s="24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5" t="str">
        <f>IF(J2040&lt;&gt;1,"",IF(I2040="SBJ","CB","?"))</f>
        <v> </v>
      </c>
      <c r="I2040" s="26" t="str">
        <f>IF(OR(E2040="",E2040="!!!",F2040="NEW"),"",INDEX(B2039:B$2,-1+SUMPRODUCT(MAX(ROW(E2039:E$2)*(E2040=E2039:E$2)))))</f>
        <v> </v>
      </c>
      <c r="J2040" s="26" t="str">
        <f>IF(OR(E2040="",E2040="!!!",F2040="NEW"),"",COUNTBLANK(OFFSET(A$1,,,SUMPRODUCT(MAX(ROW(E$2:E2040)*(E2040=E$2:E2040)))))-COUNTBLANK(OFFSET(A$1,,,SUMPRODUCT(MAX(ROW(E$1:E2039)*(E2=E$1:E2039))))))</f>
        <v> </v>
      </c>
      <c r="K2040" s="26" t="str">
        <f>IF(OR(E2040="",E2040="!!!",F2040="NEW"),"",INDEX(J$1:J2039,SUMPRODUCT(MAX(ROW(E$1:E2039)*(E2040=E$1:E2039)))))</f>
        <v> </v>
      </c>
      <c r="L2040" s="27"/>
    </row>
    <row r="2041" spans="1:12">
      <c r="A2041" s="20" t="s">
        <v>209</v>
      </c>
      <c r="E2041" s="22">
        <f>IF(D2041="?OLD","!!!","")</f>
        <v/>
      </c>
      <c r="F2041" s="23" t="str">
        <f>IF(OR(E2041="",E2041="!!!"),"",IF(NOT(ISNA(VLOOKUP(E2041,E$1:E2040,1,FALSE()))),"OLD",IF(AND(E2041&lt;&gt;"",E2041&lt;&gt;"!!!"),"NEW","")))</f>
        <v> </v>
      </c>
      <c r="G2041" s="24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5" t="str">
        <f>IF(J2041&lt;&gt;1,"",IF(I2041="SBJ","CB","?"))</f>
        <v> </v>
      </c>
      <c r="I2041" s="26" t="str">
        <f>IF(OR(E2041="",E2041="!!!",F2041="NEW"),"",INDEX(B2040:B$2,-1+SUMPRODUCT(MAX(ROW(E2040:E$2)*(E2041=E2040:E$2)))))</f>
        <v> </v>
      </c>
      <c r="J2041" s="26" t="str">
        <f>IF(OR(E2041="",E2041="!!!",F2041="NEW"),"",COUNTBLANK(OFFSET(A$1,,,SUMPRODUCT(MAX(ROW(E$2:E2041)*(E2041=E$2:E2041)))))-COUNTBLANK(OFFSET(A$1,,,SUMPRODUCT(MAX(ROW(E$1:E2040)*(E2=E$1:E2040))))))</f>
        <v> </v>
      </c>
      <c r="K2041" s="26" t="str">
        <f>IF(OR(E2041="",E2041="!!!",F2041="NEW"),"",INDEX(J$1:J2040,SUMPRODUCT(MAX(ROW(E$1:E2040)*(E2041=E$1:E2040)))))</f>
        <v> </v>
      </c>
      <c r="L2041" s="27"/>
    </row>
    <row r="2042" spans="1:12">
      <c r="A2042" s="20" t="s">
        <v>1198</v>
      </c>
      <c r="B2042" s="21" t="s">
        <v>645</v>
      </c>
      <c r="C2042" s="21" t="s">
        <v>787</v>
      </c>
      <c r="D2042" s="21" t="s">
        <v>587</v>
      </c>
      <c r="E2042" s="22">
        <f>IF(D2042="?OLD","!!!","")</f>
        <v/>
      </c>
      <c r="F2042" s="23" t="str">
        <f>IF(OR(E2042="",E2042="!!!"),"",IF(NOT(ISNA(VLOOKUP(E2042,E$1:E2041,1,FALSE()))),"OLD",IF(AND(E2042&lt;&gt;"",E2042&lt;&gt;"!!!"),"NEW","")))</f>
        <v> </v>
      </c>
      <c r="G2042" s="24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5" t="str">
        <f>IF(J2042&lt;&gt;1,"",IF(I2042="SBJ","CB","?"))</f>
        <v> </v>
      </c>
      <c r="I2042" s="26" t="str">
        <f>IF(OR(E2042="",E2042="!!!",F2042="NEW"),"",INDEX(B2041:B$2,-1+SUMPRODUCT(MAX(ROW(E2041:E$2)*(E2042=E2041:E$2)))))</f>
        <v> </v>
      </c>
      <c r="J2042" s="26" t="str">
        <f>IF(OR(E2042="",E2042="!!!",F2042="NEW"),"",COUNTBLANK(OFFSET(A$1,,,SUMPRODUCT(MAX(ROW(E$2:E2042)*(E2042=E$2:E2042)))))-COUNTBLANK(OFFSET(A$1,,,SUMPRODUCT(MAX(ROW(E$1:E2041)*(E2=E$1:E2041))))))</f>
        <v> </v>
      </c>
      <c r="K2042" s="26" t="str">
        <f>IF(OR(E2042="",E2042="!!!",F2042="NEW"),"",INDEX(J$1:J2041,SUMPRODUCT(MAX(ROW(E$1:E2041)*(E2042=E$1:E2041)))))</f>
        <v> </v>
      </c>
      <c r="L2042" s="27"/>
    </row>
    <row r="2043" spans="1:12">
      <c r="A2043" s="20" t="s">
        <v>1533</v>
      </c>
      <c r="B2043" s="21" t="s">
        <v>605</v>
      </c>
      <c r="E2043" s="22">
        <f>IF(D2043="?OLD","!!!","")</f>
        <v/>
      </c>
      <c r="F2043" s="23" t="str">
        <f>IF(OR(E2043="",E2043="!!!"),"",IF(NOT(ISNA(VLOOKUP(E2043,E$1:E2042,1,FALSE()))),"OLD",IF(AND(E2043&lt;&gt;"",E2043&lt;&gt;"!!!"),"NEW","")))</f>
        <v> </v>
      </c>
      <c r="G2043" s="24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5" t="str">
        <f>IF(J2043&lt;&gt;1,"",IF(I2043="SBJ","CB","?"))</f>
        <v> </v>
      </c>
      <c r="I2043" s="26" t="str">
        <f>IF(OR(E2043="",E2043="!!!",F2043="NEW"),"",INDEX(B2042:B$2,-1+SUMPRODUCT(MAX(ROW(E2042:E$2)*(E2043=E2042:E$2)))))</f>
        <v> </v>
      </c>
      <c r="J2043" s="26" t="str">
        <f>IF(OR(E2043="",E2043="!!!",F2043="NEW"),"",COUNTBLANK(OFFSET(A$1,,,SUMPRODUCT(MAX(ROW(E$2:E2043)*(E2043=E$2:E2043)))))-COUNTBLANK(OFFSET(A$1,,,SUMPRODUCT(MAX(ROW(E$1:E2042)*(E2=E$1:E2042))))))</f>
        <v> </v>
      </c>
      <c r="K2043" s="26" t="str">
        <f>IF(OR(E2043="",E2043="!!!",F2043="NEW"),"",INDEX(J$1:J2042,SUMPRODUCT(MAX(ROW(E$1:E2042)*(E2043=E$1:E2042)))))</f>
        <v> </v>
      </c>
      <c r="L2043" s="27"/>
    </row>
    <row r="2044" spans="1:12">
      <c r="A2044" s="20" t="s">
        <v>609</v>
      </c>
      <c r="E2044" s="22">
        <f>IF(D2044="?OLD","!!!","")</f>
        <v/>
      </c>
      <c r="F2044" s="23" t="str">
        <f>IF(OR(E2044="",E2044="!!!"),"",IF(NOT(ISNA(VLOOKUP(E2044,E$1:E2043,1,FALSE()))),"OLD",IF(AND(E2044&lt;&gt;"",E2044&lt;&gt;"!!!"),"NEW","")))</f>
        <v> </v>
      </c>
      <c r="G2044" s="24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5" t="str">
        <f>IF(J2044&lt;&gt;1,"",IF(I2044="SBJ","CB","?"))</f>
        <v> </v>
      </c>
      <c r="I2044" s="26" t="str">
        <f>IF(OR(E2044="",E2044="!!!",F2044="NEW"),"",INDEX(B2043:B$2,-1+SUMPRODUCT(MAX(ROW(E2043:E$2)*(E2044=E2043:E$2)))))</f>
        <v> </v>
      </c>
      <c r="J2044" s="26" t="str">
        <f>IF(OR(E2044="",E2044="!!!",F2044="NEW"),"",COUNTBLANK(OFFSET(A$1,,,SUMPRODUCT(MAX(ROW(E$2:E2044)*(E2044=E$2:E2044)))))-COUNTBLANK(OFFSET(A$1,,,SUMPRODUCT(MAX(ROW(E$1:E2043)*(E2=E$1:E2043))))))</f>
        <v> </v>
      </c>
      <c r="K2044" s="26" t="str">
        <f>IF(OR(E2044="",E2044="!!!",F2044="NEW"),"",INDEX(J$1:J2043,SUMPRODUCT(MAX(ROW(E$1:E2043)*(E2044=E$1:E2043)))))</f>
        <v> </v>
      </c>
      <c r="L2044" s="27"/>
    </row>
    <row r="2045" spans="1:12">
      <c r="A2045" s="20" t="s">
        <v>1534</v>
      </c>
      <c r="E2045" s="22">
        <f>IF(D2045="?OLD","!!!","")</f>
        <v/>
      </c>
      <c r="F2045" s="23" t="str">
        <f>IF(OR(E2045="",E2045="!!!"),"",IF(NOT(ISNA(VLOOKUP(E2045,E$1:E2044,1,FALSE()))),"OLD",IF(AND(E2045&lt;&gt;"",E2045&lt;&gt;"!!!"),"NEW","")))</f>
        <v> </v>
      </c>
      <c r="G2045" s="24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5" t="str">
        <f>IF(J2045&lt;&gt;1,"",IF(I2045="SBJ","CB","?"))</f>
        <v> </v>
      </c>
      <c r="I2045" s="26" t="str">
        <f>IF(OR(E2045="",E2045="!!!",F2045="NEW"),"",INDEX(B2044:B$2,-1+SUMPRODUCT(MAX(ROW(E2044:E$2)*(E2045=E2044:E$2)))))</f>
        <v> </v>
      </c>
      <c r="J2045" s="26" t="str">
        <f>IF(OR(E2045="",E2045="!!!",F2045="NEW"),"",COUNTBLANK(OFFSET(A$1,,,SUMPRODUCT(MAX(ROW(E$2:E2045)*(E2045=E$2:E2045)))))-COUNTBLANK(OFFSET(A$1,,,SUMPRODUCT(MAX(ROW(E$1:E2044)*(E2=E$1:E2044))))))</f>
        <v> </v>
      </c>
      <c r="K2045" s="26" t="str">
        <f>IF(OR(E2045="",E2045="!!!",F2045="NEW"),"",INDEX(J$1:J2044,SUMPRODUCT(MAX(ROW(E$1:E2044)*(E2045=E$1:E2044)))))</f>
        <v> </v>
      </c>
      <c r="L2045" s="27"/>
    </row>
    <row r="2046" spans="1:12">
      <c r="A2046" s="20" t="s">
        <v>1271</v>
      </c>
      <c r="B2046" s="21" t="s">
        <v>892</v>
      </c>
      <c r="C2046" s="21" t="s">
        <v>613</v>
      </c>
      <c r="D2046" s="21" t="s">
        <v>587</v>
      </c>
      <c r="E2046" s="22">
        <f>IF(D2046="?OLD","!!!","")</f>
        <v/>
      </c>
      <c r="F2046" s="23" t="str">
        <f>IF(OR(E2046="",E2046="!!!"),"",IF(NOT(ISNA(VLOOKUP(E2046,E$1:E2045,1,FALSE()))),"OLD",IF(AND(E2046&lt;&gt;"",E2046&lt;&gt;"!!!"),"NEW","")))</f>
        <v> </v>
      </c>
      <c r="G2046" s="24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5" t="str">
        <f>IF(J2046&lt;&gt;1,"",IF(I2046="SBJ","CB","?"))</f>
        <v> </v>
      </c>
      <c r="I2046" s="26" t="str">
        <f>IF(OR(E2046="",E2046="!!!",F2046="NEW"),"",INDEX(B2045:B$2,-1+SUMPRODUCT(MAX(ROW(E2045:E$2)*(E2046=E2045:E$2)))))</f>
        <v> </v>
      </c>
      <c r="J2046" s="26" t="str">
        <f>IF(OR(E2046="",E2046="!!!",F2046="NEW"),"",COUNTBLANK(OFFSET(A$1,,,SUMPRODUCT(MAX(ROW(E$2:E2046)*(E2046=E$2:E2046)))))-COUNTBLANK(OFFSET(A$1,,,SUMPRODUCT(MAX(ROW(E$1:E2045)*(E2=E$1:E2045))))))</f>
        <v> </v>
      </c>
      <c r="K2046" s="26" t="str">
        <f>IF(OR(E2046="",E2046="!!!",F2046="NEW"),"",INDEX(J$1:J2045,SUMPRODUCT(MAX(ROW(E$1:E2045)*(E2046=E$1:E2045)))))</f>
        <v> </v>
      </c>
      <c r="L2046" s="27"/>
    </row>
    <row r="2047" spans="1:12">
      <c r="A2047" s="20" t="s">
        <v>1535</v>
      </c>
      <c r="E2047" s="22">
        <f>IF(D2047="?OLD","!!!","")</f>
        <v/>
      </c>
      <c r="F2047" s="23" t="str">
        <f>IF(OR(E2047="",E2047="!!!"),"",IF(NOT(ISNA(VLOOKUP(E2047,E$1:E2046,1,FALSE()))),"OLD",IF(AND(E2047&lt;&gt;"",E2047&lt;&gt;"!!!"),"NEW","")))</f>
        <v> </v>
      </c>
      <c r="G2047" s="24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5" t="str">
        <f>IF(J2047&lt;&gt;1,"",IF(I2047="SBJ","CB","?"))</f>
        <v> </v>
      </c>
      <c r="I2047" s="26" t="str">
        <f>IF(OR(E2047="",E2047="!!!",F2047="NEW"),"",INDEX(B2046:B$2,-1+SUMPRODUCT(MAX(ROW(E2046:E$2)*(E2047=E2046:E$2)))))</f>
        <v> </v>
      </c>
      <c r="J2047" s="26" t="str">
        <f>IF(OR(E2047="",E2047="!!!",F2047="NEW"),"",COUNTBLANK(OFFSET(A$1,,,SUMPRODUCT(MAX(ROW(E$2:E2047)*(E2047=E$2:E2047)))))-COUNTBLANK(OFFSET(A$1,,,SUMPRODUCT(MAX(ROW(E$1:E2046)*(E2=E$1:E2046))))))</f>
        <v> </v>
      </c>
      <c r="K2047" s="26" t="str">
        <f>IF(OR(E2047="",E2047="!!!",F2047="NEW"),"",INDEX(J$1:J2046,SUMPRODUCT(MAX(ROW(E$1:E2046)*(E2047=E$1:E2046)))))</f>
        <v> </v>
      </c>
      <c r="L2047" s="27"/>
    </row>
    <row r="2048" spans="1:12">
      <c r="A2048" s="20" t="s">
        <v>619</v>
      </c>
      <c r="E2048" s="22">
        <f>IF(D2048="?OLD","!!!","")</f>
        <v/>
      </c>
      <c r="F2048" s="23" t="str">
        <f>IF(OR(E2048="",E2048="!!!"),"",IF(NOT(ISNA(VLOOKUP(E2048,E$1:E2047,1,FALSE()))),"OLD",IF(AND(E2048&lt;&gt;"",E2048&lt;&gt;"!!!"),"NEW","")))</f>
        <v> </v>
      </c>
      <c r="G2048" s="24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5" t="str">
        <f>IF(J2048&lt;&gt;1,"",IF(I2048="SBJ","CB","?"))</f>
        <v> </v>
      </c>
      <c r="I2048" s="26" t="str">
        <f>IF(OR(E2048="",E2048="!!!",F2048="NEW"),"",INDEX(B2047:B$2,-1+SUMPRODUCT(MAX(ROW(E2047:E$2)*(E2048=E2047:E$2)))))</f>
        <v> </v>
      </c>
      <c r="J2048" s="26" t="str">
        <f>IF(OR(E2048="",E2048="!!!",F2048="NEW"),"",COUNTBLANK(OFFSET(A$1,,,SUMPRODUCT(MAX(ROW(E$2:E2048)*(E2048=E$2:E2048)))))-COUNTBLANK(OFFSET(A$1,,,SUMPRODUCT(MAX(ROW(E$1:E2047)*(E2=E$1:E2047))))))</f>
        <v> </v>
      </c>
      <c r="K2048" s="26" t="str">
        <f>IF(OR(E2048="",E2048="!!!",F2048="NEW"),"",INDEX(J$1:J2047,SUMPRODUCT(MAX(ROW(E$1:E2047)*(E2048=E$1:E2047)))))</f>
        <v> </v>
      </c>
      <c r="L2048" s="27"/>
    </row>
    <row r="2049" spans="1:12">
      <c r="A2049" s="20" t="s">
        <v>1536</v>
      </c>
      <c r="E2049" s="22">
        <f>IF(D2049="?OLD","!!!","")</f>
        <v/>
      </c>
      <c r="F2049" s="23" t="str">
        <f>IF(OR(E2049="",E2049="!!!"),"",IF(NOT(ISNA(VLOOKUP(E2049,E$1:E2048,1,FALSE()))),"OLD",IF(AND(E2049&lt;&gt;"",E2049&lt;&gt;"!!!"),"NEW","")))</f>
        <v> </v>
      </c>
      <c r="G2049" s="24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5" t="str">
        <f>IF(J2049&lt;&gt;1,"",IF(I2049="SBJ","CB","?"))</f>
        <v> </v>
      </c>
      <c r="I2049" s="26" t="str">
        <f>IF(OR(E2049="",E2049="!!!",F2049="NEW"),"",INDEX(B2048:B$2,-1+SUMPRODUCT(MAX(ROW(E2048:E$2)*(E2049=E2048:E$2)))))</f>
        <v> </v>
      </c>
      <c r="J2049" s="26" t="str">
        <f>IF(OR(E2049="",E2049="!!!",F2049="NEW"),"",COUNTBLANK(OFFSET(A$1,,,SUMPRODUCT(MAX(ROW(E$2:E2049)*(E2049=E$2:E2049)))))-COUNTBLANK(OFFSET(A$1,,,SUMPRODUCT(MAX(ROW(E$1:E2048)*(E2=E$1:E2048))))))</f>
        <v> </v>
      </c>
      <c r="K2049" s="26" t="str">
        <f>IF(OR(E2049="",E2049="!!!",F2049="NEW"),"",INDEX(J$1:J2048,SUMPRODUCT(MAX(ROW(E$1:E2048)*(E2049=E$1:E2048)))))</f>
        <v> </v>
      </c>
      <c r="L2049" s="27"/>
    </row>
    <row r="2050" spans="1:12">
      <c r="A2050" s="20" t="s">
        <v>1537</v>
      </c>
      <c r="E2050" s="22">
        <f>IF(D2050="?OLD","!!!","")</f>
        <v/>
      </c>
      <c r="F2050" s="23" t="str">
        <f>IF(OR(E2050="",E2050="!!!"),"",IF(NOT(ISNA(VLOOKUP(E2050,E$1:E2049,1,FALSE()))),"OLD",IF(AND(E2050&lt;&gt;"",E2050&lt;&gt;"!!!"),"NEW","")))</f>
        <v> </v>
      </c>
      <c r="G2050" s="24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5" t="str">
        <f>IF(J2050&lt;&gt;1,"",IF(I2050="SBJ","CB","?"))</f>
        <v> </v>
      </c>
      <c r="I2050" s="26" t="str">
        <f>IF(OR(E2050="",E2050="!!!",F2050="NEW"),"",INDEX(B2049:B$2,-1+SUMPRODUCT(MAX(ROW(E2049:E$2)*(E2050=E2049:E$2)))))</f>
        <v> </v>
      </c>
      <c r="J2050" s="26" t="str">
        <f>IF(OR(E2050="",E2050="!!!",F2050="NEW"),"",COUNTBLANK(OFFSET(A$1,,,SUMPRODUCT(MAX(ROW(E$2:E2050)*(E2050=E$2:E2050)))))-COUNTBLANK(OFFSET(A$1,,,SUMPRODUCT(MAX(ROW(E$1:E2049)*(E2=E$1:E2049))))))</f>
        <v> </v>
      </c>
      <c r="K2050" s="26" t="str">
        <f>IF(OR(E2050="",E2050="!!!",F2050="NEW"),"",INDEX(J$1:J2049,SUMPRODUCT(MAX(ROW(E$1:E2049)*(E2050=E$1:E2049)))))</f>
        <v> </v>
      </c>
      <c r="L2050" s="27"/>
    </row>
    <row r="2051" spans="1:12">
      <c r="A2051" s="20" t="s">
        <v>1538</v>
      </c>
      <c r="E2051" s="22">
        <f>IF(D2051="?OLD","!!!","")</f>
        <v/>
      </c>
      <c r="F2051" s="23" t="str">
        <f>IF(OR(E2051="",E2051="!!!"),"",IF(NOT(ISNA(VLOOKUP(E2051,E$1:E2050,1,FALSE()))),"OLD",IF(AND(E2051&lt;&gt;"",E2051&lt;&gt;"!!!"),"NEW","")))</f>
        <v> </v>
      </c>
      <c r="G2051" s="24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5" t="str">
        <f>IF(J2051&lt;&gt;1,"",IF(I2051="SBJ","CB","?"))</f>
        <v> </v>
      </c>
      <c r="I2051" s="26" t="str">
        <f>IF(OR(E2051="",E2051="!!!",F2051="NEW"),"",INDEX(B2050:B$2,-1+SUMPRODUCT(MAX(ROW(E2050:E$2)*(E2051=E2050:E$2)))))</f>
        <v> </v>
      </c>
      <c r="J2051" s="26" t="str">
        <f>IF(OR(E2051="",E2051="!!!",F2051="NEW"),"",COUNTBLANK(OFFSET(A$1,,,SUMPRODUCT(MAX(ROW(E$2:E2051)*(E2051=E$2:E2051)))))-COUNTBLANK(OFFSET(A$1,,,SUMPRODUCT(MAX(ROW(E$1:E2050)*(E2=E$1:E2050))))))</f>
        <v> </v>
      </c>
      <c r="K2051" s="26" t="str">
        <f>IF(OR(E2051="",E2051="!!!",F2051="NEW"),"",INDEX(J$1:J2050,SUMPRODUCT(MAX(ROW(E$1:E2050)*(E2051=E$1:E2050)))))</f>
        <v> </v>
      </c>
      <c r="L2051" s="27"/>
    </row>
    <row r="2052" spans="1:12">
      <c r="A2052" s="20" t="s">
        <v>592</v>
      </c>
      <c r="E2052" s="22">
        <f>IF(D2052="?OLD","!!!","")</f>
        <v/>
      </c>
      <c r="F2052" s="23" t="str">
        <f>IF(OR(E2052="",E2052="!!!"),"",IF(NOT(ISNA(VLOOKUP(E2052,E$1:E2051,1,FALSE()))),"OLD",IF(AND(E2052&lt;&gt;"",E2052&lt;&gt;"!!!"),"NEW","")))</f>
        <v> </v>
      </c>
      <c r="G2052" s="24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5" t="str">
        <f>IF(J2052&lt;&gt;1,"",IF(I2052="SBJ","CB","?"))</f>
        <v> </v>
      </c>
      <c r="I2052" s="26" t="str">
        <f>IF(OR(E2052="",E2052="!!!",F2052="NEW"),"",INDEX(B2051:B$2,-1+SUMPRODUCT(MAX(ROW(E2051:E$2)*(E2052=E2051:E$2)))))</f>
        <v> </v>
      </c>
      <c r="J2052" s="26" t="str">
        <f>IF(OR(E2052="",E2052="!!!",F2052="NEW"),"",COUNTBLANK(OFFSET(A$1,,,SUMPRODUCT(MAX(ROW(E$2:E2052)*(E2052=E$2:E2052)))))-COUNTBLANK(OFFSET(A$1,,,SUMPRODUCT(MAX(ROW(E$1:E2051)*(E2=E$1:E2051))))))</f>
        <v> </v>
      </c>
      <c r="K2052" s="26" t="str">
        <f>IF(OR(E2052="",E2052="!!!",F2052="NEW"),"",INDEX(J$1:J2051,SUMPRODUCT(MAX(ROW(E$1:E2051)*(E2052=E$1:E2051)))))</f>
        <v> </v>
      </c>
      <c r="L2052" s="27"/>
    </row>
    <row r="2053" spans="1:12">
      <c r="A2053" s="20"/>
    </row>
    <row r="2054" spans="1:12">
      <c r="A2054" s="20" t="s">
        <v>1539</v>
      </c>
    </row>
    <row r="2055" spans="1:12">
      <c r="A2055" s="20" t="s">
        <v>1540</v>
      </c>
      <c r="E2055" s="22">
        <f>IF(D2055="?OLD","!!!","")</f>
        <v/>
      </c>
      <c r="F2055" s="23" t="str">
        <f>IF(OR(E2055="",E2055="!!!"),"",IF(NOT(ISNA(VLOOKUP(E2055,E$1:E2054,1,FALSE()))),"OLD",IF(AND(E2055&lt;&gt;"",E2055&lt;&gt;"!!!"),"NEW","")))</f>
        <v> </v>
      </c>
      <c r="G2055" s="24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5" t="str">
        <f>IF(J2055&lt;&gt;1,"",IF(I2055="SBJ","CB","?"))</f>
        <v> </v>
      </c>
      <c r="I2055" s="26" t="str">
        <f>IF(OR(E2055="",E2055="!!!",F2055="NEW"),"",INDEX(B2054:B$2,-1+SUMPRODUCT(MAX(ROW(E2054:E$2)*(E2055=E2054:E$2)))))</f>
        <v> </v>
      </c>
      <c r="J2055" s="26" t="str">
        <f>IF(OR(E2055="",E2055="!!!",F2055="NEW"),"",COUNTBLANK(OFFSET(A$1,,,SUMPRODUCT(MAX(ROW(E$2:E2055)*(E2055=E$2:E2055)))))-COUNTBLANK(OFFSET(A$1,,,SUMPRODUCT(MAX(ROW(E$1:E2054)*(E2=E$1:E2054))))))</f>
        <v> </v>
      </c>
      <c r="K2055" s="26" t="str">
        <f>IF(OR(E2055="",E2055="!!!",F2055="NEW"),"",INDEX(J$1:J2054,SUMPRODUCT(MAX(ROW(E$1:E2054)*(E2055=E$1:E2054)))))</f>
        <v> </v>
      </c>
      <c r="L2055" s="27"/>
    </row>
    <row r="2056" spans="1:12">
      <c r="A2056" s="20" t="s">
        <v>1095</v>
      </c>
      <c r="B2056" s="21" t="s">
        <v>578</v>
      </c>
      <c r="C2056" s="21" t="s">
        <v>800</v>
      </c>
      <c r="D2056" s="21" t="s">
        <v>587</v>
      </c>
      <c r="E2056" s="22">
        <f>IF(D2056="?OLD","!!!","")</f>
        <v/>
      </c>
      <c r="F2056" s="23" t="str">
        <f>IF(OR(E2056="",E2056="!!!"),"",IF(NOT(ISNA(VLOOKUP(E2056,E$1:E2055,1,FALSE()))),"OLD",IF(AND(E2056&lt;&gt;"",E2056&lt;&gt;"!!!"),"NEW","")))</f>
        <v> </v>
      </c>
      <c r="G2056" s="24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5" t="str">
        <f>IF(J2056&lt;&gt;1,"",IF(I2056="SBJ","CB","?"))</f>
        <v> </v>
      </c>
      <c r="I2056" s="26" t="str">
        <f>IF(OR(E2056="",E2056="!!!",F2056="NEW"),"",INDEX(B2055:B$2,-1+SUMPRODUCT(MAX(ROW(E2055:E$2)*(E2056=E2055:E$2)))))</f>
        <v> </v>
      </c>
      <c r="J2056" s="26" t="str">
        <f>IF(OR(E2056="",E2056="!!!",F2056="NEW"),"",COUNTBLANK(OFFSET(A$1,,,SUMPRODUCT(MAX(ROW(E$2:E2056)*(E2056=E$2:E2056)))))-COUNTBLANK(OFFSET(A$1,,,SUMPRODUCT(MAX(ROW(E$1:E2055)*(E2=E$1:E2055))))))</f>
        <v> </v>
      </c>
      <c r="K2056" s="26" t="str">
        <f>IF(OR(E2056="",E2056="!!!",F2056="NEW"),"",INDEX(J$1:J2055,SUMPRODUCT(MAX(ROW(E$1:E2055)*(E2056=E$1:E2055)))))</f>
        <v> </v>
      </c>
      <c r="L2056" s="27"/>
    </row>
    <row r="2057" spans="1:12">
      <c r="A2057" s="20" t="s">
        <v>1526</v>
      </c>
      <c r="B2057" s="21" t="s">
        <v>585</v>
      </c>
      <c r="C2057" s="21" t="s">
        <v>628</v>
      </c>
      <c r="D2057" s="21" t="s">
        <v>587</v>
      </c>
      <c r="E2057" s="22">
        <f>IF(D2057="?OLD","!!!","")</f>
        <v/>
      </c>
      <c r="F2057" s="23" t="str">
        <f>IF(OR(E2057="",E2057="!!!"),"",IF(NOT(ISNA(VLOOKUP(E2057,E$1:E2056,1,FALSE()))),"OLD",IF(AND(E2057&lt;&gt;"",E2057&lt;&gt;"!!!"),"NEW","")))</f>
        <v> </v>
      </c>
      <c r="G2057" s="24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5" t="str">
        <f>IF(J2057&lt;&gt;1,"",IF(I2057="SBJ","CB","?"))</f>
        <v> </v>
      </c>
      <c r="I2057" s="26" t="str">
        <f>IF(OR(E2057="",E2057="!!!",F2057="NEW"),"",INDEX(B2056:B$2,-1+SUMPRODUCT(MAX(ROW(E2056:E$2)*(E2057=E2056:E$2)))))</f>
        <v> </v>
      </c>
      <c r="J2057" s="26" t="str">
        <f>IF(OR(E2057="",E2057="!!!",F2057="NEW"),"",COUNTBLANK(OFFSET(A$1,,,SUMPRODUCT(MAX(ROW(E$2:E2057)*(E2057=E$2:E2057)))))-COUNTBLANK(OFFSET(A$1,,,SUMPRODUCT(MAX(ROW(E$1:E2056)*(E2=E$1:E2056))))))</f>
        <v> </v>
      </c>
      <c r="K2057" s="26" t="str">
        <f>IF(OR(E2057="",E2057="!!!",F2057="NEW"),"",INDEX(J$1:J2056,SUMPRODUCT(MAX(ROW(E$1:E2056)*(E2057=E$1:E2056)))))</f>
        <v> </v>
      </c>
      <c r="L2057" s="27"/>
    </row>
    <row r="2058" spans="1:12">
      <c r="A2058" s="20" t="s">
        <v>1541</v>
      </c>
      <c r="E2058" s="22">
        <f>IF(D2058="?OLD","!!!","")</f>
        <v/>
      </c>
      <c r="F2058" s="23" t="str">
        <f>IF(OR(E2058="",E2058="!!!"),"",IF(NOT(ISNA(VLOOKUP(E2058,E$1:E2057,1,FALSE()))),"OLD",IF(AND(E2058&lt;&gt;"",E2058&lt;&gt;"!!!"),"NEW","")))</f>
        <v> </v>
      </c>
      <c r="G2058" s="24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5" t="str">
        <f>IF(J2058&lt;&gt;1,"",IF(I2058="SBJ","CB","?"))</f>
        <v> </v>
      </c>
      <c r="I2058" s="26" t="str">
        <f>IF(OR(E2058="",E2058="!!!",F2058="NEW"),"",INDEX(B2057:B$2,-1+SUMPRODUCT(MAX(ROW(E2057:E$2)*(E2058=E2057:E$2)))))</f>
        <v> </v>
      </c>
      <c r="J2058" s="26" t="str">
        <f>IF(OR(E2058="",E2058="!!!",F2058="NEW"),"",COUNTBLANK(OFFSET(A$1,,,SUMPRODUCT(MAX(ROW(E$2:E2058)*(E2058=E$2:E2058)))))-COUNTBLANK(OFFSET(A$1,,,SUMPRODUCT(MAX(ROW(E$1:E2057)*(E2=E$1:E2057))))))</f>
        <v> </v>
      </c>
      <c r="K2058" s="26" t="str">
        <f>IF(OR(E2058="",E2058="!!!",F2058="NEW"),"",INDEX(J$1:J2057,SUMPRODUCT(MAX(ROW(E$1:E2057)*(E2058=E$1:E2057)))))</f>
        <v> </v>
      </c>
      <c r="L2058" s="27"/>
    </row>
    <row r="2059" spans="1:12">
      <c r="A2059" s="20" t="s">
        <v>1542</v>
      </c>
      <c r="E2059" s="22">
        <f>IF(D2059="?OLD","!!!","")</f>
        <v/>
      </c>
      <c r="F2059" s="23" t="str">
        <f>IF(OR(E2059="",E2059="!!!"),"",IF(NOT(ISNA(VLOOKUP(E2059,E$1:E2058,1,FALSE()))),"OLD",IF(AND(E2059&lt;&gt;"",E2059&lt;&gt;"!!!"),"NEW","")))</f>
        <v> </v>
      </c>
      <c r="G2059" s="24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5" t="str">
        <f>IF(J2059&lt;&gt;1,"",IF(I2059="SBJ","CB","?"))</f>
        <v> </v>
      </c>
      <c r="I2059" s="26" t="str">
        <f>IF(OR(E2059="",E2059="!!!",F2059="NEW"),"",INDEX(B2058:B$2,-1+SUMPRODUCT(MAX(ROW(E2058:E$2)*(E2059=E2058:E$2)))))</f>
        <v> </v>
      </c>
      <c r="J2059" s="26" t="str">
        <f>IF(OR(E2059="",E2059="!!!",F2059="NEW"),"",COUNTBLANK(OFFSET(A$1,,,SUMPRODUCT(MAX(ROW(E$2:E2059)*(E2059=E$2:E2059)))))-COUNTBLANK(OFFSET(A$1,,,SUMPRODUCT(MAX(ROW(E$1:E2058)*(E2=E$1:E2058))))))</f>
        <v> </v>
      </c>
      <c r="K2059" s="26" t="str">
        <f>IF(OR(E2059="",E2059="!!!",F2059="NEW"),"",INDEX(J$1:J2058,SUMPRODUCT(MAX(ROW(E$1:E2058)*(E2059=E$1:E2058)))))</f>
        <v> </v>
      </c>
      <c r="L2059" s="27"/>
    </row>
    <row r="2060" spans="1:12">
      <c r="A2060" s="20" t="s">
        <v>948</v>
      </c>
      <c r="E2060" s="22">
        <f>IF(D2060="?OLD","!!!","")</f>
        <v/>
      </c>
      <c r="F2060" s="23" t="str">
        <f>IF(OR(E2060="",E2060="!!!"),"",IF(NOT(ISNA(VLOOKUP(E2060,E$1:E2059,1,FALSE()))),"OLD",IF(AND(E2060&lt;&gt;"",E2060&lt;&gt;"!!!"),"NEW","")))</f>
        <v> </v>
      </c>
      <c r="G2060" s="24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5" t="str">
        <f>IF(J2060&lt;&gt;1,"",IF(I2060="SBJ","CB","?"))</f>
        <v> </v>
      </c>
      <c r="I2060" s="26" t="str">
        <f>IF(OR(E2060="",E2060="!!!",F2060="NEW"),"",INDEX(B2059:B$2,-1+SUMPRODUCT(MAX(ROW(E2059:E$2)*(E2060=E2059:E$2)))))</f>
        <v> </v>
      </c>
      <c r="J2060" s="26" t="str">
        <f>IF(OR(E2060="",E2060="!!!",F2060="NEW"),"",COUNTBLANK(OFFSET(A$1,,,SUMPRODUCT(MAX(ROW(E$2:E2060)*(E2060=E$2:E2060)))))-COUNTBLANK(OFFSET(A$1,,,SUMPRODUCT(MAX(ROW(E$1:E2059)*(E2=E$1:E2059))))))</f>
        <v> </v>
      </c>
      <c r="K2060" s="26" t="str">
        <f>IF(OR(E2060="",E2060="!!!",F2060="NEW"),"",INDEX(J$1:J2059,SUMPRODUCT(MAX(ROW(E$1:E2059)*(E2060=E$1:E2059)))))</f>
        <v> </v>
      </c>
      <c r="L2060" s="27"/>
    </row>
    <row r="2061" spans="1:12">
      <c r="A2061" s="20" t="s">
        <v>1543</v>
      </c>
      <c r="E2061" s="22">
        <f>IF(D2061="?OLD","!!!","")</f>
        <v/>
      </c>
      <c r="F2061" s="23" t="str">
        <f>IF(OR(E2061="",E2061="!!!"),"",IF(NOT(ISNA(VLOOKUP(E2061,E$1:E2060,1,FALSE()))),"OLD",IF(AND(E2061&lt;&gt;"",E2061&lt;&gt;"!!!"),"NEW","")))</f>
        <v> </v>
      </c>
      <c r="G2061" s="24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5" t="str">
        <f>IF(J2061&lt;&gt;1,"",IF(I2061="SBJ","CB","?"))</f>
        <v> </v>
      </c>
      <c r="I2061" s="26" t="str">
        <f>IF(OR(E2061="",E2061="!!!",F2061="NEW"),"",INDEX(B2060:B$2,-1+SUMPRODUCT(MAX(ROW(E2060:E$2)*(E2061=E2060:E$2)))))</f>
        <v> </v>
      </c>
      <c r="J2061" s="26" t="str">
        <f>IF(OR(E2061="",E2061="!!!",F2061="NEW"),"",COUNTBLANK(OFFSET(A$1,,,SUMPRODUCT(MAX(ROW(E$2:E2061)*(E2061=E$2:E2061)))))-COUNTBLANK(OFFSET(A$1,,,SUMPRODUCT(MAX(ROW(E$1:E2060)*(E2=E$1:E2060))))))</f>
        <v> </v>
      </c>
      <c r="K2061" s="26" t="str">
        <f>IF(OR(E2061="",E2061="!!!",F2061="NEW"),"",INDEX(J$1:J2060,SUMPRODUCT(MAX(ROW(E$1:E2060)*(E2061=E$1:E2060)))))</f>
        <v> </v>
      </c>
      <c r="L2061" s="27"/>
    </row>
    <row r="2062" spans="1:12">
      <c r="A2062" s="20" t="s">
        <v>1544</v>
      </c>
      <c r="E2062" s="22">
        <f>IF(D2062="?OLD","!!!","")</f>
        <v/>
      </c>
      <c r="F2062" s="23" t="str">
        <f>IF(OR(E2062="",E2062="!!!"),"",IF(NOT(ISNA(VLOOKUP(E2062,E$1:E2061,1,FALSE()))),"OLD",IF(AND(E2062&lt;&gt;"",E2062&lt;&gt;"!!!"),"NEW","")))</f>
        <v> </v>
      </c>
      <c r="G2062" s="24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5" t="str">
        <f>IF(J2062&lt;&gt;1,"",IF(I2062="SBJ","CB","?"))</f>
        <v> </v>
      </c>
      <c r="I2062" s="26" t="str">
        <f>IF(OR(E2062="",E2062="!!!",F2062="NEW"),"",INDEX(B2061:B$2,-1+SUMPRODUCT(MAX(ROW(E2061:E$2)*(E2062=E2061:E$2)))))</f>
        <v> </v>
      </c>
      <c r="J2062" s="26" t="str">
        <f>IF(OR(E2062="",E2062="!!!",F2062="NEW"),"",COUNTBLANK(OFFSET(A$1,,,SUMPRODUCT(MAX(ROW(E$2:E2062)*(E2062=E$2:E2062)))))-COUNTBLANK(OFFSET(A$1,,,SUMPRODUCT(MAX(ROW(E$1:E2061)*(E2=E$1:E2061))))))</f>
        <v> </v>
      </c>
      <c r="K2062" s="26" t="str">
        <f>IF(OR(E2062="",E2062="!!!",F2062="NEW"),"",INDEX(J$1:J2061,SUMPRODUCT(MAX(ROW(E$1:E2061)*(E2062=E$1:E2061)))))</f>
        <v> </v>
      </c>
      <c r="L2062" s="27"/>
    </row>
    <row r="2063" spans="1:12">
      <c r="A2063" s="20" t="s">
        <v>1057</v>
      </c>
      <c r="B2063" s="21" t="s">
        <v>601</v>
      </c>
      <c r="C2063" s="21" t="s">
        <v>646</v>
      </c>
      <c r="E2063" s="22">
        <f>IF(D2063="?OLD","!!!","")</f>
        <v/>
      </c>
      <c r="F2063" s="23" t="str">
        <f>IF(OR(E2063="",E2063="!!!"),"",IF(NOT(ISNA(VLOOKUP(E2063,E$1:E2062,1,FALSE()))),"OLD",IF(AND(E2063&lt;&gt;"",E2063&lt;&gt;"!!!"),"NEW","")))</f>
        <v> </v>
      </c>
      <c r="G2063" s="24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5" t="str">
        <f>IF(J2063&lt;&gt;1,"",IF(I2063="SBJ","CB","?"))</f>
        <v> </v>
      </c>
      <c r="I2063" s="26" t="str">
        <f>IF(OR(E2063="",E2063="!!!",F2063="NEW"),"",INDEX(B2062:B$2,-1+SUMPRODUCT(MAX(ROW(E2062:E$2)*(E2063=E2062:E$2)))))</f>
        <v> </v>
      </c>
      <c r="J2063" s="26" t="str">
        <f>IF(OR(E2063="",E2063="!!!",F2063="NEW"),"",COUNTBLANK(OFFSET(A$1,,,SUMPRODUCT(MAX(ROW(E$2:E2063)*(E2063=E$2:E2063)))))-COUNTBLANK(OFFSET(A$1,,,SUMPRODUCT(MAX(ROW(E$1:E2062)*(E2=E$1:E2062))))))</f>
        <v> </v>
      </c>
      <c r="K2063" s="26" t="str">
        <f>IF(OR(E2063="",E2063="!!!",F2063="NEW"),"",INDEX(J$1:J2062,SUMPRODUCT(MAX(ROW(E$1:E2062)*(E2063=E$1:E2062)))))</f>
        <v> </v>
      </c>
      <c r="L2063" s="27"/>
    </row>
    <row r="2064" spans="1:12">
      <c r="A2064" s="20" t="s">
        <v>592</v>
      </c>
      <c r="E2064" s="22">
        <f>IF(D2064="?OLD","!!!","")</f>
        <v/>
      </c>
      <c r="F2064" s="23" t="str">
        <f>IF(OR(E2064="",E2064="!!!"),"",IF(NOT(ISNA(VLOOKUP(E2064,E$1:E2063,1,FALSE()))),"OLD",IF(AND(E2064&lt;&gt;"",E2064&lt;&gt;"!!!"),"NEW","")))</f>
        <v> </v>
      </c>
      <c r="G2064" s="24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5" t="str">
        <f>IF(J2064&lt;&gt;1,"",IF(I2064="SBJ","CB","?"))</f>
        <v> </v>
      </c>
      <c r="I2064" s="26" t="str">
        <f>IF(OR(E2064="",E2064="!!!",F2064="NEW"),"",INDEX(B2063:B$2,-1+SUMPRODUCT(MAX(ROW(E2063:E$2)*(E2064=E2063:E$2)))))</f>
        <v> </v>
      </c>
      <c r="J2064" s="26" t="str">
        <f>IF(OR(E2064="",E2064="!!!",F2064="NEW"),"",COUNTBLANK(OFFSET(A$1,,,SUMPRODUCT(MAX(ROW(E$2:E2064)*(E2064=E$2:E2064)))))-COUNTBLANK(OFFSET(A$1,,,SUMPRODUCT(MAX(ROW(E$1:E2063)*(E2=E$1:E2063))))))</f>
        <v> </v>
      </c>
      <c r="K2064" s="26" t="str">
        <f>IF(OR(E2064="",E2064="!!!",F2064="NEW"),"",INDEX(J$1:J2063,SUMPRODUCT(MAX(ROW(E$1:E2063)*(E2064=E$1:E2063)))))</f>
        <v> </v>
      </c>
      <c r="L2064" s="27"/>
    </row>
    <row r="2065" spans="1:12">
      <c r="A2065" s="20"/>
    </row>
    <row r="2066" spans="1:12">
      <c r="A2066" s="20" t="s">
        <v>1545</v>
      </c>
    </row>
    <row r="2067" spans="1:12">
      <c r="A2067" s="20" t="s">
        <v>676</v>
      </c>
      <c r="B2067" s="21" t="s">
        <v>578</v>
      </c>
      <c r="C2067" s="21" t="s">
        <v>613</v>
      </c>
      <c r="D2067" s="21" t="s">
        <v>587</v>
      </c>
      <c r="E2067" s="22">
        <f>IF(D2067="?OLD","!!!","")</f>
        <v/>
      </c>
      <c r="F2067" s="23" t="str">
        <f>IF(OR(E2067="",E2067="!!!"),"",IF(NOT(ISNA(VLOOKUP(E2067,E$1:E2066,1,FALSE()))),"OLD",IF(AND(E2067&lt;&gt;"",E2067&lt;&gt;"!!!"),"NEW","")))</f>
        <v> </v>
      </c>
      <c r="G2067" s="24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5" t="str">
        <f>IF(J2067&lt;&gt;1,"",IF(I2067="SBJ","CB","?"))</f>
        <v> </v>
      </c>
      <c r="I2067" s="26" t="str">
        <f>IF(OR(E2067="",E2067="!!!",F2067="NEW"),"",INDEX(B2066:B$2,-1+SUMPRODUCT(MAX(ROW(E2066:E$2)*(E2067=E2066:E$2)))))</f>
        <v> </v>
      </c>
      <c r="J2067" s="26" t="str">
        <f>IF(OR(E2067="",E2067="!!!",F2067="NEW"),"",COUNTBLANK(OFFSET(A$1,,,SUMPRODUCT(MAX(ROW(E$2:E2067)*(E2067=E$2:E2067)))))-COUNTBLANK(OFFSET(A$1,,,SUMPRODUCT(MAX(ROW(E$1:E2066)*(E2=E$1:E2066))))))</f>
        <v> </v>
      </c>
      <c r="K2067" s="26" t="str">
        <f>IF(OR(E2067="",E2067="!!!",F2067="NEW"),"",INDEX(J$1:J2066,SUMPRODUCT(MAX(ROW(E$1:E2066)*(E2067=E$1:E2066)))))</f>
        <v> </v>
      </c>
      <c r="L2067" s="27"/>
    </row>
    <row r="2068" spans="1:12">
      <c r="A2068" s="20" t="s">
        <v>1546</v>
      </c>
      <c r="E2068" s="22">
        <f>IF(D2068="?OLD","!!!","")</f>
        <v/>
      </c>
      <c r="F2068" s="23" t="str">
        <f>IF(OR(E2068="",E2068="!!!"),"",IF(NOT(ISNA(VLOOKUP(E2068,E$1:E2067,1,FALSE()))),"OLD",IF(AND(E2068&lt;&gt;"",E2068&lt;&gt;"!!!"),"NEW","")))</f>
        <v> </v>
      </c>
      <c r="G2068" s="24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5" t="str">
        <f>IF(J2068&lt;&gt;1,"",IF(I2068="SBJ","CB","?"))</f>
        <v> </v>
      </c>
      <c r="I2068" s="26" t="str">
        <f>IF(OR(E2068="",E2068="!!!",F2068="NEW"),"",INDEX(B2067:B$2,-1+SUMPRODUCT(MAX(ROW(E2067:E$2)*(E2068=E2067:E$2)))))</f>
        <v> </v>
      </c>
      <c r="J2068" s="26" t="str">
        <f>IF(OR(E2068="",E2068="!!!",F2068="NEW"),"",COUNTBLANK(OFFSET(A$1,,,SUMPRODUCT(MAX(ROW(E$2:E2068)*(E2068=E$2:E2068)))))-COUNTBLANK(OFFSET(A$1,,,SUMPRODUCT(MAX(ROW(E$1:E2067)*(E2=E$1:E2067))))))</f>
        <v> </v>
      </c>
      <c r="K2068" s="26" t="str">
        <f>IF(OR(E2068="",E2068="!!!",F2068="NEW"),"",INDEX(J$1:J2067,SUMPRODUCT(MAX(ROW(E$1:E2067)*(E2068=E$1:E2067)))))</f>
        <v> </v>
      </c>
      <c r="L2068" s="27"/>
    </row>
    <row r="2069" spans="1:12">
      <c r="A2069" s="20" t="s">
        <v>583</v>
      </c>
      <c r="E2069" s="22">
        <f>IF(D2069="?OLD","!!!","")</f>
        <v/>
      </c>
      <c r="F2069" s="23" t="str">
        <f>IF(OR(E2069="",E2069="!!!"),"",IF(NOT(ISNA(VLOOKUP(E2069,E$1:E2068,1,FALSE()))),"OLD",IF(AND(E2069&lt;&gt;"",E2069&lt;&gt;"!!!"),"NEW","")))</f>
        <v> </v>
      </c>
      <c r="G2069" s="24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5" t="str">
        <f>IF(J2069&lt;&gt;1,"",IF(I2069="SBJ","CB","?"))</f>
        <v> </v>
      </c>
      <c r="I2069" s="26" t="str">
        <f>IF(OR(E2069="",E2069="!!!",F2069="NEW"),"",INDEX(B2068:B$2,-1+SUMPRODUCT(MAX(ROW(E2068:E$2)*(E2069=E2068:E$2)))))</f>
        <v> </v>
      </c>
      <c r="J2069" s="26" t="str">
        <f>IF(OR(E2069="",E2069="!!!",F2069="NEW"),"",COUNTBLANK(OFFSET(A$1,,,SUMPRODUCT(MAX(ROW(E$2:E2069)*(E2069=E$2:E2069)))))-COUNTBLANK(OFFSET(A$1,,,SUMPRODUCT(MAX(ROW(E$1:E2068)*(E2=E$1:E2068))))))</f>
        <v> </v>
      </c>
      <c r="K2069" s="26" t="str">
        <f>IF(OR(E2069="",E2069="!!!",F2069="NEW"),"",INDEX(J$1:J2068,SUMPRODUCT(MAX(ROW(E$1:E2068)*(E2069=E$1:E2068)))))</f>
        <v> </v>
      </c>
      <c r="L2069" s="27"/>
    </row>
    <row r="2070" spans="1:12">
      <c r="A2070" s="20" t="s">
        <v>685</v>
      </c>
      <c r="B2070" s="21" t="s">
        <v>590</v>
      </c>
      <c r="C2070" s="21" t="s">
        <v>613</v>
      </c>
      <c r="D2070" s="21" t="s">
        <v>587</v>
      </c>
      <c r="E2070" s="22">
        <f>IF(D2070="?OLD","!!!","")</f>
        <v/>
      </c>
      <c r="F2070" s="23" t="str">
        <f>IF(OR(E2070="",E2070="!!!"),"",IF(NOT(ISNA(VLOOKUP(E2070,E$1:E2069,1,FALSE()))),"OLD",IF(AND(E2070&lt;&gt;"",E2070&lt;&gt;"!!!"),"NEW","")))</f>
        <v> </v>
      </c>
      <c r="G2070" s="24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5" t="str">
        <f>IF(J2070&lt;&gt;1,"",IF(I2070="SBJ","CB","?"))</f>
        <v> </v>
      </c>
      <c r="I2070" s="26" t="str">
        <f>IF(OR(E2070="",E2070="!!!",F2070="NEW"),"",INDEX(B2069:B$2,-1+SUMPRODUCT(MAX(ROW(E2069:E$2)*(E2070=E2069:E$2)))))</f>
        <v> </v>
      </c>
      <c r="J2070" s="26" t="str">
        <f>IF(OR(E2070="",E2070="!!!",F2070="NEW"),"",COUNTBLANK(OFFSET(A$1,,,SUMPRODUCT(MAX(ROW(E$2:E2070)*(E2070=E$2:E2070)))))-COUNTBLANK(OFFSET(A$1,,,SUMPRODUCT(MAX(ROW(E$1:E2069)*(E2=E$1:E2069))))))</f>
        <v> </v>
      </c>
      <c r="K2070" s="26" t="str">
        <f>IF(OR(E2070="",E2070="!!!",F2070="NEW"),"",INDEX(J$1:J2069,SUMPRODUCT(MAX(ROW(E$1:E2069)*(E2070=E$1:E2069)))))</f>
        <v> </v>
      </c>
      <c r="L2070" s="27"/>
    </row>
    <row r="2071" spans="1:12">
      <c r="A2071" s="20" t="s">
        <v>1547</v>
      </c>
      <c r="E2071" s="22">
        <f>IF(D2071="?OLD","!!!","")</f>
        <v/>
      </c>
      <c r="F2071" s="23" t="str">
        <f>IF(OR(E2071="",E2071="!!!"),"",IF(NOT(ISNA(VLOOKUP(E2071,E$1:E2070,1,FALSE()))),"OLD",IF(AND(E2071&lt;&gt;"",E2071&lt;&gt;"!!!"),"NEW","")))</f>
        <v> </v>
      </c>
      <c r="G2071" s="24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5" t="str">
        <f>IF(J2071&lt;&gt;1,"",IF(I2071="SBJ","CB","?"))</f>
        <v> </v>
      </c>
      <c r="I2071" s="26" t="str">
        <f>IF(OR(E2071="",E2071="!!!",F2071="NEW"),"",INDEX(B2070:B$2,-1+SUMPRODUCT(MAX(ROW(E2070:E$2)*(E2071=E2070:E$2)))))</f>
        <v> </v>
      </c>
      <c r="J2071" s="26" t="str">
        <f>IF(OR(E2071="",E2071="!!!",F2071="NEW"),"",COUNTBLANK(OFFSET(A$1,,,SUMPRODUCT(MAX(ROW(E$2:E2071)*(E2071=E$2:E2071)))))-COUNTBLANK(OFFSET(A$1,,,SUMPRODUCT(MAX(ROW(E$1:E2070)*(E2=E$1:E2070))))))</f>
        <v> </v>
      </c>
      <c r="K2071" s="26" t="str">
        <f>IF(OR(E2071="",E2071="!!!",F2071="NEW"),"",INDEX(J$1:J2070,SUMPRODUCT(MAX(ROW(E$1:E2070)*(E2071=E$1:E2070)))))</f>
        <v> </v>
      </c>
      <c r="L2071" s="27"/>
    </row>
    <row r="2072" spans="1:12">
      <c r="A2072" s="20" t="s">
        <v>583</v>
      </c>
      <c r="E2072" s="22">
        <f>IF(D2072="?OLD","!!!","")</f>
        <v/>
      </c>
      <c r="F2072" s="23" t="str">
        <f>IF(OR(E2072="",E2072="!!!"),"",IF(NOT(ISNA(VLOOKUP(E2072,E$1:E2071,1,FALSE()))),"OLD",IF(AND(E2072&lt;&gt;"",E2072&lt;&gt;"!!!"),"NEW","")))</f>
        <v> </v>
      </c>
      <c r="G2072" s="24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5" t="str">
        <f>IF(J2072&lt;&gt;1,"",IF(I2072="SBJ","CB","?"))</f>
        <v> </v>
      </c>
      <c r="I2072" s="26" t="str">
        <f>IF(OR(E2072="",E2072="!!!",F2072="NEW"),"",INDEX(B2071:B$2,-1+SUMPRODUCT(MAX(ROW(E2071:E$2)*(E2072=E2071:E$2)))))</f>
        <v> </v>
      </c>
      <c r="J2072" s="26" t="str">
        <f>IF(OR(E2072="",E2072="!!!",F2072="NEW"),"",COUNTBLANK(OFFSET(A$1,,,SUMPRODUCT(MAX(ROW(E$2:E2072)*(E2072=E$2:E2072)))))-COUNTBLANK(OFFSET(A$1,,,SUMPRODUCT(MAX(ROW(E$1:E2071)*(E2=E$1:E2071))))))</f>
        <v> </v>
      </c>
      <c r="K2072" s="26" t="str">
        <f>IF(OR(E2072="",E2072="!!!",F2072="NEW"),"",INDEX(J$1:J2071,SUMPRODUCT(MAX(ROW(E$1:E2071)*(E2072=E$1:E2071)))))</f>
        <v> </v>
      </c>
      <c r="L2072" s="27"/>
    </row>
    <row r="2073" spans="1:12">
      <c r="A2073" s="20" t="s">
        <v>630</v>
      </c>
      <c r="E2073" s="22">
        <f>IF(D2073="?OLD","!!!","")</f>
        <v/>
      </c>
      <c r="F2073" s="23" t="str">
        <f>IF(OR(E2073="",E2073="!!!"),"",IF(NOT(ISNA(VLOOKUP(E2073,E$1:E2072,1,FALSE()))),"OLD",IF(AND(E2073&lt;&gt;"",E2073&lt;&gt;"!!!"),"NEW","")))</f>
        <v> </v>
      </c>
      <c r="G2073" s="24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5" t="str">
        <f>IF(J2073&lt;&gt;1,"",IF(I2073="SBJ","CB","?"))</f>
        <v> </v>
      </c>
      <c r="I2073" s="26" t="str">
        <f>IF(OR(E2073="",E2073="!!!",F2073="NEW"),"",INDEX(B2072:B$2,-1+SUMPRODUCT(MAX(ROW(E2072:E$2)*(E2073=E2072:E$2)))))</f>
        <v> </v>
      </c>
      <c r="J2073" s="26" t="str">
        <f>IF(OR(E2073="",E2073="!!!",F2073="NEW"),"",COUNTBLANK(OFFSET(A$1,,,SUMPRODUCT(MAX(ROW(E$2:E2073)*(E2073=E$2:E2073)))))-COUNTBLANK(OFFSET(A$1,,,SUMPRODUCT(MAX(ROW(E$1:E2072)*(E2=E$1:E2072))))))</f>
        <v> </v>
      </c>
      <c r="K2073" s="26" t="str">
        <f>IF(OR(E2073="",E2073="!!!",F2073="NEW"),"",INDEX(J$1:J2072,SUMPRODUCT(MAX(ROW(E$1:E2072)*(E2073=E$1:E2072)))))</f>
        <v> </v>
      </c>
      <c r="L2073" s="27"/>
    </row>
    <row r="2074" spans="1:12">
      <c r="A2074" s="20" t="s">
        <v>685</v>
      </c>
      <c r="B2074" s="21" t="s">
        <v>590</v>
      </c>
      <c r="C2074" s="21" t="s">
        <v>613</v>
      </c>
      <c r="D2074" s="21" t="s">
        <v>587</v>
      </c>
      <c r="E2074" s="22">
        <f>IF(D2074="?OLD","!!!","")</f>
        <v/>
      </c>
      <c r="F2074" s="23" t="str">
        <f>IF(OR(E2074="",E2074="!!!"),"",IF(NOT(ISNA(VLOOKUP(E2074,E$1:E2073,1,FALSE()))),"OLD",IF(AND(E2074&lt;&gt;"",E2074&lt;&gt;"!!!"),"NEW","")))</f>
        <v> </v>
      </c>
      <c r="G2074" s="24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5" t="str">
        <f>IF(J2074&lt;&gt;1,"",IF(I2074="SBJ","CB","?"))</f>
        <v> </v>
      </c>
      <c r="I2074" s="26" t="str">
        <f>IF(OR(E2074="",E2074="!!!",F2074="NEW"),"",INDEX(B2073:B$2,-1+SUMPRODUCT(MAX(ROW(E2073:E$2)*(E2074=E2073:E$2)))))</f>
        <v> </v>
      </c>
      <c r="J2074" s="26" t="str">
        <f>IF(OR(E2074="",E2074="!!!",F2074="NEW"),"",COUNTBLANK(OFFSET(A$1,,,SUMPRODUCT(MAX(ROW(E$2:E2074)*(E2074=E$2:E2074)))))-COUNTBLANK(OFFSET(A$1,,,SUMPRODUCT(MAX(ROW(E$1:E2073)*(E2=E$1:E2073))))))</f>
        <v> </v>
      </c>
      <c r="K2074" s="26" t="str">
        <f>IF(OR(E2074="",E2074="!!!",F2074="NEW"),"",INDEX(J$1:J2073,SUMPRODUCT(MAX(ROW(E$1:E2073)*(E2074=E$1:E2073)))))</f>
        <v> </v>
      </c>
      <c r="L2074" s="27"/>
    </row>
    <row r="2075" spans="1:12">
      <c r="A2075" s="20" t="s">
        <v>1548</v>
      </c>
      <c r="E2075" s="22">
        <f>IF(D2075="?OLD","!!!","")</f>
        <v/>
      </c>
      <c r="F2075" s="23" t="str">
        <f>IF(OR(E2075="",E2075="!!!"),"",IF(NOT(ISNA(VLOOKUP(E2075,E$1:E2074,1,FALSE()))),"OLD",IF(AND(E2075&lt;&gt;"",E2075&lt;&gt;"!!!"),"NEW","")))</f>
        <v> </v>
      </c>
      <c r="G2075" s="24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5" t="str">
        <f>IF(J2075&lt;&gt;1,"",IF(I2075="SBJ","CB","?"))</f>
        <v> </v>
      </c>
      <c r="I2075" s="26" t="str">
        <f>IF(OR(E2075="",E2075="!!!",F2075="NEW"),"",INDEX(B2074:B$2,-1+SUMPRODUCT(MAX(ROW(E2074:E$2)*(E2075=E2074:E$2)))))</f>
        <v> </v>
      </c>
      <c r="J2075" s="26" t="str">
        <f>IF(OR(E2075="",E2075="!!!",F2075="NEW"),"",COUNTBLANK(OFFSET(A$1,,,SUMPRODUCT(MAX(ROW(E$2:E2075)*(E2075=E$2:E2075)))))-COUNTBLANK(OFFSET(A$1,,,SUMPRODUCT(MAX(ROW(E$1:E2074)*(E2=E$1:E2074))))))</f>
        <v> </v>
      </c>
      <c r="K2075" s="26" t="str">
        <f>IF(OR(E2075="",E2075="!!!",F2075="NEW"),"",INDEX(J$1:J2074,SUMPRODUCT(MAX(ROW(E$1:E2074)*(E2075=E$1:E2074)))))</f>
        <v> </v>
      </c>
      <c r="L2075" s="27"/>
    </row>
    <row r="2076" spans="1:12">
      <c r="A2076" s="20" t="s">
        <v>664</v>
      </c>
      <c r="B2076" s="21" t="s">
        <v>635</v>
      </c>
      <c r="E2076" s="22">
        <f>IF(D2076="?OLD","!!!","")</f>
        <v/>
      </c>
      <c r="F2076" s="23" t="str">
        <f>IF(OR(E2076="",E2076="!!!"),"",IF(NOT(ISNA(VLOOKUP(E2076,E$1:E2075,1,FALSE()))),"OLD",IF(AND(E2076&lt;&gt;"",E2076&lt;&gt;"!!!"),"NEW","")))</f>
        <v> </v>
      </c>
      <c r="G2076" s="24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5" t="str">
        <f>IF(J2076&lt;&gt;1,"",IF(I2076="SBJ","CB","?"))</f>
        <v> </v>
      </c>
      <c r="I2076" s="26" t="str">
        <f>IF(OR(E2076="",E2076="!!!",F2076="NEW"),"",INDEX(B2075:B$2,-1+SUMPRODUCT(MAX(ROW(E2075:E$2)*(E2076=E2075:E$2)))))</f>
        <v> </v>
      </c>
      <c r="J2076" s="26" t="str">
        <f>IF(OR(E2076="",E2076="!!!",F2076="NEW"),"",COUNTBLANK(OFFSET(A$1,,,SUMPRODUCT(MAX(ROW(E$2:E2076)*(E2076=E$2:E2076)))))-COUNTBLANK(OFFSET(A$1,,,SUMPRODUCT(MAX(ROW(E$1:E2075)*(E2=E$1:E2075))))))</f>
        <v> </v>
      </c>
      <c r="K2076" s="26" t="str">
        <f>IF(OR(E2076="",E2076="!!!",F2076="NEW"),"",INDEX(J$1:J2075,SUMPRODUCT(MAX(ROW(E$1:E2075)*(E2076=E$1:E2075)))))</f>
        <v> </v>
      </c>
      <c r="L2076" s="27"/>
    </row>
    <row r="2077" spans="1:12">
      <c r="A2077" s="20" t="s">
        <v>592</v>
      </c>
      <c r="E2077" s="22">
        <f>IF(D2077="?OLD","!!!","")</f>
        <v/>
      </c>
      <c r="F2077" s="23" t="str">
        <f>IF(OR(E2077="",E2077="!!!"),"",IF(NOT(ISNA(VLOOKUP(E2077,E$1:E2076,1,FALSE()))),"OLD",IF(AND(E2077&lt;&gt;"",E2077&lt;&gt;"!!!"),"NEW","")))</f>
        <v> </v>
      </c>
      <c r="G2077" s="24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5" t="str">
        <f>IF(J2077&lt;&gt;1,"",IF(I2077="SBJ","CB","?"))</f>
        <v> </v>
      </c>
      <c r="I2077" s="26" t="str">
        <f>IF(OR(E2077="",E2077="!!!",F2077="NEW"),"",INDEX(B2076:B$2,-1+SUMPRODUCT(MAX(ROW(E2076:E$2)*(E2077=E2076:E$2)))))</f>
        <v> </v>
      </c>
      <c r="J2077" s="26" t="str">
        <f>IF(OR(E2077="",E2077="!!!",F2077="NEW"),"",COUNTBLANK(OFFSET(A$1,,,SUMPRODUCT(MAX(ROW(E$2:E2077)*(E2077=E$2:E2077)))))-COUNTBLANK(OFFSET(A$1,,,SUMPRODUCT(MAX(ROW(E$1:E2076)*(E2=E$1:E2076))))))</f>
        <v> </v>
      </c>
      <c r="K2077" s="26" t="str">
        <f>IF(OR(E2077="",E2077="!!!",F2077="NEW"),"",INDEX(J$1:J2076,SUMPRODUCT(MAX(ROW(E$1:E2076)*(E2077=E$1:E2076)))))</f>
        <v> </v>
      </c>
      <c r="L2077" s="27"/>
    </row>
    <row r="2078" spans="1:12">
      <c r="A2078" s="20"/>
    </row>
    <row r="2079" spans="1:12">
      <c r="A2079" s="20" t="s">
        <v>1549</v>
      </c>
    </row>
    <row r="2080" spans="1:12">
      <c r="A2080" s="20" t="s">
        <v>676</v>
      </c>
      <c r="B2080" s="21" t="s">
        <v>578</v>
      </c>
      <c r="C2080" s="21" t="s">
        <v>613</v>
      </c>
      <c r="D2080" s="21" t="s">
        <v>587</v>
      </c>
      <c r="E2080" s="22">
        <f>IF(D2080="?OLD","!!!","")</f>
        <v/>
      </c>
      <c r="F2080" s="23" t="str">
        <f>IF(OR(E2080="",E2080="!!!"),"",IF(NOT(ISNA(VLOOKUP(E2080,E$1:E2079,1,FALSE()))),"OLD",IF(AND(E2080&lt;&gt;"",E2080&lt;&gt;"!!!"),"NEW","")))</f>
        <v> </v>
      </c>
      <c r="G2080" s="24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5" t="str">
        <f>IF(J2080&lt;&gt;1,"",IF(I2080="SBJ","CB","?"))</f>
        <v> </v>
      </c>
      <c r="I2080" s="26" t="str">
        <f>IF(OR(E2080="",E2080="!!!",F2080="NEW"),"",INDEX(B2079:B$2,-1+SUMPRODUCT(MAX(ROW(E2079:E$2)*(E2080=E2079:E$2)))))</f>
        <v> </v>
      </c>
      <c r="J2080" s="26" t="str">
        <f>IF(OR(E2080="",E2080="!!!",F2080="NEW"),"",COUNTBLANK(OFFSET(A$1,,,SUMPRODUCT(MAX(ROW(E$2:E2080)*(E2080=E$2:E2080)))))-COUNTBLANK(OFFSET(A$1,,,SUMPRODUCT(MAX(ROW(E$1:E2079)*(E2=E$1:E2079))))))</f>
        <v> </v>
      </c>
      <c r="K2080" s="26" t="str">
        <f>IF(OR(E2080="",E2080="!!!",F2080="NEW"),"",INDEX(J$1:J2079,SUMPRODUCT(MAX(ROW(E$1:E2079)*(E2080=E$1:E2079)))))</f>
        <v> </v>
      </c>
      <c r="L2080" s="27"/>
    </row>
    <row r="2081" spans="1:12">
      <c r="A2081" s="20" t="s">
        <v>1164</v>
      </c>
      <c r="E2081" s="22">
        <f>IF(D2081="?OLD","!!!","")</f>
        <v/>
      </c>
      <c r="F2081" s="23" t="str">
        <f>IF(OR(E2081="",E2081="!!!"),"",IF(NOT(ISNA(VLOOKUP(E2081,E$1:E2080,1,FALSE()))),"OLD",IF(AND(E2081&lt;&gt;"",E2081&lt;&gt;"!!!"),"NEW","")))</f>
        <v> </v>
      </c>
      <c r="G2081" s="24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5" t="str">
        <f>IF(J2081&lt;&gt;1,"",IF(I2081="SBJ","CB","?"))</f>
        <v> </v>
      </c>
      <c r="I2081" s="26" t="str">
        <f>IF(OR(E2081="",E2081="!!!",F2081="NEW"),"",INDEX(B2080:B$2,-1+SUMPRODUCT(MAX(ROW(E2080:E$2)*(E2081=E2080:E$2)))))</f>
        <v> </v>
      </c>
      <c r="J2081" s="26" t="str">
        <f>IF(OR(E2081="",E2081="!!!",F2081="NEW"),"",COUNTBLANK(OFFSET(A$1,,,SUMPRODUCT(MAX(ROW(E$2:E2081)*(E2081=E$2:E2081)))))-COUNTBLANK(OFFSET(A$1,,,SUMPRODUCT(MAX(ROW(E$1:E2080)*(E2=E$1:E2080))))))</f>
        <v> </v>
      </c>
      <c r="K2081" s="26" t="str">
        <f>IF(OR(E2081="",E2081="!!!",F2081="NEW"),"",INDEX(J$1:J2080,SUMPRODUCT(MAX(ROW(E$1:E2080)*(E2081=E$1:E2080)))))</f>
        <v> </v>
      </c>
      <c r="L2081" s="27"/>
    </row>
    <row r="2082" spans="1:12">
      <c r="A2082" s="20" t="s">
        <v>1550</v>
      </c>
      <c r="E2082" s="22">
        <f>IF(D2082="?OLD","!!!","")</f>
        <v/>
      </c>
      <c r="F2082" s="23" t="str">
        <f>IF(OR(E2082="",E2082="!!!"),"",IF(NOT(ISNA(VLOOKUP(E2082,E$1:E2081,1,FALSE()))),"OLD",IF(AND(E2082&lt;&gt;"",E2082&lt;&gt;"!!!"),"NEW","")))</f>
        <v> </v>
      </c>
      <c r="G2082" s="24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5" t="str">
        <f>IF(J2082&lt;&gt;1,"",IF(I2082="SBJ","CB","?"))</f>
        <v> </v>
      </c>
      <c r="I2082" s="26" t="str">
        <f>IF(OR(E2082="",E2082="!!!",F2082="NEW"),"",INDEX(B2081:B$2,-1+SUMPRODUCT(MAX(ROW(E2081:E$2)*(E2082=E2081:E$2)))))</f>
        <v> </v>
      </c>
      <c r="J2082" s="26" t="str">
        <f>IF(OR(E2082="",E2082="!!!",F2082="NEW"),"",COUNTBLANK(OFFSET(A$1,,,SUMPRODUCT(MAX(ROW(E$2:E2082)*(E2082=E$2:E2082)))))-COUNTBLANK(OFFSET(A$1,,,SUMPRODUCT(MAX(ROW(E$1:E2081)*(E2=E$1:E2081))))))</f>
        <v> </v>
      </c>
      <c r="K2082" s="26" t="str">
        <f>IF(OR(E2082="",E2082="!!!",F2082="NEW"),"",INDEX(J$1:J2081,SUMPRODUCT(MAX(ROW(E$1:E2081)*(E2082=E$1:E2081)))))</f>
        <v> </v>
      </c>
      <c r="L2082" s="27"/>
    </row>
    <row r="2083" spans="1:12">
      <c r="A2083" s="20" t="s">
        <v>1551</v>
      </c>
      <c r="E2083" s="22">
        <f>IF(D2083="?OLD","!!!","")</f>
        <v/>
      </c>
      <c r="F2083" s="23" t="str">
        <f>IF(OR(E2083="",E2083="!!!"),"",IF(NOT(ISNA(VLOOKUP(E2083,E$1:E2082,1,FALSE()))),"OLD",IF(AND(E2083&lt;&gt;"",E2083&lt;&gt;"!!!"),"NEW","")))</f>
        <v> </v>
      </c>
      <c r="G2083" s="24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5" t="str">
        <f>IF(J2083&lt;&gt;1,"",IF(I2083="SBJ","CB","?"))</f>
        <v> </v>
      </c>
      <c r="I2083" s="26" t="str">
        <f>IF(OR(E2083="",E2083="!!!",F2083="NEW"),"",INDEX(B2082:B$2,-1+SUMPRODUCT(MAX(ROW(E2082:E$2)*(E2083=E2082:E$2)))))</f>
        <v> </v>
      </c>
      <c r="J2083" s="26" t="str">
        <f>IF(OR(E2083="",E2083="!!!",F2083="NEW"),"",COUNTBLANK(OFFSET(A$1,,,SUMPRODUCT(MAX(ROW(E$2:E2083)*(E2083=E$2:E2083)))))-COUNTBLANK(OFFSET(A$1,,,SUMPRODUCT(MAX(ROW(E$1:E2082)*(E2=E$1:E2082))))))</f>
        <v> </v>
      </c>
      <c r="K2083" s="26" t="str">
        <f>IF(OR(E2083="",E2083="!!!",F2083="NEW"),"",INDEX(J$1:J2082,SUMPRODUCT(MAX(ROW(E$1:E2082)*(E2083=E$1:E2082)))))</f>
        <v> </v>
      </c>
      <c r="L2083" s="27"/>
    </row>
    <row r="2084" spans="1:12">
      <c r="A2084" s="20" t="s">
        <v>1552</v>
      </c>
      <c r="E2084" s="22">
        <f>IF(D2084="?OLD","!!!","")</f>
        <v/>
      </c>
      <c r="F2084" s="23" t="str">
        <f>IF(OR(E2084="",E2084="!!!"),"",IF(NOT(ISNA(VLOOKUP(E2084,E$1:E2083,1,FALSE()))),"OLD",IF(AND(E2084&lt;&gt;"",E2084&lt;&gt;"!!!"),"NEW","")))</f>
        <v> </v>
      </c>
      <c r="G2084" s="24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5" t="str">
        <f>IF(J2084&lt;&gt;1,"",IF(I2084="SBJ","CB","?"))</f>
        <v> </v>
      </c>
      <c r="I2084" s="26" t="str">
        <f>IF(OR(E2084="",E2084="!!!",F2084="NEW"),"",INDEX(B2083:B$2,-1+SUMPRODUCT(MAX(ROW(E2083:E$2)*(E2084=E2083:E$2)))))</f>
        <v> </v>
      </c>
      <c r="J2084" s="26" t="str">
        <f>IF(OR(E2084="",E2084="!!!",F2084="NEW"),"",COUNTBLANK(OFFSET(A$1,,,SUMPRODUCT(MAX(ROW(E$2:E2084)*(E2084=E$2:E2084)))))-COUNTBLANK(OFFSET(A$1,,,SUMPRODUCT(MAX(ROW(E$1:E2083)*(E2=E$1:E2083))))))</f>
        <v> </v>
      </c>
      <c r="K2084" s="26" t="str">
        <f>IF(OR(E2084="",E2084="!!!",F2084="NEW"),"",INDEX(J$1:J2083,SUMPRODUCT(MAX(ROW(E$1:E2083)*(E2084=E$1:E2083)))))</f>
        <v> </v>
      </c>
      <c r="L2084" s="27"/>
    </row>
    <row r="2085" spans="1:12">
      <c r="A2085" s="20" t="s">
        <v>1553</v>
      </c>
      <c r="B2085" s="21" t="s">
        <v>615</v>
      </c>
      <c r="E2085" s="22">
        <f>IF(D2085="?OLD","!!!","")</f>
        <v/>
      </c>
      <c r="F2085" s="23" t="str">
        <f>IF(OR(E2085="",E2085="!!!"),"",IF(NOT(ISNA(VLOOKUP(E2085,E$1:E2084,1,FALSE()))),"OLD",IF(AND(E2085&lt;&gt;"",E2085&lt;&gt;"!!!"),"NEW","")))</f>
        <v> </v>
      </c>
      <c r="G2085" s="24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5" t="str">
        <f>IF(J2085&lt;&gt;1,"",IF(I2085="SBJ","CB","?"))</f>
        <v> </v>
      </c>
      <c r="I2085" s="26" t="str">
        <f>IF(OR(E2085="",E2085="!!!",F2085="NEW"),"",INDEX(B2084:B$2,-1+SUMPRODUCT(MAX(ROW(E2084:E$2)*(E2085=E2084:E$2)))))</f>
        <v> </v>
      </c>
      <c r="J2085" s="26" t="str">
        <f>IF(OR(E2085="",E2085="!!!",F2085="NEW"),"",COUNTBLANK(OFFSET(A$1,,,SUMPRODUCT(MAX(ROW(E$2:E2085)*(E2085=E$2:E2085)))))-COUNTBLANK(OFFSET(A$1,,,SUMPRODUCT(MAX(ROW(E$1:E2084)*(E2=E$1:E2084))))))</f>
        <v> </v>
      </c>
      <c r="K2085" s="26" t="str">
        <f>IF(OR(E2085="",E2085="!!!",F2085="NEW"),"",INDEX(J$1:J2084,SUMPRODUCT(MAX(ROW(E$1:E2084)*(E2085=E$1:E2084)))))</f>
        <v> </v>
      </c>
      <c r="L2085" s="27"/>
    </row>
    <row r="2086" spans="1:12">
      <c r="A2086" s="20" t="s">
        <v>398</v>
      </c>
      <c r="E2086" s="22">
        <f>IF(D2086="?OLD","!!!","")</f>
        <v/>
      </c>
      <c r="F2086" s="23" t="str">
        <f>IF(OR(E2086="",E2086="!!!"),"",IF(NOT(ISNA(VLOOKUP(E2086,E$1:E2085,1,FALSE()))),"OLD",IF(AND(E2086&lt;&gt;"",E2086&lt;&gt;"!!!"),"NEW","")))</f>
        <v> </v>
      </c>
      <c r="G2086" s="24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5" t="str">
        <f>IF(J2086&lt;&gt;1,"",IF(I2086="SBJ","CB","?"))</f>
        <v> </v>
      </c>
      <c r="I2086" s="26" t="str">
        <f>IF(OR(E2086="",E2086="!!!",F2086="NEW"),"",INDEX(B2085:B$2,-1+SUMPRODUCT(MAX(ROW(E2085:E$2)*(E2086=E2085:E$2)))))</f>
        <v> </v>
      </c>
      <c r="J2086" s="26" t="str">
        <f>IF(OR(E2086="",E2086="!!!",F2086="NEW"),"",COUNTBLANK(OFFSET(A$1,,,SUMPRODUCT(MAX(ROW(E$2:E2086)*(E2086=E$2:E2086)))))-COUNTBLANK(OFFSET(A$1,,,SUMPRODUCT(MAX(ROW(E$1:E2085)*(E2=E$1:E2085))))))</f>
        <v> </v>
      </c>
      <c r="K2086" s="26" t="str">
        <f>IF(OR(E2086="",E2086="!!!",F2086="NEW"),"",INDEX(J$1:J2085,SUMPRODUCT(MAX(ROW(E$1:E2085)*(E2086=E$1:E2085)))))</f>
        <v> </v>
      </c>
      <c r="L2086" s="27"/>
    </row>
    <row r="2087" spans="1:12">
      <c r="A2087" s="20" t="s">
        <v>1511</v>
      </c>
      <c r="E2087" s="22">
        <f>IF(D2087="?OLD","!!!","")</f>
        <v/>
      </c>
      <c r="F2087" s="23" t="str">
        <f>IF(OR(E2087="",E2087="!!!"),"",IF(NOT(ISNA(VLOOKUP(E2087,E$1:E2086,1,FALSE()))),"OLD",IF(AND(E2087&lt;&gt;"",E2087&lt;&gt;"!!!"),"NEW","")))</f>
        <v> </v>
      </c>
      <c r="G2087" s="24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5" t="str">
        <f>IF(J2087&lt;&gt;1,"",IF(I2087="SBJ","CB","?"))</f>
        <v> </v>
      </c>
      <c r="I2087" s="26" t="str">
        <f>IF(OR(E2087="",E2087="!!!",F2087="NEW"),"",INDEX(B2086:B$2,-1+SUMPRODUCT(MAX(ROW(E2086:E$2)*(E2087=E2086:E$2)))))</f>
        <v> </v>
      </c>
      <c r="J2087" s="26" t="str">
        <f>IF(OR(E2087="",E2087="!!!",F2087="NEW"),"",COUNTBLANK(OFFSET(A$1,,,SUMPRODUCT(MAX(ROW(E$2:E2087)*(E2087=E$2:E2087)))))-COUNTBLANK(OFFSET(A$1,,,SUMPRODUCT(MAX(ROW(E$1:E2086)*(E2=E$1:E2086))))))</f>
        <v> </v>
      </c>
      <c r="K2087" s="26" t="str">
        <f>IF(OR(E2087="",E2087="!!!",F2087="NEW"),"",INDEX(J$1:J2086,SUMPRODUCT(MAX(ROW(E$1:E2086)*(E2087=E$1:E2086)))))</f>
        <v> </v>
      </c>
      <c r="L2087" s="27"/>
    </row>
    <row r="2088" spans="1:12">
      <c r="A2088" s="20" t="s">
        <v>583</v>
      </c>
      <c r="E2088" s="22">
        <f>IF(D2088="?OLD","!!!","")</f>
        <v/>
      </c>
      <c r="F2088" s="23" t="str">
        <f>IF(OR(E2088="",E2088="!!!"),"",IF(NOT(ISNA(VLOOKUP(E2088,E$1:E2087,1,FALSE()))),"OLD",IF(AND(E2088&lt;&gt;"",E2088&lt;&gt;"!!!"),"NEW","")))</f>
        <v> </v>
      </c>
      <c r="G2088" s="24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5" t="str">
        <f>IF(J2088&lt;&gt;1,"",IF(I2088="SBJ","CB","?"))</f>
        <v> </v>
      </c>
      <c r="I2088" s="26" t="str">
        <f>IF(OR(E2088="",E2088="!!!",F2088="NEW"),"",INDEX(B2087:B$2,-1+SUMPRODUCT(MAX(ROW(E2087:E$2)*(E2088=E2087:E$2)))))</f>
        <v> </v>
      </c>
      <c r="J2088" s="26" t="str">
        <f>IF(OR(E2088="",E2088="!!!",F2088="NEW"),"",COUNTBLANK(OFFSET(A$1,,,SUMPRODUCT(MAX(ROW(E$2:E2088)*(E2088=E$2:E2088)))))-COUNTBLANK(OFFSET(A$1,,,SUMPRODUCT(MAX(ROW(E$1:E2087)*(E2=E$1:E2087))))))</f>
        <v> </v>
      </c>
      <c r="K2088" s="26" t="str">
        <f>IF(OR(E2088="",E2088="!!!",F2088="NEW"),"",INDEX(J$1:J2087,SUMPRODUCT(MAX(ROW(E$1:E2087)*(E2088=E$1:E2087)))))</f>
        <v> </v>
      </c>
      <c r="L2088" s="27"/>
    </row>
    <row r="2089" spans="1:12">
      <c r="A2089" s="20" t="s">
        <v>1554</v>
      </c>
      <c r="B2089" s="21" t="s">
        <v>578</v>
      </c>
      <c r="E2089" s="22">
        <f>IF(D2089="?OLD","!!!","")</f>
        <v/>
      </c>
      <c r="F2089" s="23" t="str">
        <f>IF(OR(E2089="",E2089="!!!"),"",IF(NOT(ISNA(VLOOKUP(E2089,E$1:E2088,1,FALSE()))),"OLD",IF(AND(E2089&lt;&gt;"",E2089&lt;&gt;"!!!"),"NEW","")))</f>
        <v> </v>
      </c>
      <c r="G2089" s="24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5" t="str">
        <f>IF(J2089&lt;&gt;1,"",IF(I2089="SBJ","CB","?"))</f>
        <v> </v>
      </c>
      <c r="I2089" s="26" t="str">
        <f>IF(OR(E2089="",E2089="!!!",F2089="NEW"),"",INDEX(B2088:B$2,-1+SUMPRODUCT(MAX(ROW(E2088:E$2)*(E2089=E2088:E$2)))))</f>
        <v> </v>
      </c>
      <c r="J2089" s="26" t="str">
        <f>IF(OR(E2089="",E2089="!!!",F2089="NEW"),"",COUNTBLANK(OFFSET(A$1,,,SUMPRODUCT(MAX(ROW(E$2:E2089)*(E2089=E$2:E2089)))))-COUNTBLANK(OFFSET(A$1,,,SUMPRODUCT(MAX(ROW(E$1:E2088)*(E2=E$1:E2088))))))</f>
        <v> </v>
      </c>
      <c r="K2089" s="26" t="str">
        <f>IF(OR(E2089="",E2089="!!!",F2089="NEW"),"",INDEX(J$1:J2088,SUMPRODUCT(MAX(ROW(E$1:E2088)*(E2089=E$1:E2088)))))</f>
        <v> </v>
      </c>
      <c r="L2089" s="27"/>
    </row>
    <row r="2090" spans="1:12">
      <c r="A2090" s="20" t="s">
        <v>619</v>
      </c>
      <c r="E2090" s="22">
        <f>IF(D2090="?OLD","!!!","")</f>
        <v/>
      </c>
      <c r="F2090" s="23" t="str">
        <f>IF(OR(E2090="",E2090="!!!"),"",IF(NOT(ISNA(VLOOKUP(E2090,E$1:E2089,1,FALSE()))),"OLD",IF(AND(E2090&lt;&gt;"",E2090&lt;&gt;"!!!"),"NEW","")))</f>
        <v> </v>
      </c>
      <c r="G2090" s="24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5" t="str">
        <f>IF(J2090&lt;&gt;1,"",IF(I2090="SBJ","CB","?"))</f>
        <v> </v>
      </c>
      <c r="I2090" s="26" t="str">
        <f>IF(OR(E2090="",E2090="!!!",F2090="NEW"),"",INDEX(B2089:B$2,-1+SUMPRODUCT(MAX(ROW(E2089:E$2)*(E2090=E2089:E$2)))))</f>
        <v> </v>
      </c>
      <c r="J2090" s="26" t="str">
        <f>IF(OR(E2090="",E2090="!!!",F2090="NEW"),"",COUNTBLANK(OFFSET(A$1,,,SUMPRODUCT(MAX(ROW(E$2:E2090)*(E2090=E$2:E2090)))))-COUNTBLANK(OFFSET(A$1,,,SUMPRODUCT(MAX(ROW(E$1:E2089)*(E2=E$1:E2089))))))</f>
        <v> </v>
      </c>
      <c r="K2090" s="26" t="str">
        <f>IF(OR(E2090="",E2090="!!!",F2090="NEW"),"",INDEX(J$1:J2089,SUMPRODUCT(MAX(ROW(E$1:E2089)*(E2090=E$1:E2089)))))</f>
        <v> </v>
      </c>
      <c r="L2090" s="27"/>
    </row>
    <row r="2091" spans="1:12">
      <c r="A2091" s="20" t="s">
        <v>945</v>
      </c>
      <c r="E2091" s="22">
        <f>IF(D2091="?OLD","!!!","")</f>
        <v/>
      </c>
      <c r="F2091" s="23" t="str">
        <f>IF(OR(E2091="",E2091="!!!"),"",IF(NOT(ISNA(VLOOKUP(E2091,E$1:E2090,1,FALSE()))),"OLD",IF(AND(E2091&lt;&gt;"",E2091&lt;&gt;"!!!"),"NEW","")))</f>
        <v> </v>
      </c>
      <c r="G2091" s="24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5" t="str">
        <f>IF(J2091&lt;&gt;1,"",IF(I2091="SBJ","CB","?"))</f>
        <v> </v>
      </c>
      <c r="I2091" s="26" t="str">
        <f>IF(OR(E2091="",E2091="!!!",F2091="NEW"),"",INDEX(B2090:B$2,-1+SUMPRODUCT(MAX(ROW(E2090:E$2)*(E2091=E2090:E$2)))))</f>
        <v> </v>
      </c>
      <c r="J2091" s="26" t="str">
        <f>IF(OR(E2091="",E2091="!!!",F2091="NEW"),"",COUNTBLANK(OFFSET(A$1,,,SUMPRODUCT(MAX(ROW(E$2:E2091)*(E2091=E$2:E2091)))))-COUNTBLANK(OFFSET(A$1,,,SUMPRODUCT(MAX(ROW(E$1:E2090)*(E2=E$1:E2090))))))</f>
        <v> </v>
      </c>
      <c r="K2091" s="26" t="str">
        <f>IF(OR(E2091="",E2091="!!!",F2091="NEW"),"",INDEX(J$1:J2090,SUMPRODUCT(MAX(ROW(E$1:E2090)*(E2091=E$1:E2090)))))</f>
        <v> </v>
      </c>
      <c r="L2091" s="27"/>
    </row>
    <row r="2092" spans="1:12">
      <c r="A2092" s="20" t="s">
        <v>583</v>
      </c>
      <c r="E2092" s="22">
        <f>IF(D2092="?OLD","!!!","")</f>
        <v/>
      </c>
      <c r="F2092" s="23" t="str">
        <f>IF(OR(E2092="",E2092="!!!"),"",IF(NOT(ISNA(VLOOKUP(E2092,E$1:E2091,1,FALSE()))),"OLD",IF(AND(E2092&lt;&gt;"",E2092&lt;&gt;"!!!"),"NEW","")))</f>
        <v> </v>
      </c>
      <c r="G2092" s="24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5" t="str">
        <f>IF(J2092&lt;&gt;1,"",IF(I2092="SBJ","CB","?"))</f>
        <v> </v>
      </c>
      <c r="I2092" s="26" t="str">
        <f>IF(OR(E2092="",E2092="!!!",F2092="NEW"),"",INDEX(B2091:B$2,-1+SUMPRODUCT(MAX(ROW(E2091:E$2)*(E2092=E2091:E$2)))))</f>
        <v> </v>
      </c>
      <c r="J2092" s="26" t="str">
        <f>IF(OR(E2092="",E2092="!!!",F2092="NEW"),"",COUNTBLANK(OFFSET(A$1,,,SUMPRODUCT(MAX(ROW(E$2:E2092)*(E2092=E$2:E2092)))))-COUNTBLANK(OFFSET(A$1,,,SUMPRODUCT(MAX(ROW(E$1:E2091)*(E2=E$1:E2091))))))</f>
        <v> </v>
      </c>
      <c r="K2092" s="26" t="str">
        <f>IF(OR(E2092="",E2092="!!!",F2092="NEW"),"",INDEX(J$1:J2091,SUMPRODUCT(MAX(ROW(E$1:E2091)*(E2092=E$1:E2091)))))</f>
        <v> </v>
      </c>
      <c r="L2092" s="27"/>
    </row>
    <row r="2093" spans="1:12">
      <c r="A2093" s="20" t="s">
        <v>1136</v>
      </c>
      <c r="E2093" s="22">
        <f>IF(D2093="?OLD","!!!","")</f>
        <v/>
      </c>
      <c r="F2093" s="23" t="str">
        <f>IF(OR(E2093="",E2093="!!!"),"",IF(NOT(ISNA(VLOOKUP(E2093,E$1:E2092,1,FALSE()))),"OLD",IF(AND(E2093&lt;&gt;"",E2093&lt;&gt;"!!!"),"NEW","")))</f>
        <v> </v>
      </c>
      <c r="G2093" s="24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5" t="str">
        <f>IF(J2093&lt;&gt;1,"",IF(I2093="SBJ","CB","?"))</f>
        <v> </v>
      </c>
      <c r="I2093" s="26" t="str">
        <f>IF(OR(E2093="",E2093="!!!",F2093="NEW"),"",INDEX(B2092:B$2,-1+SUMPRODUCT(MAX(ROW(E2092:E$2)*(E2093=E2092:E$2)))))</f>
        <v> </v>
      </c>
      <c r="J2093" s="26" t="str">
        <f>IF(OR(E2093="",E2093="!!!",F2093="NEW"),"",COUNTBLANK(OFFSET(A$1,,,SUMPRODUCT(MAX(ROW(E$2:E2093)*(E2093=E$2:E2093)))))-COUNTBLANK(OFFSET(A$1,,,SUMPRODUCT(MAX(ROW(E$1:E2092)*(E2=E$1:E2092))))))</f>
        <v> </v>
      </c>
      <c r="K2093" s="26" t="str">
        <f>IF(OR(E2093="",E2093="!!!",F2093="NEW"),"",INDEX(J$1:J2092,SUMPRODUCT(MAX(ROW(E$1:E2092)*(E2093=E$1:E2092)))))</f>
        <v> </v>
      </c>
      <c r="L2093" s="27"/>
    </row>
    <row r="2094" spans="1:12">
      <c r="A2094" s="20" t="s">
        <v>583</v>
      </c>
      <c r="E2094" s="22">
        <f>IF(D2094="?OLD","!!!","")</f>
        <v/>
      </c>
      <c r="F2094" s="23" t="str">
        <f>IF(OR(E2094="",E2094="!!!"),"",IF(NOT(ISNA(VLOOKUP(E2094,E$1:E2093,1,FALSE()))),"OLD",IF(AND(E2094&lt;&gt;"",E2094&lt;&gt;"!!!"),"NEW","")))</f>
        <v> </v>
      </c>
      <c r="G2094" s="24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5" t="str">
        <f>IF(J2094&lt;&gt;1,"",IF(I2094="SBJ","CB","?"))</f>
        <v> </v>
      </c>
      <c r="I2094" s="26" t="str">
        <f>IF(OR(E2094="",E2094="!!!",F2094="NEW"),"",INDEX(B2093:B$2,-1+SUMPRODUCT(MAX(ROW(E2093:E$2)*(E2094=E2093:E$2)))))</f>
        <v> </v>
      </c>
      <c r="J2094" s="26" t="str">
        <f>IF(OR(E2094="",E2094="!!!",F2094="NEW"),"",COUNTBLANK(OFFSET(A$1,,,SUMPRODUCT(MAX(ROW(E$2:E2094)*(E2094=E$2:E2094)))))-COUNTBLANK(OFFSET(A$1,,,SUMPRODUCT(MAX(ROW(E$1:E2093)*(E2=E$1:E2093))))))</f>
        <v> </v>
      </c>
      <c r="K2094" s="26" t="str">
        <f>IF(OR(E2094="",E2094="!!!",F2094="NEW"),"",INDEX(J$1:J2093,SUMPRODUCT(MAX(ROW(E$1:E2093)*(E2094=E$1:E2093)))))</f>
        <v> </v>
      </c>
      <c r="L2094" s="27"/>
    </row>
    <row r="2095" spans="1:12">
      <c r="A2095" s="20" t="s">
        <v>1555</v>
      </c>
      <c r="E2095" s="22">
        <f>IF(D2095="?OLD","!!!","")</f>
        <v/>
      </c>
      <c r="F2095" s="23" t="str">
        <f>IF(OR(E2095="",E2095="!!!"),"",IF(NOT(ISNA(VLOOKUP(E2095,E$1:E2094,1,FALSE()))),"OLD",IF(AND(E2095&lt;&gt;"",E2095&lt;&gt;"!!!"),"NEW","")))</f>
        <v> </v>
      </c>
      <c r="G2095" s="24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5" t="str">
        <f>IF(J2095&lt;&gt;1,"",IF(I2095="SBJ","CB","?"))</f>
        <v> </v>
      </c>
      <c r="I2095" s="26" t="str">
        <f>IF(OR(E2095="",E2095="!!!",F2095="NEW"),"",INDEX(B2094:B$2,-1+SUMPRODUCT(MAX(ROW(E2094:E$2)*(E2095=E2094:E$2)))))</f>
        <v> </v>
      </c>
      <c r="J2095" s="26" t="str">
        <f>IF(OR(E2095="",E2095="!!!",F2095="NEW"),"",COUNTBLANK(OFFSET(A$1,,,SUMPRODUCT(MAX(ROW(E$2:E2095)*(E2095=E$2:E2095)))))-COUNTBLANK(OFFSET(A$1,,,SUMPRODUCT(MAX(ROW(E$1:E2094)*(E2=E$1:E2094))))))</f>
        <v> </v>
      </c>
      <c r="K2095" s="26" t="str">
        <f>IF(OR(E2095="",E2095="!!!",F2095="NEW"),"",INDEX(J$1:J2094,SUMPRODUCT(MAX(ROW(E$1:E2094)*(E2095=E$1:E2094)))))</f>
        <v> </v>
      </c>
      <c r="L2095" s="27"/>
    </row>
    <row r="2096" spans="1:12">
      <c r="A2096" s="20" t="s">
        <v>583</v>
      </c>
      <c r="E2096" s="22">
        <f>IF(D2096="?OLD","!!!","")</f>
        <v/>
      </c>
      <c r="F2096" s="23" t="str">
        <f>IF(OR(E2096="",E2096="!!!"),"",IF(NOT(ISNA(VLOOKUP(E2096,E$1:E2095,1,FALSE()))),"OLD",IF(AND(E2096&lt;&gt;"",E2096&lt;&gt;"!!!"),"NEW","")))</f>
        <v> </v>
      </c>
      <c r="G2096" s="24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5" t="str">
        <f>IF(J2096&lt;&gt;1,"",IF(I2096="SBJ","CB","?"))</f>
        <v> </v>
      </c>
      <c r="I2096" s="26" t="str">
        <f>IF(OR(E2096="",E2096="!!!",F2096="NEW"),"",INDEX(B2095:B$2,-1+SUMPRODUCT(MAX(ROW(E2095:E$2)*(E2096=E2095:E$2)))))</f>
        <v> </v>
      </c>
      <c r="J2096" s="26" t="str">
        <f>IF(OR(E2096="",E2096="!!!",F2096="NEW"),"",COUNTBLANK(OFFSET(A$1,,,SUMPRODUCT(MAX(ROW(E$2:E2096)*(E2096=E$2:E2096)))))-COUNTBLANK(OFFSET(A$1,,,SUMPRODUCT(MAX(ROW(E$1:E2095)*(E2=E$1:E2095))))))</f>
        <v> </v>
      </c>
      <c r="K2096" s="26" t="str">
        <f>IF(OR(E2096="",E2096="!!!",F2096="NEW"),"",INDEX(J$1:J2095,SUMPRODUCT(MAX(ROW(E$1:E2095)*(E2096=E$1:E2095)))))</f>
        <v> </v>
      </c>
      <c r="L2096" s="27"/>
    </row>
    <row r="2097" spans="1:12">
      <c r="A2097" s="20" t="s">
        <v>630</v>
      </c>
      <c r="E2097" s="22">
        <f>IF(D2097="?OLD","!!!","")</f>
        <v/>
      </c>
      <c r="F2097" s="23" t="str">
        <f>IF(OR(E2097="",E2097="!!!"),"",IF(NOT(ISNA(VLOOKUP(E2097,E$1:E2096,1,FALSE()))),"OLD",IF(AND(E2097&lt;&gt;"",E2097&lt;&gt;"!!!"),"NEW","")))</f>
        <v> </v>
      </c>
      <c r="G2097" s="24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5" t="str">
        <f>IF(J2097&lt;&gt;1,"",IF(I2097="SBJ","CB","?"))</f>
        <v> </v>
      </c>
      <c r="I2097" s="26" t="str">
        <f>IF(OR(E2097="",E2097="!!!",F2097="NEW"),"",INDEX(B2096:B$2,-1+SUMPRODUCT(MAX(ROW(E2096:E$2)*(E2097=E2096:E$2)))))</f>
        <v> </v>
      </c>
      <c r="J2097" s="26" t="str">
        <f>IF(OR(E2097="",E2097="!!!",F2097="NEW"),"",COUNTBLANK(OFFSET(A$1,,,SUMPRODUCT(MAX(ROW(E$2:E2097)*(E2097=E$2:E2097)))))-COUNTBLANK(OFFSET(A$1,,,SUMPRODUCT(MAX(ROW(E$1:E2096)*(E2=E$1:E2096))))))</f>
        <v> </v>
      </c>
      <c r="K2097" s="26" t="str">
        <f>IF(OR(E2097="",E2097="!!!",F2097="NEW"),"",INDEX(J$1:J2096,SUMPRODUCT(MAX(ROW(E$1:E2096)*(E2097=E$1:E2096)))))</f>
        <v> </v>
      </c>
      <c r="L2097" s="27"/>
    </row>
    <row r="2098" spans="1:12">
      <c r="A2098" s="20" t="s">
        <v>725</v>
      </c>
      <c r="E2098" s="22">
        <f>IF(D2098="?OLD","!!!","")</f>
        <v/>
      </c>
      <c r="F2098" s="23" t="str">
        <f>IF(OR(E2098="",E2098="!!!"),"",IF(NOT(ISNA(VLOOKUP(E2098,E$1:E2097,1,FALSE()))),"OLD",IF(AND(E2098&lt;&gt;"",E2098&lt;&gt;"!!!"),"NEW","")))</f>
        <v> </v>
      </c>
      <c r="G2098" s="24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5" t="str">
        <f>IF(J2098&lt;&gt;1,"",IF(I2098="SBJ","CB","?"))</f>
        <v> </v>
      </c>
      <c r="I2098" s="26" t="str">
        <f>IF(OR(E2098="",E2098="!!!",F2098="NEW"),"",INDEX(B2097:B$2,-1+SUMPRODUCT(MAX(ROW(E2097:E$2)*(E2098=E2097:E$2)))))</f>
        <v> </v>
      </c>
      <c r="J2098" s="26" t="str">
        <f>IF(OR(E2098="",E2098="!!!",F2098="NEW"),"",COUNTBLANK(OFFSET(A$1,,,SUMPRODUCT(MAX(ROW(E$2:E2098)*(E2098=E$2:E2098)))))-COUNTBLANK(OFFSET(A$1,,,SUMPRODUCT(MAX(ROW(E$1:E2097)*(E2=E$1:E2097))))))</f>
        <v> </v>
      </c>
      <c r="K2098" s="26" t="str">
        <f>IF(OR(E2098="",E2098="!!!",F2098="NEW"),"",INDEX(J$1:J2097,SUMPRODUCT(MAX(ROW(E$1:E2097)*(E2098=E$1:E2097)))))</f>
        <v> </v>
      </c>
      <c r="L2098" s="27"/>
    </row>
    <row r="2099" spans="1:12">
      <c r="A2099" s="20" t="s">
        <v>895</v>
      </c>
      <c r="E2099" s="22">
        <f>IF(D2099="?OLD","!!!","")</f>
        <v/>
      </c>
      <c r="F2099" s="23" t="str">
        <f>IF(OR(E2099="",E2099="!!!"),"",IF(NOT(ISNA(VLOOKUP(E2099,E$1:E2098,1,FALSE()))),"OLD",IF(AND(E2099&lt;&gt;"",E2099&lt;&gt;"!!!"),"NEW","")))</f>
        <v> </v>
      </c>
      <c r="G2099" s="24" t="str">
        <f>IF(OR(E2099="",E2099="!!!"),"",IF(OR(J2099=0,AND(J2099=1,K2099=1),AND(J2099=1,I2099="SBJ"),AND(J2099=1,I2099=0)),"?IN_FOCUS",IF(J2099&lt;=2,"?ACTIVATED",IF(J2099&lt;&gt;"","?FAMILIAR",IF(F2099="NEW",IF(ISNA(VLOOKUP(E2099,#REF!,1,FALSE())),"?TYPE_IDENTIFIABLE","?REFERENTIAL"),"_")))))</f>
        <v> </v>
      </c>
      <c r="H2099" s="25" t="str">
        <f>IF(J2099&lt;&gt;1,"",IF(I2099="SBJ","CB","?"))</f>
        <v> </v>
      </c>
      <c r="I2099" s="26" t="str">
        <f>IF(OR(E2099="",E2099="!!!",F2099="NEW"),"",INDEX(B2098:B$2,-1+SUMPRODUCT(MAX(ROW(E2098:E$2)*(E2099=E2098:E$2)))))</f>
        <v> </v>
      </c>
      <c r="J2099" s="26" t="str">
        <f>IF(OR(E2099="",E2099="!!!",F2099="NEW"),"",COUNTBLANK(OFFSET(A$1,,,SUMPRODUCT(MAX(ROW(E$2:E2099)*(E2099=E$2:E2099)))))-COUNTBLANK(OFFSET(A$1,,,SUMPRODUCT(MAX(ROW(E$1:E2098)*(E2=E$1:E2098))))))</f>
        <v> </v>
      </c>
      <c r="K2099" s="26" t="str">
        <f>IF(OR(E2099="",E2099="!!!",F2099="NEW"),"",INDEX(J$1:J2098,SUMPRODUCT(MAX(ROW(E$1:E2098)*(E2099=E$1:E2098)))))</f>
        <v> </v>
      </c>
      <c r="L2099" s="27"/>
    </row>
    <row r="2100" spans="1:12">
      <c r="A2100" s="20" t="s">
        <v>592</v>
      </c>
      <c r="E2100" s="22">
        <f>IF(D2100="?OLD","!!!","")</f>
        <v/>
      </c>
      <c r="F2100" s="23" t="str">
        <f>IF(OR(E2100="",E2100="!!!"),"",IF(NOT(ISNA(VLOOKUP(E2100,E$1:E2099,1,FALSE()))),"OLD",IF(AND(E2100&lt;&gt;"",E2100&lt;&gt;"!!!"),"NEW","")))</f>
        <v> </v>
      </c>
      <c r="G2100" s="24" t="str">
        <f>IF(OR(E2100="",E2100="!!!"),"",IF(OR(J2100=0,AND(J2100=1,K2100=1),AND(J2100=1,I2100="SBJ"),AND(J2100=1,I2100=0)),"?IN_FOCUS",IF(J2100&lt;=2,"?ACTIVATED",IF(J2100&lt;&gt;"","?FAMILIAR",IF(F2100="NEW",IF(ISNA(VLOOKUP(E2100,#REF!,1,FALSE())),"?TYPE_IDENTIFIABLE","?REFERENTIAL"),"_")))))</f>
        <v> </v>
      </c>
      <c r="H2100" s="25" t="str">
        <f>IF(J2100&lt;&gt;1,"",IF(I2100="SBJ","CB","?"))</f>
        <v> </v>
      </c>
      <c r="I2100" s="26" t="str">
        <f>IF(OR(E2100="",E2100="!!!",F2100="NEW"),"",INDEX(B2099:B$2,-1+SUMPRODUCT(MAX(ROW(E2099:E$2)*(E2100=E2099:E$2)))))</f>
        <v> </v>
      </c>
      <c r="J2100" s="26" t="str">
        <f>IF(OR(E2100="",E2100="!!!",F2100="NEW"),"",COUNTBLANK(OFFSET(A$1,,,SUMPRODUCT(MAX(ROW(E$2:E2100)*(E2100=E$2:E2100)))))-COUNTBLANK(OFFSET(A$1,,,SUMPRODUCT(MAX(ROW(E$1:E2099)*(E2=E$1:E2099))))))</f>
        <v> </v>
      </c>
      <c r="K2100" s="26" t="str">
        <f>IF(OR(E2100="",E2100="!!!",F2100="NEW"),"",INDEX(J$1:J2099,SUMPRODUCT(MAX(ROW(E$1:E2099)*(E2100=E$1:E2099)))))</f>
        <v> </v>
      </c>
      <c r="L2100" s="27"/>
    </row>
    <row r="2101" spans="1:12">
      <c r="A2101" s="20"/>
    </row>
    <row r="2102" spans="1:12">
      <c r="A2102" s="20" t="s">
        <v>1556</v>
      </c>
    </row>
    <row r="2103" spans="1:12">
      <c r="A2103" s="20" t="s">
        <v>310</v>
      </c>
      <c r="E2103" s="22">
        <f>IF(D2103="?OLD","!!!","")</f>
        <v/>
      </c>
      <c r="F2103" s="23" t="str">
        <f>IF(OR(E2103="",E2103="!!!"),"",IF(NOT(ISNA(VLOOKUP(E2103,E$1:E2102,1,FALSE()))),"OLD",IF(AND(E2103&lt;&gt;"",E2103&lt;&gt;"!!!"),"NEW","")))</f>
        <v> </v>
      </c>
      <c r="G2103" s="24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5" t="str">
        <f>IF(J2103&lt;&gt;1,"",IF(I2103="SBJ","CB","?"))</f>
        <v> </v>
      </c>
      <c r="I2103" s="26" t="str">
        <f>IF(OR(E2103="",E2103="!!!",F2103="NEW"),"",INDEX(B2102:B$2,-1+SUMPRODUCT(MAX(ROW(E2102:E$2)*(E2103=E2102:E$2)))))</f>
        <v> </v>
      </c>
      <c r="J2103" s="26" t="str">
        <f>IF(OR(E2103="",E2103="!!!",F2103="NEW"),"",COUNTBLANK(OFFSET(A$1,,,SUMPRODUCT(MAX(ROW(E$2:E2103)*(E2103=E$2:E2103)))))-COUNTBLANK(OFFSET(A$1,,,SUMPRODUCT(MAX(ROW(E$1:E2102)*(E2=E$1:E2102))))))</f>
        <v> </v>
      </c>
      <c r="K2103" s="26" t="str">
        <f>IF(OR(E2103="",E2103="!!!",F2103="NEW"),"",INDEX(J$1:J2102,SUMPRODUCT(MAX(ROW(E$1:E2102)*(E2103=E$1:E2102)))))</f>
        <v> </v>
      </c>
      <c r="L2103" s="27"/>
    </row>
    <row r="2104" spans="1:12">
      <c r="A2104" s="20" t="s">
        <v>912</v>
      </c>
      <c r="B2104" s="21" t="s">
        <v>578</v>
      </c>
      <c r="E2104" s="22">
        <f>IF(D2104="?OLD","!!!","")</f>
        <v/>
      </c>
      <c r="F2104" s="23" t="str">
        <f>IF(OR(E2104="",E2104="!!!"),"",IF(NOT(ISNA(VLOOKUP(E2104,E$1:E2103,1,FALSE()))),"OLD",IF(AND(E2104&lt;&gt;"",E2104&lt;&gt;"!!!"),"NEW","")))</f>
        <v> </v>
      </c>
      <c r="G2104" s="24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5" t="str">
        <f>IF(J2104&lt;&gt;1,"",IF(I2104="SBJ","CB","?"))</f>
        <v> </v>
      </c>
      <c r="I2104" s="26" t="str">
        <f>IF(OR(E2104="",E2104="!!!",F2104="NEW"),"",INDEX(B2103:B$2,-1+SUMPRODUCT(MAX(ROW(E2103:E$2)*(E2104=E2103:E$2)))))</f>
        <v> </v>
      </c>
      <c r="J2104" s="26" t="str">
        <f>IF(OR(E2104="",E2104="!!!",F2104="NEW"),"",COUNTBLANK(OFFSET(A$1,,,SUMPRODUCT(MAX(ROW(E$2:E2104)*(E2104=E$2:E2104)))))-COUNTBLANK(OFFSET(A$1,,,SUMPRODUCT(MAX(ROW(E$1:E2103)*(E2=E$1:E2103))))))</f>
        <v> </v>
      </c>
      <c r="K2104" s="26" t="str">
        <f>IF(OR(E2104="",E2104="!!!",F2104="NEW"),"",INDEX(J$1:J2103,SUMPRODUCT(MAX(ROW(E$1:E2103)*(E2104=E$1:E2103)))))</f>
        <v> </v>
      </c>
      <c r="L2104" s="27"/>
    </row>
    <row r="2105" spans="1:12">
      <c r="A2105" s="20" t="s">
        <v>1557</v>
      </c>
      <c r="E2105" s="22">
        <f>IF(D2105="?OLD","!!!","")</f>
        <v/>
      </c>
      <c r="F2105" s="23" t="str">
        <f>IF(OR(E2105="",E2105="!!!"),"",IF(NOT(ISNA(VLOOKUP(E2105,E$1:E2104,1,FALSE()))),"OLD",IF(AND(E2105&lt;&gt;"",E2105&lt;&gt;"!!!"),"NEW","")))</f>
        <v> </v>
      </c>
      <c r="G2105" s="24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5" t="str">
        <f>IF(J2105&lt;&gt;1,"",IF(I2105="SBJ","CB","?"))</f>
        <v> </v>
      </c>
      <c r="I2105" s="26" t="str">
        <f>IF(OR(E2105="",E2105="!!!",F2105="NEW"),"",INDEX(B2104:B$2,-1+SUMPRODUCT(MAX(ROW(E2104:E$2)*(E2105=E2104:E$2)))))</f>
        <v> </v>
      </c>
      <c r="J2105" s="26" t="str">
        <f>IF(OR(E2105="",E2105="!!!",F2105="NEW"),"",COUNTBLANK(OFFSET(A$1,,,SUMPRODUCT(MAX(ROW(E$2:E2105)*(E2105=E$2:E2105)))))-COUNTBLANK(OFFSET(A$1,,,SUMPRODUCT(MAX(ROW(E$1:E2104)*(E2=E$1:E2104))))))</f>
        <v> </v>
      </c>
      <c r="K2105" s="26" t="str">
        <f>IF(OR(E2105="",E2105="!!!",F2105="NEW"),"",INDEX(J$1:J2104,SUMPRODUCT(MAX(ROW(E$1:E2104)*(E2105=E$1:E2104)))))</f>
        <v> </v>
      </c>
      <c r="L2105" s="27"/>
    </row>
    <row r="2106" spans="1:12">
      <c r="A2106" s="20" t="s">
        <v>1558</v>
      </c>
      <c r="E2106" s="22">
        <f>IF(D2106="?OLD","!!!","")</f>
        <v/>
      </c>
      <c r="F2106" s="23" t="str">
        <f>IF(OR(E2106="",E2106="!!!"),"",IF(NOT(ISNA(VLOOKUP(E2106,E$1:E2105,1,FALSE()))),"OLD",IF(AND(E2106&lt;&gt;"",E2106&lt;&gt;"!!!"),"NEW","")))</f>
        <v> </v>
      </c>
      <c r="G2106" s="24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5" t="str">
        <f>IF(J2106&lt;&gt;1,"",IF(I2106="SBJ","CB","?"))</f>
        <v> </v>
      </c>
      <c r="I2106" s="26" t="str">
        <f>IF(OR(E2106="",E2106="!!!",F2106="NEW"),"",INDEX(B2105:B$2,-1+SUMPRODUCT(MAX(ROW(E2105:E$2)*(E2106=E2105:E$2)))))</f>
        <v> </v>
      </c>
      <c r="J2106" s="26" t="str">
        <f>IF(OR(E2106="",E2106="!!!",F2106="NEW"),"",COUNTBLANK(OFFSET(A$1,,,SUMPRODUCT(MAX(ROW(E$2:E2106)*(E2106=E$2:E2106)))))-COUNTBLANK(OFFSET(A$1,,,SUMPRODUCT(MAX(ROW(E$1:E2105)*(E2=E$1:E2105))))))</f>
        <v> </v>
      </c>
      <c r="K2106" s="26" t="str">
        <f>IF(OR(E2106="",E2106="!!!",F2106="NEW"),"",INDEX(J$1:J2105,SUMPRODUCT(MAX(ROW(E$1:E2105)*(E2106=E$1:E2105)))))</f>
        <v> </v>
      </c>
      <c r="L2106" s="27"/>
    </row>
    <row r="2107" spans="1:12">
      <c r="A2107" s="20" t="s">
        <v>1559</v>
      </c>
      <c r="E2107" s="22">
        <f>IF(D2107="?OLD","!!!","")</f>
        <v/>
      </c>
      <c r="F2107" s="23" t="str">
        <f>IF(OR(E2107="",E2107="!!!"),"",IF(NOT(ISNA(VLOOKUP(E2107,E$1:E2106,1,FALSE()))),"OLD",IF(AND(E2107&lt;&gt;"",E2107&lt;&gt;"!!!"),"NEW","")))</f>
        <v> </v>
      </c>
      <c r="G2107" s="24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5" t="str">
        <f>IF(J2107&lt;&gt;1,"",IF(I2107="SBJ","CB","?"))</f>
        <v> </v>
      </c>
      <c r="I2107" s="26" t="str">
        <f>IF(OR(E2107="",E2107="!!!",F2107="NEW"),"",INDEX(B2106:B$2,-1+SUMPRODUCT(MAX(ROW(E2106:E$2)*(E2107=E2106:E$2)))))</f>
        <v> </v>
      </c>
      <c r="J2107" s="26" t="str">
        <f>IF(OR(E2107="",E2107="!!!",F2107="NEW"),"",COUNTBLANK(OFFSET(A$1,,,SUMPRODUCT(MAX(ROW(E$2:E2107)*(E2107=E$2:E2107)))))-COUNTBLANK(OFFSET(A$1,,,SUMPRODUCT(MAX(ROW(E$1:E2106)*(E2=E$1:E2106))))))</f>
        <v> </v>
      </c>
      <c r="K2107" s="26" t="str">
        <f>IF(OR(E2107="",E2107="!!!",F2107="NEW"),"",INDEX(J$1:J2106,SUMPRODUCT(MAX(ROW(E$1:E2106)*(E2107=E$1:E2106)))))</f>
        <v> </v>
      </c>
      <c r="L2107" s="27"/>
    </row>
    <row r="2108" spans="1:12">
      <c r="A2108" s="20" t="s">
        <v>688</v>
      </c>
      <c r="E2108" s="22">
        <f>IF(D2108="?OLD","!!!","")</f>
        <v/>
      </c>
      <c r="F2108" s="23" t="str">
        <f>IF(OR(E2108="",E2108="!!!"),"",IF(NOT(ISNA(VLOOKUP(E2108,E$1:E2107,1,FALSE()))),"OLD",IF(AND(E2108&lt;&gt;"",E2108&lt;&gt;"!!!"),"NEW","")))</f>
        <v> </v>
      </c>
      <c r="G2108" s="24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5" t="str">
        <f>IF(J2108&lt;&gt;1,"",IF(I2108="SBJ","CB","?"))</f>
        <v> </v>
      </c>
      <c r="I2108" s="26" t="str">
        <f>IF(OR(E2108="",E2108="!!!",F2108="NEW"),"",INDEX(B2107:B$2,-1+SUMPRODUCT(MAX(ROW(E2107:E$2)*(E2108=E2107:E$2)))))</f>
        <v> </v>
      </c>
      <c r="J2108" s="26" t="str">
        <f>IF(OR(E2108="",E2108="!!!",F2108="NEW"),"",COUNTBLANK(OFFSET(A$1,,,SUMPRODUCT(MAX(ROW(E$2:E2108)*(E2108=E$2:E2108)))))-COUNTBLANK(OFFSET(A$1,,,SUMPRODUCT(MAX(ROW(E$1:E2107)*(E2=E$1:E2107))))))</f>
        <v> </v>
      </c>
      <c r="K2108" s="26" t="str">
        <f>IF(OR(E2108="",E2108="!!!",F2108="NEW"),"",INDEX(J$1:J2107,SUMPRODUCT(MAX(ROW(E$1:E2107)*(E2108=E$1:E2107)))))</f>
        <v> </v>
      </c>
      <c r="L2108" s="27"/>
    </row>
    <row r="2109" spans="1:12">
      <c r="A2109" s="20" t="s">
        <v>822</v>
      </c>
      <c r="E2109" s="22">
        <f>IF(D2109="?OLD","!!!","")</f>
        <v/>
      </c>
      <c r="F2109" s="23" t="str">
        <f>IF(OR(E2109="",E2109="!!!"),"",IF(NOT(ISNA(VLOOKUP(E2109,E$1:E2108,1,FALSE()))),"OLD",IF(AND(E2109&lt;&gt;"",E2109&lt;&gt;"!!!"),"NEW","")))</f>
        <v> </v>
      </c>
      <c r="G2109" s="24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5" t="str">
        <f>IF(J2109&lt;&gt;1,"",IF(I2109="SBJ","CB","?"))</f>
        <v> </v>
      </c>
      <c r="I2109" s="26" t="str">
        <f>IF(OR(E2109="",E2109="!!!",F2109="NEW"),"",INDEX(B2108:B$2,-1+SUMPRODUCT(MAX(ROW(E2108:E$2)*(E2109=E2108:E$2)))))</f>
        <v> </v>
      </c>
      <c r="J2109" s="26" t="str">
        <f>IF(OR(E2109="",E2109="!!!",F2109="NEW"),"",COUNTBLANK(OFFSET(A$1,,,SUMPRODUCT(MAX(ROW(E$2:E2109)*(E2109=E$2:E2109)))))-COUNTBLANK(OFFSET(A$1,,,SUMPRODUCT(MAX(ROW(E$1:E2108)*(E2=E$1:E2108))))))</f>
        <v> </v>
      </c>
      <c r="K2109" s="26" t="str">
        <f>IF(OR(E2109="",E2109="!!!",F2109="NEW"),"",INDEX(J$1:J2108,SUMPRODUCT(MAX(ROW(E$1:E2108)*(E2109=E$1:E2108)))))</f>
        <v> </v>
      </c>
      <c r="L2109" s="27"/>
    </row>
    <row r="2110" spans="1:12">
      <c r="A2110" s="20" t="s">
        <v>592</v>
      </c>
      <c r="E2110" s="22">
        <f>IF(D2110="?OLD","!!!","")</f>
        <v/>
      </c>
      <c r="F2110" s="23" t="str">
        <f>IF(OR(E2110="",E2110="!!!"),"",IF(NOT(ISNA(VLOOKUP(E2110,E$1:E2109,1,FALSE()))),"OLD",IF(AND(E2110&lt;&gt;"",E2110&lt;&gt;"!!!"),"NEW","")))</f>
        <v> </v>
      </c>
      <c r="G2110" s="24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5" t="str">
        <f>IF(J2110&lt;&gt;1,"",IF(I2110="SBJ","CB","?"))</f>
        <v> </v>
      </c>
      <c r="I2110" s="26" t="str">
        <f>IF(OR(E2110="",E2110="!!!",F2110="NEW"),"",INDEX(B2109:B$2,-1+SUMPRODUCT(MAX(ROW(E2109:E$2)*(E2110=E2109:E$2)))))</f>
        <v> </v>
      </c>
      <c r="J2110" s="26" t="str">
        <f>IF(OR(E2110="",E2110="!!!",F2110="NEW"),"",COUNTBLANK(OFFSET(A$1,,,SUMPRODUCT(MAX(ROW(E$2:E2110)*(E2110=E$2:E2110)))))-COUNTBLANK(OFFSET(A$1,,,SUMPRODUCT(MAX(ROW(E$1:E2109)*(E2=E$1:E2109))))))</f>
        <v> </v>
      </c>
      <c r="K2110" s="26" t="str">
        <f>IF(OR(E2110="",E2110="!!!",F2110="NEW"),"",INDEX(J$1:J2109,SUMPRODUCT(MAX(ROW(E$1:E2109)*(E2110=E$1:E2109)))))</f>
        <v> </v>
      </c>
      <c r="L2110" s="27"/>
    </row>
    <row r="2111" spans="1:12">
      <c r="A2111" s="20"/>
    </row>
    <row r="2112" spans="1:12">
      <c r="A2112" s="20" t="s">
        <v>1560</v>
      </c>
    </row>
    <row r="2113" spans="1:12">
      <c r="A2113" s="20" t="s">
        <v>594</v>
      </c>
      <c r="B2113" s="21" t="s">
        <v>578</v>
      </c>
      <c r="C2113" s="21" t="s">
        <v>586</v>
      </c>
      <c r="D2113" s="21" t="s">
        <v>587</v>
      </c>
      <c r="E2113" s="22">
        <f>IF(D2113="?OLD","!!!","")</f>
        <v/>
      </c>
      <c r="F2113" s="23" t="str">
        <f>IF(OR(E2113="",E2113="!!!"),"",IF(NOT(ISNA(VLOOKUP(E2113,E$1:E2112,1,FALSE()))),"OLD",IF(AND(E2113&lt;&gt;"",E2113&lt;&gt;"!!!"),"NEW","")))</f>
        <v> </v>
      </c>
      <c r="G2113" s="24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5" t="str">
        <f>IF(J2113&lt;&gt;1,"",IF(I2113="SBJ","CB","?"))</f>
        <v> </v>
      </c>
      <c r="I2113" s="26" t="str">
        <f>IF(OR(E2113="",E2113="!!!",F2113="NEW"),"",INDEX(B2112:B$2,-1+SUMPRODUCT(MAX(ROW(E2112:E$2)*(E2113=E2112:E$2)))))</f>
        <v> </v>
      </c>
      <c r="J2113" s="26" t="str">
        <f>IF(OR(E2113="",E2113="!!!",F2113="NEW"),"",COUNTBLANK(OFFSET(A$1,,,SUMPRODUCT(MAX(ROW(E$2:E2113)*(E2113=E$2:E2113)))))-COUNTBLANK(OFFSET(A$1,,,SUMPRODUCT(MAX(ROW(E$1:E2112)*(E2=E$1:E2112))))))</f>
        <v> </v>
      </c>
      <c r="K2113" s="26" t="str">
        <f>IF(OR(E2113="",E2113="!!!",F2113="NEW"),"",INDEX(J$1:J2112,SUMPRODUCT(MAX(ROW(E$1:E2112)*(E2113=E$1:E2112)))))</f>
        <v> </v>
      </c>
      <c r="L2113" s="27"/>
    </row>
    <row r="2114" spans="1:12">
      <c r="A2114" s="20" t="s">
        <v>1561</v>
      </c>
      <c r="E2114" s="22">
        <f>IF(D2114="?OLD","!!!","")</f>
        <v/>
      </c>
      <c r="F2114" s="23" t="str">
        <f>IF(OR(E2114="",E2114="!!!"),"",IF(NOT(ISNA(VLOOKUP(E2114,E$1:E2113,1,FALSE()))),"OLD",IF(AND(E2114&lt;&gt;"",E2114&lt;&gt;"!!!"),"NEW","")))</f>
        <v> </v>
      </c>
      <c r="G2114" s="24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5" t="str">
        <f>IF(J2114&lt;&gt;1,"",IF(I2114="SBJ","CB","?"))</f>
        <v> </v>
      </c>
      <c r="I2114" s="26" t="str">
        <f>IF(OR(E2114="",E2114="!!!",F2114="NEW"),"",INDEX(B2113:B$2,-1+SUMPRODUCT(MAX(ROW(E2113:E$2)*(E2114=E2113:E$2)))))</f>
        <v> </v>
      </c>
      <c r="J2114" s="26" t="str">
        <f>IF(OR(E2114="",E2114="!!!",F2114="NEW"),"",COUNTBLANK(OFFSET(A$1,,,SUMPRODUCT(MAX(ROW(E$2:E2114)*(E2114=E$2:E2114)))))-COUNTBLANK(OFFSET(A$1,,,SUMPRODUCT(MAX(ROW(E$1:E2113)*(E2=E$1:E2113))))))</f>
        <v> </v>
      </c>
      <c r="K2114" s="26" t="str">
        <f>IF(OR(E2114="",E2114="!!!",F2114="NEW"),"",INDEX(J$1:J2113,SUMPRODUCT(MAX(ROW(E$1:E2113)*(E2114=E$1:E2113)))))</f>
        <v> </v>
      </c>
      <c r="L2114" s="27"/>
    </row>
    <row r="2115" spans="1:12">
      <c r="A2115" s="20" t="s">
        <v>583</v>
      </c>
      <c r="E2115" s="22">
        <f>IF(D2115="?OLD","!!!","")</f>
        <v/>
      </c>
      <c r="F2115" s="23" t="str">
        <f>IF(OR(E2115="",E2115="!!!"),"",IF(NOT(ISNA(VLOOKUP(E2115,E$1:E2114,1,FALSE()))),"OLD",IF(AND(E2115&lt;&gt;"",E2115&lt;&gt;"!!!"),"NEW","")))</f>
        <v> </v>
      </c>
      <c r="G2115" s="24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5" t="str">
        <f>IF(J2115&lt;&gt;1,"",IF(I2115="SBJ","CB","?"))</f>
        <v> </v>
      </c>
      <c r="I2115" s="26" t="str">
        <f>IF(OR(E2115="",E2115="!!!",F2115="NEW"),"",INDEX(B2114:B$2,-1+SUMPRODUCT(MAX(ROW(E2114:E$2)*(E2115=E2114:E$2)))))</f>
        <v> </v>
      </c>
      <c r="J2115" s="26" t="str">
        <f>IF(OR(E2115="",E2115="!!!",F2115="NEW"),"",COUNTBLANK(OFFSET(A$1,,,SUMPRODUCT(MAX(ROW(E$2:E2115)*(E2115=E$2:E2115)))))-COUNTBLANK(OFFSET(A$1,,,SUMPRODUCT(MAX(ROW(E$1:E2114)*(E2=E$1:E2114))))))</f>
        <v> </v>
      </c>
      <c r="K2115" s="26" t="str">
        <f>IF(OR(E2115="",E2115="!!!",F2115="NEW"),"",INDEX(J$1:J2114,SUMPRODUCT(MAX(ROW(E$1:E2114)*(E2115=E$1:E2114)))))</f>
        <v> </v>
      </c>
      <c r="L2115" s="27"/>
    </row>
    <row r="2116" spans="1:12">
      <c r="A2116" s="20" t="s">
        <v>369</v>
      </c>
      <c r="E2116" s="22">
        <f>IF(D2116="?OLD","!!!","")</f>
        <v/>
      </c>
      <c r="F2116" s="23" t="str">
        <f>IF(OR(E2116="",E2116="!!!"),"",IF(NOT(ISNA(VLOOKUP(E2116,E$1:E2115,1,FALSE()))),"OLD",IF(AND(E2116&lt;&gt;"",E2116&lt;&gt;"!!!"),"NEW","")))</f>
        <v> </v>
      </c>
      <c r="G2116" s="24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5" t="str">
        <f>IF(J2116&lt;&gt;1,"",IF(I2116="SBJ","CB","?"))</f>
        <v> </v>
      </c>
      <c r="I2116" s="26" t="str">
        <f>IF(OR(E2116="",E2116="!!!",F2116="NEW"),"",INDEX(B2115:B$2,-1+SUMPRODUCT(MAX(ROW(E2115:E$2)*(E2116=E2115:E$2)))))</f>
        <v> </v>
      </c>
      <c r="J2116" s="26" t="str">
        <f>IF(OR(E2116="",E2116="!!!",F2116="NEW"),"",COUNTBLANK(OFFSET(A$1,,,SUMPRODUCT(MAX(ROW(E$2:E2116)*(E2116=E$2:E2116)))))-COUNTBLANK(OFFSET(A$1,,,SUMPRODUCT(MAX(ROW(E$1:E2115)*(E2=E$1:E2115))))))</f>
        <v> </v>
      </c>
      <c r="K2116" s="26" t="str">
        <f>IF(OR(E2116="",E2116="!!!",F2116="NEW"),"",INDEX(J$1:J2115,SUMPRODUCT(MAX(ROW(E$1:E2115)*(E2116=E$1:E2115)))))</f>
        <v> </v>
      </c>
      <c r="L2116" s="27"/>
    </row>
    <row r="2117" spans="1:12">
      <c r="A2117" s="20" t="s">
        <v>926</v>
      </c>
      <c r="E2117" s="22">
        <f>IF(D2117="?OLD","!!!","")</f>
        <v/>
      </c>
      <c r="F2117" s="23" t="str">
        <f>IF(OR(E2117="",E2117="!!!"),"",IF(NOT(ISNA(VLOOKUP(E2117,E$1:E2116,1,FALSE()))),"OLD",IF(AND(E2117&lt;&gt;"",E2117&lt;&gt;"!!!"),"NEW","")))</f>
        <v> </v>
      </c>
      <c r="G2117" s="24" t="str">
        <f>IF(OR(E2117="",E2117="!!!"),"",IF(OR(J2117=0,AND(J2117=1,K2117=1),AND(J2117=1,I2117="SBJ"),AND(J2117=1,I2117=0)),"?IN_FOCUS",IF(J2117&lt;=2,"?ACTIVATED",IF(J2117&lt;&gt;"","?FAMILIAR",IF(F2117="NEW",IF(ISNA(VLOOKUP(E2117,#REF!,1,FALSE())),"?TYPE_IDENTIFIABLE","?REFERENTIAL"),"_")))))</f>
        <v> </v>
      </c>
      <c r="H2117" s="25" t="str">
        <f>IF(J2117&lt;&gt;1,"",IF(I2117="SBJ","CB","?"))</f>
        <v> </v>
      </c>
      <c r="I2117" s="26" t="str">
        <f>IF(OR(E2117="",E2117="!!!",F2117="NEW"),"",INDEX(B2116:B$2,-1+SUMPRODUCT(MAX(ROW(E2116:E$2)*(E2117=E2116:E$2)))))</f>
        <v> </v>
      </c>
      <c r="J2117" s="26" t="str">
        <f>IF(OR(E2117="",E2117="!!!",F2117="NEW"),"",COUNTBLANK(OFFSET(A$1,,,SUMPRODUCT(MAX(ROW(E$2:E2117)*(E2117=E$2:E2117)))))-COUNTBLANK(OFFSET(A$1,,,SUMPRODUCT(MAX(ROW(E$1:E2116)*(E2=E$1:E2116))))))</f>
        <v> </v>
      </c>
      <c r="K2117" s="26" t="str">
        <f>IF(OR(E2117="",E2117="!!!",F2117="NEW"),"",INDEX(J$1:J2116,SUMPRODUCT(MAX(ROW(E$1:E2116)*(E2117=E$1:E2116)))))</f>
        <v> </v>
      </c>
      <c r="L2117" s="27"/>
    </row>
    <row r="2118" spans="1:12">
      <c r="A2118" s="20" t="s">
        <v>754</v>
      </c>
      <c r="B2118" s="21" t="s">
        <v>590</v>
      </c>
      <c r="E2118" s="22">
        <f>IF(D2118="?OLD","!!!","")</f>
        <v/>
      </c>
      <c r="F2118" s="23" t="str">
        <f>IF(OR(E2118="",E2118="!!!"),"",IF(NOT(ISNA(VLOOKUP(E2118,E$1:E2117,1,FALSE()))),"OLD",IF(AND(E2118&lt;&gt;"",E2118&lt;&gt;"!!!"),"NEW","")))</f>
        <v> </v>
      </c>
      <c r="G2118" s="24" t="str">
        <f>IF(OR(E2118="",E2118="!!!"),"",IF(OR(J2118=0,AND(J2118=1,K2118=1),AND(J2118=1,I2118="SBJ"),AND(J2118=1,I2118=0)),"?IN_FOCUS",IF(J2118&lt;=2,"?ACTIVATED",IF(J2118&lt;&gt;"","?FAMILIAR",IF(F2118="NEW",IF(ISNA(VLOOKUP(E2118,#REF!,1,FALSE())),"?TYPE_IDENTIFIABLE","?REFERENTIAL"),"_")))))</f>
        <v> </v>
      </c>
      <c r="H2118" s="25" t="str">
        <f>IF(J2118&lt;&gt;1,"",IF(I2118="SBJ","CB","?"))</f>
        <v> </v>
      </c>
      <c r="I2118" s="26" t="str">
        <f>IF(OR(E2118="",E2118="!!!",F2118="NEW"),"",INDEX(B2117:B$2,-1+SUMPRODUCT(MAX(ROW(E2117:E$2)*(E2118=E2117:E$2)))))</f>
        <v> </v>
      </c>
      <c r="J2118" s="26" t="str">
        <f>IF(OR(E2118="",E2118="!!!",F2118="NEW"),"",COUNTBLANK(OFFSET(A$1,,,SUMPRODUCT(MAX(ROW(E$2:E2118)*(E2118=E$2:E2118)))))-COUNTBLANK(OFFSET(A$1,,,SUMPRODUCT(MAX(ROW(E$1:E2117)*(E2=E$1:E2117))))))</f>
        <v> </v>
      </c>
      <c r="K2118" s="26" t="str">
        <f>IF(OR(E2118="",E2118="!!!",F2118="NEW"),"",INDEX(J$1:J2117,SUMPRODUCT(MAX(ROW(E$1:E2117)*(E2118=E$1:E2117)))))</f>
        <v> </v>
      </c>
      <c r="L2118" s="27"/>
    </row>
    <row r="2119" spans="1:12">
      <c r="A2119" s="20" t="s">
        <v>617</v>
      </c>
      <c r="E2119" s="22">
        <f>IF(D2119="?OLD","!!!","")</f>
        <v/>
      </c>
      <c r="F2119" s="23" t="str">
        <f>IF(OR(E2119="",E2119="!!!"),"",IF(NOT(ISNA(VLOOKUP(E2119,E$1:E2118,1,FALSE()))),"OLD",IF(AND(E2119&lt;&gt;"",E2119&lt;&gt;"!!!"),"NEW","")))</f>
        <v> </v>
      </c>
      <c r="G2119" s="24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5" t="str">
        <f>IF(J2119&lt;&gt;1,"",IF(I2119="SBJ","CB","?"))</f>
        <v> </v>
      </c>
      <c r="I2119" s="26" t="str">
        <f>IF(OR(E2119="",E2119="!!!",F2119="NEW"),"",INDEX(B2118:B$2,-1+SUMPRODUCT(MAX(ROW(E2118:E$2)*(E2119=E2118:E$2)))))</f>
        <v> </v>
      </c>
      <c r="J2119" s="26" t="str">
        <f>IF(OR(E2119="",E2119="!!!",F2119="NEW"),"",COUNTBLANK(OFFSET(A$1,,,SUMPRODUCT(MAX(ROW(E$2:E2119)*(E2119=E$2:E2119)))))-COUNTBLANK(OFFSET(A$1,,,SUMPRODUCT(MAX(ROW(E$1:E2118)*(E2=E$1:E2118))))))</f>
        <v> </v>
      </c>
      <c r="K2119" s="26" t="str">
        <f>IF(OR(E2119="",E2119="!!!",F2119="NEW"),"",INDEX(J$1:J2118,SUMPRODUCT(MAX(ROW(E$1:E2118)*(E2119=E$1:E2118)))))</f>
        <v> </v>
      </c>
      <c r="L2119" s="27"/>
    </row>
    <row r="2120" spans="1:12">
      <c r="A2120" s="20" t="s">
        <v>694</v>
      </c>
      <c r="E2120" s="22">
        <f>IF(D2120="?OLD","!!!","")</f>
        <v/>
      </c>
      <c r="F2120" s="23" t="str">
        <f>IF(OR(E2120="",E2120="!!!"),"",IF(NOT(ISNA(VLOOKUP(E2120,E$1:E2119,1,FALSE()))),"OLD",IF(AND(E2120&lt;&gt;"",E2120&lt;&gt;"!!!"),"NEW","")))</f>
        <v> </v>
      </c>
      <c r="G2120" s="24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5" t="str">
        <f>IF(J2120&lt;&gt;1,"",IF(I2120="SBJ","CB","?"))</f>
        <v> </v>
      </c>
      <c r="I2120" s="26" t="str">
        <f>IF(OR(E2120="",E2120="!!!",F2120="NEW"),"",INDEX(B2119:B$2,-1+SUMPRODUCT(MAX(ROW(E2119:E$2)*(E2120=E2119:E$2)))))</f>
        <v> </v>
      </c>
      <c r="J2120" s="26" t="str">
        <f>IF(OR(E2120="",E2120="!!!",F2120="NEW"),"",COUNTBLANK(OFFSET(A$1,,,SUMPRODUCT(MAX(ROW(E$2:E2120)*(E2120=E$2:E2120)))))-COUNTBLANK(OFFSET(A$1,,,SUMPRODUCT(MAX(ROW(E$1:E2119)*(E2=E$1:E2119))))))</f>
        <v> </v>
      </c>
      <c r="K2120" s="26" t="str">
        <f>IF(OR(E2120="",E2120="!!!",F2120="NEW"),"",INDEX(J$1:J2119,SUMPRODUCT(MAX(ROW(E$1:E2119)*(E2120=E$1:E2119)))))</f>
        <v> </v>
      </c>
      <c r="L2120" s="27"/>
    </row>
    <row r="2121" spans="1:12">
      <c r="A2121" s="20" t="s">
        <v>634</v>
      </c>
      <c r="B2121" s="21" t="s">
        <v>892</v>
      </c>
      <c r="E2121" s="22">
        <f>IF(D2121="?OLD","!!!","")</f>
        <v/>
      </c>
      <c r="F2121" s="23" t="str">
        <f>IF(OR(E2121="",E2121="!!!"),"",IF(NOT(ISNA(VLOOKUP(E2121,E$1:E2120,1,FALSE()))),"OLD",IF(AND(E2121&lt;&gt;"",E2121&lt;&gt;"!!!"),"NEW","")))</f>
        <v> </v>
      </c>
      <c r="G2121" s="24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5" t="str">
        <f>IF(J2121&lt;&gt;1,"",IF(I2121="SBJ","CB","?"))</f>
        <v> </v>
      </c>
      <c r="I2121" s="26" t="str">
        <f>IF(OR(E2121="",E2121="!!!",F2121="NEW"),"",INDEX(B2120:B$2,-1+SUMPRODUCT(MAX(ROW(E2120:E$2)*(E2121=E2120:E$2)))))</f>
        <v> </v>
      </c>
      <c r="J2121" s="26" t="str">
        <f>IF(OR(E2121="",E2121="!!!",F2121="NEW"),"",COUNTBLANK(OFFSET(A$1,,,SUMPRODUCT(MAX(ROW(E$2:E2121)*(E2121=E$2:E2121)))))-COUNTBLANK(OFFSET(A$1,,,SUMPRODUCT(MAX(ROW(E$1:E2120)*(E2=E$1:E2120))))))</f>
        <v> </v>
      </c>
      <c r="K2121" s="26" t="str">
        <f>IF(OR(E2121="",E2121="!!!",F2121="NEW"),"",INDEX(J$1:J2120,SUMPRODUCT(MAX(ROW(E$1:E2120)*(E2121=E$1:E2120)))))</f>
        <v> </v>
      </c>
      <c r="L2121" s="27"/>
    </row>
    <row r="2122" spans="1:12">
      <c r="A2122" s="20" t="s">
        <v>1562</v>
      </c>
      <c r="E2122" s="22">
        <f>IF(D2122="?OLD","!!!","")</f>
        <v/>
      </c>
      <c r="F2122" s="23" t="str">
        <f>IF(OR(E2122="",E2122="!!!"),"",IF(NOT(ISNA(VLOOKUP(E2122,E$1:E2121,1,FALSE()))),"OLD",IF(AND(E2122&lt;&gt;"",E2122&lt;&gt;"!!!"),"NEW","")))</f>
        <v> </v>
      </c>
      <c r="G2122" s="24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5" t="str">
        <f>IF(J2122&lt;&gt;1,"",IF(I2122="SBJ","CB","?"))</f>
        <v> </v>
      </c>
      <c r="I2122" s="26" t="str">
        <f>IF(OR(E2122="",E2122="!!!",F2122="NEW"),"",INDEX(B2121:B$2,-1+SUMPRODUCT(MAX(ROW(E2121:E$2)*(E2122=E2121:E$2)))))</f>
        <v> </v>
      </c>
      <c r="J2122" s="26" t="str">
        <f>IF(OR(E2122="",E2122="!!!",F2122="NEW"),"",COUNTBLANK(OFFSET(A$1,,,SUMPRODUCT(MAX(ROW(E$2:E2122)*(E2122=E$2:E2122)))))-COUNTBLANK(OFFSET(A$1,,,SUMPRODUCT(MAX(ROW(E$1:E2121)*(E2=E$1:E2121))))))</f>
        <v> </v>
      </c>
      <c r="K2122" s="26" t="str">
        <f>IF(OR(E2122="",E2122="!!!",F2122="NEW"),"",INDEX(J$1:J2121,SUMPRODUCT(MAX(ROW(E$1:E2121)*(E2122=E$1:E2121)))))</f>
        <v> </v>
      </c>
      <c r="L2122" s="27"/>
    </row>
    <row r="2123" spans="1:12">
      <c r="A2123" s="20" t="s">
        <v>1558</v>
      </c>
      <c r="E2123" s="22">
        <f>IF(D2123="?OLD","!!!","")</f>
        <v/>
      </c>
      <c r="F2123" s="23" t="str">
        <f>IF(OR(E2123="",E2123="!!!"),"",IF(NOT(ISNA(VLOOKUP(E2123,E$1:E2122,1,FALSE()))),"OLD",IF(AND(E2123&lt;&gt;"",E2123&lt;&gt;"!!!"),"NEW","")))</f>
        <v> </v>
      </c>
      <c r="G2123" s="24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5" t="str">
        <f>IF(J2123&lt;&gt;1,"",IF(I2123="SBJ","CB","?"))</f>
        <v> </v>
      </c>
      <c r="I2123" s="26" t="str">
        <f>IF(OR(E2123="",E2123="!!!",F2123="NEW"),"",INDEX(B2122:B$2,-1+SUMPRODUCT(MAX(ROW(E2122:E$2)*(E2123=E2122:E$2)))))</f>
        <v> </v>
      </c>
      <c r="J2123" s="26" t="str">
        <f>IF(OR(E2123="",E2123="!!!",F2123="NEW"),"",COUNTBLANK(OFFSET(A$1,,,SUMPRODUCT(MAX(ROW(E$2:E2123)*(E2123=E$2:E2123)))))-COUNTBLANK(OFFSET(A$1,,,SUMPRODUCT(MAX(ROW(E$1:E2122)*(E2=E$1:E2122))))))</f>
        <v> </v>
      </c>
      <c r="K2123" s="26" t="str">
        <f>IF(OR(E2123="",E2123="!!!",F2123="NEW"),"",INDEX(J$1:J2122,SUMPRODUCT(MAX(ROW(E$1:E2122)*(E2123=E$1:E2122)))))</f>
        <v> </v>
      </c>
      <c r="L2123" s="27"/>
    </row>
    <row r="2124" spans="1:12">
      <c r="A2124" s="20" t="s">
        <v>810</v>
      </c>
      <c r="E2124" s="22">
        <f>IF(D2124="?OLD","!!!","")</f>
        <v/>
      </c>
      <c r="F2124" s="23" t="str">
        <f>IF(OR(E2124="",E2124="!!!"),"",IF(NOT(ISNA(VLOOKUP(E2124,E$1:E2123,1,FALSE()))),"OLD",IF(AND(E2124&lt;&gt;"",E2124&lt;&gt;"!!!"),"NEW","")))</f>
        <v> </v>
      </c>
      <c r="G2124" s="24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5" t="str">
        <f>IF(J2124&lt;&gt;1,"",IF(I2124="SBJ","CB","?"))</f>
        <v> </v>
      </c>
      <c r="I2124" s="26" t="str">
        <f>IF(OR(E2124="",E2124="!!!",F2124="NEW"),"",INDEX(B2123:B$2,-1+SUMPRODUCT(MAX(ROW(E2123:E$2)*(E2124=E2123:E$2)))))</f>
        <v> </v>
      </c>
      <c r="J2124" s="26" t="str">
        <f>IF(OR(E2124="",E2124="!!!",F2124="NEW"),"",COUNTBLANK(OFFSET(A$1,,,SUMPRODUCT(MAX(ROW(E$2:E2124)*(E2124=E$2:E2124)))))-COUNTBLANK(OFFSET(A$1,,,SUMPRODUCT(MAX(ROW(E$1:E2123)*(E2=E$1:E2123))))))</f>
        <v> </v>
      </c>
      <c r="K2124" s="26" t="str">
        <f>IF(OR(E2124="",E2124="!!!",F2124="NEW"),"",INDEX(J$1:J2123,SUMPRODUCT(MAX(ROW(E$1:E2123)*(E2124=E$1:E2123)))))</f>
        <v> </v>
      </c>
      <c r="L2124" s="27"/>
    </row>
    <row r="2125" spans="1:12">
      <c r="A2125" s="20" t="s">
        <v>1296</v>
      </c>
      <c r="E2125" s="22">
        <f>IF(D2125="?OLD","!!!","")</f>
        <v/>
      </c>
      <c r="F2125" s="23" t="str">
        <f>IF(OR(E2125="",E2125="!!!"),"",IF(NOT(ISNA(VLOOKUP(E2125,E$1:E2124,1,FALSE()))),"OLD",IF(AND(E2125&lt;&gt;"",E2125&lt;&gt;"!!!"),"NEW","")))</f>
        <v> </v>
      </c>
      <c r="G2125" s="24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5" t="str">
        <f>IF(J2125&lt;&gt;1,"",IF(I2125="SBJ","CB","?"))</f>
        <v> </v>
      </c>
      <c r="I2125" s="26" t="str">
        <f>IF(OR(E2125="",E2125="!!!",F2125="NEW"),"",INDEX(B2124:B$2,-1+SUMPRODUCT(MAX(ROW(E2124:E$2)*(E2125=E2124:E$2)))))</f>
        <v> </v>
      </c>
      <c r="J2125" s="26" t="str">
        <f>IF(OR(E2125="",E2125="!!!",F2125="NEW"),"",COUNTBLANK(OFFSET(A$1,,,SUMPRODUCT(MAX(ROW(E$2:E2125)*(E2125=E$2:E2125)))))-COUNTBLANK(OFFSET(A$1,,,SUMPRODUCT(MAX(ROW(E$1:E2124)*(E2=E$1:E2124))))))</f>
        <v> </v>
      </c>
      <c r="K2125" s="26" t="str">
        <f>IF(OR(E2125="",E2125="!!!",F2125="NEW"),"",INDEX(J$1:J2124,SUMPRODUCT(MAX(ROW(E$1:E2124)*(E2125=E$1:E2124)))))</f>
        <v> </v>
      </c>
      <c r="L2125" s="27"/>
    </row>
    <row r="2126" spans="1:12">
      <c r="A2126" s="20" t="s">
        <v>975</v>
      </c>
      <c r="E2126" s="22">
        <f>IF(D2126="?OLD","!!!","")</f>
        <v/>
      </c>
      <c r="F2126" s="23" t="str">
        <f>IF(OR(E2126="",E2126="!!!"),"",IF(NOT(ISNA(VLOOKUP(E2126,E$1:E2125,1,FALSE()))),"OLD",IF(AND(E2126&lt;&gt;"",E2126&lt;&gt;"!!!"),"NEW","")))</f>
        <v> </v>
      </c>
      <c r="G2126" s="24" t="str">
        <f>IF(OR(E2126="",E2126="!!!"),"",IF(OR(J2126=0,AND(J2126=1,K2126=1),AND(J2126=1,I2126="SBJ"),AND(J2126=1,I2126=0)),"?IN_FOCUS",IF(J2126&lt;=2,"?ACTIVATED",IF(J2126&lt;&gt;"","?FAMILIAR",IF(F2126="NEW",IF(ISNA(VLOOKUP(E2126,#REF!,1,FALSE())),"?TYPE_IDENTIFIABLE","?REFERENTIAL"),"_")))))</f>
        <v> </v>
      </c>
      <c r="H2126" s="25" t="str">
        <f>IF(J2126&lt;&gt;1,"",IF(I2126="SBJ","CB","?"))</f>
        <v> </v>
      </c>
      <c r="I2126" s="26" t="str">
        <f>IF(OR(E2126="",E2126="!!!",F2126="NEW"),"",INDEX(B2125:B$2,-1+SUMPRODUCT(MAX(ROW(E2125:E$2)*(E2126=E2125:E$2)))))</f>
        <v> </v>
      </c>
      <c r="J2126" s="26" t="str">
        <f>IF(OR(E2126="",E2126="!!!",F2126="NEW"),"",COUNTBLANK(OFFSET(A$1,,,SUMPRODUCT(MAX(ROW(E$2:E2126)*(E2126=E$2:E2126)))))-COUNTBLANK(OFFSET(A$1,,,SUMPRODUCT(MAX(ROW(E$1:E2125)*(E2=E$1:E2125))))))</f>
        <v> </v>
      </c>
      <c r="K2126" s="26" t="str">
        <f>IF(OR(E2126="",E2126="!!!",F2126="NEW"),"",INDEX(J$1:J2125,SUMPRODUCT(MAX(ROW(E$1:E2125)*(E2126=E$1:E2125)))))</f>
        <v> </v>
      </c>
      <c r="L2126" s="27"/>
    </row>
    <row r="2127" spans="1:12">
      <c r="A2127" s="20" t="s">
        <v>1563</v>
      </c>
      <c r="E2127" s="22">
        <f>IF(D2127="?OLD","!!!","")</f>
        <v/>
      </c>
      <c r="F2127" s="23" t="str">
        <f>IF(OR(E2127="",E2127="!!!"),"",IF(NOT(ISNA(VLOOKUP(E2127,E$1:E2126,1,FALSE()))),"OLD",IF(AND(E2127&lt;&gt;"",E2127&lt;&gt;"!!!"),"NEW","")))</f>
        <v> </v>
      </c>
      <c r="G2127" s="24" t="str">
        <f>IF(OR(E2127="",E2127="!!!"),"",IF(OR(J2127=0,AND(J2127=1,K2127=1),AND(J2127=1,I2127="SBJ"),AND(J2127=1,I2127=0)),"?IN_FOCUS",IF(J2127&lt;=2,"?ACTIVATED",IF(J2127&lt;&gt;"","?FAMILIAR",IF(F2127="NEW",IF(ISNA(VLOOKUP(E2127,#REF!,1,FALSE())),"?TYPE_IDENTIFIABLE","?REFERENTIAL"),"_")))))</f>
        <v> </v>
      </c>
      <c r="H2127" s="25" t="str">
        <f>IF(J2127&lt;&gt;1,"",IF(I2127="SBJ","CB","?"))</f>
        <v> </v>
      </c>
      <c r="I2127" s="26" t="str">
        <f>IF(OR(E2127="",E2127="!!!",F2127="NEW"),"",INDEX(B2126:B$2,-1+SUMPRODUCT(MAX(ROW(E2126:E$2)*(E2127=E2126:E$2)))))</f>
        <v> </v>
      </c>
      <c r="J2127" s="26" t="str">
        <f>IF(OR(E2127="",E2127="!!!",F2127="NEW"),"",COUNTBLANK(OFFSET(A$1,,,SUMPRODUCT(MAX(ROW(E$2:E2127)*(E2127=E$2:E2127)))))-COUNTBLANK(OFFSET(A$1,,,SUMPRODUCT(MAX(ROW(E$1:E2126)*(E2=E$1:E2126))))))</f>
        <v> </v>
      </c>
      <c r="K2127" s="26" t="str">
        <f>IF(OR(E2127="",E2127="!!!",F2127="NEW"),"",INDEX(J$1:J2126,SUMPRODUCT(MAX(ROW(E$1:E2126)*(E2127=E$1:E2126)))))</f>
        <v> </v>
      </c>
      <c r="L2127" s="27"/>
    </row>
    <row r="2128" spans="1:12">
      <c r="A2128" s="20" t="s">
        <v>1303</v>
      </c>
      <c r="B2128" s="21" t="s">
        <v>645</v>
      </c>
      <c r="C2128" s="21" t="s">
        <v>787</v>
      </c>
      <c r="D2128" s="21" t="s">
        <v>587</v>
      </c>
      <c r="E2128" s="22">
        <f>IF(D2128="?OLD","!!!","")</f>
        <v/>
      </c>
      <c r="F2128" s="23" t="str">
        <f>IF(OR(E2128="",E2128="!!!"),"",IF(NOT(ISNA(VLOOKUP(E2128,E$1:E2127,1,FALSE()))),"OLD",IF(AND(E2128&lt;&gt;"",E2128&lt;&gt;"!!!"),"NEW","")))</f>
        <v> </v>
      </c>
      <c r="G2128" s="24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5" t="str">
        <f>IF(J2128&lt;&gt;1,"",IF(I2128="SBJ","CB","?"))</f>
        <v> </v>
      </c>
      <c r="I2128" s="26" t="str">
        <f>IF(OR(E2128="",E2128="!!!",F2128="NEW"),"",INDEX(B2127:B$2,-1+SUMPRODUCT(MAX(ROW(E2127:E$2)*(E2128=E2127:E$2)))))</f>
        <v> </v>
      </c>
      <c r="J2128" s="26" t="str">
        <f>IF(OR(E2128="",E2128="!!!",F2128="NEW"),"",COUNTBLANK(OFFSET(A$1,,,SUMPRODUCT(MAX(ROW(E$2:E2128)*(E2128=E$2:E2128)))))-COUNTBLANK(OFFSET(A$1,,,SUMPRODUCT(MAX(ROW(E$1:E2127)*(E2=E$1:E2127))))))</f>
        <v> </v>
      </c>
      <c r="K2128" s="26" t="str">
        <f>IF(OR(E2128="",E2128="!!!",F2128="NEW"),"",INDEX(J$1:J2127,SUMPRODUCT(MAX(ROW(E$1:E2127)*(E2128=E$1:E2127)))))</f>
        <v> </v>
      </c>
      <c r="L2128" s="27"/>
    </row>
    <row r="2129" spans="1:12">
      <c r="A2129" s="20" t="s">
        <v>307</v>
      </c>
      <c r="E2129" s="22">
        <f>IF(D2129="?OLD","!!!","")</f>
        <v/>
      </c>
      <c r="F2129" s="23" t="str">
        <f>IF(OR(E2129="",E2129="!!!"),"",IF(NOT(ISNA(VLOOKUP(E2129,E$1:E2128,1,FALSE()))),"OLD",IF(AND(E2129&lt;&gt;"",E2129&lt;&gt;"!!!"),"NEW","")))</f>
        <v> </v>
      </c>
      <c r="G2129" s="24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5" t="str">
        <f>IF(J2129&lt;&gt;1,"",IF(I2129="SBJ","CB","?"))</f>
        <v> </v>
      </c>
      <c r="I2129" s="26" t="str">
        <f>IF(OR(E2129="",E2129="!!!",F2129="NEW"),"",INDEX(B2128:B$2,-1+SUMPRODUCT(MAX(ROW(E2128:E$2)*(E2129=E2128:E$2)))))</f>
        <v> </v>
      </c>
      <c r="J2129" s="26" t="str">
        <f>IF(OR(E2129="",E2129="!!!",F2129="NEW"),"",COUNTBLANK(OFFSET(A$1,,,SUMPRODUCT(MAX(ROW(E$2:E2129)*(E2129=E$2:E2129)))))-COUNTBLANK(OFFSET(A$1,,,SUMPRODUCT(MAX(ROW(E$1:E2128)*(E2=E$1:E2128))))))</f>
        <v> </v>
      </c>
      <c r="K2129" s="26" t="str">
        <f>IF(OR(E2129="",E2129="!!!",F2129="NEW"),"",INDEX(J$1:J2128,SUMPRODUCT(MAX(ROW(E$1:E2128)*(E2129=E$1:E2128)))))</f>
        <v> </v>
      </c>
      <c r="L2129" s="27"/>
    </row>
    <row r="2130" spans="1:12">
      <c r="A2130" s="20" t="s">
        <v>583</v>
      </c>
      <c r="E2130" s="22">
        <f>IF(D2130="?OLD","!!!","")</f>
        <v/>
      </c>
      <c r="F2130" s="23" t="str">
        <f>IF(OR(E2130="",E2130="!!!"),"",IF(NOT(ISNA(VLOOKUP(E2130,E$1:E2129,1,FALSE()))),"OLD",IF(AND(E2130&lt;&gt;"",E2130&lt;&gt;"!!!"),"NEW","")))</f>
        <v> </v>
      </c>
      <c r="G2130" s="24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5" t="str">
        <f>IF(J2130&lt;&gt;1,"",IF(I2130="SBJ","CB","?"))</f>
        <v> </v>
      </c>
      <c r="I2130" s="26" t="str">
        <f>IF(OR(E2130="",E2130="!!!",F2130="NEW"),"",INDEX(B2129:B$2,-1+SUMPRODUCT(MAX(ROW(E2129:E$2)*(E2130=E2129:E$2)))))</f>
        <v> </v>
      </c>
      <c r="J2130" s="26" t="str">
        <f>IF(OR(E2130="",E2130="!!!",F2130="NEW"),"",COUNTBLANK(OFFSET(A$1,,,SUMPRODUCT(MAX(ROW(E$2:E2130)*(E2130=E$2:E2130)))))-COUNTBLANK(OFFSET(A$1,,,SUMPRODUCT(MAX(ROW(E$1:E2129)*(E2=E$1:E2129))))))</f>
        <v> </v>
      </c>
      <c r="K2130" s="26" t="str">
        <f>IF(OR(E2130="",E2130="!!!",F2130="NEW"),"",INDEX(J$1:J2129,SUMPRODUCT(MAX(ROW(E$1:E2129)*(E2130=E$1:E2129)))))</f>
        <v> </v>
      </c>
      <c r="L2130" s="27"/>
    </row>
    <row r="2131" spans="1:12">
      <c r="A2131" s="20" t="s">
        <v>1564</v>
      </c>
      <c r="E2131" s="22">
        <f>IF(D2131="?OLD","!!!","")</f>
        <v/>
      </c>
      <c r="F2131" s="23" t="str">
        <f>IF(OR(E2131="",E2131="!!!"),"",IF(NOT(ISNA(VLOOKUP(E2131,E$1:E2130,1,FALSE()))),"OLD",IF(AND(E2131&lt;&gt;"",E2131&lt;&gt;"!!!"),"NEW","")))</f>
        <v> </v>
      </c>
      <c r="G2131" s="24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5" t="str">
        <f>IF(J2131&lt;&gt;1,"",IF(I2131="SBJ","CB","?"))</f>
        <v> </v>
      </c>
      <c r="I2131" s="26" t="str">
        <f>IF(OR(E2131="",E2131="!!!",F2131="NEW"),"",INDEX(B2130:B$2,-1+SUMPRODUCT(MAX(ROW(E2130:E$2)*(E2131=E2130:E$2)))))</f>
        <v> </v>
      </c>
      <c r="J2131" s="26" t="str">
        <f>IF(OR(E2131="",E2131="!!!",F2131="NEW"),"",COUNTBLANK(OFFSET(A$1,,,SUMPRODUCT(MAX(ROW(E$2:E2131)*(E2131=E$2:E2131)))))-COUNTBLANK(OFFSET(A$1,,,SUMPRODUCT(MAX(ROW(E$1:E2130)*(E2=E$1:E2130))))))</f>
        <v> </v>
      </c>
      <c r="K2131" s="26" t="str">
        <f>IF(OR(E2131="",E2131="!!!",F2131="NEW"),"",INDEX(J$1:J2130,SUMPRODUCT(MAX(ROW(E$1:E2130)*(E2131=E$1:E2130)))))</f>
        <v> </v>
      </c>
      <c r="L2131" s="27"/>
    </row>
    <row r="2132" spans="1:12">
      <c r="A2132" s="20" t="s">
        <v>688</v>
      </c>
      <c r="E2132" s="22">
        <f>IF(D2132="?OLD","!!!","")</f>
        <v/>
      </c>
      <c r="F2132" s="23" t="str">
        <f>IF(OR(E2132="",E2132="!!!"),"",IF(NOT(ISNA(VLOOKUP(E2132,E$1:E2131,1,FALSE()))),"OLD",IF(AND(E2132&lt;&gt;"",E2132&lt;&gt;"!!!"),"NEW","")))</f>
        <v> </v>
      </c>
      <c r="G2132" s="24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5" t="str">
        <f>IF(J2132&lt;&gt;1,"",IF(I2132="SBJ","CB","?"))</f>
        <v> </v>
      </c>
      <c r="I2132" s="26" t="str">
        <f>IF(OR(E2132="",E2132="!!!",F2132="NEW"),"",INDEX(B2131:B$2,-1+SUMPRODUCT(MAX(ROW(E2131:E$2)*(E2132=E2131:E$2)))))</f>
        <v> </v>
      </c>
      <c r="J2132" s="26" t="str">
        <f>IF(OR(E2132="",E2132="!!!",F2132="NEW"),"",COUNTBLANK(OFFSET(A$1,,,SUMPRODUCT(MAX(ROW(E$2:E2132)*(E2132=E$2:E2132)))))-COUNTBLANK(OFFSET(A$1,,,SUMPRODUCT(MAX(ROW(E$1:E2131)*(E2=E$1:E2131))))))</f>
        <v> </v>
      </c>
      <c r="K2132" s="26" t="str">
        <f>IF(OR(E2132="",E2132="!!!",F2132="NEW"),"",INDEX(J$1:J2131,SUMPRODUCT(MAX(ROW(E$1:E2131)*(E2132=E$1:E2131)))))</f>
        <v> </v>
      </c>
      <c r="L2132" s="27"/>
    </row>
    <row r="2133" spans="1:12">
      <c r="A2133" s="20" t="s">
        <v>898</v>
      </c>
      <c r="B2133" s="21" t="s">
        <v>722</v>
      </c>
      <c r="C2133" s="21" t="s">
        <v>586</v>
      </c>
      <c r="D2133" s="21" t="s">
        <v>587</v>
      </c>
      <c r="E2133" s="22">
        <f>IF(D2133="?OLD","!!!","")</f>
        <v/>
      </c>
      <c r="F2133" s="23" t="str">
        <f>IF(OR(E2133="",E2133="!!!"),"",IF(NOT(ISNA(VLOOKUP(E2133,E$1:E2132,1,FALSE()))),"OLD",IF(AND(E2133&lt;&gt;"",E2133&lt;&gt;"!!!"),"NEW","")))</f>
        <v> </v>
      </c>
      <c r="G2133" s="24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5" t="str">
        <f>IF(J2133&lt;&gt;1,"",IF(I2133="SBJ","CB","?"))</f>
        <v> </v>
      </c>
      <c r="I2133" s="26" t="str">
        <f>IF(OR(E2133="",E2133="!!!",F2133="NEW"),"",INDEX(B2132:B$2,-1+SUMPRODUCT(MAX(ROW(E2132:E$2)*(E2133=E2132:E$2)))))</f>
        <v> </v>
      </c>
      <c r="J2133" s="26" t="str">
        <f>IF(OR(E2133="",E2133="!!!",F2133="NEW"),"",COUNTBLANK(OFFSET(A$1,,,SUMPRODUCT(MAX(ROW(E$2:E2133)*(E2133=E$2:E2133)))))-COUNTBLANK(OFFSET(A$1,,,SUMPRODUCT(MAX(ROW(E$1:E2132)*(E2=E$1:E2132))))))</f>
        <v> </v>
      </c>
      <c r="K2133" s="26" t="str">
        <f>IF(OR(E2133="",E2133="!!!",F2133="NEW"),"",INDEX(J$1:J2132,SUMPRODUCT(MAX(ROW(E$1:E2132)*(E2133=E$1:E2132)))))</f>
        <v> </v>
      </c>
      <c r="L2133" s="27"/>
    </row>
    <row r="2134" spans="1:12">
      <c r="A2134" s="20" t="s">
        <v>583</v>
      </c>
      <c r="E2134" s="22">
        <f>IF(D2134="?OLD","!!!","")</f>
        <v/>
      </c>
      <c r="F2134" s="23" t="str">
        <f>IF(OR(E2134="",E2134="!!!"),"",IF(NOT(ISNA(VLOOKUP(E2134,E$1:E2133,1,FALSE()))),"OLD",IF(AND(E2134&lt;&gt;"",E2134&lt;&gt;"!!!"),"NEW","")))</f>
        <v> </v>
      </c>
      <c r="G2134" s="24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5" t="str">
        <f>IF(J2134&lt;&gt;1,"",IF(I2134="SBJ","CB","?"))</f>
        <v> </v>
      </c>
      <c r="I2134" s="26" t="str">
        <f>IF(OR(E2134="",E2134="!!!",F2134="NEW"),"",INDEX(B2133:B$2,-1+SUMPRODUCT(MAX(ROW(E2133:E$2)*(E2134=E2133:E$2)))))</f>
        <v> </v>
      </c>
      <c r="J2134" s="26" t="str">
        <f>IF(OR(E2134="",E2134="!!!",F2134="NEW"),"",COUNTBLANK(OFFSET(A$1,,,SUMPRODUCT(MAX(ROW(E$2:E2134)*(E2134=E$2:E2134)))))-COUNTBLANK(OFFSET(A$1,,,SUMPRODUCT(MAX(ROW(E$1:E2133)*(E2=E$1:E2133))))))</f>
        <v> </v>
      </c>
      <c r="K2134" s="26" t="str">
        <f>IF(OR(E2134="",E2134="!!!",F2134="NEW"),"",INDEX(J$1:J2133,SUMPRODUCT(MAX(ROW(E$1:E2133)*(E2134=E$1:E2133)))))</f>
        <v> </v>
      </c>
      <c r="L2134" s="27"/>
    </row>
    <row r="2135" spans="1:12">
      <c r="A2135" s="20" t="s">
        <v>1565</v>
      </c>
      <c r="E2135" s="22">
        <f>IF(D2135="?OLD","!!!","")</f>
        <v/>
      </c>
      <c r="F2135" s="23" t="str">
        <f>IF(OR(E2135="",E2135="!!!"),"",IF(NOT(ISNA(VLOOKUP(E2135,E$1:E2134,1,FALSE()))),"OLD",IF(AND(E2135&lt;&gt;"",E2135&lt;&gt;"!!!"),"NEW","")))</f>
        <v> </v>
      </c>
      <c r="G2135" s="24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5" t="str">
        <f>IF(J2135&lt;&gt;1,"",IF(I2135="SBJ","CB","?"))</f>
        <v> </v>
      </c>
      <c r="I2135" s="26" t="str">
        <f>IF(OR(E2135="",E2135="!!!",F2135="NEW"),"",INDEX(B2134:B$2,-1+SUMPRODUCT(MAX(ROW(E2134:E$2)*(E2135=E2134:E$2)))))</f>
        <v> </v>
      </c>
      <c r="J2135" s="26" t="str">
        <f>IF(OR(E2135="",E2135="!!!",F2135="NEW"),"",COUNTBLANK(OFFSET(A$1,,,SUMPRODUCT(MAX(ROW(E$2:E2135)*(E2135=E$2:E2135)))))-COUNTBLANK(OFFSET(A$1,,,SUMPRODUCT(MAX(ROW(E$1:E2134)*(E2=E$1:E2134))))))</f>
        <v> </v>
      </c>
      <c r="K2135" s="26" t="str">
        <f>IF(OR(E2135="",E2135="!!!",F2135="NEW"),"",INDEX(J$1:J2134,SUMPRODUCT(MAX(ROW(E$1:E2134)*(E2135=E$1:E2134)))))</f>
        <v> </v>
      </c>
      <c r="L2135" s="27"/>
    </row>
    <row r="2136" spans="1:12">
      <c r="A2136" s="20" t="s">
        <v>1434</v>
      </c>
      <c r="E2136" s="22">
        <f>IF(D2136="?OLD","!!!","")</f>
        <v/>
      </c>
      <c r="F2136" s="23" t="str">
        <f>IF(OR(E2136="",E2136="!!!"),"",IF(NOT(ISNA(VLOOKUP(E2136,E$1:E2135,1,FALSE()))),"OLD",IF(AND(E2136&lt;&gt;"",E2136&lt;&gt;"!!!"),"NEW","")))</f>
        <v> </v>
      </c>
      <c r="G2136" s="24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5" t="str">
        <f>IF(J2136&lt;&gt;1,"",IF(I2136="SBJ","CB","?"))</f>
        <v> </v>
      </c>
      <c r="I2136" s="26" t="str">
        <f>IF(OR(E2136="",E2136="!!!",F2136="NEW"),"",INDEX(B2135:B$2,-1+SUMPRODUCT(MAX(ROW(E2135:E$2)*(E2136=E2135:E$2)))))</f>
        <v> </v>
      </c>
      <c r="J2136" s="26" t="str">
        <f>IF(OR(E2136="",E2136="!!!",F2136="NEW"),"",COUNTBLANK(OFFSET(A$1,,,SUMPRODUCT(MAX(ROW(E$2:E2136)*(E2136=E$2:E2136)))))-COUNTBLANK(OFFSET(A$1,,,SUMPRODUCT(MAX(ROW(E$1:E2135)*(E2=E$1:E2135))))))</f>
        <v> </v>
      </c>
      <c r="K2136" s="26" t="str">
        <f>IF(OR(E2136="",E2136="!!!",F2136="NEW"),"",INDEX(J$1:J2135,SUMPRODUCT(MAX(ROW(E$1:E2135)*(E2136=E$1:E2135)))))</f>
        <v> </v>
      </c>
      <c r="L2136" s="27"/>
    </row>
    <row r="2137" spans="1:12">
      <c r="A2137" s="20" t="s">
        <v>735</v>
      </c>
      <c r="B2137" s="21" t="s">
        <v>961</v>
      </c>
      <c r="E2137" s="22">
        <f>IF(D2137="?OLD","!!!","")</f>
        <v/>
      </c>
      <c r="F2137" s="23" t="str">
        <f>IF(OR(E2137="",E2137="!!!"),"",IF(NOT(ISNA(VLOOKUP(E2137,E$1:E2136,1,FALSE()))),"OLD",IF(AND(E2137&lt;&gt;"",E2137&lt;&gt;"!!!"),"NEW","")))</f>
        <v> </v>
      </c>
      <c r="G2137" s="24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5" t="str">
        <f>IF(J2137&lt;&gt;1,"",IF(I2137="SBJ","CB","?"))</f>
        <v> </v>
      </c>
      <c r="I2137" s="26" t="str">
        <f>IF(OR(E2137="",E2137="!!!",F2137="NEW"),"",INDEX(B2136:B$2,-1+SUMPRODUCT(MAX(ROW(E2136:E$2)*(E2137=E2136:E$2)))))</f>
        <v> </v>
      </c>
      <c r="J2137" s="26" t="str">
        <f>IF(OR(E2137="",E2137="!!!",F2137="NEW"),"",COUNTBLANK(OFFSET(A$1,,,SUMPRODUCT(MAX(ROW(E$2:E2137)*(E2137=E$2:E2137)))))-COUNTBLANK(OFFSET(A$1,,,SUMPRODUCT(MAX(ROW(E$1:E2136)*(E2=E$1:E2136))))))</f>
        <v> </v>
      </c>
      <c r="K2137" s="26" t="str">
        <f>IF(OR(E2137="",E2137="!!!",F2137="NEW"),"",INDEX(J$1:J2136,SUMPRODUCT(MAX(ROW(E$1:E2136)*(E2137=E$1:E2136)))))</f>
        <v> </v>
      </c>
      <c r="L2137" s="27"/>
    </row>
    <row r="2138" spans="1:12">
      <c r="A2138" s="20" t="s">
        <v>583</v>
      </c>
      <c r="E2138" s="22">
        <f>IF(D2138="?OLD","!!!","")</f>
        <v/>
      </c>
      <c r="F2138" s="23" t="str">
        <f>IF(OR(E2138="",E2138="!!!"),"",IF(NOT(ISNA(VLOOKUP(E2138,E$1:E2137,1,FALSE()))),"OLD",IF(AND(E2138&lt;&gt;"",E2138&lt;&gt;"!!!"),"NEW","")))</f>
        <v> </v>
      </c>
      <c r="G2138" s="24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5" t="str">
        <f>IF(J2138&lt;&gt;1,"",IF(I2138="SBJ","CB","?"))</f>
        <v> </v>
      </c>
      <c r="I2138" s="26" t="str">
        <f>IF(OR(E2138="",E2138="!!!",F2138="NEW"),"",INDEX(B2137:B$2,-1+SUMPRODUCT(MAX(ROW(E2137:E$2)*(E2138=E2137:E$2)))))</f>
        <v> </v>
      </c>
      <c r="J2138" s="26" t="str">
        <f>IF(OR(E2138="",E2138="!!!",F2138="NEW"),"",COUNTBLANK(OFFSET(A$1,,,SUMPRODUCT(MAX(ROW(E$2:E2138)*(E2138=E$2:E2138)))))-COUNTBLANK(OFFSET(A$1,,,SUMPRODUCT(MAX(ROW(E$1:E2137)*(E2=E$1:E2137))))))</f>
        <v> </v>
      </c>
      <c r="K2138" s="26" t="str">
        <f>IF(OR(E2138="",E2138="!!!",F2138="NEW"),"",INDEX(J$1:J2137,SUMPRODUCT(MAX(ROW(E$1:E2137)*(E2138=E$1:E2137)))))</f>
        <v> </v>
      </c>
      <c r="L2138" s="27"/>
    </row>
    <row r="2139" spans="1:12">
      <c r="A2139" s="20" t="s">
        <v>1566</v>
      </c>
      <c r="E2139" s="22">
        <f>IF(D2139="?OLD","!!!","")</f>
        <v/>
      </c>
      <c r="F2139" s="23" t="str">
        <f>IF(OR(E2139="",E2139="!!!"),"",IF(NOT(ISNA(VLOOKUP(E2139,E$1:E2138,1,FALSE()))),"OLD",IF(AND(E2139&lt;&gt;"",E2139&lt;&gt;"!!!"),"NEW","")))</f>
        <v> </v>
      </c>
      <c r="G2139" s="24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5" t="str">
        <f>IF(J2139&lt;&gt;1,"",IF(I2139="SBJ","CB","?"))</f>
        <v> </v>
      </c>
      <c r="I2139" s="26" t="str">
        <f>IF(OR(E2139="",E2139="!!!",F2139="NEW"),"",INDEX(B2138:B$2,-1+SUMPRODUCT(MAX(ROW(E2138:E$2)*(E2139=E2138:E$2)))))</f>
        <v> </v>
      </c>
      <c r="J2139" s="26" t="str">
        <f>IF(OR(E2139="",E2139="!!!",F2139="NEW"),"",COUNTBLANK(OFFSET(A$1,,,SUMPRODUCT(MAX(ROW(E$2:E2139)*(E2139=E$2:E2139)))))-COUNTBLANK(OFFSET(A$1,,,SUMPRODUCT(MAX(ROW(E$1:E2138)*(E2=E$1:E2138))))))</f>
        <v> </v>
      </c>
      <c r="K2139" s="26" t="str">
        <f>IF(OR(E2139="",E2139="!!!",F2139="NEW"),"",INDEX(J$1:J2138,SUMPRODUCT(MAX(ROW(E$1:E2138)*(E2139=E$1:E2138)))))</f>
        <v> </v>
      </c>
      <c r="L2139" s="27"/>
    </row>
    <row r="2140" spans="1:12">
      <c r="A2140" s="20" t="s">
        <v>759</v>
      </c>
      <c r="B2140" s="21" t="s">
        <v>1567</v>
      </c>
      <c r="C2140" s="21" t="s">
        <v>602</v>
      </c>
      <c r="E2140" s="22">
        <f>IF(D2140="?OLD","!!!","")</f>
        <v/>
      </c>
      <c r="F2140" s="23" t="str">
        <f>IF(OR(E2140="",E2140="!!!"),"",IF(NOT(ISNA(VLOOKUP(E2140,E$1:E2139,1,FALSE()))),"OLD",IF(AND(E2140&lt;&gt;"",E2140&lt;&gt;"!!!"),"NEW","")))</f>
        <v> </v>
      </c>
      <c r="G2140" s="24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5" t="str">
        <f>IF(J2140&lt;&gt;1,"",IF(I2140="SBJ","CB","?"))</f>
        <v> </v>
      </c>
      <c r="I2140" s="26" t="str">
        <f>IF(OR(E2140="",E2140="!!!",F2140="NEW"),"",INDEX(B2139:B$2,-1+SUMPRODUCT(MAX(ROW(E2139:E$2)*(E2140=E2139:E$2)))))</f>
        <v> </v>
      </c>
      <c r="J2140" s="26" t="str">
        <f>IF(OR(E2140="",E2140="!!!",F2140="NEW"),"",COUNTBLANK(OFFSET(A$1,,,SUMPRODUCT(MAX(ROW(E$2:E2140)*(E2140=E$2:E2140)))))-COUNTBLANK(OFFSET(A$1,,,SUMPRODUCT(MAX(ROW(E$1:E2139)*(E2=E$1:E2139))))))</f>
        <v> </v>
      </c>
      <c r="K2140" s="26" t="str">
        <f>IF(OR(E2140="",E2140="!!!",F2140="NEW"),"",INDEX(J$1:J2139,SUMPRODUCT(MAX(ROW(E$1:E2139)*(E2140=E$1:E2139)))))</f>
        <v> </v>
      </c>
      <c r="L2140" s="27"/>
    </row>
    <row r="2141" spans="1:12">
      <c r="A2141" s="20" t="s">
        <v>677</v>
      </c>
      <c r="E2141" s="22">
        <f>IF(D2141="?OLD","!!!","")</f>
        <v/>
      </c>
      <c r="F2141" s="23" t="str">
        <f>IF(OR(E2141="",E2141="!!!"),"",IF(NOT(ISNA(VLOOKUP(E2141,E$1:E2140,1,FALSE()))),"OLD",IF(AND(E2141&lt;&gt;"",E2141&lt;&gt;"!!!"),"NEW","")))</f>
        <v> </v>
      </c>
      <c r="G2141" s="24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5" t="str">
        <f>IF(J2141&lt;&gt;1,"",IF(I2141="SBJ","CB","?"))</f>
        <v> </v>
      </c>
      <c r="I2141" s="26" t="str">
        <f>IF(OR(E2141="",E2141="!!!",F2141="NEW"),"",INDEX(B2140:B$2,-1+SUMPRODUCT(MAX(ROW(E2140:E$2)*(E2141=E2140:E$2)))))</f>
        <v> </v>
      </c>
      <c r="J2141" s="26" t="str">
        <f>IF(OR(E2141="",E2141="!!!",F2141="NEW"),"",COUNTBLANK(OFFSET(A$1,,,SUMPRODUCT(MAX(ROW(E$2:E2141)*(E2141=E$2:E2141)))))-COUNTBLANK(OFFSET(A$1,,,SUMPRODUCT(MAX(ROW(E$1:E2140)*(E2=E$1:E2140))))))</f>
        <v> </v>
      </c>
      <c r="K2141" s="26" t="str">
        <f>IF(OR(E2141="",E2141="!!!",F2141="NEW"),"",INDEX(J$1:J2140,SUMPRODUCT(MAX(ROW(E$1:E2140)*(E2141=E$1:E2140)))))</f>
        <v> </v>
      </c>
      <c r="L2141" s="27"/>
    </row>
    <row r="2142" spans="1:12">
      <c r="A2142" s="20" t="s">
        <v>1009</v>
      </c>
      <c r="E2142" s="22">
        <f>IF(D2142="?OLD","!!!","")</f>
        <v/>
      </c>
      <c r="F2142" s="23" t="str">
        <f>IF(OR(E2142="",E2142="!!!"),"",IF(NOT(ISNA(VLOOKUP(E2142,E$1:E2141,1,FALSE()))),"OLD",IF(AND(E2142&lt;&gt;"",E2142&lt;&gt;"!!!"),"NEW","")))</f>
        <v> </v>
      </c>
      <c r="G2142" s="24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5" t="str">
        <f>IF(J2142&lt;&gt;1,"",IF(I2142="SBJ","CB","?"))</f>
        <v> </v>
      </c>
      <c r="I2142" s="26" t="str">
        <f>IF(OR(E2142="",E2142="!!!",F2142="NEW"),"",INDEX(B2141:B$2,-1+SUMPRODUCT(MAX(ROW(E2141:E$2)*(E2142=E2141:E$2)))))</f>
        <v> </v>
      </c>
      <c r="J2142" s="26" t="str">
        <f>IF(OR(E2142="",E2142="!!!",F2142="NEW"),"",COUNTBLANK(OFFSET(A$1,,,SUMPRODUCT(MAX(ROW(E$2:E2142)*(E2142=E$2:E2142)))))-COUNTBLANK(OFFSET(A$1,,,SUMPRODUCT(MAX(ROW(E$1:E2141)*(E2=E$1:E2141))))))</f>
        <v> </v>
      </c>
      <c r="K2142" s="26" t="str">
        <f>IF(OR(E2142="",E2142="!!!",F2142="NEW"),"",INDEX(J$1:J2141,SUMPRODUCT(MAX(ROW(E$1:E2141)*(E2142=E$1:E2141)))))</f>
        <v> </v>
      </c>
      <c r="L2142" s="27"/>
    </row>
    <row r="2143" spans="1:12">
      <c r="A2143" s="20" t="s">
        <v>754</v>
      </c>
      <c r="B2143" s="21" t="s">
        <v>791</v>
      </c>
      <c r="C2143" s="21" t="s">
        <v>709</v>
      </c>
      <c r="D2143" s="21" t="s">
        <v>587</v>
      </c>
      <c r="E2143" s="22">
        <f>IF(D2143="?OLD","!!!","")</f>
        <v/>
      </c>
      <c r="F2143" s="23" t="str">
        <f>IF(OR(E2143="",E2143="!!!"),"",IF(NOT(ISNA(VLOOKUP(E2143,E$1:E2142,1,FALSE()))),"OLD",IF(AND(E2143&lt;&gt;"",E2143&lt;&gt;"!!!"),"NEW","")))</f>
        <v> </v>
      </c>
      <c r="G2143" s="24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5" t="str">
        <f>IF(J2143&lt;&gt;1,"",IF(I2143="SBJ","CB","?"))</f>
        <v> </v>
      </c>
      <c r="I2143" s="26" t="str">
        <f>IF(OR(E2143="",E2143="!!!",F2143="NEW"),"",INDEX(B2142:B$2,-1+SUMPRODUCT(MAX(ROW(E2142:E$2)*(E2143=E2142:E$2)))))</f>
        <v> </v>
      </c>
      <c r="J2143" s="26" t="str">
        <f>IF(OR(E2143="",E2143="!!!",F2143="NEW"),"",COUNTBLANK(OFFSET(A$1,,,SUMPRODUCT(MAX(ROW(E$2:E2143)*(E2143=E$2:E2143)))))-COUNTBLANK(OFFSET(A$1,,,SUMPRODUCT(MAX(ROW(E$1:E2142)*(E2=E$1:E2142))))))</f>
        <v> </v>
      </c>
      <c r="K2143" s="26" t="str">
        <f>IF(OR(E2143="",E2143="!!!",F2143="NEW"),"",INDEX(J$1:J2142,SUMPRODUCT(MAX(ROW(E$1:E2142)*(E2143=E$1:E2142)))))</f>
        <v> </v>
      </c>
      <c r="L2143" s="27"/>
    </row>
    <row r="2144" spans="1:12">
      <c r="A2144" s="20" t="s">
        <v>583</v>
      </c>
      <c r="E2144" s="22">
        <f>IF(D2144="?OLD","!!!","")</f>
        <v/>
      </c>
      <c r="F2144" s="23" t="str">
        <f>IF(OR(E2144="",E2144="!!!"),"",IF(NOT(ISNA(VLOOKUP(E2144,E$1:E2143,1,FALSE()))),"OLD",IF(AND(E2144&lt;&gt;"",E2144&lt;&gt;"!!!"),"NEW","")))</f>
        <v> </v>
      </c>
      <c r="G2144" s="24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5" t="str">
        <f>IF(J2144&lt;&gt;1,"",IF(I2144="SBJ","CB","?"))</f>
        <v> </v>
      </c>
      <c r="I2144" s="26" t="str">
        <f>IF(OR(E2144="",E2144="!!!",F2144="NEW"),"",INDEX(B2143:B$2,-1+SUMPRODUCT(MAX(ROW(E2143:E$2)*(E2144=E2143:E$2)))))</f>
        <v> </v>
      </c>
      <c r="J2144" s="26" t="str">
        <f>IF(OR(E2144="",E2144="!!!",F2144="NEW"),"",COUNTBLANK(OFFSET(A$1,,,SUMPRODUCT(MAX(ROW(E$2:E2144)*(E2144=E$2:E2144)))))-COUNTBLANK(OFFSET(A$1,,,SUMPRODUCT(MAX(ROW(E$1:E2143)*(E2=E$1:E2143))))))</f>
        <v> </v>
      </c>
      <c r="K2144" s="26" t="str">
        <f>IF(OR(E2144="",E2144="!!!",F2144="NEW"),"",INDEX(J$1:J2143,SUMPRODUCT(MAX(ROW(E$1:E2143)*(E2144=E$1:E2143)))))</f>
        <v> </v>
      </c>
      <c r="L2144" s="27"/>
    </row>
    <row r="2145" spans="1:12">
      <c r="A2145" s="20" t="s">
        <v>1568</v>
      </c>
      <c r="E2145" s="22">
        <f>IF(D2145="?OLD","!!!","")</f>
        <v/>
      </c>
      <c r="F2145" s="23" t="str">
        <f>IF(OR(E2145="",E2145="!!!"),"",IF(NOT(ISNA(VLOOKUP(E2145,E$1:E2144,1,FALSE()))),"OLD",IF(AND(E2145&lt;&gt;"",E2145&lt;&gt;"!!!"),"NEW","")))</f>
        <v> </v>
      </c>
      <c r="G2145" s="24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5" t="str">
        <f>IF(J2145&lt;&gt;1,"",IF(I2145="SBJ","CB","?"))</f>
        <v> </v>
      </c>
      <c r="I2145" s="26" t="str">
        <f>IF(OR(E2145="",E2145="!!!",F2145="NEW"),"",INDEX(B2144:B$2,-1+SUMPRODUCT(MAX(ROW(E2144:E$2)*(E2145=E2144:E$2)))))</f>
        <v> </v>
      </c>
      <c r="J2145" s="26" t="str">
        <f>IF(OR(E2145="",E2145="!!!",F2145="NEW"),"",COUNTBLANK(OFFSET(A$1,,,SUMPRODUCT(MAX(ROW(E$2:E2145)*(E2145=E$2:E2145)))))-COUNTBLANK(OFFSET(A$1,,,SUMPRODUCT(MAX(ROW(E$1:E2144)*(E2=E$1:E2144))))))</f>
        <v> </v>
      </c>
      <c r="K2145" s="26" t="str">
        <f>IF(OR(E2145="",E2145="!!!",F2145="NEW"),"",INDEX(J$1:J2144,SUMPRODUCT(MAX(ROW(E$1:E2144)*(E2145=E$1:E2144)))))</f>
        <v> </v>
      </c>
      <c r="L2145" s="27"/>
    </row>
    <row r="2146" spans="1:12">
      <c r="A2146" s="20" t="s">
        <v>948</v>
      </c>
      <c r="E2146" s="22">
        <f>IF(D2146="?OLD","!!!","")</f>
        <v/>
      </c>
      <c r="F2146" s="23" t="str">
        <f>IF(OR(E2146="",E2146="!!!"),"",IF(NOT(ISNA(VLOOKUP(E2146,E$1:E2145,1,FALSE()))),"OLD",IF(AND(E2146&lt;&gt;"",E2146&lt;&gt;"!!!"),"NEW","")))</f>
        <v> </v>
      </c>
      <c r="G2146" s="24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5" t="str">
        <f>IF(J2146&lt;&gt;1,"",IF(I2146="SBJ","CB","?"))</f>
        <v> </v>
      </c>
      <c r="I2146" s="26" t="str">
        <f>IF(OR(E2146="",E2146="!!!",F2146="NEW"),"",INDEX(B2145:B$2,-1+SUMPRODUCT(MAX(ROW(E2145:E$2)*(E2146=E2145:E$2)))))</f>
        <v> </v>
      </c>
      <c r="J2146" s="26" t="str">
        <f>IF(OR(E2146="",E2146="!!!",F2146="NEW"),"",COUNTBLANK(OFFSET(A$1,,,SUMPRODUCT(MAX(ROW(E$2:E2146)*(E2146=E$2:E2146)))))-COUNTBLANK(OFFSET(A$1,,,SUMPRODUCT(MAX(ROW(E$1:E2145)*(E2=E$1:E2145))))))</f>
        <v> </v>
      </c>
      <c r="K2146" s="26" t="str">
        <f>IF(OR(E2146="",E2146="!!!",F2146="NEW"),"",INDEX(J$1:J2145,SUMPRODUCT(MAX(ROW(E$1:E2145)*(E2146=E$1:E2145)))))</f>
        <v> </v>
      </c>
      <c r="L2146" s="27"/>
    </row>
    <row r="2147" spans="1:12">
      <c r="A2147" s="20" t="s">
        <v>1569</v>
      </c>
      <c r="E2147" s="22">
        <f>IF(D2147="?OLD","!!!","")</f>
        <v/>
      </c>
      <c r="F2147" s="23" t="str">
        <f>IF(OR(E2147="",E2147="!!!"),"",IF(NOT(ISNA(VLOOKUP(E2147,E$1:E2146,1,FALSE()))),"OLD",IF(AND(E2147&lt;&gt;"",E2147&lt;&gt;"!!!"),"NEW","")))</f>
        <v> </v>
      </c>
      <c r="G2147" s="24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5" t="str">
        <f>IF(J2147&lt;&gt;1,"",IF(I2147="SBJ","CB","?"))</f>
        <v> </v>
      </c>
      <c r="I2147" s="26" t="str">
        <f>IF(OR(E2147="",E2147="!!!",F2147="NEW"),"",INDEX(B2146:B$2,-1+SUMPRODUCT(MAX(ROW(E2146:E$2)*(E2147=E2146:E$2)))))</f>
        <v> </v>
      </c>
      <c r="J2147" s="26" t="str">
        <f>IF(OR(E2147="",E2147="!!!",F2147="NEW"),"",COUNTBLANK(OFFSET(A$1,,,SUMPRODUCT(MAX(ROW(E$2:E2147)*(E2147=E$2:E2147)))))-COUNTBLANK(OFFSET(A$1,,,SUMPRODUCT(MAX(ROW(E$1:E2146)*(E2=E$1:E2146))))))</f>
        <v> </v>
      </c>
      <c r="K2147" s="26" t="str">
        <f>IF(OR(E2147="",E2147="!!!",F2147="NEW"),"",INDEX(J$1:J2146,SUMPRODUCT(MAX(ROW(E$1:E2146)*(E2147=E$1:E2146)))))</f>
        <v> </v>
      </c>
      <c r="L2147" s="27"/>
    </row>
    <row r="2148" spans="1:12">
      <c r="A2148" s="20" t="s">
        <v>725</v>
      </c>
      <c r="E2148" s="22">
        <f>IF(D2148="?OLD","!!!","")</f>
        <v/>
      </c>
      <c r="F2148" s="23" t="str">
        <f>IF(OR(E2148="",E2148="!!!"),"",IF(NOT(ISNA(VLOOKUP(E2148,E$1:E2147,1,FALSE()))),"OLD",IF(AND(E2148&lt;&gt;"",E2148&lt;&gt;"!!!"),"NEW","")))</f>
        <v> </v>
      </c>
      <c r="G2148" s="24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5" t="str">
        <f>IF(J2148&lt;&gt;1,"",IF(I2148="SBJ","CB","?"))</f>
        <v> </v>
      </c>
      <c r="I2148" s="26" t="str">
        <f>IF(OR(E2148="",E2148="!!!",F2148="NEW"),"",INDEX(B2147:B$2,-1+SUMPRODUCT(MAX(ROW(E2147:E$2)*(E2148=E2147:E$2)))))</f>
        <v> </v>
      </c>
      <c r="J2148" s="26" t="str">
        <f>IF(OR(E2148="",E2148="!!!",F2148="NEW"),"",COUNTBLANK(OFFSET(A$1,,,SUMPRODUCT(MAX(ROW(E$2:E2148)*(E2148=E$2:E2148)))))-COUNTBLANK(OFFSET(A$1,,,SUMPRODUCT(MAX(ROW(E$1:E2147)*(E2=E$1:E2147))))))</f>
        <v> </v>
      </c>
      <c r="K2148" s="26" t="str">
        <f>IF(OR(E2148="",E2148="!!!",F2148="NEW"),"",INDEX(J$1:J2147,SUMPRODUCT(MAX(ROW(E$1:E2147)*(E2148=E$1:E2147)))))</f>
        <v> </v>
      </c>
      <c r="L2148" s="27"/>
    </row>
    <row r="2149" spans="1:12">
      <c r="A2149" s="20" t="s">
        <v>633</v>
      </c>
      <c r="E2149" s="22">
        <f>IF(D2149="?OLD","!!!","")</f>
        <v/>
      </c>
      <c r="F2149" s="23" t="str">
        <f>IF(OR(E2149="",E2149="!!!"),"",IF(NOT(ISNA(VLOOKUP(E2149,E$1:E2148,1,FALSE()))),"OLD",IF(AND(E2149&lt;&gt;"",E2149&lt;&gt;"!!!"),"NEW","")))</f>
        <v> </v>
      </c>
      <c r="G2149" s="24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5" t="str">
        <f>IF(J2149&lt;&gt;1,"",IF(I2149="SBJ","CB","?"))</f>
        <v> </v>
      </c>
      <c r="I2149" s="26" t="str">
        <f>IF(OR(E2149="",E2149="!!!",F2149="NEW"),"",INDEX(B2148:B$2,-1+SUMPRODUCT(MAX(ROW(E2148:E$2)*(E2149=E2148:E$2)))))</f>
        <v> </v>
      </c>
      <c r="J2149" s="26" t="str">
        <f>IF(OR(E2149="",E2149="!!!",F2149="NEW"),"",COUNTBLANK(OFFSET(A$1,,,SUMPRODUCT(MAX(ROW(E$2:E2149)*(E2149=E$2:E2149)))))-COUNTBLANK(OFFSET(A$1,,,SUMPRODUCT(MAX(ROW(E$1:E2148)*(E2=E$1:E2148))))))</f>
        <v> </v>
      </c>
      <c r="K2149" s="26" t="str">
        <f>IF(OR(E2149="",E2149="!!!",F2149="NEW"),"",INDEX(J$1:J2148,SUMPRODUCT(MAX(ROW(E$1:E2148)*(E2149=E$1:E2148)))))</f>
        <v> </v>
      </c>
      <c r="L2149" s="27"/>
    </row>
    <row r="2150" spans="1:12">
      <c r="A2150" s="20" t="s">
        <v>592</v>
      </c>
      <c r="E2150" s="22">
        <f>IF(D2150="?OLD","!!!","")</f>
        <v/>
      </c>
      <c r="F2150" s="23" t="str">
        <f>IF(OR(E2150="",E2150="!!!"),"",IF(NOT(ISNA(VLOOKUP(E2150,E$1:E2149,1,FALSE()))),"OLD",IF(AND(E2150&lt;&gt;"",E2150&lt;&gt;"!!!"),"NEW","")))</f>
        <v> </v>
      </c>
      <c r="G2150" s="24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5" t="str">
        <f>IF(J2150&lt;&gt;1,"",IF(I2150="SBJ","CB","?"))</f>
        <v> </v>
      </c>
      <c r="I2150" s="26" t="str">
        <f>IF(OR(E2150="",E2150="!!!",F2150="NEW"),"",INDEX(B2149:B$2,-1+SUMPRODUCT(MAX(ROW(E2149:E$2)*(E2150=E2149:E$2)))))</f>
        <v> </v>
      </c>
      <c r="J2150" s="26" t="str">
        <f>IF(OR(E2150="",E2150="!!!",F2150="NEW"),"",COUNTBLANK(OFFSET(A$1,,,SUMPRODUCT(MAX(ROW(E$2:E2150)*(E2150=E$2:E2150)))))-COUNTBLANK(OFFSET(A$1,,,SUMPRODUCT(MAX(ROW(E$1:E2149)*(E2=E$1:E2149))))))</f>
        <v> </v>
      </c>
      <c r="K2150" s="26" t="str">
        <f>IF(OR(E2150="",E2150="!!!",F2150="NEW"),"",INDEX(J$1:J2149,SUMPRODUCT(MAX(ROW(E$1:E2149)*(E2150=E$1:E2149)))))</f>
        <v> </v>
      </c>
      <c r="L2150" s="27"/>
    </row>
    <row r="2151" spans="1:12">
      <c r="A2151" s="20"/>
    </row>
    <row r="2152" spans="1:12">
      <c r="A2152" s="20" t="s">
        <v>1570</v>
      </c>
    </row>
    <row r="2153" spans="1:12">
      <c r="A2153" s="20" t="s">
        <v>1032</v>
      </c>
      <c r="E2153" s="22">
        <f>IF(D2153="?OLD","!!!","")</f>
        <v/>
      </c>
      <c r="F2153" s="23" t="str">
        <f>IF(OR(E2153="",E2153="!!!"),"",IF(NOT(ISNA(VLOOKUP(E2153,E$1:E2152,1,FALSE()))),"OLD",IF(AND(E2153&lt;&gt;"",E2153&lt;&gt;"!!!"),"NEW","")))</f>
        <v> </v>
      </c>
      <c r="G2153" s="24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5" t="str">
        <f>IF(J2153&lt;&gt;1,"",IF(I2153="SBJ","CB","?"))</f>
        <v> </v>
      </c>
      <c r="I2153" s="26" t="str">
        <f>IF(OR(E2153="",E2153="!!!",F2153="NEW"),"",INDEX(B2152:B$2,-1+SUMPRODUCT(MAX(ROW(E2152:E$2)*(E2153=E2152:E$2)))))</f>
        <v> </v>
      </c>
      <c r="J2153" s="26" t="str">
        <f>IF(OR(E2153="",E2153="!!!",F2153="NEW"),"",COUNTBLANK(OFFSET(A$1,,,SUMPRODUCT(MAX(ROW(E$2:E2153)*(E2153=E$2:E2153)))))-COUNTBLANK(OFFSET(A$1,,,SUMPRODUCT(MAX(ROW(E$1:E2152)*(E2=E$1:E2152))))))</f>
        <v> </v>
      </c>
      <c r="K2153" s="26" t="str">
        <f>IF(OR(E2153="",E2153="!!!",F2153="NEW"),"",INDEX(J$1:J2152,SUMPRODUCT(MAX(ROW(E$1:E2152)*(E2153=E$1:E2152)))))</f>
        <v> </v>
      </c>
      <c r="L2153" s="27"/>
    </row>
    <row r="2154" spans="1:12">
      <c r="A2154" s="20" t="s">
        <v>685</v>
      </c>
      <c r="B2154" s="21" t="s">
        <v>578</v>
      </c>
      <c r="C2154" s="21" t="s">
        <v>613</v>
      </c>
      <c r="D2154" s="21" t="s">
        <v>587</v>
      </c>
      <c r="E2154" s="22">
        <f>IF(D2154="?OLD","!!!","")</f>
        <v/>
      </c>
      <c r="F2154" s="23" t="str">
        <f>IF(OR(E2154="",E2154="!!!"),"",IF(NOT(ISNA(VLOOKUP(E2154,E$1:E2153,1,FALSE()))),"OLD",IF(AND(E2154&lt;&gt;"",E2154&lt;&gt;"!!!"),"NEW","")))</f>
        <v> </v>
      </c>
      <c r="G2154" s="24" t="str">
        <f>IF(OR(E2154="",E2154="!!!"),"",IF(OR(J2154=0,AND(J2154=1,K2154=1),AND(J2154=1,I2154="SBJ"),AND(J2154=1,I2154=0)),"?IN_FOCUS",IF(J2154&lt;=2,"?ACTIVATED",IF(J2154&lt;&gt;"","?FAMILIAR",IF(F2154="NEW",IF(ISNA(VLOOKUP(E2154,#REF!,1,FALSE())),"?TYPE_IDENTIFIABLE","?REFERENTIAL"),"_")))))</f>
        <v> </v>
      </c>
      <c r="H2154" s="25" t="str">
        <f>IF(J2154&lt;&gt;1,"",IF(I2154="SBJ","CB","?"))</f>
        <v> </v>
      </c>
      <c r="I2154" s="26" t="str">
        <f>IF(OR(E2154="",E2154="!!!",F2154="NEW"),"",INDEX(B2153:B$2,-1+SUMPRODUCT(MAX(ROW(E2153:E$2)*(E2154=E2153:E$2)))))</f>
        <v> </v>
      </c>
      <c r="J2154" s="26" t="str">
        <f>IF(OR(E2154="",E2154="!!!",F2154="NEW"),"",COUNTBLANK(OFFSET(A$1,,,SUMPRODUCT(MAX(ROW(E$2:E2154)*(E2154=E$2:E2154)))))-COUNTBLANK(OFFSET(A$1,,,SUMPRODUCT(MAX(ROW(E$1:E2153)*(E2=E$1:E2153))))))</f>
        <v> </v>
      </c>
      <c r="K2154" s="26" t="str">
        <f>IF(OR(E2154="",E2154="!!!",F2154="NEW"),"",INDEX(J$1:J2153,SUMPRODUCT(MAX(ROW(E$1:E2153)*(E2154=E$1:E2153)))))</f>
        <v> </v>
      </c>
      <c r="L2154" s="27"/>
    </row>
    <row r="2155" spans="1:12">
      <c r="A2155" s="20" t="s">
        <v>1512</v>
      </c>
      <c r="E2155" s="22">
        <f>IF(D2155="?OLD","!!!","")</f>
        <v/>
      </c>
      <c r="F2155" s="23" t="str">
        <f>IF(OR(E2155="",E2155="!!!"),"",IF(NOT(ISNA(VLOOKUP(E2155,E$1:E2154,1,FALSE()))),"OLD",IF(AND(E2155&lt;&gt;"",E2155&lt;&gt;"!!!"),"NEW","")))</f>
        <v> </v>
      </c>
      <c r="G2155" s="24" t="str">
        <f>IF(OR(E2155="",E2155="!!!"),"",IF(OR(J2155=0,AND(J2155=1,K2155=1),AND(J2155=1,I2155="SBJ"),AND(J2155=1,I2155=0)),"?IN_FOCUS",IF(J2155&lt;=2,"?ACTIVATED",IF(J2155&lt;&gt;"","?FAMILIAR",IF(F2155="NEW",IF(ISNA(VLOOKUP(E2155,#REF!,1,FALSE())),"?TYPE_IDENTIFIABLE","?REFERENTIAL"),"_")))))</f>
        <v> </v>
      </c>
      <c r="H2155" s="25" t="str">
        <f>IF(J2155&lt;&gt;1,"",IF(I2155="SBJ","CB","?"))</f>
        <v> </v>
      </c>
      <c r="I2155" s="26" t="str">
        <f>IF(OR(E2155="",E2155="!!!",F2155="NEW"),"",INDEX(B2154:B$2,-1+SUMPRODUCT(MAX(ROW(E2154:E$2)*(E2155=E2154:E$2)))))</f>
        <v> </v>
      </c>
      <c r="J2155" s="26" t="str">
        <f>IF(OR(E2155="",E2155="!!!",F2155="NEW"),"",COUNTBLANK(OFFSET(A$1,,,SUMPRODUCT(MAX(ROW(E$2:E2155)*(E2155=E$2:E2155)))))-COUNTBLANK(OFFSET(A$1,,,SUMPRODUCT(MAX(ROW(E$1:E2154)*(E2=E$1:E2154))))))</f>
        <v> </v>
      </c>
      <c r="K2155" s="26" t="str">
        <f>IF(OR(E2155="",E2155="!!!",F2155="NEW"),"",INDEX(J$1:J2154,SUMPRODUCT(MAX(ROW(E$1:E2154)*(E2155=E$1:E2154)))))</f>
        <v> </v>
      </c>
      <c r="L2155" s="27"/>
    </row>
    <row r="2156" spans="1:12">
      <c r="A2156" s="20" t="s">
        <v>986</v>
      </c>
      <c r="E2156" s="22">
        <f>IF(D2156="?OLD","!!!","")</f>
        <v/>
      </c>
      <c r="F2156" s="23" t="str">
        <f>IF(OR(E2156="",E2156="!!!"),"",IF(NOT(ISNA(VLOOKUP(E2156,E$1:E2155,1,FALSE()))),"OLD",IF(AND(E2156&lt;&gt;"",E2156&lt;&gt;"!!!"),"NEW","")))</f>
        <v> </v>
      </c>
      <c r="G2156" s="24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5" t="str">
        <f>IF(J2156&lt;&gt;1,"",IF(I2156="SBJ","CB","?"))</f>
        <v> </v>
      </c>
      <c r="I2156" s="26" t="str">
        <f>IF(OR(E2156="",E2156="!!!",F2156="NEW"),"",INDEX(B2155:B$2,-1+SUMPRODUCT(MAX(ROW(E2155:E$2)*(E2156=E2155:E$2)))))</f>
        <v> </v>
      </c>
      <c r="J2156" s="26" t="str">
        <f>IF(OR(E2156="",E2156="!!!",F2156="NEW"),"",COUNTBLANK(OFFSET(A$1,,,SUMPRODUCT(MAX(ROW(E$2:E2156)*(E2156=E$2:E2156)))))-COUNTBLANK(OFFSET(A$1,,,SUMPRODUCT(MAX(ROW(E$1:E2155)*(E2=E$1:E2155))))))</f>
        <v> </v>
      </c>
      <c r="K2156" s="26" t="str">
        <f>IF(OR(E2156="",E2156="!!!",F2156="NEW"),"",INDEX(J$1:J2155,SUMPRODUCT(MAX(ROW(E$1:E2155)*(E2156=E$1:E2155)))))</f>
        <v> </v>
      </c>
      <c r="L2156" s="27"/>
    </row>
    <row r="2157" spans="1:12">
      <c r="A2157" s="20" t="s">
        <v>656</v>
      </c>
      <c r="B2157" s="21" t="s">
        <v>615</v>
      </c>
      <c r="C2157" s="21" t="s">
        <v>586</v>
      </c>
      <c r="D2157" s="21" t="s">
        <v>587</v>
      </c>
      <c r="E2157" s="22">
        <f>IF(D2157="?OLD","!!!","")</f>
        <v/>
      </c>
      <c r="F2157" s="23" t="str">
        <f>IF(OR(E2157="",E2157="!!!"),"",IF(NOT(ISNA(VLOOKUP(E2157,E$1:E2156,1,FALSE()))),"OLD",IF(AND(E2157&lt;&gt;"",E2157&lt;&gt;"!!!"),"NEW","")))</f>
        <v> </v>
      </c>
      <c r="G2157" s="24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5" t="str">
        <f>IF(J2157&lt;&gt;1,"",IF(I2157="SBJ","CB","?"))</f>
        <v> </v>
      </c>
      <c r="I2157" s="26" t="str">
        <f>IF(OR(E2157="",E2157="!!!",F2157="NEW"),"",INDEX(B2156:B$2,-1+SUMPRODUCT(MAX(ROW(E2156:E$2)*(E2157=E2156:E$2)))))</f>
        <v> </v>
      </c>
      <c r="J2157" s="26" t="str">
        <f>IF(OR(E2157="",E2157="!!!",F2157="NEW"),"",COUNTBLANK(OFFSET(A$1,,,SUMPRODUCT(MAX(ROW(E$2:E2157)*(E2157=E$2:E2157)))))-COUNTBLANK(OFFSET(A$1,,,SUMPRODUCT(MAX(ROW(E$1:E2156)*(E2=E$1:E2156))))))</f>
        <v> </v>
      </c>
      <c r="K2157" s="26" t="str">
        <f>IF(OR(E2157="",E2157="!!!",F2157="NEW"),"",INDEX(J$1:J2156,SUMPRODUCT(MAX(ROW(E$1:E2156)*(E2157=E$1:E2156)))))</f>
        <v> </v>
      </c>
      <c r="L2157" s="27"/>
    </row>
    <row r="2158" spans="1:12">
      <c r="A2158" s="20" t="s">
        <v>592</v>
      </c>
      <c r="E2158" s="22">
        <f>IF(D2158="?OLD","!!!","")</f>
        <v/>
      </c>
      <c r="F2158" s="23" t="str">
        <f>IF(OR(E2158="",E2158="!!!"),"",IF(NOT(ISNA(VLOOKUP(E2158,E$1:E2157,1,FALSE()))),"OLD",IF(AND(E2158&lt;&gt;"",E2158&lt;&gt;"!!!"),"NEW","")))</f>
        <v> </v>
      </c>
      <c r="G2158" s="24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5" t="str">
        <f>IF(J2158&lt;&gt;1,"",IF(I2158="SBJ","CB","?"))</f>
        <v> </v>
      </c>
      <c r="I2158" s="26" t="str">
        <f>IF(OR(E2158="",E2158="!!!",F2158="NEW"),"",INDEX(B2157:B$2,-1+SUMPRODUCT(MAX(ROW(E2157:E$2)*(E2158=E2157:E$2)))))</f>
        <v> </v>
      </c>
      <c r="J2158" s="26" t="str">
        <f>IF(OR(E2158="",E2158="!!!",F2158="NEW"),"",COUNTBLANK(OFFSET(A$1,,,SUMPRODUCT(MAX(ROW(E$2:E2158)*(E2158=E$2:E2158)))))-COUNTBLANK(OFFSET(A$1,,,SUMPRODUCT(MAX(ROW(E$1:E2157)*(E2=E$1:E2157))))))</f>
        <v> </v>
      </c>
      <c r="K2158" s="26" t="str">
        <f>IF(OR(E2158="",E2158="!!!",F2158="NEW"),"",INDEX(J$1:J2157,SUMPRODUCT(MAX(ROW(E$1:E2157)*(E2158=E$1:E2157)))))</f>
        <v> </v>
      </c>
      <c r="L2158" s="27"/>
    </row>
    <row r="2159" spans="1:12">
      <c r="A2159" s="20"/>
    </row>
    <row r="2160" spans="1:12">
      <c r="A2160" s="20" t="s">
        <v>1571</v>
      </c>
    </row>
    <row r="2161" spans="1:12">
      <c r="A2161" s="20" t="s">
        <v>1572</v>
      </c>
      <c r="B2161" s="21" t="s">
        <v>578</v>
      </c>
      <c r="E2161" s="22">
        <f>IF(D2161="?OLD","!!!","")</f>
        <v/>
      </c>
      <c r="F2161" s="23" t="str">
        <f>IF(OR(E2161="",E2161="!!!"),"",IF(NOT(ISNA(VLOOKUP(E2161,E$1:E2160,1,FALSE()))),"OLD",IF(AND(E2161&lt;&gt;"",E2161&lt;&gt;"!!!"),"NEW","")))</f>
        <v> </v>
      </c>
      <c r="G2161" s="24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5" t="str">
        <f>IF(J2161&lt;&gt;1,"",IF(I2161="SBJ","CB","?"))</f>
        <v> </v>
      </c>
      <c r="I2161" s="26" t="str">
        <f>IF(OR(E2161="",E2161="!!!",F2161="NEW"),"",INDEX(B2160:B$2,-1+SUMPRODUCT(MAX(ROW(E2160:E$2)*(E2161=E2160:E$2)))))</f>
        <v> </v>
      </c>
      <c r="J2161" s="26" t="str">
        <f>IF(OR(E2161="",E2161="!!!",F2161="NEW"),"",COUNTBLANK(OFFSET(A$1,,,SUMPRODUCT(MAX(ROW(E$2:E2161)*(E2161=E$2:E2161)))))-COUNTBLANK(OFFSET(A$1,,,SUMPRODUCT(MAX(ROW(E$1:E2160)*(E2=E$1:E2160))))))</f>
        <v> </v>
      </c>
      <c r="K2161" s="26" t="str">
        <f>IF(OR(E2161="",E2161="!!!",F2161="NEW"),"",INDEX(J$1:J2160,SUMPRODUCT(MAX(ROW(E$1:E2160)*(E2161=E$1:E2160)))))</f>
        <v> </v>
      </c>
      <c r="L2161" s="27"/>
    </row>
    <row r="2162" spans="1:12">
      <c r="A2162" s="20" t="s">
        <v>1573</v>
      </c>
      <c r="B2162" s="21" t="s">
        <v>585</v>
      </c>
      <c r="C2162" s="21" t="s">
        <v>628</v>
      </c>
      <c r="D2162" s="21" t="s">
        <v>587</v>
      </c>
      <c r="E2162" s="22">
        <f>IF(D2162="?OLD","!!!","")</f>
        <v/>
      </c>
      <c r="F2162" s="23" t="str">
        <f>IF(OR(E2162="",E2162="!!!"),"",IF(NOT(ISNA(VLOOKUP(E2162,E$1:E2161,1,FALSE()))),"OLD",IF(AND(E2162&lt;&gt;"",E2162&lt;&gt;"!!!"),"NEW","")))</f>
        <v> </v>
      </c>
      <c r="G2162" s="24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5" t="str">
        <f>IF(J2162&lt;&gt;1,"",IF(I2162="SBJ","CB","?"))</f>
        <v> </v>
      </c>
      <c r="I2162" s="26" t="str">
        <f>IF(OR(E2162="",E2162="!!!",F2162="NEW"),"",INDEX(B2161:B$2,-1+SUMPRODUCT(MAX(ROW(E2161:E$2)*(E2162=E2161:E$2)))))</f>
        <v> </v>
      </c>
      <c r="J2162" s="26" t="str">
        <f>IF(OR(E2162="",E2162="!!!",F2162="NEW"),"",COUNTBLANK(OFFSET(A$1,,,SUMPRODUCT(MAX(ROW(E$2:E2162)*(E2162=E$2:E2162)))))-COUNTBLANK(OFFSET(A$1,,,SUMPRODUCT(MAX(ROW(E$1:E2161)*(E2=E$1:E2161))))))</f>
        <v> </v>
      </c>
      <c r="K2162" s="26" t="str">
        <f>IF(OR(E2162="",E2162="!!!",F2162="NEW"),"",INDEX(J$1:J2161,SUMPRODUCT(MAX(ROW(E$1:E2161)*(E2162=E$1:E2161)))))</f>
        <v> </v>
      </c>
      <c r="L2162" s="27"/>
    </row>
    <row r="2163" spans="1:12">
      <c r="A2163" s="20" t="s">
        <v>1574</v>
      </c>
      <c r="E2163" s="22">
        <f>IF(D2163="?OLD","!!!","")</f>
        <v/>
      </c>
      <c r="F2163" s="23" t="str">
        <f>IF(OR(E2163="",E2163="!!!"),"",IF(NOT(ISNA(VLOOKUP(E2163,E$1:E2162,1,FALSE()))),"OLD",IF(AND(E2163&lt;&gt;"",E2163&lt;&gt;"!!!"),"NEW","")))</f>
        <v> </v>
      </c>
      <c r="G2163" s="24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5" t="str">
        <f>IF(J2163&lt;&gt;1,"",IF(I2163="SBJ","CB","?"))</f>
        <v> </v>
      </c>
      <c r="I2163" s="26" t="str">
        <f>IF(OR(E2163="",E2163="!!!",F2163="NEW"),"",INDEX(B2162:B$2,-1+SUMPRODUCT(MAX(ROW(E2162:E$2)*(E2163=E2162:E$2)))))</f>
        <v> </v>
      </c>
      <c r="J2163" s="26" t="str">
        <f>IF(OR(E2163="",E2163="!!!",F2163="NEW"),"",COUNTBLANK(OFFSET(A$1,,,SUMPRODUCT(MAX(ROW(E$2:E2163)*(E2163=E$2:E2163)))))-COUNTBLANK(OFFSET(A$1,,,SUMPRODUCT(MAX(ROW(E$1:E2162)*(E2=E$1:E2162))))))</f>
        <v> </v>
      </c>
      <c r="K2163" s="26" t="str">
        <f>IF(OR(E2163="",E2163="!!!",F2163="NEW"),"",INDEX(J$1:J2162,SUMPRODUCT(MAX(ROW(E$1:E2162)*(E2163=E$1:E2162)))))</f>
        <v> </v>
      </c>
      <c r="L2163" s="27"/>
    </row>
    <row r="2164" spans="1:12">
      <c r="A2164" s="20" t="s">
        <v>1575</v>
      </c>
      <c r="E2164" s="22">
        <f>IF(D2164="?OLD","!!!","")</f>
        <v/>
      </c>
      <c r="F2164" s="23" t="str">
        <f>IF(OR(E2164="",E2164="!!!"),"",IF(NOT(ISNA(VLOOKUP(E2164,E$1:E2163,1,FALSE()))),"OLD",IF(AND(E2164&lt;&gt;"",E2164&lt;&gt;"!!!"),"NEW","")))</f>
        <v> </v>
      </c>
      <c r="G2164" s="24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5" t="str">
        <f>IF(J2164&lt;&gt;1,"",IF(I2164="SBJ","CB","?"))</f>
        <v> </v>
      </c>
      <c r="I2164" s="26" t="str">
        <f>IF(OR(E2164="",E2164="!!!",F2164="NEW"),"",INDEX(B2163:B$2,-1+SUMPRODUCT(MAX(ROW(E2163:E$2)*(E2164=E2163:E$2)))))</f>
        <v> </v>
      </c>
      <c r="J2164" s="26" t="str">
        <f>IF(OR(E2164="",E2164="!!!",F2164="NEW"),"",COUNTBLANK(OFFSET(A$1,,,SUMPRODUCT(MAX(ROW(E$2:E2164)*(E2164=E$2:E2164)))))-COUNTBLANK(OFFSET(A$1,,,SUMPRODUCT(MAX(ROW(E$1:E2163)*(E2=E$1:E2163))))))</f>
        <v> </v>
      </c>
      <c r="K2164" s="26" t="str">
        <f>IF(OR(E2164="",E2164="!!!",F2164="NEW"),"",INDEX(J$1:J2163,SUMPRODUCT(MAX(ROW(E$1:E2163)*(E2164=E$1:E2163)))))</f>
        <v> </v>
      </c>
      <c r="L2164" s="27"/>
    </row>
    <row r="2165" spans="1:12">
      <c r="A2165" s="20" t="s">
        <v>1576</v>
      </c>
      <c r="B2165" s="21" t="s">
        <v>615</v>
      </c>
      <c r="E2165" s="22">
        <f>IF(D2165="?OLD","!!!","")</f>
        <v/>
      </c>
      <c r="F2165" s="23" t="str">
        <f>IF(OR(E2165="",E2165="!!!"),"",IF(NOT(ISNA(VLOOKUP(E2165,E$1:E2164,1,FALSE()))),"OLD",IF(AND(E2165&lt;&gt;"",E2165&lt;&gt;"!!!"),"NEW","")))</f>
        <v> </v>
      </c>
      <c r="G2165" s="24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5" t="str">
        <f>IF(J2165&lt;&gt;1,"",IF(I2165="SBJ","CB","?"))</f>
        <v> </v>
      </c>
      <c r="I2165" s="26" t="str">
        <f>IF(OR(E2165="",E2165="!!!",F2165="NEW"),"",INDEX(B2164:B$2,-1+SUMPRODUCT(MAX(ROW(E2164:E$2)*(E2165=E2164:E$2)))))</f>
        <v> </v>
      </c>
      <c r="J2165" s="26" t="str">
        <f>IF(OR(E2165="",E2165="!!!",F2165="NEW"),"",COUNTBLANK(OFFSET(A$1,,,SUMPRODUCT(MAX(ROW(E$2:E2165)*(E2165=E$2:E2165)))))-COUNTBLANK(OFFSET(A$1,,,SUMPRODUCT(MAX(ROW(E$1:E2164)*(E2=E$1:E2164))))))</f>
        <v> </v>
      </c>
      <c r="K2165" s="26" t="str">
        <f>IF(OR(E2165="",E2165="!!!",F2165="NEW"),"",INDEX(J$1:J2164,SUMPRODUCT(MAX(ROW(E$1:E2164)*(E2165=E$1:E2164)))))</f>
        <v> </v>
      </c>
      <c r="L2165" s="27"/>
    </row>
    <row r="2166" spans="1:12">
      <c r="A2166" s="20" t="s">
        <v>583</v>
      </c>
      <c r="E2166" s="22">
        <f>IF(D2166="?OLD","!!!","")</f>
        <v/>
      </c>
      <c r="F2166" s="23" t="str">
        <f>IF(OR(E2166="",E2166="!!!"),"",IF(NOT(ISNA(VLOOKUP(E2166,E$1:E2165,1,FALSE()))),"OLD",IF(AND(E2166&lt;&gt;"",E2166&lt;&gt;"!!!"),"NEW","")))</f>
        <v> </v>
      </c>
      <c r="G2166" s="24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5" t="str">
        <f>IF(J2166&lt;&gt;1,"",IF(I2166="SBJ","CB","?"))</f>
        <v> </v>
      </c>
      <c r="I2166" s="26" t="str">
        <f>IF(OR(E2166="",E2166="!!!",F2166="NEW"),"",INDEX(B2165:B$2,-1+SUMPRODUCT(MAX(ROW(E2165:E$2)*(E2166=E2165:E$2)))))</f>
        <v> </v>
      </c>
      <c r="J2166" s="26" t="str">
        <f>IF(OR(E2166="",E2166="!!!",F2166="NEW"),"",COUNTBLANK(OFFSET(A$1,,,SUMPRODUCT(MAX(ROW(E$2:E2166)*(E2166=E$2:E2166)))))-COUNTBLANK(OFFSET(A$1,,,SUMPRODUCT(MAX(ROW(E$1:E2165)*(E2=E$1:E2165))))))</f>
        <v> </v>
      </c>
      <c r="K2166" s="26" t="str">
        <f>IF(OR(E2166="",E2166="!!!",F2166="NEW"),"",INDEX(J$1:J2165,SUMPRODUCT(MAX(ROW(E$1:E2165)*(E2166=E$1:E2165)))))</f>
        <v> </v>
      </c>
      <c r="L2166" s="27"/>
    </row>
    <row r="2167" spans="1:12">
      <c r="A2167" s="20" t="s">
        <v>1312</v>
      </c>
      <c r="B2167" s="21" t="s">
        <v>605</v>
      </c>
      <c r="C2167" s="21" t="s">
        <v>602</v>
      </c>
      <c r="E2167" s="22">
        <f>IF(D2167="?OLD","!!!","")</f>
        <v/>
      </c>
      <c r="F2167" s="23" t="str">
        <f>IF(OR(E2167="",E2167="!!!"),"",IF(NOT(ISNA(VLOOKUP(E2167,E$1:E2166,1,FALSE()))),"OLD",IF(AND(E2167&lt;&gt;"",E2167&lt;&gt;"!!!"),"NEW","")))</f>
        <v> </v>
      </c>
      <c r="G2167" s="24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5" t="str">
        <f>IF(J2167&lt;&gt;1,"",IF(I2167="SBJ","CB","?"))</f>
        <v> </v>
      </c>
      <c r="I2167" s="26" t="str">
        <f>IF(OR(E2167="",E2167="!!!",F2167="NEW"),"",INDEX(B2166:B$2,-1+SUMPRODUCT(MAX(ROW(E2166:E$2)*(E2167=E2166:E$2)))))</f>
        <v> </v>
      </c>
      <c r="J2167" s="26" t="str">
        <f>IF(OR(E2167="",E2167="!!!",F2167="NEW"),"",COUNTBLANK(OFFSET(A$1,,,SUMPRODUCT(MAX(ROW(E$2:E2167)*(E2167=E$2:E2167)))))-COUNTBLANK(OFFSET(A$1,,,SUMPRODUCT(MAX(ROW(E$1:E2166)*(E2=E$1:E2166))))))</f>
        <v> </v>
      </c>
      <c r="K2167" s="26" t="str">
        <f>IF(OR(E2167="",E2167="!!!",F2167="NEW"),"",INDEX(J$1:J2166,SUMPRODUCT(MAX(ROW(E$1:E2166)*(E2167=E$1:E2166)))))</f>
        <v> </v>
      </c>
      <c r="L2167" s="27"/>
    </row>
    <row r="2168" spans="1:12">
      <c r="A2168" s="20" t="s">
        <v>1577</v>
      </c>
      <c r="E2168" s="22">
        <f>IF(D2168="?OLD","!!!","")</f>
        <v/>
      </c>
      <c r="F2168" s="23" t="str">
        <f>IF(OR(E2168="",E2168="!!!"),"",IF(NOT(ISNA(VLOOKUP(E2168,E$1:E2167,1,FALSE()))),"OLD",IF(AND(E2168&lt;&gt;"",E2168&lt;&gt;"!!!"),"NEW","")))</f>
        <v> </v>
      </c>
      <c r="G2168" s="24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5" t="str">
        <f>IF(J2168&lt;&gt;1,"",IF(I2168="SBJ","CB","?"))</f>
        <v> </v>
      </c>
      <c r="I2168" s="26" t="str">
        <f>IF(OR(E2168="",E2168="!!!",F2168="NEW"),"",INDEX(B2167:B$2,-1+SUMPRODUCT(MAX(ROW(E2167:E$2)*(E2168=E2167:E$2)))))</f>
        <v> </v>
      </c>
      <c r="J2168" s="26" t="str">
        <f>IF(OR(E2168="",E2168="!!!",F2168="NEW"),"",COUNTBLANK(OFFSET(A$1,,,SUMPRODUCT(MAX(ROW(E$2:E2168)*(E2168=E$2:E2168)))))-COUNTBLANK(OFFSET(A$1,,,SUMPRODUCT(MAX(ROW(E$1:E2167)*(E2=E$1:E2167))))))</f>
        <v> </v>
      </c>
      <c r="K2168" s="26" t="str">
        <f>IF(OR(E2168="",E2168="!!!",F2168="NEW"),"",INDEX(J$1:J2167,SUMPRODUCT(MAX(ROW(E$1:E2167)*(E2168=E$1:E2167)))))</f>
        <v> </v>
      </c>
      <c r="L2168" s="27"/>
    </row>
    <row r="2169" spans="1:12">
      <c r="A2169" s="20" t="s">
        <v>159</v>
      </c>
      <c r="E2169" s="22">
        <f>IF(D2169="?OLD","!!!","")</f>
        <v/>
      </c>
      <c r="F2169" s="23" t="str">
        <f>IF(OR(E2169="",E2169="!!!"),"",IF(NOT(ISNA(VLOOKUP(E2169,E$1:E2168,1,FALSE()))),"OLD",IF(AND(E2169&lt;&gt;"",E2169&lt;&gt;"!!!"),"NEW","")))</f>
        <v> </v>
      </c>
      <c r="G2169" s="24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5" t="str">
        <f>IF(J2169&lt;&gt;1,"",IF(I2169="SBJ","CB","?"))</f>
        <v> </v>
      </c>
      <c r="I2169" s="26" t="str">
        <f>IF(OR(E2169="",E2169="!!!",F2169="NEW"),"",INDEX(B2168:B$2,-1+SUMPRODUCT(MAX(ROW(E2168:E$2)*(E2169=E2168:E$2)))))</f>
        <v> </v>
      </c>
      <c r="J2169" s="26" t="str">
        <f>IF(OR(E2169="",E2169="!!!",F2169="NEW"),"",COUNTBLANK(OFFSET(A$1,,,SUMPRODUCT(MAX(ROW(E$2:E2169)*(E2169=E$2:E2169)))))-COUNTBLANK(OFFSET(A$1,,,SUMPRODUCT(MAX(ROW(E$1:E2168)*(E2=E$1:E2168))))))</f>
        <v> </v>
      </c>
      <c r="K2169" s="26" t="str">
        <f>IF(OR(E2169="",E2169="!!!",F2169="NEW"),"",INDEX(J$1:J2168,SUMPRODUCT(MAX(ROW(E$1:E2168)*(E2169=E$1:E2168)))))</f>
        <v> </v>
      </c>
      <c r="L2169" s="27"/>
    </row>
    <row r="2170" spans="1:12">
      <c r="A2170" s="20" t="s">
        <v>912</v>
      </c>
      <c r="E2170" s="22">
        <f>IF(D2170="?OLD","!!!","")</f>
        <v/>
      </c>
      <c r="F2170" s="23" t="str">
        <f>IF(OR(E2170="",E2170="!!!"),"",IF(NOT(ISNA(VLOOKUP(E2170,E$1:E2169,1,FALSE()))),"OLD",IF(AND(E2170&lt;&gt;"",E2170&lt;&gt;"!!!"),"NEW","")))</f>
        <v> </v>
      </c>
      <c r="G2170" s="24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5" t="str">
        <f>IF(J2170&lt;&gt;1,"",IF(I2170="SBJ","CB","?"))</f>
        <v> </v>
      </c>
      <c r="I2170" s="26" t="str">
        <f>IF(OR(E2170="",E2170="!!!",F2170="NEW"),"",INDEX(B2169:B$2,-1+SUMPRODUCT(MAX(ROW(E2169:E$2)*(E2170=E2169:E$2)))))</f>
        <v> </v>
      </c>
      <c r="J2170" s="26" t="str">
        <f>IF(OR(E2170="",E2170="!!!",F2170="NEW"),"",COUNTBLANK(OFFSET(A$1,,,SUMPRODUCT(MAX(ROW(E$2:E2170)*(E2170=E$2:E2170)))))-COUNTBLANK(OFFSET(A$1,,,SUMPRODUCT(MAX(ROW(E$1:E2169)*(E2=E$1:E2169))))))</f>
        <v> </v>
      </c>
      <c r="K2170" s="26" t="str">
        <f>IF(OR(E2170="",E2170="!!!",F2170="NEW"),"",INDEX(J$1:J2169,SUMPRODUCT(MAX(ROW(E$1:E2169)*(E2170=E$1:E2169)))))</f>
        <v> </v>
      </c>
      <c r="L2170" s="27"/>
    </row>
    <row r="2171" spans="1:12">
      <c r="A2171" s="20" t="s">
        <v>1558</v>
      </c>
      <c r="E2171" s="22">
        <f>IF(D2171="?OLD","!!!","")</f>
        <v/>
      </c>
      <c r="F2171" s="23" t="str">
        <f>IF(OR(E2171="",E2171="!!!"),"",IF(NOT(ISNA(VLOOKUP(E2171,E$1:E2170,1,FALSE()))),"OLD",IF(AND(E2171&lt;&gt;"",E2171&lt;&gt;"!!!"),"NEW","")))</f>
        <v> </v>
      </c>
      <c r="G2171" s="24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5" t="str">
        <f>IF(J2171&lt;&gt;1,"",IF(I2171="SBJ","CB","?"))</f>
        <v> </v>
      </c>
      <c r="I2171" s="26" t="str">
        <f>IF(OR(E2171="",E2171="!!!",F2171="NEW"),"",INDEX(B2170:B$2,-1+SUMPRODUCT(MAX(ROW(E2170:E$2)*(E2171=E2170:E$2)))))</f>
        <v> </v>
      </c>
      <c r="J2171" s="26" t="str">
        <f>IF(OR(E2171="",E2171="!!!",F2171="NEW"),"",COUNTBLANK(OFFSET(A$1,,,SUMPRODUCT(MAX(ROW(E$2:E2171)*(E2171=E$2:E2171)))))-COUNTBLANK(OFFSET(A$1,,,SUMPRODUCT(MAX(ROW(E$1:E2170)*(E2=E$1:E2170))))))</f>
        <v> </v>
      </c>
      <c r="K2171" s="26" t="str">
        <f>IF(OR(E2171="",E2171="!!!",F2171="NEW"),"",INDEX(J$1:J2170,SUMPRODUCT(MAX(ROW(E$1:E2170)*(E2171=E$1:E2170)))))</f>
        <v> </v>
      </c>
      <c r="L2171" s="27"/>
    </row>
    <row r="2172" spans="1:12">
      <c r="A2172" s="20" t="s">
        <v>583</v>
      </c>
      <c r="E2172" s="22">
        <f>IF(D2172="?OLD","!!!","")</f>
        <v/>
      </c>
      <c r="F2172" s="23" t="str">
        <f>IF(OR(E2172="",E2172="!!!"),"",IF(NOT(ISNA(VLOOKUP(E2172,E$1:E2171,1,FALSE()))),"OLD",IF(AND(E2172&lt;&gt;"",E2172&lt;&gt;"!!!"),"NEW","")))</f>
        <v> </v>
      </c>
      <c r="G2172" s="24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5" t="str">
        <f>IF(J2172&lt;&gt;1,"",IF(I2172="SBJ","CB","?"))</f>
        <v> </v>
      </c>
      <c r="I2172" s="26" t="str">
        <f>IF(OR(E2172="",E2172="!!!",F2172="NEW"),"",INDEX(B2171:B$2,-1+SUMPRODUCT(MAX(ROW(E2171:E$2)*(E2172=E2171:E$2)))))</f>
        <v> </v>
      </c>
      <c r="J2172" s="26" t="str">
        <f>IF(OR(E2172="",E2172="!!!",F2172="NEW"),"",COUNTBLANK(OFFSET(A$1,,,SUMPRODUCT(MAX(ROW(E$2:E2172)*(E2172=E$2:E2172)))))-COUNTBLANK(OFFSET(A$1,,,SUMPRODUCT(MAX(ROW(E$1:E2171)*(E2=E$1:E2171))))))</f>
        <v> </v>
      </c>
      <c r="K2172" s="26" t="str">
        <f>IF(OR(E2172="",E2172="!!!",F2172="NEW"),"",INDEX(J$1:J2171,SUMPRODUCT(MAX(ROW(E$1:E2171)*(E2172=E$1:E2171)))))</f>
        <v> </v>
      </c>
      <c r="L2172" s="27"/>
    </row>
    <row r="2173" spans="1:12">
      <c r="A2173" s="20" t="s">
        <v>630</v>
      </c>
      <c r="E2173" s="22">
        <f>IF(D2173="?OLD","!!!","")</f>
        <v/>
      </c>
      <c r="F2173" s="23" t="str">
        <f>IF(OR(E2173="",E2173="!!!"),"",IF(NOT(ISNA(VLOOKUP(E2173,E$1:E2172,1,FALSE()))),"OLD",IF(AND(E2173&lt;&gt;"",E2173&lt;&gt;"!!!"),"NEW","")))</f>
        <v> </v>
      </c>
      <c r="G2173" s="24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5" t="str">
        <f>IF(J2173&lt;&gt;1,"",IF(I2173="SBJ","CB","?"))</f>
        <v> </v>
      </c>
      <c r="I2173" s="26" t="str">
        <f>IF(OR(E2173="",E2173="!!!",F2173="NEW"),"",INDEX(B2172:B$2,-1+SUMPRODUCT(MAX(ROW(E2172:E$2)*(E2173=E2172:E$2)))))</f>
        <v> </v>
      </c>
      <c r="J2173" s="26" t="str">
        <f>IF(OR(E2173="",E2173="!!!",F2173="NEW"),"",COUNTBLANK(OFFSET(A$1,,,SUMPRODUCT(MAX(ROW(E$2:E2173)*(E2173=E$2:E2173)))))-COUNTBLANK(OFFSET(A$1,,,SUMPRODUCT(MAX(ROW(E$1:E2172)*(E2=E$1:E2172))))))</f>
        <v> </v>
      </c>
      <c r="K2173" s="26" t="str">
        <f>IF(OR(E2173="",E2173="!!!",F2173="NEW"),"",INDEX(J$1:J2172,SUMPRODUCT(MAX(ROW(E$1:E2172)*(E2173=E$1:E2172)))))</f>
        <v> </v>
      </c>
      <c r="L2173" s="27"/>
    </row>
    <row r="2174" spans="1:12">
      <c r="A2174" s="20" t="s">
        <v>580</v>
      </c>
      <c r="E2174" s="22">
        <f>IF(D2174="?OLD","!!!","")</f>
        <v/>
      </c>
      <c r="F2174" s="23" t="str">
        <f>IF(OR(E2174="",E2174="!!!"),"",IF(NOT(ISNA(VLOOKUP(E2174,E$1:E2173,1,FALSE()))),"OLD",IF(AND(E2174&lt;&gt;"",E2174&lt;&gt;"!!!"),"NEW","")))</f>
        <v> </v>
      </c>
      <c r="G2174" s="24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5" t="str">
        <f>IF(J2174&lt;&gt;1,"",IF(I2174="SBJ","CB","?"))</f>
        <v> </v>
      </c>
      <c r="I2174" s="26" t="str">
        <f>IF(OR(E2174="",E2174="!!!",F2174="NEW"),"",INDEX(B2173:B$2,-1+SUMPRODUCT(MAX(ROW(E2173:E$2)*(E2174=E2173:E$2)))))</f>
        <v> </v>
      </c>
      <c r="J2174" s="26" t="str">
        <f>IF(OR(E2174="",E2174="!!!",F2174="NEW"),"",COUNTBLANK(OFFSET(A$1,,,SUMPRODUCT(MAX(ROW(E$2:E2174)*(E2174=E$2:E2174)))))-COUNTBLANK(OFFSET(A$1,,,SUMPRODUCT(MAX(ROW(E$1:E2173)*(E2=E$1:E2173))))))</f>
        <v> </v>
      </c>
      <c r="K2174" s="26" t="str">
        <f>IF(OR(E2174="",E2174="!!!",F2174="NEW"),"",INDEX(J$1:J2173,SUMPRODUCT(MAX(ROW(E$1:E2173)*(E2174=E$1:E2173)))))</f>
        <v> </v>
      </c>
      <c r="L2174" s="27"/>
    </row>
    <row r="2175" spans="1:12">
      <c r="A2175" s="20" t="s">
        <v>1388</v>
      </c>
      <c r="E2175" s="22">
        <f>IF(D2175="?OLD","!!!","")</f>
        <v/>
      </c>
      <c r="F2175" s="23" t="str">
        <f>IF(OR(E2175="",E2175="!!!"),"",IF(NOT(ISNA(VLOOKUP(E2175,E$1:E2174,1,FALSE()))),"OLD",IF(AND(E2175&lt;&gt;"",E2175&lt;&gt;"!!!"),"NEW","")))</f>
        <v> </v>
      </c>
      <c r="G2175" s="24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5" t="str">
        <f>IF(J2175&lt;&gt;1,"",IF(I2175="SBJ","CB","?"))</f>
        <v> </v>
      </c>
      <c r="I2175" s="26" t="str">
        <f>IF(OR(E2175="",E2175="!!!",F2175="NEW"),"",INDEX(B2174:B$2,-1+SUMPRODUCT(MAX(ROW(E2174:E$2)*(E2175=E2174:E$2)))))</f>
        <v> </v>
      </c>
      <c r="J2175" s="26" t="str">
        <f>IF(OR(E2175="",E2175="!!!",F2175="NEW"),"",COUNTBLANK(OFFSET(A$1,,,SUMPRODUCT(MAX(ROW(E$2:E2175)*(E2175=E$2:E2175)))))-COUNTBLANK(OFFSET(A$1,,,SUMPRODUCT(MAX(ROW(E$1:E2174)*(E2=E$1:E2174))))))</f>
        <v> </v>
      </c>
      <c r="K2175" s="26" t="str">
        <f>IF(OR(E2175="",E2175="!!!",F2175="NEW"),"",INDEX(J$1:J2174,SUMPRODUCT(MAX(ROW(E$1:E2174)*(E2175=E$1:E2174)))))</f>
        <v> </v>
      </c>
      <c r="L2175" s="27"/>
    </row>
    <row r="2176" spans="1:12">
      <c r="A2176" s="20" t="s">
        <v>1578</v>
      </c>
      <c r="E2176" s="22">
        <f>IF(D2176="?OLD","!!!","")</f>
        <v/>
      </c>
      <c r="F2176" s="23" t="str">
        <f>IF(OR(E2176="",E2176="!!!"),"",IF(NOT(ISNA(VLOOKUP(E2176,E$1:E2175,1,FALSE()))),"OLD",IF(AND(E2176&lt;&gt;"",E2176&lt;&gt;"!!!"),"NEW","")))</f>
        <v> </v>
      </c>
      <c r="G2176" s="24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5" t="str">
        <f>IF(J2176&lt;&gt;1,"",IF(I2176="SBJ","CB","?"))</f>
        <v> </v>
      </c>
      <c r="I2176" s="26" t="str">
        <f>IF(OR(E2176="",E2176="!!!",F2176="NEW"),"",INDEX(B2175:B$2,-1+SUMPRODUCT(MAX(ROW(E2175:E$2)*(E2176=E2175:E$2)))))</f>
        <v> </v>
      </c>
      <c r="J2176" s="26" t="str">
        <f>IF(OR(E2176="",E2176="!!!",F2176="NEW"),"",COUNTBLANK(OFFSET(A$1,,,SUMPRODUCT(MAX(ROW(E$2:E2176)*(E2176=E$2:E2176)))))-COUNTBLANK(OFFSET(A$1,,,SUMPRODUCT(MAX(ROW(E$1:E2175)*(E2=E$1:E2175))))))</f>
        <v> </v>
      </c>
      <c r="K2176" s="26" t="str">
        <f>IF(OR(E2176="",E2176="!!!",F2176="NEW"),"",INDEX(J$1:J2175,SUMPRODUCT(MAX(ROW(E$1:E2175)*(E2176=E$1:E2175)))))</f>
        <v> </v>
      </c>
      <c r="L2176" s="27"/>
    </row>
    <row r="2177" spans="1:12">
      <c r="A2177" s="20" t="s">
        <v>688</v>
      </c>
      <c r="E2177" s="22">
        <f>IF(D2177="?OLD","!!!","")</f>
        <v/>
      </c>
      <c r="F2177" s="23" t="str">
        <f>IF(OR(E2177="",E2177="!!!"),"",IF(NOT(ISNA(VLOOKUP(E2177,E$1:E2176,1,FALSE()))),"OLD",IF(AND(E2177&lt;&gt;"",E2177&lt;&gt;"!!!"),"NEW","")))</f>
        <v> </v>
      </c>
      <c r="G2177" s="24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5" t="str">
        <f>IF(J2177&lt;&gt;1,"",IF(I2177="SBJ","CB","?"))</f>
        <v> </v>
      </c>
      <c r="I2177" s="26" t="str">
        <f>IF(OR(E2177="",E2177="!!!",F2177="NEW"),"",INDEX(B2176:B$2,-1+SUMPRODUCT(MAX(ROW(E2176:E$2)*(E2177=E2176:E$2)))))</f>
        <v> </v>
      </c>
      <c r="J2177" s="26" t="str">
        <f>IF(OR(E2177="",E2177="!!!",F2177="NEW"),"",COUNTBLANK(OFFSET(A$1,,,SUMPRODUCT(MAX(ROW(E$2:E2177)*(E2177=E$2:E2177)))))-COUNTBLANK(OFFSET(A$1,,,SUMPRODUCT(MAX(ROW(E$1:E2176)*(E2=E$1:E2176))))))</f>
        <v> </v>
      </c>
      <c r="K2177" s="26" t="str">
        <f>IF(OR(E2177="",E2177="!!!",F2177="NEW"),"",INDEX(J$1:J2176,SUMPRODUCT(MAX(ROW(E$1:E2176)*(E2177=E$1:E2176)))))</f>
        <v> </v>
      </c>
      <c r="L2177" s="27"/>
    </row>
    <row r="2178" spans="1:12">
      <c r="A2178" s="20" t="s">
        <v>84</v>
      </c>
      <c r="E2178" s="22">
        <f>IF(D2178="?OLD","!!!","")</f>
        <v/>
      </c>
      <c r="F2178" s="23" t="str">
        <f>IF(OR(E2178="",E2178="!!!"),"",IF(NOT(ISNA(VLOOKUP(E2178,E$1:E2177,1,FALSE()))),"OLD",IF(AND(E2178&lt;&gt;"",E2178&lt;&gt;"!!!"),"NEW","")))</f>
        <v> </v>
      </c>
      <c r="G2178" s="24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5" t="str">
        <f>IF(J2178&lt;&gt;1,"",IF(I2178="SBJ","CB","?"))</f>
        <v> </v>
      </c>
      <c r="I2178" s="26" t="str">
        <f>IF(OR(E2178="",E2178="!!!",F2178="NEW"),"",INDEX(B2177:B$2,-1+SUMPRODUCT(MAX(ROW(E2177:E$2)*(E2178=E2177:E$2)))))</f>
        <v> </v>
      </c>
      <c r="J2178" s="26" t="str">
        <f>IF(OR(E2178="",E2178="!!!",F2178="NEW"),"",COUNTBLANK(OFFSET(A$1,,,SUMPRODUCT(MAX(ROW(E$2:E2178)*(E2178=E$2:E2178)))))-COUNTBLANK(OFFSET(A$1,,,SUMPRODUCT(MAX(ROW(E$1:E2177)*(E2=E$1:E2177))))))</f>
        <v> </v>
      </c>
      <c r="K2178" s="26" t="str">
        <f>IF(OR(E2178="",E2178="!!!",F2178="NEW"),"",INDEX(J$1:J2177,SUMPRODUCT(MAX(ROW(E$1:E2177)*(E2178=E$1:E2177)))))</f>
        <v> </v>
      </c>
      <c r="L2178" s="27"/>
    </row>
    <row r="2179" spans="1:12">
      <c r="A2179" s="20" t="s">
        <v>912</v>
      </c>
      <c r="E2179" s="22">
        <f>IF(D2179="?OLD","!!!","")</f>
        <v/>
      </c>
      <c r="F2179" s="23" t="str">
        <f>IF(OR(E2179="",E2179="!!!"),"",IF(NOT(ISNA(VLOOKUP(E2179,E$1:E2178,1,FALSE()))),"OLD",IF(AND(E2179&lt;&gt;"",E2179&lt;&gt;"!!!"),"NEW","")))</f>
        <v> </v>
      </c>
      <c r="G2179" s="24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5" t="str">
        <f>IF(J2179&lt;&gt;1,"",IF(I2179="SBJ","CB","?"))</f>
        <v> </v>
      </c>
      <c r="I2179" s="26" t="str">
        <f>IF(OR(E2179="",E2179="!!!",F2179="NEW"),"",INDEX(B2178:B$2,-1+SUMPRODUCT(MAX(ROW(E2178:E$2)*(E2179=E2178:E$2)))))</f>
        <v> </v>
      </c>
      <c r="J2179" s="26" t="str">
        <f>IF(OR(E2179="",E2179="!!!",F2179="NEW"),"",COUNTBLANK(OFFSET(A$1,,,SUMPRODUCT(MAX(ROW(E$2:E2179)*(E2179=E$2:E2179)))))-COUNTBLANK(OFFSET(A$1,,,SUMPRODUCT(MAX(ROW(E$1:E2178)*(E2=E$1:E2178))))))</f>
        <v> </v>
      </c>
      <c r="K2179" s="26" t="str">
        <f>IF(OR(E2179="",E2179="!!!",F2179="NEW"),"",INDEX(J$1:J2178,SUMPRODUCT(MAX(ROW(E$1:E2178)*(E2179=E$1:E2178)))))</f>
        <v> </v>
      </c>
      <c r="L2179" s="27"/>
    </row>
    <row r="2180" spans="1:12">
      <c r="A2180" s="20" t="s">
        <v>1558</v>
      </c>
      <c r="E2180" s="22">
        <f>IF(D2180="?OLD","!!!","")</f>
        <v/>
      </c>
      <c r="F2180" s="23" t="str">
        <f>IF(OR(E2180="",E2180="!!!"),"",IF(NOT(ISNA(VLOOKUP(E2180,E$1:E2179,1,FALSE()))),"OLD",IF(AND(E2180&lt;&gt;"",E2180&lt;&gt;"!!!"),"NEW","")))</f>
        <v> </v>
      </c>
      <c r="G2180" s="24" t="str">
        <f>IF(OR(E2180="",E2180="!!!"),"",IF(OR(J2180=0,AND(J2180=1,K2180=1),AND(J2180=1,I2180="SBJ"),AND(J2180=1,I2180=0)),"?IN_FOCUS",IF(J2180&lt;=2,"?ACTIVATED",IF(J2180&lt;&gt;"","?FAMILIAR",IF(F2180="NEW",IF(ISNA(VLOOKUP(E2180,#REF!,1,FALSE())),"?TYPE_IDENTIFIABLE","?REFERENTIAL"),"_")))))</f>
        <v> </v>
      </c>
      <c r="H2180" s="25" t="str">
        <f>IF(J2180&lt;&gt;1,"",IF(I2180="SBJ","CB","?"))</f>
        <v> </v>
      </c>
      <c r="I2180" s="26" t="str">
        <f>IF(OR(E2180="",E2180="!!!",F2180="NEW"),"",INDEX(B2179:B$2,-1+SUMPRODUCT(MAX(ROW(E2179:E$2)*(E2180=E2179:E$2)))))</f>
        <v> </v>
      </c>
      <c r="J2180" s="26" t="str">
        <f>IF(OR(E2180="",E2180="!!!",F2180="NEW"),"",COUNTBLANK(OFFSET(A$1,,,SUMPRODUCT(MAX(ROW(E$2:E2180)*(E2180=E$2:E2180)))))-COUNTBLANK(OFFSET(A$1,,,SUMPRODUCT(MAX(ROW(E$1:E2179)*(E2=E$1:E2179))))))</f>
        <v> </v>
      </c>
      <c r="K2180" s="26" t="str">
        <f>IF(OR(E2180="",E2180="!!!",F2180="NEW"),"",INDEX(J$1:J2179,SUMPRODUCT(MAX(ROW(E$1:E2179)*(E2180=E$1:E2179)))))</f>
        <v> </v>
      </c>
      <c r="L2180" s="27"/>
    </row>
    <row r="2181" spans="1:12">
      <c r="A2181" s="20" t="s">
        <v>592</v>
      </c>
      <c r="E2181" s="22">
        <f>IF(D2181="?OLD","!!!","")</f>
        <v/>
      </c>
      <c r="F2181" s="23" t="str">
        <f>IF(OR(E2181="",E2181="!!!"),"",IF(NOT(ISNA(VLOOKUP(E2181,E$1:E2180,1,FALSE()))),"OLD",IF(AND(E2181&lt;&gt;"",E2181&lt;&gt;"!!!"),"NEW","")))</f>
        <v> </v>
      </c>
      <c r="G2181" s="24" t="str">
        <f>IF(OR(E2181="",E2181="!!!"),"",IF(OR(J2181=0,AND(J2181=1,K2181=1),AND(J2181=1,I2181="SBJ"),AND(J2181=1,I2181=0)),"?IN_FOCUS",IF(J2181&lt;=2,"?ACTIVATED",IF(J2181&lt;&gt;"","?FAMILIAR",IF(F2181="NEW",IF(ISNA(VLOOKUP(E2181,#REF!,1,FALSE())),"?TYPE_IDENTIFIABLE","?REFERENTIAL"),"_")))))</f>
        <v> </v>
      </c>
      <c r="H2181" s="25" t="str">
        <f>IF(J2181&lt;&gt;1,"",IF(I2181="SBJ","CB","?"))</f>
        <v> </v>
      </c>
      <c r="I2181" s="26" t="str">
        <f>IF(OR(E2181="",E2181="!!!",F2181="NEW"),"",INDEX(B2180:B$2,-1+SUMPRODUCT(MAX(ROW(E2180:E$2)*(E2181=E2180:E$2)))))</f>
        <v> </v>
      </c>
      <c r="J2181" s="26" t="str">
        <f>IF(OR(E2181="",E2181="!!!",F2181="NEW"),"",COUNTBLANK(OFFSET(A$1,,,SUMPRODUCT(MAX(ROW(E$2:E2181)*(E2181=E$2:E2181)))))-COUNTBLANK(OFFSET(A$1,,,SUMPRODUCT(MAX(ROW(E$1:E2180)*(E2=E$1:E2180))))))</f>
        <v> </v>
      </c>
      <c r="K2181" s="26" t="str">
        <f>IF(OR(E2181="",E2181="!!!",F2181="NEW"),"",INDEX(J$1:J2180,SUMPRODUCT(MAX(ROW(E$1:E2180)*(E2181=E$1:E2180)))))</f>
        <v> </v>
      </c>
      <c r="L2181" s="27"/>
    </row>
    <row r="2182" spans="1:12">
      <c r="A2182" s="20"/>
    </row>
    <row r="2183" spans="1:12">
      <c r="A2183" s="20" t="s">
        <v>1579</v>
      </c>
    </row>
    <row r="2184" spans="1:12">
      <c r="A2184" s="20" t="s">
        <v>706</v>
      </c>
      <c r="E2184" s="22">
        <f>IF(D2184="?OLD","!!!","")</f>
        <v/>
      </c>
      <c r="F2184" s="23" t="str">
        <f>IF(OR(E2184="",E2184="!!!"),"",IF(NOT(ISNA(VLOOKUP(E2184,E$1:E2183,1,FALSE()))),"OLD",IF(AND(E2184&lt;&gt;"",E2184&lt;&gt;"!!!"),"NEW","")))</f>
        <v> </v>
      </c>
      <c r="G2184" s="24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5" t="str">
        <f>IF(J2184&lt;&gt;1,"",IF(I2184="SBJ","CB","?"))</f>
        <v> </v>
      </c>
      <c r="I2184" s="26" t="str">
        <f>IF(OR(E2184="",E2184="!!!",F2184="NEW"),"",INDEX(B2183:B$2,-1+SUMPRODUCT(MAX(ROW(E2183:E$2)*(E2184=E2183:E$2)))))</f>
        <v> </v>
      </c>
      <c r="J2184" s="26" t="str">
        <f>IF(OR(E2184="",E2184="!!!",F2184="NEW"),"",COUNTBLANK(OFFSET(A$1,,,SUMPRODUCT(MAX(ROW(E$2:E2184)*(E2184=E$2:E2184)))))-COUNTBLANK(OFFSET(A$1,,,SUMPRODUCT(MAX(ROW(E$1:E2183)*(E2=E$1:E2183))))))</f>
        <v> </v>
      </c>
      <c r="K2184" s="26" t="str">
        <f>IF(OR(E2184="",E2184="!!!",F2184="NEW"),"",INDEX(J$1:J2183,SUMPRODUCT(MAX(ROW(E$1:E2183)*(E2184=E$1:E2183)))))</f>
        <v> </v>
      </c>
      <c r="L2184" s="27"/>
    </row>
    <row r="2185" spans="1:12">
      <c r="A2185" s="20" t="s">
        <v>1283</v>
      </c>
      <c r="B2185" s="21" t="s">
        <v>651</v>
      </c>
      <c r="C2185" s="21" t="s">
        <v>628</v>
      </c>
      <c r="D2185" s="21" t="s">
        <v>587</v>
      </c>
      <c r="E2185" s="22">
        <f>IF(D2185="?OLD","!!!","")</f>
        <v/>
      </c>
      <c r="F2185" s="23" t="str">
        <f>IF(OR(E2185="",E2185="!!!"),"",IF(NOT(ISNA(VLOOKUP(E2185,E$1:E2184,1,FALSE()))),"OLD",IF(AND(E2185&lt;&gt;"",E2185&lt;&gt;"!!!"),"NEW","")))</f>
        <v> </v>
      </c>
      <c r="G2185" s="24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5" t="str">
        <f>IF(J2185&lt;&gt;1,"",IF(I2185="SBJ","CB","?"))</f>
        <v> </v>
      </c>
      <c r="I2185" s="26" t="str">
        <f>IF(OR(E2185="",E2185="!!!",F2185="NEW"),"",INDEX(B2184:B$2,-1+SUMPRODUCT(MAX(ROW(E2184:E$2)*(E2185=E2184:E$2)))))</f>
        <v> </v>
      </c>
      <c r="J2185" s="26" t="str">
        <f>IF(OR(E2185="",E2185="!!!",F2185="NEW"),"",COUNTBLANK(OFFSET(A$1,,,SUMPRODUCT(MAX(ROW(E$2:E2185)*(E2185=E$2:E2185)))))-COUNTBLANK(OFFSET(A$1,,,SUMPRODUCT(MAX(ROW(E$1:E2184)*(E2=E$1:E2184))))))</f>
        <v> </v>
      </c>
      <c r="K2185" s="26" t="str">
        <f>IF(OR(E2185="",E2185="!!!",F2185="NEW"),"",INDEX(J$1:J2184,SUMPRODUCT(MAX(ROW(E$1:E2184)*(E2185=E$1:E2184)))))</f>
        <v> </v>
      </c>
      <c r="L2185" s="27"/>
    </row>
    <row r="2186" spans="1:12">
      <c r="A2186" s="20" t="s">
        <v>1580</v>
      </c>
      <c r="E2186" s="22">
        <f>IF(D2186="?OLD","!!!","")</f>
        <v/>
      </c>
      <c r="F2186" s="23" t="str">
        <f>IF(OR(E2186="",E2186="!!!"),"",IF(NOT(ISNA(VLOOKUP(E2186,E$1:E2185,1,FALSE()))),"OLD",IF(AND(E2186&lt;&gt;"",E2186&lt;&gt;"!!!"),"NEW","")))</f>
        <v> </v>
      </c>
      <c r="G2186" s="24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5" t="str">
        <f>IF(J2186&lt;&gt;1,"",IF(I2186="SBJ","CB","?"))</f>
        <v> </v>
      </c>
      <c r="I2186" s="26" t="str">
        <f>IF(OR(E2186="",E2186="!!!",F2186="NEW"),"",INDEX(B2185:B$2,-1+SUMPRODUCT(MAX(ROW(E2185:E$2)*(E2186=E2185:E$2)))))</f>
        <v> </v>
      </c>
      <c r="J2186" s="26" t="str">
        <f>IF(OR(E2186="",E2186="!!!",F2186="NEW"),"",COUNTBLANK(OFFSET(A$1,,,SUMPRODUCT(MAX(ROW(E$2:E2186)*(E2186=E$2:E2186)))))-COUNTBLANK(OFFSET(A$1,,,SUMPRODUCT(MAX(ROW(E$1:E2185)*(E2=E$1:E2185))))))</f>
        <v> </v>
      </c>
      <c r="K2186" s="26" t="str">
        <f>IF(OR(E2186="",E2186="!!!",F2186="NEW"),"",INDEX(J$1:J2185,SUMPRODUCT(MAX(ROW(E$1:E2185)*(E2186=E$1:E2185)))))</f>
        <v> </v>
      </c>
      <c r="L2186" s="27"/>
    </row>
    <row r="2187" spans="1:12">
      <c r="A2187" s="20" t="s">
        <v>1581</v>
      </c>
      <c r="B2187" s="21" t="s">
        <v>578</v>
      </c>
      <c r="E2187" s="22">
        <f>IF(D2187="?OLD","!!!","")</f>
        <v/>
      </c>
      <c r="F2187" s="23" t="str">
        <f>IF(OR(E2187="",E2187="!!!"),"",IF(NOT(ISNA(VLOOKUP(E2187,E$1:E2186,1,FALSE()))),"OLD",IF(AND(E2187&lt;&gt;"",E2187&lt;&gt;"!!!"),"NEW","")))</f>
        <v> </v>
      </c>
      <c r="G2187" s="24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5" t="str">
        <f>IF(J2187&lt;&gt;1,"",IF(I2187="SBJ","CB","?"))</f>
        <v> </v>
      </c>
      <c r="I2187" s="26" t="str">
        <f>IF(OR(E2187="",E2187="!!!",F2187="NEW"),"",INDEX(B2186:B$2,-1+SUMPRODUCT(MAX(ROW(E2186:E$2)*(E2187=E2186:E$2)))))</f>
        <v> </v>
      </c>
      <c r="J2187" s="26" t="str">
        <f>IF(OR(E2187="",E2187="!!!",F2187="NEW"),"",COUNTBLANK(OFFSET(A$1,,,SUMPRODUCT(MAX(ROW(E$2:E2187)*(E2187=E$2:E2187)))))-COUNTBLANK(OFFSET(A$1,,,SUMPRODUCT(MAX(ROW(E$1:E2186)*(E2=E$1:E2186))))))</f>
        <v> </v>
      </c>
      <c r="K2187" s="26" t="str">
        <f>IF(OR(E2187="",E2187="!!!",F2187="NEW"),"",INDEX(J$1:J2186,SUMPRODUCT(MAX(ROW(E$1:E2186)*(E2187=E$1:E2186)))))</f>
        <v> </v>
      </c>
      <c r="L2187" s="27"/>
    </row>
    <row r="2188" spans="1:12">
      <c r="A2188" s="20" t="s">
        <v>1582</v>
      </c>
      <c r="E2188" s="22">
        <f>IF(D2188="?OLD","!!!","")</f>
        <v/>
      </c>
      <c r="F2188" s="23" t="str">
        <f>IF(OR(E2188="",E2188="!!!"),"",IF(NOT(ISNA(VLOOKUP(E2188,E$1:E2187,1,FALSE()))),"OLD",IF(AND(E2188&lt;&gt;"",E2188&lt;&gt;"!!!"),"NEW","")))</f>
        <v> </v>
      </c>
      <c r="G2188" s="24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5" t="str">
        <f>IF(J2188&lt;&gt;1,"",IF(I2188="SBJ","CB","?"))</f>
        <v> </v>
      </c>
      <c r="I2188" s="26" t="str">
        <f>IF(OR(E2188="",E2188="!!!",F2188="NEW"),"",INDEX(B2187:B$2,-1+SUMPRODUCT(MAX(ROW(E2187:E$2)*(E2188=E2187:E$2)))))</f>
        <v> </v>
      </c>
      <c r="J2188" s="26" t="str">
        <f>IF(OR(E2188="",E2188="!!!",F2188="NEW"),"",COUNTBLANK(OFFSET(A$1,,,SUMPRODUCT(MAX(ROW(E$2:E2188)*(E2188=E$2:E2188)))))-COUNTBLANK(OFFSET(A$1,,,SUMPRODUCT(MAX(ROW(E$1:E2187)*(E2=E$1:E2187))))))</f>
        <v> </v>
      </c>
      <c r="K2188" s="26" t="str">
        <f>IF(OR(E2188="",E2188="!!!",F2188="NEW"),"",INDEX(J$1:J2187,SUMPRODUCT(MAX(ROW(E$1:E2187)*(E2188=E$1:E2187)))))</f>
        <v> </v>
      </c>
      <c r="L2188" s="27"/>
    </row>
    <row r="2189" spans="1:12">
      <c r="A2189" s="20" t="s">
        <v>1583</v>
      </c>
      <c r="E2189" s="22">
        <f>IF(D2189="?OLD","!!!","")</f>
        <v/>
      </c>
      <c r="F2189" s="23" t="str">
        <f>IF(OR(E2189="",E2189="!!!"),"",IF(NOT(ISNA(VLOOKUP(E2189,E$1:E2188,1,FALSE()))),"OLD",IF(AND(E2189&lt;&gt;"",E2189&lt;&gt;"!!!"),"NEW","")))</f>
        <v> </v>
      </c>
      <c r="G2189" s="24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5" t="str">
        <f>IF(J2189&lt;&gt;1,"",IF(I2189="SBJ","CB","?"))</f>
        <v> </v>
      </c>
      <c r="I2189" s="26" t="str">
        <f>IF(OR(E2189="",E2189="!!!",F2189="NEW"),"",INDEX(B2188:B$2,-1+SUMPRODUCT(MAX(ROW(E2188:E$2)*(E2189=E2188:E$2)))))</f>
        <v> </v>
      </c>
      <c r="J2189" s="26" t="str">
        <f>IF(OR(E2189="",E2189="!!!",F2189="NEW"),"",COUNTBLANK(OFFSET(A$1,,,SUMPRODUCT(MAX(ROW(E$2:E2189)*(E2189=E$2:E2189)))))-COUNTBLANK(OFFSET(A$1,,,SUMPRODUCT(MAX(ROW(E$1:E2188)*(E2=E$1:E2188))))))</f>
        <v> </v>
      </c>
      <c r="K2189" s="26" t="str">
        <f>IF(OR(E2189="",E2189="!!!",F2189="NEW"),"",INDEX(J$1:J2188,SUMPRODUCT(MAX(ROW(E$1:E2188)*(E2189=E$1:E2188)))))</f>
        <v> </v>
      </c>
      <c r="L2189" s="27"/>
    </row>
    <row r="2190" spans="1:12">
      <c r="A2190" s="20" t="s">
        <v>1455</v>
      </c>
      <c r="B2190" s="21" t="s">
        <v>892</v>
      </c>
      <c r="E2190" s="22">
        <f>IF(D2190="?OLD","!!!","")</f>
        <v/>
      </c>
      <c r="F2190" s="23" t="str">
        <f>IF(OR(E2190="",E2190="!!!"),"",IF(NOT(ISNA(VLOOKUP(E2190,E$1:E2189,1,FALSE()))),"OLD",IF(AND(E2190&lt;&gt;"",E2190&lt;&gt;"!!!"),"NEW","")))</f>
        <v> </v>
      </c>
      <c r="G2190" s="24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5" t="str">
        <f>IF(J2190&lt;&gt;1,"",IF(I2190="SBJ","CB","?"))</f>
        <v> </v>
      </c>
      <c r="I2190" s="26" t="str">
        <f>IF(OR(E2190="",E2190="!!!",F2190="NEW"),"",INDEX(B2189:B$2,-1+SUMPRODUCT(MAX(ROW(E2189:E$2)*(E2190=E2189:E$2)))))</f>
        <v> </v>
      </c>
      <c r="J2190" s="26" t="str">
        <f>IF(OR(E2190="",E2190="!!!",F2190="NEW"),"",COUNTBLANK(OFFSET(A$1,,,SUMPRODUCT(MAX(ROW(E$2:E2190)*(E2190=E$2:E2190)))))-COUNTBLANK(OFFSET(A$1,,,SUMPRODUCT(MAX(ROW(E$1:E2189)*(E2=E$1:E2189))))))</f>
        <v> </v>
      </c>
      <c r="K2190" s="26" t="str">
        <f>IF(OR(E2190="",E2190="!!!",F2190="NEW"),"",INDEX(J$1:J2189,SUMPRODUCT(MAX(ROW(E$1:E2189)*(E2190=E$1:E2189)))))</f>
        <v> </v>
      </c>
      <c r="L2190" s="27"/>
    </row>
    <row r="2191" spans="1:12">
      <c r="A2191" s="20" t="s">
        <v>583</v>
      </c>
      <c r="E2191" s="22">
        <f>IF(D2191="?OLD","!!!","")</f>
        <v/>
      </c>
      <c r="F2191" s="23" t="str">
        <f>IF(OR(E2191="",E2191="!!!"),"",IF(NOT(ISNA(VLOOKUP(E2191,E$1:E2190,1,FALSE()))),"OLD",IF(AND(E2191&lt;&gt;"",E2191&lt;&gt;"!!!"),"NEW","")))</f>
        <v> </v>
      </c>
      <c r="G2191" s="24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5" t="str">
        <f>IF(J2191&lt;&gt;1,"",IF(I2191="SBJ","CB","?"))</f>
        <v> </v>
      </c>
      <c r="I2191" s="26" t="str">
        <f>IF(OR(E2191="",E2191="!!!",F2191="NEW"),"",INDEX(B2190:B$2,-1+SUMPRODUCT(MAX(ROW(E2190:E$2)*(E2191=E2190:E$2)))))</f>
        <v> </v>
      </c>
      <c r="J2191" s="26" t="str">
        <f>IF(OR(E2191="",E2191="!!!",F2191="NEW"),"",COUNTBLANK(OFFSET(A$1,,,SUMPRODUCT(MAX(ROW(E$2:E2191)*(E2191=E$2:E2191)))))-COUNTBLANK(OFFSET(A$1,,,SUMPRODUCT(MAX(ROW(E$1:E2190)*(E2=E$1:E2190))))))</f>
        <v> </v>
      </c>
      <c r="K2191" s="26" t="str">
        <f>IF(OR(E2191="",E2191="!!!",F2191="NEW"),"",INDEX(J$1:J2190,SUMPRODUCT(MAX(ROW(E$1:E2190)*(E2191=E$1:E2190)))))</f>
        <v> </v>
      </c>
      <c r="L2191" s="27"/>
    </row>
    <row r="2192" spans="1:12">
      <c r="A2192" s="20" t="s">
        <v>720</v>
      </c>
      <c r="E2192" s="22">
        <f>IF(D2192="?OLD","!!!","")</f>
        <v/>
      </c>
      <c r="F2192" s="23" t="str">
        <f>IF(OR(E2192="",E2192="!!!"),"",IF(NOT(ISNA(VLOOKUP(E2192,E$1:E2191,1,FALSE()))),"OLD",IF(AND(E2192&lt;&gt;"",E2192&lt;&gt;"!!!"),"NEW","")))</f>
        <v> </v>
      </c>
      <c r="G2192" s="24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5" t="str">
        <f>IF(J2192&lt;&gt;1,"",IF(I2192="SBJ","CB","?"))</f>
        <v> </v>
      </c>
      <c r="I2192" s="26" t="str">
        <f>IF(OR(E2192="",E2192="!!!",F2192="NEW"),"",INDEX(B2191:B$2,-1+SUMPRODUCT(MAX(ROW(E2191:E$2)*(E2192=E2191:E$2)))))</f>
        <v> </v>
      </c>
      <c r="J2192" s="26" t="str">
        <f>IF(OR(E2192="",E2192="!!!",F2192="NEW"),"",COUNTBLANK(OFFSET(A$1,,,SUMPRODUCT(MAX(ROW(E$2:E2192)*(E2192=E$2:E2192)))))-COUNTBLANK(OFFSET(A$1,,,SUMPRODUCT(MAX(ROW(E$1:E2191)*(E2=E$1:E2191))))))</f>
        <v> </v>
      </c>
      <c r="K2192" s="26" t="str">
        <f>IF(OR(E2192="",E2192="!!!",F2192="NEW"),"",INDEX(J$1:J2191,SUMPRODUCT(MAX(ROW(E$1:E2191)*(E2192=E$1:E2191)))))</f>
        <v> </v>
      </c>
      <c r="L2192" s="27"/>
    </row>
    <row r="2193" spans="1:12">
      <c r="A2193" s="20" t="s">
        <v>1198</v>
      </c>
      <c r="B2193" s="21" t="s">
        <v>695</v>
      </c>
      <c r="C2193" s="21" t="s">
        <v>613</v>
      </c>
      <c r="D2193" s="21" t="s">
        <v>587</v>
      </c>
      <c r="E2193" s="22">
        <f>IF(D2193="?OLD","!!!","")</f>
        <v/>
      </c>
      <c r="F2193" s="23" t="str">
        <f>IF(OR(E2193="",E2193="!!!"),"",IF(NOT(ISNA(VLOOKUP(E2193,E$1:E2192,1,FALSE()))),"OLD",IF(AND(E2193&lt;&gt;"",E2193&lt;&gt;"!!!"),"NEW","")))</f>
        <v> </v>
      </c>
      <c r="G2193" s="24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5" t="str">
        <f>IF(J2193&lt;&gt;1,"",IF(I2193="SBJ","CB","?"))</f>
        <v> </v>
      </c>
      <c r="I2193" s="26" t="str">
        <f>IF(OR(E2193="",E2193="!!!",F2193="NEW"),"",INDEX(B2192:B$2,-1+SUMPRODUCT(MAX(ROW(E2192:E$2)*(E2193=E2192:E$2)))))</f>
        <v> </v>
      </c>
      <c r="J2193" s="26" t="str">
        <f>IF(OR(E2193="",E2193="!!!",F2193="NEW"),"",COUNTBLANK(OFFSET(A$1,,,SUMPRODUCT(MAX(ROW(E$2:E2193)*(E2193=E$2:E2193)))))-COUNTBLANK(OFFSET(A$1,,,SUMPRODUCT(MAX(ROW(E$1:E2192)*(E2=E$1:E2192))))))</f>
        <v> </v>
      </c>
      <c r="K2193" s="26" t="str">
        <f>IF(OR(E2193="",E2193="!!!",F2193="NEW"),"",INDEX(J$1:J2192,SUMPRODUCT(MAX(ROW(E$1:E2192)*(E2193=E$1:E2192)))))</f>
        <v> </v>
      </c>
      <c r="L2193" s="27"/>
    </row>
    <row r="2194" spans="1:12">
      <c r="A2194" s="20" t="s">
        <v>901</v>
      </c>
      <c r="E2194" s="22">
        <f>IF(D2194="?OLD","!!!","")</f>
        <v/>
      </c>
      <c r="F2194" s="23" t="str">
        <f>IF(OR(E2194="",E2194="!!!"),"",IF(NOT(ISNA(VLOOKUP(E2194,E$1:E2193,1,FALSE()))),"OLD",IF(AND(E2194&lt;&gt;"",E2194&lt;&gt;"!!!"),"NEW","")))</f>
        <v> </v>
      </c>
      <c r="G2194" s="24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5" t="str">
        <f>IF(J2194&lt;&gt;1,"",IF(I2194="SBJ","CB","?"))</f>
        <v> </v>
      </c>
      <c r="I2194" s="26" t="str">
        <f>IF(OR(E2194="",E2194="!!!",F2194="NEW"),"",INDEX(B2193:B$2,-1+SUMPRODUCT(MAX(ROW(E2193:E$2)*(E2194=E2193:E$2)))))</f>
        <v> </v>
      </c>
      <c r="J2194" s="26" t="str">
        <f>IF(OR(E2194="",E2194="!!!",F2194="NEW"),"",COUNTBLANK(OFFSET(A$1,,,SUMPRODUCT(MAX(ROW(E$2:E2194)*(E2194=E$2:E2194)))))-COUNTBLANK(OFFSET(A$1,,,SUMPRODUCT(MAX(ROW(E$1:E2193)*(E2=E$1:E2193))))))</f>
        <v> </v>
      </c>
      <c r="K2194" s="26" t="str">
        <f>IF(OR(E2194="",E2194="!!!",F2194="NEW"),"",INDEX(J$1:J2193,SUMPRODUCT(MAX(ROW(E$1:E2193)*(E2194=E$1:E2193)))))</f>
        <v> </v>
      </c>
      <c r="L2194" s="27"/>
    </row>
    <row r="2195" spans="1:12">
      <c r="A2195" s="20" t="s">
        <v>1584</v>
      </c>
      <c r="E2195" s="22">
        <f>IF(D2195="?OLD","!!!","")</f>
        <v/>
      </c>
      <c r="F2195" s="23" t="str">
        <f>IF(OR(E2195="",E2195="!!!"),"",IF(NOT(ISNA(VLOOKUP(E2195,E$1:E2194,1,FALSE()))),"OLD",IF(AND(E2195&lt;&gt;"",E2195&lt;&gt;"!!!"),"NEW","")))</f>
        <v> </v>
      </c>
      <c r="G2195" s="24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5" t="str">
        <f>IF(J2195&lt;&gt;1,"",IF(I2195="SBJ","CB","?"))</f>
        <v> </v>
      </c>
      <c r="I2195" s="26" t="str">
        <f>IF(OR(E2195="",E2195="!!!",F2195="NEW"),"",INDEX(B2194:B$2,-1+SUMPRODUCT(MAX(ROW(E2194:E$2)*(E2195=E2194:E$2)))))</f>
        <v> </v>
      </c>
      <c r="J2195" s="26" t="str">
        <f>IF(OR(E2195="",E2195="!!!",F2195="NEW"),"",COUNTBLANK(OFFSET(A$1,,,SUMPRODUCT(MAX(ROW(E$2:E2195)*(E2195=E$2:E2195)))))-COUNTBLANK(OFFSET(A$1,,,SUMPRODUCT(MAX(ROW(E$1:E2194)*(E2=E$1:E2194))))))</f>
        <v> </v>
      </c>
      <c r="K2195" s="26" t="str">
        <f>IF(OR(E2195="",E2195="!!!",F2195="NEW"),"",INDEX(J$1:J2194,SUMPRODUCT(MAX(ROW(E$1:E2194)*(E2195=E$1:E2194)))))</f>
        <v> </v>
      </c>
      <c r="L2195" s="27"/>
    </row>
    <row r="2196" spans="1:12">
      <c r="A2196" s="20" t="s">
        <v>1585</v>
      </c>
      <c r="E2196" s="22">
        <f>IF(D2196="?OLD","!!!","")</f>
        <v/>
      </c>
      <c r="F2196" s="23" t="str">
        <f>IF(OR(E2196="",E2196="!!!"),"",IF(NOT(ISNA(VLOOKUP(E2196,E$1:E2195,1,FALSE()))),"OLD",IF(AND(E2196&lt;&gt;"",E2196&lt;&gt;"!!!"),"NEW","")))</f>
        <v> </v>
      </c>
      <c r="G2196" s="24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5" t="str">
        <f>IF(J2196&lt;&gt;1,"",IF(I2196="SBJ","CB","?"))</f>
        <v> </v>
      </c>
      <c r="I2196" s="26" t="str">
        <f>IF(OR(E2196="",E2196="!!!",F2196="NEW"),"",INDEX(B2195:B$2,-1+SUMPRODUCT(MAX(ROW(E2195:E$2)*(E2196=E2195:E$2)))))</f>
        <v> </v>
      </c>
      <c r="J2196" s="26" t="str">
        <f>IF(OR(E2196="",E2196="!!!",F2196="NEW"),"",COUNTBLANK(OFFSET(A$1,,,SUMPRODUCT(MAX(ROW(E$2:E2196)*(E2196=E$2:E2196)))))-COUNTBLANK(OFFSET(A$1,,,SUMPRODUCT(MAX(ROW(E$1:E2195)*(E2=E$1:E2195))))))</f>
        <v> </v>
      </c>
      <c r="K2196" s="26" t="str">
        <f>IF(OR(E2196="",E2196="!!!",F2196="NEW"),"",INDEX(J$1:J2195,SUMPRODUCT(MAX(ROW(E$1:E2195)*(E2196=E$1:E2195)))))</f>
        <v> </v>
      </c>
      <c r="L2196" s="27"/>
    </row>
    <row r="2197" spans="1:12">
      <c r="A2197" s="20" t="s">
        <v>583</v>
      </c>
      <c r="E2197" s="22">
        <f>IF(D2197="?OLD","!!!","")</f>
        <v/>
      </c>
      <c r="F2197" s="23" t="str">
        <f>IF(OR(E2197="",E2197="!!!"),"",IF(NOT(ISNA(VLOOKUP(E2197,E$1:E2196,1,FALSE()))),"OLD",IF(AND(E2197&lt;&gt;"",E2197&lt;&gt;"!!!"),"NEW","")))</f>
        <v> </v>
      </c>
      <c r="G2197" s="24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5" t="str">
        <f>IF(J2197&lt;&gt;1,"",IF(I2197="SBJ","CB","?"))</f>
        <v> </v>
      </c>
      <c r="I2197" s="26" t="str">
        <f>IF(OR(E2197="",E2197="!!!",F2197="NEW"),"",INDEX(B2196:B$2,-1+SUMPRODUCT(MAX(ROW(E2196:E$2)*(E2197=E2196:E$2)))))</f>
        <v> </v>
      </c>
      <c r="J2197" s="26" t="str">
        <f>IF(OR(E2197="",E2197="!!!",F2197="NEW"),"",COUNTBLANK(OFFSET(A$1,,,SUMPRODUCT(MAX(ROW(E$2:E2197)*(E2197=E$2:E2197)))))-COUNTBLANK(OFFSET(A$1,,,SUMPRODUCT(MAX(ROW(E$1:E2196)*(E2=E$1:E2196))))))</f>
        <v> </v>
      </c>
      <c r="K2197" s="26" t="str">
        <f>IF(OR(E2197="",E2197="!!!",F2197="NEW"),"",INDEX(J$1:J2196,SUMPRODUCT(MAX(ROW(E$1:E2196)*(E2197=E$1:E2196)))))</f>
        <v> </v>
      </c>
      <c r="L2197" s="27"/>
    </row>
    <row r="2198" spans="1:12">
      <c r="A2198" s="20" t="s">
        <v>999</v>
      </c>
      <c r="E2198" s="22">
        <f>IF(D2198="?OLD","!!!","")</f>
        <v/>
      </c>
      <c r="F2198" s="23" t="str">
        <f>IF(OR(E2198="",E2198="!!!"),"",IF(NOT(ISNA(VLOOKUP(E2198,E$1:E2197,1,FALSE()))),"OLD",IF(AND(E2198&lt;&gt;"",E2198&lt;&gt;"!!!"),"NEW","")))</f>
        <v> </v>
      </c>
      <c r="G2198" s="24" t="str">
        <f>IF(OR(E2198="",E2198="!!!"),"",IF(OR(J2198=0,AND(J2198=1,K2198=1),AND(J2198=1,I2198="SBJ"),AND(J2198=1,I2198=0)),"?IN_FOCUS",IF(J2198&lt;=2,"?ACTIVATED",IF(J2198&lt;&gt;"","?FAMILIAR",IF(F2198="NEW",IF(ISNA(VLOOKUP(E2198,#REF!,1,FALSE())),"?TYPE_IDENTIFIABLE","?REFERENTIAL"),"_")))))</f>
        <v> </v>
      </c>
      <c r="H2198" s="25" t="str">
        <f>IF(J2198&lt;&gt;1,"",IF(I2198="SBJ","CB","?"))</f>
        <v> </v>
      </c>
      <c r="I2198" s="26" t="str">
        <f>IF(OR(E2198="",E2198="!!!",F2198="NEW"),"",INDEX(B2197:B$2,-1+SUMPRODUCT(MAX(ROW(E2197:E$2)*(E2198=E2197:E$2)))))</f>
        <v> </v>
      </c>
      <c r="J2198" s="26" t="str">
        <f>IF(OR(E2198="",E2198="!!!",F2198="NEW"),"",COUNTBLANK(OFFSET(A$1,,,SUMPRODUCT(MAX(ROW(E$2:E2198)*(E2198=E$2:E2198)))))-COUNTBLANK(OFFSET(A$1,,,SUMPRODUCT(MAX(ROW(E$1:E2197)*(E2=E$1:E2197))))))</f>
        <v> </v>
      </c>
      <c r="K2198" s="26" t="str">
        <f>IF(OR(E2198="",E2198="!!!",F2198="NEW"),"",INDEX(J$1:J2197,SUMPRODUCT(MAX(ROW(E$1:E2197)*(E2198=E$1:E2197)))))</f>
        <v> </v>
      </c>
      <c r="L2198" s="27"/>
    </row>
    <row r="2199" spans="1:12">
      <c r="A2199" s="20" t="s">
        <v>609</v>
      </c>
      <c r="E2199" s="22">
        <f>IF(D2199="?OLD","!!!","")</f>
        <v/>
      </c>
      <c r="F2199" s="23" t="str">
        <f>IF(OR(E2199="",E2199="!!!"),"",IF(NOT(ISNA(VLOOKUP(E2199,E$1:E2198,1,FALSE()))),"OLD",IF(AND(E2199&lt;&gt;"",E2199&lt;&gt;"!!!"),"NEW","")))</f>
        <v> </v>
      </c>
      <c r="G2199" s="24" t="str">
        <f>IF(OR(E2199="",E2199="!!!"),"",IF(OR(J2199=0,AND(J2199=1,K2199=1),AND(J2199=1,I2199="SBJ"),AND(J2199=1,I2199=0)),"?IN_FOCUS",IF(J2199&lt;=2,"?ACTIVATED",IF(J2199&lt;&gt;"","?FAMILIAR",IF(F2199="NEW",IF(ISNA(VLOOKUP(E2199,#REF!,1,FALSE())),"?TYPE_IDENTIFIABLE","?REFERENTIAL"),"_")))))</f>
        <v> </v>
      </c>
      <c r="H2199" s="25" t="str">
        <f>IF(J2199&lt;&gt;1,"",IF(I2199="SBJ","CB","?"))</f>
        <v> </v>
      </c>
      <c r="I2199" s="26" t="str">
        <f>IF(OR(E2199="",E2199="!!!",F2199="NEW"),"",INDEX(B2198:B$2,-1+SUMPRODUCT(MAX(ROW(E2198:E$2)*(E2199=E2198:E$2)))))</f>
        <v> </v>
      </c>
      <c r="J2199" s="26" t="str">
        <f>IF(OR(E2199="",E2199="!!!",F2199="NEW"),"",COUNTBLANK(OFFSET(A$1,,,SUMPRODUCT(MAX(ROW(E$2:E2199)*(E2199=E$2:E2199)))))-COUNTBLANK(OFFSET(A$1,,,SUMPRODUCT(MAX(ROW(E$1:E2198)*(E2=E$1:E2198))))))</f>
        <v> </v>
      </c>
      <c r="K2199" s="26" t="str">
        <f>IF(OR(E2199="",E2199="!!!",F2199="NEW"),"",INDEX(J$1:J2198,SUMPRODUCT(MAX(ROW(E$1:E2198)*(E2199=E$1:E2198)))))</f>
        <v> </v>
      </c>
      <c r="L2199" s="27"/>
    </row>
    <row r="2200" spans="1:12">
      <c r="A2200" s="20" t="s">
        <v>1134</v>
      </c>
      <c r="E2200" s="22">
        <f>IF(D2200="?OLD","!!!","")</f>
        <v/>
      </c>
      <c r="F2200" s="23" t="str">
        <f>IF(OR(E2200="",E2200="!!!"),"",IF(NOT(ISNA(VLOOKUP(E2200,E$1:E2199,1,FALSE()))),"OLD",IF(AND(E2200&lt;&gt;"",E2200&lt;&gt;"!!!"),"NEW","")))</f>
        <v> </v>
      </c>
      <c r="G2200" s="24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5" t="str">
        <f>IF(J2200&lt;&gt;1,"",IF(I2200="SBJ","CB","?"))</f>
        <v> </v>
      </c>
      <c r="I2200" s="26" t="str">
        <f>IF(OR(E2200="",E2200="!!!",F2200="NEW"),"",INDEX(B2199:B$2,-1+SUMPRODUCT(MAX(ROW(E2199:E$2)*(E2200=E2199:E$2)))))</f>
        <v> </v>
      </c>
      <c r="J2200" s="26" t="str">
        <f>IF(OR(E2200="",E2200="!!!",F2200="NEW"),"",COUNTBLANK(OFFSET(A$1,,,SUMPRODUCT(MAX(ROW(E$2:E2200)*(E2200=E$2:E2200)))))-COUNTBLANK(OFFSET(A$1,,,SUMPRODUCT(MAX(ROW(E$1:E2199)*(E2=E$1:E2199))))))</f>
        <v> </v>
      </c>
      <c r="K2200" s="26" t="str">
        <f>IF(OR(E2200="",E2200="!!!",F2200="NEW"),"",INDEX(J$1:J2199,SUMPRODUCT(MAX(ROW(E$1:E2199)*(E2200=E$1:E2199)))))</f>
        <v> </v>
      </c>
      <c r="L2200" s="27"/>
    </row>
    <row r="2201" spans="1:12">
      <c r="A2201" s="20" t="s">
        <v>1586</v>
      </c>
      <c r="B2201" s="21" t="s">
        <v>762</v>
      </c>
      <c r="E2201" s="22">
        <f>IF(D2201="?OLD","!!!","")</f>
        <v/>
      </c>
      <c r="F2201" s="23" t="str">
        <f>IF(OR(E2201="",E2201="!!!"),"",IF(NOT(ISNA(VLOOKUP(E2201,E$1:E2200,1,FALSE()))),"OLD",IF(AND(E2201&lt;&gt;"",E2201&lt;&gt;"!!!"),"NEW","")))</f>
        <v> </v>
      </c>
      <c r="G2201" s="24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5" t="str">
        <f>IF(J2201&lt;&gt;1,"",IF(I2201="SBJ","CB","?"))</f>
        <v> </v>
      </c>
      <c r="I2201" s="26" t="str">
        <f>IF(OR(E2201="",E2201="!!!",F2201="NEW"),"",INDEX(B2200:B$2,-1+SUMPRODUCT(MAX(ROW(E2200:E$2)*(E2201=E2200:E$2)))))</f>
        <v> </v>
      </c>
      <c r="J2201" s="26" t="str">
        <f>IF(OR(E2201="",E2201="!!!",F2201="NEW"),"",COUNTBLANK(OFFSET(A$1,,,SUMPRODUCT(MAX(ROW(E$2:E2201)*(E2201=E$2:E2201)))))-COUNTBLANK(OFFSET(A$1,,,SUMPRODUCT(MAX(ROW(E$1:E2200)*(E2=E$1:E2200))))))</f>
        <v> </v>
      </c>
      <c r="K2201" s="26" t="str">
        <f>IF(OR(E2201="",E2201="!!!",F2201="NEW"),"",INDEX(J$1:J2200,SUMPRODUCT(MAX(ROW(E$1:E2200)*(E2201=E$1:E2200)))))</f>
        <v> </v>
      </c>
      <c r="L2201" s="27"/>
    </row>
    <row r="2202" spans="1:12">
      <c r="A2202" s="20" t="s">
        <v>1587</v>
      </c>
      <c r="E2202" s="22">
        <f>IF(D2202="?OLD","!!!","")</f>
        <v/>
      </c>
      <c r="F2202" s="23" t="str">
        <f>IF(OR(E2202="",E2202="!!!"),"",IF(NOT(ISNA(VLOOKUP(E2202,E$1:E2201,1,FALSE()))),"OLD",IF(AND(E2202&lt;&gt;"",E2202&lt;&gt;"!!!"),"NEW","")))</f>
        <v> </v>
      </c>
      <c r="G2202" s="24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5" t="str">
        <f>IF(J2202&lt;&gt;1,"",IF(I2202="SBJ","CB","?"))</f>
        <v> </v>
      </c>
      <c r="I2202" s="26" t="str">
        <f>IF(OR(E2202="",E2202="!!!",F2202="NEW"),"",INDEX(B2201:B$2,-1+SUMPRODUCT(MAX(ROW(E2201:E$2)*(E2202=E2201:E$2)))))</f>
        <v> </v>
      </c>
      <c r="J2202" s="26" t="str">
        <f>IF(OR(E2202="",E2202="!!!",F2202="NEW"),"",COUNTBLANK(OFFSET(A$1,,,SUMPRODUCT(MAX(ROW(E$2:E2202)*(E2202=E$2:E2202)))))-COUNTBLANK(OFFSET(A$1,,,SUMPRODUCT(MAX(ROW(E$1:E2201)*(E2=E$1:E2201))))))</f>
        <v> </v>
      </c>
      <c r="K2202" s="26" t="str">
        <f>IF(OR(E2202="",E2202="!!!",F2202="NEW"),"",INDEX(J$1:J2201,SUMPRODUCT(MAX(ROW(E$1:E2201)*(E2202=E$1:E2201)))))</f>
        <v> </v>
      </c>
      <c r="L2202" s="27"/>
    </row>
    <row r="2203" spans="1:12">
      <c r="A2203" s="20" t="s">
        <v>1588</v>
      </c>
      <c r="E2203" s="22">
        <f>IF(D2203="?OLD","!!!","")</f>
        <v/>
      </c>
      <c r="F2203" s="23" t="str">
        <f>IF(OR(E2203="",E2203="!!!"),"",IF(NOT(ISNA(VLOOKUP(E2203,E$1:E2202,1,FALSE()))),"OLD",IF(AND(E2203&lt;&gt;"",E2203&lt;&gt;"!!!"),"NEW","")))</f>
        <v> </v>
      </c>
      <c r="G2203" s="24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5" t="str">
        <f>IF(J2203&lt;&gt;1,"",IF(I2203="SBJ","CB","?"))</f>
        <v> </v>
      </c>
      <c r="I2203" s="26" t="str">
        <f>IF(OR(E2203="",E2203="!!!",F2203="NEW"),"",INDEX(B2202:B$2,-1+SUMPRODUCT(MAX(ROW(E2202:E$2)*(E2203=E2202:E$2)))))</f>
        <v> </v>
      </c>
      <c r="J2203" s="26" t="str">
        <f>IF(OR(E2203="",E2203="!!!",F2203="NEW"),"",COUNTBLANK(OFFSET(A$1,,,SUMPRODUCT(MAX(ROW(E$2:E2203)*(E2203=E$2:E2203)))))-COUNTBLANK(OFFSET(A$1,,,SUMPRODUCT(MAX(ROW(E$1:E2202)*(E2=E$1:E2202))))))</f>
        <v> </v>
      </c>
      <c r="K2203" s="26" t="str">
        <f>IF(OR(E2203="",E2203="!!!",F2203="NEW"),"",INDEX(J$1:J2202,SUMPRODUCT(MAX(ROW(E$1:E2202)*(E2203=E$1:E2202)))))</f>
        <v> </v>
      </c>
      <c r="L2203" s="27"/>
    </row>
    <row r="2204" spans="1:12">
      <c r="A2204" s="20" t="s">
        <v>583</v>
      </c>
      <c r="E2204" s="22">
        <f>IF(D2204="?OLD","!!!","")</f>
        <v/>
      </c>
      <c r="F2204" s="23" t="str">
        <f>IF(OR(E2204="",E2204="!!!"),"",IF(NOT(ISNA(VLOOKUP(E2204,E$1:E2203,1,FALSE()))),"OLD",IF(AND(E2204&lt;&gt;"",E2204&lt;&gt;"!!!"),"NEW","")))</f>
        <v> </v>
      </c>
      <c r="G2204" s="24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5" t="str">
        <f>IF(J2204&lt;&gt;1,"",IF(I2204="SBJ","CB","?"))</f>
        <v> </v>
      </c>
      <c r="I2204" s="26" t="str">
        <f>IF(OR(E2204="",E2204="!!!",F2204="NEW"),"",INDEX(B2203:B$2,-1+SUMPRODUCT(MAX(ROW(E2203:E$2)*(E2204=E2203:E$2)))))</f>
        <v> </v>
      </c>
      <c r="J2204" s="26" t="str">
        <f>IF(OR(E2204="",E2204="!!!",F2204="NEW"),"",COUNTBLANK(OFFSET(A$1,,,SUMPRODUCT(MAX(ROW(E$2:E2204)*(E2204=E$2:E2204)))))-COUNTBLANK(OFFSET(A$1,,,SUMPRODUCT(MAX(ROW(E$1:E2203)*(E2=E$1:E2203))))))</f>
        <v> </v>
      </c>
      <c r="K2204" s="26" t="str">
        <f>IF(OR(E2204="",E2204="!!!",F2204="NEW"),"",INDEX(J$1:J2203,SUMPRODUCT(MAX(ROW(E$1:E2203)*(E2204=E$1:E2203)))))</f>
        <v> </v>
      </c>
      <c r="L2204" s="27"/>
    </row>
    <row r="2205" spans="1:12">
      <c r="A2205" s="20" t="s">
        <v>999</v>
      </c>
      <c r="E2205" s="22">
        <f>IF(D2205="?OLD","!!!","")</f>
        <v/>
      </c>
      <c r="F2205" s="23" t="str">
        <f>IF(OR(E2205="",E2205="!!!"),"",IF(NOT(ISNA(VLOOKUP(E2205,E$1:E2204,1,FALSE()))),"OLD",IF(AND(E2205&lt;&gt;"",E2205&lt;&gt;"!!!"),"NEW","")))</f>
        <v> </v>
      </c>
      <c r="G2205" s="24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5" t="str">
        <f>IF(J2205&lt;&gt;1,"",IF(I2205="SBJ","CB","?"))</f>
        <v> </v>
      </c>
      <c r="I2205" s="26" t="str">
        <f>IF(OR(E2205="",E2205="!!!",F2205="NEW"),"",INDEX(B2204:B$2,-1+SUMPRODUCT(MAX(ROW(E2204:E$2)*(E2205=E2204:E$2)))))</f>
        <v> </v>
      </c>
      <c r="J2205" s="26" t="str">
        <f>IF(OR(E2205="",E2205="!!!",F2205="NEW"),"",COUNTBLANK(OFFSET(A$1,,,SUMPRODUCT(MAX(ROW(E$2:E2205)*(E2205=E$2:E2205)))))-COUNTBLANK(OFFSET(A$1,,,SUMPRODUCT(MAX(ROW(E$1:E2204)*(E2=E$1:E2204))))))</f>
        <v> </v>
      </c>
      <c r="K2205" s="26" t="str">
        <f>IF(OR(E2205="",E2205="!!!",F2205="NEW"),"",INDEX(J$1:J2204,SUMPRODUCT(MAX(ROW(E$1:E2204)*(E2205=E$1:E2204)))))</f>
        <v> </v>
      </c>
      <c r="L2205" s="27"/>
    </row>
    <row r="2206" spans="1:12">
      <c r="A2206" s="20" t="s">
        <v>609</v>
      </c>
      <c r="E2206" s="22">
        <f>IF(D2206="?OLD","!!!","")</f>
        <v/>
      </c>
      <c r="F2206" s="23" t="str">
        <f>IF(OR(E2206="",E2206="!!!"),"",IF(NOT(ISNA(VLOOKUP(E2206,E$1:E2205,1,FALSE()))),"OLD",IF(AND(E2206&lt;&gt;"",E2206&lt;&gt;"!!!"),"NEW","")))</f>
        <v> </v>
      </c>
      <c r="G2206" s="24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5" t="str">
        <f>IF(J2206&lt;&gt;1,"",IF(I2206="SBJ","CB","?"))</f>
        <v> </v>
      </c>
      <c r="I2206" s="26" t="str">
        <f>IF(OR(E2206="",E2206="!!!",F2206="NEW"),"",INDEX(B2205:B$2,-1+SUMPRODUCT(MAX(ROW(E2205:E$2)*(E2206=E2205:E$2)))))</f>
        <v> </v>
      </c>
      <c r="J2206" s="26" t="str">
        <f>IF(OR(E2206="",E2206="!!!",F2206="NEW"),"",COUNTBLANK(OFFSET(A$1,,,SUMPRODUCT(MAX(ROW(E$2:E2206)*(E2206=E$2:E2206)))))-COUNTBLANK(OFFSET(A$1,,,SUMPRODUCT(MAX(ROW(E$1:E2205)*(E2=E$1:E2205))))))</f>
        <v> </v>
      </c>
      <c r="K2206" s="26" t="str">
        <f>IF(OR(E2206="",E2206="!!!",F2206="NEW"),"",INDEX(J$1:J2205,SUMPRODUCT(MAX(ROW(E$1:E2205)*(E2206=E$1:E2205)))))</f>
        <v> </v>
      </c>
      <c r="L2206" s="27"/>
    </row>
    <row r="2207" spans="1:12">
      <c r="A2207" s="20" t="s">
        <v>1134</v>
      </c>
      <c r="E2207" s="22">
        <f>IF(D2207="?OLD","!!!","")</f>
        <v/>
      </c>
      <c r="F2207" s="23" t="str">
        <f>IF(OR(E2207="",E2207="!!!"),"",IF(NOT(ISNA(VLOOKUP(E2207,E$1:E2206,1,FALSE()))),"OLD",IF(AND(E2207&lt;&gt;"",E2207&lt;&gt;"!!!"),"NEW","")))</f>
        <v> </v>
      </c>
      <c r="G2207" s="24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5" t="str">
        <f>IF(J2207&lt;&gt;1,"",IF(I2207="SBJ","CB","?"))</f>
        <v> </v>
      </c>
      <c r="I2207" s="26" t="str">
        <f>IF(OR(E2207="",E2207="!!!",F2207="NEW"),"",INDEX(B2206:B$2,-1+SUMPRODUCT(MAX(ROW(E2206:E$2)*(E2207=E2206:E$2)))))</f>
        <v> </v>
      </c>
      <c r="J2207" s="26" t="str">
        <f>IF(OR(E2207="",E2207="!!!",F2207="NEW"),"",COUNTBLANK(OFFSET(A$1,,,SUMPRODUCT(MAX(ROW(E$2:E2207)*(E2207=E$2:E2207)))))-COUNTBLANK(OFFSET(A$1,,,SUMPRODUCT(MAX(ROW(E$1:E2206)*(E2=E$1:E2206))))))</f>
        <v> </v>
      </c>
      <c r="K2207" s="26" t="str">
        <f>IF(OR(E2207="",E2207="!!!",F2207="NEW"),"",INDEX(J$1:J2206,SUMPRODUCT(MAX(ROW(E$1:E2206)*(E2207=E$1:E2206)))))</f>
        <v> </v>
      </c>
      <c r="L2207" s="27"/>
    </row>
    <row r="2208" spans="1:12">
      <c r="A2208" s="20" t="s">
        <v>1586</v>
      </c>
      <c r="B2208" s="21" t="s">
        <v>883</v>
      </c>
      <c r="E2208" s="22">
        <f>IF(D2208="?OLD","!!!","")</f>
        <v/>
      </c>
      <c r="F2208" s="23" t="str">
        <f>IF(OR(E2208="",E2208="!!!"),"",IF(NOT(ISNA(VLOOKUP(E2208,E$1:E2207,1,FALSE()))),"OLD",IF(AND(E2208&lt;&gt;"",E2208&lt;&gt;"!!!"),"NEW","")))</f>
        <v> </v>
      </c>
      <c r="G2208" s="24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5" t="str">
        <f>IF(J2208&lt;&gt;1,"",IF(I2208="SBJ","CB","?"))</f>
        <v> </v>
      </c>
      <c r="I2208" s="26" t="str">
        <f>IF(OR(E2208="",E2208="!!!",F2208="NEW"),"",INDEX(B2207:B$2,-1+SUMPRODUCT(MAX(ROW(E2207:E$2)*(E2208=E2207:E$2)))))</f>
        <v> </v>
      </c>
      <c r="J2208" s="26" t="str">
        <f>IF(OR(E2208="",E2208="!!!",F2208="NEW"),"",COUNTBLANK(OFFSET(A$1,,,SUMPRODUCT(MAX(ROW(E$2:E2208)*(E2208=E$2:E2208)))))-COUNTBLANK(OFFSET(A$1,,,SUMPRODUCT(MAX(ROW(E$1:E2207)*(E2=E$1:E2207))))))</f>
        <v> </v>
      </c>
      <c r="K2208" s="26" t="str">
        <f>IF(OR(E2208="",E2208="!!!",F2208="NEW"),"",INDEX(J$1:J2207,SUMPRODUCT(MAX(ROW(E$1:E2207)*(E2208=E$1:E2207)))))</f>
        <v> </v>
      </c>
      <c r="L2208" s="27"/>
    </row>
    <row r="2209" spans="1:12">
      <c r="A2209" s="20" t="s">
        <v>1589</v>
      </c>
      <c r="E2209" s="22">
        <f>IF(D2209="?OLD","!!!","")</f>
        <v/>
      </c>
      <c r="F2209" s="23" t="str">
        <f>IF(OR(E2209="",E2209="!!!"),"",IF(NOT(ISNA(VLOOKUP(E2209,E$1:E2208,1,FALSE()))),"OLD",IF(AND(E2209&lt;&gt;"",E2209&lt;&gt;"!!!"),"NEW","")))</f>
        <v> </v>
      </c>
      <c r="G2209" s="24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5" t="str">
        <f>IF(J2209&lt;&gt;1,"",IF(I2209="SBJ","CB","?"))</f>
        <v> </v>
      </c>
      <c r="I2209" s="26" t="str">
        <f>IF(OR(E2209="",E2209="!!!",F2209="NEW"),"",INDEX(B2208:B$2,-1+SUMPRODUCT(MAX(ROW(E2208:E$2)*(E2209=E2208:E$2)))))</f>
        <v> </v>
      </c>
      <c r="J2209" s="26" t="str">
        <f>IF(OR(E2209="",E2209="!!!",F2209="NEW"),"",COUNTBLANK(OFFSET(A$1,,,SUMPRODUCT(MAX(ROW(E$2:E2209)*(E2209=E$2:E2209)))))-COUNTBLANK(OFFSET(A$1,,,SUMPRODUCT(MAX(ROW(E$1:E2208)*(E2=E$1:E2208))))))</f>
        <v> </v>
      </c>
      <c r="K2209" s="26" t="str">
        <f>IF(OR(E2209="",E2209="!!!",F2209="NEW"),"",INDEX(J$1:J2208,SUMPRODUCT(MAX(ROW(E$1:E2208)*(E2209=E$1:E2208)))))</f>
        <v> </v>
      </c>
      <c r="L2209" s="27"/>
    </row>
    <row r="2210" spans="1:12">
      <c r="A2210" s="20" t="s">
        <v>1590</v>
      </c>
      <c r="E2210" s="22">
        <f>IF(D2210="?OLD","!!!","")</f>
        <v/>
      </c>
      <c r="F2210" s="23" t="str">
        <f>IF(OR(E2210="",E2210="!!!"),"",IF(NOT(ISNA(VLOOKUP(E2210,E$1:E2209,1,FALSE()))),"OLD",IF(AND(E2210&lt;&gt;"",E2210&lt;&gt;"!!!"),"NEW","")))</f>
        <v> </v>
      </c>
      <c r="G2210" s="24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5" t="str">
        <f>IF(J2210&lt;&gt;1,"",IF(I2210="SBJ","CB","?"))</f>
        <v> </v>
      </c>
      <c r="I2210" s="26" t="str">
        <f>IF(OR(E2210="",E2210="!!!",F2210="NEW"),"",INDEX(B2209:B$2,-1+SUMPRODUCT(MAX(ROW(E2209:E$2)*(E2210=E2209:E$2)))))</f>
        <v> </v>
      </c>
      <c r="J2210" s="26" t="str">
        <f>IF(OR(E2210="",E2210="!!!",F2210="NEW"),"",COUNTBLANK(OFFSET(A$1,,,SUMPRODUCT(MAX(ROW(E$2:E2210)*(E2210=E$2:E2210)))))-COUNTBLANK(OFFSET(A$1,,,SUMPRODUCT(MAX(ROW(E$1:E2209)*(E2=E$1:E2209))))))</f>
        <v> </v>
      </c>
      <c r="K2210" s="26" t="str">
        <f>IF(OR(E2210="",E2210="!!!",F2210="NEW"),"",INDEX(J$1:J2209,SUMPRODUCT(MAX(ROW(E$1:E2209)*(E2210=E$1:E2209)))))</f>
        <v> </v>
      </c>
      <c r="L2210" s="27"/>
    </row>
    <row r="2211" spans="1:12">
      <c r="A2211" s="20" t="s">
        <v>592</v>
      </c>
      <c r="E2211" s="22">
        <f>IF(D2211="?OLD","!!!","")</f>
        <v/>
      </c>
      <c r="F2211" s="23" t="str">
        <f>IF(OR(E2211="",E2211="!!!"),"",IF(NOT(ISNA(VLOOKUP(E2211,E$1:E2210,1,FALSE()))),"OLD",IF(AND(E2211&lt;&gt;"",E2211&lt;&gt;"!!!"),"NEW","")))</f>
        <v> </v>
      </c>
      <c r="G2211" s="24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5" t="str">
        <f>IF(J2211&lt;&gt;1,"",IF(I2211="SBJ","CB","?"))</f>
        <v> </v>
      </c>
      <c r="I2211" s="26" t="str">
        <f>IF(OR(E2211="",E2211="!!!",F2211="NEW"),"",INDEX(B2210:B$2,-1+SUMPRODUCT(MAX(ROW(E2210:E$2)*(E2211=E2210:E$2)))))</f>
        <v> </v>
      </c>
      <c r="J2211" s="26" t="str">
        <f>IF(OR(E2211="",E2211="!!!",F2211="NEW"),"",COUNTBLANK(OFFSET(A$1,,,SUMPRODUCT(MAX(ROW(E$2:E2211)*(E2211=E$2:E2211)))))-COUNTBLANK(OFFSET(A$1,,,SUMPRODUCT(MAX(ROW(E$1:E2210)*(E2=E$1:E2210))))))</f>
        <v> </v>
      </c>
      <c r="K2211" s="26" t="str">
        <f>IF(OR(E2211="",E2211="!!!",F2211="NEW"),"",INDEX(J$1:J2210,SUMPRODUCT(MAX(ROW(E$1:E2210)*(E2211=E$1:E2210)))))</f>
        <v> </v>
      </c>
      <c r="L2211" s="27"/>
    </row>
    <row r="2212" spans="1:12">
      <c r="A2212" s="20"/>
    </row>
    <row r="2213" spans="1:12">
      <c r="A2213" s="20" t="s">
        <v>1591</v>
      </c>
    </row>
    <row r="2214" spans="1:12">
      <c r="A2214" s="20" t="s">
        <v>594</v>
      </c>
      <c r="B2214" s="21" t="s">
        <v>578</v>
      </c>
      <c r="C2214" s="21" t="s">
        <v>586</v>
      </c>
      <c r="D2214" s="21" t="s">
        <v>587</v>
      </c>
      <c r="E2214" s="22">
        <f>IF(D2214="?OLD","!!!","")</f>
        <v/>
      </c>
      <c r="F2214" s="23" t="str">
        <f>IF(OR(E2214="",E2214="!!!"),"",IF(NOT(ISNA(VLOOKUP(E2214,E$1:E2213,1,FALSE()))),"OLD",IF(AND(E2214&lt;&gt;"",E2214&lt;&gt;"!!!"),"NEW","")))</f>
        <v> </v>
      </c>
      <c r="G2214" s="24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5" t="str">
        <f>IF(J2214&lt;&gt;1,"",IF(I2214="SBJ","CB","?"))</f>
        <v> </v>
      </c>
      <c r="I2214" s="26" t="str">
        <f>IF(OR(E2214="",E2214="!!!",F2214="NEW"),"",INDEX(B2213:B$2,-1+SUMPRODUCT(MAX(ROW(E2213:E$2)*(E2214=E2213:E$2)))))</f>
        <v> </v>
      </c>
      <c r="J2214" s="26" t="str">
        <f>IF(OR(E2214="",E2214="!!!",F2214="NEW"),"",COUNTBLANK(OFFSET(A$1,,,SUMPRODUCT(MAX(ROW(E$2:E2214)*(E2214=E$2:E2214)))))-COUNTBLANK(OFFSET(A$1,,,SUMPRODUCT(MAX(ROW(E$1:E2213)*(E2=E$1:E2213))))))</f>
        <v> </v>
      </c>
      <c r="K2214" s="26" t="str">
        <f>IF(OR(E2214="",E2214="!!!",F2214="NEW"),"",INDEX(J$1:J2213,SUMPRODUCT(MAX(ROW(E$1:E2213)*(E2214=E$1:E2213)))))</f>
        <v> </v>
      </c>
      <c r="L2214" s="27"/>
    </row>
    <row r="2215" spans="1:12">
      <c r="A2215" s="20" t="s">
        <v>1592</v>
      </c>
      <c r="E2215" s="22">
        <f>IF(D2215="?OLD","!!!","")</f>
        <v/>
      </c>
      <c r="F2215" s="23" t="str">
        <f>IF(OR(E2215="",E2215="!!!"),"",IF(NOT(ISNA(VLOOKUP(E2215,E$1:E2214,1,FALSE()))),"OLD",IF(AND(E2215&lt;&gt;"",E2215&lt;&gt;"!!!"),"NEW","")))</f>
        <v> </v>
      </c>
      <c r="G2215" s="24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5" t="str">
        <f>IF(J2215&lt;&gt;1,"",IF(I2215="SBJ","CB","?"))</f>
        <v> </v>
      </c>
      <c r="I2215" s="26" t="str">
        <f>IF(OR(E2215="",E2215="!!!",F2215="NEW"),"",INDEX(B2214:B$2,-1+SUMPRODUCT(MAX(ROW(E2214:E$2)*(E2215=E2214:E$2)))))</f>
        <v> </v>
      </c>
      <c r="J2215" s="26" t="str">
        <f>IF(OR(E2215="",E2215="!!!",F2215="NEW"),"",COUNTBLANK(OFFSET(A$1,,,SUMPRODUCT(MAX(ROW(E$2:E2215)*(E2215=E$2:E2215)))))-COUNTBLANK(OFFSET(A$1,,,SUMPRODUCT(MAX(ROW(E$1:E2214)*(E2=E$1:E2214))))))</f>
        <v> </v>
      </c>
      <c r="K2215" s="26" t="str">
        <f>IF(OR(E2215="",E2215="!!!",F2215="NEW"),"",INDEX(J$1:J2214,SUMPRODUCT(MAX(ROW(E$1:E2214)*(E2215=E$1:E2214)))))</f>
        <v> </v>
      </c>
      <c r="L2215" s="27"/>
    </row>
    <row r="2216" spans="1:12">
      <c r="A2216" s="20" t="s">
        <v>1593</v>
      </c>
      <c r="B2216" s="21" t="s">
        <v>615</v>
      </c>
      <c r="E2216" s="22">
        <f>IF(D2216="?OLD","!!!","")</f>
        <v/>
      </c>
      <c r="F2216" s="23" t="str">
        <f>IF(OR(E2216="",E2216="!!!"),"",IF(NOT(ISNA(VLOOKUP(E2216,E$1:E2215,1,FALSE()))),"OLD",IF(AND(E2216&lt;&gt;"",E2216&lt;&gt;"!!!"),"NEW","")))</f>
        <v> </v>
      </c>
      <c r="G2216" s="24" t="str">
        <f>IF(OR(E2216="",E2216="!!!"),"",IF(OR(J2216=0,AND(J2216=1,K2216=1),AND(J2216=1,I2216="SBJ"),AND(J2216=1,I2216=0)),"?IN_FOCUS",IF(J2216&lt;=2,"?ACTIVATED",IF(J2216&lt;&gt;"","?FAMILIAR",IF(F2216="NEW",IF(ISNA(VLOOKUP(E2216,#REF!,1,FALSE())),"?TYPE_IDENTIFIABLE","?REFERENTIAL"),"_")))))</f>
        <v> </v>
      </c>
      <c r="H2216" s="25" t="str">
        <f>IF(J2216&lt;&gt;1,"",IF(I2216="SBJ","CB","?"))</f>
        <v> </v>
      </c>
      <c r="I2216" s="26" t="str">
        <f>IF(OR(E2216="",E2216="!!!",F2216="NEW"),"",INDEX(B2215:B$2,-1+SUMPRODUCT(MAX(ROW(E2215:E$2)*(E2216=E2215:E$2)))))</f>
        <v> </v>
      </c>
      <c r="J2216" s="26" t="str">
        <f>IF(OR(E2216="",E2216="!!!",F2216="NEW"),"",COUNTBLANK(OFFSET(A$1,,,SUMPRODUCT(MAX(ROW(E$2:E2216)*(E2216=E$2:E2216)))))-COUNTBLANK(OFFSET(A$1,,,SUMPRODUCT(MAX(ROW(E$1:E2215)*(E2=E$1:E2215))))))</f>
        <v> </v>
      </c>
      <c r="K2216" s="26" t="str">
        <f>IF(OR(E2216="",E2216="!!!",F2216="NEW"),"",INDEX(J$1:J2215,SUMPRODUCT(MAX(ROW(E$1:E2215)*(E2216=E$1:E2215)))))</f>
        <v> </v>
      </c>
      <c r="L2216" s="27"/>
    </row>
    <row r="2217" spans="1:12">
      <c r="A2217" s="20" t="s">
        <v>753</v>
      </c>
      <c r="E2217" s="22">
        <f>IF(D2217="?OLD","!!!","")</f>
        <v/>
      </c>
      <c r="F2217" s="23" t="str">
        <f>IF(OR(E2217="",E2217="!!!"),"",IF(NOT(ISNA(VLOOKUP(E2217,E$1:E2216,1,FALSE()))),"OLD",IF(AND(E2217&lt;&gt;"",E2217&lt;&gt;"!!!"),"NEW","")))</f>
        <v> </v>
      </c>
      <c r="G2217" s="24" t="str">
        <f>IF(OR(E2217="",E2217="!!!"),"",IF(OR(J2217=0,AND(J2217=1,K2217=1),AND(J2217=1,I2217="SBJ"),AND(J2217=1,I2217=0)),"?IN_FOCUS",IF(J2217&lt;=2,"?ACTIVATED",IF(J2217&lt;&gt;"","?FAMILIAR",IF(F2217="NEW",IF(ISNA(VLOOKUP(E2217,#REF!,1,FALSE())),"?TYPE_IDENTIFIABLE","?REFERENTIAL"),"_")))))</f>
        <v> </v>
      </c>
      <c r="H2217" s="25" t="str">
        <f>IF(J2217&lt;&gt;1,"",IF(I2217="SBJ","CB","?"))</f>
        <v> </v>
      </c>
      <c r="I2217" s="26" t="str">
        <f>IF(OR(E2217="",E2217="!!!",F2217="NEW"),"",INDEX(B2216:B$2,-1+SUMPRODUCT(MAX(ROW(E2216:E$2)*(E2217=E2216:E$2)))))</f>
        <v> </v>
      </c>
      <c r="J2217" s="26" t="str">
        <f>IF(OR(E2217="",E2217="!!!",F2217="NEW"),"",COUNTBLANK(OFFSET(A$1,,,SUMPRODUCT(MAX(ROW(E$2:E2217)*(E2217=E$2:E2217)))))-COUNTBLANK(OFFSET(A$1,,,SUMPRODUCT(MAX(ROW(E$1:E2216)*(E2=E$1:E2216))))))</f>
        <v> </v>
      </c>
      <c r="K2217" s="26" t="str">
        <f>IF(OR(E2217="",E2217="!!!",F2217="NEW"),"",INDEX(J$1:J2216,SUMPRODUCT(MAX(ROW(E$1:E2216)*(E2217=E$1:E2216)))))</f>
        <v> </v>
      </c>
      <c r="L2217" s="27"/>
    </row>
    <row r="2218" spans="1:12">
      <c r="A2218" s="20" t="s">
        <v>1554</v>
      </c>
      <c r="E2218" s="22">
        <f>IF(D2218="?OLD","!!!","")</f>
        <v/>
      </c>
      <c r="F2218" s="23" t="str">
        <f>IF(OR(E2218="",E2218="!!!"),"",IF(NOT(ISNA(VLOOKUP(E2218,E$1:E2217,1,FALSE()))),"OLD",IF(AND(E2218&lt;&gt;"",E2218&lt;&gt;"!!!"),"NEW","")))</f>
        <v> </v>
      </c>
      <c r="G2218" s="24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5" t="str">
        <f>IF(J2218&lt;&gt;1,"",IF(I2218="SBJ","CB","?"))</f>
        <v> </v>
      </c>
      <c r="I2218" s="26" t="str">
        <f>IF(OR(E2218="",E2218="!!!",F2218="NEW"),"",INDEX(B2217:B$2,-1+SUMPRODUCT(MAX(ROW(E2217:E$2)*(E2218=E2217:E$2)))))</f>
        <v> </v>
      </c>
      <c r="J2218" s="26" t="str">
        <f>IF(OR(E2218="",E2218="!!!",F2218="NEW"),"",COUNTBLANK(OFFSET(A$1,,,SUMPRODUCT(MAX(ROW(E$2:E2218)*(E2218=E$2:E2218)))))-COUNTBLANK(OFFSET(A$1,,,SUMPRODUCT(MAX(ROW(E$1:E2217)*(E2=E$1:E2217))))))</f>
        <v> </v>
      </c>
      <c r="K2218" s="26" t="str">
        <f>IF(OR(E2218="",E2218="!!!",F2218="NEW"),"",INDEX(J$1:J2217,SUMPRODUCT(MAX(ROW(E$1:E2217)*(E2218=E$1:E2217)))))</f>
        <v> </v>
      </c>
      <c r="L2218" s="27"/>
    </row>
    <row r="2219" spans="1:12">
      <c r="A2219" s="20" t="s">
        <v>592</v>
      </c>
      <c r="E2219" s="22">
        <f>IF(D2219="?OLD","!!!","")</f>
        <v/>
      </c>
      <c r="F2219" s="23" t="str">
        <f>IF(OR(E2219="",E2219="!!!"),"",IF(NOT(ISNA(VLOOKUP(E2219,E$1:E2218,1,FALSE()))),"OLD",IF(AND(E2219&lt;&gt;"",E2219&lt;&gt;"!!!"),"NEW","")))</f>
        <v> </v>
      </c>
      <c r="G2219" s="24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5" t="str">
        <f>IF(J2219&lt;&gt;1,"",IF(I2219="SBJ","CB","?"))</f>
        <v> </v>
      </c>
      <c r="I2219" s="26" t="str">
        <f>IF(OR(E2219="",E2219="!!!",F2219="NEW"),"",INDEX(B2218:B$2,-1+SUMPRODUCT(MAX(ROW(E2218:E$2)*(E2219=E2218:E$2)))))</f>
        <v> </v>
      </c>
      <c r="J2219" s="26" t="str">
        <f>IF(OR(E2219="",E2219="!!!",F2219="NEW"),"",COUNTBLANK(OFFSET(A$1,,,SUMPRODUCT(MAX(ROW(E$2:E2219)*(E2219=E$2:E2219)))))-COUNTBLANK(OFFSET(A$1,,,SUMPRODUCT(MAX(ROW(E$1:E2218)*(E2=E$1:E2218))))))</f>
        <v> </v>
      </c>
      <c r="K2219" s="26" t="str">
        <f>IF(OR(E2219="",E2219="!!!",F2219="NEW"),"",INDEX(J$1:J2218,SUMPRODUCT(MAX(ROW(E$1:E2218)*(E2219=E$1:E2218)))))</f>
        <v> </v>
      </c>
      <c r="L2219" s="27"/>
    </row>
    <row r="2220" spans="1:12">
      <c r="A2220" s="20"/>
    </row>
    <row r="2221" spans="1:12">
      <c r="A2221" s="20" t="s">
        <v>1594</v>
      </c>
    </row>
    <row r="2222" spans="1:12">
      <c r="A2222" s="20" t="s">
        <v>1141</v>
      </c>
      <c r="B2222" s="21" t="s">
        <v>578</v>
      </c>
      <c r="C2222" s="21" t="s">
        <v>800</v>
      </c>
      <c r="D2222" s="21" t="s">
        <v>587</v>
      </c>
      <c r="E2222" s="22">
        <f>IF(D2222="?OLD","!!!","")</f>
        <v/>
      </c>
      <c r="F2222" s="23" t="str">
        <f>IF(OR(E2222="",E2222="!!!"),"",IF(NOT(ISNA(VLOOKUP(E2222,E$1:E2221,1,FALSE()))),"OLD",IF(AND(E2222&lt;&gt;"",E2222&lt;&gt;"!!!"),"NEW","")))</f>
        <v> </v>
      </c>
      <c r="G2222" s="24" t="str">
        <f>IF(OR(E2222="",E2222="!!!"),"",IF(OR(J2222=0,AND(J2222=1,K2222=1),AND(J2222=1,I2222="SBJ"),AND(J2222=1,I2222=0)),"?IN_FOCUS",IF(J2222&lt;=2,"?ACTIVATED",IF(J2222&lt;&gt;"","?FAMILIAR",IF(F2222="NEW",IF(ISNA(VLOOKUP(E2222,#REF!,1,FALSE())),"?TYPE_IDENTIFIABLE","?REFERENTIAL"),"_")))))</f>
        <v> </v>
      </c>
      <c r="H2222" s="25" t="str">
        <f>IF(J2222&lt;&gt;1,"",IF(I2222="SBJ","CB","?"))</f>
        <v> </v>
      </c>
      <c r="I2222" s="26" t="str">
        <f>IF(OR(E2222="",E2222="!!!",F2222="NEW"),"",INDEX(B2221:B$2,-1+SUMPRODUCT(MAX(ROW(E2221:E$2)*(E2222=E2221:E$2)))))</f>
        <v> </v>
      </c>
      <c r="J2222" s="26" t="str">
        <f>IF(OR(E2222="",E2222="!!!",F2222="NEW"),"",COUNTBLANK(OFFSET(A$1,,,SUMPRODUCT(MAX(ROW(E$2:E2222)*(E2222=E$2:E2222)))))-COUNTBLANK(OFFSET(A$1,,,SUMPRODUCT(MAX(ROW(E$1:E2221)*(E2=E$1:E2221))))))</f>
        <v> </v>
      </c>
      <c r="K2222" s="26" t="str">
        <f>IF(OR(E2222="",E2222="!!!",F2222="NEW"),"",INDEX(J$1:J2221,SUMPRODUCT(MAX(ROW(E$1:E2221)*(E2222=E$1:E2221)))))</f>
        <v> </v>
      </c>
      <c r="L2222" s="27"/>
    </row>
    <row r="2223" spans="1:12">
      <c r="A2223" s="20" t="s">
        <v>1595</v>
      </c>
      <c r="B2223" s="21" t="s">
        <v>585</v>
      </c>
      <c r="C2223" s="21" t="s">
        <v>628</v>
      </c>
      <c r="D2223" s="21" t="s">
        <v>587</v>
      </c>
      <c r="E2223" s="22">
        <f>IF(D2223="?OLD","!!!","")</f>
        <v/>
      </c>
      <c r="F2223" s="23" t="str">
        <f>IF(OR(E2223="",E2223="!!!"),"",IF(NOT(ISNA(VLOOKUP(E2223,E$1:E2222,1,FALSE()))),"OLD",IF(AND(E2223&lt;&gt;"",E2223&lt;&gt;"!!!"),"NEW","")))</f>
        <v> </v>
      </c>
      <c r="G2223" s="24" t="str">
        <f>IF(OR(E2223="",E2223="!!!"),"",IF(OR(J2223=0,AND(J2223=1,K2223=1),AND(J2223=1,I2223="SBJ"),AND(J2223=1,I2223=0)),"?IN_FOCUS",IF(J2223&lt;=2,"?ACTIVATED",IF(J2223&lt;&gt;"","?FAMILIAR",IF(F2223="NEW",IF(ISNA(VLOOKUP(E2223,#REF!,1,FALSE())),"?TYPE_IDENTIFIABLE","?REFERENTIAL"),"_")))))</f>
        <v> </v>
      </c>
      <c r="H2223" s="25" t="str">
        <f>IF(J2223&lt;&gt;1,"",IF(I2223="SBJ","CB","?"))</f>
        <v> </v>
      </c>
      <c r="I2223" s="26" t="str">
        <f>IF(OR(E2223="",E2223="!!!",F2223="NEW"),"",INDEX(B2222:B$2,-1+SUMPRODUCT(MAX(ROW(E2222:E$2)*(E2223=E2222:E$2)))))</f>
        <v> </v>
      </c>
      <c r="J2223" s="26" t="str">
        <f>IF(OR(E2223="",E2223="!!!",F2223="NEW"),"",COUNTBLANK(OFFSET(A$1,,,SUMPRODUCT(MAX(ROW(E$2:E2223)*(E2223=E$2:E2223)))))-COUNTBLANK(OFFSET(A$1,,,SUMPRODUCT(MAX(ROW(E$1:E2222)*(E2=E$1:E2222))))))</f>
        <v> </v>
      </c>
      <c r="K2223" s="26" t="str">
        <f>IF(OR(E2223="",E2223="!!!",F2223="NEW"),"",INDEX(J$1:J2222,SUMPRODUCT(MAX(ROW(E$1:E2222)*(E2223=E$1:E2222)))))</f>
        <v> </v>
      </c>
      <c r="L2223" s="27"/>
    </row>
    <row r="2224" spans="1:12">
      <c r="A2224" s="20" t="s">
        <v>1596</v>
      </c>
      <c r="B2224" s="21" t="s">
        <v>585</v>
      </c>
      <c r="C2224" s="21" t="s">
        <v>628</v>
      </c>
      <c r="D2224" s="21" t="s">
        <v>587</v>
      </c>
      <c r="E2224" s="22">
        <f>IF(D2224="?OLD","!!!","")</f>
        <v/>
      </c>
      <c r="F2224" s="23" t="str">
        <f>IF(OR(E2224="",E2224="!!!"),"",IF(NOT(ISNA(VLOOKUP(E2224,E$1:E2223,1,FALSE()))),"OLD",IF(AND(E2224&lt;&gt;"",E2224&lt;&gt;"!!!"),"NEW","")))</f>
        <v> </v>
      </c>
      <c r="G2224" s="24" t="str">
        <f>IF(OR(E2224="",E2224="!!!"),"",IF(OR(J2224=0,AND(J2224=1,K2224=1),AND(J2224=1,I2224="SBJ"),AND(J2224=1,I2224=0)),"?IN_FOCUS",IF(J2224&lt;=2,"?ACTIVATED",IF(J2224&lt;&gt;"","?FAMILIAR",IF(F2224="NEW",IF(ISNA(VLOOKUP(E2224,#REF!,1,FALSE())),"?TYPE_IDENTIFIABLE","?REFERENTIAL"),"_")))))</f>
        <v> </v>
      </c>
      <c r="H2224" s="25" t="str">
        <f>IF(J2224&lt;&gt;1,"",IF(I2224="SBJ","CB","?"))</f>
        <v> </v>
      </c>
      <c r="I2224" s="26" t="str">
        <f>IF(OR(E2224="",E2224="!!!",F2224="NEW"),"",INDEX(B2223:B$2,-1+SUMPRODUCT(MAX(ROW(E2223:E$2)*(E2224=E2223:E$2)))))</f>
        <v> </v>
      </c>
      <c r="J2224" s="26" t="str">
        <f>IF(OR(E2224="",E2224="!!!",F2224="NEW"),"",COUNTBLANK(OFFSET(A$1,,,SUMPRODUCT(MAX(ROW(E$2:E2224)*(E2224=E$2:E2224)))))-COUNTBLANK(OFFSET(A$1,,,SUMPRODUCT(MAX(ROW(E$1:E2223)*(E2=E$1:E2223))))))</f>
        <v> </v>
      </c>
      <c r="K2224" s="26" t="str">
        <f>IF(OR(E2224="",E2224="!!!",F2224="NEW"),"",INDEX(J$1:J2223,SUMPRODUCT(MAX(ROW(E$1:E2223)*(E2224=E$1:E2223)))))</f>
        <v> </v>
      </c>
      <c r="L2224" s="27"/>
    </row>
    <row r="2225" spans="1:12">
      <c r="A2225" s="20" t="s">
        <v>1597</v>
      </c>
      <c r="E2225" s="22">
        <f>IF(D2225="?OLD","!!!","")</f>
        <v/>
      </c>
      <c r="F2225" s="23" t="str">
        <f>IF(OR(E2225="",E2225="!!!"),"",IF(NOT(ISNA(VLOOKUP(E2225,E$1:E2224,1,FALSE()))),"OLD",IF(AND(E2225&lt;&gt;"",E2225&lt;&gt;"!!!"),"NEW","")))</f>
        <v> </v>
      </c>
      <c r="G2225" s="24" t="str">
        <f>IF(OR(E2225="",E2225="!!!"),"",IF(OR(J2225=0,AND(J2225=1,K2225=1),AND(J2225=1,I2225="SBJ"),AND(J2225=1,I2225=0)),"?IN_FOCUS",IF(J2225&lt;=2,"?ACTIVATED",IF(J2225&lt;&gt;"","?FAMILIAR",IF(F2225="NEW",IF(ISNA(VLOOKUP(E2225,#REF!,1,FALSE())),"?TYPE_IDENTIFIABLE","?REFERENTIAL"),"_")))))</f>
        <v> </v>
      </c>
      <c r="H2225" s="25" t="str">
        <f>IF(J2225&lt;&gt;1,"",IF(I2225="SBJ","CB","?"))</f>
        <v> </v>
      </c>
      <c r="I2225" s="26" t="str">
        <f>IF(OR(E2225="",E2225="!!!",F2225="NEW"),"",INDEX(B2224:B$2,-1+SUMPRODUCT(MAX(ROW(E2224:E$2)*(E2225=E2224:E$2)))))</f>
        <v> </v>
      </c>
      <c r="J2225" s="26" t="str">
        <f>IF(OR(E2225="",E2225="!!!",F2225="NEW"),"",COUNTBLANK(OFFSET(A$1,,,SUMPRODUCT(MAX(ROW(E$2:E2225)*(E2225=E$2:E2225)))))-COUNTBLANK(OFFSET(A$1,,,SUMPRODUCT(MAX(ROW(E$1:E2224)*(E2=E$1:E2224))))))</f>
        <v> </v>
      </c>
      <c r="K2225" s="26" t="str">
        <f>IF(OR(E2225="",E2225="!!!",F2225="NEW"),"",INDEX(J$1:J2224,SUMPRODUCT(MAX(ROW(E$1:E2224)*(E2225=E$1:E2224)))))</f>
        <v> </v>
      </c>
      <c r="L2225" s="27"/>
    </row>
    <row r="2226" spans="1:12">
      <c r="A2226" s="20" t="s">
        <v>1598</v>
      </c>
      <c r="E2226" s="22">
        <f>IF(D2226="?OLD","!!!","")</f>
        <v/>
      </c>
      <c r="F2226" s="23" t="str">
        <f>IF(OR(E2226="",E2226="!!!"),"",IF(NOT(ISNA(VLOOKUP(E2226,E$1:E2225,1,FALSE()))),"OLD",IF(AND(E2226&lt;&gt;"",E2226&lt;&gt;"!!!"),"NEW","")))</f>
        <v> </v>
      </c>
      <c r="G2226" s="24" t="str">
        <f>IF(OR(E2226="",E2226="!!!"),"",IF(OR(J2226=0,AND(J2226=1,K2226=1),AND(J2226=1,I2226="SBJ"),AND(J2226=1,I2226=0)),"?IN_FOCUS",IF(J2226&lt;=2,"?ACTIVATED",IF(J2226&lt;&gt;"","?FAMILIAR",IF(F2226="NEW",IF(ISNA(VLOOKUP(E2226,#REF!,1,FALSE())),"?TYPE_IDENTIFIABLE","?REFERENTIAL"),"_")))))</f>
        <v> </v>
      </c>
      <c r="H2226" s="25" t="str">
        <f>IF(J2226&lt;&gt;1,"",IF(I2226="SBJ","CB","?"))</f>
        <v> </v>
      </c>
      <c r="I2226" s="26" t="str">
        <f>IF(OR(E2226="",E2226="!!!",F2226="NEW"),"",INDEX(B2225:B$2,-1+SUMPRODUCT(MAX(ROW(E2225:E$2)*(E2226=E2225:E$2)))))</f>
        <v> </v>
      </c>
      <c r="J2226" s="26" t="str">
        <f>IF(OR(E2226="",E2226="!!!",F2226="NEW"),"",COUNTBLANK(OFFSET(A$1,,,SUMPRODUCT(MAX(ROW(E$2:E2226)*(E2226=E$2:E2226)))))-COUNTBLANK(OFFSET(A$1,,,SUMPRODUCT(MAX(ROW(E$1:E2225)*(E2=E$1:E2225))))))</f>
        <v> </v>
      </c>
      <c r="K2226" s="26" t="str">
        <f>IF(OR(E2226="",E2226="!!!",F2226="NEW"),"",INDEX(J$1:J2225,SUMPRODUCT(MAX(ROW(E$1:E2225)*(E2226=E$1:E2225)))))</f>
        <v> </v>
      </c>
      <c r="L2226" s="27"/>
    </row>
    <row r="2227" spans="1:12">
      <c r="A2227" s="20" t="s">
        <v>1599</v>
      </c>
      <c r="B2227" s="21" t="s">
        <v>615</v>
      </c>
      <c r="E2227" s="22">
        <f>IF(D2227="?OLD","!!!","")</f>
        <v/>
      </c>
      <c r="F2227" s="23" t="str">
        <f>IF(OR(E2227="",E2227="!!!"),"",IF(NOT(ISNA(VLOOKUP(E2227,E$1:E2226,1,FALSE()))),"OLD",IF(AND(E2227&lt;&gt;"",E2227&lt;&gt;"!!!"),"NEW","")))</f>
        <v> </v>
      </c>
      <c r="G2227" s="24" t="str">
        <f>IF(OR(E2227="",E2227="!!!"),"",IF(OR(J2227=0,AND(J2227=1,K2227=1),AND(J2227=1,I2227="SBJ"),AND(J2227=1,I2227=0)),"?IN_FOCUS",IF(J2227&lt;=2,"?ACTIVATED",IF(J2227&lt;&gt;"","?FAMILIAR",IF(F2227="NEW",IF(ISNA(VLOOKUP(E2227,#REF!,1,FALSE())),"?TYPE_IDENTIFIABLE","?REFERENTIAL"),"_")))))</f>
        <v> </v>
      </c>
      <c r="H2227" s="25" t="str">
        <f>IF(J2227&lt;&gt;1,"",IF(I2227="SBJ","CB","?"))</f>
        <v> </v>
      </c>
      <c r="I2227" s="26" t="str">
        <f>IF(OR(E2227="",E2227="!!!",F2227="NEW"),"",INDEX(B2226:B$2,-1+SUMPRODUCT(MAX(ROW(E2226:E$2)*(E2227=E2226:E$2)))))</f>
        <v> </v>
      </c>
      <c r="J2227" s="26" t="str">
        <f>IF(OR(E2227="",E2227="!!!",F2227="NEW"),"",COUNTBLANK(OFFSET(A$1,,,SUMPRODUCT(MAX(ROW(E$2:E2227)*(E2227=E$2:E2227)))))-COUNTBLANK(OFFSET(A$1,,,SUMPRODUCT(MAX(ROW(E$1:E2226)*(E2=E$1:E2226))))))</f>
        <v> </v>
      </c>
      <c r="K2227" s="26" t="str">
        <f>IF(OR(E2227="",E2227="!!!",F2227="NEW"),"",INDEX(J$1:J2226,SUMPRODUCT(MAX(ROW(E$1:E2226)*(E2227=E$1:E2226)))))</f>
        <v> </v>
      </c>
      <c r="L2227" s="27"/>
    </row>
    <row r="2228" spans="1:12">
      <c r="A2228" s="20" t="s">
        <v>583</v>
      </c>
      <c r="E2228" s="22">
        <f>IF(D2228="?OLD","!!!","")</f>
        <v/>
      </c>
      <c r="F2228" s="23" t="str">
        <f>IF(OR(E2228="",E2228="!!!"),"",IF(NOT(ISNA(VLOOKUP(E2228,E$1:E2227,1,FALSE()))),"OLD",IF(AND(E2228&lt;&gt;"",E2228&lt;&gt;"!!!"),"NEW","")))</f>
        <v> </v>
      </c>
      <c r="G2228" s="24" t="str">
        <f>IF(OR(E2228="",E2228="!!!"),"",IF(OR(J2228=0,AND(J2228=1,K2228=1),AND(J2228=1,I2228="SBJ"),AND(J2228=1,I2228=0)),"?IN_FOCUS",IF(J2228&lt;=2,"?ACTIVATED",IF(J2228&lt;&gt;"","?FAMILIAR",IF(F2228="NEW",IF(ISNA(VLOOKUP(E2228,#REF!,1,FALSE())),"?TYPE_IDENTIFIABLE","?REFERENTIAL"),"_")))))</f>
        <v> </v>
      </c>
      <c r="H2228" s="25" t="str">
        <f>IF(J2228&lt;&gt;1,"",IF(I2228="SBJ","CB","?"))</f>
        <v> </v>
      </c>
      <c r="I2228" s="26" t="str">
        <f>IF(OR(E2228="",E2228="!!!",F2228="NEW"),"",INDEX(B2227:B$2,-1+SUMPRODUCT(MAX(ROW(E2227:E$2)*(E2228=E2227:E$2)))))</f>
        <v> </v>
      </c>
      <c r="J2228" s="26" t="str">
        <f>IF(OR(E2228="",E2228="!!!",F2228="NEW"),"",COUNTBLANK(OFFSET(A$1,,,SUMPRODUCT(MAX(ROW(E$2:E2228)*(E2228=E$2:E2228)))))-COUNTBLANK(OFFSET(A$1,,,SUMPRODUCT(MAX(ROW(E$1:E2227)*(E2=E$1:E2227))))))</f>
        <v> </v>
      </c>
      <c r="K2228" s="26" t="str">
        <f>IF(OR(E2228="",E2228="!!!",F2228="NEW"),"",INDEX(J$1:J2227,SUMPRODUCT(MAX(ROW(E$1:E2227)*(E2228=E$1:E2227)))))</f>
        <v> </v>
      </c>
      <c r="L2228" s="27"/>
    </row>
    <row r="2229" spans="1:12">
      <c r="A2229" s="20" t="s">
        <v>1042</v>
      </c>
      <c r="B2229" s="21" t="s">
        <v>605</v>
      </c>
      <c r="C2229" s="21" t="s">
        <v>602</v>
      </c>
      <c r="E2229" s="22">
        <f>IF(D2229="?OLD","!!!","")</f>
        <v/>
      </c>
      <c r="F2229" s="23" t="str">
        <f>IF(OR(E2229="",E2229="!!!"),"",IF(NOT(ISNA(VLOOKUP(E2229,E$1:E2228,1,FALSE()))),"OLD",IF(AND(E2229&lt;&gt;"",E2229&lt;&gt;"!!!"),"NEW","")))</f>
        <v> </v>
      </c>
      <c r="G2229" s="24" t="str">
        <f>IF(OR(E2229="",E2229="!!!"),"",IF(OR(J2229=0,AND(J2229=1,K2229=1),AND(J2229=1,I2229="SBJ"),AND(J2229=1,I2229=0)),"?IN_FOCUS",IF(J2229&lt;=2,"?ACTIVATED",IF(J2229&lt;&gt;"","?FAMILIAR",IF(F2229="NEW",IF(ISNA(VLOOKUP(E2229,#REF!,1,FALSE())),"?TYPE_IDENTIFIABLE","?REFERENTIAL"),"_")))))</f>
        <v> </v>
      </c>
      <c r="H2229" s="25" t="str">
        <f>IF(J2229&lt;&gt;1,"",IF(I2229="SBJ","CB","?"))</f>
        <v> </v>
      </c>
      <c r="I2229" s="26" t="str">
        <f>IF(OR(E2229="",E2229="!!!",F2229="NEW"),"",INDEX(B2228:B$2,-1+SUMPRODUCT(MAX(ROW(E2228:E$2)*(E2229=E2228:E$2)))))</f>
        <v> </v>
      </c>
      <c r="J2229" s="26" t="str">
        <f>IF(OR(E2229="",E2229="!!!",F2229="NEW"),"",COUNTBLANK(OFFSET(A$1,,,SUMPRODUCT(MAX(ROW(E$2:E2229)*(E2229=E$2:E2229)))))-COUNTBLANK(OFFSET(A$1,,,SUMPRODUCT(MAX(ROW(E$1:E2228)*(E2=E$1:E2228))))))</f>
        <v> </v>
      </c>
      <c r="K2229" s="26" t="str">
        <f>IF(OR(E2229="",E2229="!!!",F2229="NEW"),"",INDEX(J$1:J2228,SUMPRODUCT(MAX(ROW(E$1:E2228)*(E2229=E$1:E2228)))))</f>
        <v> </v>
      </c>
      <c r="L2229" s="27"/>
    </row>
    <row r="2230" spans="1:12">
      <c r="A2230" s="20" t="s">
        <v>1600</v>
      </c>
      <c r="E2230" s="22">
        <f>IF(D2230="?OLD","!!!","")</f>
        <v/>
      </c>
      <c r="F2230" s="23" t="str">
        <f>IF(OR(E2230="",E2230="!!!"),"",IF(NOT(ISNA(VLOOKUP(E2230,E$1:E2229,1,FALSE()))),"OLD",IF(AND(E2230&lt;&gt;"",E2230&lt;&gt;"!!!"),"NEW","")))</f>
        <v> </v>
      </c>
      <c r="G2230" s="24" t="str">
        <f>IF(OR(E2230="",E2230="!!!"),"",IF(OR(J2230=0,AND(J2230=1,K2230=1),AND(J2230=1,I2230="SBJ"),AND(J2230=1,I2230=0)),"?IN_FOCUS",IF(J2230&lt;=2,"?ACTIVATED",IF(J2230&lt;&gt;"","?FAMILIAR",IF(F2230="NEW",IF(ISNA(VLOOKUP(E2230,#REF!,1,FALSE())),"?TYPE_IDENTIFIABLE","?REFERENTIAL"),"_")))))</f>
        <v> </v>
      </c>
      <c r="H2230" s="25" t="str">
        <f>IF(J2230&lt;&gt;1,"",IF(I2230="SBJ","CB","?"))</f>
        <v> </v>
      </c>
      <c r="I2230" s="26" t="str">
        <f>IF(OR(E2230="",E2230="!!!",F2230="NEW"),"",INDEX(B2229:B$2,-1+SUMPRODUCT(MAX(ROW(E2229:E$2)*(E2230=E2229:E$2)))))</f>
        <v> </v>
      </c>
      <c r="J2230" s="26" t="str">
        <f>IF(OR(E2230="",E2230="!!!",F2230="NEW"),"",COUNTBLANK(OFFSET(A$1,,,SUMPRODUCT(MAX(ROW(E$2:E2230)*(E2230=E$2:E2230)))))-COUNTBLANK(OFFSET(A$1,,,SUMPRODUCT(MAX(ROW(E$1:E2229)*(E2=E$1:E2229))))))</f>
        <v> </v>
      </c>
      <c r="K2230" s="26" t="str">
        <f>IF(OR(E2230="",E2230="!!!",F2230="NEW"),"",INDEX(J$1:J2229,SUMPRODUCT(MAX(ROW(E$1:E2229)*(E2230=E$1:E2229)))))</f>
        <v> </v>
      </c>
      <c r="L2230" s="27"/>
    </row>
    <row r="2231" spans="1:12">
      <c r="A2231" s="20" t="s">
        <v>1601</v>
      </c>
      <c r="B2231" s="21" t="s">
        <v>892</v>
      </c>
      <c r="E2231" s="22">
        <f>IF(D2231="?OLD","!!!","")</f>
        <v/>
      </c>
      <c r="F2231" s="23" t="str">
        <f>IF(OR(E2231="",E2231="!!!"),"",IF(NOT(ISNA(VLOOKUP(E2231,E$1:E2230,1,FALSE()))),"OLD",IF(AND(E2231&lt;&gt;"",E2231&lt;&gt;"!!!"),"NEW","")))</f>
        <v> </v>
      </c>
      <c r="G2231" s="24" t="str">
        <f>IF(OR(E2231="",E2231="!!!"),"",IF(OR(J2231=0,AND(J2231=1,K2231=1),AND(J2231=1,I2231="SBJ"),AND(J2231=1,I2231=0)),"?IN_FOCUS",IF(J2231&lt;=2,"?ACTIVATED",IF(J2231&lt;&gt;"","?FAMILIAR",IF(F2231="NEW",IF(ISNA(VLOOKUP(E2231,#REF!,1,FALSE())),"?TYPE_IDENTIFIABLE","?REFERENTIAL"),"_")))))</f>
        <v> </v>
      </c>
      <c r="H2231" s="25" t="str">
        <f>IF(J2231&lt;&gt;1,"",IF(I2231="SBJ","CB","?"))</f>
        <v> </v>
      </c>
      <c r="I2231" s="26" t="str">
        <f>IF(OR(E2231="",E2231="!!!",F2231="NEW"),"",INDEX(B2230:B$2,-1+SUMPRODUCT(MAX(ROW(E2230:E$2)*(E2231=E2230:E$2)))))</f>
        <v> </v>
      </c>
      <c r="J2231" s="26" t="str">
        <f>IF(OR(E2231="",E2231="!!!",F2231="NEW"),"",COUNTBLANK(OFFSET(A$1,,,SUMPRODUCT(MAX(ROW(E$2:E2231)*(E2231=E$2:E2231)))))-COUNTBLANK(OFFSET(A$1,,,SUMPRODUCT(MAX(ROW(E$1:E2230)*(E2=E$1:E2230))))))</f>
        <v> </v>
      </c>
      <c r="K2231" s="26" t="str">
        <f>IF(OR(E2231="",E2231="!!!",F2231="NEW"),"",INDEX(J$1:J2230,SUMPRODUCT(MAX(ROW(E$1:E2230)*(E2231=E$1:E2230)))))</f>
        <v> </v>
      </c>
      <c r="L2231" s="27"/>
    </row>
    <row r="2232" spans="1:12">
      <c r="A2232" s="20" t="s">
        <v>583</v>
      </c>
      <c r="E2232" s="22">
        <f>IF(D2232="?OLD","!!!","")</f>
        <v/>
      </c>
      <c r="F2232" s="23" t="str">
        <f>IF(OR(E2232="",E2232="!!!"),"",IF(NOT(ISNA(VLOOKUP(E2232,E$1:E2231,1,FALSE()))),"OLD",IF(AND(E2232&lt;&gt;"",E2232&lt;&gt;"!!!"),"NEW","")))</f>
        <v> </v>
      </c>
      <c r="G2232" s="24" t="str">
        <f>IF(OR(E2232="",E2232="!!!"),"",IF(OR(J2232=0,AND(J2232=1,K2232=1),AND(J2232=1,I2232="SBJ"),AND(J2232=1,I2232=0)),"?IN_FOCUS",IF(J2232&lt;=2,"?ACTIVATED",IF(J2232&lt;&gt;"","?FAMILIAR",IF(F2232="NEW",IF(ISNA(VLOOKUP(E2232,#REF!,1,FALSE())),"?TYPE_IDENTIFIABLE","?REFERENTIAL"),"_")))))</f>
        <v> </v>
      </c>
      <c r="H2232" s="25" t="str">
        <f>IF(J2232&lt;&gt;1,"",IF(I2232="SBJ","CB","?"))</f>
        <v> </v>
      </c>
      <c r="I2232" s="26" t="str">
        <f>IF(OR(E2232="",E2232="!!!",F2232="NEW"),"",INDEX(B2231:B$2,-1+SUMPRODUCT(MAX(ROW(E2231:E$2)*(E2232=E2231:E$2)))))</f>
        <v> </v>
      </c>
      <c r="J2232" s="26" t="str">
        <f>IF(OR(E2232="",E2232="!!!",F2232="NEW"),"",COUNTBLANK(OFFSET(A$1,,,SUMPRODUCT(MAX(ROW(E$2:E2232)*(E2232=E$2:E2232)))))-COUNTBLANK(OFFSET(A$1,,,SUMPRODUCT(MAX(ROW(E$1:E2231)*(E2=E$1:E2231))))))</f>
        <v> </v>
      </c>
      <c r="K2232" s="26" t="str">
        <f>IF(OR(E2232="",E2232="!!!",F2232="NEW"),"",INDEX(J$1:J2231,SUMPRODUCT(MAX(ROW(E$1:E2231)*(E2232=E$1:E2231)))))</f>
        <v> </v>
      </c>
      <c r="L2232" s="27"/>
    </row>
    <row r="2233" spans="1:12">
      <c r="A2233" s="20" t="s">
        <v>1602</v>
      </c>
      <c r="E2233" s="22">
        <f>IF(D2233="?OLD","!!!","")</f>
        <v/>
      </c>
      <c r="F2233" s="23" t="str">
        <f>IF(OR(E2233="",E2233="!!!"),"",IF(NOT(ISNA(VLOOKUP(E2233,E$1:E2232,1,FALSE()))),"OLD",IF(AND(E2233&lt;&gt;"",E2233&lt;&gt;"!!!"),"NEW","")))</f>
        <v> </v>
      </c>
      <c r="G2233" s="24" t="str">
        <f>IF(OR(E2233="",E2233="!!!"),"",IF(OR(J2233=0,AND(J2233=1,K2233=1),AND(J2233=1,I2233="SBJ"),AND(J2233=1,I2233=0)),"?IN_FOCUS",IF(J2233&lt;=2,"?ACTIVATED",IF(J2233&lt;&gt;"","?FAMILIAR",IF(F2233="NEW",IF(ISNA(VLOOKUP(E2233,#REF!,1,FALSE())),"?TYPE_IDENTIFIABLE","?REFERENTIAL"),"_")))))</f>
        <v> </v>
      </c>
      <c r="H2233" s="25" t="str">
        <f>IF(J2233&lt;&gt;1,"",IF(I2233="SBJ","CB","?"))</f>
        <v> </v>
      </c>
      <c r="I2233" s="26" t="str">
        <f>IF(OR(E2233="",E2233="!!!",F2233="NEW"),"",INDEX(B2232:B$2,-1+SUMPRODUCT(MAX(ROW(E2232:E$2)*(E2233=E2232:E$2)))))</f>
        <v> </v>
      </c>
      <c r="J2233" s="26" t="str">
        <f>IF(OR(E2233="",E2233="!!!",F2233="NEW"),"",COUNTBLANK(OFFSET(A$1,,,SUMPRODUCT(MAX(ROW(E$2:E2233)*(E2233=E$2:E2233)))))-COUNTBLANK(OFFSET(A$1,,,SUMPRODUCT(MAX(ROW(E$1:E2232)*(E2=E$1:E2232))))))</f>
        <v> </v>
      </c>
      <c r="K2233" s="26" t="str">
        <f>IF(OR(E2233="",E2233="!!!",F2233="NEW"),"",INDEX(J$1:J2232,SUMPRODUCT(MAX(ROW(E$1:E2232)*(E2233=E$1:E2232)))))</f>
        <v> </v>
      </c>
      <c r="L2233" s="27"/>
    </row>
    <row r="2234" spans="1:12">
      <c r="A2234" s="20" t="s">
        <v>1603</v>
      </c>
      <c r="B2234" s="21" t="s">
        <v>695</v>
      </c>
      <c r="E2234" s="22">
        <f>IF(D2234="?OLD","!!!","")</f>
        <v/>
      </c>
      <c r="F2234" s="23" t="str">
        <f>IF(OR(E2234="",E2234="!!!"),"",IF(NOT(ISNA(VLOOKUP(E2234,E$1:E2233,1,FALSE()))),"OLD",IF(AND(E2234&lt;&gt;"",E2234&lt;&gt;"!!!"),"NEW","")))</f>
        <v> </v>
      </c>
      <c r="G2234" s="24" t="str">
        <f>IF(OR(E2234="",E2234="!!!"),"",IF(OR(J2234=0,AND(J2234=1,K2234=1),AND(J2234=1,I2234="SBJ"),AND(J2234=1,I2234=0)),"?IN_FOCUS",IF(J2234&lt;=2,"?ACTIVATED",IF(J2234&lt;&gt;"","?FAMILIAR",IF(F2234="NEW",IF(ISNA(VLOOKUP(E2234,#REF!,1,FALSE())),"?TYPE_IDENTIFIABLE","?REFERENTIAL"),"_")))))</f>
        <v> </v>
      </c>
      <c r="H2234" s="25" t="str">
        <f>IF(J2234&lt;&gt;1,"",IF(I2234="SBJ","CB","?"))</f>
        <v> </v>
      </c>
      <c r="I2234" s="26" t="str">
        <f>IF(OR(E2234="",E2234="!!!",F2234="NEW"),"",INDEX(B2233:B$2,-1+SUMPRODUCT(MAX(ROW(E2233:E$2)*(E2234=E2233:E$2)))))</f>
        <v> </v>
      </c>
      <c r="J2234" s="26" t="str">
        <f>IF(OR(E2234="",E2234="!!!",F2234="NEW"),"",COUNTBLANK(OFFSET(A$1,,,SUMPRODUCT(MAX(ROW(E$2:E2234)*(E2234=E$2:E2234)))))-COUNTBLANK(OFFSET(A$1,,,SUMPRODUCT(MAX(ROW(E$1:E2233)*(E2=E$1:E2233))))))</f>
        <v> </v>
      </c>
      <c r="K2234" s="26" t="str">
        <f>IF(OR(E2234="",E2234="!!!",F2234="NEW"),"",INDEX(J$1:J2233,SUMPRODUCT(MAX(ROW(E$1:E2233)*(E2234=E$1:E2233)))))</f>
        <v> </v>
      </c>
      <c r="L2234" s="27"/>
    </row>
    <row r="2235" spans="1:12">
      <c r="A2235" s="20" t="s">
        <v>277</v>
      </c>
      <c r="E2235" s="22">
        <f>IF(D2235="?OLD","!!!","")</f>
        <v/>
      </c>
      <c r="F2235" s="23" t="str">
        <f>IF(OR(E2235="",E2235="!!!"),"",IF(NOT(ISNA(VLOOKUP(E2235,E$1:E2234,1,FALSE()))),"OLD",IF(AND(E2235&lt;&gt;"",E2235&lt;&gt;"!!!"),"NEW","")))</f>
        <v> </v>
      </c>
      <c r="G2235" s="24" t="str">
        <f>IF(OR(E2235="",E2235="!!!"),"",IF(OR(J2235=0,AND(J2235=1,K2235=1),AND(J2235=1,I2235="SBJ"),AND(J2235=1,I2235=0)),"?IN_FOCUS",IF(J2235&lt;=2,"?ACTIVATED",IF(J2235&lt;&gt;"","?FAMILIAR",IF(F2235="NEW",IF(ISNA(VLOOKUP(E2235,#REF!,1,FALSE())),"?TYPE_IDENTIFIABLE","?REFERENTIAL"),"_")))))</f>
        <v> </v>
      </c>
      <c r="H2235" s="25" t="str">
        <f>IF(J2235&lt;&gt;1,"",IF(I2235="SBJ","CB","?"))</f>
        <v> </v>
      </c>
      <c r="I2235" s="26" t="str">
        <f>IF(OR(E2235="",E2235="!!!",F2235="NEW"),"",INDEX(B2234:B$2,-1+SUMPRODUCT(MAX(ROW(E2234:E$2)*(E2235=E2234:E$2)))))</f>
        <v> </v>
      </c>
      <c r="J2235" s="26" t="str">
        <f>IF(OR(E2235="",E2235="!!!",F2235="NEW"),"",COUNTBLANK(OFFSET(A$1,,,SUMPRODUCT(MAX(ROW(E$2:E2235)*(E2235=E$2:E2235)))))-COUNTBLANK(OFFSET(A$1,,,SUMPRODUCT(MAX(ROW(E$1:E2234)*(E2=E$1:E2234))))))</f>
        <v> </v>
      </c>
      <c r="K2235" s="26" t="str">
        <f>IF(OR(E2235="",E2235="!!!",F2235="NEW"),"",INDEX(J$1:J2234,SUMPRODUCT(MAX(ROW(E$1:E2234)*(E2235=E$1:E2234)))))</f>
        <v> </v>
      </c>
      <c r="L2235" s="27"/>
    </row>
    <row r="2236" spans="1:12">
      <c r="A2236" s="20" t="s">
        <v>1410</v>
      </c>
      <c r="E2236" s="22">
        <f>IF(D2236="?OLD","!!!","")</f>
        <v/>
      </c>
      <c r="F2236" s="23" t="str">
        <f>IF(OR(E2236="",E2236="!!!"),"",IF(NOT(ISNA(VLOOKUP(E2236,E$1:E2235,1,FALSE()))),"OLD",IF(AND(E2236&lt;&gt;"",E2236&lt;&gt;"!!!"),"NEW","")))</f>
        <v> </v>
      </c>
      <c r="G2236" s="24" t="str">
        <f>IF(OR(E2236="",E2236="!!!"),"",IF(OR(J2236=0,AND(J2236=1,K2236=1),AND(J2236=1,I2236="SBJ"),AND(J2236=1,I2236=0)),"?IN_FOCUS",IF(J2236&lt;=2,"?ACTIVATED",IF(J2236&lt;&gt;"","?FAMILIAR",IF(F2236="NEW",IF(ISNA(VLOOKUP(E2236,#REF!,1,FALSE())),"?TYPE_IDENTIFIABLE","?REFERENTIAL"),"_")))))</f>
        <v> </v>
      </c>
      <c r="H2236" s="25" t="str">
        <f>IF(J2236&lt;&gt;1,"",IF(I2236="SBJ","CB","?"))</f>
        <v> </v>
      </c>
      <c r="I2236" s="26" t="str">
        <f>IF(OR(E2236="",E2236="!!!",F2236="NEW"),"",INDEX(B2235:B$2,-1+SUMPRODUCT(MAX(ROW(E2235:E$2)*(E2236=E2235:E$2)))))</f>
        <v> </v>
      </c>
      <c r="J2236" s="26" t="str">
        <f>IF(OR(E2236="",E2236="!!!",F2236="NEW"),"",COUNTBLANK(OFFSET(A$1,,,SUMPRODUCT(MAX(ROW(E$2:E2236)*(E2236=E$2:E2236)))))-COUNTBLANK(OFFSET(A$1,,,SUMPRODUCT(MAX(ROW(E$1:E2235)*(E2=E$1:E2235))))))</f>
        <v> </v>
      </c>
      <c r="K2236" s="26" t="str">
        <f>IF(OR(E2236="",E2236="!!!",F2236="NEW"),"",INDEX(J$1:J2235,SUMPRODUCT(MAX(ROW(E$1:E2235)*(E2236=E$1:E2235)))))</f>
        <v> </v>
      </c>
      <c r="L2236" s="27"/>
    </row>
    <row r="2237" spans="1:12">
      <c r="A2237" s="20" t="s">
        <v>778</v>
      </c>
      <c r="E2237" s="22">
        <f>IF(D2237="?OLD","!!!","")</f>
        <v/>
      </c>
      <c r="F2237" s="23" t="str">
        <f>IF(OR(E2237="",E2237="!!!"),"",IF(NOT(ISNA(VLOOKUP(E2237,E$1:E2236,1,FALSE()))),"OLD",IF(AND(E2237&lt;&gt;"",E2237&lt;&gt;"!!!"),"NEW","")))</f>
        <v> </v>
      </c>
      <c r="G2237" s="24" t="str">
        <f>IF(OR(E2237="",E2237="!!!"),"",IF(OR(J2237=0,AND(J2237=1,K2237=1),AND(J2237=1,I2237="SBJ"),AND(J2237=1,I2237=0)),"?IN_FOCUS",IF(J2237&lt;=2,"?ACTIVATED",IF(J2237&lt;&gt;"","?FAMILIAR",IF(F2237="NEW",IF(ISNA(VLOOKUP(E2237,#REF!,1,FALSE())),"?TYPE_IDENTIFIABLE","?REFERENTIAL"),"_")))))</f>
        <v> </v>
      </c>
      <c r="H2237" s="25" t="str">
        <f>IF(J2237&lt;&gt;1,"",IF(I2237="SBJ","CB","?"))</f>
        <v> </v>
      </c>
      <c r="I2237" s="26" t="str">
        <f>IF(OR(E2237="",E2237="!!!",F2237="NEW"),"",INDEX(B2236:B$2,-1+SUMPRODUCT(MAX(ROW(E2236:E$2)*(E2237=E2236:E$2)))))</f>
        <v> </v>
      </c>
      <c r="J2237" s="26" t="str">
        <f>IF(OR(E2237="",E2237="!!!",F2237="NEW"),"",COUNTBLANK(OFFSET(A$1,,,SUMPRODUCT(MAX(ROW(E$2:E2237)*(E2237=E$2:E2237)))))-COUNTBLANK(OFFSET(A$1,,,SUMPRODUCT(MAX(ROW(E$1:E2236)*(E2=E$1:E2236))))))</f>
        <v> </v>
      </c>
      <c r="K2237" s="26" t="str">
        <f>IF(OR(E2237="",E2237="!!!",F2237="NEW"),"",INDEX(J$1:J2236,SUMPRODUCT(MAX(ROW(E$1:E2236)*(E2237=E$1:E2236)))))</f>
        <v> </v>
      </c>
      <c r="L2237" s="27"/>
    </row>
    <row r="2238" spans="1:12">
      <c r="A2238" s="20" t="s">
        <v>1068</v>
      </c>
      <c r="B2238" s="21" t="s">
        <v>722</v>
      </c>
      <c r="C2238" s="21" t="s">
        <v>586</v>
      </c>
      <c r="E2238" s="22">
        <f>IF(D2238="?OLD","!!!","")</f>
        <v/>
      </c>
      <c r="F2238" s="23" t="str">
        <f>IF(OR(E2238="",E2238="!!!"),"",IF(NOT(ISNA(VLOOKUP(E2238,E$1:E2237,1,FALSE()))),"OLD",IF(AND(E2238&lt;&gt;"",E2238&lt;&gt;"!!!"),"NEW","")))</f>
        <v> </v>
      </c>
      <c r="G2238" s="24" t="str">
        <f>IF(OR(E2238="",E2238="!!!"),"",IF(OR(J2238=0,AND(J2238=1,K2238=1),AND(J2238=1,I2238="SBJ"),AND(J2238=1,I2238=0)),"?IN_FOCUS",IF(J2238&lt;=2,"?ACTIVATED",IF(J2238&lt;&gt;"","?FAMILIAR",IF(F2238="NEW",IF(ISNA(VLOOKUP(E2238,#REF!,1,FALSE())),"?TYPE_IDENTIFIABLE","?REFERENTIAL"),"_")))))</f>
        <v> </v>
      </c>
      <c r="H2238" s="25" t="str">
        <f>IF(J2238&lt;&gt;1,"",IF(I2238="SBJ","CB","?"))</f>
        <v> </v>
      </c>
      <c r="I2238" s="26" t="str">
        <f>IF(OR(E2238="",E2238="!!!",F2238="NEW"),"",INDEX(B2237:B$2,-1+SUMPRODUCT(MAX(ROW(E2237:E$2)*(E2238=E2237:E$2)))))</f>
        <v> </v>
      </c>
      <c r="J2238" s="26" t="str">
        <f>IF(OR(E2238="",E2238="!!!",F2238="NEW"),"",COUNTBLANK(OFFSET(A$1,,,SUMPRODUCT(MAX(ROW(E$2:E2238)*(E2238=E$2:E2238)))))-COUNTBLANK(OFFSET(A$1,,,SUMPRODUCT(MAX(ROW(E$1:E2237)*(E2=E$1:E2237))))))</f>
        <v> </v>
      </c>
      <c r="K2238" s="26" t="str">
        <f>IF(OR(E2238="",E2238="!!!",F2238="NEW"),"",INDEX(J$1:J2237,SUMPRODUCT(MAX(ROW(E$1:E2237)*(E2238=E$1:E2237)))))</f>
        <v> </v>
      </c>
      <c r="L2238" s="27"/>
    </row>
    <row r="2239" spans="1:12">
      <c r="A2239" s="20" t="s">
        <v>583</v>
      </c>
      <c r="E2239" s="22">
        <f>IF(D2239="?OLD","!!!","")</f>
        <v/>
      </c>
      <c r="F2239" s="23" t="str">
        <f>IF(OR(E2239="",E2239="!!!"),"",IF(NOT(ISNA(VLOOKUP(E2239,E$1:E2238,1,FALSE()))),"OLD",IF(AND(E2239&lt;&gt;"",E2239&lt;&gt;"!!!"),"NEW","")))</f>
        <v> </v>
      </c>
      <c r="G2239" s="24" t="str">
        <f>IF(OR(E2239="",E2239="!!!"),"",IF(OR(J2239=0,AND(J2239=1,K2239=1),AND(J2239=1,I2239="SBJ"),AND(J2239=1,I2239=0)),"?IN_FOCUS",IF(J2239&lt;=2,"?ACTIVATED",IF(J2239&lt;&gt;"","?FAMILIAR",IF(F2239="NEW",IF(ISNA(VLOOKUP(E2239,#REF!,1,FALSE())),"?TYPE_IDENTIFIABLE","?REFERENTIAL"),"_")))))</f>
        <v> </v>
      </c>
      <c r="H2239" s="25" t="str">
        <f>IF(J2239&lt;&gt;1,"",IF(I2239="SBJ","CB","?"))</f>
        <v> </v>
      </c>
      <c r="I2239" s="26" t="str">
        <f>IF(OR(E2239="",E2239="!!!",F2239="NEW"),"",INDEX(B2238:B$2,-1+SUMPRODUCT(MAX(ROW(E2238:E$2)*(E2239=E2238:E$2)))))</f>
        <v> </v>
      </c>
      <c r="J2239" s="26" t="str">
        <f>IF(OR(E2239="",E2239="!!!",F2239="NEW"),"",COUNTBLANK(OFFSET(A$1,,,SUMPRODUCT(MAX(ROW(E$2:E2239)*(E2239=E$2:E2239)))))-COUNTBLANK(OFFSET(A$1,,,SUMPRODUCT(MAX(ROW(E$1:E2238)*(E2=E$1:E2238))))))</f>
        <v> </v>
      </c>
      <c r="K2239" s="26" t="str">
        <f>IF(OR(E2239="",E2239="!!!",F2239="NEW"),"",INDEX(J$1:J2238,SUMPRODUCT(MAX(ROW(E$1:E2238)*(E2239=E$1:E2238)))))</f>
        <v> </v>
      </c>
      <c r="L2239" s="27"/>
    </row>
    <row r="2240" spans="1:12">
      <c r="A2240" s="20" t="s">
        <v>733</v>
      </c>
      <c r="E2240" s="22">
        <f>IF(D2240="?OLD","!!!","")</f>
        <v/>
      </c>
      <c r="F2240" s="23" t="str">
        <f>IF(OR(E2240="",E2240="!!!"),"",IF(NOT(ISNA(VLOOKUP(E2240,E$1:E2239,1,FALSE()))),"OLD",IF(AND(E2240&lt;&gt;"",E2240&lt;&gt;"!!!"),"NEW","")))</f>
        <v> </v>
      </c>
      <c r="G2240" s="24" t="str">
        <f>IF(OR(E2240="",E2240="!!!"),"",IF(OR(J2240=0,AND(J2240=1,K2240=1),AND(J2240=1,I2240="SBJ"),AND(J2240=1,I2240=0)),"?IN_FOCUS",IF(J2240&lt;=2,"?ACTIVATED",IF(J2240&lt;&gt;"","?FAMILIAR",IF(F2240="NEW",IF(ISNA(VLOOKUP(E2240,#REF!,1,FALSE())),"?TYPE_IDENTIFIABLE","?REFERENTIAL"),"_")))))</f>
        <v> </v>
      </c>
      <c r="H2240" s="25" t="str">
        <f>IF(J2240&lt;&gt;1,"",IF(I2240="SBJ","CB","?"))</f>
        <v> </v>
      </c>
      <c r="I2240" s="26" t="str">
        <f>IF(OR(E2240="",E2240="!!!",F2240="NEW"),"",INDEX(B2239:B$2,-1+SUMPRODUCT(MAX(ROW(E2239:E$2)*(E2240=E2239:E$2)))))</f>
        <v> </v>
      </c>
      <c r="J2240" s="26" t="str">
        <f>IF(OR(E2240="",E2240="!!!",F2240="NEW"),"",COUNTBLANK(OFFSET(A$1,,,SUMPRODUCT(MAX(ROW(E$2:E2240)*(E2240=E$2:E2240)))))-COUNTBLANK(OFFSET(A$1,,,SUMPRODUCT(MAX(ROW(E$1:E2239)*(E2=E$1:E2239))))))</f>
        <v> </v>
      </c>
      <c r="K2240" s="26" t="str">
        <f>IF(OR(E2240="",E2240="!!!",F2240="NEW"),"",INDEX(J$1:J2239,SUMPRODUCT(MAX(ROW(E$1:E2239)*(E2240=E$1:E2239)))))</f>
        <v> </v>
      </c>
      <c r="L2240" s="27"/>
    </row>
    <row r="2241" spans="1:12">
      <c r="A2241" s="20" t="s">
        <v>630</v>
      </c>
      <c r="E2241" s="22">
        <f>IF(D2241="?OLD","!!!","")</f>
        <v/>
      </c>
      <c r="F2241" s="23" t="str">
        <f>IF(OR(E2241="",E2241="!!!"),"",IF(NOT(ISNA(VLOOKUP(E2241,E$1:E2240,1,FALSE()))),"OLD",IF(AND(E2241&lt;&gt;"",E2241&lt;&gt;"!!!"),"NEW","")))</f>
        <v> </v>
      </c>
      <c r="G2241" s="24" t="str">
        <f>IF(OR(E2241="",E2241="!!!"),"",IF(OR(J2241=0,AND(J2241=1,K2241=1),AND(J2241=1,I2241="SBJ"),AND(J2241=1,I2241=0)),"?IN_FOCUS",IF(J2241&lt;=2,"?ACTIVATED",IF(J2241&lt;&gt;"","?FAMILIAR",IF(F2241="NEW",IF(ISNA(VLOOKUP(E2241,#REF!,1,FALSE())),"?TYPE_IDENTIFIABLE","?REFERENTIAL"),"_")))))</f>
        <v> </v>
      </c>
      <c r="H2241" s="25" t="str">
        <f>IF(J2241&lt;&gt;1,"",IF(I2241="SBJ","CB","?"))</f>
        <v> </v>
      </c>
      <c r="I2241" s="26" t="str">
        <f>IF(OR(E2241="",E2241="!!!",F2241="NEW"),"",INDEX(B2240:B$2,-1+SUMPRODUCT(MAX(ROW(E2240:E$2)*(E2241=E2240:E$2)))))</f>
        <v> </v>
      </c>
      <c r="J2241" s="26" t="str">
        <f>IF(OR(E2241="",E2241="!!!",F2241="NEW"),"",COUNTBLANK(OFFSET(A$1,,,SUMPRODUCT(MAX(ROW(E$2:E2241)*(E2241=E$2:E2241)))))-COUNTBLANK(OFFSET(A$1,,,SUMPRODUCT(MAX(ROW(E$1:E2240)*(E2=E$1:E2240))))))</f>
        <v> </v>
      </c>
      <c r="K2241" s="26" t="str">
        <f>IF(OR(E2241="",E2241="!!!",F2241="NEW"),"",INDEX(J$1:J2240,SUMPRODUCT(MAX(ROW(E$1:E2240)*(E2241=E$1:E2240)))))</f>
        <v> </v>
      </c>
      <c r="L2241" s="27"/>
    </row>
    <row r="2242" spans="1:12">
      <c r="A2242" s="20" t="s">
        <v>1604</v>
      </c>
      <c r="E2242" s="22">
        <f>IF(D2242="?OLD","!!!","")</f>
        <v/>
      </c>
      <c r="F2242" s="23" t="str">
        <f>IF(OR(E2242="",E2242="!!!"),"",IF(NOT(ISNA(VLOOKUP(E2242,E$1:E2241,1,FALSE()))),"OLD",IF(AND(E2242&lt;&gt;"",E2242&lt;&gt;"!!!"),"NEW","")))</f>
        <v> </v>
      </c>
      <c r="G2242" s="24" t="str">
        <f>IF(OR(E2242="",E2242="!!!"),"",IF(OR(J2242=0,AND(J2242=1,K2242=1),AND(J2242=1,I2242="SBJ"),AND(J2242=1,I2242=0)),"?IN_FOCUS",IF(J2242&lt;=2,"?ACTIVATED",IF(J2242&lt;&gt;"","?FAMILIAR",IF(F2242="NEW",IF(ISNA(VLOOKUP(E2242,#REF!,1,FALSE())),"?TYPE_IDENTIFIABLE","?REFERENTIAL"),"_")))))</f>
        <v> </v>
      </c>
      <c r="H2242" s="25" t="str">
        <f>IF(J2242&lt;&gt;1,"",IF(I2242="SBJ","CB","?"))</f>
        <v> </v>
      </c>
      <c r="I2242" s="26" t="str">
        <f>IF(OR(E2242="",E2242="!!!",F2242="NEW"),"",INDEX(B2241:B$2,-1+SUMPRODUCT(MAX(ROW(E2241:E$2)*(E2242=E2241:E$2)))))</f>
        <v> </v>
      </c>
      <c r="J2242" s="26" t="str">
        <f>IF(OR(E2242="",E2242="!!!",F2242="NEW"),"",COUNTBLANK(OFFSET(A$1,,,SUMPRODUCT(MAX(ROW(E$2:E2242)*(E2242=E$2:E2242)))))-COUNTBLANK(OFFSET(A$1,,,SUMPRODUCT(MAX(ROW(E$1:E2241)*(E2=E$1:E2241))))))</f>
        <v> </v>
      </c>
      <c r="K2242" s="26" t="str">
        <f>IF(OR(E2242="",E2242="!!!",F2242="NEW"),"",INDEX(J$1:J2241,SUMPRODUCT(MAX(ROW(E$1:E2241)*(E2242=E$1:E2241)))))</f>
        <v> </v>
      </c>
      <c r="L2242" s="27"/>
    </row>
    <row r="2243" spans="1:12">
      <c r="A2243" s="20" t="s">
        <v>583</v>
      </c>
      <c r="E2243" s="22">
        <f>IF(D2243="?OLD","!!!","")</f>
        <v/>
      </c>
      <c r="F2243" s="23" t="str">
        <f>IF(OR(E2243="",E2243="!!!"),"",IF(NOT(ISNA(VLOOKUP(E2243,E$1:E2242,1,FALSE()))),"OLD",IF(AND(E2243&lt;&gt;"",E2243&lt;&gt;"!!!"),"NEW","")))</f>
        <v> </v>
      </c>
      <c r="G2243" s="24" t="str">
        <f>IF(OR(E2243="",E2243="!!!"),"",IF(OR(J2243=0,AND(J2243=1,K2243=1),AND(J2243=1,I2243="SBJ"),AND(J2243=1,I2243=0)),"?IN_FOCUS",IF(J2243&lt;=2,"?ACTIVATED",IF(J2243&lt;&gt;"","?FAMILIAR",IF(F2243="NEW",IF(ISNA(VLOOKUP(E2243,#REF!,1,FALSE())),"?TYPE_IDENTIFIABLE","?REFERENTIAL"),"_")))))</f>
        <v> </v>
      </c>
      <c r="H2243" s="25" t="str">
        <f>IF(J2243&lt;&gt;1,"",IF(I2243="SBJ","CB","?"))</f>
        <v> </v>
      </c>
      <c r="I2243" s="26" t="str">
        <f>IF(OR(E2243="",E2243="!!!",F2243="NEW"),"",INDEX(B2242:B$2,-1+SUMPRODUCT(MAX(ROW(E2242:E$2)*(E2243=E2242:E$2)))))</f>
        <v> </v>
      </c>
      <c r="J2243" s="26" t="str">
        <f>IF(OR(E2243="",E2243="!!!",F2243="NEW"),"",COUNTBLANK(OFFSET(A$1,,,SUMPRODUCT(MAX(ROW(E$2:E2243)*(E2243=E$2:E2243)))))-COUNTBLANK(OFFSET(A$1,,,SUMPRODUCT(MAX(ROW(E$1:E2242)*(E2=E$1:E2242))))))</f>
        <v> </v>
      </c>
      <c r="K2243" s="26" t="str">
        <f>IF(OR(E2243="",E2243="!!!",F2243="NEW"),"",INDEX(J$1:J2242,SUMPRODUCT(MAX(ROW(E$1:E2242)*(E2243=E$1:E2242)))))</f>
        <v> </v>
      </c>
      <c r="L2243" s="27"/>
    </row>
    <row r="2244" spans="1:12">
      <c r="A2244" s="20" t="s">
        <v>1605</v>
      </c>
      <c r="E2244" s="22">
        <f>IF(D2244="?OLD","!!!","")</f>
        <v/>
      </c>
      <c r="F2244" s="23" t="str">
        <f>IF(OR(E2244="",E2244="!!!"),"",IF(NOT(ISNA(VLOOKUP(E2244,E$1:E2243,1,FALSE()))),"OLD",IF(AND(E2244&lt;&gt;"",E2244&lt;&gt;"!!!"),"NEW","")))</f>
        <v> </v>
      </c>
      <c r="G2244" s="24" t="str">
        <f>IF(OR(E2244="",E2244="!!!"),"",IF(OR(J2244=0,AND(J2244=1,K2244=1),AND(J2244=1,I2244="SBJ"),AND(J2244=1,I2244=0)),"?IN_FOCUS",IF(J2244&lt;=2,"?ACTIVATED",IF(J2244&lt;&gt;"","?FAMILIAR",IF(F2244="NEW",IF(ISNA(VLOOKUP(E2244,#REF!,1,FALSE())),"?TYPE_IDENTIFIABLE","?REFERENTIAL"),"_")))))</f>
        <v> </v>
      </c>
      <c r="H2244" s="25" t="str">
        <f>IF(J2244&lt;&gt;1,"",IF(I2244="SBJ","CB","?"))</f>
        <v> </v>
      </c>
      <c r="I2244" s="26" t="str">
        <f>IF(OR(E2244="",E2244="!!!",F2244="NEW"),"",INDEX(B2243:B$2,-1+SUMPRODUCT(MAX(ROW(E2243:E$2)*(E2244=E2243:E$2)))))</f>
        <v> </v>
      </c>
      <c r="J2244" s="26" t="str">
        <f>IF(OR(E2244="",E2244="!!!",F2244="NEW"),"",COUNTBLANK(OFFSET(A$1,,,SUMPRODUCT(MAX(ROW(E$2:E2244)*(E2244=E$2:E2244)))))-COUNTBLANK(OFFSET(A$1,,,SUMPRODUCT(MAX(ROW(E$1:E2243)*(E2=E$1:E2243))))))</f>
        <v> </v>
      </c>
      <c r="K2244" s="26" t="str">
        <f>IF(OR(E2244="",E2244="!!!",F2244="NEW"),"",INDEX(J$1:J2243,SUMPRODUCT(MAX(ROW(E$1:E2243)*(E2244=E$1:E2243)))))</f>
        <v> </v>
      </c>
      <c r="L2244" s="27"/>
    </row>
    <row r="2245" spans="1:12">
      <c r="A2245" s="20" t="s">
        <v>619</v>
      </c>
      <c r="E2245" s="22">
        <f>IF(D2245="?OLD","!!!","")</f>
        <v/>
      </c>
      <c r="F2245" s="23" t="str">
        <f>IF(OR(E2245="",E2245="!!!"),"",IF(NOT(ISNA(VLOOKUP(E2245,E$1:E2244,1,FALSE()))),"OLD",IF(AND(E2245&lt;&gt;"",E2245&lt;&gt;"!!!"),"NEW","")))</f>
        <v> </v>
      </c>
      <c r="G2245" s="24" t="str">
        <f>IF(OR(E2245="",E2245="!!!"),"",IF(OR(J2245=0,AND(J2245=1,K2245=1),AND(J2245=1,I2245="SBJ"),AND(J2245=1,I2245=0)),"?IN_FOCUS",IF(J2245&lt;=2,"?ACTIVATED",IF(J2245&lt;&gt;"","?FAMILIAR",IF(F2245="NEW",IF(ISNA(VLOOKUP(E2245,#REF!,1,FALSE())),"?TYPE_IDENTIFIABLE","?REFERENTIAL"),"_")))))</f>
        <v> </v>
      </c>
      <c r="H2245" s="25" t="str">
        <f>IF(J2245&lt;&gt;1,"",IF(I2245="SBJ","CB","?"))</f>
        <v> </v>
      </c>
      <c r="I2245" s="26" t="str">
        <f>IF(OR(E2245="",E2245="!!!",F2245="NEW"),"",INDEX(B2244:B$2,-1+SUMPRODUCT(MAX(ROW(E2244:E$2)*(E2245=E2244:E$2)))))</f>
        <v> </v>
      </c>
      <c r="J2245" s="26" t="str">
        <f>IF(OR(E2245="",E2245="!!!",F2245="NEW"),"",COUNTBLANK(OFFSET(A$1,,,SUMPRODUCT(MAX(ROW(E$2:E2245)*(E2245=E$2:E2245)))))-COUNTBLANK(OFFSET(A$1,,,SUMPRODUCT(MAX(ROW(E$1:E2244)*(E2=E$1:E2244))))))</f>
        <v> </v>
      </c>
      <c r="K2245" s="26" t="str">
        <f>IF(OR(E2245="",E2245="!!!",F2245="NEW"),"",INDEX(J$1:J2244,SUMPRODUCT(MAX(ROW(E$1:E2244)*(E2245=E$1:E2244)))))</f>
        <v> </v>
      </c>
      <c r="L2245" s="27"/>
    </row>
    <row r="2246" spans="1:12">
      <c r="A2246" s="20" t="s">
        <v>1606</v>
      </c>
      <c r="E2246" s="22">
        <f>IF(D2246="?OLD","!!!","")</f>
        <v/>
      </c>
      <c r="F2246" s="23" t="str">
        <f>IF(OR(E2246="",E2246="!!!"),"",IF(NOT(ISNA(VLOOKUP(E2246,E$1:E2245,1,FALSE()))),"OLD",IF(AND(E2246&lt;&gt;"",E2246&lt;&gt;"!!!"),"NEW","")))</f>
        <v> </v>
      </c>
      <c r="G2246" s="24" t="str">
        <f>IF(OR(E2246="",E2246="!!!"),"",IF(OR(J2246=0,AND(J2246=1,K2246=1),AND(J2246=1,I2246="SBJ"),AND(J2246=1,I2246=0)),"?IN_FOCUS",IF(J2246&lt;=2,"?ACTIVATED",IF(J2246&lt;&gt;"","?FAMILIAR",IF(F2246="NEW",IF(ISNA(VLOOKUP(E2246,#REF!,1,FALSE())),"?TYPE_IDENTIFIABLE","?REFERENTIAL"),"_")))))</f>
        <v> </v>
      </c>
      <c r="H2246" s="25" t="str">
        <f>IF(J2246&lt;&gt;1,"",IF(I2246="SBJ","CB","?"))</f>
        <v> </v>
      </c>
      <c r="I2246" s="26" t="str">
        <f>IF(OR(E2246="",E2246="!!!",F2246="NEW"),"",INDEX(B2245:B$2,-1+SUMPRODUCT(MAX(ROW(E2245:E$2)*(E2246=E2245:E$2)))))</f>
        <v> </v>
      </c>
      <c r="J2246" s="26" t="str">
        <f>IF(OR(E2246="",E2246="!!!",F2246="NEW"),"",COUNTBLANK(OFFSET(A$1,,,SUMPRODUCT(MAX(ROW(E$2:E2246)*(E2246=E$2:E2246)))))-COUNTBLANK(OFFSET(A$1,,,SUMPRODUCT(MAX(ROW(E$1:E2245)*(E2=E$1:E2245))))))</f>
        <v> </v>
      </c>
      <c r="K2246" s="26" t="str">
        <f>IF(OR(E2246="",E2246="!!!",F2246="NEW"),"",INDEX(J$1:J2245,SUMPRODUCT(MAX(ROW(E$1:E2245)*(E2246=E$1:E2245)))))</f>
        <v> </v>
      </c>
      <c r="L2246" s="27"/>
    </row>
    <row r="2247" spans="1:12">
      <c r="A2247" s="20" t="s">
        <v>592</v>
      </c>
      <c r="E2247" s="22">
        <f>IF(D2247="?OLD","!!!","")</f>
        <v/>
      </c>
      <c r="F2247" s="23" t="str">
        <f>IF(OR(E2247="",E2247="!!!"),"",IF(NOT(ISNA(VLOOKUP(E2247,E$1:E2246,1,FALSE()))),"OLD",IF(AND(E2247&lt;&gt;"",E2247&lt;&gt;"!!!"),"NEW","")))</f>
        <v> </v>
      </c>
      <c r="G2247" s="24" t="str">
        <f>IF(OR(E2247="",E2247="!!!"),"",IF(OR(J2247=0,AND(J2247=1,K2247=1),AND(J2247=1,I2247="SBJ"),AND(J2247=1,I2247=0)),"?IN_FOCUS",IF(J2247&lt;=2,"?ACTIVATED",IF(J2247&lt;&gt;"","?FAMILIAR",IF(F2247="NEW",IF(ISNA(VLOOKUP(E2247,#REF!,1,FALSE())),"?TYPE_IDENTIFIABLE","?REFERENTIAL"),"_")))))</f>
        <v> </v>
      </c>
      <c r="H2247" s="25" t="str">
        <f>IF(J2247&lt;&gt;1,"",IF(I2247="SBJ","CB","?"))</f>
        <v> </v>
      </c>
      <c r="I2247" s="26" t="str">
        <f>IF(OR(E2247="",E2247="!!!",F2247="NEW"),"",INDEX(B2246:B$2,-1+SUMPRODUCT(MAX(ROW(E2246:E$2)*(E2247=E2246:E$2)))))</f>
        <v> </v>
      </c>
      <c r="J2247" s="26" t="str">
        <f>IF(OR(E2247="",E2247="!!!",F2247="NEW"),"",COUNTBLANK(OFFSET(A$1,,,SUMPRODUCT(MAX(ROW(E$2:E2247)*(E2247=E$2:E2247)))))-COUNTBLANK(OFFSET(A$1,,,SUMPRODUCT(MAX(ROW(E$1:E2246)*(E2=E$1:E2246))))))</f>
        <v> </v>
      </c>
      <c r="K2247" s="26" t="str">
        <f>IF(OR(E2247="",E2247="!!!",F2247="NEW"),"",INDEX(J$1:J2246,SUMPRODUCT(MAX(ROW(E$1:E2246)*(E2247=E$1:E2246)))))</f>
        <v> </v>
      </c>
      <c r="L2247" s="27"/>
    </row>
    <row r="2248" spans="1:12">
      <c r="A2248" s="20"/>
    </row>
    <row r="2249" spans="1:12">
      <c r="A2249" s="20" t="s">
        <v>1607</v>
      </c>
    </row>
    <row r="2250" spans="1:12">
      <c r="A2250" s="20" t="s">
        <v>594</v>
      </c>
      <c r="B2250" s="21" t="s">
        <v>578</v>
      </c>
      <c r="C2250" s="21" t="s">
        <v>586</v>
      </c>
      <c r="D2250" s="21" t="s">
        <v>587</v>
      </c>
      <c r="E2250" s="22">
        <f>IF(D2250="?OLD","!!!","")</f>
        <v/>
      </c>
      <c r="F2250" s="23" t="str">
        <f>IF(OR(E2250="",E2250="!!!"),"",IF(NOT(ISNA(VLOOKUP(E2250,E$1:E2249,1,FALSE()))),"OLD",IF(AND(E2250&lt;&gt;"",E2250&lt;&gt;"!!!"),"NEW","")))</f>
        <v> </v>
      </c>
      <c r="G2250" s="24" t="str">
        <f>IF(OR(E2250="",E2250="!!!"),"",IF(OR(J2250=0,AND(J2250=1,K2250=1),AND(J2250=1,I2250="SBJ"),AND(J2250=1,I2250=0)),"?IN_FOCUS",IF(J2250&lt;=2,"?ACTIVATED",IF(J2250&lt;&gt;"","?FAMILIAR",IF(F2250="NEW",IF(ISNA(VLOOKUP(E2250,#REF!,1,FALSE())),"?TYPE_IDENTIFIABLE","?REFERENTIAL"),"_")))))</f>
        <v> </v>
      </c>
      <c r="H2250" s="25" t="str">
        <f>IF(J2250&lt;&gt;1,"",IF(I2250="SBJ","CB","?"))</f>
        <v> </v>
      </c>
      <c r="I2250" s="26" t="str">
        <f>IF(OR(E2250="",E2250="!!!",F2250="NEW"),"",INDEX(B2249:B$2,-1+SUMPRODUCT(MAX(ROW(E2249:E$2)*(E2250=E2249:E$2)))))</f>
        <v> </v>
      </c>
      <c r="J2250" s="26" t="str">
        <f>IF(OR(E2250="",E2250="!!!",F2250="NEW"),"",COUNTBLANK(OFFSET(A$1,,,SUMPRODUCT(MAX(ROW(E$2:E2250)*(E2250=E$2:E2250)))))-COUNTBLANK(OFFSET(A$1,,,SUMPRODUCT(MAX(ROW(E$1:E2249)*(E2=E$1:E2249))))))</f>
        <v> </v>
      </c>
      <c r="K2250" s="26" t="str">
        <f>IF(OR(E2250="",E2250="!!!",F2250="NEW"),"",INDEX(J$1:J2249,SUMPRODUCT(MAX(ROW(E$1:E2249)*(E2250=E$1:E2249)))))</f>
        <v> </v>
      </c>
      <c r="L2250" s="27"/>
    </row>
    <row r="2251" spans="1:12">
      <c r="A2251" s="20" t="s">
        <v>1608</v>
      </c>
      <c r="E2251" s="22">
        <f>IF(D2251="?OLD","!!!","")</f>
        <v/>
      </c>
      <c r="F2251" s="23" t="str">
        <f>IF(OR(E2251="",E2251="!!!"),"",IF(NOT(ISNA(VLOOKUP(E2251,E$1:E2250,1,FALSE()))),"OLD",IF(AND(E2251&lt;&gt;"",E2251&lt;&gt;"!!!"),"NEW","")))</f>
        <v> </v>
      </c>
      <c r="G2251" s="24" t="str">
        <f>IF(OR(E2251="",E2251="!!!"),"",IF(OR(J2251=0,AND(J2251=1,K2251=1),AND(J2251=1,I2251="SBJ"),AND(J2251=1,I2251=0)),"?IN_FOCUS",IF(J2251&lt;=2,"?ACTIVATED",IF(J2251&lt;&gt;"","?FAMILIAR",IF(F2251="NEW",IF(ISNA(VLOOKUP(E2251,#REF!,1,FALSE())),"?TYPE_IDENTIFIABLE","?REFERENTIAL"),"_")))))</f>
        <v> </v>
      </c>
      <c r="H2251" s="25" t="str">
        <f>IF(J2251&lt;&gt;1,"",IF(I2251="SBJ","CB","?"))</f>
        <v> </v>
      </c>
      <c r="I2251" s="26" t="str">
        <f>IF(OR(E2251="",E2251="!!!",F2251="NEW"),"",INDEX(B2250:B$2,-1+SUMPRODUCT(MAX(ROW(E2250:E$2)*(E2251=E2250:E$2)))))</f>
        <v> </v>
      </c>
      <c r="J2251" s="26" t="str">
        <f>IF(OR(E2251="",E2251="!!!",F2251="NEW"),"",COUNTBLANK(OFFSET(A$1,,,SUMPRODUCT(MAX(ROW(E$2:E2251)*(E2251=E$2:E2251)))))-COUNTBLANK(OFFSET(A$1,,,SUMPRODUCT(MAX(ROW(E$1:E2250)*(E2=E$1:E2250))))))</f>
        <v> </v>
      </c>
      <c r="K2251" s="26" t="str">
        <f>IF(OR(E2251="",E2251="!!!",F2251="NEW"),"",INDEX(J$1:J2250,SUMPRODUCT(MAX(ROW(E$1:E2250)*(E2251=E$1:E2250)))))</f>
        <v> </v>
      </c>
      <c r="L2251" s="27"/>
    </row>
    <row r="2252" spans="1:12">
      <c r="A2252" s="20" t="s">
        <v>1609</v>
      </c>
      <c r="B2252" s="21" t="s">
        <v>615</v>
      </c>
      <c r="E2252" s="22">
        <f>IF(D2252="?OLD","!!!","")</f>
        <v/>
      </c>
      <c r="F2252" s="23" t="str">
        <f>IF(OR(E2252="",E2252="!!!"),"",IF(NOT(ISNA(VLOOKUP(E2252,E$1:E2251,1,FALSE()))),"OLD",IF(AND(E2252&lt;&gt;"",E2252&lt;&gt;"!!!"),"NEW","")))</f>
        <v> </v>
      </c>
      <c r="G2252" s="24" t="str">
        <f>IF(OR(E2252="",E2252="!!!"),"",IF(OR(J2252=0,AND(J2252=1,K2252=1),AND(J2252=1,I2252="SBJ"),AND(J2252=1,I2252=0)),"?IN_FOCUS",IF(J2252&lt;=2,"?ACTIVATED",IF(J2252&lt;&gt;"","?FAMILIAR",IF(F2252="NEW",IF(ISNA(VLOOKUP(E2252,#REF!,1,FALSE())),"?TYPE_IDENTIFIABLE","?REFERENTIAL"),"_")))))</f>
        <v> </v>
      </c>
      <c r="H2252" s="25" t="str">
        <f>IF(J2252&lt;&gt;1,"",IF(I2252="SBJ","CB","?"))</f>
        <v> </v>
      </c>
      <c r="I2252" s="26" t="str">
        <f>IF(OR(E2252="",E2252="!!!",F2252="NEW"),"",INDEX(B2251:B$2,-1+SUMPRODUCT(MAX(ROW(E2251:E$2)*(E2252=E2251:E$2)))))</f>
        <v> </v>
      </c>
      <c r="J2252" s="26" t="str">
        <f>IF(OR(E2252="",E2252="!!!",F2252="NEW"),"",COUNTBLANK(OFFSET(A$1,,,SUMPRODUCT(MAX(ROW(E$2:E2252)*(E2252=E$2:E2252)))))-COUNTBLANK(OFFSET(A$1,,,SUMPRODUCT(MAX(ROW(E$1:E2251)*(E2=E$1:E2251))))))</f>
        <v> </v>
      </c>
      <c r="K2252" s="26" t="str">
        <f>IF(OR(E2252="",E2252="!!!",F2252="NEW"),"",INDEX(J$1:J2251,SUMPRODUCT(MAX(ROW(E$1:E2251)*(E2252=E$1:E2251)))))</f>
        <v> </v>
      </c>
      <c r="L2252" s="27"/>
    </row>
    <row r="2253" spans="1:12">
      <c r="A2253" s="20" t="s">
        <v>619</v>
      </c>
      <c r="E2253" s="22">
        <f>IF(D2253="?OLD","!!!","")</f>
        <v/>
      </c>
      <c r="F2253" s="23" t="str">
        <f>IF(OR(E2253="",E2253="!!!"),"",IF(NOT(ISNA(VLOOKUP(E2253,E$1:E2252,1,FALSE()))),"OLD",IF(AND(E2253&lt;&gt;"",E2253&lt;&gt;"!!!"),"NEW","")))</f>
        <v> </v>
      </c>
      <c r="G2253" s="24" t="str">
        <f>IF(OR(E2253="",E2253="!!!"),"",IF(OR(J2253=0,AND(J2253=1,K2253=1),AND(J2253=1,I2253="SBJ"),AND(J2253=1,I2253=0)),"?IN_FOCUS",IF(J2253&lt;=2,"?ACTIVATED",IF(J2253&lt;&gt;"","?FAMILIAR",IF(F2253="NEW",IF(ISNA(VLOOKUP(E2253,#REF!,1,FALSE())),"?TYPE_IDENTIFIABLE","?REFERENTIAL"),"_")))))</f>
        <v> </v>
      </c>
      <c r="H2253" s="25" t="str">
        <f>IF(J2253&lt;&gt;1,"",IF(I2253="SBJ","CB","?"))</f>
        <v> </v>
      </c>
      <c r="I2253" s="26" t="str">
        <f>IF(OR(E2253="",E2253="!!!",F2253="NEW"),"",INDEX(B2252:B$2,-1+SUMPRODUCT(MAX(ROW(E2252:E$2)*(E2253=E2252:E$2)))))</f>
        <v> </v>
      </c>
      <c r="J2253" s="26" t="str">
        <f>IF(OR(E2253="",E2253="!!!",F2253="NEW"),"",COUNTBLANK(OFFSET(A$1,,,SUMPRODUCT(MAX(ROW(E$2:E2253)*(E2253=E$2:E2253)))))-COUNTBLANK(OFFSET(A$1,,,SUMPRODUCT(MAX(ROW(E$1:E2252)*(E2=E$1:E2252))))))</f>
        <v> </v>
      </c>
      <c r="K2253" s="26" t="str">
        <f>IF(OR(E2253="",E2253="!!!",F2253="NEW"),"",INDEX(J$1:J2252,SUMPRODUCT(MAX(ROW(E$1:E2252)*(E2253=E$1:E2252)))))</f>
        <v> </v>
      </c>
      <c r="L2253" s="27"/>
    </row>
    <row r="2254" spans="1:12">
      <c r="A2254" s="20" t="s">
        <v>1610</v>
      </c>
      <c r="E2254" s="22">
        <f>IF(D2254="?OLD","!!!","")</f>
        <v/>
      </c>
      <c r="F2254" s="23" t="str">
        <f>IF(OR(E2254="",E2254="!!!"),"",IF(NOT(ISNA(VLOOKUP(E2254,E$1:E2253,1,FALSE()))),"OLD",IF(AND(E2254&lt;&gt;"",E2254&lt;&gt;"!!!"),"NEW","")))</f>
        <v> </v>
      </c>
      <c r="G2254" s="24" t="str">
        <f>IF(OR(E2254="",E2254="!!!"),"",IF(OR(J2254=0,AND(J2254=1,K2254=1),AND(J2254=1,I2254="SBJ"),AND(J2254=1,I2254=0)),"?IN_FOCUS",IF(J2254&lt;=2,"?ACTIVATED",IF(J2254&lt;&gt;"","?FAMILIAR",IF(F2254="NEW",IF(ISNA(VLOOKUP(E2254,#REF!,1,FALSE())),"?TYPE_IDENTIFIABLE","?REFERENTIAL"),"_")))))</f>
        <v> </v>
      </c>
      <c r="H2254" s="25" t="str">
        <f>IF(J2254&lt;&gt;1,"",IF(I2254="SBJ","CB","?"))</f>
        <v> </v>
      </c>
      <c r="I2254" s="26" t="str">
        <f>IF(OR(E2254="",E2254="!!!",F2254="NEW"),"",INDEX(B2253:B$2,-1+SUMPRODUCT(MAX(ROW(E2253:E$2)*(E2254=E2253:E$2)))))</f>
        <v> </v>
      </c>
      <c r="J2254" s="26" t="str">
        <f>IF(OR(E2254="",E2254="!!!",F2254="NEW"),"",COUNTBLANK(OFFSET(A$1,,,SUMPRODUCT(MAX(ROW(E$2:E2254)*(E2254=E$2:E2254)))))-COUNTBLANK(OFFSET(A$1,,,SUMPRODUCT(MAX(ROW(E$1:E2253)*(E2=E$1:E2253))))))</f>
        <v> </v>
      </c>
      <c r="K2254" s="26" t="str">
        <f>IF(OR(E2254="",E2254="!!!",F2254="NEW"),"",INDEX(J$1:J2253,SUMPRODUCT(MAX(ROW(E$1:E2253)*(E2254=E$1:E2253)))))</f>
        <v> </v>
      </c>
      <c r="L2254" s="27"/>
    </row>
    <row r="2255" spans="1:12">
      <c r="A2255" s="20" t="s">
        <v>583</v>
      </c>
      <c r="E2255" s="22">
        <f>IF(D2255="?OLD","!!!","")</f>
        <v/>
      </c>
      <c r="F2255" s="23" t="str">
        <f>IF(OR(E2255="",E2255="!!!"),"",IF(NOT(ISNA(VLOOKUP(E2255,E$1:E2254,1,FALSE()))),"OLD",IF(AND(E2255&lt;&gt;"",E2255&lt;&gt;"!!!"),"NEW","")))</f>
        <v> </v>
      </c>
      <c r="G2255" s="24" t="str">
        <f>IF(OR(E2255="",E2255="!!!"),"",IF(OR(J2255=0,AND(J2255=1,K2255=1),AND(J2255=1,I2255="SBJ"),AND(J2255=1,I2255=0)),"?IN_FOCUS",IF(J2255&lt;=2,"?ACTIVATED",IF(J2255&lt;&gt;"","?FAMILIAR",IF(F2255="NEW",IF(ISNA(VLOOKUP(E2255,#REF!,1,FALSE())),"?TYPE_IDENTIFIABLE","?REFERENTIAL"),"_")))))</f>
        <v> </v>
      </c>
      <c r="H2255" s="25" t="str">
        <f>IF(J2255&lt;&gt;1,"",IF(I2255="SBJ","CB","?"))</f>
        <v> </v>
      </c>
      <c r="I2255" s="26" t="str">
        <f>IF(OR(E2255="",E2255="!!!",F2255="NEW"),"",INDEX(B2254:B$2,-1+SUMPRODUCT(MAX(ROW(E2254:E$2)*(E2255=E2254:E$2)))))</f>
        <v> </v>
      </c>
      <c r="J2255" s="26" t="str">
        <f>IF(OR(E2255="",E2255="!!!",F2255="NEW"),"",COUNTBLANK(OFFSET(A$1,,,SUMPRODUCT(MAX(ROW(E$2:E2255)*(E2255=E$2:E2255)))))-COUNTBLANK(OFFSET(A$1,,,SUMPRODUCT(MAX(ROW(E$1:E2254)*(E2=E$1:E2254))))))</f>
        <v> </v>
      </c>
      <c r="K2255" s="26" t="str">
        <f>IF(OR(E2255="",E2255="!!!",F2255="NEW"),"",INDEX(J$1:J2254,SUMPRODUCT(MAX(ROW(E$1:E2254)*(E2255=E$1:E2254)))))</f>
        <v> </v>
      </c>
      <c r="L2255" s="27"/>
    </row>
    <row r="2256" spans="1:12">
      <c r="A2256" s="20" t="s">
        <v>1362</v>
      </c>
      <c r="E2256" s="22">
        <f>IF(D2256="?OLD","!!!","")</f>
        <v/>
      </c>
      <c r="F2256" s="23" t="str">
        <f>IF(OR(E2256="",E2256="!!!"),"",IF(NOT(ISNA(VLOOKUP(E2256,E$1:E2255,1,FALSE()))),"OLD",IF(AND(E2256&lt;&gt;"",E2256&lt;&gt;"!!!"),"NEW","")))</f>
        <v> </v>
      </c>
      <c r="G2256" s="24" t="str">
        <f>IF(OR(E2256="",E2256="!!!"),"",IF(OR(J2256=0,AND(J2256=1,K2256=1),AND(J2256=1,I2256="SBJ"),AND(J2256=1,I2256=0)),"?IN_FOCUS",IF(J2256&lt;=2,"?ACTIVATED",IF(J2256&lt;&gt;"","?FAMILIAR",IF(F2256="NEW",IF(ISNA(VLOOKUP(E2256,#REF!,1,FALSE())),"?TYPE_IDENTIFIABLE","?REFERENTIAL"),"_")))))</f>
        <v> </v>
      </c>
      <c r="H2256" s="25" t="str">
        <f>IF(J2256&lt;&gt;1,"",IF(I2256="SBJ","CB","?"))</f>
        <v> </v>
      </c>
      <c r="I2256" s="26" t="str">
        <f>IF(OR(E2256="",E2256="!!!",F2256="NEW"),"",INDEX(B2255:B$2,-1+SUMPRODUCT(MAX(ROW(E2255:E$2)*(E2256=E2255:E$2)))))</f>
        <v> </v>
      </c>
      <c r="J2256" s="26" t="str">
        <f>IF(OR(E2256="",E2256="!!!",F2256="NEW"),"",COUNTBLANK(OFFSET(A$1,,,SUMPRODUCT(MAX(ROW(E$2:E2256)*(E2256=E$2:E2256)))))-COUNTBLANK(OFFSET(A$1,,,SUMPRODUCT(MAX(ROW(E$1:E2255)*(E2=E$1:E2255))))))</f>
        <v> </v>
      </c>
      <c r="K2256" s="26" t="str">
        <f>IF(OR(E2256="",E2256="!!!",F2256="NEW"),"",INDEX(J$1:J2255,SUMPRODUCT(MAX(ROW(E$1:E2255)*(E2256=E$1:E2255)))))</f>
        <v> </v>
      </c>
      <c r="L2256" s="27"/>
    </row>
    <row r="2257" spans="1:12">
      <c r="A2257" s="20" t="s">
        <v>369</v>
      </c>
      <c r="E2257" s="22">
        <f>IF(D2257="?OLD","!!!","")</f>
        <v/>
      </c>
      <c r="F2257" s="23" t="str">
        <f>IF(OR(E2257="",E2257="!!!"),"",IF(NOT(ISNA(VLOOKUP(E2257,E$1:E2256,1,FALSE()))),"OLD",IF(AND(E2257&lt;&gt;"",E2257&lt;&gt;"!!!"),"NEW","")))</f>
        <v> </v>
      </c>
      <c r="G2257" s="24" t="str">
        <f>IF(OR(E2257="",E2257="!!!"),"",IF(OR(J2257=0,AND(J2257=1,K2257=1),AND(J2257=1,I2257="SBJ"),AND(J2257=1,I2257=0)),"?IN_FOCUS",IF(J2257&lt;=2,"?ACTIVATED",IF(J2257&lt;&gt;"","?FAMILIAR",IF(F2257="NEW",IF(ISNA(VLOOKUP(E2257,#REF!,1,FALSE())),"?TYPE_IDENTIFIABLE","?REFERENTIAL"),"_")))))</f>
        <v> </v>
      </c>
      <c r="H2257" s="25" t="str">
        <f>IF(J2257&lt;&gt;1,"",IF(I2257="SBJ","CB","?"))</f>
        <v> </v>
      </c>
      <c r="I2257" s="26" t="str">
        <f>IF(OR(E2257="",E2257="!!!",F2257="NEW"),"",INDEX(B2256:B$2,-1+SUMPRODUCT(MAX(ROW(E2256:E$2)*(E2257=E2256:E$2)))))</f>
        <v> </v>
      </c>
      <c r="J2257" s="26" t="str">
        <f>IF(OR(E2257="",E2257="!!!",F2257="NEW"),"",COUNTBLANK(OFFSET(A$1,,,SUMPRODUCT(MAX(ROW(E$2:E2257)*(E2257=E$2:E2257)))))-COUNTBLANK(OFFSET(A$1,,,SUMPRODUCT(MAX(ROW(E$1:E2256)*(E2=E$1:E2256))))))</f>
        <v> </v>
      </c>
      <c r="K2257" s="26" t="str">
        <f>IF(OR(E2257="",E2257="!!!",F2257="NEW"),"",INDEX(J$1:J2256,SUMPRODUCT(MAX(ROW(E$1:E2256)*(E2257=E$1:E2256)))))</f>
        <v> </v>
      </c>
      <c r="L2257" s="27"/>
    </row>
    <row r="2258" spans="1:12">
      <c r="A2258" s="20" t="s">
        <v>967</v>
      </c>
      <c r="B2258" s="21" t="s">
        <v>590</v>
      </c>
      <c r="E2258" s="22">
        <f>IF(D2258="?OLD","!!!","")</f>
        <v/>
      </c>
      <c r="F2258" s="23" t="str">
        <f>IF(OR(E2258="",E2258="!!!"),"",IF(NOT(ISNA(VLOOKUP(E2258,E$1:E2257,1,FALSE()))),"OLD",IF(AND(E2258&lt;&gt;"",E2258&lt;&gt;"!!!"),"NEW","")))</f>
        <v> </v>
      </c>
      <c r="G2258" s="24" t="str">
        <f>IF(OR(E2258="",E2258="!!!"),"",IF(OR(J2258=0,AND(J2258=1,K2258=1),AND(J2258=1,I2258="SBJ"),AND(J2258=1,I2258=0)),"?IN_FOCUS",IF(J2258&lt;=2,"?ACTIVATED",IF(J2258&lt;&gt;"","?FAMILIAR",IF(F2258="NEW",IF(ISNA(VLOOKUP(E2258,#REF!,1,FALSE())),"?TYPE_IDENTIFIABLE","?REFERENTIAL"),"_")))))</f>
        <v> </v>
      </c>
      <c r="H2258" s="25" t="str">
        <f>IF(J2258&lt;&gt;1,"",IF(I2258="SBJ","CB","?"))</f>
        <v> </v>
      </c>
      <c r="I2258" s="26" t="str">
        <f>IF(OR(E2258="",E2258="!!!",F2258="NEW"),"",INDEX(B2257:B$2,-1+SUMPRODUCT(MAX(ROW(E2257:E$2)*(E2258=E2257:E$2)))))</f>
        <v> </v>
      </c>
      <c r="J2258" s="26" t="str">
        <f>IF(OR(E2258="",E2258="!!!",F2258="NEW"),"",COUNTBLANK(OFFSET(A$1,,,SUMPRODUCT(MAX(ROW(E$2:E2258)*(E2258=E$2:E2258)))))-COUNTBLANK(OFFSET(A$1,,,SUMPRODUCT(MAX(ROW(E$1:E2257)*(E2=E$1:E2257))))))</f>
        <v> </v>
      </c>
      <c r="K2258" s="26" t="str">
        <f>IF(OR(E2258="",E2258="!!!",F2258="NEW"),"",INDEX(J$1:J2257,SUMPRODUCT(MAX(ROW(E$1:E2257)*(E2258=E$1:E2257)))))</f>
        <v> </v>
      </c>
      <c r="L2258" s="27"/>
    </row>
    <row r="2259" spans="1:12">
      <c r="A2259" s="20" t="s">
        <v>1611</v>
      </c>
      <c r="E2259" s="22">
        <f>IF(D2259="?OLD","!!!","")</f>
        <v/>
      </c>
      <c r="F2259" s="23" t="str">
        <f>IF(OR(E2259="",E2259="!!!"),"",IF(NOT(ISNA(VLOOKUP(E2259,E$1:E2258,1,FALSE()))),"OLD",IF(AND(E2259&lt;&gt;"",E2259&lt;&gt;"!!!"),"NEW","")))</f>
        <v> </v>
      </c>
      <c r="G2259" s="24" t="str">
        <f>IF(OR(E2259="",E2259="!!!"),"",IF(OR(J2259=0,AND(J2259=1,K2259=1),AND(J2259=1,I2259="SBJ"),AND(J2259=1,I2259=0)),"?IN_FOCUS",IF(J2259&lt;=2,"?ACTIVATED",IF(J2259&lt;&gt;"","?FAMILIAR",IF(F2259="NEW",IF(ISNA(VLOOKUP(E2259,#REF!,1,FALSE())),"?TYPE_IDENTIFIABLE","?REFERENTIAL"),"_")))))</f>
        <v> </v>
      </c>
      <c r="H2259" s="25" t="str">
        <f>IF(J2259&lt;&gt;1,"",IF(I2259="SBJ","CB","?"))</f>
        <v> </v>
      </c>
      <c r="I2259" s="26" t="str">
        <f>IF(OR(E2259="",E2259="!!!",F2259="NEW"),"",INDEX(B2258:B$2,-1+SUMPRODUCT(MAX(ROW(E2258:E$2)*(E2259=E2258:E$2)))))</f>
        <v> </v>
      </c>
      <c r="J2259" s="26" t="str">
        <f>IF(OR(E2259="",E2259="!!!",F2259="NEW"),"",COUNTBLANK(OFFSET(A$1,,,SUMPRODUCT(MAX(ROW(E$2:E2259)*(E2259=E$2:E2259)))))-COUNTBLANK(OFFSET(A$1,,,SUMPRODUCT(MAX(ROW(E$1:E2258)*(E2=E$1:E2258))))))</f>
        <v> </v>
      </c>
      <c r="K2259" s="26" t="str">
        <f>IF(OR(E2259="",E2259="!!!",F2259="NEW"),"",INDEX(J$1:J2258,SUMPRODUCT(MAX(ROW(E$1:E2258)*(E2259=E$1:E2258)))))</f>
        <v> </v>
      </c>
      <c r="L2259" s="27"/>
    </row>
    <row r="2260" spans="1:12">
      <c r="A2260" s="20" t="s">
        <v>1612</v>
      </c>
      <c r="E2260" s="22">
        <f>IF(D2260="?OLD","!!!","")</f>
        <v/>
      </c>
      <c r="F2260" s="23" t="str">
        <f>IF(OR(E2260="",E2260="!!!"),"",IF(NOT(ISNA(VLOOKUP(E2260,E$1:E2259,1,FALSE()))),"OLD",IF(AND(E2260&lt;&gt;"",E2260&lt;&gt;"!!!"),"NEW","")))</f>
        <v> </v>
      </c>
      <c r="G2260" s="24" t="str">
        <f>IF(OR(E2260="",E2260="!!!"),"",IF(OR(J2260=0,AND(J2260=1,K2260=1),AND(J2260=1,I2260="SBJ"),AND(J2260=1,I2260=0)),"?IN_FOCUS",IF(J2260&lt;=2,"?ACTIVATED",IF(J2260&lt;&gt;"","?FAMILIAR",IF(F2260="NEW",IF(ISNA(VLOOKUP(E2260,#REF!,1,FALSE())),"?TYPE_IDENTIFIABLE","?REFERENTIAL"),"_")))))</f>
        <v> </v>
      </c>
      <c r="H2260" s="25" t="str">
        <f>IF(J2260&lt;&gt;1,"",IF(I2260="SBJ","CB","?"))</f>
        <v> </v>
      </c>
      <c r="I2260" s="26" t="str">
        <f>IF(OR(E2260="",E2260="!!!",F2260="NEW"),"",INDEX(B2259:B$2,-1+SUMPRODUCT(MAX(ROW(E2259:E$2)*(E2260=E2259:E$2)))))</f>
        <v> </v>
      </c>
      <c r="J2260" s="26" t="str">
        <f>IF(OR(E2260="",E2260="!!!",F2260="NEW"),"",COUNTBLANK(OFFSET(A$1,,,SUMPRODUCT(MAX(ROW(E$2:E2260)*(E2260=E$2:E2260)))))-COUNTBLANK(OFFSET(A$1,,,SUMPRODUCT(MAX(ROW(E$1:E2259)*(E2=E$1:E2259))))))</f>
        <v> </v>
      </c>
      <c r="K2260" s="26" t="str">
        <f>IF(OR(E2260="",E2260="!!!",F2260="NEW"),"",INDEX(J$1:J2259,SUMPRODUCT(MAX(ROW(E$1:E2259)*(E2260=E$1:E2259)))))</f>
        <v> </v>
      </c>
      <c r="L2260" s="27"/>
    </row>
    <row r="2261" spans="1:12">
      <c r="A2261" s="20" t="s">
        <v>1613</v>
      </c>
      <c r="E2261" s="22">
        <f>IF(D2261="?OLD","!!!","")</f>
        <v/>
      </c>
      <c r="F2261" s="23" t="str">
        <f>IF(OR(E2261="",E2261="!!!"),"",IF(NOT(ISNA(VLOOKUP(E2261,E$1:E2260,1,FALSE()))),"OLD",IF(AND(E2261&lt;&gt;"",E2261&lt;&gt;"!!!"),"NEW","")))</f>
        <v> </v>
      </c>
      <c r="G2261" s="24" t="str">
        <f>IF(OR(E2261="",E2261="!!!"),"",IF(OR(J2261=0,AND(J2261=1,K2261=1),AND(J2261=1,I2261="SBJ"),AND(J2261=1,I2261=0)),"?IN_FOCUS",IF(J2261&lt;=2,"?ACTIVATED",IF(J2261&lt;&gt;"","?FAMILIAR",IF(F2261="NEW",IF(ISNA(VLOOKUP(E2261,#REF!,1,FALSE())),"?TYPE_IDENTIFIABLE","?REFERENTIAL"),"_")))))</f>
        <v> </v>
      </c>
      <c r="H2261" s="25" t="str">
        <f>IF(J2261&lt;&gt;1,"",IF(I2261="SBJ","CB","?"))</f>
        <v> </v>
      </c>
      <c r="I2261" s="26" t="str">
        <f>IF(OR(E2261="",E2261="!!!",F2261="NEW"),"",INDEX(B2260:B$2,-1+SUMPRODUCT(MAX(ROW(E2260:E$2)*(E2261=E2260:E$2)))))</f>
        <v> </v>
      </c>
      <c r="J2261" s="26" t="str">
        <f>IF(OR(E2261="",E2261="!!!",F2261="NEW"),"",COUNTBLANK(OFFSET(A$1,,,SUMPRODUCT(MAX(ROW(E$2:E2261)*(E2261=E$2:E2261)))))-COUNTBLANK(OFFSET(A$1,,,SUMPRODUCT(MAX(ROW(E$1:E2260)*(E2=E$1:E2260))))))</f>
        <v> </v>
      </c>
      <c r="K2261" s="26" t="str">
        <f>IF(OR(E2261="",E2261="!!!",F2261="NEW"),"",INDEX(J$1:J2260,SUMPRODUCT(MAX(ROW(E$1:E2260)*(E2261=E$1:E2260)))))</f>
        <v> </v>
      </c>
      <c r="L2261" s="27"/>
    </row>
    <row r="2262" spans="1:12">
      <c r="A2262" s="20" t="s">
        <v>1614</v>
      </c>
      <c r="E2262" s="22">
        <f>IF(D2262="?OLD","!!!","")</f>
        <v/>
      </c>
      <c r="F2262" s="23" t="str">
        <f>IF(OR(E2262="",E2262="!!!"),"",IF(NOT(ISNA(VLOOKUP(E2262,E$1:E2261,1,FALSE()))),"OLD",IF(AND(E2262&lt;&gt;"",E2262&lt;&gt;"!!!"),"NEW","")))</f>
        <v> </v>
      </c>
      <c r="G2262" s="24" t="str">
        <f>IF(OR(E2262="",E2262="!!!"),"",IF(OR(J2262=0,AND(J2262=1,K2262=1),AND(J2262=1,I2262="SBJ"),AND(J2262=1,I2262=0)),"?IN_FOCUS",IF(J2262&lt;=2,"?ACTIVATED",IF(J2262&lt;&gt;"","?FAMILIAR",IF(F2262="NEW",IF(ISNA(VLOOKUP(E2262,#REF!,1,FALSE())),"?TYPE_IDENTIFIABLE","?REFERENTIAL"),"_")))))</f>
        <v> </v>
      </c>
      <c r="H2262" s="25" t="str">
        <f>IF(J2262&lt;&gt;1,"",IF(I2262="SBJ","CB","?"))</f>
        <v> </v>
      </c>
      <c r="I2262" s="26" t="str">
        <f>IF(OR(E2262="",E2262="!!!",F2262="NEW"),"",INDEX(B2261:B$2,-1+SUMPRODUCT(MAX(ROW(E2261:E$2)*(E2262=E2261:E$2)))))</f>
        <v> </v>
      </c>
      <c r="J2262" s="26" t="str">
        <f>IF(OR(E2262="",E2262="!!!",F2262="NEW"),"",COUNTBLANK(OFFSET(A$1,,,SUMPRODUCT(MAX(ROW(E$2:E2262)*(E2262=E$2:E2262)))))-COUNTBLANK(OFFSET(A$1,,,SUMPRODUCT(MAX(ROW(E$1:E2261)*(E2=E$1:E2261))))))</f>
        <v> </v>
      </c>
      <c r="K2262" s="26" t="str">
        <f>IF(OR(E2262="",E2262="!!!",F2262="NEW"),"",INDEX(J$1:J2261,SUMPRODUCT(MAX(ROW(E$1:E2261)*(E2262=E$1:E2261)))))</f>
        <v> </v>
      </c>
      <c r="L2262" s="27"/>
    </row>
    <row r="2263" spans="1:12">
      <c r="A2263" s="20" t="s">
        <v>1554</v>
      </c>
      <c r="B2263" s="21" t="s">
        <v>601</v>
      </c>
      <c r="C2263" s="21" t="s">
        <v>646</v>
      </c>
      <c r="E2263" s="22">
        <f>IF(D2263="?OLD","!!!","")</f>
        <v/>
      </c>
      <c r="F2263" s="23" t="str">
        <f>IF(OR(E2263="",E2263="!!!"),"",IF(NOT(ISNA(VLOOKUP(E2263,E$1:E2262,1,FALSE()))),"OLD",IF(AND(E2263&lt;&gt;"",E2263&lt;&gt;"!!!"),"NEW","")))</f>
        <v> </v>
      </c>
      <c r="G2263" s="24" t="str">
        <f>IF(OR(E2263="",E2263="!!!"),"",IF(OR(J2263=0,AND(J2263=1,K2263=1),AND(J2263=1,I2263="SBJ"),AND(J2263=1,I2263=0)),"?IN_FOCUS",IF(J2263&lt;=2,"?ACTIVATED",IF(J2263&lt;&gt;"","?FAMILIAR",IF(F2263="NEW",IF(ISNA(VLOOKUP(E2263,#REF!,1,FALSE())),"?TYPE_IDENTIFIABLE","?REFERENTIAL"),"_")))))</f>
        <v> </v>
      </c>
      <c r="H2263" s="25" t="str">
        <f>IF(J2263&lt;&gt;1,"",IF(I2263="SBJ","CB","?"))</f>
        <v> </v>
      </c>
      <c r="I2263" s="26" t="str">
        <f>IF(OR(E2263="",E2263="!!!",F2263="NEW"),"",INDEX(B2262:B$2,-1+SUMPRODUCT(MAX(ROW(E2262:E$2)*(E2263=E2262:E$2)))))</f>
        <v> </v>
      </c>
      <c r="J2263" s="26" t="str">
        <f>IF(OR(E2263="",E2263="!!!",F2263="NEW"),"",COUNTBLANK(OFFSET(A$1,,,SUMPRODUCT(MAX(ROW(E$2:E2263)*(E2263=E$2:E2263)))))-COUNTBLANK(OFFSET(A$1,,,SUMPRODUCT(MAX(ROW(E$1:E2262)*(E2=E$1:E2262))))))</f>
        <v> </v>
      </c>
      <c r="K2263" s="26" t="str">
        <f>IF(OR(E2263="",E2263="!!!",F2263="NEW"),"",INDEX(J$1:J2262,SUMPRODUCT(MAX(ROW(E$1:E2262)*(E2263=E$1:E2262)))))</f>
        <v> </v>
      </c>
      <c r="L2263" s="27"/>
    </row>
    <row r="2264" spans="1:12">
      <c r="A2264" s="20" t="s">
        <v>583</v>
      </c>
      <c r="E2264" s="22">
        <f>IF(D2264="?OLD","!!!","")</f>
        <v/>
      </c>
      <c r="F2264" s="23" t="str">
        <f>IF(OR(E2264="",E2264="!!!"),"",IF(NOT(ISNA(VLOOKUP(E2264,E$1:E2263,1,FALSE()))),"OLD",IF(AND(E2264&lt;&gt;"",E2264&lt;&gt;"!!!"),"NEW","")))</f>
        <v> </v>
      </c>
      <c r="G2264" s="24" t="str">
        <f>IF(OR(E2264="",E2264="!!!"),"",IF(OR(J2264=0,AND(J2264=1,K2264=1),AND(J2264=1,I2264="SBJ"),AND(J2264=1,I2264=0)),"?IN_FOCUS",IF(J2264&lt;=2,"?ACTIVATED",IF(J2264&lt;&gt;"","?FAMILIAR",IF(F2264="NEW",IF(ISNA(VLOOKUP(E2264,#REF!,1,FALSE())),"?TYPE_IDENTIFIABLE","?REFERENTIAL"),"_")))))</f>
        <v> </v>
      </c>
      <c r="H2264" s="25" t="str">
        <f>IF(J2264&lt;&gt;1,"",IF(I2264="SBJ","CB","?"))</f>
        <v> </v>
      </c>
      <c r="I2264" s="26" t="str">
        <f>IF(OR(E2264="",E2264="!!!",F2264="NEW"),"",INDEX(B2263:B$2,-1+SUMPRODUCT(MAX(ROW(E2263:E$2)*(E2264=E2263:E$2)))))</f>
        <v> </v>
      </c>
      <c r="J2264" s="26" t="str">
        <f>IF(OR(E2264="",E2264="!!!",F2264="NEW"),"",COUNTBLANK(OFFSET(A$1,,,SUMPRODUCT(MAX(ROW(E$2:E2264)*(E2264=E$2:E2264)))))-COUNTBLANK(OFFSET(A$1,,,SUMPRODUCT(MAX(ROW(E$1:E2263)*(E2=E$1:E2263))))))</f>
        <v> </v>
      </c>
      <c r="K2264" s="26" t="str">
        <f>IF(OR(E2264="",E2264="!!!",F2264="NEW"),"",INDEX(J$1:J2263,SUMPRODUCT(MAX(ROW(E$1:E2263)*(E2264=E$1:E2263)))))</f>
        <v> </v>
      </c>
      <c r="L2264" s="27"/>
    </row>
    <row r="2265" spans="1:12">
      <c r="A2265" s="20" t="s">
        <v>656</v>
      </c>
      <c r="B2265" s="21" t="s">
        <v>590</v>
      </c>
      <c r="C2265" s="21" t="s">
        <v>586</v>
      </c>
      <c r="D2265" s="21" t="s">
        <v>587</v>
      </c>
      <c r="E2265" s="22">
        <f>IF(D2265="?OLD","!!!","")</f>
        <v/>
      </c>
      <c r="F2265" s="23" t="str">
        <f>IF(OR(E2265="",E2265="!!!"),"",IF(NOT(ISNA(VLOOKUP(E2265,E$1:E2264,1,FALSE()))),"OLD",IF(AND(E2265&lt;&gt;"",E2265&lt;&gt;"!!!"),"NEW","")))</f>
        <v> </v>
      </c>
      <c r="G2265" s="24" t="str">
        <f>IF(OR(E2265="",E2265="!!!"),"",IF(OR(J2265=0,AND(J2265=1,K2265=1),AND(J2265=1,I2265="SBJ"),AND(J2265=1,I2265=0)),"?IN_FOCUS",IF(J2265&lt;=2,"?ACTIVATED",IF(J2265&lt;&gt;"","?FAMILIAR",IF(F2265="NEW",IF(ISNA(VLOOKUP(E2265,#REF!,1,FALSE())),"?TYPE_IDENTIFIABLE","?REFERENTIAL"),"_")))))</f>
        <v> </v>
      </c>
      <c r="H2265" s="25" t="str">
        <f>IF(J2265&lt;&gt;1,"",IF(I2265="SBJ","CB","?"))</f>
        <v> </v>
      </c>
      <c r="I2265" s="26" t="str">
        <f>IF(OR(E2265="",E2265="!!!",F2265="NEW"),"",INDEX(B2264:B$2,-1+SUMPRODUCT(MAX(ROW(E2264:E$2)*(E2265=E2264:E$2)))))</f>
        <v> </v>
      </c>
      <c r="J2265" s="26" t="str">
        <f>IF(OR(E2265="",E2265="!!!",F2265="NEW"),"",COUNTBLANK(OFFSET(A$1,,,SUMPRODUCT(MAX(ROW(E$2:E2265)*(E2265=E$2:E2265)))))-COUNTBLANK(OFFSET(A$1,,,SUMPRODUCT(MAX(ROW(E$1:E2264)*(E2=E$1:E2264))))))</f>
        <v> </v>
      </c>
      <c r="K2265" s="26" t="str">
        <f>IF(OR(E2265="",E2265="!!!",F2265="NEW"),"",INDEX(J$1:J2264,SUMPRODUCT(MAX(ROW(E$1:E2264)*(E2265=E$1:E2264)))))</f>
        <v> </v>
      </c>
      <c r="L2265" s="27"/>
    </row>
    <row r="2266" spans="1:12">
      <c r="A2266" s="20" t="s">
        <v>1615</v>
      </c>
      <c r="E2266" s="22">
        <f>IF(D2266="?OLD","!!!","")</f>
        <v/>
      </c>
      <c r="F2266" s="23" t="str">
        <f>IF(OR(E2266="",E2266="!!!"),"",IF(NOT(ISNA(VLOOKUP(E2266,E$1:E2265,1,FALSE()))),"OLD",IF(AND(E2266&lt;&gt;"",E2266&lt;&gt;"!!!"),"NEW","")))</f>
        <v> </v>
      </c>
      <c r="G2266" s="24" t="str">
        <f>IF(OR(E2266="",E2266="!!!"),"",IF(OR(J2266=0,AND(J2266=1,K2266=1),AND(J2266=1,I2266="SBJ"),AND(J2266=1,I2266=0)),"?IN_FOCUS",IF(J2266&lt;=2,"?ACTIVATED",IF(J2266&lt;&gt;"","?FAMILIAR",IF(F2266="NEW",IF(ISNA(VLOOKUP(E2266,#REF!,1,FALSE())),"?TYPE_IDENTIFIABLE","?REFERENTIAL"),"_")))))</f>
        <v> </v>
      </c>
      <c r="H2266" s="25" t="str">
        <f>IF(J2266&lt;&gt;1,"",IF(I2266="SBJ","CB","?"))</f>
        <v> </v>
      </c>
      <c r="I2266" s="26" t="str">
        <f>IF(OR(E2266="",E2266="!!!",F2266="NEW"),"",INDEX(B2265:B$2,-1+SUMPRODUCT(MAX(ROW(E2265:E$2)*(E2266=E2265:E$2)))))</f>
        <v> </v>
      </c>
      <c r="J2266" s="26" t="str">
        <f>IF(OR(E2266="",E2266="!!!",F2266="NEW"),"",COUNTBLANK(OFFSET(A$1,,,SUMPRODUCT(MAX(ROW(E$2:E2266)*(E2266=E$2:E2266)))))-COUNTBLANK(OFFSET(A$1,,,SUMPRODUCT(MAX(ROW(E$1:E2265)*(E2=E$1:E2265))))))</f>
        <v> </v>
      </c>
      <c r="K2266" s="26" t="str">
        <f>IF(OR(E2266="",E2266="!!!",F2266="NEW"),"",INDEX(J$1:J2265,SUMPRODUCT(MAX(ROW(E$1:E2265)*(E2266=E$1:E2265)))))</f>
        <v> </v>
      </c>
      <c r="L2266" s="27"/>
    </row>
    <row r="2267" spans="1:12">
      <c r="A2267" s="20" t="s">
        <v>1616</v>
      </c>
      <c r="E2267" s="22">
        <f>IF(D2267="?OLD","!!!","")</f>
        <v/>
      </c>
      <c r="F2267" s="23" t="str">
        <f>IF(OR(E2267="",E2267="!!!"),"",IF(NOT(ISNA(VLOOKUP(E2267,E$1:E2266,1,FALSE()))),"OLD",IF(AND(E2267&lt;&gt;"",E2267&lt;&gt;"!!!"),"NEW","")))</f>
        <v> </v>
      </c>
      <c r="G2267" s="24" t="str">
        <f>IF(OR(E2267="",E2267="!!!"),"",IF(OR(J2267=0,AND(J2267=1,K2267=1),AND(J2267=1,I2267="SBJ"),AND(J2267=1,I2267=0)),"?IN_FOCUS",IF(J2267&lt;=2,"?ACTIVATED",IF(J2267&lt;&gt;"","?FAMILIAR",IF(F2267="NEW",IF(ISNA(VLOOKUP(E2267,#REF!,1,FALSE())),"?TYPE_IDENTIFIABLE","?REFERENTIAL"),"_")))))</f>
        <v> </v>
      </c>
      <c r="H2267" s="25" t="str">
        <f>IF(J2267&lt;&gt;1,"",IF(I2267="SBJ","CB","?"))</f>
        <v> </v>
      </c>
      <c r="I2267" s="26" t="str">
        <f>IF(OR(E2267="",E2267="!!!",F2267="NEW"),"",INDEX(B2266:B$2,-1+SUMPRODUCT(MAX(ROW(E2266:E$2)*(E2267=E2266:E$2)))))</f>
        <v> </v>
      </c>
      <c r="J2267" s="26" t="str">
        <f>IF(OR(E2267="",E2267="!!!",F2267="NEW"),"",COUNTBLANK(OFFSET(A$1,,,SUMPRODUCT(MAX(ROW(E$2:E2267)*(E2267=E$2:E2267)))))-COUNTBLANK(OFFSET(A$1,,,SUMPRODUCT(MAX(ROW(E$1:E2266)*(E2=E$1:E2266))))))</f>
        <v> </v>
      </c>
      <c r="K2267" s="26" t="str">
        <f>IF(OR(E2267="",E2267="!!!",F2267="NEW"),"",INDEX(J$1:J2266,SUMPRODUCT(MAX(ROW(E$1:E2266)*(E2267=E$1:E2266)))))</f>
        <v> </v>
      </c>
      <c r="L2267" s="27"/>
    </row>
    <row r="2268" spans="1:12">
      <c r="A2268" s="20" t="s">
        <v>1593</v>
      </c>
      <c r="B2268" s="21" t="s">
        <v>635</v>
      </c>
      <c r="E2268" s="22">
        <f>IF(D2268="?OLD","!!!","")</f>
        <v/>
      </c>
      <c r="F2268" s="23" t="str">
        <f>IF(OR(E2268="",E2268="!!!"),"",IF(NOT(ISNA(VLOOKUP(E2268,E$1:E2267,1,FALSE()))),"OLD",IF(AND(E2268&lt;&gt;"",E2268&lt;&gt;"!!!"),"NEW","")))</f>
        <v> </v>
      </c>
      <c r="G2268" s="24" t="str">
        <f>IF(OR(E2268="",E2268="!!!"),"",IF(OR(J2268=0,AND(J2268=1,K2268=1),AND(J2268=1,I2268="SBJ"),AND(J2268=1,I2268=0)),"?IN_FOCUS",IF(J2268&lt;=2,"?ACTIVATED",IF(J2268&lt;&gt;"","?FAMILIAR",IF(F2268="NEW",IF(ISNA(VLOOKUP(E2268,#REF!,1,FALSE())),"?TYPE_IDENTIFIABLE","?REFERENTIAL"),"_")))))</f>
        <v> </v>
      </c>
      <c r="H2268" s="25" t="str">
        <f>IF(J2268&lt;&gt;1,"",IF(I2268="SBJ","CB","?"))</f>
        <v> </v>
      </c>
      <c r="I2268" s="26" t="str">
        <f>IF(OR(E2268="",E2268="!!!",F2268="NEW"),"",INDEX(B2267:B$2,-1+SUMPRODUCT(MAX(ROW(E2267:E$2)*(E2268=E2267:E$2)))))</f>
        <v> </v>
      </c>
      <c r="J2268" s="26" t="str">
        <f>IF(OR(E2268="",E2268="!!!",F2268="NEW"),"",COUNTBLANK(OFFSET(A$1,,,SUMPRODUCT(MAX(ROW(E$2:E2268)*(E2268=E$2:E2268)))))-COUNTBLANK(OFFSET(A$1,,,SUMPRODUCT(MAX(ROW(E$1:E2267)*(E2=E$1:E2267))))))</f>
        <v> </v>
      </c>
      <c r="K2268" s="26" t="str">
        <f>IF(OR(E2268="",E2268="!!!",F2268="NEW"),"",INDEX(J$1:J2267,SUMPRODUCT(MAX(ROW(E$1:E2267)*(E2268=E$1:E2267)))))</f>
        <v> </v>
      </c>
      <c r="L2268" s="27"/>
    </row>
    <row r="2269" spans="1:12">
      <c r="A2269" s="20" t="s">
        <v>753</v>
      </c>
      <c r="E2269" s="22">
        <f>IF(D2269="?OLD","!!!","")</f>
        <v/>
      </c>
      <c r="F2269" s="23" t="str">
        <f>IF(OR(E2269="",E2269="!!!"),"",IF(NOT(ISNA(VLOOKUP(E2269,E$1:E2268,1,FALSE()))),"OLD",IF(AND(E2269&lt;&gt;"",E2269&lt;&gt;"!!!"),"NEW","")))</f>
        <v> </v>
      </c>
      <c r="G2269" s="24" t="str">
        <f>IF(OR(E2269="",E2269="!!!"),"",IF(OR(J2269=0,AND(J2269=1,K2269=1),AND(J2269=1,I2269="SBJ"),AND(J2269=1,I2269=0)),"?IN_FOCUS",IF(J2269&lt;=2,"?ACTIVATED",IF(J2269&lt;&gt;"","?FAMILIAR",IF(F2269="NEW",IF(ISNA(VLOOKUP(E2269,#REF!,1,FALSE())),"?TYPE_IDENTIFIABLE","?REFERENTIAL"),"_")))))</f>
        <v> </v>
      </c>
      <c r="H2269" s="25" t="str">
        <f>IF(J2269&lt;&gt;1,"",IF(I2269="SBJ","CB","?"))</f>
        <v> </v>
      </c>
      <c r="I2269" s="26" t="str">
        <f>IF(OR(E2269="",E2269="!!!",F2269="NEW"),"",INDEX(B2268:B$2,-1+SUMPRODUCT(MAX(ROW(E2268:E$2)*(E2269=E2268:E$2)))))</f>
        <v> </v>
      </c>
      <c r="J2269" s="26" t="str">
        <f>IF(OR(E2269="",E2269="!!!",F2269="NEW"),"",COUNTBLANK(OFFSET(A$1,,,SUMPRODUCT(MAX(ROW(E$2:E2269)*(E2269=E$2:E2269)))))-COUNTBLANK(OFFSET(A$1,,,SUMPRODUCT(MAX(ROW(E$1:E2268)*(E2=E$1:E2268))))))</f>
        <v> </v>
      </c>
      <c r="K2269" s="26" t="str">
        <f>IF(OR(E2269="",E2269="!!!",F2269="NEW"),"",INDEX(J$1:J2268,SUMPRODUCT(MAX(ROW(E$1:E2268)*(E2269=E$1:E2268)))))</f>
        <v> </v>
      </c>
      <c r="L2269" s="27"/>
    </row>
    <row r="2270" spans="1:12">
      <c r="A2270" s="20" t="s">
        <v>1617</v>
      </c>
      <c r="E2270" s="22">
        <f>IF(D2270="?OLD","!!!","")</f>
        <v/>
      </c>
      <c r="F2270" s="23" t="str">
        <f>IF(OR(E2270="",E2270="!!!"),"",IF(NOT(ISNA(VLOOKUP(E2270,E$1:E2269,1,FALSE()))),"OLD",IF(AND(E2270&lt;&gt;"",E2270&lt;&gt;"!!!"),"NEW","")))</f>
        <v> </v>
      </c>
      <c r="G2270" s="24" t="str">
        <f>IF(OR(E2270="",E2270="!!!"),"",IF(OR(J2270=0,AND(J2270=1,K2270=1),AND(J2270=1,I2270="SBJ"),AND(J2270=1,I2270=0)),"?IN_FOCUS",IF(J2270&lt;=2,"?ACTIVATED",IF(J2270&lt;&gt;"","?FAMILIAR",IF(F2270="NEW",IF(ISNA(VLOOKUP(E2270,#REF!,1,FALSE())),"?TYPE_IDENTIFIABLE","?REFERENTIAL"),"_")))))</f>
        <v> </v>
      </c>
      <c r="H2270" s="25" t="str">
        <f>IF(J2270&lt;&gt;1,"",IF(I2270="SBJ","CB","?"))</f>
        <v> </v>
      </c>
      <c r="I2270" s="26" t="str">
        <f>IF(OR(E2270="",E2270="!!!",F2270="NEW"),"",INDEX(B2269:B$2,-1+SUMPRODUCT(MAX(ROW(E2269:E$2)*(E2270=E2269:E$2)))))</f>
        <v> </v>
      </c>
      <c r="J2270" s="26" t="str">
        <f>IF(OR(E2270="",E2270="!!!",F2270="NEW"),"",COUNTBLANK(OFFSET(A$1,,,SUMPRODUCT(MAX(ROW(E$2:E2270)*(E2270=E$2:E2270)))))-COUNTBLANK(OFFSET(A$1,,,SUMPRODUCT(MAX(ROW(E$1:E2269)*(E2=E$1:E2269))))))</f>
        <v> </v>
      </c>
      <c r="K2270" s="26" t="str">
        <f>IF(OR(E2270="",E2270="!!!",F2270="NEW"),"",INDEX(J$1:J2269,SUMPRODUCT(MAX(ROW(E$1:E2269)*(E2270=E$1:E2269)))))</f>
        <v> </v>
      </c>
      <c r="L2270" s="27"/>
    </row>
    <row r="2271" spans="1:12">
      <c r="A2271" s="20" t="s">
        <v>583</v>
      </c>
      <c r="E2271" s="22">
        <f>IF(D2271="?OLD","!!!","")</f>
        <v/>
      </c>
      <c r="F2271" s="23" t="str">
        <f>IF(OR(E2271="",E2271="!!!"),"",IF(NOT(ISNA(VLOOKUP(E2271,E$1:E2270,1,FALSE()))),"OLD",IF(AND(E2271&lt;&gt;"",E2271&lt;&gt;"!!!"),"NEW","")))</f>
        <v> </v>
      </c>
      <c r="G2271" s="24" t="str">
        <f>IF(OR(E2271="",E2271="!!!"),"",IF(OR(J2271=0,AND(J2271=1,K2271=1),AND(J2271=1,I2271="SBJ"),AND(J2271=1,I2271=0)),"?IN_FOCUS",IF(J2271&lt;=2,"?ACTIVATED",IF(J2271&lt;&gt;"","?FAMILIAR",IF(F2271="NEW",IF(ISNA(VLOOKUP(E2271,#REF!,1,FALSE())),"?TYPE_IDENTIFIABLE","?REFERENTIAL"),"_")))))</f>
        <v> </v>
      </c>
      <c r="H2271" s="25" t="str">
        <f>IF(J2271&lt;&gt;1,"",IF(I2271="SBJ","CB","?"))</f>
        <v> </v>
      </c>
      <c r="I2271" s="26" t="str">
        <f>IF(OR(E2271="",E2271="!!!",F2271="NEW"),"",INDEX(B2270:B$2,-1+SUMPRODUCT(MAX(ROW(E2270:E$2)*(E2271=E2270:E$2)))))</f>
        <v> </v>
      </c>
      <c r="J2271" s="26" t="str">
        <f>IF(OR(E2271="",E2271="!!!",F2271="NEW"),"",COUNTBLANK(OFFSET(A$1,,,SUMPRODUCT(MAX(ROW(E$2:E2271)*(E2271=E$2:E2271)))))-COUNTBLANK(OFFSET(A$1,,,SUMPRODUCT(MAX(ROW(E$1:E2270)*(E2=E$1:E2270))))))</f>
        <v> </v>
      </c>
      <c r="K2271" s="26" t="str">
        <f>IF(OR(E2271="",E2271="!!!",F2271="NEW"),"",INDEX(J$1:J2270,SUMPRODUCT(MAX(ROW(E$1:E2270)*(E2271=E$1:E2270)))))</f>
        <v> </v>
      </c>
      <c r="L2271" s="27"/>
    </row>
    <row r="2272" spans="1:12">
      <c r="A2272" s="20" t="s">
        <v>1136</v>
      </c>
      <c r="E2272" s="22">
        <f>IF(D2272="?OLD","!!!","")</f>
        <v/>
      </c>
      <c r="F2272" s="23" t="str">
        <f>IF(OR(E2272="",E2272="!!!"),"",IF(NOT(ISNA(VLOOKUP(E2272,E$1:E2271,1,FALSE()))),"OLD",IF(AND(E2272&lt;&gt;"",E2272&lt;&gt;"!!!"),"NEW","")))</f>
        <v> </v>
      </c>
      <c r="G2272" s="24" t="str">
        <f>IF(OR(E2272="",E2272="!!!"),"",IF(OR(J2272=0,AND(J2272=1,K2272=1),AND(J2272=1,I2272="SBJ"),AND(J2272=1,I2272=0)),"?IN_FOCUS",IF(J2272&lt;=2,"?ACTIVATED",IF(J2272&lt;&gt;"","?FAMILIAR",IF(F2272="NEW",IF(ISNA(VLOOKUP(E2272,#REF!,1,FALSE())),"?TYPE_IDENTIFIABLE","?REFERENTIAL"),"_")))))</f>
        <v> </v>
      </c>
      <c r="H2272" s="25" t="str">
        <f>IF(J2272&lt;&gt;1,"",IF(I2272="SBJ","CB","?"))</f>
        <v> </v>
      </c>
      <c r="I2272" s="26" t="str">
        <f>IF(OR(E2272="",E2272="!!!",F2272="NEW"),"",INDEX(B2271:B$2,-1+SUMPRODUCT(MAX(ROW(E2271:E$2)*(E2272=E2271:E$2)))))</f>
        <v> </v>
      </c>
      <c r="J2272" s="26" t="str">
        <f>IF(OR(E2272="",E2272="!!!",F2272="NEW"),"",COUNTBLANK(OFFSET(A$1,,,SUMPRODUCT(MAX(ROW(E$2:E2272)*(E2272=E$2:E2272)))))-COUNTBLANK(OFFSET(A$1,,,SUMPRODUCT(MAX(ROW(E$1:E2271)*(E2=E$1:E2271))))))</f>
        <v> </v>
      </c>
      <c r="K2272" s="26" t="str">
        <f>IF(OR(E2272="",E2272="!!!",F2272="NEW"),"",INDEX(J$1:J2271,SUMPRODUCT(MAX(ROW(E$1:E2271)*(E2272=E$1:E2271)))))</f>
        <v> </v>
      </c>
      <c r="L2272" s="27"/>
    </row>
    <row r="2273" spans="1:12">
      <c r="A2273" s="20" t="s">
        <v>1618</v>
      </c>
      <c r="E2273" s="22">
        <f>IF(D2273="?OLD","!!!","")</f>
        <v/>
      </c>
      <c r="F2273" s="23" t="str">
        <f>IF(OR(E2273="",E2273="!!!"),"",IF(NOT(ISNA(VLOOKUP(E2273,E$1:E2272,1,FALSE()))),"OLD",IF(AND(E2273&lt;&gt;"",E2273&lt;&gt;"!!!"),"NEW","")))</f>
        <v> </v>
      </c>
      <c r="G2273" s="24" t="str">
        <f>IF(OR(E2273="",E2273="!!!"),"",IF(OR(J2273=0,AND(J2273=1,K2273=1),AND(J2273=1,I2273="SBJ"),AND(J2273=1,I2273=0)),"?IN_FOCUS",IF(J2273&lt;=2,"?ACTIVATED",IF(J2273&lt;&gt;"","?FAMILIAR",IF(F2273="NEW",IF(ISNA(VLOOKUP(E2273,#REF!,1,FALSE())),"?TYPE_IDENTIFIABLE","?REFERENTIAL"),"_")))))</f>
        <v> </v>
      </c>
      <c r="H2273" s="25" t="str">
        <f>IF(J2273&lt;&gt;1,"",IF(I2273="SBJ","CB","?"))</f>
        <v> </v>
      </c>
      <c r="I2273" s="26" t="str">
        <f>IF(OR(E2273="",E2273="!!!",F2273="NEW"),"",INDEX(B2272:B$2,-1+SUMPRODUCT(MAX(ROW(E2272:E$2)*(E2273=E2272:E$2)))))</f>
        <v> </v>
      </c>
      <c r="J2273" s="26" t="str">
        <f>IF(OR(E2273="",E2273="!!!",F2273="NEW"),"",COUNTBLANK(OFFSET(A$1,,,SUMPRODUCT(MAX(ROW(E$2:E2273)*(E2273=E$2:E2273)))))-COUNTBLANK(OFFSET(A$1,,,SUMPRODUCT(MAX(ROW(E$1:E2272)*(E2=E$1:E2272))))))</f>
        <v> </v>
      </c>
      <c r="K2273" s="26" t="str">
        <f>IF(OR(E2273="",E2273="!!!",F2273="NEW"),"",INDEX(J$1:J2272,SUMPRODUCT(MAX(ROW(E$1:E2272)*(E2273=E$1:E2272)))))</f>
        <v> </v>
      </c>
      <c r="L2273" s="27"/>
    </row>
    <row r="2274" spans="1:12">
      <c r="A2274" s="20" t="s">
        <v>753</v>
      </c>
      <c r="E2274" s="22">
        <f>IF(D2274="?OLD","!!!","")</f>
        <v/>
      </c>
      <c r="F2274" s="23" t="str">
        <f>IF(OR(E2274="",E2274="!!!"),"",IF(NOT(ISNA(VLOOKUP(E2274,E$1:E2273,1,FALSE()))),"OLD",IF(AND(E2274&lt;&gt;"",E2274&lt;&gt;"!!!"),"NEW","")))</f>
        <v> </v>
      </c>
      <c r="G2274" s="24" t="str">
        <f>IF(OR(E2274="",E2274="!!!"),"",IF(OR(J2274=0,AND(J2274=1,K2274=1),AND(J2274=1,I2274="SBJ"),AND(J2274=1,I2274=0)),"?IN_FOCUS",IF(J2274&lt;=2,"?ACTIVATED",IF(J2274&lt;&gt;"","?FAMILIAR",IF(F2274="NEW",IF(ISNA(VLOOKUP(E2274,#REF!,1,FALSE())),"?TYPE_IDENTIFIABLE","?REFERENTIAL"),"_")))))</f>
        <v> </v>
      </c>
      <c r="H2274" s="25" t="str">
        <f>IF(J2274&lt;&gt;1,"",IF(I2274="SBJ","CB","?"))</f>
        <v> </v>
      </c>
      <c r="I2274" s="26" t="str">
        <f>IF(OR(E2274="",E2274="!!!",F2274="NEW"),"",INDEX(B2273:B$2,-1+SUMPRODUCT(MAX(ROW(E2273:E$2)*(E2274=E2273:E$2)))))</f>
        <v> </v>
      </c>
      <c r="J2274" s="26" t="str">
        <f>IF(OR(E2274="",E2274="!!!",F2274="NEW"),"",COUNTBLANK(OFFSET(A$1,,,SUMPRODUCT(MAX(ROW(E$2:E2274)*(E2274=E$2:E2274)))))-COUNTBLANK(OFFSET(A$1,,,SUMPRODUCT(MAX(ROW(E$1:E2273)*(E2=E$1:E2273))))))</f>
        <v> </v>
      </c>
      <c r="K2274" s="26" t="str">
        <f>IF(OR(E2274="",E2274="!!!",F2274="NEW"),"",INDEX(J$1:J2273,SUMPRODUCT(MAX(ROW(E$1:E2273)*(E2274=E$1:E2273)))))</f>
        <v> </v>
      </c>
      <c r="L2274" s="27"/>
    </row>
    <row r="2275" spans="1:12">
      <c r="A2275" s="20" t="s">
        <v>714</v>
      </c>
      <c r="E2275" s="22">
        <f>IF(D2275="?OLD","!!!","")</f>
        <v/>
      </c>
      <c r="F2275" s="23" t="str">
        <f>IF(OR(E2275="",E2275="!!!"),"",IF(NOT(ISNA(VLOOKUP(E2275,E$1:E2274,1,FALSE()))),"OLD",IF(AND(E2275&lt;&gt;"",E2275&lt;&gt;"!!!"),"NEW","")))</f>
        <v> </v>
      </c>
      <c r="G2275" s="24" t="str">
        <f>IF(OR(E2275="",E2275="!!!"),"",IF(OR(J2275=0,AND(J2275=1,K2275=1),AND(J2275=1,I2275="SBJ"),AND(J2275=1,I2275=0)),"?IN_FOCUS",IF(J2275&lt;=2,"?ACTIVATED",IF(J2275&lt;&gt;"","?FAMILIAR",IF(F2275="NEW",IF(ISNA(VLOOKUP(E2275,#REF!,1,FALSE())),"?TYPE_IDENTIFIABLE","?REFERENTIAL"),"_")))))</f>
        <v> </v>
      </c>
      <c r="H2275" s="25" t="str">
        <f>IF(J2275&lt;&gt;1,"",IF(I2275="SBJ","CB","?"))</f>
        <v> </v>
      </c>
      <c r="I2275" s="26" t="str">
        <f>IF(OR(E2275="",E2275="!!!",F2275="NEW"),"",INDEX(B2274:B$2,-1+SUMPRODUCT(MAX(ROW(E2274:E$2)*(E2275=E2274:E$2)))))</f>
        <v> </v>
      </c>
      <c r="J2275" s="26" t="str">
        <f>IF(OR(E2275="",E2275="!!!",F2275="NEW"),"",COUNTBLANK(OFFSET(A$1,,,SUMPRODUCT(MAX(ROW(E$2:E2275)*(E2275=E$2:E2275)))))-COUNTBLANK(OFFSET(A$1,,,SUMPRODUCT(MAX(ROW(E$1:E2274)*(E2=E$1:E2274))))))</f>
        <v> </v>
      </c>
      <c r="K2275" s="26" t="str">
        <f>IF(OR(E2275="",E2275="!!!",F2275="NEW"),"",INDEX(J$1:J2274,SUMPRODUCT(MAX(ROW(E$1:E2274)*(E2275=E$1:E2274)))))</f>
        <v> </v>
      </c>
      <c r="L2275" s="27"/>
    </row>
    <row r="2276" spans="1:12">
      <c r="A2276" s="20" t="s">
        <v>715</v>
      </c>
      <c r="E2276" s="22">
        <f>IF(D2276="?OLD","!!!","")</f>
        <v/>
      </c>
      <c r="F2276" s="23" t="str">
        <f>IF(OR(E2276="",E2276="!!!"),"",IF(NOT(ISNA(VLOOKUP(E2276,E$1:E2275,1,FALSE()))),"OLD",IF(AND(E2276&lt;&gt;"",E2276&lt;&gt;"!!!"),"NEW","")))</f>
        <v> </v>
      </c>
      <c r="G2276" s="24" t="str">
        <f>IF(OR(E2276="",E2276="!!!"),"",IF(OR(J2276=0,AND(J2276=1,K2276=1),AND(J2276=1,I2276="SBJ"),AND(J2276=1,I2276=0)),"?IN_FOCUS",IF(J2276&lt;=2,"?ACTIVATED",IF(J2276&lt;&gt;"","?FAMILIAR",IF(F2276="NEW",IF(ISNA(VLOOKUP(E2276,#REF!,1,FALSE())),"?TYPE_IDENTIFIABLE","?REFERENTIAL"),"_")))))</f>
        <v> </v>
      </c>
      <c r="H2276" s="25" t="str">
        <f>IF(J2276&lt;&gt;1,"",IF(I2276="SBJ","CB","?"))</f>
        <v> </v>
      </c>
      <c r="I2276" s="26" t="str">
        <f>IF(OR(E2276="",E2276="!!!",F2276="NEW"),"",INDEX(B2275:B$2,-1+SUMPRODUCT(MAX(ROW(E2275:E$2)*(E2276=E2275:E$2)))))</f>
        <v> </v>
      </c>
      <c r="J2276" s="26" t="str">
        <f>IF(OR(E2276="",E2276="!!!",F2276="NEW"),"",COUNTBLANK(OFFSET(A$1,,,SUMPRODUCT(MAX(ROW(E$2:E2276)*(E2276=E$2:E2276)))))-COUNTBLANK(OFFSET(A$1,,,SUMPRODUCT(MAX(ROW(E$1:E2275)*(E2=E$1:E2275))))))</f>
        <v> </v>
      </c>
      <c r="K2276" s="26" t="str">
        <f>IF(OR(E2276="",E2276="!!!",F2276="NEW"),"",INDEX(J$1:J2275,SUMPRODUCT(MAX(ROW(E$1:E2275)*(E2276=E$1:E2275)))))</f>
        <v> </v>
      </c>
      <c r="L2276" s="27"/>
    </row>
    <row r="2277" spans="1:12">
      <c r="A2277" s="20" t="s">
        <v>1005</v>
      </c>
      <c r="B2277" s="21" t="s">
        <v>645</v>
      </c>
      <c r="C2277" s="21" t="s">
        <v>646</v>
      </c>
      <c r="E2277" s="22">
        <f>IF(D2277="?OLD","!!!","")</f>
        <v/>
      </c>
      <c r="F2277" s="23" t="str">
        <f>IF(OR(E2277="",E2277="!!!"),"",IF(NOT(ISNA(VLOOKUP(E2277,E$1:E2276,1,FALSE()))),"OLD",IF(AND(E2277&lt;&gt;"",E2277&lt;&gt;"!!!"),"NEW","")))</f>
        <v> </v>
      </c>
      <c r="G2277" s="24" t="str">
        <f>IF(OR(E2277="",E2277="!!!"),"",IF(OR(J2277=0,AND(J2277=1,K2277=1),AND(J2277=1,I2277="SBJ"),AND(J2277=1,I2277=0)),"?IN_FOCUS",IF(J2277&lt;=2,"?ACTIVATED",IF(J2277&lt;&gt;"","?FAMILIAR",IF(F2277="NEW",IF(ISNA(VLOOKUP(E2277,#REF!,1,FALSE())),"?TYPE_IDENTIFIABLE","?REFERENTIAL"),"_")))))</f>
        <v> </v>
      </c>
      <c r="H2277" s="25" t="str">
        <f>IF(J2277&lt;&gt;1,"",IF(I2277="SBJ","CB","?"))</f>
        <v> </v>
      </c>
      <c r="I2277" s="26" t="str">
        <f>IF(OR(E2277="",E2277="!!!",F2277="NEW"),"",INDEX(B2276:B$2,-1+SUMPRODUCT(MAX(ROW(E2276:E$2)*(E2277=E2276:E$2)))))</f>
        <v> </v>
      </c>
      <c r="J2277" s="26" t="str">
        <f>IF(OR(E2277="",E2277="!!!",F2277="NEW"),"",COUNTBLANK(OFFSET(A$1,,,SUMPRODUCT(MAX(ROW(E$2:E2277)*(E2277=E$2:E2277)))))-COUNTBLANK(OFFSET(A$1,,,SUMPRODUCT(MAX(ROW(E$1:E2276)*(E2=E$1:E2276))))))</f>
        <v> </v>
      </c>
      <c r="K2277" s="26" t="str">
        <f>IF(OR(E2277="",E2277="!!!",F2277="NEW"),"",INDEX(J$1:J2276,SUMPRODUCT(MAX(ROW(E$1:E2276)*(E2277=E$1:E2276)))))</f>
        <v> </v>
      </c>
      <c r="L2277" s="27"/>
    </row>
    <row r="2278" spans="1:12">
      <c r="A2278" s="20" t="s">
        <v>592</v>
      </c>
      <c r="E2278" s="22">
        <f>IF(D2278="?OLD","!!!","")</f>
        <v/>
      </c>
      <c r="F2278" s="23" t="str">
        <f>IF(OR(E2278="",E2278="!!!"),"",IF(NOT(ISNA(VLOOKUP(E2278,E$1:E2277,1,FALSE()))),"OLD",IF(AND(E2278&lt;&gt;"",E2278&lt;&gt;"!!!"),"NEW","")))</f>
        <v> </v>
      </c>
      <c r="G2278" s="24" t="str">
        <f>IF(OR(E2278="",E2278="!!!"),"",IF(OR(J2278=0,AND(J2278=1,K2278=1),AND(J2278=1,I2278="SBJ"),AND(J2278=1,I2278=0)),"?IN_FOCUS",IF(J2278&lt;=2,"?ACTIVATED",IF(J2278&lt;&gt;"","?FAMILIAR",IF(F2278="NEW",IF(ISNA(VLOOKUP(E2278,#REF!,1,FALSE())),"?TYPE_IDENTIFIABLE","?REFERENTIAL"),"_")))))</f>
        <v> </v>
      </c>
      <c r="H2278" s="25" t="str">
        <f>IF(J2278&lt;&gt;1,"",IF(I2278="SBJ","CB","?"))</f>
        <v> </v>
      </c>
      <c r="I2278" s="26" t="str">
        <f>IF(OR(E2278="",E2278="!!!",F2278="NEW"),"",INDEX(B2277:B$2,-1+SUMPRODUCT(MAX(ROW(E2277:E$2)*(E2278=E2277:E$2)))))</f>
        <v> </v>
      </c>
      <c r="J2278" s="26" t="str">
        <f>IF(OR(E2278="",E2278="!!!",F2278="NEW"),"",COUNTBLANK(OFFSET(A$1,,,SUMPRODUCT(MAX(ROW(E$2:E2278)*(E2278=E$2:E2278)))))-COUNTBLANK(OFFSET(A$1,,,SUMPRODUCT(MAX(ROW(E$1:E2277)*(E2=E$1:E2277))))))</f>
        <v> </v>
      </c>
      <c r="K2278" s="26" t="str">
        <f>IF(OR(E2278="",E2278="!!!",F2278="NEW"),"",INDEX(J$1:J2277,SUMPRODUCT(MAX(ROW(E$1:E2277)*(E2278=E$1:E2277)))))</f>
        <v> </v>
      </c>
      <c r="L2278" s="27"/>
    </row>
    <row r="2279" spans="1:12">
      <c r="A2279" s="20"/>
    </row>
    <row r="2280" spans="1:12">
      <c r="A2280" s="20" t="s">
        <v>1619</v>
      </c>
    </row>
    <row r="2281" spans="1:12">
      <c r="A2281" s="20" t="s">
        <v>713</v>
      </c>
      <c r="E2281" s="22">
        <f>IF(D2281="?OLD","!!!","")</f>
        <v/>
      </c>
      <c r="F2281" s="23" t="str">
        <f>IF(OR(E2281="",E2281="!!!"),"",IF(NOT(ISNA(VLOOKUP(E2281,E$1:E2280,1,FALSE()))),"OLD",IF(AND(E2281&lt;&gt;"",E2281&lt;&gt;"!!!"),"NEW","")))</f>
        <v> </v>
      </c>
      <c r="G2281" s="24" t="str">
        <f>IF(OR(E2281="",E2281="!!!"),"",IF(OR(J2281=0,AND(J2281=1,K2281=1),AND(J2281=1,I2281="SBJ"),AND(J2281=1,I2281=0)),"?IN_FOCUS",IF(J2281&lt;=2,"?ACTIVATED",IF(J2281&lt;&gt;"","?FAMILIAR",IF(F2281="NEW",IF(ISNA(VLOOKUP(E2281,#REF!,1,FALSE())),"?TYPE_IDENTIFIABLE","?REFERENTIAL"),"_")))))</f>
        <v> </v>
      </c>
      <c r="H2281" s="25" t="str">
        <f>IF(J2281&lt;&gt;1,"",IF(I2281="SBJ","CB","?"))</f>
        <v> </v>
      </c>
      <c r="I2281" s="26" t="str">
        <f>IF(OR(E2281="",E2281="!!!",F2281="NEW"),"",INDEX(B2280:B$2,-1+SUMPRODUCT(MAX(ROW(E2280:E$2)*(E2281=E2280:E$2)))))</f>
        <v> </v>
      </c>
      <c r="J2281" s="26" t="str">
        <f>IF(OR(E2281="",E2281="!!!",F2281="NEW"),"",COUNTBLANK(OFFSET(A$1,,,SUMPRODUCT(MAX(ROW(E$2:E2281)*(E2281=E$2:E2281)))))-COUNTBLANK(OFFSET(A$1,,,SUMPRODUCT(MAX(ROW(E$1:E2280)*(E2=E$1:E2280))))))</f>
        <v> </v>
      </c>
      <c r="K2281" s="26" t="str">
        <f>IF(OR(E2281="",E2281="!!!",F2281="NEW"),"",INDEX(J$1:J2280,SUMPRODUCT(MAX(ROW(E$1:E2280)*(E2281=E$1:E2280)))))</f>
        <v> </v>
      </c>
      <c r="L2281" s="27"/>
    </row>
    <row r="2282" spans="1:12">
      <c r="A2282" s="20" t="s">
        <v>1291</v>
      </c>
      <c r="E2282" s="22">
        <f>IF(D2282="?OLD","!!!","")</f>
        <v/>
      </c>
      <c r="F2282" s="23" t="str">
        <f>IF(OR(E2282="",E2282="!!!"),"",IF(NOT(ISNA(VLOOKUP(E2282,E$1:E2281,1,FALSE()))),"OLD",IF(AND(E2282&lt;&gt;"",E2282&lt;&gt;"!!!"),"NEW","")))</f>
        <v> </v>
      </c>
      <c r="G2282" s="24" t="str">
        <f>IF(OR(E2282="",E2282="!!!"),"",IF(OR(J2282=0,AND(J2282=1,K2282=1),AND(J2282=1,I2282="SBJ"),AND(J2282=1,I2282=0)),"?IN_FOCUS",IF(J2282&lt;=2,"?ACTIVATED",IF(J2282&lt;&gt;"","?FAMILIAR",IF(F2282="NEW",IF(ISNA(VLOOKUP(E2282,#REF!,1,FALSE())),"?TYPE_IDENTIFIABLE","?REFERENTIAL"),"_")))))</f>
        <v> </v>
      </c>
      <c r="H2282" s="25" t="str">
        <f>IF(J2282&lt;&gt;1,"",IF(I2282="SBJ","CB","?"))</f>
        <v> </v>
      </c>
      <c r="I2282" s="26" t="str">
        <f>IF(OR(E2282="",E2282="!!!",F2282="NEW"),"",INDEX(B2281:B$2,-1+SUMPRODUCT(MAX(ROW(E2281:E$2)*(E2282=E2281:E$2)))))</f>
        <v> </v>
      </c>
      <c r="J2282" s="26" t="str">
        <f>IF(OR(E2282="",E2282="!!!",F2282="NEW"),"",COUNTBLANK(OFFSET(A$1,,,SUMPRODUCT(MAX(ROW(E$2:E2282)*(E2282=E$2:E2282)))))-COUNTBLANK(OFFSET(A$1,,,SUMPRODUCT(MAX(ROW(E$1:E2281)*(E2=E$1:E2281))))))</f>
        <v> </v>
      </c>
      <c r="K2282" s="26" t="str">
        <f>IF(OR(E2282="",E2282="!!!",F2282="NEW"),"",INDEX(J$1:J2281,SUMPRODUCT(MAX(ROW(E$1:E2281)*(E2282=E$1:E2281)))))</f>
        <v> </v>
      </c>
      <c r="L2282" s="27"/>
    </row>
    <row r="2283" spans="1:12">
      <c r="A2283" s="20" t="s">
        <v>580</v>
      </c>
      <c r="E2283" s="22">
        <f>IF(D2283="?OLD","!!!","")</f>
        <v/>
      </c>
      <c r="F2283" s="23" t="str">
        <f>IF(OR(E2283="",E2283="!!!"),"",IF(NOT(ISNA(VLOOKUP(E2283,E$1:E2282,1,FALSE()))),"OLD",IF(AND(E2283&lt;&gt;"",E2283&lt;&gt;"!!!"),"NEW","")))</f>
        <v> </v>
      </c>
      <c r="G2283" s="24" t="str">
        <f>IF(OR(E2283="",E2283="!!!"),"",IF(OR(J2283=0,AND(J2283=1,K2283=1),AND(J2283=1,I2283="SBJ"),AND(J2283=1,I2283=0)),"?IN_FOCUS",IF(J2283&lt;=2,"?ACTIVATED",IF(J2283&lt;&gt;"","?FAMILIAR",IF(F2283="NEW",IF(ISNA(VLOOKUP(E2283,#REF!,1,FALSE())),"?TYPE_IDENTIFIABLE","?REFERENTIAL"),"_")))))</f>
        <v> </v>
      </c>
      <c r="H2283" s="25" t="str">
        <f>IF(J2283&lt;&gt;1,"",IF(I2283="SBJ","CB","?"))</f>
        <v> </v>
      </c>
      <c r="I2283" s="26" t="str">
        <f>IF(OR(E2283="",E2283="!!!",F2283="NEW"),"",INDEX(B2282:B$2,-1+SUMPRODUCT(MAX(ROW(E2282:E$2)*(E2283=E2282:E$2)))))</f>
        <v> </v>
      </c>
      <c r="J2283" s="26" t="str">
        <f>IF(OR(E2283="",E2283="!!!",F2283="NEW"),"",COUNTBLANK(OFFSET(A$1,,,SUMPRODUCT(MAX(ROW(E$2:E2283)*(E2283=E$2:E2283)))))-COUNTBLANK(OFFSET(A$1,,,SUMPRODUCT(MAX(ROW(E$1:E2282)*(E2=E$1:E2282))))))</f>
        <v> </v>
      </c>
      <c r="K2283" s="26" t="str">
        <f>IF(OR(E2283="",E2283="!!!",F2283="NEW"),"",INDEX(J$1:J2282,SUMPRODUCT(MAX(ROW(E$1:E2282)*(E2283=E$1:E2282)))))</f>
        <v> </v>
      </c>
      <c r="L2283" s="27"/>
    </row>
    <row r="2284" spans="1:12">
      <c r="A2284" s="20" t="s">
        <v>1620</v>
      </c>
      <c r="B2284" s="21" t="s">
        <v>651</v>
      </c>
      <c r="C2284" s="21" t="s">
        <v>628</v>
      </c>
      <c r="D2284" s="21" t="s">
        <v>587</v>
      </c>
      <c r="E2284" s="22">
        <f>IF(D2284="?OLD","!!!","")</f>
        <v/>
      </c>
      <c r="F2284" s="23" t="str">
        <f>IF(OR(E2284="",E2284="!!!"),"",IF(NOT(ISNA(VLOOKUP(E2284,E$1:E2283,1,FALSE()))),"OLD",IF(AND(E2284&lt;&gt;"",E2284&lt;&gt;"!!!"),"NEW","")))</f>
        <v> </v>
      </c>
      <c r="G2284" s="24" t="str">
        <f>IF(OR(E2284="",E2284="!!!"),"",IF(OR(J2284=0,AND(J2284=1,K2284=1),AND(J2284=1,I2284="SBJ"),AND(J2284=1,I2284=0)),"?IN_FOCUS",IF(J2284&lt;=2,"?ACTIVATED",IF(J2284&lt;&gt;"","?FAMILIAR",IF(F2284="NEW",IF(ISNA(VLOOKUP(E2284,#REF!,1,FALSE())),"?TYPE_IDENTIFIABLE","?REFERENTIAL"),"_")))))</f>
        <v> </v>
      </c>
      <c r="H2284" s="25" t="str">
        <f>IF(J2284&lt;&gt;1,"",IF(I2284="SBJ","CB","?"))</f>
        <v> </v>
      </c>
      <c r="I2284" s="26" t="str">
        <f>IF(OR(E2284="",E2284="!!!",F2284="NEW"),"",INDEX(B2283:B$2,-1+SUMPRODUCT(MAX(ROW(E2283:E$2)*(E2284=E2283:E$2)))))</f>
        <v> </v>
      </c>
      <c r="J2284" s="26" t="str">
        <f>IF(OR(E2284="",E2284="!!!",F2284="NEW"),"",COUNTBLANK(OFFSET(A$1,,,SUMPRODUCT(MAX(ROW(E$2:E2284)*(E2284=E$2:E2284)))))-COUNTBLANK(OFFSET(A$1,,,SUMPRODUCT(MAX(ROW(E$1:E2283)*(E2=E$1:E2283))))))</f>
        <v> </v>
      </c>
      <c r="K2284" s="26" t="str">
        <f>IF(OR(E2284="",E2284="!!!",F2284="NEW"),"",INDEX(J$1:J2283,SUMPRODUCT(MAX(ROW(E$1:E2283)*(E2284=E$1:E2283)))))</f>
        <v> </v>
      </c>
      <c r="L2284" s="27"/>
    </row>
    <row r="2285" spans="1:12">
      <c r="A2285" s="20" t="s">
        <v>1621</v>
      </c>
      <c r="E2285" s="22">
        <f>IF(D2285="?OLD","!!!","")</f>
        <v/>
      </c>
      <c r="F2285" s="23" t="str">
        <f>IF(OR(E2285="",E2285="!!!"),"",IF(NOT(ISNA(VLOOKUP(E2285,E$1:E2284,1,FALSE()))),"OLD",IF(AND(E2285&lt;&gt;"",E2285&lt;&gt;"!!!"),"NEW","")))</f>
        <v> </v>
      </c>
      <c r="G2285" s="24" t="str">
        <f>IF(OR(E2285="",E2285="!!!"),"",IF(OR(J2285=0,AND(J2285=1,K2285=1),AND(J2285=1,I2285="SBJ"),AND(J2285=1,I2285=0)),"?IN_FOCUS",IF(J2285&lt;=2,"?ACTIVATED",IF(J2285&lt;&gt;"","?FAMILIAR",IF(F2285="NEW",IF(ISNA(VLOOKUP(E2285,#REF!,1,FALSE())),"?TYPE_IDENTIFIABLE","?REFERENTIAL"),"_")))))</f>
        <v> </v>
      </c>
      <c r="H2285" s="25" t="str">
        <f>IF(J2285&lt;&gt;1,"",IF(I2285="SBJ","CB","?"))</f>
        <v> </v>
      </c>
      <c r="I2285" s="26" t="str">
        <f>IF(OR(E2285="",E2285="!!!",F2285="NEW"),"",INDEX(B2284:B$2,-1+SUMPRODUCT(MAX(ROW(E2284:E$2)*(E2285=E2284:E$2)))))</f>
        <v> </v>
      </c>
      <c r="J2285" s="26" t="str">
        <f>IF(OR(E2285="",E2285="!!!",F2285="NEW"),"",COUNTBLANK(OFFSET(A$1,,,SUMPRODUCT(MAX(ROW(E$2:E2285)*(E2285=E$2:E2285)))))-COUNTBLANK(OFFSET(A$1,,,SUMPRODUCT(MAX(ROW(E$1:E2284)*(E2=E$1:E2284))))))</f>
        <v> </v>
      </c>
      <c r="K2285" s="26" t="str">
        <f>IF(OR(E2285="",E2285="!!!",F2285="NEW"),"",INDEX(J$1:J2284,SUMPRODUCT(MAX(ROW(E$1:E2284)*(E2285=E$1:E2284)))))</f>
        <v> </v>
      </c>
      <c r="L2285" s="27"/>
    </row>
    <row r="2286" spans="1:12">
      <c r="A2286" s="20" t="s">
        <v>1622</v>
      </c>
      <c r="E2286" s="22">
        <f>IF(D2286="?OLD","!!!","")</f>
        <v/>
      </c>
      <c r="F2286" s="23" t="str">
        <f>IF(OR(E2286="",E2286="!!!"),"",IF(NOT(ISNA(VLOOKUP(E2286,E$1:E2285,1,FALSE()))),"OLD",IF(AND(E2286&lt;&gt;"",E2286&lt;&gt;"!!!"),"NEW","")))</f>
        <v> </v>
      </c>
      <c r="G2286" s="24" t="str">
        <f>IF(OR(E2286="",E2286="!!!"),"",IF(OR(J2286=0,AND(J2286=1,K2286=1),AND(J2286=1,I2286="SBJ"),AND(J2286=1,I2286=0)),"?IN_FOCUS",IF(J2286&lt;=2,"?ACTIVATED",IF(J2286&lt;&gt;"","?FAMILIAR",IF(F2286="NEW",IF(ISNA(VLOOKUP(E2286,#REF!,1,FALSE())),"?TYPE_IDENTIFIABLE","?REFERENTIAL"),"_")))))</f>
        <v> </v>
      </c>
      <c r="H2286" s="25" t="str">
        <f>IF(J2286&lt;&gt;1,"",IF(I2286="SBJ","CB","?"))</f>
        <v> </v>
      </c>
      <c r="I2286" s="26" t="str">
        <f>IF(OR(E2286="",E2286="!!!",F2286="NEW"),"",INDEX(B2285:B$2,-1+SUMPRODUCT(MAX(ROW(E2285:E$2)*(E2286=E2285:E$2)))))</f>
        <v> </v>
      </c>
      <c r="J2286" s="26" t="str">
        <f>IF(OR(E2286="",E2286="!!!",F2286="NEW"),"",COUNTBLANK(OFFSET(A$1,,,SUMPRODUCT(MAX(ROW(E$2:E2286)*(E2286=E$2:E2286)))))-COUNTBLANK(OFFSET(A$1,,,SUMPRODUCT(MAX(ROW(E$1:E2285)*(E2=E$1:E2285))))))</f>
        <v> </v>
      </c>
      <c r="K2286" s="26" t="str">
        <f>IF(OR(E2286="",E2286="!!!",F2286="NEW"),"",INDEX(J$1:J2285,SUMPRODUCT(MAX(ROW(E$1:E2285)*(E2286=E$1:E2285)))))</f>
        <v> </v>
      </c>
      <c r="L2286" s="27"/>
    </row>
    <row r="2287" spans="1:12">
      <c r="A2287" s="20" t="s">
        <v>1455</v>
      </c>
      <c r="B2287" s="21" t="s">
        <v>578</v>
      </c>
      <c r="E2287" s="22">
        <f>IF(D2287="?OLD","!!!","")</f>
        <v/>
      </c>
      <c r="F2287" s="23" t="str">
        <f>IF(OR(E2287="",E2287="!!!"),"",IF(NOT(ISNA(VLOOKUP(E2287,E$1:E2286,1,FALSE()))),"OLD",IF(AND(E2287&lt;&gt;"",E2287&lt;&gt;"!!!"),"NEW","")))</f>
        <v> </v>
      </c>
      <c r="G2287" s="24" t="str">
        <f>IF(OR(E2287="",E2287="!!!"),"",IF(OR(J2287=0,AND(J2287=1,K2287=1),AND(J2287=1,I2287="SBJ"),AND(J2287=1,I2287=0)),"?IN_FOCUS",IF(J2287&lt;=2,"?ACTIVATED",IF(J2287&lt;&gt;"","?FAMILIAR",IF(F2287="NEW",IF(ISNA(VLOOKUP(E2287,#REF!,1,FALSE())),"?TYPE_IDENTIFIABLE","?REFERENTIAL"),"_")))))</f>
        <v> </v>
      </c>
      <c r="H2287" s="25" t="str">
        <f>IF(J2287&lt;&gt;1,"",IF(I2287="SBJ","CB","?"))</f>
        <v> </v>
      </c>
      <c r="I2287" s="26" t="str">
        <f>IF(OR(E2287="",E2287="!!!",F2287="NEW"),"",INDEX(B2286:B$2,-1+SUMPRODUCT(MAX(ROW(E2286:E$2)*(E2287=E2286:E$2)))))</f>
        <v> </v>
      </c>
      <c r="J2287" s="26" t="str">
        <f>IF(OR(E2287="",E2287="!!!",F2287="NEW"),"",COUNTBLANK(OFFSET(A$1,,,SUMPRODUCT(MAX(ROW(E$2:E2287)*(E2287=E$2:E2287)))))-COUNTBLANK(OFFSET(A$1,,,SUMPRODUCT(MAX(ROW(E$1:E2286)*(E2=E$1:E2286))))))</f>
        <v> </v>
      </c>
      <c r="K2287" s="26" t="str">
        <f>IF(OR(E2287="",E2287="!!!",F2287="NEW"),"",INDEX(J$1:J2286,SUMPRODUCT(MAX(ROW(E$1:E2286)*(E2287=E$1:E2286)))))</f>
        <v> </v>
      </c>
      <c r="L2287" s="27"/>
    </row>
    <row r="2288" spans="1:12">
      <c r="A2288" s="20" t="s">
        <v>630</v>
      </c>
      <c r="E2288" s="22">
        <f>IF(D2288="?OLD","!!!","")</f>
        <v/>
      </c>
      <c r="F2288" s="23" t="str">
        <f>IF(OR(E2288="",E2288="!!!"),"",IF(NOT(ISNA(VLOOKUP(E2288,E$1:E2287,1,FALSE()))),"OLD",IF(AND(E2288&lt;&gt;"",E2288&lt;&gt;"!!!"),"NEW","")))</f>
        <v> </v>
      </c>
      <c r="G2288" s="24" t="str">
        <f>IF(OR(E2288="",E2288="!!!"),"",IF(OR(J2288=0,AND(J2288=1,K2288=1),AND(J2288=1,I2288="SBJ"),AND(J2288=1,I2288=0)),"?IN_FOCUS",IF(J2288&lt;=2,"?ACTIVATED",IF(J2288&lt;&gt;"","?FAMILIAR",IF(F2288="NEW",IF(ISNA(VLOOKUP(E2288,#REF!,1,FALSE())),"?TYPE_IDENTIFIABLE","?REFERENTIAL"),"_")))))</f>
        <v> </v>
      </c>
      <c r="H2288" s="25" t="str">
        <f>IF(J2288&lt;&gt;1,"",IF(I2288="SBJ","CB","?"))</f>
        <v> </v>
      </c>
      <c r="I2288" s="26" t="str">
        <f>IF(OR(E2288="",E2288="!!!",F2288="NEW"),"",INDEX(B2287:B$2,-1+SUMPRODUCT(MAX(ROW(E2287:E$2)*(E2288=E2287:E$2)))))</f>
        <v> </v>
      </c>
      <c r="J2288" s="26" t="str">
        <f>IF(OR(E2288="",E2288="!!!",F2288="NEW"),"",COUNTBLANK(OFFSET(A$1,,,SUMPRODUCT(MAX(ROW(E$2:E2288)*(E2288=E$2:E2288)))))-COUNTBLANK(OFFSET(A$1,,,SUMPRODUCT(MAX(ROW(E$1:E2287)*(E2=E$1:E2287))))))</f>
        <v> </v>
      </c>
      <c r="K2288" s="26" t="str">
        <f>IF(OR(E2288="",E2288="!!!",F2288="NEW"),"",INDEX(J$1:J2287,SUMPRODUCT(MAX(ROW(E$1:E2287)*(E2288=E$1:E2287)))))</f>
        <v> </v>
      </c>
      <c r="L2288" s="27"/>
    </row>
    <row r="2289" spans="1:12">
      <c r="A2289" s="20" t="s">
        <v>1623</v>
      </c>
      <c r="E2289" s="22">
        <f>IF(D2289="?OLD","!!!","")</f>
        <v/>
      </c>
      <c r="F2289" s="23" t="str">
        <f>IF(OR(E2289="",E2289="!!!"),"",IF(NOT(ISNA(VLOOKUP(E2289,E$1:E2288,1,FALSE()))),"OLD",IF(AND(E2289&lt;&gt;"",E2289&lt;&gt;"!!!"),"NEW","")))</f>
        <v> </v>
      </c>
      <c r="G2289" s="24" t="str">
        <f>IF(OR(E2289="",E2289="!!!"),"",IF(OR(J2289=0,AND(J2289=1,K2289=1),AND(J2289=1,I2289="SBJ"),AND(J2289=1,I2289=0)),"?IN_FOCUS",IF(J2289&lt;=2,"?ACTIVATED",IF(J2289&lt;&gt;"","?FAMILIAR",IF(F2289="NEW",IF(ISNA(VLOOKUP(E2289,#REF!,1,FALSE())),"?TYPE_IDENTIFIABLE","?REFERENTIAL"),"_")))))</f>
        <v> </v>
      </c>
      <c r="H2289" s="25" t="str">
        <f>IF(J2289&lt;&gt;1,"",IF(I2289="SBJ","CB","?"))</f>
        <v> </v>
      </c>
      <c r="I2289" s="26" t="str">
        <f>IF(OR(E2289="",E2289="!!!",F2289="NEW"),"",INDEX(B2288:B$2,-1+SUMPRODUCT(MAX(ROW(E2288:E$2)*(E2289=E2288:E$2)))))</f>
        <v> </v>
      </c>
      <c r="J2289" s="26" t="str">
        <f>IF(OR(E2289="",E2289="!!!",F2289="NEW"),"",COUNTBLANK(OFFSET(A$1,,,SUMPRODUCT(MAX(ROW(E$2:E2289)*(E2289=E$2:E2289)))))-COUNTBLANK(OFFSET(A$1,,,SUMPRODUCT(MAX(ROW(E$1:E2288)*(E2=E$1:E2288))))))</f>
        <v> </v>
      </c>
      <c r="K2289" s="26" t="str">
        <f>IF(OR(E2289="",E2289="!!!",F2289="NEW"),"",INDEX(J$1:J2288,SUMPRODUCT(MAX(ROW(E$1:E2288)*(E2289=E$1:E2288)))))</f>
        <v> </v>
      </c>
      <c r="L2289" s="27"/>
    </row>
    <row r="2290" spans="1:12">
      <c r="A2290" s="20" t="s">
        <v>1624</v>
      </c>
      <c r="E2290" s="22">
        <f>IF(D2290="?OLD","!!!","")</f>
        <v/>
      </c>
      <c r="F2290" s="23" t="str">
        <f>IF(OR(E2290="",E2290="!!!"),"",IF(NOT(ISNA(VLOOKUP(E2290,E$1:E2289,1,FALSE()))),"OLD",IF(AND(E2290&lt;&gt;"",E2290&lt;&gt;"!!!"),"NEW","")))</f>
        <v> </v>
      </c>
      <c r="G2290" s="24" t="str">
        <f>IF(OR(E2290="",E2290="!!!"),"",IF(OR(J2290=0,AND(J2290=1,K2290=1),AND(J2290=1,I2290="SBJ"),AND(J2290=1,I2290=0)),"?IN_FOCUS",IF(J2290&lt;=2,"?ACTIVATED",IF(J2290&lt;&gt;"","?FAMILIAR",IF(F2290="NEW",IF(ISNA(VLOOKUP(E2290,#REF!,1,FALSE())),"?TYPE_IDENTIFIABLE","?REFERENTIAL"),"_")))))</f>
        <v> </v>
      </c>
      <c r="H2290" s="25" t="str">
        <f>IF(J2290&lt;&gt;1,"",IF(I2290="SBJ","CB","?"))</f>
        <v> </v>
      </c>
      <c r="I2290" s="26" t="str">
        <f>IF(OR(E2290="",E2290="!!!",F2290="NEW"),"",INDEX(B2289:B$2,-1+SUMPRODUCT(MAX(ROW(E2289:E$2)*(E2290=E2289:E$2)))))</f>
        <v> </v>
      </c>
      <c r="J2290" s="26" t="str">
        <f>IF(OR(E2290="",E2290="!!!",F2290="NEW"),"",COUNTBLANK(OFFSET(A$1,,,SUMPRODUCT(MAX(ROW(E$2:E2290)*(E2290=E$2:E2290)))))-COUNTBLANK(OFFSET(A$1,,,SUMPRODUCT(MAX(ROW(E$1:E2289)*(E2=E$1:E2289))))))</f>
        <v> </v>
      </c>
      <c r="K2290" s="26" t="str">
        <f>IF(OR(E2290="",E2290="!!!",F2290="NEW"),"",INDEX(J$1:J2289,SUMPRODUCT(MAX(ROW(E$1:E2289)*(E2290=E$1:E2289)))))</f>
        <v> </v>
      </c>
      <c r="L2290" s="27"/>
    </row>
    <row r="2291" spans="1:12">
      <c r="A2291" s="20" t="s">
        <v>583</v>
      </c>
      <c r="E2291" s="22">
        <f>IF(D2291="?OLD","!!!","")</f>
        <v/>
      </c>
      <c r="F2291" s="23" t="str">
        <f>IF(OR(E2291="",E2291="!!!"),"",IF(NOT(ISNA(VLOOKUP(E2291,E$1:E2290,1,FALSE()))),"OLD",IF(AND(E2291&lt;&gt;"",E2291&lt;&gt;"!!!"),"NEW","")))</f>
        <v> </v>
      </c>
      <c r="G2291" s="24" t="str">
        <f>IF(OR(E2291="",E2291="!!!"),"",IF(OR(J2291=0,AND(J2291=1,K2291=1),AND(J2291=1,I2291="SBJ"),AND(J2291=1,I2291=0)),"?IN_FOCUS",IF(J2291&lt;=2,"?ACTIVATED",IF(J2291&lt;&gt;"","?FAMILIAR",IF(F2291="NEW",IF(ISNA(VLOOKUP(E2291,#REF!,1,FALSE())),"?TYPE_IDENTIFIABLE","?REFERENTIAL"),"_")))))</f>
        <v> </v>
      </c>
      <c r="H2291" s="25" t="str">
        <f>IF(J2291&lt;&gt;1,"",IF(I2291="SBJ","CB","?"))</f>
        <v> </v>
      </c>
      <c r="I2291" s="26" t="str">
        <f>IF(OR(E2291="",E2291="!!!",F2291="NEW"),"",INDEX(B2290:B$2,-1+SUMPRODUCT(MAX(ROW(E2290:E$2)*(E2291=E2290:E$2)))))</f>
        <v> </v>
      </c>
      <c r="J2291" s="26" t="str">
        <f>IF(OR(E2291="",E2291="!!!",F2291="NEW"),"",COUNTBLANK(OFFSET(A$1,,,SUMPRODUCT(MAX(ROW(E$2:E2291)*(E2291=E$2:E2291)))))-COUNTBLANK(OFFSET(A$1,,,SUMPRODUCT(MAX(ROW(E$1:E2290)*(E2=E$1:E2290))))))</f>
        <v> </v>
      </c>
      <c r="K2291" s="26" t="str">
        <f>IF(OR(E2291="",E2291="!!!",F2291="NEW"),"",INDEX(J$1:J2290,SUMPRODUCT(MAX(ROW(E$1:E2290)*(E2291=E$1:E2290)))))</f>
        <v> </v>
      </c>
      <c r="L2291" s="27"/>
    </row>
    <row r="2292" spans="1:12">
      <c r="A2292" s="20" t="s">
        <v>1618</v>
      </c>
      <c r="E2292" s="22">
        <f>IF(D2292="?OLD","!!!","")</f>
        <v/>
      </c>
      <c r="F2292" s="23" t="str">
        <f>IF(OR(E2292="",E2292="!!!"),"",IF(NOT(ISNA(VLOOKUP(E2292,E$1:E2291,1,FALSE()))),"OLD",IF(AND(E2292&lt;&gt;"",E2292&lt;&gt;"!!!"),"NEW","")))</f>
        <v> </v>
      </c>
      <c r="G2292" s="24" t="str">
        <f>IF(OR(E2292="",E2292="!!!"),"",IF(OR(J2292=0,AND(J2292=1,K2292=1),AND(J2292=1,I2292="SBJ"),AND(J2292=1,I2292=0)),"?IN_FOCUS",IF(J2292&lt;=2,"?ACTIVATED",IF(J2292&lt;&gt;"","?FAMILIAR",IF(F2292="NEW",IF(ISNA(VLOOKUP(E2292,#REF!,1,FALSE())),"?TYPE_IDENTIFIABLE","?REFERENTIAL"),"_")))))</f>
        <v> </v>
      </c>
      <c r="H2292" s="25" t="str">
        <f>IF(J2292&lt;&gt;1,"",IF(I2292="SBJ","CB","?"))</f>
        <v> </v>
      </c>
      <c r="I2292" s="26" t="str">
        <f>IF(OR(E2292="",E2292="!!!",F2292="NEW"),"",INDEX(B2291:B$2,-1+SUMPRODUCT(MAX(ROW(E2291:E$2)*(E2292=E2291:E$2)))))</f>
        <v> </v>
      </c>
      <c r="J2292" s="26" t="str">
        <f>IF(OR(E2292="",E2292="!!!",F2292="NEW"),"",COUNTBLANK(OFFSET(A$1,,,SUMPRODUCT(MAX(ROW(E$2:E2292)*(E2292=E$2:E2292)))))-COUNTBLANK(OFFSET(A$1,,,SUMPRODUCT(MAX(ROW(E$1:E2291)*(E2=E$1:E2291))))))</f>
        <v> </v>
      </c>
      <c r="K2292" s="26" t="str">
        <f>IF(OR(E2292="",E2292="!!!",F2292="NEW"),"",INDEX(J$1:J2291,SUMPRODUCT(MAX(ROW(E$1:E2291)*(E2292=E$1:E2291)))))</f>
        <v> </v>
      </c>
      <c r="L2292" s="27"/>
    </row>
    <row r="2293" spans="1:12">
      <c r="A2293" s="20" t="s">
        <v>670</v>
      </c>
      <c r="E2293" s="22">
        <f>IF(D2293="?OLD","!!!","")</f>
        <v/>
      </c>
      <c r="F2293" s="23" t="str">
        <f>IF(OR(E2293="",E2293="!!!"),"",IF(NOT(ISNA(VLOOKUP(E2293,E$1:E2292,1,FALSE()))),"OLD",IF(AND(E2293&lt;&gt;"",E2293&lt;&gt;"!!!"),"NEW","")))</f>
        <v> </v>
      </c>
      <c r="G2293" s="24" t="str">
        <f>IF(OR(E2293="",E2293="!!!"),"",IF(OR(J2293=0,AND(J2293=1,K2293=1),AND(J2293=1,I2293="SBJ"),AND(J2293=1,I2293=0)),"?IN_FOCUS",IF(J2293&lt;=2,"?ACTIVATED",IF(J2293&lt;&gt;"","?FAMILIAR",IF(F2293="NEW",IF(ISNA(VLOOKUP(E2293,#REF!,1,FALSE())),"?TYPE_IDENTIFIABLE","?REFERENTIAL"),"_")))))</f>
        <v> </v>
      </c>
      <c r="H2293" s="25" t="str">
        <f>IF(J2293&lt;&gt;1,"",IF(I2293="SBJ","CB","?"))</f>
        <v> </v>
      </c>
      <c r="I2293" s="26" t="str">
        <f>IF(OR(E2293="",E2293="!!!",F2293="NEW"),"",INDEX(B2292:B$2,-1+SUMPRODUCT(MAX(ROW(E2292:E$2)*(E2293=E2292:E$2)))))</f>
        <v> </v>
      </c>
      <c r="J2293" s="26" t="str">
        <f>IF(OR(E2293="",E2293="!!!",F2293="NEW"),"",COUNTBLANK(OFFSET(A$1,,,SUMPRODUCT(MAX(ROW(E$2:E2293)*(E2293=E$2:E2293)))))-COUNTBLANK(OFFSET(A$1,,,SUMPRODUCT(MAX(ROW(E$1:E2292)*(E2=E$1:E2292))))))</f>
        <v> </v>
      </c>
      <c r="K2293" s="26" t="str">
        <f>IF(OR(E2293="",E2293="!!!",F2293="NEW"),"",INDEX(J$1:J2292,SUMPRODUCT(MAX(ROW(E$1:E2292)*(E2293=E$1:E2292)))))</f>
        <v> </v>
      </c>
      <c r="L2293" s="27"/>
    </row>
    <row r="2294" spans="1:12">
      <c r="A2294" s="20" t="s">
        <v>1625</v>
      </c>
      <c r="E2294" s="22">
        <f>IF(D2294="?OLD","!!!","")</f>
        <v/>
      </c>
      <c r="F2294" s="23" t="str">
        <f>IF(OR(E2294="",E2294="!!!"),"",IF(NOT(ISNA(VLOOKUP(E2294,E$1:E2293,1,FALSE()))),"OLD",IF(AND(E2294&lt;&gt;"",E2294&lt;&gt;"!!!"),"NEW","")))</f>
        <v> </v>
      </c>
      <c r="G2294" s="24" t="str">
        <f>IF(OR(E2294="",E2294="!!!"),"",IF(OR(J2294=0,AND(J2294=1,K2294=1),AND(J2294=1,I2294="SBJ"),AND(J2294=1,I2294=0)),"?IN_FOCUS",IF(J2294&lt;=2,"?ACTIVATED",IF(J2294&lt;&gt;"","?FAMILIAR",IF(F2294="NEW",IF(ISNA(VLOOKUP(E2294,#REF!,1,FALSE())),"?TYPE_IDENTIFIABLE","?REFERENTIAL"),"_")))))</f>
        <v> </v>
      </c>
      <c r="H2294" s="25" t="str">
        <f>IF(J2294&lt;&gt;1,"",IF(I2294="SBJ","CB","?"))</f>
        <v> </v>
      </c>
      <c r="I2294" s="26" t="str">
        <f>IF(OR(E2294="",E2294="!!!",F2294="NEW"),"",INDEX(B2293:B$2,-1+SUMPRODUCT(MAX(ROW(E2293:E$2)*(E2294=E2293:E$2)))))</f>
        <v> </v>
      </c>
      <c r="J2294" s="26" t="str">
        <f>IF(OR(E2294="",E2294="!!!",F2294="NEW"),"",COUNTBLANK(OFFSET(A$1,,,SUMPRODUCT(MAX(ROW(E$2:E2294)*(E2294=E$2:E2294)))))-COUNTBLANK(OFFSET(A$1,,,SUMPRODUCT(MAX(ROW(E$1:E2293)*(E2=E$1:E2293))))))</f>
        <v> </v>
      </c>
      <c r="K2294" s="26" t="str">
        <f>IF(OR(E2294="",E2294="!!!",F2294="NEW"),"",INDEX(J$1:J2293,SUMPRODUCT(MAX(ROW(E$1:E2293)*(E2294=E$1:E2293)))))</f>
        <v> </v>
      </c>
      <c r="L2294" s="27"/>
    </row>
    <row r="2295" spans="1:12">
      <c r="A2295" s="20" t="s">
        <v>1626</v>
      </c>
      <c r="B2295" s="21" t="s">
        <v>762</v>
      </c>
      <c r="E2295" s="22">
        <f>IF(D2295="?OLD","!!!","")</f>
        <v/>
      </c>
      <c r="F2295" s="23" t="str">
        <f>IF(OR(E2295="",E2295="!!!"),"",IF(NOT(ISNA(VLOOKUP(E2295,E$1:E2294,1,FALSE()))),"OLD",IF(AND(E2295&lt;&gt;"",E2295&lt;&gt;"!!!"),"NEW","")))</f>
        <v> </v>
      </c>
      <c r="G2295" s="24" t="str">
        <f>IF(OR(E2295="",E2295="!!!"),"",IF(OR(J2295=0,AND(J2295=1,K2295=1),AND(J2295=1,I2295="SBJ"),AND(J2295=1,I2295=0)),"?IN_FOCUS",IF(J2295&lt;=2,"?ACTIVATED",IF(J2295&lt;&gt;"","?FAMILIAR",IF(F2295="NEW",IF(ISNA(VLOOKUP(E2295,#REF!,1,FALSE())),"?TYPE_IDENTIFIABLE","?REFERENTIAL"),"_")))))</f>
        <v> </v>
      </c>
      <c r="H2295" s="25" t="str">
        <f>IF(J2295&lt;&gt;1,"",IF(I2295="SBJ","CB","?"))</f>
        <v> </v>
      </c>
      <c r="I2295" s="26" t="str">
        <f>IF(OR(E2295="",E2295="!!!",F2295="NEW"),"",INDEX(B2294:B$2,-1+SUMPRODUCT(MAX(ROW(E2294:E$2)*(E2295=E2294:E$2)))))</f>
        <v> </v>
      </c>
      <c r="J2295" s="26" t="str">
        <f>IF(OR(E2295="",E2295="!!!",F2295="NEW"),"",COUNTBLANK(OFFSET(A$1,,,SUMPRODUCT(MAX(ROW(E$2:E2295)*(E2295=E$2:E2295)))))-COUNTBLANK(OFFSET(A$1,,,SUMPRODUCT(MAX(ROW(E$1:E2294)*(E2=E$1:E2294))))))</f>
        <v> </v>
      </c>
      <c r="K2295" s="26" t="str">
        <f>IF(OR(E2295="",E2295="!!!",F2295="NEW"),"",INDEX(J$1:J2294,SUMPRODUCT(MAX(ROW(E$1:E2294)*(E2295=E$1:E2294)))))</f>
        <v> </v>
      </c>
      <c r="L2295" s="27"/>
    </row>
    <row r="2296" spans="1:12">
      <c r="A2296" s="20" t="s">
        <v>1627</v>
      </c>
      <c r="E2296" s="22">
        <f>IF(D2296="?OLD","!!!","")</f>
        <v/>
      </c>
      <c r="F2296" s="23" t="str">
        <f>IF(OR(E2296="",E2296="!!!"),"",IF(NOT(ISNA(VLOOKUP(E2296,E$1:E2295,1,FALSE()))),"OLD",IF(AND(E2296&lt;&gt;"",E2296&lt;&gt;"!!!"),"NEW","")))</f>
        <v> </v>
      </c>
      <c r="G2296" s="24" t="str">
        <f>IF(OR(E2296="",E2296="!!!"),"",IF(OR(J2296=0,AND(J2296=1,K2296=1),AND(J2296=1,I2296="SBJ"),AND(J2296=1,I2296=0)),"?IN_FOCUS",IF(J2296&lt;=2,"?ACTIVATED",IF(J2296&lt;&gt;"","?FAMILIAR",IF(F2296="NEW",IF(ISNA(VLOOKUP(E2296,#REF!,1,FALSE())),"?TYPE_IDENTIFIABLE","?REFERENTIAL"),"_")))))</f>
        <v> </v>
      </c>
      <c r="H2296" s="25" t="str">
        <f>IF(J2296&lt;&gt;1,"",IF(I2296="SBJ","CB","?"))</f>
        <v> </v>
      </c>
      <c r="I2296" s="26" t="str">
        <f>IF(OR(E2296="",E2296="!!!",F2296="NEW"),"",INDEX(B2295:B$2,-1+SUMPRODUCT(MAX(ROW(E2295:E$2)*(E2296=E2295:E$2)))))</f>
        <v> </v>
      </c>
      <c r="J2296" s="26" t="str">
        <f>IF(OR(E2296="",E2296="!!!",F2296="NEW"),"",COUNTBLANK(OFFSET(A$1,,,SUMPRODUCT(MAX(ROW(E$2:E2296)*(E2296=E$2:E2296)))))-COUNTBLANK(OFFSET(A$1,,,SUMPRODUCT(MAX(ROW(E$1:E2295)*(E2=E$1:E2295))))))</f>
        <v> </v>
      </c>
      <c r="K2296" s="26" t="str">
        <f>IF(OR(E2296="",E2296="!!!",F2296="NEW"),"",INDEX(J$1:J2295,SUMPRODUCT(MAX(ROW(E$1:E2295)*(E2296=E$1:E2295)))))</f>
        <v> </v>
      </c>
      <c r="L2296" s="27"/>
    </row>
    <row r="2297" spans="1:12">
      <c r="A2297" s="20" t="s">
        <v>592</v>
      </c>
      <c r="E2297" s="22">
        <f>IF(D2297="?OLD","!!!","")</f>
        <v/>
      </c>
      <c r="F2297" s="23" t="str">
        <f>IF(OR(E2297="",E2297="!!!"),"",IF(NOT(ISNA(VLOOKUP(E2297,E$1:E2296,1,FALSE()))),"OLD",IF(AND(E2297&lt;&gt;"",E2297&lt;&gt;"!!!"),"NEW","")))</f>
        <v> </v>
      </c>
      <c r="G2297" s="24" t="str">
        <f>IF(OR(E2297="",E2297="!!!"),"",IF(OR(J2297=0,AND(J2297=1,K2297=1),AND(J2297=1,I2297="SBJ"),AND(J2297=1,I2297=0)),"?IN_FOCUS",IF(J2297&lt;=2,"?ACTIVATED",IF(J2297&lt;&gt;"","?FAMILIAR",IF(F2297="NEW",IF(ISNA(VLOOKUP(E2297,#REF!,1,FALSE())),"?TYPE_IDENTIFIABLE","?REFERENTIAL"),"_")))))</f>
        <v> </v>
      </c>
      <c r="H2297" s="25" t="str">
        <f>IF(J2297&lt;&gt;1,"",IF(I2297="SBJ","CB","?"))</f>
        <v> </v>
      </c>
      <c r="I2297" s="26" t="str">
        <f>IF(OR(E2297="",E2297="!!!",F2297="NEW"),"",INDEX(B2296:B$2,-1+SUMPRODUCT(MAX(ROW(E2296:E$2)*(E2297=E2296:E$2)))))</f>
        <v> </v>
      </c>
      <c r="J2297" s="26" t="str">
        <f>IF(OR(E2297="",E2297="!!!",F2297="NEW"),"",COUNTBLANK(OFFSET(A$1,,,SUMPRODUCT(MAX(ROW(E$2:E2297)*(E2297=E$2:E2297)))))-COUNTBLANK(OFFSET(A$1,,,SUMPRODUCT(MAX(ROW(E$1:E2296)*(E2=E$1:E2296))))))</f>
        <v> </v>
      </c>
      <c r="K2297" s="26" t="str">
        <f>IF(OR(E2297="",E2297="!!!",F2297="NEW"),"",INDEX(J$1:J2296,SUMPRODUCT(MAX(ROW(E$1:E2296)*(E2297=E$1:E2296)))))</f>
        <v> </v>
      </c>
      <c r="L2297" s="27"/>
    </row>
    <row r="2298" spans="1:12">
      <c r="A2298" s="20"/>
    </row>
    <row r="2299" spans="1:12">
      <c r="A2299" s="20" t="s">
        <v>1628</v>
      </c>
    </row>
    <row r="2300" spans="1:12">
      <c r="A2300" s="20" t="s">
        <v>1032</v>
      </c>
      <c r="E2300" s="22">
        <f>IF(D2300="?OLD","!!!","")</f>
        <v/>
      </c>
      <c r="F2300" s="23" t="str">
        <f>IF(OR(E2300="",E2300="!!!"),"",IF(NOT(ISNA(VLOOKUP(E2300,E$1:E2299,1,FALSE()))),"OLD",IF(AND(E2300&lt;&gt;"",E2300&lt;&gt;"!!!"),"NEW","")))</f>
        <v> </v>
      </c>
      <c r="G2300" s="24" t="str">
        <f>IF(OR(E2300="",E2300="!!!"),"",IF(OR(J2300=0,AND(J2300=1,K2300=1),AND(J2300=1,I2300="SBJ"),AND(J2300=1,I2300=0)),"?IN_FOCUS",IF(J2300&lt;=2,"?ACTIVATED",IF(J2300&lt;&gt;"","?FAMILIAR",IF(F2300="NEW",IF(ISNA(VLOOKUP(E2300,#REF!,1,FALSE())),"?TYPE_IDENTIFIABLE","?REFERENTIAL"),"_")))))</f>
        <v> </v>
      </c>
      <c r="H2300" s="25" t="str">
        <f>IF(J2300&lt;&gt;1,"",IF(I2300="SBJ","CB","?"))</f>
        <v> </v>
      </c>
      <c r="I2300" s="26" t="str">
        <f>IF(OR(E2300="",E2300="!!!",F2300="NEW"),"",INDEX(B2299:B$2,-1+SUMPRODUCT(MAX(ROW(E2299:E$2)*(E2300=E2299:E$2)))))</f>
        <v> </v>
      </c>
      <c r="J2300" s="26" t="str">
        <f>IF(OR(E2300="",E2300="!!!",F2300="NEW"),"",COUNTBLANK(OFFSET(A$1,,,SUMPRODUCT(MAX(ROW(E$2:E2300)*(E2300=E$2:E2300)))))-COUNTBLANK(OFFSET(A$1,,,SUMPRODUCT(MAX(ROW(E$1:E2299)*(E2=E$1:E2299))))))</f>
        <v> </v>
      </c>
      <c r="K2300" s="26" t="str">
        <f>IF(OR(E2300="",E2300="!!!",F2300="NEW"),"",INDEX(J$1:J2299,SUMPRODUCT(MAX(ROW(E$1:E2299)*(E2300=E$1:E2299)))))</f>
        <v> </v>
      </c>
      <c r="L2300" s="27"/>
    </row>
    <row r="2301" spans="1:12">
      <c r="A2301" s="20" t="s">
        <v>974</v>
      </c>
      <c r="E2301" s="22">
        <f>IF(D2301="?OLD","!!!","")</f>
        <v/>
      </c>
      <c r="F2301" s="23" t="str">
        <f>IF(OR(E2301="",E2301="!!!"),"",IF(NOT(ISNA(VLOOKUP(E2301,E$1:E2300,1,FALSE()))),"OLD",IF(AND(E2301&lt;&gt;"",E2301&lt;&gt;"!!!"),"NEW","")))</f>
        <v> </v>
      </c>
      <c r="G2301" s="24" t="str">
        <f>IF(OR(E2301="",E2301="!!!"),"",IF(OR(J2301=0,AND(J2301=1,K2301=1),AND(J2301=1,I2301="SBJ"),AND(J2301=1,I2301=0)),"?IN_FOCUS",IF(J2301&lt;=2,"?ACTIVATED",IF(J2301&lt;&gt;"","?FAMILIAR",IF(F2301="NEW",IF(ISNA(VLOOKUP(E2301,#REF!,1,FALSE())),"?TYPE_IDENTIFIABLE","?REFERENTIAL"),"_")))))</f>
        <v> </v>
      </c>
      <c r="H2301" s="25" t="str">
        <f>IF(J2301&lt;&gt;1,"",IF(I2301="SBJ","CB","?"))</f>
        <v> </v>
      </c>
      <c r="I2301" s="26" t="str">
        <f>IF(OR(E2301="",E2301="!!!",F2301="NEW"),"",INDEX(B2300:B$2,-1+SUMPRODUCT(MAX(ROW(E2300:E$2)*(E2301=E2300:E$2)))))</f>
        <v> </v>
      </c>
      <c r="J2301" s="26" t="str">
        <f>IF(OR(E2301="",E2301="!!!",F2301="NEW"),"",COUNTBLANK(OFFSET(A$1,,,SUMPRODUCT(MAX(ROW(E$2:E2301)*(E2301=E$2:E2301)))))-COUNTBLANK(OFFSET(A$1,,,SUMPRODUCT(MAX(ROW(E$1:E2300)*(E2=E$1:E2300))))))</f>
        <v> </v>
      </c>
      <c r="K2301" s="26" t="str">
        <f>IF(OR(E2301="",E2301="!!!",F2301="NEW"),"",INDEX(J$1:J2300,SUMPRODUCT(MAX(ROW(E$1:E2300)*(E2301=E$1:E2300)))))</f>
        <v> </v>
      </c>
      <c r="L2301" s="27"/>
    </row>
    <row r="2302" spans="1:12">
      <c r="A2302" s="20" t="s">
        <v>1110</v>
      </c>
      <c r="B2302" s="21" t="s">
        <v>590</v>
      </c>
      <c r="C2302" s="21" t="s">
        <v>613</v>
      </c>
      <c r="D2302" s="21" t="s">
        <v>587</v>
      </c>
      <c r="E2302" s="22">
        <f>IF(D2302="?OLD","!!!","")</f>
        <v/>
      </c>
      <c r="F2302" s="23" t="str">
        <f>IF(OR(E2302="",E2302="!!!"),"",IF(NOT(ISNA(VLOOKUP(E2302,E$1:E2301,1,FALSE()))),"OLD",IF(AND(E2302&lt;&gt;"",E2302&lt;&gt;"!!!"),"NEW","")))</f>
        <v> </v>
      </c>
      <c r="G2302" s="24" t="str">
        <f>IF(OR(E2302="",E2302="!!!"),"",IF(OR(J2302=0,AND(J2302=1,K2302=1),AND(J2302=1,I2302="SBJ"),AND(J2302=1,I2302=0)),"?IN_FOCUS",IF(J2302&lt;=2,"?ACTIVATED",IF(J2302&lt;&gt;"","?FAMILIAR",IF(F2302="NEW",IF(ISNA(VLOOKUP(E2302,#REF!,1,FALSE())),"?TYPE_IDENTIFIABLE","?REFERENTIAL"),"_")))))</f>
        <v> </v>
      </c>
      <c r="H2302" s="25" t="str">
        <f>IF(J2302&lt;&gt;1,"",IF(I2302="SBJ","CB","?"))</f>
        <v> </v>
      </c>
      <c r="I2302" s="26" t="str">
        <f>IF(OR(E2302="",E2302="!!!",F2302="NEW"),"",INDEX(B2301:B$2,-1+SUMPRODUCT(MAX(ROW(E2301:E$2)*(E2302=E2301:E$2)))))</f>
        <v> </v>
      </c>
      <c r="J2302" s="26" t="str">
        <f>IF(OR(E2302="",E2302="!!!",F2302="NEW"),"",COUNTBLANK(OFFSET(A$1,,,SUMPRODUCT(MAX(ROW(E$2:E2302)*(E2302=E$2:E2302)))))-COUNTBLANK(OFFSET(A$1,,,SUMPRODUCT(MAX(ROW(E$1:E2301)*(E2=E$1:E2301))))))</f>
        <v> </v>
      </c>
      <c r="K2302" s="26" t="str">
        <f>IF(OR(E2302="",E2302="!!!",F2302="NEW"),"",INDEX(J$1:J2301,SUMPRODUCT(MAX(ROW(E$1:E2301)*(E2302=E$1:E2301)))))</f>
        <v> </v>
      </c>
      <c r="L2302" s="27"/>
    </row>
    <row r="2303" spans="1:12">
      <c r="A2303" s="20" t="s">
        <v>1629</v>
      </c>
      <c r="E2303" s="22">
        <f>IF(D2303="?OLD","!!!","")</f>
        <v/>
      </c>
      <c r="F2303" s="23" t="str">
        <f>IF(OR(E2303="",E2303="!!!"),"",IF(NOT(ISNA(VLOOKUP(E2303,E$1:E2302,1,FALSE()))),"OLD",IF(AND(E2303&lt;&gt;"",E2303&lt;&gt;"!!!"),"NEW","")))</f>
        <v> </v>
      </c>
      <c r="G2303" s="24" t="str">
        <f>IF(OR(E2303="",E2303="!!!"),"",IF(OR(J2303=0,AND(J2303=1,K2303=1),AND(J2303=1,I2303="SBJ"),AND(J2303=1,I2303=0)),"?IN_FOCUS",IF(J2303&lt;=2,"?ACTIVATED",IF(J2303&lt;&gt;"","?FAMILIAR",IF(F2303="NEW",IF(ISNA(VLOOKUP(E2303,#REF!,1,FALSE())),"?TYPE_IDENTIFIABLE","?REFERENTIAL"),"_")))))</f>
        <v> </v>
      </c>
      <c r="H2303" s="25" t="str">
        <f>IF(J2303&lt;&gt;1,"",IF(I2303="SBJ","CB","?"))</f>
        <v> </v>
      </c>
      <c r="I2303" s="26" t="str">
        <f>IF(OR(E2303="",E2303="!!!",F2303="NEW"),"",INDEX(B2302:B$2,-1+SUMPRODUCT(MAX(ROW(E2302:E$2)*(E2303=E2302:E$2)))))</f>
        <v> </v>
      </c>
      <c r="J2303" s="26" t="str">
        <f>IF(OR(E2303="",E2303="!!!",F2303="NEW"),"",COUNTBLANK(OFFSET(A$1,,,SUMPRODUCT(MAX(ROW(E$2:E2303)*(E2303=E$2:E2303)))))-COUNTBLANK(OFFSET(A$1,,,SUMPRODUCT(MAX(ROW(E$1:E2302)*(E2=E$1:E2302))))))</f>
        <v> </v>
      </c>
      <c r="K2303" s="26" t="str">
        <f>IF(OR(E2303="",E2303="!!!",F2303="NEW"),"",INDEX(J$1:J2302,SUMPRODUCT(MAX(ROW(E$1:E2302)*(E2303=E$1:E2302)))))</f>
        <v> </v>
      </c>
      <c r="L2303" s="27"/>
    </row>
    <row r="2304" spans="1:12">
      <c r="A2304" s="20" t="s">
        <v>1630</v>
      </c>
      <c r="E2304" s="22">
        <f>IF(D2304="?OLD","!!!","")</f>
        <v/>
      </c>
      <c r="F2304" s="23" t="str">
        <f>IF(OR(E2304="",E2304="!!!"),"",IF(NOT(ISNA(VLOOKUP(E2304,E$1:E2303,1,FALSE()))),"OLD",IF(AND(E2304&lt;&gt;"",E2304&lt;&gt;"!!!"),"NEW","")))</f>
        <v> </v>
      </c>
      <c r="G2304" s="24" t="str">
        <f>IF(OR(E2304="",E2304="!!!"),"",IF(OR(J2304=0,AND(J2304=1,K2304=1),AND(J2304=1,I2304="SBJ"),AND(J2304=1,I2304=0)),"?IN_FOCUS",IF(J2304&lt;=2,"?ACTIVATED",IF(J2304&lt;&gt;"","?FAMILIAR",IF(F2304="NEW",IF(ISNA(VLOOKUP(E2304,#REF!,1,FALSE())),"?TYPE_IDENTIFIABLE","?REFERENTIAL"),"_")))))</f>
        <v> </v>
      </c>
      <c r="H2304" s="25" t="str">
        <f>IF(J2304&lt;&gt;1,"",IF(I2304="SBJ","CB","?"))</f>
        <v> </v>
      </c>
      <c r="I2304" s="26" t="str">
        <f>IF(OR(E2304="",E2304="!!!",F2304="NEW"),"",INDEX(B2303:B$2,-1+SUMPRODUCT(MAX(ROW(E2303:E$2)*(E2304=E2303:E$2)))))</f>
        <v> </v>
      </c>
      <c r="J2304" s="26" t="str">
        <f>IF(OR(E2304="",E2304="!!!",F2304="NEW"),"",COUNTBLANK(OFFSET(A$1,,,SUMPRODUCT(MAX(ROW(E$2:E2304)*(E2304=E$2:E2304)))))-COUNTBLANK(OFFSET(A$1,,,SUMPRODUCT(MAX(ROW(E$1:E2303)*(E2=E$1:E2303))))))</f>
        <v> </v>
      </c>
      <c r="K2304" s="26" t="str">
        <f>IF(OR(E2304="",E2304="!!!",F2304="NEW"),"",INDEX(J$1:J2303,SUMPRODUCT(MAX(ROW(E$1:E2303)*(E2304=E$1:E2303)))))</f>
        <v> </v>
      </c>
      <c r="L2304" s="27"/>
    </row>
    <row r="2305" spans="1:12">
      <c r="A2305" s="20" t="s">
        <v>583</v>
      </c>
      <c r="E2305" s="22">
        <f>IF(D2305="?OLD","!!!","")</f>
        <v/>
      </c>
      <c r="F2305" s="23" t="str">
        <f>IF(OR(E2305="",E2305="!!!"),"",IF(NOT(ISNA(VLOOKUP(E2305,E$1:E2304,1,FALSE()))),"OLD",IF(AND(E2305&lt;&gt;"",E2305&lt;&gt;"!!!"),"NEW","")))</f>
        <v> </v>
      </c>
      <c r="G2305" s="24" t="str">
        <f>IF(OR(E2305="",E2305="!!!"),"",IF(OR(J2305=0,AND(J2305=1,K2305=1),AND(J2305=1,I2305="SBJ"),AND(J2305=1,I2305=0)),"?IN_FOCUS",IF(J2305&lt;=2,"?ACTIVATED",IF(J2305&lt;&gt;"","?FAMILIAR",IF(F2305="NEW",IF(ISNA(VLOOKUP(E2305,#REF!,1,FALSE())),"?TYPE_IDENTIFIABLE","?REFERENTIAL"),"_")))))</f>
        <v> </v>
      </c>
      <c r="H2305" s="25" t="str">
        <f>IF(J2305&lt;&gt;1,"",IF(I2305="SBJ","CB","?"))</f>
        <v> </v>
      </c>
      <c r="I2305" s="26" t="str">
        <f>IF(OR(E2305="",E2305="!!!",F2305="NEW"),"",INDEX(B2304:B$2,-1+SUMPRODUCT(MAX(ROW(E2304:E$2)*(E2305=E2304:E$2)))))</f>
        <v> </v>
      </c>
      <c r="J2305" s="26" t="str">
        <f>IF(OR(E2305="",E2305="!!!",F2305="NEW"),"",COUNTBLANK(OFFSET(A$1,,,SUMPRODUCT(MAX(ROW(E$2:E2305)*(E2305=E$2:E2305)))))-COUNTBLANK(OFFSET(A$1,,,SUMPRODUCT(MAX(ROW(E$1:E2304)*(E2=E$1:E2304))))))</f>
        <v> </v>
      </c>
      <c r="K2305" s="26" t="str">
        <f>IF(OR(E2305="",E2305="!!!",F2305="NEW"),"",INDEX(J$1:J2304,SUMPRODUCT(MAX(ROW(E$1:E2304)*(E2305=E$1:E2304)))))</f>
        <v> </v>
      </c>
      <c r="L2305" s="27"/>
    </row>
    <row r="2306" spans="1:12">
      <c r="A2306" s="20" t="s">
        <v>1110</v>
      </c>
      <c r="B2306" s="21" t="s">
        <v>578</v>
      </c>
      <c r="C2306" s="21" t="s">
        <v>613</v>
      </c>
      <c r="D2306" s="21" t="s">
        <v>587</v>
      </c>
      <c r="E2306" s="22">
        <f>IF(D2306="?OLD","!!!","")</f>
        <v/>
      </c>
      <c r="F2306" s="23" t="str">
        <f>IF(OR(E2306="",E2306="!!!"),"",IF(NOT(ISNA(VLOOKUP(E2306,E$1:E2305,1,FALSE()))),"OLD",IF(AND(E2306&lt;&gt;"",E2306&lt;&gt;"!!!"),"NEW","")))</f>
        <v> </v>
      </c>
      <c r="G2306" s="24" t="str">
        <f>IF(OR(E2306="",E2306="!!!"),"",IF(OR(J2306=0,AND(J2306=1,K2306=1),AND(J2306=1,I2306="SBJ"),AND(J2306=1,I2306=0)),"?IN_FOCUS",IF(J2306&lt;=2,"?ACTIVATED",IF(J2306&lt;&gt;"","?FAMILIAR",IF(F2306="NEW",IF(ISNA(VLOOKUP(E2306,#REF!,1,FALSE())),"?TYPE_IDENTIFIABLE","?REFERENTIAL"),"_")))))</f>
        <v> </v>
      </c>
      <c r="H2306" s="25" t="str">
        <f>IF(J2306&lt;&gt;1,"",IF(I2306="SBJ","CB","?"))</f>
        <v> </v>
      </c>
      <c r="I2306" s="26" t="str">
        <f>IF(OR(E2306="",E2306="!!!",F2306="NEW"),"",INDEX(B2305:B$2,-1+SUMPRODUCT(MAX(ROW(E2305:E$2)*(E2306=E2305:E$2)))))</f>
        <v> </v>
      </c>
      <c r="J2306" s="26" t="str">
        <f>IF(OR(E2306="",E2306="!!!",F2306="NEW"),"",COUNTBLANK(OFFSET(A$1,,,SUMPRODUCT(MAX(ROW(E$2:E2306)*(E2306=E$2:E2306)))))-COUNTBLANK(OFFSET(A$1,,,SUMPRODUCT(MAX(ROW(E$1:E2305)*(E2=E$1:E2305))))))</f>
        <v> </v>
      </c>
      <c r="K2306" s="26" t="str">
        <f>IF(OR(E2306="",E2306="!!!",F2306="NEW"),"",INDEX(J$1:J2305,SUMPRODUCT(MAX(ROW(E$1:E2305)*(E2306=E$1:E2305)))))</f>
        <v> </v>
      </c>
      <c r="L2306" s="27"/>
    </row>
    <row r="2307" spans="1:12">
      <c r="A2307" s="20" t="s">
        <v>1631</v>
      </c>
      <c r="E2307" s="22">
        <f>IF(D2307="?OLD","!!!","")</f>
        <v/>
      </c>
      <c r="F2307" s="23" t="str">
        <f>IF(OR(E2307="",E2307="!!!"),"",IF(NOT(ISNA(VLOOKUP(E2307,E$1:E2306,1,FALSE()))),"OLD",IF(AND(E2307&lt;&gt;"",E2307&lt;&gt;"!!!"),"NEW","")))</f>
        <v> </v>
      </c>
      <c r="G2307" s="24" t="str">
        <f>IF(OR(E2307="",E2307="!!!"),"",IF(OR(J2307=0,AND(J2307=1,K2307=1),AND(J2307=1,I2307="SBJ"),AND(J2307=1,I2307=0)),"?IN_FOCUS",IF(J2307&lt;=2,"?ACTIVATED",IF(J2307&lt;&gt;"","?FAMILIAR",IF(F2307="NEW",IF(ISNA(VLOOKUP(E2307,#REF!,1,FALSE())),"?TYPE_IDENTIFIABLE","?REFERENTIAL"),"_")))))</f>
        <v> </v>
      </c>
      <c r="H2307" s="25" t="str">
        <f>IF(J2307&lt;&gt;1,"",IF(I2307="SBJ","CB","?"))</f>
        <v> </v>
      </c>
      <c r="I2307" s="26" t="str">
        <f>IF(OR(E2307="",E2307="!!!",F2307="NEW"),"",INDEX(B2306:B$2,-1+SUMPRODUCT(MAX(ROW(E2306:E$2)*(E2307=E2306:E$2)))))</f>
        <v> </v>
      </c>
      <c r="J2307" s="26" t="str">
        <f>IF(OR(E2307="",E2307="!!!",F2307="NEW"),"",COUNTBLANK(OFFSET(A$1,,,SUMPRODUCT(MAX(ROW(E$2:E2307)*(E2307=E$2:E2307)))))-COUNTBLANK(OFFSET(A$1,,,SUMPRODUCT(MAX(ROW(E$1:E2306)*(E2=E$1:E2306))))))</f>
        <v> </v>
      </c>
      <c r="K2307" s="26" t="str">
        <f>IF(OR(E2307="",E2307="!!!",F2307="NEW"),"",INDEX(J$1:J2306,SUMPRODUCT(MAX(ROW(E$1:E2306)*(E2307=E$1:E2306)))))</f>
        <v> </v>
      </c>
      <c r="L2307" s="27"/>
    </row>
    <row r="2308" spans="1:12">
      <c r="A2308" s="20" t="s">
        <v>583</v>
      </c>
      <c r="E2308" s="22">
        <f>IF(D2308="?OLD","!!!","")</f>
        <v/>
      </c>
      <c r="F2308" s="23" t="str">
        <f>IF(OR(E2308="",E2308="!!!"),"",IF(NOT(ISNA(VLOOKUP(E2308,E$1:E2307,1,FALSE()))),"OLD",IF(AND(E2308&lt;&gt;"",E2308&lt;&gt;"!!!"),"NEW","")))</f>
        <v> </v>
      </c>
      <c r="G2308" s="24" t="str">
        <f>IF(OR(E2308="",E2308="!!!"),"",IF(OR(J2308=0,AND(J2308=1,K2308=1),AND(J2308=1,I2308="SBJ"),AND(J2308=1,I2308=0)),"?IN_FOCUS",IF(J2308&lt;=2,"?ACTIVATED",IF(J2308&lt;&gt;"","?FAMILIAR",IF(F2308="NEW",IF(ISNA(VLOOKUP(E2308,#REF!,1,FALSE())),"?TYPE_IDENTIFIABLE","?REFERENTIAL"),"_")))))</f>
        <v> </v>
      </c>
      <c r="H2308" s="25" t="str">
        <f>IF(J2308&lt;&gt;1,"",IF(I2308="SBJ","CB","?"))</f>
        <v> </v>
      </c>
      <c r="I2308" s="26" t="str">
        <f>IF(OR(E2308="",E2308="!!!",F2308="NEW"),"",INDEX(B2307:B$2,-1+SUMPRODUCT(MAX(ROW(E2307:E$2)*(E2308=E2307:E$2)))))</f>
        <v> </v>
      </c>
      <c r="J2308" s="26" t="str">
        <f>IF(OR(E2308="",E2308="!!!",F2308="NEW"),"",COUNTBLANK(OFFSET(A$1,,,SUMPRODUCT(MAX(ROW(E$2:E2308)*(E2308=E$2:E2308)))))-COUNTBLANK(OFFSET(A$1,,,SUMPRODUCT(MAX(ROW(E$1:E2307)*(E2=E$1:E2307))))))</f>
        <v> </v>
      </c>
      <c r="K2308" s="26" t="str">
        <f>IF(OR(E2308="",E2308="!!!",F2308="NEW"),"",INDEX(J$1:J2307,SUMPRODUCT(MAX(ROW(E$1:E2307)*(E2308=E$1:E2307)))))</f>
        <v> </v>
      </c>
      <c r="L2308" s="27"/>
    </row>
    <row r="2309" spans="1:12">
      <c r="A2309" s="20" t="s">
        <v>1632</v>
      </c>
      <c r="E2309" s="22">
        <f>IF(D2309="?OLD","!!!","")</f>
        <v/>
      </c>
      <c r="F2309" s="23" t="str">
        <f>IF(OR(E2309="",E2309="!!!"),"",IF(NOT(ISNA(VLOOKUP(E2309,E$1:E2308,1,FALSE()))),"OLD",IF(AND(E2309&lt;&gt;"",E2309&lt;&gt;"!!!"),"NEW","")))</f>
        <v> </v>
      </c>
      <c r="G2309" s="24" t="str">
        <f>IF(OR(E2309="",E2309="!!!"),"",IF(OR(J2309=0,AND(J2309=1,K2309=1),AND(J2309=1,I2309="SBJ"),AND(J2309=1,I2309=0)),"?IN_FOCUS",IF(J2309&lt;=2,"?ACTIVATED",IF(J2309&lt;&gt;"","?FAMILIAR",IF(F2309="NEW",IF(ISNA(VLOOKUP(E2309,#REF!,1,FALSE())),"?TYPE_IDENTIFIABLE","?REFERENTIAL"),"_")))))</f>
        <v> </v>
      </c>
      <c r="H2309" s="25" t="str">
        <f>IF(J2309&lt;&gt;1,"",IF(I2309="SBJ","CB","?"))</f>
        <v> </v>
      </c>
      <c r="I2309" s="26" t="str">
        <f>IF(OR(E2309="",E2309="!!!",F2309="NEW"),"",INDEX(B2308:B$2,-1+SUMPRODUCT(MAX(ROW(E2308:E$2)*(E2309=E2308:E$2)))))</f>
        <v> </v>
      </c>
      <c r="J2309" s="26" t="str">
        <f>IF(OR(E2309="",E2309="!!!",F2309="NEW"),"",COUNTBLANK(OFFSET(A$1,,,SUMPRODUCT(MAX(ROW(E$2:E2309)*(E2309=E$2:E2309)))))-COUNTBLANK(OFFSET(A$1,,,SUMPRODUCT(MAX(ROW(E$1:E2308)*(E2=E$1:E2308))))))</f>
        <v> </v>
      </c>
      <c r="K2309" s="26" t="str">
        <f>IF(OR(E2309="",E2309="!!!",F2309="NEW"),"",INDEX(J$1:J2308,SUMPRODUCT(MAX(ROW(E$1:E2308)*(E2309=E$1:E2308)))))</f>
        <v> </v>
      </c>
      <c r="L2309" s="27"/>
    </row>
    <row r="2310" spans="1:12">
      <c r="A2310" s="20" t="s">
        <v>1633</v>
      </c>
      <c r="E2310" s="22">
        <f>IF(D2310="?OLD","!!!","")</f>
        <v/>
      </c>
      <c r="F2310" s="23" t="str">
        <f>IF(OR(E2310="",E2310="!!!"),"",IF(NOT(ISNA(VLOOKUP(E2310,E$1:E2309,1,FALSE()))),"OLD",IF(AND(E2310&lt;&gt;"",E2310&lt;&gt;"!!!"),"NEW","")))</f>
        <v> </v>
      </c>
      <c r="G2310" s="24" t="str">
        <f>IF(OR(E2310="",E2310="!!!"),"",IF(OR(J2310=0,AND(J2310=1,K2310=1),AND(J2310=1,I2310="SBJ"),AND(J2310=1,I2310=0)),"?IN_FOCUS",IF(J2310&lt;=2,"?ACTIVATED",IF(J2310&lt;&gt;"","?FAMILIAR",IF(F2310="NEW",IF(ISNA(VLOOKUP(E2310,#REF!,1,FALSE())),"?TYPE_IDENTIFIABLE","?REFERENTIAL"),"_")))))</f>
        <v> </v>
      </c>
      <c r="H2310" s="25" t="str">
        <f>IF(J2310&lt;&gt;1,"",IF(I2310="SBJ","CB","?"))</f>
        <v> </v>
      </c>
      <c r="I2310" s="26" t="str">
        <f>IF(OR(E2310="",E2310="!!!",F2310="NEW"),"",INDEX(B2309:B$2,-1+SUMPRODUCT(MAX(ROW(E2309:E$2)*(E2310=E2309:E$2)))))</f>
        <v> </v>
      </c>
      <c r="J2310" s="26" t="str">
        <f>IF(OR(E2310="",E2310="!!!",F2310="NEW"),"",COUNTBLANK(OFFSET(A$1,,,SUMPRODUCT(MAX(ROW(E$2:E2310)*(E2310=E$2:E2310)))))-COUNTBLANK(OFFSET(A$1,,,SUMPRODUCT(MAX(ROW(E$1:E2309)*(E2=E$1:E2309))))))</f>
        <v> </v>
      </c>
      <c r="K2310" s="26" t="str">
        <f>IF(OR(E2310="",E2310="!!!",F2310="NEW"),"",INDEX(J$1:J2309,SUMPRODUCT(MAX(ROW(E$1:E2309)*(E2310=E$1:E2309)))))</f>
        <v> </v>
      </c>
      <c r="L2310" s="27"/>
    </row>
    <row r="2311" spans="1:12">
      <c r="A2311" s="20" t="s">
        <v>1634</v>
      </c>
      <c r="E2311" s="22">
        <f>IF(D2311="?OLD","!!!","")</f>
        <v/>
      </c>
      <c r="F2311" s="23" t="str">
        <f>IF(OR(E2311="",E2311="!!!"),"",IF(NOT(ISNA(VLOOKUP(E2311,E$1:E2310,1,FALSE()))),"OLD",IF(AND(E2311&lt;&gt;"",E2311&lt;&gt;"!!!"),"NEW","")))</f>
        <v> </v>
      </c>
      <c r="G2311" s="24" t="str">
        <f>IF(OR(E2311="",E2311="!!!"),"",IF(OR(J2311=0,AND(J2311=1,K2311=1),AND(J2311=1,I2311="SBJ"),AND(J2311=1,I2311=0)),"?IN_FOCUS",IF(J2311&lt;=2,"?ACTIVATED",IF(J2311&lt;&gt;"","?FAMILIAR",IF(F2311="NEW",IF(ISNA(VLOOKUP(E2311,#REF!,1,FALSE())),"?TYPE_IDENTIFIABLE","?REFERENTIAL"),"_")))))</f>
        <v> </v>
      </c>
      <c r="H2311" s="25" t="str">
        <f>IF(J2311&lt;&gt;1,"",IF(I2311="SBJ","CB","?"))</f>
        <v> </v>
      </c>
      <c r="I2311" s="26" t="str">
        <f>IF(OR(E2311="",E2311="!!!",F2311="NEW"),"",INDEX(B2310:B$2,-1+SUMPRODUCT(MAX(ROW(E2310:E$2)*(E2311=E2310:E$2)))))</f>
        <v> </v>
      </c>
      <c r="J2311" s="26" t="str">
        <f>IF(OR(E2311="",E2311="!!!",F2311="NEW"),"",COUNTBLANK(OFFSET(A$1,,,SUMPRODUCT(MAX(ROW(E$2:E2311)*(E2311=E$2:E2311)))))-COUNTBLANK(OFFSET(A$1,,,SUMPRODUCT(MAX(ROW(E$1:E2310)*(E2=E$1:E2310))))))</f>
        <v> </v>
      </c>
      <c r="K2311" s="26" t="str">
        <f>IF(OR(E2311="",E2311="!!!",F2311="NEW"),"",INDEX(J$1:J2310,SUMPRODUCT(MAX(ROW(E$1:E2310)*(E2311=E$1:E2310)))))</f>
        <v> </v>
      </c>
      <c r="L2311" s="27"/>
    </row>
    <row r="2312" spans="1:12">
      <c r="A2312" s="20" t="s">
        <v>1635</v>
      </c>
      <c r="E2312" s="22">
        <f>IF(D2312="?OLD","!!!","")</f>
        <v/>
      </c>
      <c r="F2312" s="23" t="str">
        <f>IF(OR(E2312="",E2312="!!!"),"",IF(NOT(ISNA(VLOOKUP(E2312,E$1:E2311,1,FALSE()))),"OLD",IF(AND(E2312&lt;&gt;"",E2312&lt;&gt;"!!!"),"NEW","")))</f>
        <v> </v>
      </c>
      <c r="G2312" s="24" t="str">
        <f>IF(OR(E2312="",E2312="!!!"),"",IF(OR(J2312=0,AND(J2312=1,K2312=1),AND(J2312=1,I2312="SBJ"),AND(J2312=1,I2312=0)),"?IN_FOCUS",IF(J2312&lt;=2,"?ACTIVATED",IF(J2312&lt;&gt;"","?FAMILIAR",IF(F2312="NEW",IF(ISNA(VLOOKUP(E2312,#REF!,1,FALSE())),"?TYPE_IDENTIFIABLE","?REFERENTIAL"),"_")))))</f>
        <v> </v>
      </c>
      <c r="H2312" s="25" t="str">
        <f>IF(J2312&lt;&gt;1,"",IF(I2312="SBJ","CB","?"))</f>
        <v> </v>
      </c>
      <c r="I2312" s="26" t="str">
        <f>IF(OR(E2312="",E2312="!!!",F2312="NEW"),"",INDEX(B2311:B$2,-1+SUMPRODUCT(MAX(ROW(E2311:E$2)*(E2312=E2311:E$2)))))</f>
        <v> </v>
      </c>
      <c r="J2312" s="26" t="str">
        <f>IF(OR(E2312="",E2312="!!!",F2312="NEW"),"",COUNTBLANK(OFFSET(A$1,,,SUMPRODUCT(MAX(ROW(E$2:E2312)*(E2312=E$2:E2312)))))-COUNTBLANK(OFFSET(A$1,,,SUMPRODUCT(MAX(ROW(E$1:E2311)*(E2=E$1:E2311))))))</f>
        <v> </v>
      </c>
      <c r="K2312" s="26" t="str">
        <f>IF(OR(E2312="",E2312="!!!",F2312="NEW"),"",INDEX(J$1:J2311,SUMPRODUCT(MAX(ROW(E$1:E2311)*(E2312=E$1:E2311)))))</f>
        <v> </v>
      </c>
      <c r="L2312" s="27"/>
    </row>
    <row r="2313" spans="1:12">
      <c r="A2313" s="20" t="s">
        <v>1636</v>
      </c>
      <c r="E2313" s="22">
        <f>IF(D2313="?OLD","!!!","")</f>
        <v/>
      </c>
      <c r="F2313" s="23" t="str">
        <f>IF(OR(E2313="",E2313="!!!"),"",IF(NOT(ISNA(VLOOKUP(E2313,E$1:E2312,1,FALSE()))),"OLD",IF(AND(E2313&lt;&gt;"",E2313&lt;&gt;"!!!"),"NEW","")))</f>
        <v> </v>
      </c>
      <c r="G2313" s="24" t="str">
        <f>IF(OR(E2313="",E2313="!!!"),"",IF(OR(J2313=0,AND(J2313=1,K2313=1),AND(J2313=1,I2313="SBJ"),AND(J2313=1,I2313=0)),"?IN_FOCUS",IF(J2313&lt;=2,"?ACTIVATED",IF(J2313&lt;&gt;"","?FAMILIAR",IF(F2313="NEW",IF(ISNA(VLOOKUP(E2313,#REF!,1,FALSE())),"?TYPE_IDENTIFIABLE","?REFERENTIAL"),"_")))))</f>
        <v> </v>
      </c>
      <c r="H2313" s="25" t="str">
        <f>IF(J2313&lt;&gt;1,"",IF(I2313="SBJ","CB","?"))</f>
        <v> </v>
      </c>
      <c r="I2313" s="26" t="str">
        <f>IF(OR(E2313="",E2313="!!!",F2313="NEW"),"",INDEX(B2312:B$2,-1+SUMPRODUCT(MAX(ROW(E2312:E$2)*(E2313=E2312:E$2)))))</f>
        <v> </v>
      </c>
      <c r="J2313" s="26" t="str">
        <f>IF(OR(E2313="",E2313="!!!",F2313="NEW"),"",COUNTBLANK(OFFSET(A$1,,,SUMPRODUCT(MAX(ROW(E$2:E2313)*(E2313=E$2:E2313)))))-COUNTBLANK(OFFSET(A$1,,,SUMPRODUCT(MAX(ROW(E$1:E2312)*(E2=E$1:E2312))))))</f>
        <v> </v>
      </c>
      <c r="K2313" s="26" t="str">
        <f>IF(OR(E2313="",E2313="!!!",F2313="NEW"),"",INDEX(J$1:J2312,SUMPRODUCT(MAX(ROW(E$1:E2312)*(E2313=E$1:E2312)))))</f>
        <v> </v>
      </c>
      <c r="L2313" s="27"/>
    </row>
    <row r="2314" spans="1:12">
      <c r="A2314" s="20" t="s">
        <v>630</v>
      </c>
      <c r="E2314" s="22">
        <f>IF(D2314="?OLD","!!!","")</f>
        <v/>
      </c>
      <c r="F2314" s="23" t="str">
        <f>IF(OR(E2314="",E2314="!!!"),"",IF(NOT(ISNA(VLOOKUP(E2314,E$1:E2313,1,FALSE()))),"OLD",IF(AND(E2314&lt;&gt;"",E2314&lt;&gt;"!!!"),"NEW","")))</f>
        <v> </v>
      </c>
      <c r="G2314" s="24" t="str">
        <f>IF(OR(E2314="",E2314="!!!"),"",IF(OR(J2314=0,AND(J2314=1,K2314=1),AND(J2314=1,I2314="SBJ"),AND(J2314=1,I2314=0)),"?IN_FOCUS",IF(J2314&lt;=2,"?ACTIVATED",IF(J2314&lt;&gt;"","?FAMILIAR",IF(F2314="NEW",IF(ISNA(VLOOKUP(E2314,#REF!,1,FALSE())),"?TYPE_IDENTIFIABLE","?REFERENTIAL"),"_")))))</f>
        <v> </v>
      </c>
      <c r="H2314" s="25" t="str">
        <f>IF(J2314&lt;&gt;1,"",IF(I2314="SBJ","CB","?"))</f>
        <v> </v>
      </c>
      <c r="I2314" s="26" t="str">
        <f>IF(OR(E2314="",E2314="!!!",F2314="NEW"),"",INDEX(B2313:B$2,-1+SUMPRODUCT(MAX(ROW(E2313:E$2)*(E2314=E2313:E$2)))))</f>
        <v> </v>
      </c>
      <c r="J2314" s="26" t="str">
        <f>IF(OR(E2314="",E2314="!!!",F2314="NEW"),"",COUNTBLANK(OFFSET(A$1,,,SUMPRODUCT(MAX(ROW(E$2:E2314)*(E2314=E$2:E2314)))))-COUNTBLANK(OFFSET(A$1,,,SUMPRODUCT(MAX(ROW(E$1:E2313)*(E2=E$1:E2313))))))</f>
        <v> </v>
      </c>
      <c r="K2314" s="26" t="str">
        <f>IF(OR(E2314="",E2314="!!!",F2314="NEW"),"",INDEX(J$1:J2313,SUMPRODUCT(MAX(ROW(E$1:E2313)*(E2314=E$1:E2313)))))</f>
        <v> </v>
      </c>
      <c r="L2314" s="27"/>
    </row>
    <row r="2315" spans="1:12">
      <c r="A2315" s="20" t="s">
        <v>1627</v>
      </c>
      <c r="E2315" s="22">
        <f>IF(D2315="?OLD","!!!","")</f>
        <v/>
      </c>
      <c r="F2315" s="23" t="str">
        <f>IF(OR(E2315="",E2315="!!!"),"",IF(NOT(ISNA(VLOOKUP(E2315,E$1:E2314,1,FALSE()))),"OLD",IF(AND(E2315&lt;&gt;"",E2315&lt;&gt;"!!!"),"NEW","")))</f>
        <v> </v>
      </c>
      <c r="G2315" s="24" t="str">
        <f>IF(OR(E2315="",E2315="!!!"),"",IF(OR(J2315=0,AND(J2315=1,K2315=1),AND(J2315=1,I2315="SBJ"),AND(J2315=1,I2315=0)),"?IN_FOCUS",IF(J2315&lt;=2,"?ACTIVATED",IF(J2315&lt;&gt;"","?FAMILIAR",IF(F2315="NEW",IF(ISNA(VLOOKUP(E2315,#REF!,1,FALSE())),"?TYPE_IDENTIFIABLE","?REFERENTIAL"),"_")))))</f>
        <v> </v>
      </c>
      <c r="H2315" s="25" t="str">
        <f>IF(J2315&lt;&gt;1,"",IF(I2315="SBJ","CB","?"))</f>
        <v> </v>
      </c>
      <c r="I2315" s="26" t="str">
        <f>IF(OR(E2315="",E2315="!!!",F2315="NEW"),"",INDEX(B2314:B$2,-1+SUMPRODUCT(MAX(ROW(E2314:E$2)*(E2315=E2314:E$2)))))</f>
        <v> </v>
      </c>
      <c r="J2315" s="26" t="str">
        <f>IF(OR(E2315="",E2315="!!!",F2315="NEW"),"",COUNTBLANK(OFFSET(A$1,,,SUMPRODUCT(MAX(ROW(E$2:E2315)*(E2315=E$2:E2315)))))-COUNTBLANK(OFFSET(A$1,,,SUMPRODUCT(MAX(ROW(E$1:E2314)*(E2=E$1:E2314))))))</f>
        <v> </v>
      </c>
      <c r="K2315" s="26" t="str">
        <f>IF(OR(E2315="",E2315="!!!",F2315="NEW"),"",INDEX(J$1:J2314,SUMPRODUCT(MAX(ROW(E$1:E2314)*(E2315=E$1:E2314)))))</f>
        <v> </v>
      </c>
      <c r="L2315" s="27"/>
    </row>
    <row r="2316" spans="1:12">
      <c r="A2316" s="20" t="s">
        <v>592</v>
      </c>
      <c r="E2316" s="22">
        <f>IF(D2316="?OLD","!!!","")</f>
        <v/>
      </c>
      <c r="F2316" s="23" t="str">
        <f>IF(OR(E2316="",E2316="!!!"),"",IF(NOT(ISNA(VLOOKUP(E2316,E$1:E2315,1,FALSE()))),"OLD",IF(AND(E2316&lt;&gt;"",E2316&lt;&gt;"!!!"),"NEW","")))</f>
        <v> </v>
      </c>
      <c r="G2316" s="24" t="str">
        <f>IF(OR(E2316="",E2316="!!!"),"",IF(OR(J2316=0,AND(J2316=1,K2316=1),AND(J2316=1,I2316="SBJ"),AND(J2316=1,I2316=0)),"?IN_FOCUS",IF(J2316&lt;=2,"?ACTIVATED",IF(J2316&lt;&gt;"","?FAMILIAR",IF(F2316="NEW",IF(ISNA(VLOOKUP(E2316,#REF!,1,FALSE())),"?TYPE_IDENTIFIABLE","?REFERENTIAL"),"_")))))</f>
        <v> </v>
      </c>
      <c r="H2316" s="25" t="str">
        <f>IF(J2316&lt;&gt;1,"",IF(I2316="SBJ","CB","?"))</f>
        <v> </v>
      </c>
      <c r="I2316" s="26" t="str">
        <f>IF(OR(E2316="",E2316="!!!",F2316="NEW"),"",INDEX(B2315:B$2,-1+SUMPRODUCT(MAX(ROW(E2315:E$2)*(E2316=E2315:E$2)))))</f>
        <v> </v>
      </c>
      <c r="J2316" s="26" t="str">
        <f>IF(OR(E2316="",E2316="!!!",F2316="NEW"),"",COUNTBLANK(OFFSET(A$1,,,SUMPRODUCT(MAX(ROW(E$2:E2316)*(E2316=E$2:E2316)))))-COUNTBLANK(OFFSET(A$1,,,SUMPRODUCT(MAX(ROW(E$1:E2315)*(E2=E$1:E2315))))))</f>
        <v> </v>
      </c>
      <c r="K2316" s="26" t="str">
        <f>IF(OR(E2316="",E2316="!!!",F2316="NEW"),"",INDEX(J$1:J2315,SUMPRODUCT(MAX(ROW(E$1:E2315)*(E2316=E$1:E2315)))))</f>
        <v> </v>
      </c>
      <c r="L2316" s="27"/>
    </row>
    <row r="2317" spans="1:12">
      <c r="A2317" s="20"/>
    </row>
    <row r="2318" spans="1:12">
      <c r="A2318" s="20" t="s">
        <v>1637</v>
      </c>
    </row>
    <row r="2319" spans="1:12">
      <c r="A2319" s="20" t="s">
        <v>832</v>
      </c>
      <c r="B2319" s="21" t="s">
        <v>578</v>
      </c>
      <c r="E2319" s="22">
        <f>IF(D2319="?OLD","!!!","")</f>
        <v/>
      </c>
      <c r="F2319" s="23" t="str">
        <f>IF(OR(E2319="",E2319="!!!"),"",IF(NOT(ISNA(VLOOKUP(E2319,E$1:E2318,1,FALSE()))),"OLD",IF(AND(E2319&lt;&gt;"",E2319&lt;&gt;"!!!"),"NEW","")))</f>
        <v> </v>
      </c>
      <c r="G2319" s="24" t="str">
        <f>IF(OR(E2319="",E2319="!!!"),"",IF(OR(J2319=0,AND(J2319=1,K2319=1),AND(J2319=1,I2319="SBJ"),AND(J2319=1,I2319=0)),"?IN_FOCUS",IF(J2319&lt;=2,"?ACTIVATED",IF(J2319&lt;&gt;"","?FAMILIAR",IF(F2319="NEW",IF(ISNA(VLOOKUP(E2319,#REF!,1,FALSE())),"?TYPE_IDENTIFIABLE","?REFERENTIAL"),"_")))))</f>
        <v> </v>
      </c>
      <c r="H2319" s="25" t="str">
        <f>IF(J2319&lt;&gt;1,"",IF(I2319="SBJ","CB","?"))</f>
        <v> </v>
      </c>
      <c r="I2319" s="26" t="str">
        <f>IF(OR(E2319="",E2319="!!!",F2319="NEW"),"",INDEX(B2318:B$2,-1+SUMPRODUCT(MAX(ROW(E2318:E$2)*(E2319=E2318:E$2)))))</f>
        <v> </v>
      </c>
      <c r="J2319" s="26" t="str">
        <f>IF(OR(E2319="",E2319="!!!",F2319="NEW"),"",COUNTBLANK(OFFSET(A$1,,,SUMPRODUCT(MAX(ROW(E$2:E2319)*(E2319=E$2:E2319)))))-COUNTBLANK(OFFSET(A$1,,,SUMPRODUCT(MAX(ROW(E$1:E2318)*(E2=E$1:E2318))))))</f>
        <v> </v>
      </c>
      <c r="K2319" s="26" t="str">
        <f>IF(OR(E2319="",E2319="!!!",F2319="NEW"),"",INDEX(J$1:J2318,SUMPRODUCT(MAX(ROW(E$1:E2318)*(E2319=E$1:E2318)))))</f>
        <v> </v>
      </c>
      <c r="L2319" s="27"/>
    </row>
    <row r="2320" spans="1:12">
      <c r="A2320" s="20" t="s">
        <v>1638</v>
      </c>
      <c r="E2320" s="22">
        <f>IF(D2320="?OLD","!!!","")</f>
        <v/>
      </c>
      <c r="F2320" s="23" t="str">
        <f>IF(OR(E2320="",E2320="!!!"),"",IF(NOT(ISNA(VLOOKUP(E2320,E$1:E2319,1,FALSE()))),"OLD",IF(AND(E2320&lt;&gt;"",E2320&lt;&gt;"!!!"),"NEW","")))</f>
        <v> </v>
      </c>
      <c r="G2320" s="24" t="str">
        <f>IF(OR(E2320="",E2320="!!!"),"",IF(OR(J2320=0,AND(J2320=1,K2320=1),AND(J2320=1,I2320="SBJ"),AND(J2320=1,I2320=0)),"?IN_FOCUS",IF(J2320&lt;=2,"?ACTIVATED",IF(J2320&lt;&gt;"","?FAMILIAR",IF(F2320="NEW",IF(ISNA(VLOOKUP(E2320,#REF!,1,FALSE())),"?TYPE_IDENTIFIABLE","?REFERENTIAL"),"_")))))</f>
        <v> </v>
      </c>
      <c r="H2320" s="25" t="str">
        <f>IF(J2320&lt;&gt;1,"",IF(I2320="SBJ","CB","?"))</f>
        <v> </v>
      </c>
      <c r="I2320" s="26" t="str">
        <f>IF(OR(E2320="",E2320="!!!",F2320="NEW"),"",INDEX(B2319:B$2,-1+SUMPRODUCT(MAX(ROW(E2319:E$2)*(E2320=E2319:E$2)))))</f>
        <v> </v>
      </c>
      <c r="J2320" s="26" t="str">
        <f>IF(OR(E2320="",E2320="!!!",F2320="NEW"),"",COUNTBLANK(OFFSET(A$1,,,SUMPRODUCT(MAX(ROW(E$2:E2320)*(E2320=E$2:E2320)))))-COUNTBLANK(OFFSET(A$1,,,SUMPRODUCT(MAX(ROW(E$1:E2319)*(E2=E$1:E2319))))))</f>
        <v> </v>
      </c>
      <c r="K2320" s="26" t="str">
        <f>IF(OR(E2320="",E2320="!!!",F2320="NEW"),"",INDEX(J$1:J2319,SUMPRODUCT(MAX(ROW(E$1:E2319)*(E2320=E$1:E2319)))))</f>
        <v> </v>
      </c>
      <c r="L2320" s="27"/>
    </row>
    <row r="2321" spans="1:12">
      <c r="A2321" s="20" t="s">
        <v>1088</v>
      </c>
      <c r="E2321" s="22">
        <f>IF(D2321="?OLD","!!!","")</f>
        <v/>
      </c>
      <c r="F2321" s="23" t="str">
        <f>IF(OR(E2321="",E2321="!!!"),"",IF(NOT(ISNA(VLOOKUP(E2321,E$1:E2320,1,FALSE()))),"OLD",IF(AND(E2321&lt;&gt;"",E2321&lt;&gt;"!!!"),"NEW","")))</f>
        <v> </v>
      </c>
      <c r="G2321" s="24" t="str">
        <f>IF(OR(E2321="",E2321="!!!"),"",IF(OR(J2321=0,AND(J2321=1,K2321=1),AND(J2321=1,I2321="SBJ"),AND(J2321=1,I2321=0)),"?IN_FOCUS",IF(J2321&lt;=2,"?ACTIVATED",IF(J2321&lt;&gt;"","?FAMILIAR",IF(F2321="NEW",IF(ISNA(VLOOKUP(E2321,#REF!,1,FALSE())),"?TYPE_IDENTIFIABLE","?REFERENTIAL"),"_")))))</f>
        <v> </v>
      </c>
      <c r="H2321" s="25" t="str">
        <f>IF(J2321&lt;&gt;1,"",IF(I2321="SBJ","CB","?"))</f>
        <v> </v>
      </c>
      <c r="I2321" s="26" t="str">
        <f>IF(OR(E2321="",E2321="!!!",F2321="NEW"),"",INDEX(B2320:B$2,-1+SUMPRODUCT(MAX(ROW(E2320:E$2)*(E2321=E2320:E$2)))))</f>
        <v> </v>
      </c>
      <c r="J2321" s="26" t="str">
        <f>IF(OR(E2321="",E2321="!!!",F2321="NEW"),"",COUNTBLANK(OFFSET(A$1,,,SUMPRODUCT(MAX(ROW(E$2:E2321)*(E2321=E$2:E2321)))))-COUNTBLANK(OFFSET(A$1,,,SUMPRODUCT(MAX(ROW(E$1:E2320)*(E2=E$1:E2320))))))</f>
        <v> </v>
      </c>
      <c r="K2321" s="26" t="str">
        <f>IF(OR(E2321="",E2321="!!!",F2321="NEW"),"",INDEX(J$1:J2320,SUMPRODUCT(MAX(ROW(E$1:E2320)*(E2321=E$1:E2320)))))</f>
        <v> </v>
      </c>
      <c r="L2321" s="27"/>
    </row>
    <row r="2322" spans="1:12">
      <c r="A2322" s="20" t="s">
        <v>1639</v>
      </c>
      <c r="B2322" s="21" t="s">
        <v>615</v>
      </c>
      <c r="C2322" s="21" t="s">
        <v>586</v>
      </c>
      <c r="E2322" s="22">
        <f>IF(D2322="?OLD","!!!","")</f>
        <v/>
      </c>
      <c r="F2322" s="23" t="str">
        <f>IF(OR(E2322="",E2322="!!!"),"",IF(NOT(ISNA(VLOOKUP(E2322,E$1:E2321,1,FALSE()))),"OLD",IF(AND(E2322&lt;&gt;"",E2322&lt;&gt;"!!!"),"NEW","")))</f>
        <v> </v>
      </c>
      <c r="G2322" s="24" t="str">
        <f>IF(OR(E2322="",E2322="!!!"),"",IF(OR(J2322=0,AND(J2322=1,K2322=1),AND(J2322=1,I2322="SBJ"),AND(J2322=1,I2322=0)),"?IN_FOCUS",IF(J2322&lt;=2,"?ACTIVATED",IF(J2322&lt;&gt;"","?FAMILIAR",IF(F2322="NEW",IF(ISNA(VLOOKUP(E2322,#REF!,1,FALSE())),"?TYPE_IDENTIFIABLE","?REFERENTIAL"),"_")))))</f>
        <v> </v>
      </c>
      <c r="H2322" s="25" t="str">
        <f>IF(J2322&lt;&gt;1,"",IF(I2322="SBJ","CB","?"))</f>
        <v> </v>
      </c>
      <c r="I2322" s="26" t="str">
        <f>IF(OR(E2322="",E2322="!!!",F2322="NEW"),"",INDEX(B2321:B$2,-1+SUMPRODUCT(MAX(ROW(E2321:E$2)*(E2322=E2321:E$2)))))</f>
        <v> </v>
      </c>
      <c r="J2322" s="26" t="str">
        <f>IF(OR(E2322="",E2322="!!!",F2322="NEW"),"",COUNTBLANK(OFFSET(A$1,,,SUMPRODUCT(MAX(ROW(E$2:E2322)*(E2322=E$2:E2322)))))-COUNTBLANK(OFFSET(A$1,,,SUMPRODUCT(MAX(ROW(E$1:E2321)*(E2=E$1:E2321))))))</f>
        <v> </v>
      </c>
      <c r="K2322" s="26" t="str">
        <f>IF(OR(E2322="",E2322="!!!",F2322="NEW"),"",INDEX(J$1:J2321,SUMPRODUCT(MAX(ROW(E$1:E2321)*(E2322=E$1:E2321)))))</f>
        <v> </v>
      </c>
      <c r="L2322" s="27"/>
    </row>
    <row r="2323" spans="1:12">
      <c r="A2323" s="20" t="s">
        <v>583</v>
      </c>
      <c r="E2323" s="22">
        <f>IF(D2323="?OLD","!!!","")</f>
        <v/>
      </c>
      <c r="F2323" s="23" t="str">
        <f>IF(OR(E2323="",E2323="!!!"),"",IF(NOT(ISNA(VLOOKUP(E2323,E$1:E2322,1,FALSE()))),"OLD",IF(AND(E2323&lt;&gt;"",E2323&lt;&gt;"!!!"),"NEW","")))</f>
        <v> </v>
      </c>
      <c r="G2323" s="24" t="str">
        <f>IF(OR(E2323="",E2323="!!!"),"",IF(OR(J2323=0,AND(J2323=1,K2323=1),AND(J2323=1,I2323="SBJ"),AND(J2323=1,I2323=0)),"?IN_FOCUS",IF(J2323&lt;=2,"?ACTIVATED",IF(J2323&lt;&gt;"","?FAMILIAR",IF(F2323="NEW",IF(ISNA(VLOOKUP(E2323,#REF!,1,FALSE())),"?TYPE_IDENTIFIABLE","?REFERENTIAL"),"_")))))</f>
        <v> </v>
      </c>
      <c r="H2323" s="25" t="str">
        <f>IF(J2323&lt;&gt;1,"",IF(I2323="SBJ","CB","?"))</f>
        <v> </v>
      </c>
      <c r="I2323" s="26" t="str">
        <f>IF(OR(E2323="",E2323="!!!",F2323="NEW"),"",INDEX(B2322:B$2,-1+SUMPRODUCT(MAX(ROW(E2322:E$2)*(E2323=E2322:E$2)))))</f>
        <v> </v>
      </c>
      <c r="J2323" s="26" t="str">
        <f>IF(OR(E2323="",E2323="!!!",F2323="NEW"),"",COUNTBLANK(OFFSET(A$1,,,SUMPRODUCT(MAX(ROW(E$2:E2323)*(E2323=E$2:E2323)))))-COUNTBLANK(OFFSET(A$1,,,SUMPRODUCT(MAX(ROW(E$1:E2322)*(E2=E$1:E2322))))))</f>
        <v> </v>
      </c>
      <c r="K2323" s="26" t="str">
        <f>IF(OR(E2323="",E2323="!!!",F2323="NEW"),"",INDEX(J$1:J2322,SUMPRODUCT(MAX(ROW(E$1:E2322)*(E2323=E$1:E2322)))))</f>
        <v> </v>
      </c>
      <c r="L2323" s="27"/>
    </row>
    <row r="2324" spans="1:12">
      <c r="A2324" s="20" t="s">
        <v>1267</v>
      </c>
      <c r="E2324" s="22">
        <f>IF(D2324="?OLD","!!!","")</f>
        <v/>
      </c>
      <c r="F2324" s="23" t="str">
        <f>IF(OR(E2324="",E2324="!!!"),"",IF(NOT(ISNA(VLOOKUP(E2324,E$1:E2323,1,FALSE()))),"OLD",IF(AND(E2324&lt;&gt;"",E2324&lt;&gt;"!!!"),"NEW","")))</f>
        <v> </v>
      </c>
      <c r="G2324" s="24" t="str">
        <f>IF(OR(E2324="",E2324="!!!"),"",IF(OR(J2324=0,AND(J2324=1,K2324=1),AND(J2324=1,I2324="SBJ"),AND(J2324=1,I2324=0)),"?IN_FOCUS",IF(J2324&lt;=2,"?ACTIVATED",IF(J2324&lt;&gt;"","?FAMILIAR",IF(F2324="NEW",IF(ISNA(VLOOKUP(E2324,#REF!,1,FALSE())),"?TYPE_IDENTIFIABLE","?REFERENTIAL"),"_")))))</f>
        <v> </v>
      </c>
      <c r="H2324" s="25" t="str">
        <f>IF(J2324&lt;&gt;1,"",IF(I2324="SBJ","CB","?"))</f>
        <v> </v>
      </c>
      <c r="I2324" s="26" t="str">
        <f>IF(OR(E2324="",E2324="!!!",F2324="NEW"),"",INDEX(B2323:B$2,-1+SUMPRODUCT(MAX(ROW(E2323:E$2)*(E2324=E2323:E$2)))))</f>
        <v> </v>
      </c>
      <c r="J2324" s="26" t="str">
        <f>IF(OR(E2324="",E2324="!!!",F2324="NEW"),"",COUNTBLANK(OFFSET(A$1,,,SUMPRODUCT(MAX(ROW(E$2:E2324)*(E2324=E$2:E2324)))))-COUNTBLANK(OFFSET(A$1,,,SUMPRODUCT(MAX(ROW(E$1:E2323)*(E2=E$1:E2323))))))</f>
        <v> </v>
      </c>
      <c r="K2324" s="26" t="str">
        <f>IF(OR(E2324="",E2324="!!!",F2324="NEW"),"",INDEX(J$1:J2323,SUMPRODUCT(MAX(ROW(E$1:E2323)*(E2324=E$1:E2323)))))</f>
        <v> </v>
      </c>
      <c r="L2324" s="27"/>
    </row>
    <row r="2325" spans="1:12">
      <c r="A2325" s="20" t="s">
        <v>609</v>
      </c>
      <c r="E2325" s="22">
        <f>IF(D2325="?OLD","!!!","")</f>
        <v/>
      </c>
      <c r="F2325" s="23" t="str">
        <f>IF(OR(E2325="",E2325="!!!"),"",IF(NOT(ISNA(VLOOKUP(E2325,E$1:E2324,1,FALSE()))),"OLD",IF(AND(E2325&lt;&gt;"",E2325&lt;&gt;"!!!"),"NEW","")))</f>
        <v> </v>
      </c>
      <c r="G2325" s="24" t="str">
        <f>IF(OR(E2325="",E2325="!!!"),"",IF(OR(J2325=0,AND(J2325=1,K2325=1),AND(J2325=1,I2325="SBJ"),AND(J2325=1,I2325=0)),"?IN_FOCUS",IF(J2325&lt;=2,"?ACTIVATED",IF(J2325&lt;&gt;"","?FAMILIAR",IF(F2325="NEW",IF(ISNA(VLOOKUP(E2325,#REF!,1,FALSE())),"?TYPE_IDENTIFIABLE","?REFERENTIAL"),"_")))))</f>
        <v> </v>
      </c>
      <c r="H2325" s="25" t="str">
        <f>IF(J2325&lt;&gt;1,"",IF(I2325="SBJ","CB","?"))</f>
        <v> </v>
      </c>
      <c r="I2325" s="26" t="str">
        <f>IF(OR(E2325="",E2325="!!!",F2325="NEW"),"",INDEX(B2324:B$2,-1+SUMPRODUCT(MAX(ROW(E2324:E$2)*(E2325=E2324:E$2)))))</f>
        <v> </v>
      </c>
      <c r="J2325" s="26" t="str">
        <f>IF(OR(E2325="",E2325="!!!",F2325="NEW"),"",COUNTBLANK(OFFSET(A$1,,,SUMPRODUCT(MAX(ROW(E$2:E2325)*(E2325=E$2:E2325)))))-COUNTBLANK(OFFSET(A$1,,,SUMPRODUCT(MAX(ROW(E$1:E2324)*(E2=E$1:E2324))))))</f>
        <v> </v>
      </c>
      <c r="K2325" s="26" t="str">
        <f>IF(OR(E2325="",E2325="!!!",F2325="NEW"),"",INDEX(J$1:J2324,SUMPRODUCT(MAX(ROW(E$1:E2324)*(E2325=E$1:E2324)))))</f>
        <v> </v>
      </c>
      <c r="L2325" s="27"/>
    </row>
    <row r="2326" spans="1:12">
      <c r="A2326" s="20" t="s">
        <v>687</v>
      </c>
      <c r="E2326" s="22">
        <f>IF(D2326="?OLD","!!!","")</f>
        <v/>
      </c>
      <c r="F2326" s="23" t="str">
        <f>IF(OR(E2326="",E2326="!!!"),"",IF(NOT(ISNA(VLOOKUP(E2326,E$1:E2325,1,FALSE()))),"OLD",IF(AND(E2326&lt;&gt;"",E2326&lt;&gt;"!!!"),"NEW","")))</f>
        <v> </v>
      </c>
      <c r="G2326" s="24" t="str">
        <f>IF(OR(E2326="",E2326="!!!"),"",IF(OR(J2326=0,AND(J2326=1,K2326=1),AND(J2326=1,I2326="SBJ"),AND(J2326=1,I2326=0)),"?IN_FOCUS",IF(J2326&lt;=2,"?ACTIVATED",IF(J2326&lt;&gt;"","?FAMILIAR",IF(F2326="NEW",IF(ISNA(VLOOKUP(E2326,#REF!,1,FALSE())),"?TYPE_IDENTIFIABLE","?REFERENTIAL"),"_")))))</f>
        <v> </v>
      </c>
      <c r="H2326" s="25" t="str">
        <f>IF(J2326&lt;&gt;1,"",IF(I2326="SBJ","CB","?"))</f>
        <v> </v>
      </c>
      <c r="I2326" s="26" t="str">
        <f>IF(OR(E2326="",E2326="!!!",F2326="NEW"),"",INDEX(B2325:B$2,-1+SUMPRODUCT(MAX(ROW(E2325:E$2)*(E2326=E2325:E$2)))))</f>
        <v> </v>
      </c>
      <c r="J2326" s="26" t="str">
        <f>IF(OR(E2326="",E2326="!!!",F2326="NEW"),"",COUNTBLANK(OFFSET(A$1,,,SUMPRODUCT(MAX(ROW(E$2:E2326)*(E2326=E$2:E2326)))))-COUNTBLANK(OFFSET(A$1,,,SUMPRODUCT(MAX(ROW(E$1:E2325)*(E2=E$1:E2325))))))</f>
        <v> </v>
      </c>
      <c r="K2326" s="26" t="str">
        <f>IF(OR(E2326="",E2326="!!!",F2326="NEW"),"",INDEX(J$1:J2325,SUMPRODUCT(MAX(ROW(E$1:E2325)*(E2326=E$1:E2325)))))</f>
        <v> </v>
      </c>
      <c r="L2326" s="27"/>
    </row>
    <row r="2327" spans="1:12">
      <c r="A2327" s="20" t="s">
        <v>1640</v>
      </c>
      <c r="E2327" s="22">
        <f>IF(D2327="?OLD","!!!","")</f>
        <v/>
      </c>
      <c r="F2327" s="23" t="str">
        <f>IF(OR(E2327="",E2327="!!!"),"",IF(NOT(ISNA(VLOOKUP(E2327,E$1:E2326,1,FALSE()))),"OLD",IF(AND(E2327&lt;&gt;"",E2327&lt;&gt;"!!!"),"NEW","")))</f>
        <v> </v>
      </c>
      <c r="G2327" s="24" t="str">
        <f>IF(OR(E2327="",E2327="!!!"),"",IF(OR(J2327=0,AND(J2327=1,K2327=1),AND(J2327=1,I2327="SBJ"),AND(J2327=1,I2327=0)),"?IN_FOCUS",IF(J2327&lt;=2,"?ACTIVATED",IF(J2327&lt;&gt;"","?FAMILIAR",IF(F2327="NEW",IF(ISNA(VLOOKUP(E2327,#REF!,1,FALSE())),"?TYPE_IDENTIFIABLE","?REFERENTIAL"),"_")))))</f>
        <v> </v>
      </c>
      <c r="H2327" s="25" t="str">
        <f>IF(J2327&lt;&gt;1,"",IF(I2327="SBJ","CB","?"))</f>
        <v> </v>
      </c>
      <c r="I2327" s="26" t="str">
        <f>IF(OR(E2327="",E2327="!!!",F2327="NEW"),"",INDEX(B2326:B$2,-1+SUMPRODUCT(MAX(ROW(E2326:E$2)*(E2327=E2326:E$2)))))</f>
        <v> </v>
      </c>
      <c r="J2327" s="26" t="str">
        <f>IF(OR(E2327="",E2327="!!!",F2327="NEW"),"",COUNTBLANK(OFFSET(A$1,,,SUMPRODUCT(MAX(ROW(E$2:E2327)*(E2327=E$2:E2327)))))-COUNTBLANK(OFFSET(A$1,,,SUMPRODUCT(MAX(ROW(E$1:E2326)*(E2=E$1:E2326))))))</f>
        <v> </v>
      </c>
      <c r="K2327" s="26" t="str">
        <f>IF(OR(E2327="",E2327="!!!",F2327="NEW"),"",INDEX(J$1:J2326,SUMPRODUCT(MAX(ROW(E$1:E2326)*(E2327=E$1:E2326)))))</f>
        <v> </v>
      </c>
      <c r="L2327" s="27"/>
    </row>
    <row r="2328" spans="1:12">
      <c r="A2328" s="20" t="s">
        <v>1225</v>
      </c>
      <c r="E2328" s="22">
        <f>IF(D2328="?OLD","!!!","")</f>
        <v/>
      </c>
      <c r="F2328" s="23" t="str">
        <f>IF(OR(E2328="",E2328="!!!"),"",IF(NOT(ISNA(VLOOKUP(E2328,E$1:E2327,1,FALSE()))),"OLD",IF(AND(E2328&lt;&gt;"",E2328&lt;&gt;"!!!"),"NEW","")))</f>
        <v> </v>
      </c>
      <c r="G2328" s="24" t="str">
        <f>IF(OR(E2328="",E2328="!!!"),"",IF(OR(J2328=0,AND(J2328=1,K2328=1),AND(J2328=1,I2328="SBJ"),AND(J2328=1,I2328=0)),"?IN_FOCUS",IF(J2328&lt;=2,"?ACTIVATED",IF(J2328&lt;&gt;"","?FAMILIAR",IF(F2328="NEW",IF(ISNA(VLOOKUP(E2328,#REF!,1,FALSE())),"?TYPE_IDENTIFIABLE","?REFERENTIAL"),"_")))))</f>
        <v> </v>
      </c>
      <c r="H2328" s="25" t="str">
        <f>IF(J2328&lt;&gt;1,"",IF(I2328="SBJ","CB","?"))</f>
        <v> </v>
      </c>
      <c r="I2328" s="26" t="str">
        <f>IF(OR(E2328="",E2328="!!!",F2328="NEW"),"",INDEX(B2327:B$2,-1+SUMPRODUCT(MAX(ROW(E2327:E$2)*(E2328=E2327:E$2)))))</f>
        <v> </v>
      </c>
      <c r="J2328" s="26" t="str">
        <f>IF(OR(E2328="",E2328="!!!",F2328="NEW"),"",COUNTBLANK(OFFSET(A$1,,,SUMPRODUCT(MAX(ROW(E$2:E2328)*(E2328=E$2:E2328)))))-COUNTBLANK(OFFSET(A$1,,,SUMPRODUCT(MAX(ROW(E$1:E2327)*(E2=E$1:E2327))))))</f>
        <v> </v>
      </c>
      <c r="K2328" s="26" t="str">
        <f>IF(OR(E2328="",E2328="!!!",F2328="NEW"),"",INDEX(J$1:J2327,SUMPRODUCT(MAX(ROW(E$1:E2327)*(E2328=E$1:E2327)))))</f>
        <v> </v>
      </c>
      <c r="L2328" s="27"/>
    </row>
    <row r="2329" spans="1:12">
      <c r="A2329" s="20" t="s">
        <v>592</v>
      </c>
      <c r="E2329" s="22">
        <f>IF(D2329="?OLD","!!!","")</f>
        <v/>
      </c>
      <c r="F2329" s="23" t="str">
        <f>IF(OR(E2329="",E2329="!!!"),"",IF(NOT(ISNA(VLOOKUP(E2329,E$1:E2328,1,FALSE()))),"OLD",IF(AND(E2329&lt;&gt;"",E2329&lt;&gt;"!!!"),"NEW","")))</f>
        <v> </v>
      </c>
      <c r="G2329" s="24" t="str">
        <f>IF(OR(E2329="",E2329="!!!"),"",IF(OR(J2329=0,AND(J2329=1,K2329=1),AND(J2329=1,I2329="SBJ"),AND(J2329=1,I2329=0)),"?IN_FOCUS",IF(J2329&lt;=2,"?ACTIVATED",IF(J2329&lt;&gt;"","?FAMILIAR",IF(F2329="NEW",IF(ISNA(VLOOKUP(E2329,#REF!,1,FALSE())),"?TYPE_IDENTIFIABLE","?REFERENTIAL"),"_")))))</f>
        <v> </v>
      </c>
      <c r="H2329" s="25" t="str">
        <f>IF(J2329&lt;&gt;1,"",IF(I2329="SBJ","CB","?"))</f>
        <v> </v>
      </c>
      <c r="I2329" s="26" t="str">
        <f>IF(OR(E2329="",E2329="!!!",F2329="NEW"),"",INDEX(B2328:B$2,-1+SUMPRODUCT(MAX(ROW(E2328:E$2)*(E2329=E2328:E$2)))))</f>
        <v> </v>
      </c>
      <c r="J2329" s="26" t="str">
        <f>IF(OR(E2329="",E2329="!!!",F2329="NEW"),"",COUNTBLANK(OFFSET(A$1,,,SUMPRODUCT(MAX(ROW(E$2:E2329)*(E2329=E$2:E2329)))))-COUNTBLANK(OFFSET(A$1,,,SUMPRODUCT(MAX(ROW(E$1:E2328)*(E2=E$1:E2328))))))</f>
        <v> </v>
      </c>
      <c r="K2329" s="26" t="str">
        <f>IF(OR(E2329="",E2329="!!!",F2329="NEW"),"",INDEX(J$1:J2328,SUMPRODUCT(MAX(ROW(E$1:E2328)*(E2329=E$1:E2328)))))</f>
        <v> </v>
      </c>
      <c r="L2329" s="27"/>
    </row>
    <row r="2330" spans="1:12">
      <c r="A2330" s="20"/>
    </row>
    <row r="2331" spans="1:12">
      <c r="A2331" s="20" t="s">
        <v>1641</v>
      </c>
    </row>
    <row r="2332" spans="1:12">
      <c r="A2332" s="20" t="s">
        <v>676</v>
      </c>
      <c r="B2332" s="21" t="s">
        <v>578</v>
      </c>
      <c r="C2332" s="21" t="s">
        <v>613</v>
      </c>
      <c r="D2332" s="21" t="s">
        <v>587</v>
      </c>
      <c r="E2332" s="22">
        <f>IF(D2332="?OLD","!!!","")</f>
        <v/>
      </c>
      <c r="F2332" s="23" t="str">
        <f>IF(OR(E2332="",E2332="!!!"),"",IF(NOT(ISNA(VLOOKUP(E2332,E$1:E2331,1,FALSE()))),"OLD",IF(AND(E2332&lt;&gt;"",E2332&lt;&gt;"!!!"),"NEW","")))</f>
        <v> </v>
      </c>
      <c r="G2332" s="24" t="str">
        <f>IF(OR(E2332="",E2332="!!!"),"",IF(OR(J2332=0,AND(J2332=1,K2332=1),AND(J2332=1,I2332="SBJ"),AND(J2332=1,I2332=0)),"?IN_FOCUS",IF(J2332&lt;=2,"?ACTIVATED",IF(J2332&lt;&gt;"","?FAMILIAR",IF(F2332="NEW",IF(ISNA(VLOOKUP(E2332,#REF!,1,FALSE())),"?TYPE_IDENTIFIABLE","?REFERENTIAL"),"_")))))</f>
        <v> </v>
      </c>
      <c r="H2332" s="25" t="str">
        <f>IF(J2332&lt;&gt;1,"",IF(I2332="SBJ","CB","?"))</f>
        <v> </v>
      </c>
      <c r="I2332" s="26" t="str">
        <f>IF(OR(E2332="",E2332="!!!",F2332="NEW"),"",INDEX(B2331:B$2,-1+SUMPRODUCT(MAX(ROW(E2331:E$2)*(E2332=E2331:E$2)))))</f>
        <v> </v>
      </c>
      <c r="J2332" s="26" t="str">
        <f>IF(OR(E2332="",E2332="!!!",F2332="NEW"),"",COUNTBLANK(OFFSET(A$1,,,SUMPRODUCT(MAX(ROW(E$2:E2332)*(E2332=E$2:E2332)))))-COUNTBLANK(OFFSET(A$1,,,SUMPRODUCT(MAX(ROW(E$1:E2331)*(E2=E$1:E2331))))))</f>
        <v> </v>
      </c>
      <c r="K2332" s="26" t="str">
        <f>IF(OR(E2332="",E2332="!!!",F2332="NEW"),"",INDEX(J$1:J2331,SUMPRODUCT(MAX(ROW(E$1:E2331)*(E2332=E$1:E2331)))))</f>
        <v> </v>
      </c>
      <c r="L2332" s="27"/>
    </row>
    <row r="2333" spans="1:12">
      <c r="A2333" s="20" t="s">
        <v>1642</v>
      </c>
      <c r="E2333" s="22">
        <f>IF(D2333="?OLD","!!!","")</f>
        <v/>
      </c>
      <c r="F2333" s="23" t="str">
        <f>IF(OR(E2333="",E2333="!!!"),"",IF(NOT(ISNA(VLOOKUP(E2333,E$1:E2332,1,FALSE()))),"OLD",IF(AND(E2333&lt;&gt;"",E2333&lt;&gt;"!!!"),"NEW","")))</f>
        <v> </v>
      </c>
      <c r="G2333" s="24" t="str">
        <f>IF(OR(E2333="",E2333="!!!"),"",IF(OR(J2333=0,AND(J2333=1,K2333=1),AND(J2333=1,I2333="SBJ"),AND(J2333=1,I2333=0)),"?IN_FOCUS",IF(J2333&lt;=2,"?ACTIVATED",IF(J2333&lt;&gt;"","?FAMILIAR",IF(F2333="NEW",IF(ISNA(VLOOKUP(E2333,#REF!,1,FALSE())),"?TYPE_IDENTIFIABLE","?REFERENTIAL"),"_")))))</f>
        <v> </v>
      </c>
      <c r="H2333" s="25" t="str">
        <f>IF(J2333&lt;&gt;1,"",IF(I2333="SBJ","CB","?"))</f>
        <v> </v>
      </c>
      <c r="I2333" s="26" t="str">
        <f>IF(OR(E2333="",E2333="!!!",F2333="NEW"),"",INDEX(B2332:B$2,-1+SUMPRODUCT(MAX(ROW(E2332:E$2)*(E2333=E2332:E$2)))))</f>
        <v> </v>
      </c>
      <c r="J2333" s="26" t="str">
        <f>IF(OR(E2333="",E2333="!!!",F2333="NEW"),"",COUNTBLANK(OFFSET(A$1,,,SUMPRODUCT(MAX(ROW(E$2:E2333)*(E2333=E$2:E2333)))))-COUNTBLANK(OFFSET(A$1,,,SUMPRODUCT(MAX(ROW(E$1:E2332)*(E2=E$1:E2332))))))</f>
        <v> </v>
      </c>
      <c r="K2333" s="26" t="str">
        <f>IF(OR(E2333="",E2333="!!!",F2333="NEW"),"",INDEX(J$1:J2332,SUMPRODUCT(MAX(ROW(E$1:E2332)*(E2333=E$1:E2332)))))</f>
        <v> </v>
      </c>
      <c r="L2333" s="27"/>
    </row>
    <row r="2334" spans="1:12">
      <c r="A2334" s="20" t="s">
        <v>656</v>
      </c>
      <c r="B2334" s="21" t="s">
        <v>615</v>
      </c>
      <c r="C2334" s="21" t="s">
        <v>586</v>
      </c>
      <c r="D2334" s="21" t="s">
        <v>587</v>
      </c>
      <c r="E2334" s="22">
        <f>IF(D2334="?OLD","!!!","")</f>
        <v/>
      </c>
      <c r="F2334" s="23" t="str">
        <f>IF(OR(E2334="",E2334="!!!"),"",IF(NOT(ISNA(VLOOKUP(E2334,E$1:E2333,1,FALSE()))),"OLD",IF(AND(E2334&lt;&gt;"",E2334&lt;&gt;"!!!"),"NEW","")))</f>
        <v> </v>
      </c>
      <c r="G2334" s="24" t="str">
        <f>IF(OR(E2334="",E2334="!!!"),"",IF(OR(J2334=0,AND(J2334=1,K2334=1),AND(J2334=1,I2334="SBJ"),AND(J2334=1,I2334=0)),"?IN_FOCUS",IF(J2334&lt;=2,"?ACTIVATED",IF(J2334&lt;&gt;"","?FAMILIAR",IF(F2334="NEW",IF(ISNA(VLOOKUP(E2334,#REF!,1,FALSE())),"?TYPE_IDENTIFIABLE","?REFERENTIAL"),"_")))))</f>
        <v> </v>
      </c>
      <c r="H2334" s="25" t="str">
        <f>IF(J2334&lt;&gt;1,"",IF(I2334="SBJ","CB","?"))</f>
        <v> </v>
      </c>
      <c r="I2334" s="26" t="str">
        <f>IF(OR(E2334="",E2334="!!!",F2334="NEW"),"",INDEX(B2333:B$2,-1+SUMPRODUCT(MAX(ROW(E2333:E$2)*(E2334=E2333:E$2)))))</f>
        <v> </v>
      </c>
      <c r="J2334" s="26" t="str">
        <f>IF(OR(E2334="",E2334="!!!",F2334="NEW"),"",COUNTBLANK(OFFSET(A$1,,,SUMPRODUCT(MAX(ROW(E$2:E2334)*(E2334=E$2:E2334)))))-COUNTBLANK(OFFSET(A$1,,,SUMPRODUCT(MAX(ROW(E$1:E2333)*(E2=E$1:E2333))))))</f>
        <v> </v>
      </c>
      <c r="K2334" s="26" t="str">
        <f>IF(OR(E2334="",E2334="!!!",F2334="NEW"),"",INDEX(J$1:J2333,SUMPRODUCT(MAX(ROW(E$1:E2333)*(E2334=E$1:E2333)))))</f>
        <v> </v>
      </c>
      <c r="L2334" s="27"/>
    </row>
    <row r="2335" spans="1:12">
      <c r="A2335" s="20" t="s">
        <v>1524</v>
      </c>
      <c r="E2335" s="22">
        <f>IF(D2335="?OLD","!!!","")</f>
        <v/>
      </c>
      <c r="F2335" s="23" t="str">
        <f>IF(OR(E2335="",E2335="!!!"),"",IF(NOT(ISNA(VLOOKUP(E2335,E$1:E2334,1,FALSE()))),"OLD",IF(AND(E2335&lt;&gt;"",E2335&lt;&gt;"!!!"),"NEW","")))</f>
        <v> </v>
      </c>
      <c r="G2335" s="24" t="str">
        <f>IF(OR(E2335="",E2335="!!!"),"",IF(OR(J2335=0,AND(J2335=1,K2335=1),AND(J2335=1,I2335="SBJ"),AND(J2335=1,I2335=0)),"?IN_FOCUS",IF(J2335&lt;=2,"?ACTIVATED",IF(J2335&lt;&gt;"","?FAMILIAR",IF(F2335="NEW",IF(ISNA(VLOOKUP(E2335,#REF!,1,FALSE())),"?TYPE_IDENTIFIABLE","?REFERENTIAL"),"_")))))</f>
        <v> </v>
      </c>
      <c r="H2335" s="25" t="str">
        <f>IF(J2335&lt;&gt;1,"",IF(I2335="SBJ","CB","?"))</f>
        <v> </v>
      </c>
      <c r="I2335" s="26" t="str">
        <f>IF(OR(E2335="",E2335="!!!",F2335="NEW"),"",INDEX(B2334:B$2,-1+SUMPRODUCT(MAX(ROW(E2334:E$2)*(E2335=E2334:E$2)))))</f>
        <v> </v>
      </c>
      <c r="J2335" s="26" t="str">
        <f>IF(OR(E2335="",E2335="!!!",F2335="NEW"),"",COUNTBLANK(OFFSET(A$1,,,SUMPRODUCT(MAX(ROW(E$2:E2335)*(E2335=E$2:E2335)))))-COUNTBLANK(OFFSET(A$1,,,SUMPRODUCT(MAX(ROW(E$1:E2334)*(E2=E$1:E2334))))))</f>
        <v> </v>
      </c>
      <c r="K2335" s="26" t="str">
        <f>IF(OR(E2335="",E2335="!!!",F2335="NEW"),"",INDEX(J$1:J2334,SUMPRODUCT(MAX(ROW(E$1:E2334)*(E2335=E$1:E2334)))))</f>
        <v> </v>
      </c>
      <c r="L2335" s="27"/>
    </row>
    <row r="2336" spans="1:12">
      <c r="A2336" s="20" t="s">
        <v>592</v>
      </c>
      <c r="E2336" s="22">
        <f>IF(D2336="?OLD","!!!","")</f>
        <v/>
      </c>
      <c r="F2336" s="23" t="str">
        <f>IF(OR(E2336="",E2336="!!!"),"",IF(NOT(ISNA(VLOOKUP(E2336,E$1:E2335,1,FALSE()))),"OLD",IF(AND(E2336&lt;&gt;"",E2336&lt;&gt;"!!!"),"NEW","")))</f>
        <v> </v>
      </c>
      <c r="G2336" s="24" t="str">
        <f>IF(OR(E2336="",E2336="!!!"),"",IF(OR(J2336=0,AND(J2336=1,K2336=1),AND(J2336=1,I2336="SBJ"),AND(J2336=1,I2336=0)),"?IN_FOCUS",IF(J2336&lt;=2,"?ACTIVATED",IF(J2336&lt;&gt;"","?FAMILIAR",IF(F2336="NEW",IF(ISNA(VLOOKUP(E2336,#REF!,1,FALSE())),"?TYPE_IDENTIFIABLE","?REFERENTIAL"),"_")))))</f>
        <v> </v>
      </c>
      <c r="H2336" s="25" t="str">
        <f>IF(J2336&lt;&gt;1,"",IF(I2336="SBJ","CB","?"))</f>
        <v> </v>
      </c>
      <c r="I2336" s="26" t="str">
        <f>IF(OR(E2336="",E2336="!!!",F2336="NEW"),"",INDEX(B2335:B$2,-1+SUMPRODUCT(MAX(ROW(E2335:E$2)*(E2336=E2335:E$2)))))</f>
        <v> </v>
      </c>
      <c r="J2336" s="26" t="str">
        <f>IF(OR(E2336="",E2336="!!!",F2336="NEW"),"",COUNTBLANK(OFFSET(A$1,,,SUMPRODUCT(MAX(ROW(E$2:E2336)*(E2336=E$2:E2336)))))-COUNTBLANK(OFFSET(A$1,,,SUMPRODUCT(MAX(ROW(E$1:E2335)*(E2=E$1:E2335))))))</f>
        <v> </v>
      </c>
      <c r="K2336" s="26" t="str">
        <f>IF(OR(E2336="",E2336="!!!",F2336="NEW"),"",INDEX(J$1:J2335,SUMPRODUCT(MAX(ROW(E$1:E2335)*(E2336=E$1:E2335)))))</f>
        <v> </v>
      </c>
      <c r="L2336" s="27"/>
    </row>
    <row r="2337" spans="1:12">
      <c r="A2337" s="20"/>
    </row>
    <row r="2338" spans="1:12">
      <c r="A2338" s="20" t="s">
        <v>1643</v>
      </c>
    </row>
    <row r="2339" spans="1:12">
      <c r="A2339" s="20" t="s">
        <v>676</v>
      </c>
      <c r="B2339" s="21" t="s">
        <v>578</v>
      </c>
      <c r="C2339" s="21" t="s">
        <v>613</v>
      </c>
      <c r="D2339" s="21" t="s">
        <v>587</v>
      </c>
      <c r="E2339" s="22">
        <f>IF(D2339="?OLD","!!!","")</f>
        <v/>
      </c>
      <c r="F2339" s="23" t="str">
        <f>IF(OR(E2339="",E2339="!!!"),"",IF(NOT(ISNA(VLOOKUP(E2339,E$1:E2338,1,FALSE()))),"OLD",IF(AND(E2339&lt;&gt;"",E2339&lt;&gt;"!!!"),"NEW","")))</f>
        <v> </v>
      </c>
      <c r="G2339" s="24" t="str">
        <f>IF(OR(E2339="",E2339="!!!"),"",IF(OR(J2339=0,AND(J2339=1,K2339=1),AND(J2339=1,I2339="SBJ"),AND(J2339=1,I2339=0)),"?IN_FOCUS",IF(J2339&lt;=2,"?ACTIVATED",IF(J2339&lt;&gt;"","?FAMILIAR",IF(F2339="NEW",IF(ISNA(VLOOKUP(E2339,#REF!,1,FALSE())),"?TYPE_IDENTIFIABLE","?REFERENTIAL"),"_")))))</f>
        <v> </v>
      </c>
      <c r="H2339" s="25" t="str">
        <f>IF(J2339&lt;&gt;1,"",IF(I2339="SBJ","CB","?"))</f>
        <v> </v>
      </c>
      <c r="I2339" s="26" t="str">
        <f>IF(OR(E2339="",E2339="!!!",F2339="NEW"),"",INDEX(B2338:B$2,-1+SUMPRODUCT(MAX(ROW(E2338:E$2)*(E2339=E2338:E$2)))))</f>
        <v> </v>
      </c>
      <c r="J2339" s="26" t="str">
        <f>IF(OR(E2339="",E2339="!!!",F2339="NEW"),"",COUNTBLANK(OFFSET(A$1,,,SUMPRODUCT(MAX(ROW(E$2:E2339)*(E2339=E$2:E2339)))))-COUNTBLANK(OFFSET(A$1,,,SUMPRODUCT(MAX(ROW(E$1:E2338)*(E2=E$1:E2338))))))</f>
        <v> </v>
      </c>
      <c r="K2339" s="26" t="str">
        <f>IF(OR(E2339="",E2339="!!!",F2339="NEW"),"",INDEX(J$1:J2338,SUMPRODUCT(MAX(ROW(E$1:E2338)*(E2339=E$1:E2338)))))</f>
        <v> </v>
      </c>
      <c r="L2339" s="27"/>
    </row>
    <row r="2340" spans="1:12">
      <c r="A2340" s="20" t="s">
        <v>1644</v>
      </c>
      <c r="E2340" s="22">
        <f>IF(D2340="?OLD","!!!","")</f>
        <v/>
      </c>
      <c r="F2340" s="23" t="str">
        <f>IF(OR(E2340="",E2340="!!!"),"",IF(NOT(ISNA(VLOOKUP(E2340,E$1:E2339,1,FALSE()))),"OLD",IF(AND(E2340&lt;&gt;"",E2340&lt;&gt;"!!!"),"NEW","")))</f>
        <v> </v>
      </c>
      <c r="G2340" s="24" t="str">
        <f>IF(OR(E2340="",E2340="!!!"),"",IF(OR(J2340=0,AND(J2340=1,K2340=1),AND(J2340=1,I2340="SBJ"),AND(J2340=1,I2340=0)),"?IN_FOCUS",IF(J2340&lt;=2,"?ACTIVATED",IF(J2340&lt;&gt;"","?FAMILIAR",IF(F2340="NEW",IF(ISNA(VLOOKUP(E2340,#REF!,1,FALSE())),"?TYPE_IDENTIFIABLE","?REFERENTIAL"),"_")))))</f>
        <v> </v>
      </c>
      <c r="H2340" s="25" t="str">
        <f>IF(J2340&lt;&gt;1,"",IF(I2340="SBJ","CB","?"))</f>
        <v> </v>
      </c>
      <c r="I2340" s="26" t="str">
        <f>IF(OR(E2340="",E2340="!!!",F2340="NEW"),"",INDEX(B2339:B$2,-1+SUMPRODUCT(MAX(ROW(E2339:E$2)*(E2340=E2339:E$2)))))</f>
        <v> </v>
      </c>
      <c r="J2340" s="26" t="str">
        <f>IF(OR(E2340="",E2340="!!!",F2340="NEW"),"",COUNTBLANK(OFFSET(A$1,,,SUMPRODUCT(MAX(ROW(E$2:E2340)*(E2340=E$2:E2340)))))-COUNTBLANK(OFFSET(A$1,,,SUMPRODUCT(MAX(ROW(E$1:E2339)*(E2=E$1:E2339))))))</f>
        <v> </v>
      </c>
      <c r="K2340" s="26" t="str">
        <f>IF(OR(E2340="",E2340="!!!",F2340="NEW"),"",INDEX(J$1:J2339,SUMPRODUCT(MAX(ROW(E$1:E2339)*(E2340=E$1:E2339)))))</f>
        <v> </v>
      </c>
      <c r="L2340" s="27"/>
    </row>
    <row r="2341" spans="1:12">
      <c r="A2341" s="20" t="s">
        <v>1645</v>
      </c>
      <c r="B2341" s="21" t="s">
        <v>651</v>
      </c>
      <c r="C2341" s="21" t="s">
        <v>586</v>
      </c>
      <c r="D2341" s="21" t="s">
        <v>587</v>
      </c>
      <c r="E2341" s="22">
        <f>IF(D2341="?OLD","!!!","")</f>
        <v/>
      </c>
      <c r="F2341" s="23" t="str">
        <f>IF(OR(E2341="",E2341="!!!"),"",IF(NOT(ISNA(VLOOKUP(E2341,E$1:E2340,1,FALSE()))),"OLD",IF(AND(E2341&lt;&gt;"",E2341&lt;&gt;"!!!"),"NEW","")))</f>
        <v> </v>
      </c>
      <c r="G2341" s="24" t="str">
        <f>IF(OR(E2341="",E2341="!!!"),"",IF(OR(J2341=0,AND(J2341=1,K2341=1),AND(J2341=1,I2341="SBJ"),AND(J2341=1,I2341=0)),"?IN_FOCUS",IF(J2341&lt;=2,"?ACTIVATED",IF(J2341&lt;&gt;"","?FAMILIAR",IF(F2341="NEW",IF(ISNA(VLOOKUP(E2341,#REF!,1,FALSE())),"?TYPE_IDENTIFIABLE","?REFERENTIAL"),"_")))))</f>
        <v> </v>
      </c>
      <c r="H2341" s="25" t="str">
        <f>IF(J2341&lt;&gt;1,"",IF(I2341="SBJ","CB","?"))</f>
        <v> </v>
      </c>
      <c r="I2341" s="26" t="str">
        <f>IF(OR(E2341="",E2341="!!!",F2341="NEW"),"",INDEX(B2340:B$2,-1+SUMPRODUCT(MAX(ROW(E2340:E$2)*(E2341=E2340:E$2)))))</f>
        <v> </v>
      </c>
      <c r="J2341" s="26" t="str">
        <f>IF(OR(E2341="",E2341="!!!",F2341="NEW"),"",COUNTBLANK(OFFSET(A$1,,,SUMPRODUCT(MAX(ROW(E$2:E2341)*(E2341=E$2:E2341)))))-COUNTBLANK(OFFSET(A$1,,,SUMPRODUCT(MAX(ROW(E$1:E2340)*(E2=E$1:E2340))))))</f>
        <v> </v>
      </c>
      <c r="K2341" s="26" t="str">
        <f>IF(OR(E2341="",E2341="!!!",F2341="NEW"),"",INDEX(J$1:J2340,SUMPRODUCT(MAX(ROW(E$1:E2340)*(E2341=E$1:E2340)))))</f>
        <v> </v>
      </c>
      <c r="L2341" s="27"/>
    </row>
    <row r="2342" spans="1:12">
      <c r="A2342" s="20" t="s">
        <v>583</v>
      </c>
      <c r="E2342" s="22">
        <f>IF(D2342="?OLD","!!!","")</f>
        <v/>
      </c>
      <c r="F2342" s="23" t="str">
        <f>IF(OR(E2342="",E2342="!!!"),"",IF(NOT(ISNA(VLOOKUP(E2342,E$1:E2341,1,FALSE()))),"OLD",IF(AND(E2342&lt;&gt;"",E2342&lt;&gt;"!!!"),"NEW","")))</f>
        <v> </v>
      </c>
      <c r="G2342" s="24" t="str">
        <f>IF(OR(E2342="",E2342="!!!"),"",IF(OR(J2342=0,AND(J2342=1,K2342=1),AND(J2342=1,I2342="SBJ"),AND(J2342=1,I2342=0)),"?IN_FOCUS",IF(J2342&lt;=2,"?ACTIVATED",IF(J2342&lt;&gt;"","?FAMILIAR",IF(F2342="NEW",IF(ISNA(VLOOKUP(E2342,#REF!,1,FALSE())),"?TYPE_IDENTIFIABLE","?REFERENTIAL"),"_")))))</f>
        <v> </v>
      </c>
      <c r="H2342" s="25" t="str">
        <f>IF(J2342&lt;&gt;1,"",IF(I2342="SBJ","CB","?"))</f>
        <v> </v>
      </c>
      <c r="I2342" s="26" t="str">
        <f>IF(OR(E2342="",E2342="!!!",F2342="NEW"),"",INDEX(B2341:B$2,-1+SUMPRODUCT(MAX(ROW(E2341:E$2)*(E2342=E2341:E$2)))))</f>
        <v> </v>
      </c>
      <c r="J2342" s="26" t="str">
        <f>IF(OR(E2342="",E2342="!!!",F2342="NEW"),"",COUNTBLANK(OFFSET(A$1,,,SUMPRODUCT(MAX(ROW(E$2:E2342)*(E2342=E$2:E2342)))))-COUNTBLANK(OFFSET(A$1,,,SUMPRODUCT(MAX(ROW(E$1:E2341)*(E2=E$1:E2341))))))</f>
        <v> </v>
      </c>
      <c r="K2342" s="26" t="str">
        <f>IF(OR(E2342="",E2342="!!!",F2342="NEW"),"",INDEX(J$1:J2341,SUMPRODUCT(MAX(ROW(E$1:E2341)*(E2342=E$1:E2341)))))</f>
        <v> </v>
      </c>
      <c r="L2342" s="27"/>
    </row>
    <row r="2343" spans="1:12">
      <c r="A2343" s="20" t="s">
        <v>369</v>
      </c>
      <c r="E2343" s="22">
        <f>IF(D2343="?OLD","!!!","")</f>
        <v/>
      </c>
      <c r="F2343" s="23" t="str">
        <f>IF(OR(E2343="",E2343="!!!"),"",IF(NOT(ISNA(VLOOKUP(E2343,E$1:E2342,1,FALSE()))),"OLD",IF(AND(E2343&lt;&gt;"",E2343&lt;&gt;"!!!"),"NEW","")))</f>
        <v> </v>
      </c>
      <c r="G2343" s="24" t="str">
        <f>IF(OR(E2343="",E2343="!!!"),"",IF(OR(J2343=0,AND(J2343=1,K2343=1),AND(J2343=1,I2343="SBJ"),AND(J2343=1,I2343=0)),"?IN_FOCUS",IF(J2343&lt;=2,"?ACTIVATED",IF(J2343&lt;&gt;"","?FAMILIAR",IF(F2343="NEW",IF(ISNA(VLOOKUP(E2343,#REF!,1,FALSE())),"?TYPE_IDENTIFIABLE","?REFERENTIAL"),"_")))))</f>
        <v> </v>
      </c>
      <c r="H2343" s="25" t="str">
        <f>IF(J2343&lt;&gt;1,"",IF(I2343="SBJ","CB","?"))</f>
        <v> </v>
      </c>
      <c r="I2343" s="26" t="str">
        <f>IF(OR(E2343="",E2343="!!!",F2343="NEW"),"",INDEX(B2342:B$2,-1+SUMPRODUCT(MAX(ROW(E2342:E$2)*(E2343=E2342:E$2)))))</f>
        <v> </v>
      </c>
      <c r="J2343" s="26" t="str">
        <f>IF(OR(E2343="",E2343="!!!",F2343="NEW"),"",COUNTBLANK(OFFSET(A$1,,,SUMPRODUCT(MAX(ROW(E$2:E2343)*(E2343=E$2:E2343)))))-COUNTBLANK(OFFSET(A$1,,,SUMPRODUCT(MAX(ROW(E$1:E2342)*(E2=E$1:E2342))))))</f>
        <v> </v>
      </c>
      <c r="K2343" s="26" t="str">
        <f>IF(OR(E2343="",E2343="!!!",F2343="NEW"),"",INDEX(J$1:J2342,SUMPRODUCT(MAX(ROW(E$1:E2342)*(E2343=E$1:E2342)))))</f>
        <v> </v>
      </c>
      <c r="L2343" s="27"/>
    </row>
    <row r="2344" spans="1:12">
      <c r="A2344" s="20" t="s">
        <v>685</v>
      </c>
      <c r="B2344" s="21" t="s">
        <v>605</v>
      </c>
      <c r="C2344" s="21" t="s">
        <v>613</v>
      </c>
      <c r="D2344" s="21" t="s">
        <v>587</v>
      </c>
      <c r="E2344" s="22">
        <f>IF(D2344="?OLD","!!!","")</f>
        <v/>
      </c>
      <c r="F2344" s="23" t="str">
        <f>IF(OR(E2344="",E2344="!!!"),"",IF(NOT(ISNA(VLOOKUP(E2344,E$1:E2343,1,FALSE()))),"OLD",IF(AND(E2344&lt;&gt;"",E2344&lt;&gt;"!!!"),"NEW","")))</f>
        <v> </v>
      </c>
      <c r="G2344" s="24" t="str">
        <f>IF(OR(E2344="",E2344="!!!"),"",IF(OR(J2344=0,AND(J2344=1,K2344=1),AND(J2344=1,I2344="SBJ"),AND(J2344=1,I2344=0)),"?IN_FOCUS",IF(J2344&lt;=2,"?ACTIVATED",IF(J2344&lt;&gt;"","?FAMILIAR",IF(F2344="NEW",IF(ISNA(VLOOKUP(E2344,#REF!,1,FALSE())),"?TYPE_IDENTIFIABLE","?REFERENTIAL"),"_")))))</f>
        <v> </v>
      </c>
      <c r="H2344" s="25" t="str">
        <f>IF(J2344&lt;&gt;1,"",IF(I2344="SBJ","CB","?"))</f>
        <v> </v>
      </c>
      <c r="I2344" s="26" t="str">
        <f>IF(OR(E2344="",E2344="!!!",F2344="NEW"),"",INDEX(B2343:B$2,-1+SUMPRODUCT(MAX(ROW(E2343:E$2)*(E2344=E2343:E$2)))))</f>
        <v> </v>
      </c>
      <c r="J2344" s="26" t="str">
        <f>IF(OR(E2344="",E2344="!!!",F2344="NEW"),"",COUNTBLANK(OFFSET(A$1,,,SUMPRODUCT(MAX(ROW(E$2:E2344)*(E2344=E$2:E2344)))))-COUNTBLANK(OFFSET(A$1,,,SUMPRODUCT(MAX(ROW(E$1:E2343)*(E2=E$1:E2343))))))</f>
        <v> </v>
      </c>
      <c r="K2344" s="26" t="str">
        <f>IF(OR(E2344="",E2344="!!!",F2344="NEW"),"",INDEX(J$1:J2343,SUMPRODUCT(MAX(ROW(E$1:E2343)*(E2344=E$1:E2343)))))</f>
        <v> </v>
      </c>
      <c r="L2344" s="27"/>
    </row>
    <row r="2345" spans="1:12">
      <c r="A2345" s="20" t="s">
        <v>986</v>
      </c>
      <c r="E2345" s="22">
        <f>IF(D2345="?OLD","!!!","")</f>
        <v/>
      </c>
      <c r="F2345" s="23" t="str">
        <f>IF(OR(E2345="",E2345="!!!"),"",IF(NOT(ISNA(VLOOKUP(E2345,E$1:E2344,1,FALSE()))),"OLD",IF(AND(E2345&lt;&gt;"",E2345&lt;&gt;"!!!"),"NEW","")))</f>
        <v> </v>
      </c>
      <c r="G2345" s="24" t="str">
        <f>IF(OR(E2345="",E2345="!!!"),"",IF(OR(J2345=0,AND(J2345=1,K2345=1),AND(J2345=1,I2345="SBJ"),AND(J2345=1,I2345=0)),"?IN_FOCUS",IF(J2345&lt;=2,"?ACTIVATED",IF(J2345&lt;&gt;"","?FAMILIAR",IF(F2345="NEW",IF(ISNA(VLOOKUP(E2345,#REF!,1,FALSE())),"?TYPE_IDENTIFIABLE","?REFERENTIAL"),"_")))))</f>
        <v> </v>
      </c>
      <c r="H2345" s="25" t="str">
        <f>IF(J2345&lt;&gt;1,"",IF(I2345="SBJ","CB","?"))</f>
        <v> </v>
      </c>
      <c r="I2345" s="26" t="str">
        <f>IF(OR(E2345="",E2345="!!!",F2345="NEW"),"",INDEX(B2344:B$2,-1+SUMPRODUCT(MAX(ROW(E2344:E$2)*(E2345=E2344:E$2)))))</f>
        <v> </v>
      </c>
      <c r="J2345" s="26" t="str">
        <f>IF(OR(E2345="",E2345="!!!",F2345="NEW"),"",COUNTBLANK(OFFSET(A$1,,,SUMPRODUCT(MAX(ROW(E$2:E2345)*(E2345=E$2:E2345)))))-COUNTBLANK(OFFSET(A$1,,,SUMPRODUCT(MAX(ROW(E$1:E2344)*(E2=E$1:E2344))))))</f>
        <v> </v>
      </c>
      <c r="K2345" s="26" t="str">
        <f>IF(OR(E2345="",E2345="!!!",F2345="NEW"),"",INDEX(J$1:J2344,SUMPRODUCT(MAX(ROW(E$1:E2344)*(E2345=E$1:E2344)))))</f>
        <v> </v>
      </c>
      <c r="L2345" s="27"/>
    </row>
    <row r="2346" spans="1:12">
      <c r="A2346" s="20" t="s">
        <v>592</v>
      </c>
      <c r="E2346" s="22">
        <f>IF(D2346="?OLD","!!!","")</f>
        <v/>
      </c>
      <c r="F2346" s="23" t="str">
        <f>IF(OR(E2346="",E2346="!!!"),"",IF(NOT(ISNA(VLOOKUP(E2346,E$1:E2345,1,FALSE()))),"OLD",IF(AND(E2346&lt;&gt;"",E2346&lt;&gt;"!!!"),"NEW","")))</f>
        <v> </v>
      </c>
      <c r="G2346" s="24" t="str">
        <f>IF(OR(E2346="",E2346="!!!"),"",IF(OR(J2346=0,AND(J2346=1,K2346=1),AND(J2346=1,I2346="SBJ"),AND(J2346=1,I2346=0)),"?IN_FOCUS",IF(J2346&lt;=2,"?ACTIVATED",IF(J2346&lt;&gt;"","?FAMILIAR",IF(F2346="NEW",IF(ISNA(VLOOKUP(E2346,#REF!,1,FALSE())),"?TYPE_IDENTIFIABLE","?REFERENTIAL"),"_")))))</f>
        <v> </v>
      </c>
      <c r="H2346" s="25" t="str">
        <f>IF(J2346&lt;&gt;1,"",IF(I2346="SBJ","CB","?"))</f>
        <v> </v>
      </c>
      <c r="I2346" s="26" t="str">
        <f>IF(OR(E2346="",E2346="!!!",F2346="NEW"),"",INDEX(B2345:B$2,-1+SUMPRODUCT(MAX(ROW(E2345:E$2)*(E2346=E2345:E$2)))))</f>
        <v> </v>
      </c>
      <c r="J2346" s="26" t="str">
        <f>IF(OR(E2346="",E2346="!!!",F2346="NEW"),"",COUNTBLANK(OFFSET(A$1,,,SUMPRODUCT(MAX(ROW(E$2:E2346)*(E2346=E$2:E2346)))))-COUNTBLANK(OFFSET(A$1,,,SUMPRODUCT(MAX(ROW(E$1:E2345)*(E2=E$1:E2345))))))</f>
        <v> </v>
      </c>
      <c r="K2346" s="26" t="str">
        <f>IF(OR(E2346="",E2346="!!!",F2346="NEW"),"",INDEX(J$1:J2345,SUMPRODUCT(MAX(ROW(E$1:E2345)*(E2346=E$1:E2345)))))</f>
        <v> </v>
      </c>
      <c r="L2346" s="27"/>
    </row>
    <row r="2347" spans="1:12">
      <c r="A2347" s="20"/>
    </row>
    <row r="2348" spans="1:12">
      <c r="A2348" s="20" t="s">
        <v>1646</v>
      </c>
    </row>
    <row r="2349" spans="1:12">
      <c r="A2349" s="20" t="s">
        <v>676</v>
      </c>
      <c r="B2349" s="21" t="s">
        <v>578</v>
      </c>
      <c r="C2349" s="21" t="s">
        <v>613</v>
      </c>
      <c r="D2349" s="21" t="s">
        <v>587</v>
      </c>
      <c r="E2349" s="22">
        <f>IF(D2349="?OLD","!!!","")</f>
        <v/>
      </c>
      <c r="F2349" s="23" t="str">
        <f>IF(OR(E2349="",E2349="!!!"),"",IF(NOT(ISNA(VLOOKUP(E2349,E$1:E2348,1,FALSE()))),"OLD",IF(AND(E2349&lt;&gt;"",E2349&lt;&gt;"!!!"),"NEW","")))</f>
        <v> </v>
      </c>
      <c r="G2349" s="24" t="str">
        <f>IF(OR(E2349="",E2349="!!!"),"",IF(OR(J2349=0,AND(J2349=1,K2349=1),AND(J2349=1,I2349="SBJ"),AND(J2349=1,I2349=0)),"?IN_FOCUS",IF(J2349&lt;=2,"?ACTIVATED",IF(J2349&lt;&gt;"","?FAMILIAR",IF(F2349="NEW",IF(ISNA(VLOOKUP(E2349,#REF!,1,FALSE())),"?TYPE_IDENTIFIABLE","?REFERENTIAL"),"_")))))</f>
        <v> </v>
      </c>
      <c r="H2349" s="25" t="str">
        <f>IF(J2349&lt;&gt;1,"",IF(I2349="SBJ","CB","?"))</f>
        <v> </v>
      </c>
      <c r="I2349" s="26" t="str">
        <f>IF(OR(E2349="",E2349="!!!",F2349="NEW"),"",INDEX(B2348:B$2,-1+SUMPRODUCT(MAX(ROW(E2348:E$2)*(E2349=E2348:E$2)))))</f>
        <v> </v>
      </c>
      <c r="J2349" s="26" t="str">
        <f>IF(OR(E2349="",E2349="!!!",F2349="NEW"),"",COUNTBLANK(OFFSET(A$1,,,SUMPRODUCT(MAX(ROW(E$2:E2349)*(E2349=E$2:E2349)))))-COUNTBLANK(OFFSET(A$1,,,SUMPRODUCT(MAX(ROW(E$1:E2348)*(E2=E$1:E2348))))))</f>
        <v> </v>
      </c>
      <c r="K2349" s="26" t="str">
        <f>IF(OR(E2349="",E2349="!!!",F2349="NEW"),"",INDEX(J$1:J2348,SUMPRODUCT(MAX(ROW(E$1:E2348)*(E2349=E$1:E2348)))))</f>
        <v> </v>
      </c>
      <c r="L2349" s="27"/>
    </row>
    <row r="2350" spans="1:12">
      <c r="A2350" s="20" t="s">
        <v>1647</v>
      </c>
      <c r="E2350" s="22">
        <f>IF(D2350="?OLD","!!!","")</f>
        <v/>
      </c>
      <c r="F2350" s="23" t="str">
        <f>IF(OR(E2350="",E2350="!!!"),"",IF(NOT(ISNA(VLOOKUP(E2350,E$1:E2349,1,FALSE()))),"OLD",IF(AND(E2350&lt;&gt;"",E2350&lt;&gt;"!!!"),"NEW","")))</f>
        <v> </v>
      </c>
      <c r="G2350" s="24" t="str">
        <f>IF(OR(E2350="",E2350="!!!"),"",IF(OR(J2350=0,AND(J2350=1,K2350=1),AND(J2350=1,I2350="SBJ"),AND(J2350=1,I2350=0)),"?IN_FOCUS",IF(J2350&lt;=2,"?ACTIVATED",IF(J2350&lt;&gt;"","?FAMILIAR",IF(F2350="NEW",IF(ISNA(VLOOKUP(E2350,#REF!,1,FALSE())),"?TYPE_IDENTIFIABLE","?REFERENTIAL"),"_")))))</f>
        <v> </v>
      </c>
      <c r="H2350" s="25" t="str">
        <f>IF(J2350&lt;&gt;1,"",IF(I2350="SBJ","CB","?"))</f>
        <v> </v>
      </c>
      <c r="I2350" s="26" t="str">
        <f>IF(OR(E2350="",E2350="!!!",F2350="NEW"),"",INDEX(B2349:B$2,-1+SUMPRODUCT(MAX(ROW(E2349:E$2)*(E2350=E2349:E$2)))))</f>
        <v> </v>
      </c>
      <c r="J2350" s="26" t="str">
        <f>IF(OR(E2350="",E2350="!!!",F2350="NEW"),"",COUNTBLANK(OFFSET(A$1,,,SUMPRODUCT(MAX(ROW(E$2:E2350)*(E2350=E$2:E2350)))))-COUNTBLANK(OFFSET(A$1,,,SUMPRODUCT(MAX(ROW(E$1:E2349)*(E2=E$1:E2349))))))</f>
        <v> </v>
      </c>
      <c r="K2350" s="26" t="str">
        <f>IF(OR(E2350="",E2350="!!!",F2350="NEW"),"",INDEX(J$1:J2349,SUMPRODUCT(MAX(ROW(E$1:E2349)*(E2350=E$1:E2349)))))</f>
        <v> </v>
      </c>
      <c r="L2350" s="27"/>
    </row>
    <row r="2351" spans="1:12">
      <c r="A2351" s="20" t="s">
        <v>1609</v>
      </c>
      <c r="B2351" s="21" t="s">
        <v>615</v>
      </c>
      <c r="E2351" s="22">
        <f>IF(D2351="?OLD","!!!","")</f>
        <v/>
      </c>
      <c r="F2351" s="23" t="str">
        <f>IF(OR(E2351="",E2351="!!!"),"",IF(NOT(ISNA(VLOOKUP(E2351,E$1:E2350,1,FALSE()))),"OLD",IF(AND(E2351&lt;&gt;"",E2351&lt;&gt;"!!!"),"NEW","")))</f>
        <v> </v>
      </c>
      <c r="G2351" s="24" t="str">
        <f>IF(OR(E2351="",E2351="!!!"),"",IF(OR(J2351=0,AND(J2351=1,K2351=1),AND(J2351=1,I2351="SBJ"),AND(J2351=1,I2351=0)),"?IN_FOCUS",IF(J2351&lt;=2,"?ACTIVATED",IF(J2351&lt;&gt;"","?FAMILIAR",IF(F2351="NEW",IF(ISNA(VLOOKUP(E2351,#REF!,1,FALSE())),"?TYPE_IDENTIFIABLE","?REFERENTIAL"),"_")))))</f>
        <v> </v>
      </c>
      <c r="H2351" s="25" t="str">
        <f>IF(J2351&lt;&gt;1,"",IF(I2351="SBJ","CB","?"))</f>
        <v> </v>
      </c>
      <c r="I2351" s="26" t="str">
        <f>IF(OR(E2351="",E2351="!!!",F2351="NEW"),"",INDEX(B2350:B$2,-1+SUMPRODUCT(MAX(ROW(E2350:E$2)*(E2351=E2350:E$2)))))</f>
        <v> </v>
      </c>
      <c r="J2351" s="26" t="str">
        <f>IF(OR(E2351="",E2351="!!!",F2351="NEW"),"",COUNTBLANK(OFFSET(A$1,,,SUMPRODUCT(MAX(ROW(E$2:E2351)*(E2351=E$2:E2351)))))-COUNTBLANK(OFFSET(A$1,,,SUMPRODUCT(MAX(ROW(E$1:E2350)*(E2=E$1:E2350))))))</f>
        <v> </v>
      </c>
      <c r="K2351" s="26" t="str">
        <f>IF(OR(E2351="",E2351="!!!",F2351="NEW"),"",INDEX(J$1:J2350,SUMPRODUCT(MAX(ROW(E$1:E2350)*(E2351=E$1:E2350)))))</f>
        <v> </v>
      </c>
      <c r="L2351" s="27"/>
    </row>
    <row r="2352" spans="1:12">
      <c r="A2352" s="20" t="s">
        <v>583</v>
      </c>
      <c r="E2352" s="22">
        <f>IF(D2352="?OLD","!!!","")</f>
        <v/>
      </c>
      <c r="F2352" s="23" t="str">
        <f>IF(OR(E2352="",E2352="!!!"),"",IF(NOT(ISNA(VLOOKUP(E2352,E$1:E2351,1,FALSE()))),"OLD",IF(AND(E2352&lt;&gt;"",E2352&lt;&gt;"!!!"),"NEW","")))</f>
        <v> </v>
      </c>
      <c r="G2352" s="24" t="str">
        <f>IF(OR(E2352="",E2352="!!!"),"",IF(OR(J2352=0,AND(J2352=1,K2352=1),AND(J2352=1,I2352="SBJ"),AND(J2352=1,I2352=0)),"?IN_FOCUS",IF(J2352&lt;=2,"?ACTIVATED",IF(J2352&lt;&gt;"","?FAMILIAR",IF(F2352="NEW",IF(ISNA(VLOOKUP(E2352,#REF!,1,FALSE())),"?TYPE_IDENTIFIABLE","?REFERENTIAL"),"_")))))</f>
        <v> </v>
      </c>
      <c r="H2352" s="25" t="str">
        <f>IF(J2352&lt;&gt;1,"",IF(I2352="SBJ","CB","?"))</f>
        <v> </v>
      </c>
      <c r="I2352" s="26" t="str">
        <f>IF(OR(E2352="",E2352="!!!",F2352="NEW"),"",INDEX(B2351:B$2,-1+SUMPRODUCT(MAX(ROW(E2351:E$2)*(E2352=E2351:E$2)))))</f>
        <v> </v>
      </c>
      <c r="J2352" s="26" t="str">
        <f>IF(OR(E2352="",E2352="!!!",F2352="NEW"),"",COUNTBLANK(OFFSET(A$1,,,SUMPRODUCT(MAX(ROW(E$2:E2352)*(E2352=E$2:E2352)))))-COUNTBLANK(OFFSET(A$1,,,SUMPRODUCT(MAX(ROW(E$1:E2351)*(E2=E$1:E2351))))))</f>
        <v> </v>
      </c>
      <c r="K2352" s="26" t="str">
        <f>IF(OR(E2352="",E2352="!!!",F2352="NEW"),"",INDEX(J$1:J2351,SUMPRODUCT(MAX(ROW(E$1:E2351)*(E2352=E$1:E2351)))))</f>
        <v> </v>
      </c>
      <c r="L2352" s="27"/>
    </row>
    <row r="2353" spans="1:12">
      <c r="A2353" s="20" t="s">
        <v>1648</v>
      </c>
      <c r="E2353" s="22">
        <f>IF(D2353="?OLD","!!!","")</f>
        <v/>
      </c>
      <c r="F2353" s="23" t="str">
        <f>IF(OR(E2353="",E2353="!!!"),"",IF(NOT(ISNA(VLOOKUP(E2353,E$1:E2352,1,FALSE()))),"OLD",IF(AND(E2353&lt;&gt;"",E2353&lt;&gt;"!!!"),"NEW","")))</f>
        <v> </v>
      </c>
      <c r="G2353" s="24" t="str">
        <f>IF(OR(E2353="",E2353="!!!"),"",IF(OR(J2353=0,AND(J2353=1,K2353=1),AND(J2353=1,I2353="SBJ"),AND(J2353=1,I2353=0)),"?IN_FOCUS",IF(J2353&lt;=2,"?ACTIVATED",IF(J2353&lt;&gt;"","?FAMILIAR",IF(F2353="NEW",IF(ISNA(VLOOKUP(E2353,#REF!,1,FALSE())),"?TYPE_IDENTIFIABLE","?REFERENTIAL"),"_")))))</f>
        <v> </v>
      </c>
      <c r="H2353" s="25" t="str">
        <f>IF(J2353&lt;&gt;1,"",IF(I2353="SBJ","CB","?"))</f>
        <v> </v>
      </c>
      <c r="I2353" s="26" t="str">
        <f>IF(OR(E2353="",E2353="!!!",F2353="NEW"),"",INDEX(B2352:B$2,-1+SUMPRODUCT(MAX(ROW(E2352:E$2)*(E2353=E2352:E$2)))))</f>
        <v> </v>
      </c>
      <c r="J2353" s="26" t="str">
        <f>IF(OR(E2353="",E2353="!!!",F2353="NEW"),"",COUNTBLANK(OFFSET(A$1,,,SUMPRODUCT(MAX(ROW(E$2:E2353)*(E2353=E$2:E2353)))))-COUNTBLANK(OFFSET(A$1,,,SUMPRODUCT(MAX(ROW(E$1:E2352)*(E2=E$1:E2352))))))</f>
        <v> </v>
      </c>
      <c r="K2353" s="26" t="str">
        <f>IF(OR(E2353="",E2353="!!!",F2353="NEW"),"",INDEX(J$1:J2352,SUMPRODUCT(MAX(ROW(E$1:E2352)*(E2353=E$1:E2352)))))</f>
        <v> </v>
      </c>
      <c r="L2353" s="27"/>
    </row>
    <row r="2354" spans="1:12">
      <c r="A2354" s="20" t="s">
        <v>1649</v>
      </c>
      <c r="E2354" s="22">
        <f>IF(D2354="?OLD","!!!","")</f>
        <v/>
      </c>
      <c r="F2354" s="23" t="str">
        <f>IF(OR(E2354="",E2354="!!!"),"",IF(NOT(ISNA(VLOOKUP(E2354,E$1:E2353,1,FALSE()))),"OLD",IF(AND(E2354&lt;&gt;"",E2354&lt;&gt;"!!!"),"NEW","")))</f>
        <v> </v>
      </c>
      <c r="G2354" s="24" t="str">
        <f>IF(OR(E2354="",E2354="!!!"),"",IF(OR(J2354=0,AND(J2354=1,K2354=1),AND(J2354=1,I2354="SBJ"),AND(J2354=1,I2354=0)),"?IN_FOCUS",IF(J2354&lt;=2,"?ACTIVATED",IF(J2354&lt;&gt;"","?FAMILIAR",IF(F2354="NEW",IF(ISNA(VLOOKUP(E2354,#REF!,1,FALSE())),"?TYPE_IDENTIFIABLE","?REFERENTIAL"),"_")))))</f>
        <v> </v>
      </c>
      <c r="H2354" s="25" t="str">
        <f>IF(J2354&lt;&gt;1,"",IF(I2354="SBJ","CB","?"))</f>
        <v> </v>
      </c>
      <c r="I2354" s="26" t="str">
        <f>IF(OR(E2354="",E2354="!!!",F2354="NEW"),"",INDEX(B2353:B$2,-1+SUMPRODUCT(MAX(ROW(E2353:E$2)*(E2354=E2353:E$2)))))</f>
        <v> </v>
      </c>
      <c r="J2354" s="26" t="str">
        <f>IF(OR(E2354="",E2354="!!!",F2354="NEW"),"",COUNTBLANK(OFFSET(A$1,,,SUMPRODUCT(MAX(ROW(E$2:E2354)*(E2354=E$2:E2354)))))-COUNTBLANK(OFFSET(A$1,,,SUMPRODUCT(MAX(ROW(E$1:E2353)*(E2=E$1:E2353))))))</f>
        <v> </v>
      </c>
      <c r="K2354" s="26" t="str">
        <f>IF(OR(E2354="",E2354="!!!",F2354="NEW"),"",INDEX(J$1:J2353,SUMPRODUCT(MAX(ROW(E$1:E2353)*(E2354=E$1:E2353)))))</f>
        <v> </v>
      </c>
      <c r="L2354" s="27"/>
    </row>
    <row r="2355" spans="1:12">
      <c r="A2355" s="20" t="s">
        <v>1650</v>
      </c>
      <c r="E2355" s="22">
        <f>IF(D2355="?OLD","!!!","")</f>
        <v/>
      </c>
      <c r="F2355" s="23" t="str">
        <f>IF(OR(E2355="",E2355="!!!"),"",IF(NOT(ISNA(VLOOKUP(E2355,E$1:E2354,1,FALSE()))),"OLD",IF(AND(E2355&lt;&gt;"",E2355&lt;&gt;"!!!"),"NEW","")))</f>
        <v> </v>
      </c>
      <c r="G2355" s="24" t="str">
        <f>IF(OR(E2355="",E2355="!!!"),"",IF(OR(J2355=0,AND(J2355=1,K2355=1),AND(J2355=1,I2355="SBJ"),AND(J2355=1,I2355=0)),"?IN_FOCUS",IF(J2355&lt;=2,"?ACTIVATED",IF(J2355&lt;&gt;"","?FAMILIAR",IF(F2355="NEW",IF(ISNA(VLOOKUP(E2355,#REF!,1,FALSE())),"?TYPE_IDENTIFIABLE","?REFERENTIAL"),"_")))))</f>
        <v> </v>
      </c>
      <c r="H2355" s="25" t="str">
        <f>IF(J2355&lt;&gt;1,"",IF(I2355="SBJ","CB","?"))</f>
        <v> </v>
      </c>
      <c r="I2355" s="26" t="str">
        <f>IF(OR(E2355="",E2355="!!!",F2355="NEW"),"",INDEX(B2354:B$2,-1+SUMPRODUCT(MAX(ROW(E2354:E$2)*(E2355=E2354:E$2)))))</f>
        <v> </v>
      </c>
      <c r="J2355" s="26" t="str">
        <f>IF(OR(E2355="",E2355="!!!",F2355="NEW"),"",COUNTBLANK(OFFSET(A$1,,,SUMPRODUCT(MAX(ROW(E$2:E2355)*(E2355=E$2:E2355)))))-COUNTBLANK(OFFSET(A$1,,,SUMPRODUCT(MAX(ROW(E$1:E2354)*(E2=E$1:E2354))))))</f>
        <v> </v>
      </c>
      <c r="K2355" s="26" t="str">
        <f>IF(OR(E2355="",E2355="!!!",F2355="NEW"),"",INDEX(J$1:J2354,SUMPRODUCT(MAX(ROW(E$1:E2354)*(E2355=E$1:E2354)))))</f>
        <v> </v>
      </c>
      <c r="L2355" s="27"/>
    </row>
    <row r="2356" spans="1:12">
      <c r="A2356" s="20" t="s">
        <v>630</v>
      </c>
      <c r="E2356" s="22">
        <f>IF(D2356="?OLD","!!!","")</f>
        <v/>
      </c>
      <c r="F2356" s="23" t="str">
        <f>IF(OR(E2356="",E2356="!!!"),"",IF(NOT(ISNA(VLOOKUP(E2356,E$1:E2355,1,FALSE()))),"OLD",IF(AND(E2356&lt;&gt;"",E2356&lt;&gt;"!!!"),"NEW","")))</f>
        <v> </v>
      </c>
      <c r="G2356" s="24" t="str">
        <f>IF(OR(E2356="",E2356="!!!"),"",IF(OR(J2356=0,AND(J2356=1,K2356=1),AND(J2356=1,I2356="SBJ"),AND(J2356=1,I2356=0)),"?IN_FOCUS",IF(J2356&lt;=2,"?ACTIVATED",IF(J2356&lt;&gt;"","?FAMILIAR",IF(F2356="NEW",IF(ISNA(VLOOKUP(E2356,#REF!,1,FALSE())),"?TYPE_IDENTIFIABLE","?REFERENTIAL"),"_")))))</f>
        <v> </v>
      </c>
      <c r="H2356" s="25" t="str">
        <f>IF(J2356&lt;&gt;1,"",IF(I2356="SBJ","CB","?"))</f>
        <v> </v>
      </c>
      <c r="I2356" s="26" t="str">
        <f>IF(OR(E2356="",E2356="!!!",F2356="NEW"),"",INDEX(B2355:B$2,-1+SUMPRODUCT(MAX(ROW(E2355:E$2)*(E2356=E2355:E$2)))))</f>
        <v> </v>
      </c>
      <c r="J2356" s="26" t="str">
        <f>IF(OR(E2356="",E2356="!!!",F2356="NEW"),"",COUNTBLANK(OFFSET(A$1,,,SUMPRODUCT(MAX(ROW(E$2:E2356)*(E2356=E$2:E2356)))))-COUNTBLANK(OFFSET(A$1,,,SUMPRODUCT(MAX(ROW(E$1:E2355)*(E2=E$1:E2355))))))</f>
        <v> </v>
      </c>
      <c r="K2356" s="26" t="str">
        <f>IF(OR(E2356="",E2356="!!!",F2356="NEW"),"",INDEX(J$1:J2355,SUMPRODUCT(MAX(ROW(E$1:E2355)*(E2356=E$1:E2355)))))</f>
        <v> </v>
      </c>
      <c r="L2356" s="27"/>
    </row>
    <row r="2357" spans="1:12">
      <c r="A2357" s="20" t="s">
        <v>1651</v>
      </c>
      <c r="E2357" s="22">
        <f>IF(D2357="?OLD","!!!","")</f>
        <v/>
      </c>
      <c r="F2357" s="23" t="str">
        <f>IF(OR(E2357="",E2357="!!!"),"",IF(NOT(ISNA(VLOOKUP(E2357,E$1:E2356,1,FALSE()))),"OLD",IF(AND(E2357&lt;&gt;"",E2357&lt;&gt;"!!!"),"NEW","")))</f>
        <v> </v>
      </c>
      <c r="G2357" s="24" t="str">
        <f>IF(OR(E2357="",E2357="!!!"),"",IF(OR(J2357=0,AND(J2357=1,K2357=1),AND(J2357=1,I2357="SBJ"),AND(J2357=1,I2357=0)),"?IN_FOCUS",IF(J2357&lt;=2,"?ACTIVATED",IF(J2357&lt;&gt;"","?FAMILIAR",IF(F2357="NEW",IF(ISNA(VLOOKUP(E2357,#REF!,1,FALSE())),"?TYPE_IDENTIFIABLE","?REFERENTIAL"),"_")))))</f>
        <v> </v>
      </c>
      <c r="H2357" s="25" t="str">
        <f>IF(J2357&lt;&gt;1,"",IF(I2357="SBJ","CB","?"))</f>
        <v> </v>
      </c>
      <c r="I2357" s="26" t="str">
        <f>IF(OR(E2357="",E2357="!!!",F2357="NEW"),"",INDEX(B2356:B$2,-1+SUMPRODUCT(MAX(ROW(E2356:E$2)*(E2357=E2356:E$2)))))</f>
        <v> </v>
      </c>
      <c r="J2357" s="26" t="str">
        <f>IF(OR(E2357="",E2357="!!!",F2357="NEW"),"",COUNTBLANK(OFFSET(A$1,,,SUMPRODUCT(MAX(ROW(E$2:E2357)*(E2357=E$2:E2357)))))-COUNTBLANK(OFFSET(A$1,,,SUMPRODUCT(MAX(ROW(E$1:E2356)*(E2=E$1:E2356))))))</f>
        <v> </v>
      </c>
      <c r="K2357" s="26" t="str">
        <f>IF(OR(E2357="",E2357="!!!",F2357="NEW"),"",INDEX(J$1:J2356,SUMPRODUCT(MAX(ROW(E$1:E2356)*(E2357=E$1:E2356)))))</f>
        <v> </v>
      </c>
      <c r="L2357" s="27"/>
    </row>
    <row r="2358" spans="1:12">
      <c r="A2358" s="20" t="s">
        <v>592</v>
      </c>
      <c r="E2358" s="22">
        <f>IF(D2358="?OLD","!!!","")</f>
        <v/>
      </c>
      <c r="F2358" s="23" t="str">
        <f>IF(OR(E2358="",E2358="!!!"),"",IF(NOT(ISNA(VLOOKUP(E2358,E$1:E2357,1,FALSE()))),"OLD",IF(AND(E2358&lt;&gt;"",E2358&lt;&gt;"!!!"),"NEW","")))</f>
        <v> </v>
      </c>
      <c r="G2358" s="24" t="str">
        <f>IF(OR(E2358="",E2358="!!!"),"",IF(OR(J2358=0,AND(J2358=1,K2358=1),AND(J2358=1,I2358="SBJ"),AND(J2358=1,I2358=0)),"?IN_FOCUS",IF(J2358&lt;=2,"?ACTIVATED",IF(J2358&lt;&gt;"","?FAMILIAR",IF(F2358="NEW",IF(ISNA(VLOOKUP(E2358,#REF!,1,FALSE())),"?TYPE_IDENTIFIABLE","?REFERENTIAL"),"_")))))</f>
        <v> </v>
      </c>
      <c r="H2358" s="25" t="str">
        <f>IF(J2358&lt;&gt;1,"",IF(I2358="SBJ","CB","?"))</f>
        <v> </v>
      </c>
      <c r="I2358" s="26" t="str">
        <f>IF(OR(E2358="",E2358="!!!",F2358="NEW"),"",INDEX(B2357:B$2,-1+SUMPRODUCT(MAX(ROW(E2357:E$2)*(E2358=E2357:E$2)))))</f>
        <v> </v>
      </c>
      <c r="J2358" s="26" t="str">
        <f>IF(OR(E2358="",E2358="!!!",F2358="NEW"),"",COUNTBLANK(OFFSET(A$1,,,SUMPRODUCT(MAX(ROW(E$2:E2358)*(E2358=E$2:E2358)))))-COUNTBLANK(OFFSET(A$1,,,SUMPRODUCT(MAX(ROW(E$1:E2357)*(E2=E$1:E2357))))))</f>
        <v> </v>
      </c>
      <c r="K2358" s="26" t="str">
        <f>IF(OR(E2358="",E2358="!!!",F2358="NEW"),"",INDEX(J$1:J2357,SUMPRODUCT(MAX(ROW(E$1:E2357)*(E2358=E$1:E2357)))))</f>
        <v> </v>
      </c>
      <c r="L2358" s="27"/>
    </row>
    <row r="2359" spans="1:12">
      <c r="A2359" s="20"/>
    </row>
    <row r="2360" spans="1:12">
      <c r="A2360" s="20" t="s">
        <v>1652</v>
      </c>
    </row>
    <row r="2361" spans="1:12">
      <c r="A2361" s="20" t="s">
        <v>1653</v>
      </c>
      <c r="B2361" s="21" t="s">
        <v>578</v>
      </c>
      <c r="E2361" s="22">
        <f>IF(D2361="?OLD","!!!","")</f>
        <v/>
      </c>
      <c r="F2361" s="23" t="str">
        <f>IF(OR(E2361="",E2361="!!!"),"",IF(NOT(ISNA(VLOOKUP(E2361,E$1:E2360,1,FALSE()))),"OLD",IF(AND(E2361&lt;&gt;"",E2361&lt;&gt;"!!!"),"NEW","")))</f>
        <v> </v>
      </c>
      <c r="G2361" s="24" t="str">
        <f>IF(OR(E2361="",E2361="!!!"),"",IF(OR(J2361=0,AND(J2361=1,K2361=1),AND(J2361=1,I2361="SBJ"),AND(J2361=1,I2361=0)),"?IN_FOCUS",IF(J2361&lt;=2,"?ACTIVATED",IF(J2361&lt;&gt;"","?FAMILIAR",IF(F2361="NEW",IF(ISNA(VLOOKUP(E2361,#REF!,1,FALSE())),"?TYPE_IDENTIFIABLE","?REFERENTIAL"),"_")))))</f>
        <v> </v>
      </c>
      <c r="H2361" s="25" t="str">
        <f>IF(J2361&lt;&gt;1,"",IF(I2361="SBJ","CB","?"))</f>
        <v> </v>
      </c>
      <c r="I2361" s="26" t="str">
        <f>IF(OR(E2361="",E2361="!!!",F2361="NEW"),"",INDEX(B2360:B$2,-1+SUMPRODUCT(MAX(ROW(E2360:E$2)*(E2361=E2360:E$2)))))</f>
        <v> </v>
      </c>
      <c r="J2361" s="26" t="str">
        <f>IF(OR(E2361="",E2361="!!!",F2361="NEW"),"",COUNTBLANK(OFFSET(A$1,,,SUMPRODUCT(MAX(ROW(E$2:E2361)*(E2361=E$2:E2361)))))-COUNTBLANK(OFFSET(A$1,,,SUMPRODUCT(MAX(ROW(E$1:E2360)*(E2=E$1:E2360))))))</f>
        <v> </v>
      </c>
      <c r="K2361" s="26" t="str">
        <f>IF(OR(E2361="",E2361="!!!",F2361="NEW"),"",INDEX(J$1:J2360,SUMPRODUCT(MAX(ROW(E$1:E2360)*(E2361=E$1:E2360)))))</f>
        <v> </v>
      </c>
      <c r="L2361" s="27"/>
    </row>
    <row r="2362" spans="1:12">
      <c r="A2362" s="20" t="s">
        <v>1506</v>
      </c>
      <c r="E2362" s="22">
        <f>IF(D2362="?OLD","!!!","")</f>
        <v/>
      </c>
      <c r="F2362" s="23" t="str">
        <f>IF(OR(E2362="",E2362="!!!"),"",IF(NOT(ISNA(VLOOKUP(E2362,E$1:E2361,1,FALSE()))),"OLD",IF(AND(E2362&lt;&gt;"",E2362&lt;&gt;"!!!"),"NEW","")))</f>
        <v> </v>
      </c>
      <c r="G2362" s="24" t="str">
        <f>IF(OR(E2362="",E2362="!!!"),"",IF(OR(J2362=0,AND(J2362=1,K2362=1),AND(J2362=1,I2362="SBJ"),AND(J2362=1,I2362=0)),"?IN_FOCUS",IF(J2362&lt;=2,"?ACTIVATED",IF(J2362&lt;&gt;"","?FAMILIAR",IF(F2362="NEW",IF(ISNA(VLOOKUP(E2362,#REF!,1,FALSE())),"?TYPE_IDENTIFIABLE","?REFERENTIAL"),"_")))))</f>
        <v> </v>
      </c>
      <c r="H2362" s="25" t="str">
        <f>IF(J2362&lt;&gt;1,"",IF(I2362="SBJ","CB","?"))</f>
        <v> </v>
      </c>
      <c r="I2362" s="26" t="str">
        <f>IF(OR(E2362="",E2362="!!!",F2362="NEW"),"",INDEX(B2361:B$2,-1+SUMPRODUCT(MAX(ROW(E2361:E$2)*(E2362=E2361:E$2)))))</f>
        <v> </v>
      </c>
      <c r="J2362" s="26" t="str">
        <f>IF(OR(E2362="",E2362="!!!",F2362="NEW"),"",COUNTBLANK(OFFSET(A$1,,,SUMPRODUCT(MAX(ROW(E$2:E2362)*(E2362=E$2:E2362)))))-COUNTBLANK(OFFSET(A$1,,,SUMPRODUCT(MAX(ROW(E$1:E2361)*(E2=E$1:E2361))))))</f>
        <v> </v>
      </c>
      <c r="K2362" s="26" t="str">
        <f>IF(OR(E2362="",E2362="!!!",F2362="NEW"),"",INDEX(J$1:J2361,SUMPRODUCT(MAX(ROW(E$1:E2361)*(E2362=E$1:E2361)))))</f>
        <v> </v>
      </c>
      <c r="L2362" s="27"/>
    </row>
    <row r="2363" spans="1:12">
      <c r="A2363" s="20" t="s">
        <v>718</v>
      </c>
      <c r="E2363" s="22">
        <f>IF(D2363="?OLD","!!!","")</f>
        <v/>
      </c>
      <c r="F2363" s="23" t="str">
        <f>IF(OR(E2363="",E2363="!!!"),"",IF(NOT(ISNA(VLOOKUP(E2363,E$1:E2362,1,FALSE()))),"OLD",IF(AND(E2363&lt;&gt;"",E2363&lt;&gt;"!!!"),"NEW","")))</f>
        <v> </v>
      </c>
      <c r="G2363" s="24" t="str">
        <f>IF(OR(E2363="",E2363="!!!"),"",IF(OR(J2363=0,AND(J2363=1,K2363=1),AND(J2363=1,I2363="SBJ"),AND(J2363=1,I2363=0)),"?IN_FOCUS",IF(J2363&lt;=2,"?ACTIVATED",IF(J2363&lt;&gt;"","?FAMILIAR",IF(F2363="NEW",IF(ISNA(VLOOKUP(E2363,#REF!,1,FALSE())),"?TYPE_IDENTIFIABLE","?REFERENTIAL"),"_")))))</f>
        <v> </v>
      </c>
      <c r="H2363" s="25" t="str">
        <f>IF(J2363&lt;&gt;1,"",IF(I2363="SBJ","CB","?"))</f>
        <v> </v>
      </c>
      <c r="I2363" s="26" t="str">
        <f>IF(OR(E2363="",E2363="!!!",F2363="NEW"),"",INDEX(B2362:B$2,-1+SUMPRODUCT(MAX(ROW(E2362:E$2)*(E2363=E2362:E$2)))))</f>
        <v> </v>
      </c>
      <c r="J2363" s="26" t="str">
        <f>IF(OR(E2363="",E2363="!!!",F2363="NEW"),"",COUNTBLANK(OFFSET(A$1,,,SUMPRODUCT(MAX(ROW(E$2:E2363)*(E2363=E$2:E2363)))))-COUNTBLANK(OFFSET(A$1,,,SUMPRODUCT(MAX(ROW(E$1:E2362)*(E2=E$1:E2362))))))</f>
        <v> </v>
      </c>
      <c r="K2363" s="26" t="str">
        <f>IF(OR(E2363="",E2363="!!!",F2363="NEW"),"",INDEX(J$1:J2362,SUMPRODUCT(MAX(ROW(E$1:E2362)*(E2363=E$1:E2362)))))</f>
        <v> </v>
      </c>
      <c r="L2363" s="27"/>
    </row>
    <row r="2364" spans="1:12">
      <c r="A2364" s="20" t="s">
        <v>1654</v>
      </c>
      <c r="E2364" s="22">
        <f>IF(D2364="?OLD","!!!","")</f>
        <v/>
      </c>
      <c r="F2364" s="23" t="str">
        <f>IF(OR(E2364="",E2364="!!!"),"",IF(NOT(ISNA(VLOOKUP(E2364,E$1:E2363,1,FALSE()))),"OLD",IF(AND(E2364&lt;&gt;"",E2364&lt;&gt;"!!!"),"NEW","")))</f>
        <v> </v>
      </c>
      <c r="G2364" s="24" t="str">
        <f>IF(OR(E2364="",E2364="!!!"),"",IF(OR(J2364=0,AND(J2364=1,K2364=1),AND(J2364=1,I2364="SBJ"),AND(J2364=1,I2364=0)),"?IN_FOCUS",IF(J2364&lt;=2,"?ACTIVATED",IF(J2364&lt;&gt;"","?FAMILIAR",IF(F2364="NEW",IF(ISNA(VLOOKUP(E2364,#REF!,1,FALSE())),"?TYPE_IDENTIFIABLE","?REFERENTIAL"),"_")))))</f>
        <v> </v>
      </c>
      <c r="H2364" s="25" t="str">
        <f>IF(J2364&lt;&gt;1,"",IF(I2364="SBJ","CB","?"))</f>
        <v> </v>
      </c>
      <c r="I2364" s="26" t="str">
        <f>IF(OR(E2364="",E2364="!!!",F2364="NEW"),"",INDEX(B2363:B$2,-1+SUMPRODUCT(MAX(ROW(E2363:E$2)*(E2364=E2363:E$2)))))</f>
        <v> </v>
      </c>
      <c r="J2364" s="26" t="str">
        <f>IF(OR(E2364="",E2364="!!!",F2364="NEW"),"",COUNTBLANK(OFFSET(A$1,,,SUMPRODUCT(MAX(ROW(E$2:E2364)*(E2364=E$2:E2364)))))-COUNTBLANK(OFFSET(A$1,,,SUMPRODUCT(MAX(ROW(E$1:E2363)*(E2=E$1:E2363))))))</f>
        <v> </v>
      </c>
      <c r="K2364" s="26" t="str">
        <f>IF(OR(E2364="",E2364="!!!",F2364="NEW"),"",INDEX(J$1:J2363,SUMPRODUCT(MAX(ROW(E$1:E2363)*(E2364=E$1:E2363)))))</f>
        <v> </v>
      </c>
      <c r="L2364" s="27"/>
    </row>
    <row r="2365" spans="1:12">
      <c r="A2365" s="20" t="s">
        <v>1655</v>
      </c>
      <c r="E2365" s="22">
        <f>IF(D2365="?OLD","!!!","")</f>
        <v/>
      </c>
      <c r="F2365" s="23" t="str">
        <f>IF(OR(E2365="",E2365="!!!"),"",IF(NOT(ISNA(VLOOKUP(E2365,E$1:E2364,1,FALSE()))),"OLD",IF(AND(E2365&lt;&gt;"",E2365&lt;&gt;"!!!"),"NEW","")))</f>
        <v> </v>
      </c>
      <c r="G2365" s="24" t="str">
        <f>IF(OR(E2365="",E2365="!!!"),"",IF(OR(J2365=0,AND(J2365=1,K2365=1),AND(J2365=1,I2365="SBJ"),AND(J2365=1,I2365=0)),"?IN_FOCUS",IF(J2365&lt;=2,"?ACTIVATED",IF(J2365&lt;&gt;"","?FAMILIAR",IF(F2365="NEW",IF(ISNA(VLOOKUP(E2365,#REF!,1,FALSE())),"?TYPE_IDENTIFIABLE","?REFERENTIAL"),"_")))))</f>
        <v> </v>
      </c>
      <c r="H2365" s="25" t="str">
        <f>IF(J2365&lt;&gt;1,"",IF(I2365="SBJ","CB","?"))</f>
        <v> </v>
      </c>
      <c r="I2365" s="26" t="str">
        <f>IF(OR(E2365="",E2365="!!!",F2365="NEW"),"",INDEX(B2364:B$2,-1+SUMPRODUCT(MAX(ROW(E2364:E$2)*(E2365=E2364:E$2)))))</f>
        <v> </v>
      </c>
      <c r="J2365" s="26" t="str">
        <f>IF(OR(E2365="",E2365="!!!",F2365="NEW"),"",COUNTBLANK(OFFSET(A$1,,,SUMPRODUCT(MAX(ROW(E$2:E2365)*(E2365=E$2:E2365)))))-COUNTBLANK(OFFSET(A$1,,,SUMPRODUCT(MAX(ROW(E$1:E2364)*(E2=E$1:E2364))))))</f>
        <v> </v>
      </c>
      <c r="K2365" s="26" t="str">
        <f>IF(OR(E2365="",E2365="!!!",F2365="NEW"),"",INDEX(J$1:J2364,SUMPRODUCT(MAX(ROW(E$1:E2364)*(E2365=E$1:E2364)))))</f>
        <v> </v>
      </c>
      <c r="L2365" s="27"/>
    </row>
    <row r="2366" spans="1:12">
      <c r="A2366" s="20" t="s">
        <v>1656</v>
      </c>
      <c r="E2366" s="22">
        <f>IF(D2366="?OLD","!!!","")</f>
        <v/>
      </c>
      <c r="F2366" s="23" t="str">
        <f>IF(OR(E2366="",E2366="!!!"),"",IF(NOT(ISNA(VLOOKUP(E2366,E$1:E2365,1,FALSE()))),"OLD",IF(AND(E2366&lt;&gt;"",E2366&lt;&gt;"!!!"),"NEW","")))</f>
        <v> </v>
      </c>
      <c r="G2366" s="24" t="str">
        <f>IF(OR(E2366="",E2366="!!!"),"",IF(OR(J2366=0,AND(J2366=1,K2366=1),AND(J2366=1,I2366="SBJ"),AND(J2366=1,I2366=0)),"?IN_FOCUS",IF(J2366&lt;=2,"?ACTIVATED",IF(J2366&lt;&gt;"","?FAMILIAR",IF(F2366="NEW",IF(ISNA(VLOOKUP(E2366,#REF!,1,FALSE())),"?TYPE_IDENTIFIABLE","?REFERENTIAL"),"_")))))</f>
        <v> </v>
      </c>
      <c r="H2366" s="25" t="str">
        <f>IF(J2366&lt;&gt;1,"",IF(I2366="SBJ","CB","?"))</f>
        <v> </v>
      </c>
      <c r="I2366" s="26" t="str">
        <f>IF(OR(E2366="",E2366="!!!",F2366="NEW"),"",INDEX(B2365:B$2,-1+SUMPRODUCT(MAX(ROW(E2365:E$2)*(E2366=E2365:E$2)))))</f>
        <v> </v>
      </c>
      <c r="J2366" s="26" t="str">
        <f>IF(OR(E2366="",E2366="!!!",F2366="NEW"),"",COUNTBLANK(OFFSET(A$1,,,SUMPRODUCT(MAX(ROW(E$2:E2366)*(E2366=E$2:E2366)))))-COUNTBLANK(OFFSET(A$1,,,SUMPRODUCT(MAX(ROW(E$1:E2365)*(E2=E$1:E2365))))))</f>
        <v> </v>
      </c>
      <c r="K2366" s="26" t="str">
        <f>IF(OR(E2366="",E2366="!!!",F2366="NEW"),"",INDEX(J$1:J2365,SUMPRODUCT(MAX(ROW(E$1:E2365)*(E2366=E$1:E2365)))))</f>
        <v> </v>
      </c>
      <c r="L2366" s="27"/>
    </row>
    <row r="2367" spans="1:12">
      <c r="A2367" s="20" t="s">
        <v>1657</v>
      </c>
      <c r="E2367" s="22">
        <f>IF(D2367="?OLD","!!!","")</f>
        <v/>
      </c>
      <c r="F2367" s="23" t="str">
        <f>IF(OR(E2367="",E2367="!!!"),"",IF(NOT(ISNA(VLOOKUP(E2367,E$1:E2366,1,FALSE()))),"OLD",IF(AND(E2367&lt;&gt;"",E2367&lt;&gt;"!!!"),"NEW","")))</f>
        <v> </v>
      </c>
      <c r="G2367" s="24" t="str">
        <f>IF(OR(E2367="",E2367="!!!"),"",IF(OR(J2367=0,AND(J2367=1,K2367=1),AND(J2367=1,I2367="SBJ"),AND(J2367=1,I2367=0)),"?IN_FOCUS",IF(J2367&lt;=2,"?ACTIVATED",IF(J2367&lt;&gt;"","?FAMILIAR",IF(F2367="NEW",IF(ISNA(VLOOKUP(E2367,#REF!,1,FALSE())),"?TYPE_IDENTIFIABLE","?REFERENTIAL"),"_")))))</f>
        <v> </v>
      </c>
      <c r="H2367" s="25" t="str">
        <f>IF(J2367&lt;&gt;1,"",IF(I2367="SBJ","CB","?"))</f>
        <v> </v>
      </c>
      <c r="I2367" s="26" t="str">
        <f>IF(OR(E2367="",E2367="!!!",F2367="NEW"),"",INDEX(B2366:B$2,-1+SUMPRODUCT(MAX(ROW(E2366:E$2)*(E2367=E2366:E$2)))))</f>
        <v> </v>
      </c>
      <c r="J2367" s="26" t="str">
        <f>IF(OR(E2367="",E2367="!!!",F2367="NEW"),"",COUNTBLANK(OFFSET(A$1,,,SUMPRODUCT(MAX(ROW(E$2:E2367)*(E2367=E$2:E2367)))))-COUNTBLANK(OFFSET(A$1,,,SUMPRODUCT(MAX(ROW(E$1:E2366)*(E2=E$1:E2366))))))</f>
        <v> </v>
      </c>
      <c r="K2367" s="26" t="str">
        <f>IF(OR(E2367="",E2367="!!!",F2367="NEW"),"",INDEX(J$1:J2366,SUMPRODUCT(MAX(ROW(E$1:E2366)*(E2367=E$1:E2366)))))</f>
        <v> </v>
      </c>
      <c r="L2367" s="27"/>
    </row>
    <row r="2368" spans="1:12">
      <c r="A2368" s="20" t="s">
        <v>592</v>
      </c>
      <c r="E2368" s="22">
        <f>IF(D2368="?OLD","!!!","")</f>
        <v/>
      </c>
      <c r="F2368" s="23" t="str">
        <f>IF(OR(E2368="",E2368="!!!"),"",IF(NOT(ISNA(VLOOKUP(E2368,E$1:E2367,1,FALSE()))),"OLD",IF(AND(E2368&lt;&gt;"",E2368&lt;&gt;"!!!"),"NEW","")))</f>
        <v> </v>
      </c>
      <c r="G2368" s="24" t="str">
        <f>IF(OR(E2368="",E2368="!!!"),"",IF(OR(J2368=0,AND(J2368=1,K2368=1),AND(J2368=1,I2368="SBJ"),AND(J2368=1,I2368=0)),"?IN_FOCUS",IF(J2368&lt;=2,"?ACTIVATED",IF(J2368&lt;&gt;"","?FAMILIAR",IF(F2368="NEW",IF(ISNA(VLOOKUP(E2368,#REF!,1,FALSE())),"?TYPE_IDENTIFIABLE","?REFERENTIAL"),"_")))))</f>
        <v> </v>
      </c>
      <c r="H2368" s="25" t="str">
        <f>IF(J2368&lt;&gt;1,"",IF(I2368="SBJ","CB","?"))</f>
        <v> </v>
      </c>
      <c r="I2368" s="26" t="str">
        <f>IF(OR(E2368="",E2368="!!!",F2368="NEW"),"",INDEX(B2367:B$2,-1+SUMPRODUCT(MAX(ROW(E2367:E$2)*(E2368=E2367:E$2)))))</f>
        <v> </v>
      </c>
      <c r="J2368" s="26" t="str">
        <f>IF(OR(E2368="",E2368="!!!",F2368="NEW"),"",COUNTBLANK(OFFSET(A$1,,,SUMPRODUCT(MAX(ROW(E$2:E2368)*(E2368=E$2:E2368)))))-COUNTBLANK(OFFSET(A$1,,,SUMPRODUCT(MAX(ROW(E$1:E2367)*(E2=E$1:E2367))))))</f>
        <v> </v>
      </c>
      <c r="K2368" s="26" t="str">
        <f>IF(OR(E2368="",E2368="!!!",F2368="NEW"),"",INDEX(J$1:J2367,SUMPRODUCT(MAX(ROW(E$1:E2367)*(E2368=E$1:E2367)))))</f>
        <v> </v>
      </c>
      <c r="L2368" s="27"/>
    </row>
    <row r="2369" spans="1:12">
      <c r="A2369" s="20"/>
    </row>
    <row r="2370" spans="1:12">
      <c r="A2370" s="20" t="s">
        <v>1658</v>
      </c>
    </row>
    <row r="2371" spans="1:12">
      <c r="A2371" s="20" t="s">
        <v>1659</v>
      </c>
      <c r="B2371" s="21" t="s">
        <v>578</v>
      </c>
      <c r="C2371" s="21" t="s">
        <v>613</v>
      </c>
      <c r="D2371" s="21" t="s">
        <v>587</v>
      </c>
      <c r="E2371" s="22">
        <f>IF(D2371="?OLD","!!!","")</f>
        <v/>
      </c>
      <c r="F2371" s="23" t="str">
        <f>IF(OR(E2371="",E2371="!!!"),"",IF(NOT(ISNA(VLOOKUP(E2371,E$1:E2370,1,FALSE()))),"OLD",IF(AND(E2371&lt;&gt;"",E2371&lt;&gt;"!!!"),"NEW","")))</f>
        <v> </v>
      </c>
      <c r="G2371" s="24" t="str">
        <f>IF(OR(E2371="",E2371="!!!"),"",IF(OR(J2371=0,AND(J2371=1,K2371=1),AND(J2371=1,I2371="SBJ"),AND(J2371=1,I2371=0)),"?IN_FOCUS",IF(J2371&lt;=2,"?ACTIVATED",IF(J2371&lt;&gt;"","?FAMILIAR",IF(F2371="NEW",IF(ISNA(VLOOKUP(E2371,#REF!,1,FALSE())),"?TYPE_IDENTIFIABLE","?REFERENTIAL"),"_")))))</f>
        <v> </v>
      </c>
      <c r="H2371" s="25" t="str">
        <f>IF(J2371&lt;&gt;1,"",IF(I2371="SBJ","CB","?"))</f>
        <v> </v>
      </c>
      <c r="I2371" s="26" t="str">
        <f>IF(OR(E2371="",E2371="!!!",F2371="NEW"),"",INDEX(B2370:B$2,-1+SUMPRODUCT(MAX(ROW(E2370:E$2)*(E2371=E2370:E$2)))))</f>
        <v> </v>
      </c>
      <c r="J2371" s="26" t="str">
        <f>IF(OR(E2371="",E2371="!!!",F2371="NEW"),"",COUNTBLANK(OFFSET(A$1,,,SUMPRODUCT(MAX(ROW(E$2:E2371)*(E2371=E$2:E2371)))))-COUNTBLANK(OFFSET(A$1,,,SUMPRODUCT(MAX(ROW(E$1:E2370)*(E2=E$1:E2370))))))</f>
        <v> </v>
      </c>
      <c r="K2371" s="26" t="str">
        <f>IF(OR(E2371="",E2371="!!!",F2371="NEW"),"",INDEX(J$1:J2370,SUMPRODUCT(MAX(ROW(E$1:E2370)*(E2371=E$1:E2370)))))</f>
        <v> </v>
      </c>
      <c r="L2371" s="27"/>
    </row>
    <row r="2372" spans="1:12">
      <c r="A2372" s="20" t="s">
        <v>1660</v>
      </c>
      <c r="E2372" s="22">
        <f>IF(D2372="?OLD","!!!","")</f>
        <v/>
      </c>
      <c r="F2372" s="23" t="str">
        <f>IF(OR(E2372="",E2372="!!!"),"",IF(NOT(ISNA(VLOOKUP(E2372,E$1:E2371,1,FALSE()))),"OLD",IF(AND(E2372&lt;&gt;"",E2372&lt;&gt;"!!!"),"NEW","")))</f>
        <v> </v>
      </c>
      <c r="G2372" s="24" t="str">
        <f>IF(OR(E2372="",E2372="!!!"),"",IF(OR(J2372=0,AND(J2372=1,K2372=1),AND(J2372=1,I2372="SBJ"),AND(J2372=1,I2372=0)),"?IN_FOCUS",IF(J2372&lt;=2,"?ACTIVATED",IF(J2372&lt;&gt;"","?FAMILIAR",IF(F2372="NEW",IF(ISNA(VLOOKUP(E2372,#REF!,1,FALSE())),"?TYPE_IDENTIFIABLE","?REFERENTIAL"),"_")))))</f>
        <v> </v>
      </c>
      <c r="H2372" s="25" t="str">
        <f>IF(J2372&lt;&gt;1,"",IF(I2372="SBJ","CB","?"))</f>
        <v> </v>
      </c>
      <c r="I2372" s="26" t="str">
        <f>IF(OR(E2372="",E2372="!!!",F2372="NEW"),"",INDEX(B2371:B$2,-1+SUMPRODUCT(MAX(ROW(E2371:E$2)*(E2372=E2371:E$2)))))</f>
        <v> </v>
      </c>
      <c r="J2372" s="26" t="str">
        <f>IF(OR(E2372="",E2372="!!!",F2372="NEW"),"",COUNTBLANK(OFFSET(A$1,,,SUMPRODUCT(MAX(ROW(E$2:E2372)*(E2372=E$2:E2372)))))-COUNTBLANK(OFFSET(A$1,,,SUMPRODUCT(MAX(ROW(E$1:E2371)*(E2=E$1:E2371))))))</f>
        <v> </v>
      </c>
      <c r="K2372" s="26" t="str">
        <f>IF(OR(E2372="",E2372="!!!",F2372="NEW"),"",INDEX(J$1:J2371,SUMPRODUCT(MAX(ROW(E$1:E2371)*(E2372=E$1:E2371)))))</f>
        <v> </v>
      </c>
      <c r="L2372" s="27"/>
    </row>
    <row r="2373" spans="1:12">
      <c r="A2373" s="20" t="s">
        <v>84</v>
      </c>
      <c r="E2373" s="22">
        <f>IF(D2373="?OLD","!!!","")</f>
        <v/>
      </c>
      <c r="F2373" s="23" t="str">
        <f>IF(OR(E2373="",E2373="!!!"),"",IF(NOT(ISNA(VLOOKUP(E2373,E$1:E2372,1,FALSE()))),"OLD",IF(AND(E2373&lt;&gt;"",E2373&lt;&gt;"!!!"),"NEW","")))</f>
        <v> </v>
      </c>
      <c r="G2373" s="24" t="str">
        <f>IF(OR(E2373="",E2373="!!!"),"",IF(OR(J2373=0,AND(J2373=1,K2373=1),AND(J2373=1,I2373="SBJ"),AND(J2373=1,I2373=0)),"?IN_FOCUS",IF(J2373&lt;=2,"?ACTIVATED",IF(J2373&lt;&gt;"","?FAMILIAR",IF(F2373="NEW",IF(ISNA(VLOOKUP(E2373,#REF!,1,FALSE())),"?TYPE_IDENTIFIABLE","?REFERENTIAL"),"_")))))</f>
        <v> </v>
      </c>
      <c r="H2373" s="25" t="str">
        <f>IF(J2373&lt;&gt;1,"",IF(I2373="SBJ","CB","?"))</f>
        <v> </v>
      </c>
      <c r="I2373" s="26" t="str">
        <f>IF(OR(E2373="",E2373="!!!",F2373="NEW"),"",INDEX(B2372:B$2,-1+SUMPRODUCT(MAX(ROW(E2372:E$2)*(E2373=E2372:E$2)))))</f>
        <v> </v>
      </c>
      <c r="J2373" s="26" t="str">
        <f>IF(OR(E2373="",E2373="!!!",F2373="NEW"),"",COUNTBLANK(OFFSET(A$1,,,SUMPRODUCT(MAX(ROW(E$2:E2373)*(E2373=E$2:E2373)))))-COUNTBLANK(OFFSET(A$1,,,SUMPRODUCT(MAX(ROW(E$1:E2372)*(E2=E$1:E2372))))))</f>
        <v> </v>
      </c>
      <c r="K2373" s="26" t="str">
        <f>IF(OR(E2373="",E2373="!!!",F2373="NEW"),"",INDEX(J$1:J2372,SUMPRODUCT(MAX(ROW(E$1:E2372)*(E2373=E$1:E2372)))))</f>
        <v> </v>
      </c>
      <c r="L2373" s="27"/>
    </row>
    <row r="2374" spans="1:12">
      <c r="A2374" s="20" t="s">
        <v>12</v>
      </c>
      <c r="E2374" s="22">
        <f>IF(D2374="?OLD","!!!","")</f>
        <v/>
      </c>
      <c r="F2374" s="23" t="str">
        <f>IF(OR(E2374="",E2374="!!!"),"",IF(NOT(ISNA(VLOOKUP(E2374,E$1:E2373,1,FALSE()))),"OLD",IF(AND(E2374&lt;&gt;"",E2374&lt;&gt;"!!!"),"NEW","")))</f>
        <v> </v>
      </c>
      <c r="G2374" s="24" t="str">
        <f>IF(OR(E2374="",E2374="!!!"),"",IF(OR(J2374=0,AND(J2374=1,K2374=1),AND(J2374=1,I2374="SBJ"),AND(J2374=1,I2374=0)),"?IN_FOCUS",IF(J2374&lt;=2,"?ACTIVATED",IF(J2374&lt;&gt;"","?FAMILIAR",IF(F2374="NEW",IF(ISNA(VLOOKUP(E2374,#REF!,1,FALSE())),"?TYPE_IDENTIFIABLE","?REFERENTIAL"),"_")))))</f>
        <v> </v>
      </c>
      <c r="H2374" s="25" t="str">
        <f>IF(J2374&lt;&gt;1,"",IF(I2374="SBJ","CB","?"))</f>
        <v> </v>
      </c>
      <c r="I2374" s="26" t="str">
        <f>IF(OR(E2374="",E2374="!!!",F2374="NEW"),"",INDEX(B2373:B$2,-1+SUMPRODUCT(MAX(ROW(E2373:E$2)*(E2374=E2373:E$2)))))</f>
        <v> </v>
      </c>
      <c r="J2374" s="26" t="str">
        <f>IF(OR(E2374="",E2374="!!!",F2374="NEW"),"",COUNTBLANK(OFFSET(A$1,,,SUMPRODUCT(MAX(ROW(E$2:E2374)*(E2374=E$2:E2374)))))-COUNTBLANK(OFFSET(A$1,,,SUMPRODUCT(MAX(ROW(E$1:E2373)*(E2=E$1:E2373))))))</f>
        <v> </v>
      </c>
      <c r="K2374" s="26" t="str">
        <f>IF(OR(E2374="",E2374="!!!",F2374="NEW"),"",INDEX(J$1:J2373,SUMPRODUCT(MAX(ROW(E$1:E2373)*(E2374=E$1:E2373)))))</f>
        <v> </v>
      </c>
      <c r="L2374" s="27"/>
    </row>
    <row r="2375" spans="1:12">
      <c r="A2375" s="20" t="s">
        <v>20</v>
      </c>
      <c r="E2375" s="22">
        <f>IF(D2375="?OLD","!!!","")</f>
        <v/>
      </c>
      <c r="F2375" s="23" t="str">
        <f>IF(OR(E2375="",E2375="!!!"),"",IF(NOT(ISNA(VLOOKUP(E2375,E$1:E2374,1,FALSE()))),"OLD",IF(AND(E2375&lt;&gt;"",E2375&lt;&gt;"!!!"),"NEW","")))</f>
        <v> </v>
      </c>
      <c r="G2375" s="24" t="str">
        <f>IF(OR(E2375="",E2375="!!!"),"",IF(OR(J2375=0,AND(J2375=1,K2375=1),AND(J2375=1,I2375="SBJ"),AND(J2375=1,I2375=0)),"?IN_FOCUS",IF(J2375&lt;=2,"?ACTIVATED",IF(J2375&lt;&gt;"","?FAMILIAR",IF(F2375="NEW",IF(ISNA(VLOOKUP(E2375,#REF!,1,FALSE())),"?TYPE_IDENTIFIABLE","?REFERENTIAL"),"_")))))</f>
        <v> </v>
      </c>
      <c r="H2375" s="25" t="str">
        <f>IF(J2375&lt;&gt;1,"",IF(I2375="SBJ","CB","?"))</f>
        <v> </v>
      </c>
      <c r="I2375" s="26" t="str">
        <f>IF(OR(E2375="",E2375="!!!",F2375="NEW"),"",INDEX(B2374:B$2,-1+SUMPRODUCT(MAX(ROW(E2374:E$2)*(E2375=E2374:E$2)))))</f>
        <v> </v>
      </c>
      <c r="J2375" s="26" t="str">
        <f>IF(OR(E2375="",E2375="!!!",F2375="NEW"),"",COUNTBLANK(OFFSET(A$1,,,SUMPRODUCT(MAX(ROW(E$2:E2375)*(E2375=E$2:E2375)))))-COUNTBLANK(OFFSET(A$1,,,SUMPRODUCT(MAX(ROW(E$1:E2374)*(E2=E$1:E2374))))))</f>
        <v> </v>
      </c>
      <c r="K2375" s="26" t="str">
        <f>IF(OR(E2375="",E2375="!!!",F2375="NEW"),"",INDEX(J$1:J2374,SUMPRODUCT(MAX(ROW(E$1:E2374)*(E2375=E$1:E2374)))))</f>
        <v> </v>
      </c>
      <c r="L2375" s="27"/>
    </row>
    <row r="2376" spans="1:12">
      <c r="A2376" s="20" t="s">
        <v>673</v>
      </c>
      <c r="B2376" s="21" t="s">
        <v>651</v>
      </c>
      <c r="C2376" s="21" t="s">
        <v>646</v>
      </c>
      <c r="E2376" s="22">
        <f>IF(D2376="?OLD","!!!","")</f>
        <v/>
      </c>
      <c r="F2376" s="23" t="str">
        <f>IF(OR(E2376="",E2376="!!!"),"",IF(NOT(ISNA(VLOOKUP(E2376,E$1:E2375,1,FALSE()))),"OLD",IF(AND(E2376&lt;&gt;"",E2376&lt;&gt;"!!!"),"NEW","")))</f>
        <v> </v>
      </c>
      <c r="G2376" s="24" t="str">
        <f>IF(OR(E2376="",E2376="!!!"),"",IF(OR(J2376=0,AND(J2376=1,K2376=1),AND(J2376=1,I2376="SBJ"),AND(J2376=1,I2376=0)),"?IN_FOCUS",IF(J2376&lt;=2,"?ACTIVATED",IF(J2376&lt;&gt;"","?FAMILIAR",IF(F2376="NEW",IF(ISNA(VLOOKUP(E2376,#REF!,1,FALSE())),"?TYPE_IDENTIFIABLE","?REFERENTIAL"),"_")))))</f>
        <v> </v>
      </c>
      <c r="H2376" s="25" t="str">
        <f>IF(J2376&lt;&gt;1,"",IF(I2376="SBJ","CB","?"))</f>
        <v> </v>
      </c>
      <c r="I2376" s="26" t="str">
        <f>IF(OR(E2376="",E2376="!!!",F2376="NEW"),"",INDEX(B2375:B$2,-1+SUMPRODUCT(MAX(ROW(E2375:E$2)*(E2376=E2375:E$2)))))</f>
        <v> </v>
      </c>
      <c r="J2376" s="26" t="str">
        <f>IF(OR(E2376="",E2376="!!!",F2376="NEW"),"",COUNTBLANK(OFFSET(A$1,,,SUMPRODUCT(MAX(ROW(E$2:E2376)*(E2376=E$2:E2376)))))-COUNTBLANK(OFFSET(A$1,,,SUMPRODUCT(MAX(ROW(E$1:E2375)*(E2=E$1:E2375))))))</f>
        <v> </v>
      </c>
      <c r="K2376" s="26" t="str">
        <f>IF(OR(E2376="",E2376="!!!",F2376="NEW"),"",INDEX(J$1:J2375,SUMPRODUCT(MAX(ROW(E$1:E2375)*(E2376=E$1:E2375)))))</f>
        <v> </v>
      </c>
      <c r="L2376" s="27"/>
    </row>
    <row r="2377" spans="1:12">
      <c r="A2377" s="20" t="s">
        <v>674</v>
      </c>
      <c r="E2377" s="22">
        <f>IF(D2377="?OLD","!!!","")</f>
        <v/>
      </c>
      <c r="F2377" s="23" t="str">
        <f>IF(OR(E2377="",E2377="!!!"),"",IF(NOT(ISNA(VLOOKUP(E2377,E$1:E2376,1,FALSE()))),"OLD",IF(AND(E2377&lt;&gt;"",E2377&lt;&gt;"!!!"),"NEW","")))</f>
        <v> </v>
      </c>
      <c r="G2377" s="24" t="str">
        <f>IF(OR(E2377="",E2377="!!!"),"",IF(OR(J2377=0,AND(J2377=1,K2377=1),AND(J2377=1,I2377="SBJ"),AND(J2377=1,I2377=0)),"?IN_FOCUS",IF(J2377&lt;=2,"?ACTIVATED",IF(J2377&lt;&gt;"","?FAMILIAR",IF(F2377="NEW",IF(ISNA(VLOOKUP(E2377,#REF!,1,FALSE())),"?TYPE_IDENTIFIABLE","?REFERENTIAL"),"_")))))</f>
        <v> </v>
      </c>
      <c r="H2377" s="25" t="str">
        <f>IF(J2377&lt;&gt;1,"",IF(I2377="SBJ","CB","?"))</f>
        <v> </v>
      </c>
      <c r="I2377" s="26" t="str">
        <f>IF(OR(E2377="",E2377="!!!",F2377="NEW"),"",INDEX(B2376:B$2,-1+SUMPRODUCT(MAX(ROW(E2376:E$2)*(E2377=E2376:E$2)))))</f>
        <v> </v>
      </c>
      <c r="J2377" s="26" t="str">
        <f>IF(OR(E2377="",E2377="!!!",F2377="NEW"),"",COUNTBLANK(OFFSET(A$1,,,SUMPRODUCT(MAX(ROW(E$2:E2377)*(E2377=E$2:E2377)))))-COUNTBLANK(OFFSET(A$1,,,SUMPRODUCT(MAX(ROW(E$1:E2376)*(E2=E$1:E2376))))))</f>
        <v> </v>
      </c>
      <c r="K2377" s="26" t="str">
        <f>IF(OR(E2377="",E2377="!!!",F2377="NEW"),"",INDEX(J$1:J2376,SUMPRODUCT(MAX(ROW(E$1:E2376)*(E2377=E$1:E2376)))))</f>
        <v> </v>
      </c>
      <c r="L2377" s="27"/>
    </row>
    <row r="2378" spans="1:12">
      <c r="A2378" s="20" t="s">
        <v>580</v>
      </c>
      <c r="E2378" s="22">
        <f>IF(D2378="?OLD","!!!","")</f>
        <v/>
      </c>
      <c r="F2378" s="23" t="str">
        <f>IF(OR(E2378="",E2378="!!!"),"",IF(NOT(ISNA(VLOOKUP(E2378,E$1:E2377,1,FALSE()))),"OLD",IF(AND(E2378&lt;&gt;"",E2378&lt;&gt;"!!!"),"NEW","")))</f>
        <v> </v>
      </c>
      <c r="G2378" s="24" t="str">
        <f>IF(OR(E2378="",E2378="!!!"),"",IF(OR(J2378=0,AND(J2378=1,K2378=1),AND(J2378=1,I2378="SBJ"),AND(J2378=1,I2378=0)),"?IN_FOCUS",IF(J2378&lt;=2,"?ACTIVATED",IF(J2378&lt;&gt;"","?FAMILIAR",IF(F2378="NEW",IF(ISNA(VLOOKUP(E2378,#REF!,1,FALSE())),"?TYPE_IDENTIFIABLE","?REFERENTIAL"),"_")))))</f>
        <v> </v>
      </c>
      <c r="H2378" s="25" t="str">
        <f>IF(J2378&lt;&gt;1,"",IF(I2378="SBJ","CB","?"))</f>
        <v> </v>
      </c>
      <c r="I2378" s="26" t="str">
        <f>IF(OR(E2378="",E2378="!!!",F2378="NEW"),"",INDEX(B2377:B$2,-1+SUMPRODUCT(MAX(ROW(E2377:E$2)*(E2378=E2377:E$2)))))</f>
        <v> </v>
      </c>
      <c r="J2378" s="26" t="str">
        <f>IF(OR(E2378="",E2378="!!!",F2378="NEW"),"",COUNTBLANK(OFFSET(A$1,,,SUMPRODUCT(MAX(ROW(E$2:E2378)*(E2378=E$2:E2378)))))-COUNTBLANK(OFFSET(A$1,,,SUMPRODUCT(MAX(ROW(E$1:E2377)*(E2=E$1:E2377))))))</f>
        <v> </v>
      </c>
      <c r="K2378" s="26" t="str">
        <f>IF(OR(E2378="",E2378="!!!",F2378="NEW"),"",INDEX(J$1:J2377,SUMPRODUCT(MAX(ROW(E$1:E2377)*(E2378=E$1:E2377)))))</f>
        <v> </v>
      </c>
      <c r="L2378" s="27"/>
    </row>
    <row r="2379" spans="1:12">
      <c r="A2379" s="20" t="s">
        <v>1661</v>
      </c>
      <c r="E2379" s="22">
        <f>IF(D2379="?OLD","!!!","")</f>
        <v/>
      </c>
      <c r="F2379" s="23" t="str">
        <f>IF(OR(E2379="",E2379="!!!"),"",IF(NOT(ISNA(VLOOKUP(E2379,E$1:E2378,1,FALSE()))),"OLD",IF(AND(E2379&lt;&gt;"",E2379&lt;&gt;"!!!"),"NEW","")))</f>
        <v> </v>
      </c>
      <c r="G2379" s="24" t="str">
        <f>IF(OR(E2379="",E2379="!!!"),"",IF(OR(J2379=0,AND(J2379=1,K2379=1),AND(J2379=1,I2379="SBJ"),AND(J2379=1,I2379=0)),"?IN_FOCUS",IF(J2379&lt;=2,"?ACTIVATED",IF(J2379&lt;&gt;"","?FAMILIAR",IF(F2379="NEW",IF(ISNA(VLOOKUP(E2379,#REF!,1,FALSE())),"?TYPE_IDENTIFIABLE","?REFERENTIAL"),"_")))))</f>
        <v> </v>
      </c>
      <c r="H2379" s="25" t="str">
        <f>IF(J2379&lt;&gt;1,"",IF(I2379="SBJ","CB","?"))</f>
        <v> </v>
      </c>
      <c r="I2379" s="26" t="str">
        <f>IF(OR(E2379="",E2379="!!!",F2379="NEW"),"",INDEX(B2378:B$2,-1+SUMPRODUCT(MAX(ROW(E2378:E$2)*(E2379=E2378:E$2)))))</f>
        <v> </v>
      </c>
      <c r="J2379" s="26" t="str">
        <f>IF(OR(E2379="",E2379="!!!",F2379="NEW"),"",COUNTBLANK(OFFSET(A$1,,,SUMPRODUCT(MAX(ROW(E$2:E2379)*(E2379=E$2:E2379)))))-COUNTBLANK(OFFSET(A$1,,,SUMPRODUCT(MAX(ROW(E$1:E2378)*(E2=E$1:E2378))))))</f>
        <v> </v>
      </c>
      <c r="K2379" s="26" t="str">
        <f>IF(OR(E2379="",E2379="!!!",F2379="NEW"),"",INDEX(J$1:J2378,SUMPRODUCT(MAX(ROW(E$1:E2378)*(E2379=E$1:E2378)))))</f>
        <v> </v>
      </c>
      <c r="L2379" s="27"/>
    </row>
    <row r="2380" spans="1:12">
      <c r="A2380" s="20" t="s">
        <v>1662</v>
      </c>
      <c r="B2380" s="21" t="s">
        <v>651</v>
      </c>
      <c r="C2380" s="21" t="s">
        <v>628</v>
      </c>
      <c r="D2380" s="21" t="s">
        <v>587</v>
      </c>
      <c r="E2380" s="22">
        <f>IF(D2380="?OLD","!!!","")</f>
        <v/>
      </c>
      <c r="F2380" s="23" t="str">
        <f>IF(OR(E2380="",E2380="!!!"),"",IF(NOT(ISNA(VLOOKUP(E2380,E$1:E2379,1,FALSE()))),"OLD",IF(AND(E2380&lt;&gt;"",E2380&lt;&gt;"!!!"),"NEW","")))</f>
        <v> </v>
      </c>
      <c r="G2380" s="24" t="str">
        <f>IF(OR(E2380="",E2380="!!!"),"",IF(OR(J2380=0,AND(J2380=1,K2380=1),AND(J2380=1,I2380="SBJ"),AND(J2380=1,I2380=0)),"?IN_FOCUS",IF(J2380&lt;=2,"?ACTIVATED",IF(J2380&lt;&gt;"","?FAMILIAR",IF(F2380="NEW",IF(ISNA(VLOOKUP(E2380,#REF!,1,FALSE())),"?TYPE_IDENTIFIABLE","?REFERENTIAL"),"_")))))</f>
        <v> </v>
      </c>
      <c r="H2380" s="25" t="str">
        <f>IF(J2380&lt;&gt;1,"",IF(I2380="SBJ","CB","?"))</f>
        <v> </v>
      </c>
      <c r="I2380" s="26" t="str">
        <f>IF(OR(E2380="",E2380="!!!",F2380="NEW"),"",INDEX(B2379:B$2,-1+SUMPRODUCT(MAX(ROW(E2379:E$2)*(E2380=E2379:E$2)))))</f>
        <v> </v>
      </c>
      <c r="J2380" s="26" t="str">
        <f>IF(OR(E2380="",E2380="!!!",F2380="NEW"),"",COUNTBLANK(OFFSET(A$1,,,SUMPRODUCT(MAX(ROW(E$2:E2380)*(E2380=E$2:E2380)))))-COUNTBLANK(OFFSET(A$1,,,SUMPRODUCT(MAX(ROW(E$1:E2379)*(E2=E$1:E2379))))))</f>
        <v> </v>
      </c>
      <c r="K2380" s="26" t="str">
        <f>IF(OR(E2380="",E2380="!!!",F2380="NEW"),"",INDEX(J$1:J2379,SUMPRODUCT(MAX(ROW(E$1:E2379)*(E2380=E$1:E2379)))))</f>
        <v> </v>
      </c>
      <c r="L2380" s="27"/>
    </row>
    <row r="2381" spans="1:12">
      <c r="A2381" s="20" t="s">
        <v>592</v>
      </c>
      <c r="E2381" s="22">
        <f>IF(D2381="?OLD","!!!","")</f>
        <v/>
      </c>
      <c r="F2381" s="23" t="str">
        <f>IF(OR(E2381="",E2381="!!!"),"",IF(NOT(ISNA(VLOOKUP(E2381,E$1:E2380,1,FALSE()))),"OLD",IF(AND(E2381&lt;&gt;"",E2381&lt;&gt;"!!!"),"NEW","")))</f>
        <v> </v>
      </c>
      <c r="G2381" s="24" t="str">
        <f>IF(OR(E2381="",E2381="!!!"),"",IF(OR(J2381=0,AND(J2381=1,K2381=1),AND(J2381=1,I2381="SBJ"),AND(J2381=1,I2381=0)),"?IN_FOCUS",IF(J2381&lt;=2,"?ACTIVATED",IF(J2381&lt;&gt;"","?FAMILIAR",IF(F2381="NEW",IF(ISNA(VLOOKUP(E2381,#REF!,1,FALSE())),"?TYPE_IDENTIFIABLE","?REFERENTIAL"),"_")))))</f>
        <v> </v>
      </c>
      <c r="H2381" s="25" t="str">
        <f>IF(J2381&lt;&gt;1,"",IF(I2381="SBJ","CB","?"))</f>
        <v> </v>
      </c>
      <c r="I2381" s="26" t="str">
        <f>IF(OR(E2381="",E2381="!!!",F2381="NEW"),"",INDEX(B2380:B$2,-1+SUMPRODUCT(MAX(ROW(E2380:E$2)*(E2381=E2380:E$2)))))</f>
        <v> </v>
      </c>
      <c r="J2381" s="26" t="str">
        <f>IF(OR(E2381="",E2381="!!!",F2381="NEW"),"",COUNTBLANK(OFFSET(A$1,,,SUMPRODUCT(MAX(ROW(E$2:E2381)*(E2381=E$2:E2381)))))-COUNTBLANK(OFFSET(A$1,,,SUMPRODUCT(MAX(ROW(E$1:E2380)*(E2=E$1:E2380))))))</f>
        <v> </v>
      </c>
      <c r="K2381" s="26" t="str">
        <f>IF(OR(E2381="",E2381="!!!",F2381="NEW"),"",INDEX(J$1:J2380,SUMPRODUCT(MAX(ROW(E$1:E2380)*(E2381=E$1:E2380)))))</f>
        <v> </v>
      </c>
      <c r="L2381" s="27"/>
    </row>
    <row r="2382" spans="1:12">
      <c r="A2382" s="20"/>
    </row>
    <row r="2383" spans="1:12">
      <c r="A2383" s="20" t="s">
        <v>1663</v>
      </c>
    </row>
    <row r="2384" spans="1:12">
      <c r="A2384" s="20" t="s">
        <v>1664</v>
      </c>
      <c r="E2384" s="22">
        <f>IF(D2384="?OLD","!!!","")</f>
        <v/>
      </c>
      <c r="F2384" s="23" t="str">
        <f>IF(OR(E2384="",E2384="!!!"),"",IF(NOT(ISNA(VLOOKUP(E2384,E$1:E2383,1,FALSE()))),"OLD",IF(AND(E2384&lt;&gt;"",E2384&lt;&gt;"!!!"),"NEW","")))</f>
        <v> </v>
      </c>
      <c r="G2384" s="24" t="str">
        <f>IF(OR(E2384="",E2384="!!!"),"",IF(OR(J2384=0,AND(J2384=1,K2384=1),AND(J2384=1,I2384="SBJ"),AND(J2384=1,I2384=0)),"?IN_FOCUS",IF(J2384&lt;=2,"?ACTIVATED",IF(J2384&lt;&gt;"","?FAMILIAR",IF(F2384="NEW",IF(ISNA(VLOOKUP(E2384,#REF!,1,FALSE())),"?TYPE_IDENTIFIABLE","?REFERENTIAL"),"_")))))</f>
        <v> </v>
      </c>
      <c r="H2384" s="25" t="str">
        <f>IF(J2384&lt;&gt;1,"",IF(I2384="SBJ","CB","?"))</f>
        <v> </v>
      </c>
      <c r="I2384" s="26" t="str">
        <f>IF(OR(E2384="",E2384="!!!",F2384="NEW"),"",INDEX(B2383:B$2,-1+SUMPRODUCT(MAX(ROW(E2383:E$2)*(E2384=E2383:E$2)))))</f>
        <v> </v>
      </c>
      <c r="J2384" s="26" t="str">
        <f>IF(OR(E2384="",E2384="!!!",F2384="NEW"),"",COUNTBLANK(OFFSET(A$1,,,SUMPRODUCT(MAX(ROW(E$2:E2384)*(E2384=E$2:E2384)))))-COUNTBLANK(OFFSET(A$1,,,SUMPRODUCT(MAX(ROW(E$1:E2383)*(E2=E$1:E2383))))))</f>
        <v> </v>
      </c>
      <c r="K2384" s="26" t="str">
        <f>IF(OR(E2384="",E2384="!!!",F2384="NEW"),"",INDEX(J$1:J2383,SUMPRODUCT(MAX(ROW(E$1:E2383)*(E2384=E$1:E2383)))))</f>
        <v> </v>
      </c>
      <c r="L2384" s="27"/>
    </row>
    <row r="2385" spans="1:12">
      <c r="A2385" s="20" t="s">
        <v>656</v>
      </c>
      <c r="B2385" s="21" t="s">
        <v>578</v>
      </c>
      <c r="C2385" s="21" t="s">
        <v>586</v>
      </c>
      <c r="D2385" s="21" t="s">
        <v>587</v>
      </c>
      <c r="E2385" s="22">
        <f>IF(D2385="?OLD","!!!","")</f>
        <v/>
      </c>
      <c r="F2385" s="23" t="str">
        <f>IF(OR(E2385="",E2385="!!!"),"",IF(NOT(ISNA(VLOOKUP(E2385,E$1:E2384,1,FALSE()))),"OLD",IF(AND(E2385&lt;&gt;"",E2385&lt;&gt;"!!!"),"NEW","")))</f>
        <v> </v>
      </c>
      <c r="G2385" s="24" t="str">
        <f>IF(OR(E2385="",E2385="!!!"),"",IF(OR(J2385=0,AND(J2385=1,K2385=1),AND(J2385=1,I2385="SBJ"),AND(J2385=1,I2385=0)),"?IN_FOCUS",IF(J2385&lt;=2,"?ACTIVATED",IF(J2385&lt;&gt;"","?FAMILIAR",IF(F2385="NEW",IF(ISNA(VLOOKUP(E2385,#REF!,1,FALSE())),"?TYPE_IDENTIFIABLE","?REFERENTIAL"),"_")))))</f>
        <v> </v>
      </c>
      <c r="H2385" s="25" t="str">
        <f>IF(J2385&lt;&gt;1,"",IF(I2385="SBJ","CB","?"))</f>
        <v> </v>
      </c>
      <c r="I2385" s="26" t="str">
        <f>IF(OR(E2385="",E2385="!!!",F2385="NEW"),"",INDEX(B2384:B$2,-1+SUMPRODUCT(MAX(ROW(E2384:E$2)*(E2385=E2384:E$2)))))</f>
        <v> </v>
      </c>
      <c r="J2385" s="26" t="str">
        <f>IF(OR(E2385="",E2385="!!!",F2385="NEW"),"",COUNTBLANK(OFFSET(A$1,,,SUMPRODUCT(MAX(ROW(E$2:E2385)*(E2385=E$2:E2385)))))-COUNTBLANK(OFFSET(A$1,,,SUMPRODUCT(MAX(ROW(E$1:E2384)*(E2=E$1:E2384))))))</f>
        <v> </v>
      </c>
      <c r="K2385" s="26" t="str">
        <f>IF(OR(E2385="",E2385="!!!",F2385="NEW"),"",INDEX(J$1:J2384,SUMPRODUCT(MAX(ROW(E$1:E2384)*(E2385=E$1:E2384)))))</f>
        <v> </v>
      </c>
      <c r="L2385" s="27"/>
    </row>
    <row r="2386" spans="1:12">
      <c r="A2386" s="20" t="s">
        <v>307</v>
      </c>
      <c r="E2386" s="22">
        <f>IF(D2386="?OLD","!!!","")</f>
        <v/>
      </c>
      <c r="F2386" s="23" t="str">
        <f>IF(OR(E2386="",E2386="!!!"),"",IF(NOT(ISNA(VLOOKUP(E2386,E$1:E2385,1,FALSE()))),"OLD",IF(AND(E2386&lt;&gt;"",E2386&lt;&gt;"!!!"),"NEW","")))</f>
        <v> </v>
      </c>
      <c r="G2386" s="24" t="str">
        <f>IF(OR(E2386="",E2386="!!!"),"",IF(OR(J2386=0,AND(J2386=1,K2386=1),AND(J2386=1,I2386="SBJ"),AND(J2386=1,I2386=0)),"?IN_FOCUS",IF(J2386&lt;=2,"?ACTIVATED",IF(J2386&lt;&gt;"","?FAMILIAR",IF(F2386="NEW",IF(ISNA(VLOOKUP(E2386,#REF!,1,FALSE())),"?TYPE_IDENTIFIABLE","?REFERENTIAL"),"_")))))</f>
        <v> </v>
      </c>
      <c r="H2386" s="25" t="str">
        <f>IF(J2386&lt;&gt;1,"",IF(I2386="SBJ","CB","?"))</f>
        <v> </v>
      </c>
      <c r="I2386" s="26" t="str">
        <f>IF(OR(E2386="",E2386="!!!",F2386="NEW"),"",INDEX(B2385:B$2,-1+SUMPRODUCT(MAX(ROW(E2385:E$2)*(E2386=E2385:E$2)))))</f>
        <v> </v>
      </c>
      <c r="J2386" s="26" t="str">
        <f>IF(OR(E2386="",E2386="!!!",F2386="NEW"),"",COUNTBLANK(OFFSET(A$1,,,SUMPRODUCT(MAX(ROW(E$2:E2386)*(E2386=E$2:E2386)))))-COUNTBLANK(OFFSET(A$1,,,SUMPRODUCT(MAX(ROW(E$1:E2385)*(E2=E$1:E2385))))))</f>
        <v> </v>
      </c>
      <c r="K2386" s="26" t="str">
        <f>IF(OR(E2386="",E2386="!!!",F2386="NEW"),"",INDEX(J$1:J2385,SUMPRODUCT(MAX(ROW(E$1:E2385)*(E2386=E$1:E2385)))))</f>
        <v> </v>
      </c>
      <c r="L2386" s="27"/>
    </row>
    <row r="2387" spans="1:12">
      <c r="A2387" s="20" t="s">
        <v>1665</v>
      </c>
      <c r="E2387" s="22">
        <f>IF(D2387="?OLD","!!!","")</f>
        <v/>
      </c>
      <c r="F2387" s="23" t="str">
        <f>IF(OR(E2387="",E2387="!!!"),"",IF(NOT(ISNA(VLOOKUP(E2387,E$1:E2386,1,FALSE()))),"OLD",IF(AND(E2387&lt;&gt;"",E2387&lt;&gt;"!!!"),"NEW","")))</f>
        <v> </v>
      </c>
      <c r="G2387" s="24" t="str">
        <f>IF(OR(E2387="",E2387="!!!"),"",IF(OR(J2387=0,AND(J2387=1,K2387=1),AND(J2387=1,I2387="SBJ"),AND(J2387=1,I2387=0)),"?IN_FOCUS",IF(J2387&lt;=2,"?ACTIVATED",IF(J2387&lt;&gt;"","?FAMILIAR",IF(F2387="NEW",IF(ISNA(VLOOKUP(E2387,#REF!,1,FALSE())),"?TYPE_IDENTIFIABLE","?REFERENTIAL"),"_")))))</f>
        <v> </v>
      </c>
      <c r="H2387" s="25" t="str">
        <f>IF(J2387&lt;&gt;1,"",IF(I2387="SBJ","CB","?"))</f>
        <v> </v>
      </c>
      <c r="I2387" s="26" t="str">
        <f>IF(OR(E2387="",E2387="!!!",F2387="NEW"),"",INDEX(B2386:B$2,-1+SUMPRODUCT(MAX(ROW(E2386:E$2)*(E2387=E2386:E$2)))))</f>
        <v> </v>
      </c>
      <c r="J2387" s="26" t="str">
        <f>IF(OR(E2387="",E2387="!!!",F2387="NEW"),"",COUNTBLANK(OFFSET(A$1,,,SUMPRODUCT(MAX(ROW(E$2:E2387)*(E2387=E$2:E2387)))))-COUNTBLANK(OFFSET(A$1,,,SUMPRODUCT(MAX(ROW(E$1:E2386)*(E2=E$1:E2386))))))</f>
        <v> </v>
      </c>
      <c r="K2387" s="26" t="str">
        <f>IF(OR(E2387="",E2387="!!!",F2387="NEW"),"",INDEX(J$1:J2386,SUMPRODUCT(MAX(ROW(E$1:E2386)*(E2387=E$1:E2386)))))</f>
        <v> </v>
      </c>
      <c r="L2387" s="27"/>
    </row>
    <row r="2388" spans="1:12">
      <c r="A2388" s="20" t="s">
        <v>822</v>
      </c>
      <c r="E2388" s="22">
        <f>IF(D2388="?OLD","!!!","")</f>
        <v/>
      </c>
      <c r="F2388" s="23" t="str">
        <f>IF(OR(E2388="",E2388="!!!"),"",IF(NOT(ISNA(VLOOKUP(E2388,E$1:E2387,1,FALSE()))),"OLD",IF(AND(E2388&lt;&gt;"",E2388&lt;&gt;"!!!"),"NEW","")))</f>
        <v> </v>
      </c>
      <c r="G2388" s="24" t="str">
        <f>IF(OR(E2388="",E2388="!!!"),"",IF(OR(J2388=0,AND(J2388=1,K2388=1),AND(J2388=1,I2388="SBJ"),AND(J2388=1,I2388=0)),"?IN_FOCUS",IF(J2388&lt;=2,"?ACTIVATED",IF(J2388&lt;&gt;"","?FAMILIAR",IF(F2388="NEW",IF(ISNA(VLOOKUP(E2388,#REF!,1,FALSE())),"?TYPE_IDENTIFIABLE","?REFERENTIAL"),"_")))))</f>
        <v> </v>
      </c>
      <c r="H2388" s="25" t="str">
        <f>IF(J2388&lt;&gt;1,"",IF(I2388="SBJ","CB","?"))</f>
        <v> </v>
      </c>
      <c r="I2388" s="26" t="str">
        <f>IF(OR(E2388="",E2388="!!!",F2388="NEW"),"",INDEX(B2387:B$2,-1+SUMPRODUCT(MAX(ROW(E2387:E$2)*(E2388=E2387:E$2)))))</f>
        <v> </v>
      </c>
      <c r="J2388" s="26" t="str">
        <f>IF(OR(E2388="",E2388="!!!",F2388="NEW"),"",COUNTBLANK(OFFSET(A$1,,,SUMPRODUCT(MAX(ROW(E$2:E2388)*(E2388=E$2:E2388)))))-COUNTBLANK(OFFSET(A$1,,,SUMPRODUCT(MAX(ROW(E$1:E2387)*(E2=E$1:E2387))))))</f>
        <v> </v>
      </c>
      <c r="K2388" s="26" t="str">
        <f>IF(OR(E2388="",E2388="!!!",F2388="NEW"),"",INDEX(J$1:J2387,SUMPRODUCT(MAX(ROW(E$1:E2387)*(E2388=E$1:E2387)))))</f>
        <v> </v>
      </c>
      <c r="L2388" s="27"/>
    </row>
    <row r="2389" spans="1:12">
      <c r="A2389" s="20" t="s">
        <v>873</v>
      </c>
      <c r="E2389" s="22">
        <f>IF(D2389="?OLD","!!!","")</f>
        <v/>
      </c>
      <c r="F2389" s="23" t="str">
        <f>IF(OR(E2389="",E2389="!!!"),"",IF(NOT(ISNA(VLOOKUP(E2389,E$1:E2388,1,FALSE()))),"OLD",IF(AND(E2389&lt;&gt;"",E2389&lt;&gt;"!!!"),"NEW","")))</f>
        <v> </v>
      </c>
      <c r="G2389" s="24" t="str">
        <f>IF(OR(E2389="",E2389="!!!"),"",IF(OR(J2389=0,AND(J2389=1,K2389=1),AND(J2389=1,I2389="SBJ"),AND(J2389=1,I2389=0)),"?IN_FOCUS",IF(J2389&lt;=2,"?ACTIVATED",IF(J2389&lt;&gt;"","?FAMILIAR",IF(F2389="NEW",IF(ISNA(VLOOKUP(E2389,#REF!,1,FALSE())),"?TYPE_IDENTIFIABLE","?REFERENTIAL"),"_")))))</f>
        <v> </v>
      </c>
      <c r="H2389" s="25" t="str">
        <f>IF(J2389&lt;&gt;1,"",IF(I2389="SBJ","CB","?"))</f>
        <v> </v>
      </c>
      <c r="I2389" s="26" t="str">
        <f>IF(OR(E2389="",E2389="!!!",F2389="NEW"),"",INDEX(B2388:B$2,-1+SUMPRODUCT(MAX(ROW(E2388:E$2)*(E2389=E2388:E$2)))))</f>
        <v> </v>
      </c>
      <c r="J2389" s="26" t="str">
        <f>IF(OR(E2389="",E2389="!!!",F2389="NEW"),"",COUNTBLANK(OFFSET(A$1,,,SUMPRODUCT(MAX(ROW(E$2:E2389)*(E2389=E$2:E2389)))))-COUNTBLANK(OFFSET(A$1,,,SUMPRODUCT(MAX(ROW(E$1:E2388)*(E2=E$1:E2388))))))</f>
        <v> </v>
      </c>
      <c r="K2389" s="26" t="str">
        <f>IF(OR(E2389="",E2389="!!!",F2389="NEW"),"",INDEX(J$1:J2388,SUMPRODUCT(MAX(ROW(E$1:E2388)*(E2389=E$1:E2388)))))</f>
        <v> </v>
      </c>
      <c r="L2389" s="27"/>
    </row>
    <row r="2390" spans="1:12">
      <c r="A2390" s="20" t="s">
        <v>1666</v>
      </c>
      <c r="E2390" s="22">
        <f>IF(D2390="?OLD","!!!","")</f>
        <v/>
      </c>
      <c r="F2390" s="23" t="str">
        <f>IF(OR(E2390="",E2390="!!!"),"",IF(NOT(ISNA(VLOOKUP(E2390,E$1:E2389,1,FALSE()))),"OLD",IF(AND(E2390&lt;&gt;"",E2390&lt;&gt;"!!!"),"NEW","")))</f>
        <v> </v>
      </c>
      <c r="G2390" s="24" t="str">
        <f>IF(OR(E2390="",E2390="!!!"),"",IF(OR(J2390=0,AND(J2390=1,K2390=1),AND(J2390=1,I2390="SBJ"),AND(J2390=1,I2390=0)),"?IN_FOCUS",IF(J2390&lt;=2,"?ACTIVATED",IF(J2390&lt;&gt;"","?FAMILIAR",IF(F2390="NEW",IF(ISNA(VLOOKUP(E2390,#REF!,1,FALSE())),"?TYPE_IDENTIFIABLE","?REFERENTIAL"),"_")))))</f>
        <v> </v>
      </c>
      <c r="H2390" s="25" t="str">
        <f>IF(J2390&lt;&gt;1,"",IF(I2390="SBJ","CB","?"))</f>
        <v> </v>
      </c>
      <c r="I2390" s="26" t="str">
        <f>IF(OR(E2390="",E2390="!!!",F2390="NEW"),"",INDEX(B2389:B$2,-1+SUMPRODUCT(MAX(ROW(E2389:E$2)*(E2390=E2389:E$2)))))</f>
        <v> </v>
      </c>
      <c r="J2390" s="26" t="str">
        <f>IF(OR(E2390="",E2390="!!!",F2390="NEW"),"",COUNTBLANK(OFFSET(A$1,,,SUMPRODUCT(MAX(ROW(E$2:E2390)*(E2390=E$2:E2390)))))-COUNTBLANK(OFFSET(A$1,,,SUMPRODUCT(MAX(ROW(E$1:E2389)*(E2=E$1:E2389))))))</f>
        <v> </v>
      </c>
      <c r="K2390" s="26" t="str">
        <f>IF(OR(E2390="",E2390="!!!",F2390="NEW"),"",INDEX(J$1:J2389,SUMPRODUCT(MAX(ROW(E$1:E2389)*(E2390=E$1:E2389)))))</f>
        <v> </v>
      </c>
      <c r="L2390" s="27"/>
    </row>
    <row r="2391" spans="1:12">
      <c r="A2391" s="20" t="s">
        <v>1667</v>
      </c>
      <c r="B2391" s="21" t="s">
        <v>601</v>
      </c>
      <c r="C2391" s="21" t="s">
        <v>646</v>
      </c>
      <c r="E2391" s="22">
        <f>IF(D2391="?OLD","!!!","")</f>
        <v/>
      </c>
      <c r="F2391" s="23" t="str">
        <f>IF(OR(E2391="",E2391="!!!"),"",IF(NOT(ISNA(VLOOKUP(E2391,E$1:E2390,1,FALSE()))),"OLD",IF(AND(E2391&lt;&gt;"",E2391&lt;&gt;"!!!"),"NEW","")))</f>
        <v> </v>
      </c>
      <c r="G2391" s="24" t="str">
        <f>IF(OR(E2391="",E2391="!!!"),"",IF(OR(J2391=0,AND(J2391=1,K2391=1),AND(J2391=1,I2391="SBJ"),AND(J2391=1,I2391=0)),"?IN_FOCUS",IF(J2391&lt;=2,"?ACTIVATED",IF(J2391&lt;&gt;"","?FAMILIAR",IF(F2391="NEW",IF(ISNA(VLOOKUP(E2391,#REF!,1,FALSE())),"?TYPE_IDENTIFIABLE","?REFERENTIAL"),"_")))))</f>
        <v> </v>
      </c>
      <c r="H2391" s="25" t="str">
        <f>IF(J2391&lt;&gt;1,"",IF(I2391="SBJ","CB","?"))</f>
        <v> </v>
      </c>
      <c r="I2391" s="26" t="str">
        <f>IF(OR(E2391="",E2391="!!!",F2391="NEW"),"",INDEX(B2390:B$2,-1+SUMPRODUCT(MAX(ROW(E2390:E$2)*(E2391=E2390:E$2)))))</f>
        <v> </v>
      </c>
      <c r="J2391" s="26" t="str">
        <f>IF(OR(E2391="",E2391="!!!",F2391="NEW"),"",COUNTBLANK(OFFSET(A$1,,,SUMPRODUCT(MAX(ROW(E$2:E2391)*(E2391=E$2:E2391)))))-COUNTBLANK(OFFSET(A$1,,,SUMPRODUCT(MAX(ROW(E$1:E2390)*(E2=E$1:E2390))))))</f>
        <v> </v>
      </c>
      <c r="K2391" s="26" t="str">
        <f>IF(OR(E2391="",E2391="!!!",F2391="NEW"),"",INDEX(J$1:J2390,SUMPRODUCT(MAX(ROW(E$1:E2390)*(E2391=E$1:E2390)))))</f>
        <v> </v>
      </c>
      <c r="L2391" s="27"/>
    </row>
    <row r="2392" spans="1:12">
      <c r="A2392" s="20" t="s">
        <v>592</v>
      </c>
      <c r="E2392" s="22">
        <f>IF(D2392="?OLD","!!!","")</f>
        <v/>
      </c>
      <c r="F2392" s="23" t="str">
        <f>IF(OR(E2392="",E2392="!!!"),"",IF(NOT(ISNA(VLOOKUP(E2392,E$1:E2391,1,FALSE()))),"OLD",IF(AND(E2392&lt;&gt;"",E2392&lt;&gt;"!!!"),"NEW","")))</f>
        <v> </v>
      </c>
      <c r="G2392" s="24" t="str">
        <f>IF(OR(E2392="",E2392="!!!"),"",IF(OR(J2392=0,AND(J2392=1,K2392=1),AND(J2392=1,I2392="SBJ"),AND(J2392=1,I2392=0)),"?IN_FOCUS",IF(J2392&lt;=2,"?ACTIVATED",IF(J2392&lt;&gt;"","?FAMILIAR",IF(F2392="NEW",IF(ISNA(VLOOKUP(E2392,#REF!,1,FALSE())),"?TYPE_IDENTIFIABLE","?REFERENTIAL"),"_")))))</f>
        <v> </v>
      </c>
      <c r="H2392" s="25" t="str">
        <f>IF(J2392&lt;&gt;1,"",IF(I2392="SBJ","CB","?"))</f>
        <v> </v>
      </c>
      <c r="I2392" s="26" t="str">
        <f>IF(OR(E2392="",E2392="!!!",F2392="NEW"),"",INDEX(B2391:B$2,-1+SUMPRODUCT(MAX(ROW(E2391:E$2)*(E2392=E2391:E$2)))))</f>
        <v> </v>
      </c>
      <c r="J2392" s="26" t="str">
        <f>IF(OR(E2392="",E2392="!!!",F2392="NEW"),"",COUNTBLANK(OFFSET(A$1,,,SUMPRODUCT(MAX(ROW(E$2:E2392)*(E2392=E$2:E2392)))))-COUNTBLANK(OFFSET(A$1,,,SUMPRODUCT(MAX(ROW(E$1:E2391)*(E2=E$1:E2391))))))</f>
        <v> </v>
      </c>
      <c r="K2392" s="26" t="str">
        <f>IF(OR(E2392="",E2392="!!!",F2392="NEW"),"",INDEX(J$1:J2391,SUMPRODUCT(MAX(ROW(E$1:E2391)*(E2392=E$1:E2391)))))</f>
        <v> </v>
      </c>
      <c r="L2392" s="27"/>
    </row>
    <row r="2393" spans="1:12">
      <c r="A2393" s="20"/>
    </row>
    <row r="2394" spans="1:12">
      <c r="A2394" s="20" t="s">
        <v>1668</v>
      </c>
    </row>
    <row r="2395" spans="1:12">
      <c r="A2395" s="20" t="s">
        <v>1669</v>
      </c>
      <c r="E2395" s="22">
        <f>IF(D2395="?OLD","!!!","")</f>
        <v/>
      </c>
      <c r="F2395" s="23" t="str">
        <f>IF(OR(E2395="",E2395="!!!"),"",IF(NOT(ISNA(VLOOKUP(E2395,E$1:E2394,1,FALSE()))),"OLD",IF(AND(E2395&lt;&gt;"",E2395&lt;&gt;"!!!"),"NEW","")))</f>
        <v> </v>
      </c>
      <c r="G2395" s="24" t="str">
        <f>IF(OR(E2395="",E2395="!!!"),"",IF(OR(J2395=0,AND(J2395=1,K2395=1),AND(J2395=1,I2395="SBJ"),AND(J2395=1,I2395=0)),"?IN_FOCUS",IF(J2395&lt;=2,"?ACTIVATED",IF(J2395&lt;&gt;"","?FAMILIAR",IF(F2395="NEW",IF(ISNA(VLOOKUP(E2395,#REF!,1,FALSE())),"?TYPE_IDENTIFIABLE","?REFERENTIAL"),"_")))))</f>
        <v> </v>
      </c>
      <c r="H2395" s="25" t="str">
        <f>IF(J2395&lt;&gt;1,"",IF(I2395="SBJ","CB","?"))</f>
        <v> </v>
      </c>
      <c r="I2395" s="26" t="str">
        <f>IF(OR(E2395="",E2395="!!!",F2395="NEW"),"",INDEX(B2394:B$2,-1+SUMPRODUCT(MAX(ROW(E2394:E$2)*(E2395=E2394:E$2)))))</f>
        <v> </v>
      </c>
      <c r="J2395" s="26" t="str">
        <f>IF(OR(E2395="",E2395="!!!",F2395="NEW"),"",COUNTBLANK(OFFSET(A$1,,,SUMPRODUCT(MAX(ROW(E$2:E2395)*(E2395=E$2:E2395)))))-COUNTBLANK(OFFSET(A$1,,,SUMPRODUCT(MAX(ROW(E$1:E2394)*(E2=E$1:E2394))))))</f>
        <v> </v>
      </c>
      <c r="K2395" s="26" t="str">
        <f>IF(OR(E2395="",E2395="!!!",F2395="NEW"),"",INDEX(J$1:J2394,SUMPRODUCT(MAX(ROW(E$1:E2394)*(E2395=E$1:E2394)))))</f>
        <v> </v>
      </c>
      <c r="L2395" s="27"/>
    </row>
    <row r="2396" spans="1:12">
      <c r="A2396" s="20" t="s">
        <v>1670</v>
      </c>
      <c r="B2396" s="21" t="s">
        <v>578</v>
      </c>
      <c r="E2396" s="22">
        <f>IF(D2396="?OLD","!!!","")</f>
        <v/>
      </c>
      <c r="F2396" s="23" t="str">
        <f>IF(OR(E2396="",E2396="!!!"),"",IF(NOT(ISNA(VLOOKUP(E2396,E$1:E2395,1,FALSE()))),"OLD",IF(AND(E2396&lt;&gt;"",E2396&lt;&gt;"!!!"),"NEW","")))</f>
        <v> </v>
      </c>
      <c r="G2396" s="24" t="str">
        <f>IF(OR(E2396="",E2396="!!!"),"",IF(OR(J2396=0,AND(J2396=1,K2396=1),AND(J2396=1,I2396="SBJ"),AND(J2396=1,I2396=0)),"?IN_FOCUS",IF(J2396&lt;=2,"?ACTIVATED",IF(J2396&lt;&gt;"","?FAMILIAR",IF(F2396="NEW",IF(ISNA(VLOOKUP(E2396,#REF!,1,FALSE())),"?TYPE_IDENTIFIABLE","?REFERENTIAL"),"_")))))</f>
        <v> </v>
      </c>
      <c r="H2396" s="25" t="str">
        <f>IF(J2396&lt;&gt;1,"",IF(I2396="SBJ","CB","?"))</f>
        <v> </v>
      </c>
      <c r="I2396" s="26" t="str">
        <f>IF(OR(E2396="",E2396="!!!",F2396="NEW"),"",INDEX(B2395:B$2,-1+SUMPRODUCT(MAX(ROW(E2395:E$2)*(E2396=E2395:E$2)))))</f>
        <v> </v>
      </c>
      <c r="J2396" s="26" t="str">
        <f>IF(OR(E2396="",E2396="!!!",F2396="NEW"),"",COUNTBLANK(OFFSET(A$1,,,SUMPRODUCT(MAX(ROW(E$2:E2396)*(E2396=E$2:E2396)))))-COUNTBLANK(OFFSET(A$1,,,SUMPRODUCT(MAX(ROW(E$1:E2395)*(E2=E$1:E2395))))))</f>
        <v> </v>
      </c>
      <c r="K2396" s="26" t="str">
        <f>IF(OR(E2396="",E2396="!!!",F2396="NEW"),"",INDEX(J$1:J2395,SUMPRODUCT(MAX(ROW(E$1:E2395)*(E2396=E$1:E2395)))))</f>
        <v> </v>
      </c>
      <c r="L2396" s="27"/>
    </row>
    <row r="2397" spans="1:12">
      <c r="A2397" s="20" t="s">
        <v>583</v>
      </c>
      <c r="E2397" s="22">
        <f>IF(D2397="?OLD","!!!","")</f>
        <v/>
      </c>
      <c r="F2397" s="23" t="str">
        <f>IF(OR(E2397="",E2397="!!!"),"",IF(NOT(ISNA(VLOOKUP(E2397,E$1:E2396,1,FALSE()))),"OLD",IF(AND(E2397&lt;&gt;"",E2397&lt;&gt;"!!!"),"NEW","")))</f>
        <v> </v>
      </c>
      <c r="G2397" s="24" t="str">
        <f>IF(OR(E2397="",E2397="!!!"),"",IF(OR(J2397=0,AND(J2397=1,K2397=1),AND(J2397=1,I2397="SBJ"),AND(J2397=1,I2397=0)),"?IN_FOCUS",IF(J2397&lt;=2,"?ACTIVATED",IF(J2397&lt;&gt;"","?FAMILIAR",IF(F2397="NEW",IF(ISNA(VLOOKUP(E2397,#REF!,1,FALSE())),"?TYPE_IDENTIFIABLE","?REFERENTIAL"),"_")))))</f>
        <v> </v>
      </c>
      <c r="H2397" s="25" t="str">
        <f>IF(J2397&lt;&gt;1,"",IF(I2397="SBJ","CB","?"))</f>
        <v> </v>
      </c>
      <c r="I2397" s="26" t="str">
        <f>IF(OR(E2397="",E2397="!!!",F2397="NEW"),"",INDEX(B2396:B$2,-1+SUMPRODUCT(MAX(ROW(E2396:E$2)*(E2397=E2396:E$2)))))</f>
        <v> </v>
      </c>
      <c r="J2397" s="26" t="str">
        <f>IF(OR(E2397="",E2397="!!!",F2397="NEW"),"",COUNTBLANK(OFFSET(A$1,,,SUMPRODUCT(MAX(ROW(E$2:E2397)*(E2397=E$2:E2397)))))-COUNTBLANK(OFFSET(A$1,,,SUMPRODUCT(MAX(ROW(E$1:E2396)*(E2=E$1:E2396))))))</f>
        <v> </v>
      </c>
      <c r="K2397" s="26" t="str">
        <f>IF(OR(E2397="",E2397="!!!",F2397="NEW"),"",INDEX(J$1:J2396,SUMPRODUCT(MAX(ROW(E$1:E2396)*(E2397=E$1:E2396)))))</f>
        <v> </v>
      </c>
      <c r="L2397" s="27"/>
    </row>
    <row r="2398" spans="1:12">
      <c r="A2398" s="20" t="s">
        <v>877</v>
      </c>
      <c r="E2398" s="22">
        <f>IF(D2398="?OLD","!!!","")</f>
        <v/>
      </c>
      <c r="F2398" s="23" t="str">
        <f>IF(OR(E2398="",E2398="!!!"),"",IF(NOT(ISNA(VLOOKUP(E2398,E$1:E2397,1,FALSE()))),"OLD",IF(AND(E2398&lt;&gt;"",E2398&lt;&gt;"!!!"),"NEW","")))</f>
        <v> </v>
      </c>
      <c r="G2398" s="24" t="str">
        <f>IF(OR(E2398="",E2398="!!!"),"",IF(OR(J2398=0,AND(J2398=1,K2398=1),AND(J2398=1,I2398="SBJ"),AND(J2398=1,I2398=0)),"?IN_FOCUS",IF(J2398&lt;=2,"?ACTIVATED",IF(J2398&lt;&gt;"","?FAMILIAR",IF(F2398="NEW",IF(ISNA(VLOOKUP(E2398,#REF!,1,FALSE())),"?TYPE_IDENTIFIABLE","?REFERENTIAL"),"_")))))</f>
        <v> </v>
      </c>
      <c r="H2398" s="25" t="str">
        <f>IF(J2398&lt;&gt;1,"",IF(I2398="SBJ","CB","?"))</f>
        <v> </v>
      </c>
      <c r="I2398" s="26" t="str">
        <f>IF(OR(E2398="",E2398="!!!",F2398="NEW"),"",INDEX(B2397:B$2,-1+SUMPRODUCT(MAX(ROW(E2397:E$2)*(E2398=E2397:E$2)))))</f>
        <v> </v>
      </c>
      <c r="J2398" s="26" t="str">
        <f>IF(OR(E2398="",E2398="!!!",F2398="NEW"),"",COUNTBLANK(OFFSET(A$1,,,SUMPRODUCT(MAX(ROW(E$2:E2398)*(E2398=E$2:E2398)))))-COUNTBLANK(OFFSET(A$1,,,SUMPRODUCT(MAX(ROW(E$1:E2397)*(E2=E$1:E2397))))))</f>
        <v> </v>
      </c>
      <c r="K2398" s="26" t="str">
        <f>IF(OR(E2398="",E2398="!!!",F2398="NEW"),"",INDEX(J$1:J2397,SUMPRODUCT(MAX(ROW(E$1:E2397)*(E2398=E$1:E2397)))))</f>
        <v> </v>
      </c>
      <c r="L2398" s="27"/>
    </row>
    <row r="2399" spans="1:12">
      <c r="A2399" s="20" t="s">
        <v>1640</v>
      </c>
      <c r="E2399" s="22">
        <f>IF(D2399="?OLD","!!!","")</f>
        <v/>
      </c>
      <c r="F2399" s="23" t="str">
        <f>IF(OR(E2399="",E2399="!!!"),"",IF(NOT(ISNA(VLOOKUP(E2399,E$1:E2398,1,FALSE()))),"OLD",IF(AND(E2399&lt;&gt;"",E2399&lt;&gt;"!!!"),"NEW","")))</f>
        <v> </v>
      </c>
      <c r="G2399" s="24" t="str">
        <f>IF(OR(E2399="",E2399="!!!"),"",IF(OR(J2399=0,AND(J2399=1,K2399=1),AND(J2399=1,I2399="SBJ"),AND(J2399=1,I2399=0)),"?IN_FOCUS",IF(J2399&lt;=2,"?ACTIVATED",IF(J2399&lt;&gt;"","?FAMILIAR",IF(F2399="NEW",IF(ISNA(VLOOKUP(E2399,#REF!,1,FALSE())),"?TYPE_IDENTIFIABLE","?REFERENTIAL"),"_")))))</f>
        <v> </v>
      </c>
      <c r="H2399" s="25" t="str">
        <f>IF(J2399&lt;&gt;1,"",IF(I2399="SBJ","CB","?"))</f>
        <v> </v>
      </c>
      <c r="I2399" s="26" t="str">
        <f>IF(OR(E2399="",E2399="!!!",F2399="NEW"),"",INDEX(B2398:B$2,-1+SUMPRODUCT(MAX(ROW(E2398:E$2)*(E2399=E2398:E$2)))))</f>
        <v> </v>
      </c>
      <c r="J2399" s="26" t="str">
        <f>IF(OR(E2399="",E2399="!!!",F2399="NEW"),"",COUNTBLANK(OFFSET(A$1,,,SUMPRODUCT(MAX(ROW(E$2:E2399)*(E2399=E$2:E2399)))))-COUNTBLANK(OFFSET(A$1,,,SUMPRODUCT(MAX(ROW(E$1:E2398)*(E2=E$1:E2398))))))</f>
        <v> </v>
      </c>
      <c r="K2399" s="26" t="str">
        <f>IF(OR(E2399="",E2399="!!!",F2399="NEW"),"",INDEX(J$1:J2398,SUMPRODUCT(MAX(ROW(E$1:E2398)*(E2399=E$1:E2398)))))</f>
        <v> </v>
      </c>
      <c r="L2399" s="27"/>
    </row>
    <row r="2400" spans="1:12">
      <c r="A2400" s="20" t="s">
        <v>1671</v>
      </c>
      <c r="E2400" s="22">
        <f>IF(D2400="?OLD","!!!","")</f>
        <v/>
      </c>
      <c r="F2400" s="23" t="str">
        <f>IF(OR(E2400="",E2400="!!!"),"",IF(NOT(ISNA(VLOOKUP(E2400,E$1:E2399,1,FALSE()))),"OLD",IF(AND(E2400&lt;&gt;"",E2400&lt;&gt;"!!!"),"NEW","")))</f>
        <v> </v>
      </c>
      <c r="G2400" s="24" t="str">
        <f>IF(OR(E2400="",E2400="!!!"),"",IF(OR(J2400=0,AND(J2400=1,K2400=1),AND(J2400=1,I2400="SBJ"),AND(J2400=1,I2400=0)),"?IN_FOCUS",IF(J2400&lt;=2,"?ACTIVATED",IF(J2400&lt;&gt;"","?FAMILIAR",IF(F2400="NEW",IF(ISNA(VLOOKUP(E2400,#REF!,1,FALSE())),"?TYPE_IDENTIFIABLE","?REFERENTIAL"),"_")))))</f>
        <v> </v>
      </c>
      <c r="H2400" s="25" t="str">
        <f>IF(J2400&lt;&gt;1,"",IF(I2400="SBJ","CB","?"))</f>
        <v> </v>
      </c>
      <c r="I2400" s="26" t="str">
        <f>IF(OR(E2400="",E2400="!!!",F2400="NEW"),"",INDEX(B2399:B$2,-1+SUMPRODUCT(MAX(ROW(E2399:E$2)*(E2400=E2399:E$2)))))</f>
        <v> </v>
      </c>
      <c r="J2400" s="26" t="str">
        <f>IF(OR(E2400="",E2400="!!!",F2400="NEW"),"",COUNTBLANK(OFFSET(A$1,,,SUMPRODUCT(MAX(ROW(E$2:E2400)*(E2400=E$2:E2400)))))-COUNTBLANK(OFFSET(A$1,,,SUMPRODUCT(MAX(ROW(E$1:E2399)*(E2=E$1:E2399))))))</f>
        <v> </v>
      </c>
      <c r="K2400" s="26" t="str">
        <f>IF(OR(E2400="",E2400="!!!",F2400="NEW"),"",INDEX(J$1:J2399,SUMPRODUCT(MAX(ROW(E$1:E2399)*(E2400=E$1:E2399)))))</f>
        <v> </v>
      </c>
      <c r="L2400" s="27"/>
    </row>
    <row r="2401" spans="1:12">
      <c r="A2401" s="20" t="s">
        <v>583</v>
      </c>
      <c r="E2401" s="22">
        <f>IF(D2401="?OLD","!!!","")</f>
        <v/>
      </c>
      <c r="F2401" s="23" t="str">
        <f>IF(OR(E2401="",E2401="!!!"),"",IF(NOT(ISNA(VLOOKUP(E2401,E$1:E2400,1,FALSE()))),"OLD",IF(AND(E2401&lt;&gt;"",E2401&lt;&gt;"!!!"),"NEW","")))</f>
        <v> </v>
      </c>
      <c r="G2401" s="24" t="str">
        <f>IF(OR(E2401="",E2401="!!!"),"",IF(OR(J2401=0,AND(J2401=1,K2401=1),AND(J2401=1,I2401="SBJ"),AND(J2401=1,I2401=0)),"?IN_FOCUS",IF(J2401&lt;=2,"?ACTIVATED",IF(J2401&lt;&gt;"","?FAMILIAR",IF(F2401="NEW",IF(ISNA(VLOOKUP(E2401,#REF!,1,FALSE())),"?TYPE_IDENTIFIABLE","?REFERENTIAL"),"_")))))</f>
        <v> </v>
      </c>
      <c r="H2401" s="25" t="str">
        <f>IF(J2401&lt;&gt;1,"",IF(I2401="SBJ","CB","?"))</f>
        <v> </v>
      </c>
      <c r="I2401" s="26" t="str">
        <f>IF(OR(E2401="",E2401="!!!",F2401="NEW"),"",INDEX(B2400:B$2,-1+SUMPRODUCT(MAX(ROW(E2400:E$2)*(E2401=E2400:E$2)))))</f>
        <v> </v>
      </c>
      <c r="J2401" s="26" t="str">
        <f>IF(OR(E2401="",E2401="!!!",F2401="NEW"),"",COUNTBLANK(OFFSET(A$1,,,SUMPRODUCT(MAX(ROW(E$2:E2401)*(E2401=E$2:E2401)))))-COUNTBLANK(OFFSET(A$1,,,SUMPRODUCT(MAX(ROW(E$1:E2400)*(E2=E$1:E2400))))))</f>
        <v> </v>
      </c>
      <c r="K2401" s="26" t="str">
        <f>IF(OR(E2401="",E2401="!!!",F2401="NEW"),"",INDEX(J$1:J2400,SUMPRODUCT(MAX(ROW(E$1:E2400)*(E2401=E$1:E2400)))))</f>
        <v> </v>
      </c>
      <c r="L2401" s="27"/>
    </row>
    <row r="2402" spans="1:12">
      <c r="A2402" s="20" t="s">
        <v>1672</v>
      </c>
      <c r="E2402" s="22">
        <f>IF(D2402="?OLD","!!!","")</f>
        <v/>
      </c>
      <c r="F2402" s="23" t="str">
        <f>IF(OR(E2402="",E2402="!!!"),"",IF(NOT(ISNA(VLOOKUP(E2402,E$1:E2401,1,FALSE()))),"OLD",IF(AND(E2402&lt;&gt;"",E2402&lt;&gt;"!!!"),"NEW","")))</f>
        <v> </v>
      </c>
      <c r="G2402" s="24" t="str">
        <f>IF(OR(E2402="",E2402="!!!"),"",IF(OR(J2402=0,AND(J2402=1,K2402=1),AND(J2402=1,I2402="SBJ"),AND(J2402=1,I2402=0)),"?IN_FOCUS",IF(J2402&lt;=2,"?ACTIVATED",IF(J2402&lt;&gt;"","?FAMILIAR",IF(F2402="NEW",IF(ISNA(VLOOKUP(E2402,#REF!,1,FALSE())),"?TYPE_IDENTIFIABLE","?REFERENTIAL"),"_")))))</f>
        <v> </v>
      </c>
      <c r="H2402" s="25" t="str">
        <f>IF(J2402&lt;&gt;1,"",IF(I2402="SBJ","CB","?"))</f>
        <v> </v>
      </c>
      <c r="I2402" s="26" t="str">
        <f>IF(OR(E2402="",E2402="!!!",F2402="NEW"),"",INDEX(B2401:B$2,-1+SUMPRODUCT(MAX(ROW(E2401:E$2)*(E2402=E2401:E$2)))))</f>
        <v> </v>
      </c>
      <c r="J2402" s="26" t="str">
        <f>IF(OR(E2402="",E2402="!!!",F2402="NEW"),"",COUNTBLANK(OFFSET(A$1,,,SUMPRODUCT(MAX(ROW(E$2:E2402)*(E2402=E$2:E2402)))))-COUNTBLANK(OFFSET(A$1,,,SUMPRODUCT(MAX(ROW(E$1:E2401)*(E2=E$1:E2401))))))</f>
        <v> </v>
      </c>
      <c r="K2402" s="26" t="str">
        <f>IF(OR(E2402="",E2402="!!!",F2402="NEW"),"",INDEX(J$1:J2401,SUMPRODUCT(MAX(ROW(E$1:E2401)*(E2402=E$1:E2401)))))</f>
        <v> </v>
      </c>
      <c r="L2402" s="27"/>
    </row>
    <row r="2403" spans="1:12">
      <c r="A2403" s="20" t="s">
        <v>1557</v>
      </c>
      <c r="E2403" s="22">
        <f>IF(D2403="?OLD","!!!","")</f>
        <v/>
      </c>
      <c r="F2403" s="23" t="str">
        <f>IF(OR(E2403="",E2403="!!!"),"",IF(NOT(ISNA(VLOOKUP(E2403,E$1:E2402,1,FALSE()))),"OLD",IF(AND(E2403&lt;&gt;"",E2403&lt;&gt;"!!!"),"NEW","")))</f>
        <v> </v>
      </c>
      <c r="G2403" s="24" t="str">
        <f>IF(OR(E2403="",E2403="!!!"),"",IF(OR(J2403=0,AND(J2403=1,K2403=1),AND(J2403=1,I2403="SBJ"),AND(J2403=1,I2403=0)),"?IN_FOCUS",IF(J2403&lt;=2,"?ACTIVATED",IF(J2403&lt;&gt;"","?FAMILIAR",IF(F2403="NEW",IF(ISNA(VLOOKUP(E2403,#REF!,1,FALSE())),"?TYPE_IDENTIFIABLE","?REFERENTIAL"),"_")))))</f>
        <v> </v>
      </c>
      <c r="H2403" s="25" t="str">
        <f>IF(J2403&lt;&gt;1,"",IF(I2403="SBJ","CB","?"))</f>
        <v> </v>
      </c>
      <c r="I2403" s="26" t="str">
        <f>IF(OR(E2403="",E2403="!!!",F2403="NEW"),"",INDEX(B2402:B$2,-1+SUMPRODUCT(MAX(ROW(E2402:E$2)*(E2403=E2402:E$2)))))</f>
        <v> </v>
      </c>
      <c r="J2403" s="26" t="str">
        <f>IF(OR(E2403="",E2403="!!!",F2403="NEW"),"",COUNTBLANK(OFFSET(A$1,,,SUMPRODUCT(MAX(ROW(E$2:E2403)*(E2403=E$2:E2403)))))-COUNTBLANK(OFFSET(A$1,,,SUMPRODUCT(MAX(ROW(E$1:E2402)*(E2=E$1:E2402))))))</f>
        <v> </v>
      </c>
      <c r="K2403" s="26" t="str">
        <f>IF(OR(E2403="",E2403="!!!",F2403="NEW"),"",INDEX(J$1:J2402,SUMPRODUCT(MAX(ROW(E$1:E2402)*(E2403=E$1:E2402)))))</f>
        <v> </v>
      </c>
      <c r="L2403" s="27"/>
    </row>
    <row r="2404" spans="1:12">
      <c r="A2404" s="20" t="s">
        <v>580</v>
      </c>
      <c r="E2404" s="22">
        <f>IF(D2404="?OLD","!!!","")</f>
        <v/>
      </c>
      <c r="F2404" s="23" t="str">
        <f>IF(OR(E2404="",E2404="!!!"),"",IF(NOT(ISNA(VLOOKUP(E2404,E$1:E2403,1,FALSE()))),"OLD",IF(AND(E2404&lt;&gt;"",E2404&lt;&gt;"!!!"),"NEW","")))</f>
        <v> </v>
      </c>
      <c r="G2404" s="24" t="str">
        <f>IF(OR(E2404="",E2404="!!!"),"",IF(OR(J2404=0,AND(J2404=1,K2404=1),AND(J2404=1,I2404="SBJ"),AND(J2404=1,I2404=0)),"?IN_FOCUS",IF(J2404&lt;=2,"?ACTIVATED",IF(J2404&lt;&gt;"","?FAMILIAR",IF(F2404="NEW",IF(ISNA(VLOOKUP(E2404,#REF!,1,FALSE())),"?TYPE_IDENTIFIABLE","?REFERENTIAL"),"_")))))</f>
        <v> </v>
      </c>
      <c r="H2404" s="25" t="str">
        <f>IF(J2404&lt;&gt;1,"",IF(I2404="SBJ","CB","?"))</f>
        <v> </v>
      </c>
      <c r="I2404" s="26" t="str">
        <f>IF(OR(E2404="",E2404="!!!",F2404="NEW"),"",INDEX(B2403:B$2,-1+SUMPRODUCT(MAX(ROW(E2403:E$2)*(E2404=E2403:E$2)))))</f>
        <v> </v>
      </c>
      <c r="J2404" s="26" t="str">
        <f>IF(OR(E2404="",E2404="!!!",F2404="NEW"),"",COUNTBLANK(OFFSET(A$1,,,SUMPRODUCT(MAX(ROW(E$2:E2404)*(E2404=E$2:E2404)))))-COUNTBLANK(OFFSET(A$1,,,SUMPRODUCT(MAX(ROW(E$1:E2403)*(E2=E$1:E2403))))))</f>
        <v> </v>
      </c>
      <c r="K2404" s="26" t="str">
        <f>IF(OR(E2404="",E2404="!!!",F2404="NEW"),"",INDEX(J$1:J2403,SUMPRODUCT(MAX(ROW(E$1:E2403)*(E2404=E$1:E2403)))))</f>
        <v> </v>
      </c>
      <c r="L2404" s="27"/>
    </row>
    <row r="2405" spans="1:12">
      <c r="A2405" s="20" t="s">
        <v>749</v>
      </c>
      <c r="B2405" s="21" t="s">
        <v>645</v>
      </c>
      <c r="C2405" s="21" t="s">
        <v>800</v>
      </c>
      <c r="D2405" s="21" t="s">
        <v>587</v>
      </c>
      <c r="E2405" s="22">
        <f>IF(D2405="?OLD","!!!","")</f>
        <v/>
      </c>
      <c r="F2405" s="23" t="str">
        <f>IF(OR(E2405="",E2405="!!!"),"",IF(NOT(ISNA(VLOOKUP(E2405,E$1:E2404,1,FALSE()))),"OLD",IF(AND(E2405&lt;&gt;"",E2405&lt;&gt;"!!!"),"NEW","")))</f>
        <v> </v>
      </c>
      <c r="G2405" s="24" t="str">
        <f>IF(OR(E2405="",E2405="!!!"),"",IF(OR(J2405=0,AND(J2405=1,K2405=1),AND(J2405=1,I2405="SBJ"),AND(J2405=1,I2405=0)),"?IN_FOCUS",IF(J2405&lt;=2,"?ACTIVATED",IF(J2405&lt;&gt;"","?FAMILIAR",IF(F2405="NEW",IF(ISNA(VLOOKUP(E2405,#REF!,1,FALSE())),"?TYPE_IDENTIFIABLE","?REFERENTIAL"),"_")))))</f>
        <v> </v>
      </c>
      <c r="H2405" s="25" t="str">
        <f>IF(J2405&lt;&gt;1,"",IF(I2405="SBJ","CB","?"))</f>
        <v> </v>
      </c>
      <c r="I2405" s="26" t="str">
        <f>IF(OR(E2405="",E2405="!!!",F2405="NEW"),"",INDEX(B2404:B$2,-1+SUMPRODUCT(MAX(ROW(E2404:E$2)*(E2405=E2404:E$2)))))</f>
        <v> </v>
      </c>
      <c r="J2405" s="26" t="str">
        <f>IF(OR(E2405="",E2405="!!!",F2405="NEW"),"",COUNTBLANK(OFFSET(A$1,,,SUMPRODUCT(MAX(ROW(E$2:E2405)*(E2405=E$2:E2405)))))-COUNTBLANK(OFFSET(A$1,,,SUMPRODUCT(MAX(ROW(E$1:E2404)*(E2=E$1:E2404))))))</f>
        <v> </v>
      </c>
      <c r="K2405" s="26" t="str">
        <f>IF(OR(E2405="",E2405="!!!",F2405="NEW"),"",INDEX(J$1:J2404,SUMPRODUCT(MAX(ROW(E$1:E2404)*(E2405=E$1:E2404)))))</f>
        <v> </v>
      </c>
      <c r="L2405" s="27"/>
    </row>
    <row r="2406" spans="1:12">
      <c r="A2406" s="20" t="s">
        <v>1497</v>
      </c>
      <c r="B2406" s="21" t="s">
        <v>722</v>
      </c>
      <c r="C2406" s="21" t="s">
        <v>628</v>
      </c>
      <c r="D2406" s="21" t="s">
        <v>587</v>
      </c>
      <c r="E2406" s="22">
        <f>IF(D2406="?OLD","!!!","")</f>
        <v/>
      </c>
      <c r="F2406" s="23" t="str">
        <f>IF(OR(E2406="",E2406="!!!"),"",IF(NOT(ISNA(VLOOKUP(E2406,E$1:E2405,1,FALSE()))),"OLD",IF(AND(E2406&lt;&gt;"",E2406&lt;&gt;"!!!"),"NEW","")))</f>
        <v> </v>
      </c>
      <c r="G2406" s="24" t="str">
        <f>IF(OR(E2406="",E2406="!!!"),"",IF(OR(J2406=0,AND(J2406=1,K2406=1),AND(J2406=1,I2406="SBJ"),AND(J2406=1,I2406=0)),"?IN_FOCUS",IF(J2406&lt;=2,"?ACTIVATED",IF(J2406&lt;&gt;"","?FAMILIAR",IF(F2406="NEW",IF(ISNA(VLOOKUP(E2406,#REF!,1,FALSE())),"?TYPE_IDENTIFIABLE","?REFERENTIAL"),"_")))))</f>
        <v> </v>
      </c>
      <c r="H2406" s="25" t="str">
        <f>IF(J2406&lt;&gt;1,"",IF(I2406="SBJ","CB","?"))</f>
        <v> </v>
      </c>
      <c r="I2406" s="26" t="str">
        <f>IF(OR(E2406="",E2406="!!!",F2406="NEW"),"",INDEX(B2405:B$2,-1+SUMPRODUCT(MAX(ROW(E2405:E$2)*(E2406=E2405:E$2)))))</f>
        <v> </v>
      </c>
      <c r="J2406" s="26" t="str">
        <f>IF(OR(E2406="",E2406="!!!",F2406="NEW"),"",COUNTBLANK(OFFSET(A$1,,,SUMPRODUCT(MAX(ROW(E$2:E2406)*(E2406=E$2:E2406)))))-COUNTBLANK(OFFSET(A$1,,,SUMPRODUCT(MAX(ROW(E$1:E2405)*(E2=E$1:E2405))))))</f>
        <v> </v>
      </c>
      <c r="K2406" s="26" t="str">
        <f>IF(OR(E2406="",E2406="!!!",F2406="NEW"),"",INDEX(J$1:J2405,SUMPRODUCT(MAX(ROW(E$1:E2405)*(E2406=E$1:E2405)))))</f>
        <v> </v>
      </c>
      <c r="L2406" s="27"/>
    </row>
    <row r="2407" spans="1:12">
      <c r="A2407" s="20" t="s">
        <v>655</v>
      </c>
      <c r="E2407" s="22">
        <f>IF(D2407="?OLD","!!!","")</f>
        <v/>
      </c>
      <c r="F2407" s="23" t="str">
        <f>IF(OR(E2407="",E2407="!!!"),"",IF(NOT(ISNA(VLOOKUP(E2407,E$1:E2406,1,FALSE()))),"OLD",IF(AND(E2407&lt;&gt;"",E2407&lt;&gt;"!!!"),"NEW","")))</f>
        <v> </v>
      </c>
      <c r="G2407" s="24" t="str">
        <f>IF(OR(E2407="",E2407="!!!"),"",IF(OR(J2407=0,AND(J2407=1,K2407=1),AND(J2407=1,I2407="SBJ"),AND(J2407=1,I2407=0)),"?IN_FOCUS",IF(J2407&lt;=2,"?ACTIVATED",IF(J2407&lt;&gt;"","?FAMILIAR",IF(F2407="NEW",IF(ISNA(VLOOKUP(E2407,#REF!,1,FALSE())),"?TYPE_IDENTIFIABLE","?REFERENTIAL"),"_")))))</f>
        <v> </v>
      </c>
      <c r="H2407" s="25" t="str">
        <f>IF(J2407&lt;&gt;1,"",IF(I2407="SBJ","CB","?"))</f>
        <v> </v>
      </c>
      <c r="I2407" s="26" t="str">
        <f>IF(OR(E2407="",E2407="!!!",F2407="NEW"),"",INDEX(B2406:B$2,-1+SUMPRODUCT(MAX(ROW(E2406:E$2)*(E2407=E2406:E$2)))))</f>
        <v> </v>
      </c>
      <c r="J2407" s="26" t="str">
        <f>IF(OR(E2407="",E2407="!!!",F2407="NEW"),"",COUNTBLANK(OFFSET(A$1,,,SUMPRODUCT(MAX(ROW(E$2:E2407)*(E2407=E$2:E2407)))))-COUNTBLANK(OFFSET(A$1,,,SUMPRODUCT(MAX(ROW(E$1:E2406)*(E2=E$1:E2406))))))</f>
        <v> </v>
      </c>
      <c r="K2407" s="26" t="str">
        <f>IF(OR(E2407="",E2407="!!!",F2407="NEW"),"",INDEX(J$1:J2406,SUMPRODUCT(MAX(ROW(E$1:E2406)*(E2407=E$1:E2406)))))</f>
        <v> </v>
      </c>
      <c r="L2407" s="27"/>
    </row>
    <row r="2408" spans="1:12">
      <c r="A2408" s="20" t="s">
        <v>923</v>
      </c>
      <c r="E2408" s="22">
        <f>IF(D2408="?OLD","!!!","")</f>
        <v/>
      </c>
      <c r="F2408" s="23" t="str">
        <f>IF(OR(E2408="",E2408="!!!"),"",IF(NOT(ISNA(VLOOKUP(E2408,E$1:E2407,1,FALSE()))),"OLD",IF(AND(E2408&lt;&gt;"",E2408&lt;&gt;"!!!"),"NEW","")))</f>
        <v> </v>
      </c>
      <c r="G2408" s="24" t="str">
        <f>IF(OR(E2408="",E2408="!!!"),"",IF(OR(J2408=0,AND(J2408=1,K2408=1),AND(J2408=1,I2408="SBJ"),AND(J2408=1,I2408=0)),"?IN_FOCUS",IF(J2408&lt;=2,"?ACTIVATED",IF(J2408&lt;&gt;"","?FAMILIAR",IF(F2408="NEW",IF(ISNA(VLOOKUP(E2408,#REF!,1,FALSE())),"?TYPE_IDENTIFIABLE","?REFERENTIAL"),"_")))))</f>
        <v> </v>
      </c>
      <c r="H2408" s="25" t="str">
        <f>IF(J2408&lt;&gt;1,"",IF(I2408="SBJ","CB","?"))</f>
        <v> </v>
      </c>
      <c r="I2408" s="26" t="str">
        <f>IF(OR(E2408="",E2408="!!!",F2408="NEW"),"",INDEX(B2407:B$2,-1+SUMPRODUCT(MAX(ROW(E2407:E$2)*(E2408=E2407:E$2)))))</f>
        <v> </v>
      </c>
      <c r="J2408" s="26" t="str">
        <f>IF(OR(E2408="",E2408="!!!",F2408="NEW"),"",COUNTBLANK(OFFSET(A$1,,,SUMPRODUCT(MAX(ROW(E$2:E2408)*(E2408=E$2:E2408)))))-COUNTBLANK(OFFSET(A$1,,,SUMPRODUCT(MAX(ROW(E$1:E2407)*(E2=E$1:E2407))))))</f>
        <v> </v>
      </c>
      <c r="K2408" s="26" t="str">
        <f>IF(OR(E2408="",E2408="!!!",F2408="NEW"),"",INDEX(J$1:J2407,SUMPRODUCT(MAX(ROW(E$1:E2407)*(E2408=E$1:E2407)))))</f>
        <v> </v>
      </c>
      <c r="L2408" s="27"/>
    </row>
    <row r="2409" spans="1:12">
      <c r="A2409" s="20" t="s">
        <v>989</v>
      </c>
      <c r="B2409" s="21" t="s">
        <v>578</v>
      </c>
      <c r="E2409" s="22">
        <f>IF(D2409="?OLD","!!!","")</f>
        <v/>
      </c>
      <c r="F2409" s="23" t="str">
        <f>IF(OR(E2409="",E2409="!!!"),"",IF(NOT(ISNA(VLOOKUP(E2409,E$1:E2408,1,FALSE()))),"OLD",IF(AND(E2409&lt;&gt;"",E2409&lt;&gt;"!!!"),"NEW","")))</f>
        <v> </v>
      </c>
      <c r="G2409" s="24" t="str">
        <f>IF(OR(E2409="",E2409="!!!"),"",IF(OR(J2409=0,AND(J2409=1,K2409=1),AND(J2409=1,I2409="SBJ"),AND(J2409=1,I2409=0)),"?IN_FOCUS",IF(J2409&lt;=2,"?ACTIVATED",IF(J2409&lt;&gt;"","?FAMILIAR",IF(F2409="NEW",IF(ISNA(VLOOKUP(E2409,#REF!,1,FALSE())),"?TYPE_IDENTIFIABLE","?REFERENTIAL"),"_")))))</f>
        <v> </v>
      </c>
      <c r="H2409" s="25" t="str">
        <f>IF(J2409&lt;&gt;1,"",IF(I2409="SBJ","CB","?"))</f>
        <v> </v>
      </c>
      <c r="I2409" s="26" t="str">
        <f>IF(OR(E2409="",E2409="!!!",F2409="NEW"),"",INDEX(B2408:B$2,-1+SUMPRODUCT(MAX(ROW(E2408:E$2)*(E2409=E2408:E$2)))))</f>
        <v> </v>
      </c>
      <c r="J2409" s="26" t="str">
        <f>IF(OR(E2409="",E2409="!!!",F2409="NEW"),"",COUNTBLANK(OFFSET(A$1,,,SUMPRODUCT(MAX(ROW(E$2:E2409)*(E2409=E$2:E2409)))))-COUNTBLANK(OFFSET(A$1,,,SUMPRODUCT(MAX(ROW(E$1:E2408)*(E2=E$1:E2408))))))</f>
        <v> </v>
      </c>
      <c r="K2409" s="26" t="str">
        <f>IF(OR(E2409="",E2409="!!!",F2409="NEW"),"",INDEX(J$1:J2408,SUMPRODUCT(MAX(ROW(E$1:E2408)*(E2409=E$1:E2408)))))</f>
        <v> </v>
      </c>
      <c r="L2409" s="27"/>
    </row>
    <row r="2410" spans="1:12">
      <c r="A2410" s="20" t="s">
        <v>1673</v>
      </c>
      <c r="E2410" s="22">
        <f>IF(D2410="?OLD","!!!","")</f>
        <v/>
      </c>
      <c r="F2410" s="23" t="str">
        <f>IF(OR(E2410="",E2410="!!!"),"",IF(NOT(ISNA(VLOOKUP(E2410,E$1:E2409,1,FALSE()))),"OLD",IF(AND(E2410&lt;&gt;"",E2410&lt;&gt;"!!!"),"NEW","")))</f>
        <v> </v>
      </c>
      <c r="G2410" s="24" t="str">
        <f>IF(OR(E2410="",E2410="!!!"),"",IF(OR(J2410=0,AND(J2410=1,K2410=1),AND(J2410=1,I2410="SBJ"),AND(J2410=1,I2410=0)),"?IN_FOCUS",IF(J2410&lt;=2,"?ACTIVATED",IF(J2410&lt;&gt;"","?FAMILIAR",IF(F2410="NEW",IF(ISNA(VLOOKUP(E2410,#REF!,1,FALSE())),"?TYPE_IDENTIFIABLE","?REFERENTIAL"),"_")))))</f>
        <v> </v>
      </c>
      <c r="H2410" s="25" t="str">
        <f>IF(J2410&lt;&gt;1,"",IF(I2410="SBJ","CB","?"))</f>
        <v> </v>
      </c>
      <c r="I2410" s="26" t="str">
        <f>IF(OR(E2410="",E2410="!!!",F2410="NEW"),"",INDEX(B2409:B$2,-1+SUMPRODUCT(MAX(ROW(E2409:E$2)*(E2410=E2409:E$2)))))</f>
        <v> </v>
      </c>
      <c r="J2410" s="26" t="str">
        <f>IF(OR(E2410="",E2410="!!!",F2410="NEW"),"",COUNTBLANK(OFFSET(A$1,,,SUMPRODUCT(MAX(ROW(E$2:E2410)*(E2410=E$2:E2410)))))-COUNTBLANK(OFFSET(A$1,,,SUMPRODUCT(MAX(ROW(E$1:E2409)*(E2=E$1:E2409))))))</f>
        <v> </v>
      </c>
      <c r="K2410" s="26" t="str">
        <f>IF(OR(E2410="",E2410="!!!",F2410="NEW"),"",INDEX(J$1:J2409,SUMPRODUCT(MAX(ROW(E$1:E2409)*(E2410=E$1:E2409)))))</f>
        <v> </v>
      </c>
      <c r="L2410" s="27"/>
    </row>
    <row r="2411" spans="1:12">
      <c r="A2411" s="20" t="s">
        <v>583</v>
      </c>
      <c r="E2411" s="22">
        <f>IF(D2411="?OLD","!!!","")</f>
        <v/>
      </c>
      <c r="F2411" s="23" t="str">
        <f>IF(OR(E2411="",E2411="!!!"),"",IF(NOT(ISNA(VLOOKUP(E2411,E$1:E2410,1,FALSE()))),"OLD",IF(AND(E2411&lt;&gt;"",E2411&lt;&gt;"!!!"),"NEW","")))</f>
        <v> </v>
      </c>
      <c r="G2411" s="24" t="str">
        <f>IF(OR(E2411="",E2411="!!!"),"",IF(OR(J2411=0,AND(J2411=1,K2411=1),AND(J2411=1,I2411="SBJ"),AND(J2411=1,I2411=0)),"?IN_FOCUS",IF(J2411&lt;=2,"?ACTIVATED",IF(J2411&lt;&gt;"","?FAMILIAR",IF(F2411="NEW",IF(ISNA(VLOOKUP(E2411,#REF!,1,FALSE())),"?TYPE_IDENTIFIABLE","?REFERENTIAL"),"_")))))</f>
        <v> </v>
      </c>
      <c r="H2411" s="25" t="str">
        <f>IF(J2411&lt;&gt;1,"",IF(I2411="SBJ","CB","?"))</f>
        <v> </v>
      </c>
      <c r="I2411" s="26" t="str">
        <f>IF(OR(E2411="",E2411="!!!",F2411="NEW"),"",INDEX(B2410:B$2,-1+SUMPRODUCT(MAX(ROW(E2410:E$2)*(E2411=E2410:E$2)))))</f>
        <v> </v>
      </c>
      <c r="J2411" s="26" t="str">
        <f>IF(OR(E2411="",E2411="!!!",F2411="NEW"),"",COUNTBLANK(OFFSET(A$1,,,SUMPRODUCT(MAX(ROW(E$2:E2411)*(E2411=E$2:E2411)))))-COUNTBLANK(OFFSET(A$1,,,SUMPRODUCT(MAX(ROW(E$1:E2410)*(E2=E$1:E2410))))))</f>
        <v> </v>
      </c>
      <c r="K2411" s="26" t="str">
        <f>IF(OR(E2411="",E2411="!!!",F2411="NEW"),"",INDEX(J$1:J2410,SUMPRODUCT(MAX(ROW(E$1:E2410)*(E2411=E$1:E2410)))))</f>
        <v> </v>
      </c>
      <c r="L2411" s="27"/>
    </row>
    <row r="2412" spans="1:12">
      <c r="A2412" s="20" t="s">
        <v>616</v>
      </c>
      <c r="B2412" s="21" t="s">
        <v>762</v>
      </c>
      <c r="C2412" s="21" t="s">
        <v>602</v>
      </c>
      <c r="E2412" s="22">
        <f>IF(D2412="?OLD","!!!","")</f>
        <v/>
      </c>
      <c r="F2412" s="23" t="str">
        <f>IF(OR(E2412="",E2412="!!!"),"",IF(NOT(ISNA(VLOOKUP(E2412,E$1:E2411,1,FALSE()))),"OLD",IF(AND(E2412&lt;&gt;"",E2412&lt;&gt;"!!!"),"NEW","")))</f>
        <v> </v>
      </c>
      <c r="G2412" s="24" t="str">
        <f>IF(OR(E2412="",E2412="!!!"),"",IF(OR(J2412=0,AND(J2412=1,K2412=1),AND(J2412=1,I2412="SBJ"),AND(J2412=1,I2412=0)),"?IN_FOCUS",IF(J2412&lt;=2,"?ACTIVATED",IF(J2412&lt;&gt;"","?FAMILIAR",IF(F2412="NEW",IF(ISNA(VLOOKUP(E2412,#REF!,1,FALSE())),"?TYPE_IDENTIFIABLE","?REFERENTIAL"),"_")))))</f>
        <v> </v>
      </c>
      <c r="H2412" s="25" t="str">
        <f>IF(J2412&lt;&gt;1,"",IF(I2412="SBJ","CB","?"))</f>
        <v> </v>
      </c>
      <c r="I2412" s="26" t="str">
        <f>IF(OR(E2412="",E2412="!!!",F2412="NEW"),"",INDEX(B2411:B$2,-1+SUMPRODUCT(MAX(ROW(E2411:E$2)*(E2412=E2411:E$2)))))</f>
        <v> </v>
      </c>
      <c r="J2412" s="26" t="str">
        <f>IF(OR(E2412="",E2412="!!!",F2412="NEW"),"",COUNTBLANK(OFFSET(A$1,,,SUMPRODUCT(MAX(ROW(E$2:E2412)*(E2412=E$2:E2412)))))-COUNTBLANK(OFFSET(A$1,,,SUMPRODUCT(MAX(ROW(E$1:E2411)*(E2=E$1:E2411))))))</f>
        <v> </v>
      </c>
      <c r="K2412" s="26" t="str">
        <f>IF(OR(E2412="",E2412="!!!",F2412="NEW"),"",INDEX(J$1:J2411,SUMPRODUCT(MAX(ROW(E$1:E2411)*(E2412=E$1:E2411)))))</f>
        <v> </v>
      </c>
      <c r="L2412" s="27"/>
    </row>
    <row r="2413" spans="1:12">
      <c r="A2413" s="20" t="s">
        <v>1486</v>
      </c>
      <c r="E2413" s="22">
        <f>IF(D2413="?OLD","!!!","")</f>
        <v/>
      </c>
      <c r="F2413" s="23" t="str">
        <f>IF(OR(E2413="",E2413="!!!"),"",IF(NOT(ISNA(VLOOKUP(E2413,E$1:E2412,1,FALSE()))),"OLD",IF(AND(E2413&lt;&gt;"",E2413&lt;&gt;"!!!"),"NEW","")))</f>
        <v> </v>
      </c>
      <c r="G2413" s="24" t="str">
        <f>IF(OR(E2413="",E2413="!!!"),"",IF(OR(J2413=0,AND(J2413=1,K2413=1),AND(J2413=1,I2413="SBJ"),AND(J2413=1,I2413=0)),"?IN_FOCUS",IF(J2413&lt;=2,"?ACTIVATED",IF(J2413&lt;&gt;"","?FAMILIAR",IF(F2413="NEW",IF(ISNA(VLOOKUP(E2413,#REF!,1,FALSE())),"?TYPE_IDENTIFIABLE","?REFERENTIAL"),"_")))))</f>
        <v> </v>
      </c>
      <c r="H2413" s="25" t="str">
        <f>IF(J2413&lt;&gt;1,"",IF(I2413="SBJ","CB","?"))</f>
        <v> </v>
      </c>
      <c r="I2413" s="26" t="str">
        <f>IF(OR(E2413="",E2413="!!!",F2413="NEW"),"",INDEX(B2412:B$2,-1+SUMPRODUCT(MAX(ROW(E2412:E$2)*(E2413=E2412:E$2)))))</f>
        <v> </v>
      </c>
      <c r="J2413" s="26" t="str">
        <f>IF(OR(E2413="",E2413="!!!",F2413="NEW"),"",COUNTBLANK(OFFSET(A$1,,,SUMPRODUCT(MAX(ROW(E$2:E2413)*(E2413=E$2:E2413)))))-COUNTBLANK(OFFSET(A$1,,,SUMPRODUCT(MAX(ROW(E$1:E2412)*(E2=E$1:E2412))))))</f>
        <v> </v>
      </c>
      <c r="K2413" s="26" t="str">
        <f>IF(OR(E2413="",E2413="!!!",F2413="NEW"),"",INDEX(J$1:J2412,SUMPRODUCT(MAX(ROW(E$1:E2412)*(E2413=E$1:E2412)))))</f>
        <v> </v>
      </c>
      <c r="L2413" s="27"/>
    </row>
    <row r="2414" spans="1:12">
      <c r="A2414" s="20" t="s">
        <v>720</v>
      </c>
      <c r="E2414" s="22">
        <f>IF(D2414="?OLD","!!!","")</f>
        <v/>
      </c>
      <c r="F2414" s="23" t="str">
        <f>IF(OR(E2414="",E2414="!!!"),"",IF(NOT(ISNA(VLOOKUP(E2414,E$1:E2413,1,FALSE()))),"OLD",IF(AND(E2414&lt;&gt;"",E2414&lt;&gt;"!!!"),"NEW","")))</f>
        <v> </v>
      </c>
      <c r="G2414" s="24" t="str">
        <f>IF(OR(E2414="",E2414="!!!"),"",IF(OR(J2414=0,AND(J2414=1,K2414=1),AND(J2414=1,I2414="SBJ"),AND(J2414=1,I2414=0)),"?IN_FOCUS",IF(J2414&lt;=2,"?ACTIVATED",IF(J2414&lt;&gt;"","?FAMILIAR",IF(F2414="NEW",IF(ISNA(VLOOKUP(E2414,#REF!,1,FALSE())),"?TYPE_IDENTIFIABLE","?REFERENTIAL"),"_")))))</f>
        <v> </v>
      </c>
      <c r="H2414" s="25" t="str">
        <f>IF(J2414&lt;&gt;1,"",IF(I2414="SBJ","CB","?"))</f>
        <v> </v>
      </c>
      <c r="I2414" s="26" t="str">
        <f>IF(OR(E2414="",E2414="!!!",F2414="NEW"),"",INDEX(B2413:B$2,-1+SUMPRODUCT(MAX(ROW(E2413:E$2)*(E2414=E2413:E$2)))))</f>
        <v> </v>
      </c>
      <c r="J2414" s="26" t="str">
        <f>IF(OR(E2414="",E2414="!!!",F2414="NEW"),"",COUNTBLANK(OFFSET(A$1,,,SUMPRODUCT(MAX(ROW(E$2:E2414)*(E2414=E$2:E2414)))))-COUNTBLANK(OFFSET(A$1,,,SUMPRODUCT(MAX(ROW(E$1:E2413)*(E2=E$1:E2413))))))</f>
        <v> </v>
      </c>
      <c r="K2414" s="26" t="str">
        <f>IF(OR(E2414="",E2414="!!!",F2414="NEW"),"",INDEX(J$1:J2413,SUMPRODUCT(MAX(ROW(E$1:E2413)*(E2414=E$1:E2413)))))</f>
        <v> </v>
      </c>
      <c r="L2414" s="27"/>
    </row>
    <row r="2415" spans="1:12">
      <c r="A2415" s="20" t="s">
        <v>754</v>
      </c>
      <c r="B2415" s="21" t="s">
        <v>1045</v>
      </c>
      <c r="E2415" s="22">
        <f>IF(D2415="?OLD","!!!","")</f>
        <v/>
      </c>
      <c r="F2415" s="23" t="str">
        <f>IF(OR(E2415="",E2415="!!!"),"",IF(NOT(ISNA(VLOOKUP(E2415,E$1:E2414,1,FALSE()))),"OLD",IF(AND(E2415&lt;&gt;"",E2415&lt;&gt;"!!!"),"NEW","")))</f>
        <v> </v>
      </c>
      <c r="G2415" s="24" t="str">
        <f>IF(OR(E2415="",E2415="!!!"),"",IF(OR(J2415=0,AND(J2415=1,K2415=1),AND(J2415=1,I2415="SBJ"),AND(J2415=1,I2415=0)),"?IN_FOCUS",IF(J2415&lt;=2,"?ACTIVATED",IF(J2415&lt;&gt;"","?FAMILIAR",IF(F2415="NEW",IF(ISNA(VLOOKUP(E2415,#REF!,1,FALSE())),"?TYPE_IDENTIFIABLE","?REFERENTIAL"),"_")))))</f>
        <v> </v>
      </c>
      <c r="H2415" s="25" t="str">
        <f>IF(J2415&lt;&gt;1,"",IF(I2415="SBJ","CB","?"))</f>
        <v> </v>
      </c>
      <c r="I2415" s="26" t="str">
        <f>IF(OR(E2415="",E2415="!!!",F2415="NEW"),"",INDEX(B2414:B$2,-1+SUMPRODUCT(MAX(ROW(E2414:E$2)*(E2415=E2414:E$2)))))</f>
        <v> </v>
      </c>
      <c r="J2415" s="26" t="str">
        <f>IF(OR(E2415="",E2415="!!!",F2415="NEW"),"",COUNTBLANK(OFFSET(A$1,,,SUMPRODUCT(MAX(ROW(E$2:E2415)*(E2415=E$2:E2415)))))-COUNTBLANK(OFFSET(A$1,,,SUMPRODUCT(MAX(ROW(E$1:E2414)*(E2=E$1:E2414))))))</f>
        <v> </v>
      </c>
      <c r="K2415" s="26" t="str">
        <f>IF(OR(E2415="",E2415="!!!",F2415="NEW"),"",INDEX(J$1:J2414,SUMPRODUCT(MAX(ROW(E$1:E2414)*(E2415=E$1:E2414)))))</f>
        <v> </v>
      </c>
      <c r="L2415" s="27"/>
    </row>
    <row r="2416" spans="1:12">
      <c r="A2416" s="20" t="s">
        <v>583</v>
      </c>
      <c r="E2416" s="22">
        <f>IF(D2416="?OLD","!!!","")</f>
        <v/>
      </c>
      <c r="F2416" s="23" t="str">
        <f>IF(OR(E2416="",E2416="!!!"),"",IF(NOT(ISNA(VLOOKUP(E2416,E$1:E2415,1,FALSE()))),"OLD",IF(AND(E2416&lt;&gt;"",E2416&lt;&gt;"!!!"),"NEW","")))</f>
        <v> </v>
      </c>
      <c r="G2416" s="24" t="str">
        <f>IF(OR(E2416="",E2416="!!!"),"",IF(OR(J2416=0,AND(J2416=1,K2416=1),AND(J2416=1,I2416="SBJ"),AND(J2416=1,I2416=0)),"?IN_FOCUS",IF(J2416&lt;=2,"?ACTIVATED",IF(J2416&lt;&gt;"","?FAMILIAR",IF(F2416="NEW",IF(ISNA(VLOOKUP(E2416,#REF!,1,FALSE())),"?TYPE_IDENTIFIABLE","?REFERENTIAL"),"_")))))</f>
        <v> </v>
      </c>
      <c r="H2416" s="25" t="str">
        <f>IF(J2416&lt;&gt;1,"",IF(I2416="SBJ","CB","?"))</f>
        <v> </v>
      </c>
      <c r="I2416" s="26" t="str">
        <f>IF(OR(E2416="",E2416="!!!",F2416="NEW"),"",INDEX(B2415:B$2,-1+SUMPRODUCT(MAX(ROW(E2415:E$2)*(E2416=E2415:E$2)))))</f>
        <v> </v>
      </c>
      <c r="J2416" s="26" t="str">
        <f>IF(OR(E2416="",E2416="!!!",F2416="NEW"),"",COUNTBLANK(OFFSET(A$1,,,SUMPRODUCT(MAX(ROW(E$2:E2416)*(E2416=E$2:E2416)))))-COUNTBLANK(OFFSET(A$1,,,SUMPRODUCT(MAX(ROW(E$1:E2415)*(E2=E$1:E2415))))))</f>
        <v> </v>
      </c>
      <c r="K2416" s="26" t="str">
        <f>IF(OR(E2416="",E2416="!!!",F2416="NEW"),"",INDEX(J$1:J2415,SUMPRODUCT(MAX(ROW(E$1:E2415)*(E2416=E$1:E2415)))))</f>
        <v> </v>
      </c>
      <c r="L2416" s="27"/>
    </row>
    <row r="2417" spans="1:12">
      <c r="A2417" s="20" t="s">
        <v>1409</v>
      </c>
      <c r="E2417" s="22">
        <f>IF(D2417="?OLD","!!!","")</f>
        <v/>
      </c>
      <c r="F2417" s="23" t="str">
        <f>IF(OR(E2417="",E2417="!!!"),"",IF(NOT(ISNA(VLOOKUP(E2417,E$1:E2416,1,FALSE()))),"OLD",IF(AND(E2417&lt;&gt;"",E2417&lt;&gt;"!!!"),"NEW","")))</f>
        <v> </v>
      </c>
      <c r="G2417" s="24" t="str">
        <f>IF(OR(E2417="",E2417="!!!"),"",IF(OR(J2417=0,AND(J2417=1,K2417=1),AND(J2417=1,I2417="SBJ"),AND(J2417=1,I2417=0)),"?IN_FOCUS",IF(J2417&lt;=2,"?ACTIVATED",IF(J2417&lt;&gt;"","?FAMILIAR",IF(F2417="NEW",IF(ISNA(VLOOKUP(E2417,#REF!,1,FALSE())),"?TYPE_IDENTIFIABLE","?REFERENTIAL"),"_")))))</f>
        <v> </v>
      </c>
      <c r="H2417" s="25" t="str">
        <f>IF(J2417&lt;&gt;1,"",IF(I2417="SBJ","CB","?"))</f>
        <v> </v>
      </c>
      <c r="I2417" s="26" t="str">
        <f>IF(OR(E2417="",E2417="!!!",F2417="NEW"),"",INDEX(B2416:B$2,-1+SUMPRODUCT(MAX(ROW(E2416:E$2)*(E2417=E2416:E$2)))))</f>
        <v> </v>
      </c>
      <c r="J2417" s="26" t="str">
        <f>IF(OR(E2417="",E2417="!!!",F2417="NEW"),"",COUNTBLANK(OFFSET(A$1,,,SUMPRODUCT(MAX(ROW(E$2:E2417)*(E2417=E$2:E2417)))))-COUNTBLANK(OFFSET(A$1,,,SUMPRODUCT(MAX(ROW(E$1:E2416)*(E2=E$1:E2416))))))</f>
        <v> </v>
      </c>
      <c r="K2417" s="26" t="str">
        <f>IF(OR(E2417="",E2417="!!!",F2417="NEW"),"",INDEX(J$1:J2416,SUMPRODUCT(MAX(ROW(E$1:E2416)*(E2417=E$1:E2416)))))</f>
        <v> </v>
      </c>
      <c r="L2417" s="27"/>
    </row>
    <row r="2418" spans="1:12">
      <c r="A2418" s="20" t="s">
        <v>962</v>
      </c>
      <c r="E2418" s="22">
        <f>IF(D2418="?OLD","!!!","")</f>
        <v/>
      </c>
      <c r="F2418" s="23" t="str">
        <f>IF(OR(E2418="",E2418="!!!"),"",IF(NOT(ISNA(VLOOKUP(E2418,E$1:E2417,1,FALSE()))),"OLD",IF(AND(E2418&lt;&gt;"",E2418&lt;&gt;"!!!"),"NEW","")))</f>
        <v> </v>
      </c>
      <c r="G2418" s="24" t="str">
        <f>IF(OR(E2418="",E2418="!!!"),"",IF(OR(J2418=0,AND(J2418=1,K2418=1),AND(J2418=1,I2418="SBJ"),AND(J2418=1,I2418=0)),"?IN_FOCUS",IF(J2418&lt;=2,"?ACTIVATED",IF(J2418&lt;&gt;"","?FAMILIAR",IF(F2418="NEW",IF(ISNA(VLOOKUP(E2418,#REF!,1,FALSE())),"?TYPE_IDENTIFIABLE","?REFERENTIAL"),"_")))))</f>
        <v> </v>
      </c>
      <c r="H2418" s="25" t="str">
        <f>IF(J2418&lt;&gt;1,"",IF(I2418="SBJ","CB","?"))</f>
        <v> </v>
      </c>
      <c r="I2418" s="26" t="str">
        <f>IF(OR(E2418="",E2418="!!!",F2418="NEW"),"",INDEX(B2417:B$2,-1+SUMPRODUCT(MAX(ROW(E2417:E$2)*(E2418=E2417:E$2)))))</f>
        <v> </v>
      </c>
      <c r="J2418" s="26" t="str">
        <f>IF(OR(E2418="",E2418="!!!",F2418="NEW"),"",COUNTBLANK(OFFSET(A$1,,,SUMPRODUCT(MAX(ROW(E$2:E2418)*(E2418=E$2:E2418)))))-COUNTBLANK(OFFSET(A$1,,,SUMPRODUCT(MAX(ROW(E$1:E2417)*(E2=E$1:E2417))))))</f>
        <v> </v>
      </c>
      <c r="K2418" s="26" t="str">
        <f>IF(OR(E2418="",E2418="!!!",F2418="NEW"),"",INDEX(J$1:J2417,SUMPRODUCT(MAX(ROW(E$1:E2417)*(E2418=E$1:E2417)))))</f>
        <v> </v>
      </c>
      <c r="L2418" s="27"/>
    </row>
    <row r="2419" spans="1:12">
      <c r="A2419" s="20" t="s">
        <v>1674</v>
      </c>
      <c r="E2419" s="22">
        <f>IF(D2419="?OLD","!!!","")</f>
        <v/>
      </c>
      <c r="F2419" s="23" t="str">
        <f>IF(OR(E2419="",E2419="!!!"),"",IF(NOT(ISNA(VLOOKUP(E2419,E$1:E2418,1,FALSE()))),"OLD",IF(AND(E2419&lt;&gt;"",E2419&lt;&gt;"!!!"),"NEW","")))</f>
        <v> </v>
      </c>
      <c r="G2419" s="24" t="str">
        <f>IF(OR(E2419="",E2419="!!!"),"",IF(OR(J2419=0,AND(J2419=1,K2419=1),AND(J2419=1,I2419="SBJ"),AND(J2419=1,I2419=0)),"?IN_FOCUS",IF(J2419&lt;=2,"?ACTIVATED",IF(J2419&lt;&gt;"","?FAMILIAR",IF(F2419="NEW",IF(ISNA(VLOOKUP(E2419,#REF!,1,FALSE())),"?TYPE_IDENTIFIABLE","?REFERENTIAL"),"_")))))</f>
        <v> </v>
      </c>
      <c r="H2419" s="25" t="str">
        <f>IF(J2419&lt;&gt;1,"",IF(I2419="SBJ","CB","?"))</f>
        <v> </v>
      </c>
      <c r="I2419" s="26" t="str">
        <f>IF(OR(E2419="",E2419="!!!",F2419="NEW"),"",INDEX(B2418:B$2,-1+SUMPRODUCT(MAX(ROW(E2418:E$2)*(E2419=E2418:E$2)))))</f>
        <v> </v>
      </c>
      <c r="J2419" s="26" t="str">
        <f>IF(OR(E2419="",E2419="!!!",F2419="NEW"),"",COUNTBLANK(OFFSET(A$1,,,SUMPRODUCT(MAX(ROW(E$2:E2419)*(E2419=E$2:E2419)))))-COUNTBLANK(OFFSET(A$1,,,SUMPRODUCT(MAX(ROW(E$1:E2418)*(E2=E$1:E2418))))))</f>
        <v> </v>
      </c>
      <c r="K2419" s="26" t="str">
        <f>IF(OR(E2419="",E2419="!!!",F2419="NEW"),"",INDEX(J$1:J2418,SUMPRODUCT(MAX(ROW(E$1:E2418)*(E2419=E$1:E2418)))))</f>
        <v> </v>
      </c>
      <c r="L2419" s="27"/>
    </row>
    <row r="2420" spans="1:12">
      <c r="A2420" s="20" t="s">
        <v>1675</v>
      </c>
      <c r="E2420" s="22">
        <f>IF(D2420="?OLD","!!!","")</f>
        <v/>
      </c>
      <c r="F2420" s="23" t="str">
        <f>IF(OR(E2420="",E2420="!!!"),"",IF(NOT(ISNA(VLOOKUP(E2420,E$1:E2419,1,FALSE()))),"OLD",IF(AND(E2420&lt;&gt;"",E2420&lt;&gt;"!!!"),"NEW","")))</f>
        <v> </v>
      </c>
      <c r="G2420" s="24" t="str">
        <f>IF(OR(E2420="",E2420="!!!"),"",IF(OR(J2420=0,AND(J2420=1,K2420=1),AND(J2420=1,I2420="SBJ"),AND(J2420=1,I2420=0)),"?IN_FOCUS",IF(J2420&lt;=2,"?ACTIVATED",IF(J2420&lt;&gt;"","?FAMILIAR",IF(F2420="NEW",IF(ISNA(VLOOKUP(E2420,#REF!,1,FALSE())),"?TYPE_IDENTIFIABLE","?REFERENTIAL"),"_")))))</f>
        <v> </v>
      </c>
      <c r="H2420" s="25" t="str">
        <f>IF(J2420&lt;&gt;1,"",IF(I2420="SBJ","CB","?"))</f>
        <v> </v>
      </c>
      <c r="I2420" s="26" t="str">
        <f>IF(OR(E2420="",E2420="!!!",F2420="NEW"),"",INDEX(B2419:B$2,-1+SUMPRODUCT(MAX(ROW(E2419:E$2)*(E2420=E2419:E$2)))))</f>
        <v> </v>
      </c>
      <c r="J2420" s="26" t="str">
        <f>IF(OR(E2420="",E2420="!!!",F2420="NEW"),"",COUNTBLANK(OFFSET(A$1,,,SUMPRODUCT(MAX(ROW(E$2:E2420)*(E2420=E$2:E2420)))))-COUNTBLANK(OFFSET(A$1,,,SUMPRODUCT(MAX(ROW(E$1:E2419)*(E2=E$1:E2419))))))</f>
        <v> </v>
      </c>
      <c r="K2420" s="26" t="str">
        <f>IF(OR(E2420="",E2420="!!!",F2420="NEW"),"",INDEX(J$1:J2419,SUMPRODUCT(MAX(ROW(E$1:E2419)*(E2420=E$1:E2419)))))</f>
        <v> </v>
      </c>
      <c r="L2420" s="27"/>
    </row>
    <row r="2421" spans="1:12">
      <c r="A2421" s="20" t="s">
        <v>1676</v>
      </c>
      <c r="B2421" s="21" t="s">
        <v>961</v>
      </c>
      <c r="E2421" s="22">
        <f>IF(D2421="?OLD","!!!","")</f>
        <v/>
      </c>
      <c r="F2421" s="23" t="str">
        <f>IF(OR(E2421="",E2421="!!!"),"",IF(NOT(ISNA(VLOOKUP(E2421,E$1:E2420,1,FALSE()))),"OLD",IF(AND(E2421&lt;&gt;"",E2421&lt;&gt;"!!!"),"NEW","")))</f>
        <v> </v>
      </c>
      <c r="G2421" s="24" t="str">
        <f>IF(OR(E2421="",E2421="!!!"),"",IF(OR(J2421=0,AND(J2421=1,K2421=1),AND(J2421=1,I2421="SBJ"),AND(J2421=1,I2421=0)),"?IN_FOCUS",IF(J2421&lt;=2,"?ACTIVATED",IF(J2421&lt;&gt;"","?FAMILIAR",IF(F2421="NEW",IF(ISNA(VLOOKUP(E2421,#REF!,1,FALSE())),"?TYPE_IDENTIFIABLE","?REFERENTIAL"),"_")))))</f>
        <v> </v>
      </c>
      <c r="H2421" s="25" t="str">
        <f>IF(J2421&lt;&gt;1,"",IF(I2421="SBJ","CB","?"))</f>
        <v> </v>
      </c>
      <c r="I2421" s="26" t="str">
        <f>IF(OR(E2421="",E2421="!!!",F2421="NEW"),"",INDEX(B2420:B$2,-1+SUMPRODUCT(MAX(ROW(E2420:E$2)*(E2421=E2420:E$2)))))</f>
        <v> </v>
      </c>
      <c r="J2421" s="26" t="str">
        <f>IF(OR(E2421="",E2421="!!!",F2421="NEW"),"",COUNTBLANK(OFFSET(A$1,,,SUMPRODUCT(MAX(ROW(E$2:E2421)*(E2421=E$2:E2421)))))-COUNTBLANK(OFFSET(A$1,,,SUMPRODUCT(MAX(ROW(E$1:E2420)*(E2=E$1:E2420))))))</f>
        <v> </v>
      </c>
      <c r="K2421" s="26" t="str">
        <f>IF(OR(E2421="",E2421="!!!",F2421="NEW"),"",INDEX(J$1:J2420,SUMPRODUCT(MAX(ROW(E$1:E2420)*(E2421=E$1:E2420)))))</f>
        <v> </v>
      </c>
      <c r="L2421" s="27"/>
    </row>
    <row r="2422" spans="1:12">
      <c r="A2422" s="20" t="s">
        <v>1677</v>
      </c>
      <c r="E2422" s="22">
        <f>IF(D2422="?OLD","!!!","")</f>
        <v/>
      </c>
      <c r="F2422" s="23" t="str">
        <f>IF(OR(E2422="",E2422="!!!"),"",IF(NOT(ISNA(VLOOKUP(E2422,E$1:E2421,1,FALSE()))),"OLD",IF(AND(E2422&lt;&gt;"",E2422&lt;&gt;"!!!"),"NEW","")))</f>
        <v> </v>
      </c>
      <c r="G2422" s="24" t="str">
        <f>IF(OR(E2422="",E2422="!!!"),"",IF(OR(J2422=0,AND(J2422=1,K2422=1),AND(J2422=1,I2422="SBJ"),AND(J2422=1,I2422=0)),"?IN_FOCUS",IF(J2422&lt;=2,"?ACTIVATED",IF(J2422&lt;&gt;"","?FAMILIAR",IF(F2422="NEW",IF(ISNA(VLOOKUP(E2422,#REF!,1,FALSE())),"?TYPE_IDENTIFIABLE","?REFERENTIAL"),"_")))))</f>
        <v> </v>
      </c>
      <c r="H2422" s="25" t="str">
        <f>IF(J2422&lt;&gt;1,"",IF(I2422="SBJ","CB","?"))</f>
        <v> </v>
      </c>
      <c r="I2422" s="26" t="str">
        <f>IF(OR(E2422="",E2422="!!!",F2422="NEW"),"",INDEX(B2421:B$2,-1+SUMPRODUCT(MAX(ROW(E2421:E$2)*(E2422=E2421:E$2)))))</f>
        <v> </v>
      </c>
      <c r="J2422" s="26" t="str">
        <f>IF(OR(E2422="",E2422="!!!",F2422="NEW"),"",COUNTBLANK(OFFSET(A$1,,,SUMPRODUCT(MAX(ROW(E$2:E2422)*(E2422=E$2:E2422)))))-COUNTBLANK(OFFSET(A$1,,,SUMPRODUCT(MAX(ROW(E$1:E2421)*(E2=E$1:E2421))))))</f>
        <v> </v>
      </c>
      <c r="K2422" s="26" t="str">
        <f>IF(OR(E2422="",E2422="!!!",F2422="NEW"),"",INDEX(J$1:J2421,SUMPRODUCT(MAX(ROW(E$1:E2421)*(E2422=E$1:E2421)))))</f>
        <v> </v>
      </c>
      <c r="L2422" s="27"/>
    </row>
    <row r="2423" spans="1:12">
      <c r="A2423" s="20" t="s">
        <v>427</v>
      </c>
      <c r="E2423" s="22">
        <f>IF(D2423="?OLD","!!!","")</f>
        <v/>
      </c>
      <c r="F2423" s="23" t="str">
        <f>IF(OR(E2423="",E2423="!!!"),"",IF(NOT(ISNA(VLOOKUP(E2423,E$1:E2422,1,FALSE()))),"OLD",IF(AND(E2423&lt;&gt;"",E2423&lt;&gt;"!!!"),"NEW","")))</f>
        <v> </v>
      </c>
      <c r="G2423" s="24" t="str">
        <f>IF(OR(E2423="",E2423="!!!"),"",IF(OR(J2423=0,AND(J2423=1,K2423=1),AND(J2423=1,I2423="SBJ"),AND(J2423=1,I2423=0)),"?IN_FOCUS",IF(J2423&lt;=2,"?ACTIVATED",IF(J2423&lt;&gt;"","?FAMILIAR",IF(F2423="NEW",IF(ISNA(VLOOKUP(E2423,#REF!,1,FALSE())),"?TYPE_IDENTIFIABLE","?REFERENTIAL"),"_")))))</f>
        <v> </v>
      </c>
      <c r="H2423" s="25" t="str">
        <f>IF(J2423&lt;&gt;1,"",IF(I2423="SBJ","CB","?"))</f>
        <v> </v>
      </c>
      <c r="I2423" s="26" t="str">
        <f>IF(OR(E2423="",E2423="!!!",F2423="NEW"),"",INDEX(B2422:B$2,-1+SUMPRODUCT(MAX(ROW(E2422:E$2)*(E2423=E2422:E$2)))))</f>
        <v> </v>
      </c>
      <c r="J2423" s="26" t="str">
        <f>IF(OR(E2423="",E2423="!!!",F2423="NEW"),"",COUNTBLANK(OFFSET(A$1,,,SUMPRODUCT(MAX(ROW(E$2:E2423)*(E2423=E$2:E2423)))))-COUNTBLANK(OFFSET(A$1,,,SUMPRODUCT(MAX(ROW(E$1:E2422)*(E2=E$1:E2422))))))</f>
        <v> </v>
      </c>
      <c r="K2423" s="26" t="str">
        <f>IF(OR(E2423="",E2423="!!!",F2423="NEW"),"",INDEX(J$1:J2422,SUMPRODUCT(MAX(ROW(E$1:E2422)*(E2423=E$1:E2422)))))</f>
        <v> </v>
      </c>
      <c r="L2423" s="27"/>
    </row>
    <row r="2424" spans="1:12">
      <c r="A2424" s="20" t="s">
        <v>656</v>
      </c>
      <c r="B2424" s="21" t="s">
        <v>1003</v>
      </c>
      <c r="C2424" s="21" t="s">
        <v>586</v>
      </c>
      <c r="D2424" s="21" t="s">
        <v>587</v>
      </c>
      <c r="E2424" s="22">
        <f>IF(D2424="?OLD","!!!","")</f>
        <v/>
      </c>
      <c r="F2424" s="23" t="str">
        <f>IF(OR(E2424="",E2424="!!!"),"",IF(NOT(ISNA(VLOOKUP(E2424,E$1:E2423,1,FALSE()))),"OLD",IF(AND(E2424&lt;&gt;"",E2424&lt;&gt;"!!!"),"NEW","")))</f>
        <v> </v>
      </c>
      <c r="G2424" s="24" t="str">
        <f>IF(OR(E2424="",E2424="!!!"),"",IF(OR(J2424=0,AND(J2424=1,K2424=1),AND(J2424=1,I2424="SBJ"),AND(J2424=1,I2424=0)),"?IN_FOCUS",IF(J2424&lt;=2,"?ACTIVATED",IF(J2424&lt;&gt;"","?FAMILIAR",IF(F2424="NEW",IF(ISNA(VLOOKUP(E2424,#REF!,1,FALSE())),"?TYPE_IDENTIFIABLE","?REFERENTIAL"),"_")))))</f>
        <v> </v>
      </c>
      <c r="H2424" s="25" t="str">
        <f>IF(J2424&lt;&gt;1,"",IF(I2424="SBJ","CB","?"))</f>
        <v> </v>
      </c>
      <c r="I2424" s="26" t="str">
        <f>IF(OR(E2424="",E2424="!!!",F2424="NEW"),"",INDEX(B2423:B$2,-1+SUMPRODUCT(MAX(ROW(E2423:E$2)*(E2424=E2423:E$2)))))</f>
        <v> </v>
      </c>
      <c r="J2424" s="26" t="str">
        <f>IF(OR(E2424="",E2424="!!!",F2424="NEW"),"",COUNTBLANK(OFFSET(A$1,,,SUMPRODUCT(MAX(ROW(E$2:E2424)*(E2424=E$2:E2424)))))-COUNTBLANK(OFFSET(A$1,,,SUMPRODUCT(MAX(ROW(E$1:E2423)*(E2=E$1:E2423))))))</f>
        <v> </v>
      </c>
      <c r="K2424" s="26" t="str">
        <f>IF(OR(E2424="",E2424="!!!",F2424="NEW"),"",INDEX(J$1:J2423,SUMPRODUCT(MAX(ROW(E$1:E2423)*(E2424=E$1:E2423)))))</f>
        <v> </v>
      </c>
      <c r="L2424" s="27"/>
    </row>
    <row r="2425" spans="1:12">
      <c r="A2425" s="20" t="s">
        <v>592</v>
      </c>
      <c r="E2425" s="22">
        <f>IF(D2425="?OLD","!!!","")</f>
        <v/>
      </c>
      <c r="F2425" s="23" t="str">
        <f>IF(OR(E2425="",E2425="!!!"),"",IF(NOT(ISNA(VLOOKUP(E2425,E$1:E2424,1,FALSE()))),"OLD",IF(AND(E2425&lt;&gt;"",E2425&lt;&gt;"!!!"),"NEW","")))</f>
        <v> </v>
      </c>
      <c r="G2425" s="24" t="str">
        <f>IF(OR(E2425="",E2425="!!!"),"",IF(OR(J2425=0,AND(J2425=1,K2425=1),AND(J2425=1,I2425="SBJ"),AND(J2425=1,I2425=0)),"?IN_FOCUS",IF(J2425&lt;=2,"?ACTIVATED",IF(J2425&lt;&gt;"","?FAMILIAR",IF(F2425="NEW",IF(ISNA(VLOOKUP(E2425,#REF!,1,FALSE())),"?TYPE_IDENTIFIABLE","?REFERENTIAL"),"_")))))</f>
        <v> </v>
      </c>
      <c r="H2425" s="25" t="str">
        <f>IF(J2425&lt;&gt;1,"",IF(I2425="SBJ","CB","?"))</f>
        <v> </v>
      </c>
      <c r="I2425" s="26" t="str">
        <f>IF(OR(E2425="",E2425="!!!",F2425="NEW"),"",INDEX(B2424:B$2,-1+SUMPRODUCT(MAX(ROW(E2424:E$2)*(E2425=E2424:E$2)))))</f>
        <v> </v>
      </c>
      <c r="J2425" s="26" t="str">
        <f>IF(OR(E2425="",E2425="!!!",F2425="NEW"),"",COUNTBLANK(OFFSET(A$1,,,SUMPRODUCT(MAX(ROW(E$2:E2425)*(E2425=E$2:E2425)))))-COUNTBLANK(OFFSET(A$1,,,SUMPRODUCT(MAX(ROW(E$1:E2424)*(E2=E$1:E2424))))))</f>
        <v> </v>
      </c>
      <c r="K2425" s="26" t="str">
        <f>IF(OR(E2425="",E2425="!!!",F2425="NEW"),"",INDEX(J$1:J2424,SUMPRODUCT(MAX(ROW(E$1:E2424)*(E2425=E$1:E2424)))))</f>
        <v> </v>
      </c>
      <c r="L2425" s="27"/>
    </row>
    <row r="2426" spans="1:12">
      <c r="A2426" s="20"/>
    </row>
    <row r="2427" spans="1:12">
      <c r="A2427" s="20" t="s">
        <v>1678</v>
      </c>
    </row>
    <row r="2428" spans="1:12">
      <c r="A2428" s="20" t="s">
        <v>1679</v>
      </c>
      <c r="E2428" s="22">
        <f>IF(D2428="?OLD","!!!","")</f>
        <v/>
      </c>
      <c r="F2428" s="23" t="str">
        <f>IF(OR(E2428="",E2428="!!!"),"",IF(NOT(ISNA(VLOOKUP(E2428,E$1:E2427,1,FALSE()))),"OLD",IF(AND(E2428&lt;&gt;"",E2428&lt;&gt;"!!!"),"NEW","")))</f>
        <v> </v>
      </c>
      <c r="G2428" s="24" t="str">
        <f>IF(OR(E2428="",E2428="!!!"),"",IF(OR(J2428=0,AND(J2428=1,K2428=1),AND(J2428=1,I2428="SBJ"),AND(J2428=1,I2428=0)),"?IN_FOCUS",IF(J2428&lt;=2,"?ACTIVATED",IF(J2428&lt;&gt;"","?FAMILIAR",IF(F2428="NEW",IF(ISNA(VLOOKUP(E2428,#REF!,1,FALSE())),"?TYPE_IDENTIFIABLE","?REFERENTIAL"),"_")))))</f>
        <v> </v>
      </c>
      <c r="H2428" s="25" t="str">
        <f>IF(J2428&lt;&gt;1,"",IF(I2428="SBJ","CB","?"))</f>
        <v> </v>
      </c>
      <c r="I2428" s="26" t="str">
        <f>IF(OR(E2428="",E2428="!!!",F2428="NEW"),"",INDEX(B2427:B$2,-1+SUMPRODUCT(MAX(ROW(E2427:E$2)*(E2428=E2427:E$2)))))</f>
        <v> </v>
      </c>
      <c r="J2428" s="26" t="str">
        <f>IF(OR(E2428="",E2428="!!!",F2428="NEW"),"",COUNTBLANK(OFFSET(A$1,,,SUMPRODUCT(MAX(ROW(E$2:E2428)*(E2428=E$2:E2428)))))-COUNTBLANK(OFFSET(A$1,,,SUMPRODUCT(MAX(ROW(E$1:E2427)*(E2=E$1:E2427))))))</f>
        <v> </v>
      </c>
      <c r="K2428" s="26" t="str">
        <f>IF(OR(E2428="",E2428="!!!",F2428="NEW"),"",INDEX(J$1:J2427,SUMPRODUCT(MAX(ROW(E$1:E2427)*(E2428=E$1:E2427)))))</f>
        <v> </v>
      </c>
      <c r="L2428" s="27"/>
    </row>
    <row r="2429" spans="1:12">
      <c r="A2429" s="20" t="s">
        <v>580</v>
      </c>
      <c r="E2429" s="22">
        <f>IF(D2429="?OLD","!!!","")</f>
        <v/>
      </c>
      <c r="F2429" s="23" t="str">
        <f>IF(OR(E2429="",E2429="!!!"),"",IF(NOT(ISNA(VLOOKUP(E2429,E$1:E2428,1,FALSE()))),"OLD",IF(AND(E2429&lt;&gt;"",E2429&lt;&gt;"!!!"),"NEW","")))</f>
        <v> </v>
      </c>
      <c r="G2429" s="24" t="str">
        <f>IF(OR(E2429="",E2429="!!!"),"",IF(OR(J2429=0,AND(J2429=1,K2429=1),AND(J2429=1,I2429="SBJ"),AND(J2429=1,I2429=0)),"?IN_FOCUS",IF(J2429&lt;=2,"?ACTIVATED",IF(J2429&lt;&gt;"","?FAMILIAR",IF(F2429="NEW",IF(ISNA(VLOOKUP(E2429,#REF!,1,FALSE())),"?TYPE_IDENTIFIABLE","?REFERENTIAL"),"_")))))</f>
        <v> </v>
      </c>
      <c r="H2429" s="25" t="str">
        <f>IF(J2429&lt;&gt;1,"",IF(I2429="SBJ","CB","?"))</f>
        <v> </v>
      </c>
      <c r="I2429" s="26" t="str">
        <f>IF(OR(E2429="",E2429="!!!",F2429="NEW"),"",INDEX(B2428:B$2,-1+SUMPRODUCT(MAX(ROW(E2428:E$2)*(E2429=E2428:E$2)))))</f>
        <v> </v>
      </c>
      <c r="J2429" s="26" t="str">
        <f>IF(OR(E2429="",E2429="!!!",F2429="NEW"),"",COUNTBLANK(OFFSET(A$1,,,SUMPRODUCT(MAX(ROW(E$2:E2429)*(E2429=E$2:E2429)))))-COUNTBLANK(OFFSET(A$1,,,SUMPRODUCT(MAX(ROW(E$1:E2428)*(E2=E$1:E2428))))))</f>
        <v> </v>
      </c>
      <c r="K2429" s="26" t="str">
        <f>IF(OR(E2429="",E2429="!!!",F2429="NEW"),"",INDEX(J$1:J2428,SUMPRODUCT(MAX(ROW(E$1:E2428)*(E2429=E$1:E2428)))))</f>
        <v> </v>
      </c>
      <c r="L2429" s="27"/>
    </row>
    <row r="2430" spans="1:12">
      <c r="A2430" s="20" t="s">
        <v>740</v>
      </c>
      <c r="B2430" s="21" t="s">
        <v>651</v>
      </c>
      <c r="C2430" s="21" t="s">
        <v>602</v>
      </c>
      <c r="E2430" s="22">
        <f>IF(D2430="?OLD","!!!","")</f>
        <v/>
      </c>
      <c r="F2430" s="23" t="str">
        <f>IF(OR(E2430="",E2430="!!!"),"",IF(NOT(ISNA(VLOOKUP(E2430,E$1:E2429,1,FALSE()))),"OLD",IF(AND(E2430&lt;&gt;"",E2430&lt;&gt;"!!!"),"NEW","")))</f>
        <v> </v>
      </c>
      <c r="G2430" s="24" t="str">
        <f>IF(OR(E2430="",E2430="!!!"),"",IF(OR(J2430=0,AND(J2430=1,K2430=1),AND(J2430=1,I2430="SBJ"),AND(J2430=1,I2430=0)),"?IN_FOCUS",IF(J2430&lt;=2,"?ACTIVATED",IF(J2430&lt;&gt;"","?FAMILIAR",IF(F2430="NEW",IF(ISNA(VLOOKUP(E2430,#REF!,1,FALSE())),"?TYPE_IDENTIFIABLE","?REFERENTIAL"),"_")))))</f>
        <v> </v>
      </c>
      <c r="H2430" s="25" t="str">
        <f>IF(J2430&lt;&gt;1,"",IF(I2430="SBJ","CB","?"))</f>
        <v> </v>
      </c>
      <c r="I2430" s="26" t="str">
        <f>IF(OR(E2430="",E2430="!!!",F2430="NEW"),"",INDEX(B2429:B$2,-1+SUMPRODUCT(MAX(ROW(E2429:E$2)*(E2430=E2429:E$2)))))</f>
        <v> </v>
      </c>
      <c r="J2430" s="26" t="str">
        <f>IF(OR(E2430="",E2430="!!!",F2430="NEW"),"",COUNTBLANK(OFFSET(A$1,,,SUMPRODUCT(MAX(ROW(E$2:E2430)*(E2430=E$2:E2430)))))-COUNTBLANK(OFFSET(A$1,,,SUMPRODUCT(MAX(ROW(E$1:E2429)*(E2=E$1:E2429))))))</f>
        <v> </v>
      </c>
      <c r="K2430" s="26" t="str">
        <f>IF(OR(E2430="",E2430="!!!",F2430="NEW"),"",INDEX(J$1:J2429,SUMPRODUCT(MAX(ROW(E$1:E2429)*(E2430=E$1:E2429)))))</f>
        <v> </v>
      </c>
      <c r="L2430" s="27"/>
    </row>
    <row r="2431" spans="1:12">
      <c r="A2431" s="20" t="s">
        <v>778</v>
      </c>
      <c r="E2431" s="22">
        <f>IF(D2431="?OLD","!!!","")</f>
        <v/>
      </c>
      <c r="F2431" s="23" t="str">
        <f>IF(OR(E2431="",E2431="!!!"),"",IF(NOT(ISNA(VLOOKUP(E2431,E$1:E2430,1,FALSE()))),"OLD",IF(AND(E2431&lt;&gt;"",E2431&lt;&gt;"!!!"),"NEW","")))</f>
        <v> </v>
      </c>
      <c r="G2431" s="24" t="str">
        <f>IF(OR(E2431="",E2431="!!!"),"",IF(OR(J2431=0,AND(J2431=1,K2431=1),AND(J2431=1,I2431="SBJ"),AND(J2431=1,I2431=0)),"?IN_FOCUS",IF(J2431&lt;=2,"?ACTIVATED",IF(J2431&lt;&gt;"","?FAMILIAR",IF(F2431="NEW",IF(ISNA(VLOOKUP(E2431,#REF!,1,FALSE())),"?TYPE_IDENTIFIABLE","?REFERENTIAL"),"_")))))</f>
        <v> </v>
      </c>
      <c r="H2431" s="25" t="str">
        <f>IF(J2431&lt;&gt;1,"",IF(I2431="SBJ","CB","?"))</f>
        <v> </v>
      </c>
      <c r="I2431" s="26" t="str">
        <f>IF(OR(E2431="",E2431="!!!",F2431="NEW"),"",INDEX(B2430:B$2,-1+SUMPRODUCT(MAX(ROW(E2430:E$2)*(E2431=E2430:E$2)))))</f>
        <v> </v>
      </c>
      <c r="J2431" s="26" t="str">
        <f>IF(OR(E2431="",E2431="!!!",F2431="NEW"),"",COUNTBLANK(OFFSET(A$1,,,SUMPRODUCT(MAX(ROW(E$2:E2431)*(E2431=E$2:E2431)))))-COUNTBLANK(OFFSET(A$1,,,SUMPRODUCT(MAX(ROW(E$1:E2430)*(E2=E$1:E2430))))))</f>
        <v> </v>
      </c>
      <c r="K2431" s="26" t="str">
        <f>IF(OR(E2431="",E2431="!!!",F2431="NEW"),"",INDEX(J$1:J2430,SUMPRODUCT(MAX(ROW(E$1:E2430)*(E2431=E$1:E2430)))))</f>
        <v> </v>
      </c>
      <c r="L2431" s="27"/>
    </row>
    <row r="2432" spans="1:12">
      <c r="A2432" s="20" t="s">
        <v>1680</v>
      </c>
      <c r="B2432" s="21" t="s">
        <v>578</v>
      </c>
      <c r="E2432" s="22">
        <f>IF(D2432="?OLD","!!!","")</f>
        <v/>
      </c>
      <c r="F2432" s="23" t="str">
        <f>IF(OR(E2432="",E2432="!!!"),"",IF(NOT(ISNA(VLOOKUP(E2432,E$1:E2431,1,FALSE()))),"OLD",IF(AND(E2432&lt;&gt;"",E2432&lt;&gt;"!!!"),"NEW","")))</f>
        <v> </v>
      </c>
      <c r="G2432" s="24" t="str">
        <f>IF(OR(E2432="",E2432="!!!"),"",IF(OR(J2432=0,AND(J2432=1,K2432=1),AND(J2432=1,I2432="SBJ"),AND(J2432=1,I2432=0)),"?IN_FOCUS",IF(J2432&lt;=2,"?ACTIVATED",IF(J2432&lt;&gt;"","?FAMILIAR",IF(F2432="NEW",IF(ISNA(VLOOKUP(E2432,#REF!,1,FALSE())),"?TYPE_IDENTIFIABLE","?REFERENTIAL"),"_")))))</f>
        <v> </v>
      </c>
      <c r="H2432" s="25" t="str">
        <f>IF(J2432&lt;&gt;1,"",IF(I2432="SBJ","CB","?"))</f>
        <v> </v>
      </c>
      <c r="I2432" s="26" t="str">
        <f>IF(OR(E2432="",E2432="!!!",F2432="NEW"),"",INDEX(B2431:B$2,-1+SUMPRODUCT(MAX(ROW(E2431:E$2)*(E2432=E2431:E$2)))))</f>
        <v> </v>
      </c>
      <c r="J2432" s="26" t="str">
        <f>IF(OR(E2432="",E2432="!!!",F2432="NEW"),"",COUNTBLANK(OFFSET(A$1,,,SUMPRODUCT(MAX(ROW(E$2:E2432)*(E2432=E$2:E2432)))))-COUNTBLANK(OFFSET(A$1,,,SUMPRODUCT(MAX(ROW(E$1:E2431)*(E2=E$1:E2431))))))</f>
        <v> </v>
      </c>
      <c r="K2432" s="26" t="str">
        <f>IF(OR(E2432="",E2432="!!!",F2432="NEW"),"",INDEX(J$1:J2431,SUMPRODUCT(MAX(ROW(E$1:E2431)*(E2432=E$1:E2431)))))</f>
        <v> </v>
      </c>
      <c r="L2432" s="27"/>
    </row>
    <row r="2433" spans="1:12">
      <c r="A2433" s="20" t="s">
        <v>1081</v>
      </c>
      <c r="E2433" s="22">
        <f>IF(D2433="?OLD","!!!","")</f>
        <v/>
      </c>
      <c r="F2433" s="23" t="str">
        <f>IF(OR(E2433="",E2433="!!!"),"",IF(NOT(ISNA(VLOOKUP(E2433,E$1:E2432,1,FALSE()))),"OLD",IF(AND(E2433&lt;&gt;"",E2433&lt;&gt;"!!!"),"NEW","")))</f>
        <v> </v>
      </c>
      <c r="G2433" s="24" t="str">
        <f>IF(OR(E2433="",E2433="!!!"),"",IF(OR(J2433=0,AND(J2433=1,K2433=1),AND(J2433=1,I2433="SBJ"),AND(J2433=1,I2433=0)),"?IN_FOCUS",IF(J2433&lt;=2,"?ACTIVATED",IF(J2433&lt;&gt;"","?FAMILIAR",IF(F2433="NEW",IF(ISNA(VLOOKUP(E2433,#REF!,1,FALSE())),"?TYPE_IDENTIFIABLE","?REFERENTIAL"),"_")))))</f>
        <v> </v>
      </c>
      <c r="H2433" s="25" t="str">
        <f>IF(J2433&lt;&gt;1,"",IF(I2433="SBJ","CB","?"))</f>
        <v> </v>
      </c>
      <c r="I2433" s="26" t="str">
        <f>IF(OR(E2433="",E2433="!!!",F2433="NEW"),"",INDEX(B2432:B$2,-1+SUMPRODUCT(MAX(ROW(E2432:E$2)*(E2433=E2432:E$2)))))</f>
        <v> </v>
      </c>
      <c r="J2433" s="26" t="str">
        <f>IF(OR(E2433="",E2433="!!!",F2433="NEW"),"",COUNTBLANK(OFFSET(A$1,,,SUMPRODUCT(MAX(ROW(E$2:E2433)*(E2433=E$2:E2433)))))-COUNTBLANK(OFFSET(A$1,,,SUMPRODUCT(MAX(ROW(E$1:E2432)*(E2=E$1:E2432))))))</f>
        <v> </v>
      </c>
      <c r="K2433" s="26" t="str">
        <f>IF(OR(E2433="",E2433="!!!",F2433="NEW"),"",INDEX(J$1:J2432,SUMPRODUCT(MAX(ROW(E$1:E2432)*(E2433=E$1:E2432)))))</f>
        <v> </v>
      </c>
      <c r="L2433" s="27"/>
    </row>
    <row r="2434" spans="1:12">
      <c r="A2434" s="20"/>
    </row>
    <row r="2435" spans="1:12">
      <c r="A2435" s="20" t="s">
        <v>1681</v>
      </c>
    </row>
    <row r="2436" spans="1:12">
      <c r="A2436" s="20" t="s">
        <v>1682</v>
      </c>
      <c r="B2436" s="21" t="s">
        <v>578</v>
      </c>
      <c r="E2436" s="22">
        <f>IF(D2436="?OLD","!!!","")</f>
        <v/>
      </c>
      <c r="F2436" s="23" t="str">
        <f>IF(OR(E2436="",E2436="!!!"),"",IF(NOT(ISNA(VLOOKUP(E2436,E$1:E2435,1,FALSE()))),"OLD",IF(AND(E2436&lt;&gt;"",E2436&lt;&gt;"!!!"),"NEW","")))</f>
        <v> </v>
      </c>
      <c r="G2436" s="24" t="str">
        <f>IF(OR(E2436="",E2436="!!!"),"",IF(OR(J2436=0,AND(J2436=1,K2436=1),AND(J2436=1,I2436="SBJ"),AND(J2436=1,I2436=0)),"?IN_FOCUS",IF(J2436&lt;=2,"?ACTIVATED",IF(J2436&lt;&gt;"","?FAMILIAR",IF(F2436="NEW",IF(ISNA(VLOOKUP(E2436,#REF!,1,FALSE())),"?TYPE_IDENTIFIABLE","?REFERENTIAL"),"_")))))</f>
        <v> </v>
      </c>
      <c r="H2436" s="25" t="str">
        <f>IF(J2436&lt;&gt;1,"",IF(I2436="SBJ","CB","?"))</f>
        <v> </v>
      </c>
      <c r="I2436" s="26" t="str">
        <f>IF(OR(E2436="",E2436="!!!",F2436="NEW"),"",INDEX(B2435:B$2,-1+SUMPRODUCT(MAX(ROW(E2435:E$2)*(E2436=E2435:E$2)))))</f>
        <v> </v>
      </c>
      <c r="J2436" s="26" t="str">
        <f>IF(OR(E2436="",E2436="!!!",F2436="NEW"),"",COUNTBLANK(OFFSET(A$1,,,SUMPRODUCT(MAX(ROW(E$2:E2436)*(E2436=E$2:E2436)))))-COUNTBLANK(OFFSET(A$1,,,SUMPRODUCT(MAX(ROW(E$1:E2435)*(E2=E$1:E2435))))))</f>
        <v> </v>
      </c>
      <c r="K2436" s="26" t="str">
        <f>IF(OR(E2436="",E2436="!!!",F2436="NEW"),"",INDEX(J$1:J2435,SUMPRODUCT(MAX(ROW(E$1:E2435)*(E2436=E$1:E2435)))))</f>
        <v> </v>
      </c>
      <c r="L2436" s="27"/>
    </row>
    <row r="2437" spans="1:12">
      <c r="A2437" s="20" t="s">
        <v>580</v>
      </c>
      <c r="E2437" s="22">
        <f>IF(D2437="?OLD","!!!","")</f>
        <v/>
      </c>
      <c r="F2437" s="23" t="str">
        <f>IF(OR(E2437="",E2437="!!!"),"",IF(NOT(ISNA(VLOOKUP(E2437,E$1:E2436,1,FALSE()))),"OLD",IF(AND(E2437&lt;&gt;"",E2437&lt;&gt;"!!!"),"NEW","")))</f>
        <v> </v>
      </c>
      <c r="G2437" s="24" t="str">
        <f>IF(OR(E2437="",E2437="!!!"),"",IF(OR(J2437=0,AND(J2437=1,K2437=1),AND(J2437=1,I2437="SBJ"),AND(J2437=1,I2437=0)),"?IN_FOCUS",IF(J2437&lt;=2,"?ACTIVATED",IF(J2437&lt;&gt;"","?FAMILIAR",IF(F2437="NEW",IF(ISNA(VLOOKUP(E2437,#REF!,1,FALSE())),"?TYPE_IDENTIFIABLE","?REFERENTIAL"),"_")))))</f>
        <v> </v>
      </c>
      <c r="H2437" s="25" t="str">
        <f>IF(J2437&lt;&gt;1,"",IF(I2437="SBJ","CB","?"))</f>
        <v> </v>
      </c>
      <c r="I2437" s="26" t="str">
        <f>IF(OR(E2437="",E2437="!!!",F2437="NEW"),"",INDEX(B2436:B$2,-1+SUMPRODUCT(MAX(ROW(E2436:E$2)*(E2437=E2436:E$2)))))</f>
        <v> </v>
      </c>
      <c r="J2437" s="26" t="str">
        <f>IF(OR(E2437="",E2437="!!!",F2437="NEW"),"",COUNTBLANK(OFFSET(A$1,,,SUMPRODUCT(MAX(ROW(E$2:E2437)*(E2437=E$2:E2437)))))-COUNTBLANK(OFFSET(A$1,,,SUMPRODUCT(MAX(ROW(E$1:E2436)*(E2=E$1:E2436))))))</f>
        <v> </v>
      </c>
      <c r="K2437" s="26" t="str">
        <f>IF(OR(E2437="",E2437="!!!",F2437="NEW"),"",INDEX(J$1:J2436,SUMPRODUCT(MAX(ROW(E$1:E2436)*(E2437=E$1:E2436)))))</f>
        <v> </v>
      </c>
      <c r="L2437" s="27"/>
    </row>
    <row r="2438" spans="1:12">
      <c r="A2438" s="20" t="s">
        <v>719</v>
      </c>
      <c r="B2438" s="21" t="s">
        <v>651</v>
      </c>
      <c r="C2438" s="21" t="s">
        <v>586</v>
      </c>
      <c r="D2438" s="21" t="s">
        <v>587</v>
      </c>
      <c r="E2438" s="22">
        <f>IF(D2438="?OLD","!!!","")</f>
        <v/>
      </c>
      <c r="F2438" s="23" t="str">
        <f>IF(OR(E2438="",E2438="!!!"),"",IF(NOT(ISNA(VLOOKUP(E2438,E$1:E2437,1,FALSE()))),"OLD",IF(AND(E2438&lt;&gt;"",E2438&lt;&gt;"!!!"),"NEW","")))</f>
        <v> </v>
      </c>
      <c r="G2438" s="24" t="str">
        <f>IF(OR(E2438="",E2438="!!!"),"",IF(OR(J2438=0,AND(J2438=1,K2438=1),AND(J2438=1,I2438="SBJ"),AND(J2438=1,I2438=0)),"?IN_FOCUS",IF(J2438&lt;=2,"?ACTIVATED",IF(J2438&lt;&gt;"","?FAMILIAR",IF(F2438="NEW",IF(ISNA(VLOOKUP(E2438,#REF!,1,FALSE())),"?TYPE_IDENTIFIABLE","?REFERENTIAL"),"_")))))</f>
        <v> </v>
      </c>
      <c r="H2438" s="25" t="str">
        <f>IF(J2438&lt;&gt;1,"",IF(I2438="SBJ","CB","?"))</f>
        <v> </v>
      </c>
      <c r="I2438" s="26" t="str">
        <f>IF(OR(E2438="",E2438="!!!",F2438="NEW"),"",INDEX(B2437:B$2,-1+SUMPRODUCT(MAX(ROW(E2437:E$2)*(E2438=E2437:E$2)))))</f>
        <v> </v>
      </c>
      <c r="J2438" s="26" t="str">
        <f>IF(OR(E2438="",E2438="!!!",F2438="NEW"),"",COUNTBLANK(OFFSET(A$1,,,SUMPRODUCT(MAX(ROW(E$2:E2438)*(E2438=E$2:E2438)))))-COUNTBLANK(OFFSET(A$1,,,SUMPRODUCT(MAX(ROW(E$1:E2437)*(E2=E$1:E2437))))))</f>
        <v> </v>
      </c>
      <c r="K2438" s="26" t="str">
        <f>IF(OR(E2438="",E2438="!!!",F2438="NEW"),"",INDEX(J$1:J2437,SUMPRODUCT(MAX(ROW(E$1:E2437)*(E2438=E$1:E2437)))))</f>
        <v> </v>
      </c>
      <c r="L2438" s="27"/>
    </row>
    <row r="2439" spans="1:12">
      <c r="A2439" s="20" t="s">
        <v>583</v>
      </c>
      <c r="E2439" s="22">
        <f>IF(D2439="?OLD","!!!","")</f>
        <v/>
      </c>
      <c r="F2439" s="23" t="str">
        <f>IF(OR(E2439="",E2439="!!!"),"",IF(NOT(ISNA(VLOOKUP(E2439,E$1:E2438,1,FALSE()))),"OLD",IF(AND(E2439&lt;&gt;"",E2439&lt;&gt;"!!!"),"NEW","")))</f>
        <v> </v>
      </c>
      <c r="G2439" s="24" t="str">
        <f>IF(OR(E2439="",E2439="!!!"),"",IF(OR(J2439=0,AND(J2439=1,K2439=1),AND(J2439=1,I2439="SBJ"),AND(J2439=1,I2439=0)),"?IN_FOCUS",IF(J2439&lt;=2,"?ACTIVATED",IF(J2439&lt;&gt;"","?FAMILIAR",IF(F2439="NEW",IF(ISNA(VLOOKUP(E2439,#REF!,1,FALSE())),"?TYPE_IDENTIFIABLE","?REFERENTIAL"),"_")))))</f>
        <v> </v>
      </c>
      <c r="H2439" s="25" t="str">
        <f>IF(J2439&lt;&gt;1,"",IF(I2439="SBJ","CB","?"))</f>
        <v> </v>
      </c>
      <c r="I2439" s="26" t="str">
        <f>IF(OR(E2439="",E2439="!!!",F2439="NEW"),"",INDEX(B2438:B$2,-1+SUMPRODUCT(MAX(ROW(E2438:E$2)*(E2439=E2438:E$2)))))</f>
        <v> </v>
      </c>
      <c r="J2439" s="26" t="str">
        <f>IF(OR(E2439="",E2439="!!!",F2439="NEW"),"",COUNTBLANK(OFFSET(A$1,,,SUMPRODUCT(MAX(ROW(E$2:E2439)*(E2439=E$2:E2439)))))-COUNTBLANK(OFFSET(A$1,,,SUMPRODUCT(MAX(ROW(E$1:E2438)*(E2=E$1:E2438))))))</f>
        <v> </v>
      </c>
      <c r="K2439" s="26" t="str">
        <f>IF(OR(E2439="",E2439="!!!",F2439="NEW"),"",INDEX(J$1:J2438,SUMPRODUCT(MAX(ROW(E$1:E2438)*(E2439=E$1:E2438)))))</f>
        <v> </v>
      </c>
      <c r="L2439" s="27"/>
    </row>
    <row r="2440" spans="1:12">
      <c r="A2440" s="20" t="s">
        <v>369</v>
      </c>
      <c r="E2440" s="22">
        <f>IF(D2440="?OLD","!!!","")</f>
        <v/>
      </c>
      <c r="F2440" s="23" t="str">
        <f>IF(OR(E2440="",E2440="!!!"),"",IF(NOT(ISNA(VLOOKUP(E2440,E$1:E2439,1,FALSE()))),"OLD",IF(AND(E2440&lt;&gt;"",E2440&lt;&gt;"!!!"),"NEW","")))</f>
        <v> </v>
      </c>
      <c r="G2440" s="24" t="str">
        <f>IF(OR(E2440="",E2440="!!!"),"",IF(OR(J2440=0,AND(J2440=1,K2440=1),AND(J2440=1,I2440="SBJ"),AND(J2440=1,I2440=0)),"?IN_FOCUS",IF(J2440&lt;=2,"?ACTIVATED",IF(J2440&lt;&gt;"","?FAMILIAR",IF(F2440="NEW",IF(ISNA(VLOOKUP(E2440,#REF!,1,FALSE())),"?TYPE_IDENTIFIABLE","?REFERENTIAL"),"_")))))</f>
        <v> </v>
      </c>
      <c r="H2440" s="25" t="str">
        <f>IF(J2440&lt;&gt;1,"",IF(I2440="SBJ","CB","?"))</f>
        <v> </v>
      </c>
      <c r="I2440" s="26" t="str">
        <f>IF(OR(E2440="",E2440="!!!",F2440="NEW"),"",INDEX(B2439:B$2,-1+SUMPRODUCT(MAX(ROW(E2439:E$2)*(E2440=E2439:E$2)))))</f>
        <v> </v>
      </c>
      <c r="J2440" s="26" t="str">
        <f>IF(OR(E2440="",E2440="!!!",F2440="NEW"),"",COUNTBLANK(OFFSET(A$1,,,SUMPRODUCT(MAX(ROW(E$2:E2440)*(E2440=E$2:E2440)))))-COUNTBLANK(OFFSET(A$1,,,SUMPRODUCT(MAX(ROW(E$1:E2439)*(E2=E$1:E2439))))))</f>
        <v> </v>
      </c>
      <c r="K2440" s="26" t="str">
        <f>IF(OR(E2440="",E2440="!!!",F2440="NEW"),"",INDEX(J$1:J2439,SUMPRODUCT(MAX(ROW(E$1:E2439)*(E2440=E$1:E2439)))))</f>
        <v> </v>
      </c>
      <c r="L2440" s="27"/>
    </row>
    <row r="2441" spans="1:12">
      <c r="A2441" s="20" t="s">
        <v>653</v>
      </c>
      <c r="B2441" s="21" t="s">
        <v>590</v>
      </c>
      <c r="C2441" s="21" t="s">
        <v>613</v>
      </c>
      <c r="D2441" s="21" t="s">
        <v>587</v>
      </c>
      <c r="E2441" s="22">
        <f>IF(D2441="?OLD","!!!","")</f>
        <v/>
      </c>
      <c r="F2441" s="23" t="str">
        <f>IF(OR(E2441="",E2441="!!!"),"",IF(NOT(ISNA(VLOOKUP(E2441,E$1:E2440,1,FALSE()))),"OLD",IF(AND(E2441&lt;&gt;"",E2441&lt;&gt;"!!!"),"NEW","")))</f>
        <v> </v>
      </c>
      <c r="G2441" s="24" t="str">
        <f>IF(OR(E2441="",E2441="!!!"),"",IF(OR(J2441=0,AND(J2441=1,K2441=1),AND(J2441=1,I2441="SBJ"),AND(J2441=1,I2441=0)),"?IN_FOCUS",IF(J2441&lt;=2,"?ACTIVATED",IF(J2441&lt;&gt;"","?FAMILIAR",IF(F2441="NEW",IF(ISNA(VLOOKUP(E2441,#REF!,1,FALSE())),"?TYPE_IDENTIFIABLE","?REFERENTIAL"),"_")))))</f>
        <v> </v>
      </c>
      <c r="H2441" s="25" t="str">
        <f>IF(J2441&lt;&gt;1,"",IF(I2441="SBJ","CB","?"))</f>
        <v> </v>
      </c>
      <c r="I2441" s="26" t="str">
        <f>IF(OR(E2441="",E2441="!!!",F2441="NEW"),"",INDEX(B2440:B$2,-1+SUMPRODUCT(MAX(ROW(E2440:E$2)*(E2441=E2440:E$2)))))</f>
        <v> </v>
      </c>
      <c r="J2441" s="26" t="str">
        <f>IF(OR(E2441="",E2441="!!!",F2441="NEW"),"",COUNTBLANK(OFFSET(A$1,,,SUMPRODUCT(MAX(ROW(E$2:E2441)*(E2441=E$2:E2441)))))-COUNTBLANK(OFFSET(A$1,,,SUMPRODUCT(MAX(ROW(E$1:E2440)*(E2=E$1:E2440))))))</f>
        <v> </v>
      </c>
      <c r="K2441" s="26" t="str">
        <f>IF(OR(E2441="",E2441="!!!",F2441="NEW"),"",INDEX(J$1:J2440,SUMPRODUCT(MAX(ROW(E$1:E2440)*(E2441=E$1:E2440)))))</f>
        <v> </v>
      </c>
      <c r="L2441" s="27"/>
    </row>
    <row r="2442" spans="1:12">
      <c r="A2442" s="20" t="s">
        <v>1164</v>
      </c>
      <c r="E2442" s="22">
        <f>IF(D2442="?OLD","!!!","")</f>
        <v/>
      </c>
      <c r="F2442" s="23" t="str">
        <f>IF(OR(E2442="",E2442="!!!"),"",IF(NOT(ISNA(VLOOKUP(E2442,E$1:E2441,1,FALSE()))),"OLD",IF(AND(E2442&lt;&gt;"",E2442&lt;&gt;"!!!"),"NEW","")))</f>
        <v> </v>
      </c>
      <c r="G2442" s="24" t="str">
        <f>IF(OR(E2442="",E2442="!!!"),"",IF(OR(J2442=0,AND(J2442=1,K2442=1),AND(J2442=1,I2442="SBJ"),AND(J2442=1,I2442=0)),"?IN_FOCUS",IF(J2442&lt;=2,"?ACTIVATED",IF(J2442&lt;&gt;"","?FAMILIAR",IF(F2442="NEW",IF(ISNA(VLOOKUP(E2442,#REF!,1,FALSE())),"?TYPE_IDENTIFIABLE","?REFERENTIAL"),"_")))))</f>
        <v> </v>
      </c>
      <c r="H2442" s="25" t="str">
        <f>IF(J2442&lt;&gt;1,"",IF(I2442="SBJ","CB","?"))</f>
        <v> </v>
      </c>
      <c r="I2442" s="26" t="str">
        <f>IF(OR(E2442="",E2442="!!!",F2442="NEW"),"",INDEX(B2441:B$2,-1+SUMPRODUCT(MAX(ROW(E2441:E$2)*(E2442=E2441:E$2)))))</f>
        <v> </v>
      </c>
      <c r="J2442" s="26" t="str">
        <f>IF(OR(E2442="",E2442="!!!",F2442="NEW"),"",COUNTBLANK(OFFSET(A$1,,,SUMPRODUCT(MAX(ROW(E$2:E2442)*(E2442=E$2:E2442)))))-COUNTBLANK(OFFSET(A$1,,,SUMPRODUCT(MAX(ROW(E$1:E2441)*(E2=E$1:E2441))))))</f>
        <v> </v>
      </c>
      <c r="K2442" s="26" t="str">
        <f>IF(OR(E2442="",E2442="!!!",F2442="NEW"),"",INDEX(J$1:J2441,SUMPRODUCT(MAX(ROW(E$1:E2441)*(E2442=E$1:E2441)))))</f>
        <v> </v>
      </c>
      <c r="L2442" s="27"/>
    </row>
    <row r="2443" spans="1:12">
      <c r="A2443" s="20" t="s">
        <v>1550</v>
      </c>
      <c r="E2443" s="22">
        <f>IF(D2443="?OLD","!!!","")</f>
        <v/>
      </c>
      <c r="F2443" s="23" t="str">
        <f>IF(OR(E2443="",E2443="!!!"),"",IF(NOT(ISNA(VLOOKUP(E2443,E$1:E2442,1,FALSE()))),"OLD",IF(AND(E2443&lt;&gt;"",E2443&lt;&gt;"!!!"),"NEW","")))</f>
        <v> </v>
      </c>
      <c r="G2443" s="24" t="str">
        <f>IF(OR(E2443="",E2443="!!!"),"",IF(OR(J2443=0,AND(J2443=1,K2443=1),AND(J2443=1,I2443="SBJ"),AND(J2443=1,I2443=0)),"?IN_FOCUS",IF(J2443&lt;=2,"?ACTIVATED",IF(J2443&lt;&gt;"","?FAMILIAR",IF(F2443="NEW",IF(ISNA(VLOOKUP(E2443,#REF!,1,FALSE())),"?TYPE_IDENTIFIABLE","?REFERENTIAL"),"_")))))</f>
        <v> </v>
      </c>
      <c r="H2443" s="25" t="str">
        <f>IF(J2443&lt;&gt;1,"",IF(I2443="SBJ","CB","?"))</f>
        <v> </v>
      </c>
      <c r="I2443" s="26" t="str">
        <f>IF(OR(E2443="",E2443="!!!",F2443="NEW"),"",INDEX(B2442:B$2,-1+SUMPRODUCT(MAX(ROW(E2442:E$2)*(E2443=E2442:E$2)))))</f>
        <v> </v>
      </c>
      <c r="J2443" s="26" t="str">
        <f>IF(OR(E2443="",E2443="!!!",F2443="NEW"),"",COUNTBLANK(OFFSET(A$1,,,SUMPRODUCT(MAX(ROW(E$2:E2443)*(E2443=E$2:E2443)))))-COUNTBLANK(OFFSET(A$1,,,SUMPRODUCT(MAX(ROW(E$1:E2442)*(E2=E$1:E2442))))))</f>
        <v> </v>
      </c>
      <c r="K2443" s="26" t="str">
        <f>IF(OR(E2443="",E2443="!!!",F2443="NEW"),"",INDEX(J$1:J2442,SUMPRODUCT(MAX(ROW(E$1:E2442)*(E2443=E$1:E2442)))))</f>
        <v> </v>
      </c>
      <c r="L2443" s="27"/>
    </row>
    <row r="2444" spans="1:12">
      <c r="A2444" s="20" t="s">
        <v>1551</v>
      </c>
      <c r="E2444" s="22">
        <f>IF(D2444="?OLD","!!!","")</f>
        <v/>
      </c>
      <c r="F2444" s="23" t="str">
        <f>IF(OR(E2444="",E2444="!!!"),"",IF(NOT(ISNA(VLOOKUP(E2444,E$1:E2443,1,FALSE()))),"OLD",IF(AND(E2444&lt;&gt;"",E2444&lt;&gt;"!!!"),"NEW","")))</f>
        <v> </v>
      </c>
      <c r="G2444" s="24" t="str">
        <f>IF(OR(E2444="",E2444="!!!"),"",IF(OR(J2444=0,AND(J2444=1,K2444=1),AND(J2444=1,I2444="SBJ"),AND(J2444=1,I2444=0)),"?IN_FOCUS",IF(J2444&lt;=2,"?ACTIVATED",IF(J2444&lt;&gt;"","?FAMILIAR",IF(F2444="NEW",IF(ISNA(VLOOKUP(E2444,#REF!,1,FALSE())),"?TYPE_IDENTIFIABLE","?REFERENTIAL"),"_")))))</f>
        <v> </v>
      </c>
      <c r="H2444" s="25" t="str">
        <f>IF(J2444&lt;&gt;1,"",IF(I2444="SBJ","CB","?"))</f>
        <v> </v>
      </c>
      <c r="I2444" s="26" t="str">
        <f>IF(OR(E2444="",E2444="!!!",F2444="NEW"),"",INDEX(B2443:B$2,-1+SUMPRODUCT(MAX(ROW(E2443:E$2)*(E2444=E2443:E$2)))))</f>
        <v> </v>
      </c>
      <c r="J2444" s="26" t="str">
        <f>IF(OR(E2444="",E2444="!!!",F2444="NEW"),"",COUNTBLANK(OFFSET(A$1,,,SUMPRODUCT(MAX(ROW(E$2:E2444)*(E2444=E$2:E2444)))))-COUNTBLANK(OFFSET(A$1,,,SUMPRODUCT(MAX(ROW(E$1:E2443)*(E2=E$1:E2443))))))</f>
        <v> </v>
      </c>
      <c r="K2444" s="26" t="str">
        <f>IF(OR(E2444="",E2444="!!!",F2444="NEW"),"",INDEX(J$1:J2443,SUMPRODUCT(MAX(ROW(E$1:E2443)*(E2444=E$1:E2443)))))</f>
        <v> </v>
      </c>
      <c r="L2444" s="27"/>
    </row>
    <row r="2445" spans="1:12">
      <c r="A2445" s="20" t="s">
        <v>654</v>
      </c>
      <c r="E2445" s="22">
        <f>IF(D2445="?OLD","!!!","")</f>
        <v/>
      </c>
      <c r="F2445" s="23" t="str">
        <f>IF(OR(E2445="",E2445="!!!"),"",IF(NOT(ISNA(VLOOKUP(E2445,E$1:E2444,1,FALSE()))),"OLD",IF(AND(E2445&lt;&gt;"",E2445&lt;&gt;"!!!"),"NEW","")))</f>
        <v> </v>
      </c>
      <c r="G2445" s="24" t="str">
        <f>IF(OR(E2445="",E2445="!!!"),"",IF(OR(J2445=0,AND(J2445=1,K2445=1),AND(J2445=1,I2445="SBJ"),AND(J2445=1,I2445=0)),"?IN_FOCUS",IF(J2445&lt;=2,"?ACTIVATED",IF(J2445&lt;&gt;"","?FAMILIAR",IF(F2445="NEW",IF(ISNA(VLOOKUP(E2445,#REF!,1,FALSE())),"?TYPE_IDENTIFIABLE","?REFERENTIAL"),"_")))))</f>
        <v> </v>
      </c>
      <c r="H2445" s="25" t="str">
        <f>IF(J2445&lt;&gt;1,"",IF(I2445="SBJ","CB","?"))</f>
        <v> </v>
      </c>
      <c r="I2445" s="26" t="str">
        <f>IF(OR(E2445="",E2445="!!!",F2445="NEW"),"",INDEX(B2444:B$2,-1+SUMPRODUCT(MAX(ROW(E2444:E$2)*(E2445=E2444:E$2)))))</f>
        <v> </v>
      </c>
      <c r="J2445" s="26" t="str">
        <f>IF(OR(E2445="",E2445="!!!",F2445="NEW"),"",COUNTBLANK(OFFSET(A$1,,,SUMPRODUCT(MAX(ROW(E$2:E2445)*(E2445=E$2:E2445)))))-COUNTBLANK(OFFSET(A$1,,,SUMPRODUCT(MAX(ROW(E$1:E2444)*(E2=E$1:E2444))))))</f>
        <v> </v>
      </c>
      <c r="K2445" s="26" t="str">
        <f>IF(OR(E2445="",E2445="!!!",F2445="NEW"),"",INDEX(J$1:J2444,SUMPRODUCT(MAX(ROW(E$1:E2444)*(E2445=E$1:E2444)))))</f>
        <v> </v>
      </c>
      <c r="L2445" s="27"/>
    </row>
    <row r="2446" spans="1:12">
      <c r="A2446" s="20" t="s">
        <v>580</v>
      </c>
      <c r="E2446" s="22">
        <f>IF(D2446="?OLD","!!!","")</f>
        <v/>
      </c>
      <c r="F2446" s="23" t="str">
        <f>IF(OR(E2446="",E2446="!!!"),"",IF(NOT(ISNA(VLOOKUP(E2446,E$1:E2445,1,FALSE()))),"OLD",IF(AND(E2446&lt;&gt;"",E2446&lt;&gt;"!!!"),"NEW","")))</f>
        <v> </v>
      </c>
      <c r="G2446" s="24" t="str">
        <f>IF(OR(E2446="",E2446="!!!"),"",IF(OR(J2446=0,AND(J2446=1,K2446=1),AND(J2446=1,I2446="SBJ"),AND(J2446=1,I2446=0)),"?IN_FOCUS",IF(J2446&lt;=2,"?ACTIVATED",IF(J2446&lt;&gt;"","?FAMILIAR",IF(F2446="NEW",IF(ISNA(VLOOKUP(E2446,#REF!,1,FALSE())),"?TYPE_IDENTIFIABLE","?REFERENTIAL"),"_")))))</f>
        <v> </v>
      </c>
      <c r="H2446" s="25" t="str">
        <f>IF(J2446&lt;&gt;1,"",IF(I2446="SBJ","CB","?"))</f>
        <v> </v>
      </c>
      <c r="I2446" s="26" t="str">
        <f>IF(OR(E2446="",E2446="!!!",F2446="NEW"),"",INDEX(B2445:B$2,-1+SUMPRODUCT(MAX(ROW(E2445:E$2)*(E2446=E2445:E$2)))))</f>
        <v> </v>
      </c>
      <c r="J2446" s="26" t="str">
        <f>IF(OR(E2446="",E2446="!!!",F2446="NEW"),"",COUNTBLANK(OFFSET(A$1,,,SUMPRODUCT(MAX(ROW(E$2:E2446)*(E2446=E$2:E2446)))))-COUNTBLANK(OFFSET(A$1,,,SUMPRODUCT(MAX(ROW(E$1:E2445)*(E2=E$1:E2445))))))</f>
        <v> </v>
      </c>
      <c r="K2446" s="26" t="str">
        <f>IF(OR(E2446="",E2446="!!!",F2446="NEW"),"",INDEX(J$1:J2445,SUMPRODUCT(MAX(ROW(E$1:E2445)*(E2446=E$1:E2445)))))</f>
        <v> </v>
      </c>
      <c r="L2446" s="27"/>
    </row>
    <row r="2447" spans="1:12">
      <c r="A2447" s="20" t="s">
        <v>1683</v>
      </c>
      <c r="E2447" s="22">
        <f>IF(D2447="?OLD","!!!","")</f>
        <v/>
      </c>
      <c r="F2447" s="23" t="str">
        <f>IF(OR(E2447="",E2447="!!!"),"",IF(NOT(ISNA(VLOOKUP(E2447,E$1:E2446,1,FALSE()))),"OLD",IF(AND(E2447&lt;&gt;"",E2447&lt;&gt;"!!!"),"NEW","")))</f>
        <v> </v>
      </c>
      <c r="G2447" s="24" t="str">
        <f>IF(OR(E2447="",E2447="!!!"),"",IF(OR(J2447=0,AND(J2447=1,K2447=1),AND(J2447=1,I2447="SBJ"),AND(J2447=1,I2447=0)),"?IN_FOCUS",IF(J2447&lt;=2,"?ACTIVATED",IF(J2447&lt;&gt;"","?FAMILIAR",IF(F2447="NEW",IF(ISNA(VLOOKUP(E2447,#REF!,1,FALSE())),"?TYPE_IDENTIFIABLE","?REFERENTIAL"),"_")))))</f>
        <v> </v>
      </c>
      <c r="H2447" s="25" t="str">
        <f>IF(J2447&lt;&gt;1,"",IF(I2447="SBJ","CB","?"))</f>
        <v> </v>
      </c>
      <c r="I2447" s="26" t="str">
        <f>IF(OR(E2447="",E2447="!!!",F2447="NEW"),"",INDEX(B2446:B$2,-1+SUMPRODUCT(MAX(ROW(E2446:E$2)*(E2447=E2446:E$2)))))</f>
        <v> </v>
      </c>
      <c r="J2447" s="26" t="str">
        <f>IF(OR(E2447="",E2447="!!!",F2447="NEW"),"",COUNTBLANK(OFFSET(A$1,,,SUMPRODUCT(MAX(ROW(E$2:E2447)*(E2447=E$2:E2447)))))-COUNTBLANK(OFFSET(A$1,,,SUMPRODUCT(MAX(ROW(E$1:E2446)*(E2=E$1:E2446))))))</f>
        <v> </v>
      </c>
      <c r="K2447" s="26" t="str">
        <f>IF(OR(E2447="",E2447="!!!",F2447="NEW"),"",INDEX(J$1:J2446,SUMPRODUCT(MAX(ROW(E$1:E2446)*(E2447=E$1:E2446)))))</f>
        <v> </v>
      </c>
      <c r="L2447" s="27"/>
    </row>
    <row r="2448" spans="1:12">
      <c r="A2448" s="20" t="s">
        <v>908</v>
      </c>
      <c r="E2448" s="22">
        <f>IF(D2448="?OLD","!!!","")</f>
        <v/>
      </c>
      <c r="F2448" s="23" t="str">
        <f>IF(OR(E2448="",E2448="!!!"),"",IF(NOT(ISNA(VLOOKUP(E2448,E$1:E2447,1,FALSE()))),"OLD",IF(AND(E2448&lt;&gt;"",E2448&lt;&gt;"!!!"),"NEW","")))</f>
        <v> </v>
      </c>
      <c r="G2448" s="24" t="str">
        <f>IF(OR(E2448="",E2448="!!!"),"",IF(OR(J2448=0,AND(J2448=1,K2448=1),AND(J2448=1,I2448="SBJ"),AND(J2448=1,I2448=0)),"?IN_FOCUS",IF(J2448&lt;=2,"?ACTIVATED",IF(J2448&lt;&gt;"","?FAMILIAR",IF(F2448="NEW",IF(ISNA(VLOOKUP(E2448,#REF!,1,FALSE())),"?TYPE_IDENTIFIABLE","?REFERENTIAL"),"_")))))</f>
        <v> </v>
      </c>
      <c r="H2448" s="25" t="str">
        <f>IF(J2448&lt;&gt;1,"",IF(I2448="SBJ","CB","?"))</f>
        <v> </v>
      </c>
      <c r="I2448" s="26" t="str">
        <f>IF(OR(E2448="",E2448="!!!",F2448="NEW"),"",INDEX(B2447:B$2,-1+SUMPRODUCT(MAX(ROW(E2447:E$2)*(E2448=E2447:E$2)))))</f>
        <v> </v>
      </c>
      <c r="J2448" s="26" t="str">
        <f>IF(OR(E2448="",E2448="!!!",F2448="NEW"),"",COUNTBLANK(OFFSET(A$1,,,SUMPRODUCT(MAX(ROW(E$2:E2448)*(E2448=E$2:E2448)))))-COUNTBLANK(OFFSET(A$1,,,SUMPRODUCT(MAX(ROW(E$1:E2447)*(E2=E$1:E2447))))))</f>
        <v> </v>
      </c>
      <c r="K2448" s="26" t="str">
        <f>IF(OR(E2448="",E2448="!!!",F2448="NEW"),"",INDEX(J$1:J2447,SUMPRODUCT(MAX(ROW(E$1:E2447)*(E2448=E$1:E2447)))))</f>
        <v> </v>
      </c>
      <c r="L2448" s="27"/>
    </row>
    <row r="2449" spans="1:12">
      <c r="A2449" s="20" t="s">
        <v>638</v>
      </c>
      <c r="E2449" s="22">
        <f>IF(D2449="?OLD","!!!","")</f>
        <v/>
      </c>
      <c r="F2449" s="23" t="str">
        <f>IF(OR(E2449="",E2449="!!!"),"",IF(NOT(ISNA(VLOOKUP(E2449,E$1:E2448,1,FALSE()))),"OLD",IF(AND(E2449&lt;&gt;"",E2449&lt;&gt;"!!!"),"NEW","")))</f>
        <v> </v>
      </c>
      <c r="G2449" s="24" t="str">
        <f>IF(OR(E2449="",E2449="!!!"),"",IF(OR(J2449=0,AND(J2449=1,K2449=1),AND(J2449=1,I2449="SBJ"),AND(J2449=1,I2449=0)),"?IN_FOCUS",IF(J2449&lt;=2,"?ACTIVATED",IF(J2449&lt;&gt;"","?FAMILIAR",IF(F2449="NEW",IF(ISNA(VLOOKUP(E2449,#REF!,1,FALSE())),"?TYPE_IDENTIFIABLE","?REFERENTIAL"),"_")))))</f>
        <v> </v>
      </c>
      <c r="H2449" s="25" t="str">
        <f>IF(J2449&lt;&gt;1,"",IF(I2449="SBJ","CB","?"))</f>
        <v> </v>
      </c>
      <c r="I2449" s="26" t="str">
        <f>IF(OR(E2449="",E2449="!!!",F2449="NEW"),"",INDEX(B2448:B$2,-1+SUMPRODUCT(MAX(ROW(E2448:E$2)*(E2449=E2448:E$2)))))</f>
        <v> </v>
      </c>
      <c r="J2449" s="26" t="str">
        <f>IF(OR(E2449="",E2449="!!!",F2449="NEW"),"",COUNTBLANK(OFFSET(A$1,,,SUMPRODUCT(MAX(ROW(E$2:E2449)*(E2449=E$2:E2449)))))-COUNTBLANK(OFFSET(A$1,,,SUMPRODUCT(MAX(ROW(E$1:E2448)*(E2=E$1:E2448))))))</f>
        <v> </v>
      </c>
      <c r="K2449" s="26" t="str">
        <f>IF(OR(E2449="",E2449="!!!",F2449="NEW"),"",INDEX(J$1:J2448,SUMPRODUCT(MAX(ROW(E$1:E2448)*(E2449=E$1:E2448)))))</f>
        <v> </v>
      </c>
      <c r="L2449" s="27"/>
    </row>
    <row r="2450" spans="1:12">
      <c r="A2450" s="20" t="s">
        <v>583</v>
      </c>
      <c r="E2450" s="22">
        <f>IF(D2450="?OLD","!!!","")</f>
        <v/>
      </c>
      <c r="F2450" s="23" t="str">
        <f>IF(OR(E2450="",E2450="!!!"),"",IF(NOT(ISNA(VLOOKUP(E2450,E$1:E2449,1,FALSE()))),"OLD",IF(AND(E2450&lt;&gt;"",E2450&lt;&gt;"!!!"),"NEW","")))</f>
        <v> </v>
      </c>
      <c r="G2450" s="24" t="str">
        <f>IF(OR(E2450="",E2450="!!!"),"",IF(OR(J2450=0,AND(J2450=1,K2450=1),AND(J2450=1,I2450="SBJ"),AND(J2450=1,I2450=0)),"?IN_FOCUS",IF(J2450&lt;=2,"?ACTIVATED",IF(J2450&lt;&gt;"","?FAMILIAR",IF(F2450="NEW",IF(ISNA(VLOOKUP(E2450,#REF!,1,FALSE())),"?TYPE_IDENTIFIABLE","?REFERENTIAL"),"_")))))</f>
        <v> </v>
      </c>
      <c r="H2450" s="25" t="str">
        <f>IF(J2450&lt;&gt;1,"",IF(I2450="SBJ","CB","?"))</f>
        <v> </v>
      </c>
      <c r="I2450" s="26" t="str">
        <f>IF(OR(E2450="",E2450="!!!",F2450="NEW"),"",INDEX(B2449:B$2,-1+SUMPRODUCT(MAX(ROW(E2449:E$2)*(E2450=E2449:E$2)))))</f>
        <v> </v>
      </c>
      <c r="J2450" s="26" t="str">
        <f>IF(OR(E2450="",E2450="!!!",F2450="NEW"),"",COUNTBLANK(OFFSET(A$1,,,SUMPRODUCT(MAX(ROW(E$2:E2450)*(E2450=E$2:E2450)))))-COUNTBLANK(OFFSET(A$1,,,SUMPRODUCT(MAX(ROW(E$1:E2449)*(E2=E$1:E2449))))))</f>
        <v> </v>
      </c>
      <c r="K2450" s="26" t="str">
        <f>IF(OR(E2450="",E2450="!!!",F2450="NEW"),"",INDEX(J$1:J2449,SUMPRODUCT(MAX(ROW(E$1:E2449)*(E2450=E$1:E2449)))))</f>
        <v> </v>
      </c>
      <c r="L2450" s="27"/>
    </row>
    <row r="2451" spans="1:12">
      <c r="A2451" s="20" t="s">
        <v>908</v>
      </c>
      <c r="E2451" s="22">
        <f>IF(D2451="?OLD","!!!","")</f>
        <v/>
      </c>
      <c r="F2451" s="23" t="str">
        <f>IF(OR(E2451="",E2451="!!!"),"",IF(NOT(ISNA(VLOOKUP(E2451,E$1:E2450,1,FALSE()))),"OLD",IF(AND(E2451&lt;&gt;"",E2451&lt;&gt;"!!!"),"NEW","")))</f>
        <v> </v>
      </c>
      <c r="G2451" s="24" t="str">
        <f>IF(OR(E2451="",E2451="!!!"),"",IF(OR(J2451=0,AND(J2451=1,K2451=1),AND(J2451=1,I2451="SBJ"),AND(J2451=1,I2451=0)),"?IN_FOCUS",IF(J2451&lt;=2,"?ACTIVATED",IF(J2451&lt;&gt;"","?FAMILIAR",IF(F2451="NEW",IF(ISNA(VLOOKUP(E2451,#REF!,1,FALSE())),"?TYPE_IDENTIFIABLE","?REFERENTIAL"),"_")))))</f>
        <v> </v>
      </c>
      <c r="H2451" s="25" t="str">
        <f>IF(J2451&lt;&gt;1,"",IF(I2451="SBJ","CB","?"))</f>
        <v> </v>
      </c>
      <c r="I2451" s="26" t="str">
        <f>IF(OR(E2451="",E2451="!!!",F2451="NEW"),"",INDEX(B2450:B$2,-1+SUMPRODUCT(MAX(ROW(E2450:E$2)*(E2451=E2450:E$2)))))</f>
        <v> </v>
      </c>
      <c r="J2451" s="26" t="str">
        <f>IF(OR(E2451="",E2451="!!!",F2451="NEW"),"",COUNTBLANK(OFFSET(A$1,,,SUMPRODUCT(MAX(ROW(E$2:E2451)*(E2451=E$2:E2451)))))-COUNTBLANK(OFFSET(A$1,,,SUMPRODUCT(MAX(ROW(E$1:E2450)*(E2=E$1:E2450))))))</f>
        <v> </v>
      </c>
      <c r="K2451" s="26" t="str">
        <f>IF(OR(E2451="",E2451="!!!",F2451="NEW"),"",INDEX(J$1:J2450,SUMPRODUCT(MAX(ROW(E$1:E2450)*(E2451=E$1:E2450)))))</f>
        <v> </v>
      </c>
      <c r="L2451" s="27"/>
    </row>
    <row r="2452" spans="1:12">
      <c r="A2452" s="20" t="s">
        <v>1684</v>
      </c>
      <c r="E2452" s="22">
        <f>IF(D2452="?OLD","!!!","")</f>
        <v/>
      </c>
      <c r="F2452" s="23" t="str">
        <f>IF(OR(E2452="",E2452="!!!"),"",IF(NOT(ISNA(VLOOKUP(E2452,E$1:E2451,1,FALSE()))),"OLD",IF(AND(E2452&lt;&gt;"",E2452&lt;&gt;"!!!"),"NEW","")))</f>
        <v> </v>
      </c>
      <c r="G2452" s="24" t="str">
        <f>IF(OR(E2452="",E2452="!!!"),"",IF(OR(J2452=0,AND(J2452=1,K2452=1),AND(J2452=1,I2452="SBJ"),AND(J2452=1,I2452=0)),"?IN_FOCUS",IF(J2452&lt;=2,"?ACTIVATED",IF(J2452&lt;&gt;"","?FAMILIAR",IF(F2452="NEW",IF(ISNA(VLOOKUP(E2452,#REF!,1,FALSE())),"?TYPE_IDENTIFIABLE","?REFERENTIAL"),"_")))))</f>
        <v> </v>
      </c>
      <c r="H2452" s="25" t="str">
        <f>IF(J2452&lt;&gt;1,"",IF(I2452="SBJ","CB","?"))</f>
        <v> </v>
      </c>
      <c r="I2452" s="26" t="str">
        <f>IF(OR(E2452="",E2452="!!!",F2452="NEW"),"",INDEX(B2451:B$2,-1+SUMPRODUCT(MAX(ROW(E2451:E$2)*(E2452=E2451:E$2)))))</f>
        <v> </v>
      </c>
      <c r="J2452" s="26" t="str">
        <f>IF(OR(E2452="",E2452="!!!",F2452="NEW"),"",COUNTBLANK(OFFSET(A$1,,,SUMPRODUCT(MAX(ROW(E$2:E2452)*(E2452=E$2:E2452)))))-COUNTBLANK(OFFSET(A$1,,,SUMPRODUCT(MAX(ROW(E$1:E2451)*(E2=E$1:E2451))))))</f>
        <v> </v>
      </c>
      <c r="K2452" s="26" t="str">
        <f>IF(OR(E2452="",E2452="!!!",F2452="NEW"),"",INDEX(J$1:J2451,SUMPRODUCT(MAX(ROW(E$1:E2451)*(E2452=E$1:E2451)))))</f>
        <v> </v>
      </c>
      <c r="L2452" s="27"/>
    </row>
    <row r="2453" spans="1:12">
      <c r="A2453" s="20" t="s">
        <v>583</v>
      </c>
      <c r="E2453" s="22">
        <f>IF(D2453="?OLD","!!!","")</f>
        <v/>
      </c>
      <c r="F2453" s="23" t="str">
        <f>IF(OR(E2453="",E2453="!!!"),"",IF(NOT(ISNA(VLOOKUP(E2453,E$1:E2452,1,FALSE()))),"OLD",IF(AND(E2453&lt;&gt;"",E2453&lt;&gt;"!!!"),"NEW","")))</f>
        <v> </v>
      </c>
      <c r="G2453" s="24" t="str">
        <f>IF(OR(E2453="",E2453="!!!"),"",IF(OR(J2453=0,AND(J2453=1,K2453=1),AND(J2453=1,I2453="SBJ"),AND(J2453=1,I2453=0)),"?IN_FOCUS",IF(J2453&lt;=2,"?ACTIVATED",IF(J2453&lt;&gt;"","?FAMILIAR",IF(F2453="NEW",IF(ISNA(VLOOKUP(E2453,#REF!,1,FALSE())),"?TYPE_IDENTIFIABLE","?REFERENTIAL"),"_")))))</f>
        <v> </v>
      </c>
      <c r="H2453" s="25" t="str">
        <f>IF(J2453&lt;&gt;1,"",IF(I2453="SBJ","CB","?"))</f>
        <v> </v>
      </c>
      <c r="I2453" s="26" t="str">
        <f>IF(OR(E2453="",E2453="!!!",F2453="NEW"),"",INDEX(B2452:B$2,-1+SUMPRODUCT(MAX(ROW(E2452:E$2)*(E2453=E2452:E$2)))))</f>
        <v> </v>
      </c>
      <c r="J2453" s="26" t="str">
        <f>IF(OR(E2453="",E2453="!!!",F2453="NEW"),"",COUNTBLANK(OFFSET(A$1,,,SUMPRODUCT(MAX(ROW(E$2:E2453)*(E2453=E$2:E2453)))))-COUNTBLANK(OFFSET(A$1,,,SUMPRODUCT(MAX(ROW(E$1:E2452)*(E2=E$1:E2452))))))</f>
        <v> </v>
      </c>
      <c r="K2453" s="26" t="str">
        <f>IF(OR(E2453="",E2453="!!!",F2453="NEW"),"",INDEX(J$1:J2452,SUMPRODUCT(MAX(ROW(E$1:E2452)*(E2453=E$1:E2452)))))</f>
        <v> </v>
      </c>
      <c r="L2453" s="27"/>
    </row>
    <row r="2454" spans="1:12">
      <c r="A2454" s="20" t="s">
        <v>908</v>
      </c>
      <c r="E2454" s="22">
        <f>IF(D2454="?OLD","!!!","")</f>
        <v/>
      </c>
      <c r="F2454" s="23" t="str">
        <f>IF(OR(E2454="",E2454="!!!"),"",IF(NOT(ISNA(VLOOKUP(E2454,E$1:E2453,1,FALSE()))),"OLD",IF(AND(E2454&lt;&gt;"",E2454&lt;&gt;"!!!"),"NEW","")))</f>
        <v> </v>
      </c>
      <c r="G2454" s="24" t="str">
        <f>IF(OR(E2454="",E2454="!!!"),"",IF(OR(J2454=0,AND(J2454=1,K2454=1),AND(J2454=1,I2454="SBJ"),AND(J2454=1,I2454=0)),"?IN_FOCUS",IF(J2454&lt;=2,"?ACTIVATED",IF(J2454&lt;&gt;"","?FAMILIAR",IF(F2454="NEW",IF(ISNA(VLOOKUP(E2454,#REF!,1,FALSE())),"?TYPE_IDENTIFIABLE","?REFERENTIAL"),"_")))))</f>
        <v> </v>
      </c>
      <c r="H2454" s="25" t="str">
        <f>IF(J2454&lt;&gt;1,"",IF(I2454="SBJ","CB","?"))</f>
        <v> </v>
      </c>
      <c r="I2454" s="26" t="str">
        <f>IF(OR(E2454="",E2454="!!!",F2454="NEW"),"",INDEX(B2453:B$2,-1+SUMPRODUCT(MAX(ROW(E2453:E$2)*(E2454=E2453:E$2)))))</f>
        <v> </v>
      </c>
      <c r="J2454" s="26" t="str">
        <f>IF(OR(E2454="",E2454="!!!",F2454="NEW"),"",COUNTBLANK(OFFSET(A$1,,,SUMPRODUCT(MAX(ROW(E$2:E2454)*(E2454=E$2:E2454)))))-COUNTBLANK(OFFSET(A$1,,,SUMPRODUCT(MAX(ROW(E$1:E2453)*(E2=E$1:E2453))))))</f>
        <v> </v>
      </c>
      <c r="K2454" s="26" t="str">
        <f>IF(OR(E2454="",E2454="!!!",F2454="NEW"),"",INDEX(J$1:J2453,SUMPRODUCT(MAX(ROW(E$1:E2453)*(E2454=E$1:E2453)))))</f>
        <v> </v>
      </c>
      <c r="L2454" s="27"/>
    </row>
    <row r="2455" spans="1:12">
      <c r="A2455" s="20" t="s">
        <v>1685</v>
      </c>
      <c r="E2455" s="22">
        <f>IF(D2455="?OLD","!!!","")</f>
        <v/>
      </c>
      <c r="F2455" s="23" t="str">
        <f>IF(OR(E2455="",E2455="!!!"),"",IF(NOT(ISNA(VLOOKUP(E2455,E$1:E2454,1,FALSE()))),"OLD",IF(AND(E2455&lt;&gt;"",E2455&lt;&gt;"!!!"),"NEW","")))</f>
        <v> </v>
      </c>
      <c r="G2455" s="24" t="str">
        <f>IF(OR(E2455="",E2455="!!!"),"",IF(OR(J2455=0,AND(J2455=1,K2455=1),AND(J2455=1,I2455="SBJ"),AND(J2455=1,I2455=0)),"?IN_FOCUS",IF(J2455&lt;=2,"?ACTIVATED",IF(J2455&lt;&gt;"","?FAMILIAR",IF(F2455="NEW",IF(ISNA(VLOOKUP(E2455,#REF!,1,FALSE())),"?TYPE_IDENTIFIABLE","?REFERENTIAL"),"_")))))</f>
        <v> </v>
      </c>
      <c r="H2455" s="25" t="str">
        <f>IF(J2455&lt;&gt;1,"",IF(I2455="SBJ","CB","?"))</f>
        <v> </v>
      </c>
      <c r="I2455" s="26" t="str">
        <f>IF(OR(E2455="",E2455="!!!",F2455="NEW"),"",INDEX(B2454:B$2,-1+SUMPRODUCT(MAX(ROW(E2454:E$2)*(E2455=E2454:E$2)))))</f>
        <v> </v>
      </c>
      <c r="J2455" s="26" t="str">
        <f>IF(OR(E2455="",E2455="!!!",F2455="NEW"),"",COUNTBLANK(OFFSET(A$1,,,SUMPRODUCT(MAX(ROW(E$2:E2455)*(E2455=E$2:E2455)))))-COUNTBLANK(OFFSET(A$1,,,SUMPRODUCT(MAX(ROW(E$1:E2454)*(E2=E$1:E2454))))))</f>
        <v> </v>
      </c>
      <c r="K2455" s="26" t="str">
        <f>IF(OR(E2455="",E2455="!!!",F2455="NEW"),"",INDEX(J$1:J2454,SUMPRODUCT(MAX(ROW(E$1:E2454)*(E2455=E$1:E2454)))))</f>
        <v> </v>
      </c>
      <c r="L2455" s="27"/>
    </row>
    <row r="2456" spans="1:12">
      <c r="A2456" s="20" t="s">
        <v>583</v>
      </c>
      <c r="E2456" s="22">
        <f>IF(D2456="?OLD","!!!","")</f>
        <v/>
      </c>
      <c r="F2456" s="23" t="str">
        <f>IF(OR(E2456="",E2456="!!!"),"",IF(NOT(ISNA(VLOOKUP(E2456,E$1:E2455,1,FALSE()))),"OLD",IF(AND(E2456&lt;&gt;"",E2456&lt;&gt;"!!!"),"NEW","")))</f>
        <v> </v>
      </c>
      <c r="G2456" s="24" t="str">
        <f>IF(OR(E2456="",E2456="!!!"),"",IF(OR(J2456=0,AND(J2456=1,K2456=1),AND(J2456=1,I2456="SBJ"),AND(J2456=1,I2456=0)),"?IN_FOCUS",IF(J2456&lt;=2,"?ACTIVATED",IF(J2456&lt;&gt;"","?FAMILIAR",IF(F2456="NEW",IF(ISNA(VLOOKUP(E2456,#REF!,1,FALSE())),"?TYPE_IDENTIFIABLE","?REFERENTIAL"),"_")))))</f>
        <v> </v>
      </c>
      <c r="H2456" s="25" t="str">
        <f>IF(J2456&lt;&gt;1,"",IF(I2456="SBJ","CB","?"))</f>
        <v> </v>
      </c>
      <c r="I2456" s="26" t="str">
        <f>IF(OR(E2456="",E2456="!!!",F2456="NEW"),"",INDEX(B2455:B$2,-1+SUMPRODUCT(MAX(ROW(E2455:E$2)*(E2456=E2455:E$2)))))</f>
        <v> </v>
      </c>
      <c r="J2456" s="26" t="str">
        <f>IF(OR(E2456="",E2456="!!!",F2456="NEW"),"",COUNTBLANK(OFFSET(A$1,,,SUMPRODUCT(MAX(ROW(E$2:E2456)*(E2456=E$2:E2456)))))-COUNTBLANK(OFFSET(A$1,,,SUMPRODUCT(MAX(ROW(E$1:E2455)*(E2=E$1:E2455))))))</f>
        <v> </v>
      </c>
      <c r="K2456" s="26" t="str">
        <f>IF(OR(E2456="",E2456="!!!",F2456="NEW"),"",INDEX(J$1:J2455,SUMPRODUCT(MAX(ROW(E$1:E2455)*(E2456=E$1:E2455)))))</f>
        <v> </v>
      </c>
      <c r="L2456" s="27"/>
    </row>
    <row r="2457" spans="1:12">
      <c r="A2457" s="20" t="s">
        <v>908</v>
      </c>
      <c r="E2457" s="22">
        <f>IF(D2457="?OLD","!!!","")</f>
        <v/>
      </c>
      <c r="F2457" s="23" t="str">
        <f>IF(OR(E2457="",E2457="!!!"),"",IF(NOT(ISNA(VLOOKUP(E2457,E$1:E2456,1,FALSE()))),"OLD",IF(AND(E2457&lt;&gt;"",E2457&lt;&gt;"!!!"),"NEW","")))</f>
        <v> </v>
      </c>
      <c r="G2457" s="24" t="str">
        <f>IF(OR(E2457="",E2457="!!!"),"",IF(OR(J2457=0,AND(J2457=1,K2457=1),AND(J2457=1,I2457="SBJ"),AND(J2457=1,I2457=0)),"?IN_FOCUS",IF(J2457&lt;=2,"?ACTIVATED",IF(J2457&lt;&gt;"","?FAMILIAR",IF(F2457="NEW",IF(ISNA(VLOOKUP(E2457,#REF!,1,FALSE())),"?TYPE_IDENTIFIABLE","?REFERENTIAL"),"_")))))</f>
        <v> </v>
      </c>
      <c r="H2457" s="25" t="str">
        <f>IF(J2457&lt;&gt;1,"",IF(I2457="SBJ","CB","?"))</f>
        <v> </v>
      </c>
      <c r="I2457" s="26" t="str">
        <f>IF(OR(E2457="",E2457="!!!",F2457="NEW"),"",INDEX(B2456:B$2,-1+SUMPRODUCT(MAX(ROW(E2456:E$2)*(E2457=E2456:E$2)))))</f>
        <v> </v>
      </c>
      <c r="J2457" s="26" t="str">
        <f>IF(OR(E2457="",E2457="!!!",F2457="NEW"),"",COUNTBLANK(OFFSET(A$1,,,SUMPRODUCT(MAX(ROW(E$2:E2457)*(E2457=E$2:E2457)))))-COUNTBLANK(OFFSET(A$1,,,SUMPRODUCT(MAX(ROW(E$1:E2456)*(E2=E$1:E2456))))))</f>
        <v> </v>
      </c>
      <c r="K2457" s="26" t="str">
        <f>IF(OR(E2457="",E2457="!!!",F2457="NEW"),"",INDEX(J$1:J2456,SUMPRODUCT(MAX(ROW(E$1:E2456)*(E2457=E$1:E2456)))))</f>
        <v> </v>
      </c>
      <c r="L2457" s="27"/>
    </row>
    <row r="2458" spans="1:12">
      <c r="A2458" s="20" t="s">
        <v>583</v>
      </c>
      <c r="E2458" s="22">
        <f>IF(D2458="?OLD","!!!","")</f>
        <v/>
      </c>
      <c r="F2458" s="23" t="str">
        <f>IF(OR(E2458="",E2458="!!!"),"",IF(NOT(ISNA(VLOOKUP(E2458,E$1:E2457,1,FALSE()))),"OLD",IF(AND(E2458&lt;&gt;"",E2458&lt;&gt;"!!!"),"NEW","")))</f>
        <v> </v>
      </c>
      <c r="G2458" s="24" t="str">
        <f>IF(OR(E2458="",E2458="!!!"),"",IF(OR(J2458=0,AND(J2458=1,K2458=1),AND(J2458=1,I2458="SBJ"),AND(J2458=1,I2458=0)),"?IN_FOCUS",IF(J2458&lt;=2,"?ACTIVATED",IF(J2458&lt;&gt;"","?FAMILIAR",IF(F2458="NEW",IF(ISNA(VLOOKUP(E2458,#REF!,1,FALSE())),"?TYPE_IDENTIFIABLE","?REFERENTIAL"),"_")))))</f>
        <v> </v>
      </c>
      <c r="H2458" s="25" t="str">
        <f>IF(J2458&lt;&gt;1,"",IF(I2458="SBJ","CB","?"))</f>
        <v> </v>
      </c>
      <c r="I2458" s="26" t="str">
        <f>IF(OR(E2458="",E2458="!!!",F2458="NEW"),"",INDEX(B2457:B$2,-1+SUMPRODUCT(MAX(ROW(E2457:E$2)*(E2458=E2457:E$2)))))</f>
        <v> </v>
      </c>
      <c r="J2458" s="26" t="str">
        <f>IF(OR(E2458="",E2458="!!!",F2458="NEW"),"",COUNTBLANK(OFFSET(A$1,,,SUMPRODUCT(MAX(ROW(E$2:E2458)*(E2458=E$2:E2458)))))-COUNTBLANK(OFFSET(A$1,,,SUMPRODUCT(MAX(ROW(E$1:E2457)*(E2=E$1:E2457))))))</f>
        <v> </v>
      </c>
      <c r="K2458" s="26" t="str">
        <f>IF(OR(E2458="",E2458="!!!",F2458="NEW"),"",INDEX(J$1:J2457,SUMPRODUCT(MAX(ROW(E$1:E2457)*(E2458=E$1:E2457)))))</f>
        <v> </v>
      </c>
      <c r="L2458" s="27"/>
    </row>
    <row r="2459" spans="1:12">
      <c r="A2459" s="20" t="s">
        <v>774</v>
      </c>
      <c r="E2459" s="22">
        <f>IF(D2459="?OLD","!!!","")</f>
        <v/>
      </c>
      <c r="F2459" s="23" t="str">
        <f>IF(OR(E2459="",E2459="!!!"),"",IF(NOT(ISNA(VLOOKUP(E2459,E$1:E2458,1,FALSE()))),"OLD",IF(AND(E2459&lt;&gt;"",E2459&lt;&gt;"!!!"),"NEW","")))</f>
        <v> </v>
      </c>
      <c r="G2459" s="24" t="str">
        <f>IF(OR(E2459="",E2459="!!!"),"",IF(OR(J2459=0,AND(J2459=1,K2459=1),AND(J2459=1,I2459="SBJ"),AND(J2459=1,I2459=0)),"?IN_FOCUS",IF(J2459&lt;=2,"?ACTIVATED",IF(J2459&lt;&gt;"","?FAMILIAR",IF(F2459="NEW",IF(ISNA(VLOOKUP(E2459,#REF!,1,FALSE())),"?TYPE_IDENTIFIABLE","?REFERENTIAL"),"_")))))</f>
        <v> </v>
      </c>
      <c r="H2459" s="25" t="str">
        <f>IF(J2459&lt;&gt;1,"",IF(I2459="SBJ","CB","?"))</f>
        <v> </v>
      </c>
      <c r="I2459" s="26" t="str">
        <f>IF(OR(E2459="",E2459="!!!",F2459="NEW"),"",INDEX(B2458:B$2,-1+SUMPRODUCT(MAX(ROW(E2458:E$2)*(E2459=E2458:E$2)))))</f>
        <v> </v>
      </c>
      <c r="J2459" s="26" t="str">
        <f>IF(OR(E2459="",E2459="!!!",F2459="NEW"),"",COUNTBLANK(OFFSET(A$1,,,SUMPRODUCT(MAX(ROW(E$2:E2459)*(E2459=E$2:E2459)))))-COUNTBLANK(OFFSET(A$1,,,SUMPRODUCT(MAX(ROW(E$1:E2458)*(E2=E$1:E2458))))))</f>
        <v> </v>
      </c>
      <c r="K2459" s="26" t="str">
        <f>IF(OR(E2459="",E2459="!!!",F2459="NEW"),"",INDEX(J$1:J2458,SUMPRODUCT(MAX(ROW(E$1:E2458)*(E2459=E$1:E2458)))))</f>
        <v> </v>
      </c>
      <c r="L2459" s="27"/>
    </row>
    <row r="2460" spans="1:12">
      <c r="A2460" s="20" t="s">
        <v>735</v>
      </c>
      <c r="B2460" s="21" t="s">
        <v>964</v>
      </c>
      <c r="E2460" s="22">
        <f>IF(D2460="?OLD","!!!","")</f>
        <v/>
      </c>
      <c r="F2460" s="23" t="str">
        <f>IF(OR(E2460="",E2460="!!!"),"",IF(NOT(ISNA(VLOOKUP(E2460,E$1:E2459,1,FALSE()))),"OLD",IF(AND(E2460&lt;&gt;"",E2460&lt;&gt;"!!!"),"NEW","")))</f>
        <v> </v>
      </c>
      <c r="G2460" s="24" t="str">
        <f>IF(OR(E2460="",E2460="!!!"),"",IF(OR(J2460=0,AND(J2460=1,K2460=1),AND(J2460=1,I2460="SBJ"),AND(J2460=1,I2460=0)),"?IN_FOCUS",IF(J2460&lt;=2,"?ACTIVATED",IF(J2460&lt;&gt;"","?FAMILIAR",IF(F2460="NEW",IF(ISNA(VLOOKUP(E2460,#REF!,1,FALSE())),"?TYPE_IDENTIFIABLE","?REFERENTIAL"),"_")))))</f>
        <v> </v>
      </c>
      <c r="H2460" s="25" t="str">
        <f>IF(J2460&lt;&gt;1,"",IF(I2460="SBJ","CB","?"))</f>
        <v> </v>
      </c>
      <c r="I2460" s="26" t="str">
        <f>IF(OR(E2460="",E2460="!!!",F2460="NEW"),"",INDEX(B2459:B$2,-1+SUMPRODUCT(MAX(ROW(E2459:E$2)*(E2460=E2459:E$2)))))</f>
        <v> </v>
      </c>
      <c r="J2460" s="26" t="str">
        <f>IF(OR(E2460="",E2460="!!!",F2460="NEW"),"",COUNTBLANK(OFFSET(A$1,,,SUMPRODUCT(MAX(ROW(E$2:E2460)*(E2460=E$2:E2460)))))-COUNTBLANK(OFFSET(A$1,,,SUMPRODUCT(MAX(ROW(E$1:E2459)*(E2=E$1:E2459))))))</f>
        <v> </v>
      </c>
      <c r="K2460" s="26" t="str">
        <f>IF(OR(E2460="",E2460="!!!",F2460="NEW"),"",INDEX(J$1:J2459,SUMPRODUCT(MAX(ROW(E$1:E2459)*(E2460=E$1:E2459)))))</f>
        <v> </v>
      </c>
      <c r="L2460" s="27"/>
    </row>
    <row r="2461" spans="1:12">
      <c r="A2461" s="20" t="s">
        <v>1677</v>
      </c>
      <c r="E2461" s="22">
        <f>IF(D2461="?OLD","!!!","")</f>
        <v/>
      </c>
      <c r="F2461" s="23" t="str">
        <f>IF(OR(E2461="",E2461="!!!"),"",IF(NOT(ISNA(VLOOKUP(E2461,E$1:E2460,1,FALSE()))),"OLD",IF(AND(E2461&lt;&gt;"",E2461&lt;&gt;"!!!"),"NEW","")))</f>
        <v> </v>
      </c>
      <c r="G2461" s="24" t="str">
        <f>IF(OR(E2461="",E2461="!!!"),"",IF(OR(J2461=0,AND(J2461=1,K2461=1),AND(J2461=1,I2461="SBJ"),AND(J2461=1,I2461=0)),"?IN_FOCUS",IF(J2461&lt;=2,"?ACTIVATED",IF(J2461&lt;&gt;"","?FAMILIAR",IF(F2461="NEW",IF(ISNA(VLOOKUP(E2461,#REF!,1,FALSE())),"?TYPE_IDENTIFIABLE","?REFERENTIAL"),"_")))))</f>
        <v> </v>
      </c>
      <c r="H2461" s="25" t="str">
        <f>IF(J2461&lt;&gt;1,"",IF(I2461="SBJ","CB","?"))</f>
        <v> </v>
      </c>
      <c r="I2461" s="26" t="str">
        <f>IF(OR(E2461="",E2461="!!!",F2461="NEW"),"",INDEX(B2460:B$2,-1+SUMPRODUCT(MAX(ROW(E2460:E$2)*(E2461=E2460:E$2)))))</f>
        <v> </v>
      </c>
      <c r="J2461" s="26" t="str">
        <f>IF(OR(E2461="",E2461="!!!",F2461="NEW"),"",COUNTBLANK(OFFSET(A$1,,,SUMPRODUCT(MAX(ROW(E$2:E2461)*(E2461=E$2:E2461)))))-COUNTBLANK(OFFSET(A$1,,,SUMPRODUCT(MAX(ROW(E$1:E2460)*(E2=E$1:E2460))))))</f>
        <v> </v>
      </c>
      <c r="K2461" s="26" t="str">
        <f>IF(OR(E2461="",E2461="!!!",F2461="NEW"),"",INDEX(J$1:J2460,SUMPRODUCT(MAX(ROW(E$1:E2460)*(E2461=E$1:E2460)))))</f>
        <v> </v>
      </c>
      <c r="L2461" s="27"/>
    </row>
    <row r="2462" spans="1:12">
      <c r="A2462" s="20" t="s">
        <v>398</v>
      </c>
      <c r="E2462" s="22">
        <f>IF(D2462="?OLD","!!!","")</f>
        <v/>
      </c>
      <c r="F2462" s="23" t="str">
        <f>IF(OR(E2462="",E2462="!!!"),"",IF(NOT(ISNA(VLOOKUP(E2462,E$1:E2461,1,FALSE()))),"OLD",IF(AND(E2462&lt;&gt;"",E2462&lt;&gt;"!!!"),"NEW","")))</f>
        <v> </v>
      </c>
      <c r="G2462" s="24" t="str">
        <f>IF(OR(E2462="",E2462="!!!"),"",IF(OR(J2462=0,AND(J2462=1,K2462=1),AND(J2462=1,I2462="SBJ"),AND(J2462=1,I2462=0)),"?IN_FOCUS",IF(J2462&lt;=2,"?ACTIVATED",IF(J2462&lt;&gt;"","?FAMILIAR",IF(F2462="NEW",IF(ISNA(VLOOKUP(E2462,#REF!,1,FALSE())),"?TYPE_IDENTIFIABLE","?REFERENTIAL"),"_")))))</f>
        <v> </v>
      </c>
      <c r="H2462" s="25" t="str">
        <f>IF(J2462&lt;&gt;1,"",IF(I2462="SBJ","CB","?"))</f>
        <v> </v>
      </c>
      <c r="I2462" s="26" t="str">
        <f>IF(OR(E2462="",E2462="!!!",F2462="NEW"),"",INDEX(B2461:B$2,-1+SUMPRODUCT(MAX(ROW(E2461:E$2)*(E2462=E2461:E$2)))))</f>
        <v> </v>
      </c>
      <c r="J2462" s="26" t="str">
        <f>IF(OR(E2462="",E2462="!!!",F2462="NEW"),"",COUNTBLANK(OFFSET(A$1,,,SUMPRODUCT(MAX(ROW(E$2:E2462)*(E2462=E$2:E2462)))))-COUNTBLANK(OFFSET(A$1,,,SUMPRODUCT(MAX(ROW(E$1:E2461)*(E2=E$1:E2461))))))</f>
        <v> </v>
      </c>
      <c r="K2462" s="26" t="str">
        <f>IF(OR(E2462="",E2462="!!!",F2462="NEW"),"",INDEX(J$1:J2461,SUMPRODUCT(MAX(ROW(E$1:E2461)*(E2462=E$1:E2461)))))</f>
        <v> </v>
      </c>
      <c r="L2462" s="27"/>
    </row>
    <row r="2463" spans="1:12">
      <c r="A2463" s="20" t="s">
        <v>1511</v>
      </c>
      <c r="E2463" s="22">
        <f>IF(D2463="?OLD","!!!","")</f>
        <v/>
      </c>
      <c r="F2463" s="23" t="str">
        <f>IF(OR(E2463="",E2463="!!!"),"",IF(NOT(ISNA(VLOOKUP(E2463,E$1:E2462,1,FALSE()))),"OLD",IF(AND(E2463&lt;&gt;"",E2463&lt;&gt;"!!!"),"NEW","")))</f>
        <v> </v>
      </c>
      <c r="G2463" s="24" t="str">
        <f>IF(OR(E2463="",E2463="!!!"),"",IF(OR(J2463=0,AND(J2463=1,K2463=1),AND(J2463=1,I2463="SBJ"),AND(J2463=1,I2463=0)),"?IN_FOCUS",IF(J2463&lt;=2,"?ACTIVATED",IF(J2463&lt;&gt;"","?FAMILIAR",IF(F2463="NEW",IF(ISNA(VLOOKUP(E2463,#REF!,1,FALSE())),"?TYPE_IDENTIFIABLE","?REFERENTIAL"),"_")))))</f>
        <v> </v>
      </c>
      <c r="H2463" s="25" t="str">
        <f>IF(J2463&lt;&gt;1,"",IF(I2463="SBJ","CB","?"))</f>
        <v> </v>
      </c>
      <c r="I2463" s="26" t="str">
        <f>IF(OR(E2463="",E2463="!!!",F2463="NEW"),"",INDEX(B2462:B$2,-1+SUMPRODUCT(MAX(ROW(E2462:E$2)*(E2463=E2462:E$2)))))</f>
        <v> </v>
      </c>
      <c r="J2463" s="26" t="str">
        <f>IF(OR(E2463="",E2463="!!!",F2463="NEW"),"",COUNTBLANK(OFFSET(A$1,,,SUMPRODUCT(MAX(ROW(E$2:E2463)*(E2463=E$2:E2463)))))-COUNTBLANK(OFFSET(A$1,,,SUMPRODUCT(MAX(ROW(E$1:E2462)*(E2=E$1:E2462))))))</f>
        <v> </v>
      </c>
      <c r="K2463" s="26" t="str">
        <f>IF(OR(E2463="",E2463="!!!",F2463="NEW"),"",INDEX(J$1:J2462,SUMPRODUCT(MAX(ROW(E$1:E2462)*(E2463=E$1:E2462)))))</f>
        <v> </v>
      </c>
      <c r="L2463" s="27"/>
    </row>
    <row r="2464" spans="1:12">
      <c r="A2464" s="20" t="s">
        <v>592</v>
      </c>
      <c r="E2464" s="22">
        <f>IF(D2464="?OLD","!!!","")</f>
        <v/>
      </c>
      <c r="F2464" s="23" t="str">
        <f>IF(OR(E2464="",E2464="!!!"),"",IF(NOT(ISNA(VLOOKUP(E2464,E$1:E2463,1,FALSE()))),"OLD",IF(AND(E2464&lt;&gt;"",E2464&lt;&gt;"!!!"),"NEW","")))</f>
        <v> </v>
      </c>
      <c r="G2464" s="24" t="str">
        <f>IF(OR(E2464="",E2464="!!!"),"",IF(OR(J2464=0,AND(J2464=1,K2464=1),AND(J2464=1,I2464="SBJ"),AND(J2464=1,I2464=0)),"?IN_FOCUS",IF(J2464&lt;=2,"?ACTIVATED",IF(J2464&lt;&gt;"","?FAMILIAR",IF(F2464="NEW",IF(ISNA(VLOOKUP(E2464,#REF!,1,FALSE())),"?TYPE_IDENTIFIABLE","?REFERENTIAL"),"_")))))</f>
        <v> </v>
      </c>
      <c r="H2464" s="25" t="str">
        <f>IF(J2464&lt;&gt;1,"",IF(I2464="SBJ","CB","?"))</f>
        <v> </v>
      </c>
      <c r="I2464" s="26" t="str">
        <f>IF(OR(E2464="",E2464="!!!",F2464="NEW"),"",INDEX(B2463:B$2,-1+SUMPRODUCT(MAX(ROW(E2463:E$2)*(E2464=E2463:E$2)))))</f>
        <v> </v>
      </c>
      <c r="J2464" s="26" t="str">
        <f>IF(OR(E2464="",E2464="!!!",F2464="NEW"),"",COUNTBLANK(OFFSET(A$1,,,SUMPRODUCT(MAX(ROW(E$2:E2464)*(E2464=E$2:E2464)))))-COUNTBLANK(OFFSET(A$1,,,SUMPRODUCT(MAX(ROW(E$1:E2463)*(E2=E$1:E2463))))))</f>
        <v> </v>
      </c>
      <c r="K2464" s="26" t="str">
        <f>IF(OR(E2464="",E2464="!!!",F2464="NEW"),"",INDEX(J$1:J2463,SUMPRODUCT(MAX(ROW(E$1:E2463)*(E2464=E$1:E2463)))))</f>
        <v> </v>
      </c>
      <c r="L2464" s="27"/>
    </row>
    <row r="2465" spans="1:12">
      <c r="A2465" s="20"/>
    </row>
    <row r="2466" spans="1:12">
      <c r="A2466" s="20" t="s">
        <v>1686</v>
      </c>
    </row>
    <row r="2467" spans="1:12">
      <c r="A2467" s="20" t="s">
        <v>1687</v>
      </c>
      <c r="B2467" s="21" t="s">
        <v>651</v>
      </c>
      <c r="C2467" s="21" t="s">
        <v>586</v>
      </c>
      <c r="D2467" s="21" t="s">
        <v>587</v>
      </c>
      <c r="E2467" s="22">
        <f>IF(D2467="?OLD","!!!","")</f>
        <v/>
      </c>
      <c r="F2467" s="23" t="str">
        <f>IF(OR(E2467="",E2467="!!!"),"",IF(NOT(ISNA(VLOOKUP(E2467,E$1:E2466,1,FALSE()))),"OLD",IF(AND(E2467&lt;&gt;"",E2467&lt;&gt;"!!!"),"NEW","")))</f>
        <v> </v>
      </c>
      <c r="G2467" s="24" t="str">
        <f>IF(OR(E2467="",E2467="!!!"),"",IF(OR(J2467=0,AND(J2467=1,K2467=1),AND(J2467=1,I2467="SBJ"),AND(J2467=1,I2467=0)),"?IN_FOCUS",IF(J2467&lt;=2,"?ACTIVATED",IF(J2467&lt;&gt;"","?FAMILIAR",IF(F2467="NEW",IF(ISNA(VLOOKUP(E2467,#REF!,1,FALSE())),"?TYPE_IDENTIFIABLE","?REFERENTIAL"),"_")))))</f>
        <v> </v>
      </c>
      <c r="H2467" s="25" t="str">
        <f>IF(J2467&lt;&gt;1,"",IF(I2467="SBJ","CB","?"))</f>
        <v> </v>
      </c>
      <c r="I2467" s="26" t="str">
        <f>IF(OR(E2467="",E2467="!!!",F2467="NEW"),"",INDEX(B2466:B$2,-1+SUMPRODUCT(MAX(ROW(E2466:E$2)*(E2467=E2466:E$2)))))</f>
        <v> </v>
      </c>
      <c r="J2467" s="26" t="str">
        <f>IF(OR(E2467="",E2467="!!!",F2467="NEW"),"",COUNTBLANK(OFFSET(A$1,,,SUMPRODUCT(MAX(ROW(E$2:E2467)*(E2467=E$2:E2467)))))-COUNTBLANK(OFFSET(A$1,,,SUMPRODUCT(MAX(ROW(E$1:E2466)*(E2=E$1:E2466))))))</f>
        <v> </v>
      </c>
      <c r="K2467" s="26" t="str">
        <f>IF(OR(E2467="",E2467="!!!",F2467="NEW"),"",INDEX(J$1:J2466,SUMPRODUCT(MAX(ROW(E$1:E2466)*(E2467=E$1:E2466)))))</f>
        <v> </v>
      </c>
      <c r="L2467" s="27"/>
    </row>
    <row r="2468" spans="1:12">
      <c r="A2468" s="20" t="s">
        <v>609</v>
      </c>
      <c r="E2468" s="22">
        <f>IF(D2468="?OLD","!!!","")</f>
        <v/>
      </c>
      <c r="F2468" s="23" t="str">
        <f>IF(OR(E2468="",E2468="!!!"),"",IF(NOT(ISNA(VLOOKUP(E2468,E$1:E2467,1,FALSE()))),"OLD",IF(AND(E2468&lt;&gt;"",E2468&lt;&gt;"!!!"),"NEW","")))</f>
        <v> </v>
      </c>
      <c r="G2468" s="24" t="str">
        <f>IF(OR(E2468="",E2468="!!!"),"",IF(OR(J2468=0,AND(J2468=1,K2468=1),AND(J2468=1,I2468="SBJ"),AND(J2468=1,I2468=0)),"?IN_FOCUS",IF(J2468&lt;=2,"?ACTIVATED",IF(J2468&lt;&gt;"","?FAMILIAR",IF(F2468="NEW",IF(ISNA(VLOOKUP(E2468,#REF!,1,FALSE())),"?TYPE_IDENTIFIABLE","?REFERENTIAL"),"_")))))</f>
        <v> </v>
      </c>
      <c r="H2468" s="25" t="str">
        <f>IF(J2468&lt;&gt;1,"",IF(I2468="SBJ","CB","?"))</f>
        <v> </v>
      </c>
      <c r="I2468" s="26" t="str">
        <f>IF(OR(E2468="",E2468="!!!",F2468="NEW"),"",INDEX(B2467:B$2,-1+SUMPRODUCT(MAX(ROW(E2467:E$2)*(E2468=E2467:E$2)))))</f>
        <v> </v>
      </c>
      <c r="J2468" s="26" t="str">
        <f>IF(OR(E2468="",E2468="!!!",F2468="NEW"),"",COUNTBLANK(OFFSET(A$1,,,SUMPRODUCT(MAX(ROW(E$2:E2468)*(E2468=E$2:E2468)))))-COUNTBLANK(OFFSET(A$1,,,SUMPRODUCT(MAX(ROW(E$1:E2467)*(E2=E$1:E2467))))))</f>
        <v> </v>
      </c>
      <c r="K2468" s="26" t="str">
        <f>IF(OR(E2468="",E2468="!!!",F2468="NEW"),"",INDEX(J$1:J2467,SUMPRODUCT(MAX(ROW(E$1:E2467)*(E2468=E$1:E2467)))))</f>
        <v> </v>
      </c>
      <c r="L2468" s="27"/>
    </row>
    <row r="2469" spans="1:12">
      <c r="A2469" s="20" t="s">
        <v>1688</v>
      </c>
      <c r="E2469" s="22">
        <f>IF(D2469="?OLD","!!!","")</f>
        <v/>
      </c>
      <c r="F2469" s="23" t="str">
        <f>IF(OR(E2469="",E2469="!!!"),"",IF(NOT(ISNA(VLOOKUP(E2469,E$1:E2468,1,FALSE()))),"OLD",IF(AND(E2469&lt;&gt;"",E2469&lt;&gt;"!!!"),"NEW","")))</f>
        <v> </v>
      </c>
      <c r="G2469" s="24" t="str">
        <f>IF(OR(E2469="",E2469="!!!"),"",IF(OR(J2469=0,AND(J2469=1,K2469=1),AND(J2469=1,I2469="SBJ"),AND(J2469=1,I2469=0)),"?IN_FOCUS",IF(J2469&lt;=2,"?ACTIVATED",IF(J2469&lt;&gt;"","?FAMILIAR",IF(F2469="NEW",IF(ISNA(VLOOKUP(E2469,#REF!,1,FALSE())),"?TYPE_IDENTIFIABLE","?REFERENTIAL"),"_")))))</f>
        <v> </v>
      </c>
      <c r="H2469" s="25" t="str">
        <f>IF(J2469&lt;&gt;1,"",IF(I2469="SBJ","CB","?"))</f>
        <v> </v>
      </c>
      <c r="I2469" s="26" t="str">
        <f>IF(OR(E2469="",E2469="!!!",F2469="NEW"),"",INDEX(B2468:B$2,-1+SUMPRODUCT(MAX(ROW(E2468:E$2)*(E2469=E2468:E$2)))))</f>
        <v> </v>
      </c>
      <c r="J2469" s="26" t="str">
        <f>IF(OR(E2469="",E2469="!!!",F2469="NEW"),"",COUNTBLANK(OFFSET(A$1,,,SUMPRODUCT(MAX(ROW(E$2:E2469)*(E2469=E$2:E2469)))))-COUNTBLANK(OFFSET(A$1,,,SUMPRODUCT(MAX(ROW(E$1:E2468)*(E2=E$1:E2468))))))</f>
        <v> </v>
      </c>
      <c r="K2469" s="26" t="str">
        <f>IF(OR(E2469="",E2469="!!!",F2469="NEW"),"",INDEX(J$1:J2468,SUMPRODUCT(MAX(ROW(E$1:E2468)*(E2469=E$1:E2468)))))</f>
        <v> </v>
      </c>
      <c r="L2469" s="27"/>
    </row>
    <row r="2470" spans="1:12">
      <c r="A2470" s="20" t="s">
        <v>583</v>
      </c>
      <c r="E2470" s="22">
        <f>IF(D2470="?OLD","!!!","")</f>
        <v/>
      </c>
      <c r="F2470" s="23" t="str">
        <f>IF(OR(E2470="",E2470="!!!"),"",IF(NOT(ISNA(VLOOKUP(E2470,E$1:E2469,1,FALSE()))),"OLD",IF(AND(E2470&lt;&gt;"",E2470&lt;&gt;"!!!"),"NEW","")))</f>
        <v> </v>
      </c>
      <c r="G2470" s="24" t="str">
        <f>IF(OR(E2470="",E2470="!!!"),"",IF(OR(J2470=0,AND(J2470=1,K2470=1),AND(J2470=1,I2470="SBJ"),AND(J2470=1,I2470=0)),"?IN_FOCUS",IF(J2470&lt;=2,"?ACTIVATED",IF(J2470&lt;&gt;"","?FAMILIAR",IF(F2470="NEW",IF(ISNA(VLOOKUP(E2470,#REF!,1,FALSE())),"?TYPE_IDENTIFIABLE","?REFERENTIAL"),"_")))))</f>
        <v> </v>
      </c>
      <c r="H2470" s="25" t="str">
        <f>IF(J2470&lt;&gt;1,"",IF(I2470="SBJ","CB","?"))</f>
        <v> </v>
      </c>
      <c r="I2470" s="26" t="str">
        <f>IF(OR(E2470="",E2470="!!!",F2470="NEW"),"",INDEX(B2469:B$2,-1+SUMPRODUCT(MAX(ROW(E2469:E$2)*(E2470=E2469:E$2)))))</f>
        <v> </v>
      </c>
      <c r="J2470" s="26" t="str">
        <f>IF(OR(E2470="",E2470="!!!",F2470="NEW"),"",COUNTBLANK(OFFSET(A$1,,,SUMPRODUCT(MAX(ROW(E$2:E2470)*(E2470=E$2:E2470)))))-COUNTBLANK(OFFSET(A$1,,,SUMPRODUCT(MAX(ROW(E$1:E2469)*(E2=E$1:E2469))))))</f>
        <v> </v>
      </c>
      <c r="K2470" s="26" t="str">
        <f>IF(OR(E2470="",E2470="!!!",F2470="NEW"),"",INDEX(J$1:J2469,SUMPRODUCT(MAX(ROW(E$1:E2469)*(E2470=E$1:E2469)))))</f>
        <v> </v>
      </c>
      <c r="L2470" s="27"/>
    </row>
    <row r="2471" spans="1:12">
      <c r="A2471" s="20" t="s">
        <v>653</v>
      </c>
      <c r="B2471" s="21" t="s">
        <v>578</v>
      </c>
      <c r="C2471" s="21" t="s">
        <v>613</v>
      </c>
      <c r="D2471" s="21" t="s">
        <v>587</v>
      </c>
      <c r="E2471" s="22">
        <f>IF(D2471="?OLD","!!!","")</f>
        <v/>
      </c>
      <c r="F2471" s="23" t="str">
        <f>IF(OR(E2471="",E2471="!!!"),"",IF(NOT(ISNA(VLOOKUP(E2471,E$1:E2470,1,FALSE()))),"OLD",IF(AND(E2471&lt;&gt;"",E2471&lt;&gt;"!!!"),"NEW","")))</f>
        <v> </v>
      </c>
      <c r="G2471" s="24" t="str">
        <f>IF(OR(E2471="",E2471="!!!"),"",IF(OR(J2471=0,AND(J2471=1,K2471=1),AND(J2471=1,I2471="SBJ"),AND(J2471=1,I2471=0)),"?IN_FOCUS",IF(J2471&lt;=2,"?ACTIVATED",IF(J2471&lt;&gt;"","?FAMILIAR",IF(F2471="NEW",IF(ISNA(VLOOKUP(E2471,#REF!,1,FALSE())),"?TYPE_IDENTIFIABLE","?REFERENTIAL"),"_")))))</f>
        <v> </v>
      </c>
      <c r="H2471" s="25" t="str">
        <f>IF(J2471&lt;&gt;1,"",IF(I2471="SBJ","CB","?"))</f>
        <v> </v>
      </c>
      <c r="I2471" s="26" t="str">
        <f>IF(OR(E2471="",E2471="!!!",F2471="NEW"),"",INDEX(B2470:B$2,-1+SUMPRODUCT(MAX(ROW(E2470:E$2)*(E2471=E2470:E$2)))))</f>
        <v> </v>
      </c>
      <c r="J2471" s="26" t="str">
        <f>IF(OR(E2471="",E2471="!!!",F2471="NEW"),"",COUNTBLANK(OFFSET(A$1,,,SUMPRODUCT(MAX(ROW(E$2:E2471)*(E2471=E$2:E2471)))))-COUNTBLANK(OFFSET(A$1,,,SUMPRODUCT(MAX(ROW(E$1:E2470)*(E2=E$1:E2470))))))</f>
        <v> </v>
      </c>
      <c r="K2471" s="26" t="str">
        <f>IF(OR(E2471="",E2471="!!!",F2471="NEW"),"",INDEX(J$1:J2470,SUMPRODUCT(MAX(ROW(E$1:E2470)*(E2471=E$1:E2470)))))</f>
        <v> </v>
      </c>
      <c r="L2471" s="27"/>
    </row>
    <row r="2472" spans="1:12">
      <c r="A2472" s="20" t="s">
        <v>1054</v>
      </c>
      <c r="E2472" s="22">
        <f>IF(D2472="?OLD","!!!","")</f>
        <v/>
      </c>
      <c r="F2472" s="23" t="str">
        <f>IF(OR(E2472="",E2472="!!!"),"",IF(NOT(ISNA(VLOOKUP(E2472,E$1:E2471,1,FALSE()))),"OLD",IF(AND(E2472&lt;&gt;"",E2472&lt;&gt;"!!!"),"NEW","")))</f>
        <v> </v>
      </c>
      <c r="G2472" s="24" t="str">
        <f>IF(OR(E2472="",E2472="!!!"),"",IF(OR(J2472=0,AND(J2472=1,K2472=1),AND(J2472=1,I2472="SBJ"),AND(J2472=1,I2472=0)),"?IN_FOCUS",IF(J2472&lt;=2,"?ACTIVATED",IF(J2472&lt;&gt;"","?FAMILIAR",IF(F2472="NEW",IF(ISNA(VLOOKUP(E2472,#REF!,1,FALSE())),"?TYPE_IDENTIFIABLE","?REFERENTIAL"),"_")))))</f>
        <v> </v>
      </c>
      <c r="H2472" s="25" t="str">
        <f>IF(J2472&lt;&gt;1,"",IF(I2472="SBJ","CB","?"))</f>
        <v> </v>
      </c>
      <c r="I2472" s="26" t="str">
        <f>IF(OR(E2472="",E2472="!!!",F2472="NEW"),"",INDEX(B2471:B$2,-1+SUMPRODUCT(MAX(ROW(E2471:E$2)*(E2472=E2471:E$2)))))</f>
        <v> </v>
      </c>
      <c r="J2472" s="26" t="str">
        <f>IF(OR(E2472="",E2472="!!!",F2472="NEW"),"",COUNTBLANK(OFFSET(A$1,,,SUMPRODUCT(MAX(ROW(E$2:E2472)*(E2472=E$2:E2472)))))-COUNTBLANK(OFFSET(A$1,,,SUMPRODUCT(MAX(ROW(E$1:E2471)*(E2=E$1:E2471))))))</f>
        <v> </v>
      </c>
      <c r="K2472" s="26" t="str">
        <f>IF(OR(E2472="",E2472="!!!",F2472="NEW"),"",INDEX(J$1:J2471,SUMPRODUCT(MAX(ROW(E$1:E2471)*(E2472=E$1:E2471)))))</f>
        <v> </v>
      </c>
      <c r="L2472" s="27"/>
    </row>
    <row r="2473" spans="1:12">
      <c r="A2473" s="20" t="s">
        <v>583</v>
      </c>
      <c r="E2473" s="22">
        <f>IF(D2473="?OLD","!!!","")</f>
        <v/>
      </c>
      <c r="F2473" s="23" t="str">
        <f>IF(OR(E2473="",E2473="!!!"),"",IF(NOT(ISNA(VLOOKUP(E2473,E$1:E2472,1,FALSE()))),"OLD",IF(AND(E2473&lt;&gt;"",E2473&lt;&gt;"!!!"),"NEW","")))</f>
        <v> </v>
      </c>
      <c r="G2473" s="24" t="str">
        <f>IF(OR(E2473="",E2473="!!!"),"",IF(OR(J2473=0,AND(J2473=1,K2473=1),AND(J2473=1,I2473="SBJ"),AND(J2473=1,I2473=0)),"?IN_FOCUS",IF(J2473&lt;=2,"?ACTIVATED",IF(J2473&lt;&gt;"","?FAMILIAR",IF(F2473="NEW",IF(ISNA(VLOOKUP(E2473,#REF!,1,FALSE())),"?TYPE_IDENTIFIABLE","?REFERENTIAL"),"_")))))</f>
        <v> </v>
      </c>
      <c r="H2473" s="25" t="str">
        <f>IF(J2473&lt;&gt;1,"",IF(I2473="SBJ","CB","?"))</f>
        <v> </v>
      </c>
      <c r="I2473" s="26" t="str">
        <f>IF(OR(E2473="",E2473="!!!",F2473="NEW"),"",INDEX(B2472:B$2,-1+SUMPRODUCT(MAX(ROW(E2472:E$2)*(E2473=E2472:E$2)))))</f>
        <v> </v>
      </c>
      <c r="J2473" s="26" t="str">
        <f>IF(OR(E2473="",E2473="!!!",F2473="NEW"),"",COUNTBLANK(OFFSET(A$1,,,SUMPRODUCT(MAX(ROW(E$2:E2473)*(E2473=E$2:E2473)))))-COUNTBLANK(OFFSET(A$1,,,SUMPRODUCT(MAX(ROW(E$1:E2472)*(E2=E$1:E2472))))))</f>
        <v> </v>
      </c>
      <c r="K2473" s="26" t="str">
        <f>IF(OR(E2473="",E2473="!!!",F2473="NEW"),"",INDEX(J$1:J2472,SUMPRODUCT(MAX(ROW(E$1:E2472)*(E2473=E$1:E2472)))))</f>
        <v> </v>
      </c>
      <c r="L2473" s="27"/>
    </row>
    <row r="2474" spans="1:12">
      <c r="A2474" s="20" t="s">
        <v>369</v>
      </c>
      <c r="E2474" s="22">
        <f>IF(D2474="?OLD","!!!","")</f>
        <v/>
      </c>
      <c r="F2474" s="23" t="str">
        <f>IF(OR(E2474="",E2474="!!!"),"",IF(NOT(ISNA(VLOOKUP(E2474,E$1:E2473,1,FALSE()))),"OLD",IF(AND(E2474&lt;&gt;"",E2474&lt;&gt;"!!!"),"NEW","")))</f>
        <v> </v>
      </c>
      <c r="G2474" s="24" t="str">
        <f>IF(OR(E2474="",E2474="!!!"),"",IF(OR(J2474=0,AND(J2474=1,K2474=1),AND(J2474=1,I2474="SBJ"),AND(J2474=1,I2474=0)),"?IN_FOCUS",IF(J2474&lt;=2,"?ACTIVATED",IF(J2474&lt;&gt;"","?FAMILIAR",IF(F2474="NEW",IF(ISNA(VLOOKUP(E2474,#REF!,1,FALSE())),"?TYPE_IDENTIFIABLE","?REFERENTIAL"),"_")))))</f>
        <v> </v>
      </c>
      <c r="H2474" s="25" t="str">
        <f>IF(J2474&lt;&gt;1,"",IF(I2474="SBJ","CB","?"))</f>
        <v> </v>
      </c>
      <c r="I2474" s="26" t="str">
        <f>IF(OR(E2474="",E2474="!!!",F2474="NEW"),"",INDEX(B2473:B$2,-1+SUMPRODUCT(MAX(ROW(E2473:E$2)*(E2474=E2473:E$2)))))</f>
        <v> </v>
      </c>
      <c r="J2474" s="26" t="str">
        <f>IF(OR(E2474="",E2474="!!!",F2474="NEW"),"",COUNTBLANK(OFFSET(A$1,,,SUMPRODUCT(MAX(ROW(E$2:E2474)*(E2474=E$2:E2474)))))-COUNTBLANK(OFFSET(A$1,,,SUMPRODUCT(MAX(ROW(E$1:E2473)*(E2=E$1:E2473))))))</f>
        <v> </v>
      </c>
      <c r="K2474" s="26" t="str">
        <f>IF(OR(E2474="",E2474="!!!",F2474="NEW"),"",INDEX(J$1:J2473,SUMPRODUCT(MAX(ROW(E$1:E2473)*(E2474=E$1:E2473)))))</f>
        <v> </v>
      </c>
      <c r="L2474" s="27"/>
    </row>
    <row r="2475" spans="1:12">
      <c r="A2475" s="20" t="s">
        <v>1689</v>
      </c>
      <c r="B2475" s="21" t="s">
        <v>590</v>
      </c>
      <c r="E2475" s="22">
        <f>IF(D2475="?OLD","!!!","")</f>
        <v/>
      </c>
      <c r="F2475" s="23" t="str">
        <f>IF(OR(E2475="",E2475="!!!"),"",IF(NOT(ISNA(VLOOKUP(E2475,E$1:E2474,1,FALSE()))),"OLD",IF(AND(E2475&lt;&gt;"",E2475&lt;&gt;"!!!"),"NEW","")))</f>
        <v> </v>
      </c>
      <c r="G2475" s="24" t="str">
        <f>IF(OR(E2475="",E2475="!!!"),"",IF(OR(J2475=0,AND(J2475=1,K2475=1),AND(J2475=1,I2475="SBJ"),AND(J2475=1,I2475=0)),"?IN_FOCUS",IF(J2475&lt;=2,"?ACTIVATED",IF(J2475&lt;&gt;"","?FAMILIAR",IF(F2475="NEW",IF(ISNA(VLOOKUP(E2475,#REF!,1,FALSE())),"?TYPE_IDENTIFIABLE","?REFERENTIAL"),"_")))))</f>
        <v> </v>
      </c>
      <c r="H2475" s="25" t="str">
        <f>IF(J2475&lt;&gt;1,"",IF(I2475="SBJ","CB","?"))</f>
        <v> </v>
      </c>
      <c r="I2475" s="26" t="str">
        <f>IF(OR(E2475="",E2475="!!!",F2475="NEW"),"",INDEX(B2474:B$2,-1+SUMPRODUCT(MAX(ROW(E2474:E$2)*(E2475=E2474:E$2)))))</f>
        <v> </v>
      </c>
      <c r="J2475" s="26" t="str">
        <f>IF(OR(E2475="",E2475="!!!",F2475="NEW"),"",COUNTBLANK(OFFSET(A$1,,,SUMPRODUCT(MAX(ROW(E$2:E2475)*(E2475=E$2:E2475)))))-COUNTBLANK(OFFSET(A$1,,,SUMPRODUCT(MAX(ROW(E$1:E2474)*(E2=E$1:E2474))))))</f>
        <v> </v>
      </c>
      <c r="K2475" s="26" t="str">
        <f>IF(OR(E2475="",E2475="!!!",F2475="NEW"),"",INDEX(J$1:J2474,SUMPRODUCT(MAX(ROW(E$1:E2474)*(E2475=E$1:E2474)))))</f>
        <v> </v>
      </c>
      <c r="L2475" s="27"/>
    </row>
    <row r="2476" spans="1:12">
      <c r="A2476" s="20" t="s">
        <v>583</v>
      </c>
      <c r="E2476" s="22">
        <f>IF(D2476="?OLD","!!!","")</f>
        <v/>
      </c>
      <c r="F2476" s="23" t="str">
        <f>IF(OR(E2476="",E2476="!!!"),"",IF(NOT(ISNA(VLOOKUP(E2476,E$1:E2475,1,FALSE()))),"OLD",IF(AND(E2476&lt;&gt;"",E2476&lt;&gt;"!!!"),"NEW","")))</f>
        <v> </v>
      </c>
      <c r="G2476" s="24" t="str">
        <f>IF(OR(E2476="",E2476="!!!"),"",IF(OR(J2476=0,AND(J2476=1,K2476=1),AND(J2476=1,I2476="SBJ"),AND(J2476=1,I2476=0)),"?IN_FOCUS",IF(J2476&lt;=2,"?ACTIVATED",IF(J2476&lt;&gt;"","?FAMILIAR",IF(F2476="NEW",IF(ISNA(VLOOKUP(E2476,#REF!,1,FALSE())),"?TYPE_IDENTIFIABLE","?REFERENTIAL"),"_")))))</f>
        <v> </v>
      </c>
      <c r="H2476" s="25" t="str">
        <f>IF(J2476&lt;&gt;1,"",IF(I2476="SBJ","CB","?"))</f>
        <v> </v>
      </c>
      <c r="I2476" s="26" t="str">
        <f>IF(OR(E2476="",E2476="!!!",F2476="NEW"),"",INDEX(B2475:B$2,-1+SUMPRODUCT(MAX(ROW(E2475:E$2)*(E2476=E2475:E$2)))))</f>
        <v> </v>
      </c>
      <c r="J2476" s="26" t="str">
        <f>IF(OR(E2476="",E2476="!!!",F2476="NEW"),"",COUNTBLANK(OFFSET(A$1,,,SUMPRODUCT(MAX(ROW(E$2:E2476)*(E2476=E$2:E2476)))))-COUNTBLANK(OFFSET(A$1,,,SUMPRODUCT(MAX(ROW(E$1:E2475)*(E2=E$1:E2475))))))</f>
        <v> </v>
      </c>
      <c r="K2476" s="26" t="str">
        <f>IF(OR(E2476="",E2476="!!!",F2476="NEW"),"",INDEX(J$1:J2475,SUMPRODUCT(MAX(ROW(E$1:E2475)*(E2476=E$1:E2475)))))</f>
        <v> </v>
      </c>
      <c r="L2476" s="27"/>
    </row>
    <row r="2477" spans="1:12">
      <c r="A2477" s="20" t="s">
        <v>1690</v>
      </c>
      <c r="B2477" s="21" t="s">
        <v>695</v>
      </c>
      <c r="C2477" s="21" t="s">
        <v>602</v>
      </c>
      <c r="E2477" s="22">
        <f>IF(D2477="?OLD","!!!","")</f>
        <v/>
      </c>
      <c r="F2477" s="23" t="str">
        <f>IF(OR(E2477="",E2477="!!!"),"",IF(NOT(ISNA(VLOOKUP(E2477,E$1:E2476,1,FALSE()))),"OLD",IF(AND(E2477&lt;&gt;"",E2477&lt;&gt;"!!!"),"NEW","")))</f>
        <v> </v>
      </c>
      <c r="G2477" s="24" t="str">
        <f>IF(OR(E2477="",E2477="!!!"),"",IF(OR(J2477=0,AND(J2477=1,K2477=1),AND(J2477=1,I2477="SBJ"),AND(J2477=1,I2477=0)),"?IN_FOCUS",IF(J2477&lt;=2,"?ACTIVATED",IF(J2477&lt;&gt;"","?FAMILIAR",IF(F2477="NEW",IF(ISNA(VLOOKUP(E2477,#REF!,1,FALSE())),"?TYPE_IDENTIFIABLE","?REFERENTIAL"),"_")))))</f>
        <v> </v>
      </c>
      <c r="H2477" s="25" t="str">
        <f>IF(J2477&lt;&gt;1,"",IF(I2477="SBJ","CB","?"))</f>
        <v> </v>
      </c>
      <c r="I2477" s="26" t="str">
        <f>IF(OR(E2477="",E2477="!!!",F2477="NEW"),"",INDEX(B2476:B$2,-1+SUMPRODUCT(MAX(ROW(E2476:E$2)*(E2477=E2476:E$2)))))</f>
        <v> </v>
      </c>
      <c r="J2477" s="26" t="str">
        <f>IF(OR(E2477="",E2477="!!!",F2477="NEW"),"",COUNTBLANK(OFFSET(A$1,,,SUMPRODUCT(MAX(ROW(E$2:E2477)*(E2477=E$2:E2477)))))-COUNTBLANK(OFFSET(A$1,,,SUMPRODUCT(MAX(ROW(E$1:E2476)*(E2=E$1:E2476))))))</f>
        <v> </v>
      </c>
      <c r="K2477" s="26" t="str">
        <f>IF(OR(E2477="",E2477="!!!",F2477="NEW"),"",INDEX(J$1:J2476,SUMPRODUCT(MAX(ROW(E$1:E2476)*(E2477=E$1:E2476)))))</f>
        <v> </v>
      </c>
      <c r="L2477" s="27"/>
    </row>
    <row r="2478" spans="1:12">
      <c r="A2478" s="20" t="s">
        <v>653</v>
      </c>
      <c r="B2478" s="21" t="s">
        <v>762</v>
      </c>
      <c r="C2478" s="21" t="s">
        <v>613</v>
      </c>
      <c r="D2478" s="21" t="s">
        <v>587</v>
      </c>
      <c r="E2478" s="22">
        <f>IF(D2478="?OLD","!!!","")</f>
        <v/>
      </c>
      <c r="F2478" s="23" t="str">
        <f>IF(OR(E2478="",E2478="!!!"),"",IF(NOT(ISNA(VLOOKUP(E2478,E$1:E2477,1,FALSE()))),"OLD",IF(AND(E2478&lt;&gt;"",E2478&lt;&gt;"!!!"),"NEW","")))</f>
        <v> </v>
      </c>
      <c r="G2478" s="24" t="str">
        <f>IF(OR(E2478="",E2478="!!!"),"",IF(OR(J2478=0,AND(J2478=1,K2478=1),AND(J2478=1,I2478="SBJ"),AND(J2478=1,I2478=0)),"?IN_FOCUS",IF(J2478&lt;=2,"?ACTIVATED",IF(J2478&lt;&gt;"","?FAMILIAR",IF(F2478="NEW",IF(ISNA(VLOOKUP(E2478,#REF!,1,FALSE())),"?TYPE_IDENTIFIABLE","?REFERENTIAL"),"_")))))</f>
        <v> </v>
      </c>
      <c r="H2478" s="25" t="str">
        <f>IF(J2478&lt;&gt;1,"",IF(I2478="SBJ","CB","?"))</f>
        <v> </v>
      </c>
      <c r="I2478" s="26" t="str">
        <f>IF(OR(E2478="",E2478="!!!",F2478="NEW"),"",INDEX(B2477:B$2,-1+SUMPRODUCT(MAX(ROW(E2477:E$2)*(E2478=E2477:E$2)))))</f>
        <v> </v>
      </c>
      <c r="J2478" s="26" t="str">
        <f>IF(OR(E2478="",E2478="!!!",F2478="NEW"),"",COUNTBLANK(OFFSET(A$1,,,SUMPRODUCT(MAX(ROW(E$2:E2478)*(E2478=E$2:E2478)))))-COUNTBLANK(OFFSET(A$1,,,SUMPRODUCT(MAX(ROW(E$1:E2477)*(E2=E$1:E2477))))))</f>
        <v> </v>
      </c>
      <c r="K2478" s="26" t="str">
        <f>IF(OR(E2478="",E2478="!!!",F2478="NEW"),"",INDEX(J$1:J2477,SUMPRODUCT(MAX(ROW(E$1:E2477)*(E2478=E$1:E2477)))))</f>
        <v> </v>
      </c>
      <c r="L2478" s="27"/>
    </row>
    <row r="2479" spans="1:12">
      <c r="A2479" s="20" t="s">
        <v>1691</v>
      </c>
      <c r="E2479" s="22">
        <f>IF(D2479="?OLD","!!!","")</f>
        <v/>
      </c>
      <c r="F2479" s="23" t="str">
        <f>IF(OR(E2479="",E2479="!!!"),"",IF(NOT(ISNA(VLOOKUP(E2479,E$1:E2478,1,FALSE()))),"OLD",IF(AND(E2479&lt;&gt;"",E2479&lt;&gt;"!!!"),"NEW","")))</f>
        <v> </v>
      </c>
      <c r="G2479" s="24" t="str">
        <f>IF(OR(E2479="",E2479="!!!"),"",IF(OR(J2479=0,AND(J2479=1,K2479=1),AND(J2479=1,I2479="SBJ"),AND(J2479=1,I2479=0)),"?IN_FOCUS",IF(J2479&lt;=2,"?ACTIVATED",IF(J2479&lt;&gt;"","?FAMILIAR",IF(F2479="NEW",IF(ISNA(VLOOKUP(E2479,#REF!,1,FALSE())),"?TYPE_IDENTIFIABLE","?REFERENTIAL"),"_")))))</f>
        <v> </v>
      </c>
      <c r="H2479" s="25" t="str">
        <f>IF(J2479&lt;&gt;1,"",IF(I2479="SBJ","CB","?"))</f>
        <v> </v>
      </c>
      <c r="I2479" s="26" t="str">
        <f>IF(OR(E2479="",E2479="!!!",F2479="NEW"),"",INDEX(B2478:B$2,-1+SUMPRODUCT(MAX(ROW(E2478:E$2)*(E2479=E2478:E$2)))))</f>
        <v> </v>
      </c>
      <c r="J2479" s="26" t="str">
        <f>IF(OR(E2479="",E2479="!!!",F2479="NEW"),"",COUNTBLANK(OFFSET(A$1,,,SUMPRODUCT(MAX(ROW(E$2:E2479)*(E2479=E$2:E2479)))))-COUNTBLANK(OFFSET(A$1,,,SUMPRODUCT(MAX(ROW(E$1:E2478)*(E2=E$1:E2478))))))</f>
        <v> </v>
      </c>
      <c r="K2479" s="26" t="str">
        <f>IF(OR(E2479="",E2479="!!!",F2479="NEW"),"",INDEX(J$1:J2478,SUMPRODUCT(MAX(ROW(E$1:E2478)*(E2479=E$1:E2478)))))</f>
        <v> </v>
      </c>
      <c r="L2479" s="27"/>
    </row>
    <row r="2480" spans="1:12">
      <c r="A2480" s="20" t="s">
        <v>1692</v>
      </c>
      <c r="E2480" s="22">
        <f>IF(D2480="?OLD","!!!","")</f>
        <v/>
      </c>
      <c r="F2480" s="23" t="str">
        <f>IF(OR(E2480="",E2480="!!!"),"",IF(NOT(ISNA(VLOOKUP(E2480,E$1:E2479,1,FALSE()))),"OLD",IF(AND(E2480&lt;&gt;"",E2480&lt;&gt;"!!!"),"NEW","")))</f>
        <v> </v>
      </c>
      <c r="G2480" s="24" t="str">
        <f>IF(OR(E2480="",E2480="!!!"),"",IF(OR(J2480=0,AND(J2480=1,K2480=1),AND(J2480=1,I2480="SBJ"),AND(J2480=1,I2480=0)),"?IN_FOCUS",IF(J2480&lt;=2,"?ACTIVATED",IF(J2480&lt;&gt;"","?FAMILIAR",IF(F2480="NEW",IF(ISNA(VLOOKUP(E2480,#REF!,1,FALSE())),"?TYPE_IDENTIFIABLE","?REFERENTIAL"),"_")))))</f>
        <v> </v>
      </c>
      <c r="H2480" s="25" t="str">
        <f>IF(J2480&lt;&gt;1,"",IF(I2480="SBJ","CB","?"))</f>
        <v> </v>
      </c>
      <c r="I2480" s="26" t="str">
        <f>IF(OR(E2480="",E2480="!!!",F2480="NEW"),"",INDEX(B2479:B$2,-1+SUMPRODUCT(MAX(ROW(E2479:E$2)*(E2480=E2479:E$2)))))</f>
        <v> </v>
      </c>
      <c r="J2480" s="26" t="str">
        <f>IF(OR(E2480="",E2480="!!!",F2480="NEW"),"",COUNTBLANK(OFFSET(A$1,,,SUMPRODUCT(MAX(ROW(E$2:E2480)*(E2480=E$2:E2480)))))-COUNTBLANK(OFFSET(A$1,,,SUMPRODUCT(MAX(ROW(E$1:E2479)*(E2=E$1:E2479))))))</f>
        <v> </v>
      </c>
      <c r="K2480" s="26" t="str">
        <f>IF(OR(E2480="",E2480="!!!",F2480="NEW"),"",INDEX(J$1:J2479,SUMPRODUCT(MAX(ROW(E$1:E2479)*(E2480=E$1:E2479)))))</f>
        <v> </v>
      </c>
      <c r="L2480" s="27"/>
    </row>
    <row r="2481" spans="1:12">
      <c r="A2481" s="20" t="s">
        <v>1693</v>
      </c>
      <c r="E2481" s="22">
        <f>IF(D2481="?OLD","!!!","")</f>
        <v/>
      </c>
      <c r="F2481" s="23" t="str">
        <f>IF(OR(E2481="",E2481="!!!"),"",IF(NOT(ISNA(VLOOKUP(E2481,E$1:E2480,1,FALSE()))),"OLD",IF(AND(E2481&lt;&gt;"",E2481&lt;&gt;"!!!"),"NEW","")))</f>
        <v> </v>
      </c>
      <c r="G2481" s="24" t="str">
        <f>IF(OR(E2481="",E2481="!!!"),"",IF(OR(J2481=0,AND(J2481=1,K2481=1),AND(J2481=1,I2481="SBJ"),AND(J2481=1,I2481=0)),"?IN_FOCUS",IF(J2481&lt;=2,"?ACTIVATED",IF(J2481&lt;&gt;"","?FAMILIAR",IF(F2481="NEW",IF(ISNA(VLOOKUP(E2481,#REF!,1,FALSE())),"?TYPE_IDENTIFIABLE","?REFERENTIAL"),"_")))))</f>
        <v> </v>
      </c>
      <c r="H2481" s="25" t="str">
        <f>IF(J2481&lt;&gt;1,"",IF(I2481="SBJ","CB","?"))</f>
        <v> </v>
      </c>
      <c r="I2481" s="26" t="str">
        <f>IF(OR(E2481="",E2481="!!!",F2481="NEW"),"",INDEX(B2480:B$2,-1+SUMPRODUCT(MAX(ROW(E2480:E$2)*(E2481=E2480:E$2)))))</f>
        <v> </v>
      </c>
      <c r="J2481" s="26" t="str">
        <f>IF(OR(E2481="",E2481="!!!",F2481="NEW"),"",COUNTBLANK(OFFSET(A$1,,,SUMPRODUCT(MAX(ROW(E$2:E2481)*(E2481=E$2:E2481)))))-COUNTBLANK(OFFSET(A$1,,,SUMPRODUCT(MAX(ROW(E$1:E2480)*(E2=E$1:E2480))))))</f>
        <v> </v>
      </c>
      <c r="K2481" s="26" t="str">
        <f>IF(OR(E2481="",E2481="!!!",F2481="NEW"),"",INDEX(J$1:J2480,SUMPRODUCT(MAX(ROW(E$1:E2480)*(E2481=E$1:E2480)))))</f>
        <v> </v>
      </c>
      <c r="L2481" s="27"/>
    </row>
    <row r="2482" spans="1:12">
      <c r="A2482" s="20" t="s">
        <v>580</v>
      </c>
      <c r="E2482" s="22">
        <f>IF(D2482="?OLD","!!!","")</f>
        <v/>
      </c>
      <c r="F2482" s="23" t="str">
        <f>IF(OR(E2482="",E2482="!!!"),"",IF(NOT(ISNA(VLOOKUP(E2482,E$1:E2481,1,FALSE()))),"OLD",IF(AND(E2482&lt;&gt;"",E2482&lt;&gt;"!!!"),"NEW","")))</f>
        <v> </v>
      </c>
      <c r="G2482" s="24" t="str">
        <f>IF(OR(E2482="",E2482="!!!"),"",IF(OR(J2482=0,AND(J2482=1,K2482=1),AND(J2482=1,I2482="SBJ"),AND(J2482=1,I2482=0)),"?IN_FOCUS",IF(J2482&lt;=2,"?ACTIVATED",IF(J2482&lt;&gt;"","?FAMILIAR",IF(F2482="NEW",IF(ISNA(VLOOKUP(E2482,#REF!,1,FALSE())),"?TYPE_IDENTIFIABLE","?REFERENTIAL"),"_")))))</f>
        <v> </v>
      </c>
      <c r="H2482" s="25" t="str">
        <f>IF(J2482&lt;&gt;1,"",IF(I2482="SBJ","CB","?"))</f>
        <v> </v>
      </c>
      <c r="I2482" s="26" t="str">
        <f>IF(OR(E2482="",E2482="!!!",F2482="NEW"),"",INDEX(B2481:B$2,-1+SUMPRODUCT(MAX(ROW(E2481:E$2)*(E2482=E2481:E$2)))))</f>
        <v> </v>
      </c>
      <c r="J2482" s="26" t="str">
        <f>IF(OR(E2482="",E2482="!!!",F2482="NEW"),"",COUNTBLANK(OFFSET(A$1,,,SUMPRODUCT(MAX(ROW(E$2:E2482)*(E2482=E$2:E2482)))))-COUNTBLANK(OFFSET(A$1,,,SUMPRODUCT(MAX(ROW(E$1:E2481)*(E2=E$1:E2481))))))</f>
        <v> </v>
      </c>
      <c r="K2482" s="26" t="str">
        <f>IF(OR(E2482="",E2482="!!!",F2482="NEW"),"",INDEX(J$1:J2481,SUMPRODUCT(MAX(ROW(E$1:E2481)*(E2482=E$1:E2481)))))</f>
        <v> </v>
      </c>
      <c r="L2482" s="27"/>
    </row>
    <row r="2483" spans="1:12">
      <c r="A2483" s="20" t="s">
        <v>900</v>
      </c>
      <c r="E2483" s="22">
        <f>IF(D2483="?OLD","!!!","")</f>
        <v/>
      </c>
      <c r="F2483" s="23" t="str">
        <f>IF(OR(E2483="",E2483="!!!"),"",IF(NOT(ISNA(VLOOKUP(E2483,E$1:E2482,1,FALSE()))),"OLD",IF(AND(E2483&lt;&gt;"",E2483&lt;&gt;"!!!"),"NEW","")))</f>
        <v> </v>
      </c>
      <c r="G2483" s="24" t="str">
        <f>IF(OR(E2483="",E2483="!!!"),"",IF(OR(J2483=0,AND(J2483=1,K2483=1),AND(J2483=1,I2483="SBJ"),AND(J2483=1,I2483=0)),"?IN_FOCUS",IF(J2483&lt;=2,"?ACTIVATED",IF(J2483&lt;&gt;"","?FAMILIAR",IF(F2483="NEW",IF(ISNA(VLOOKUP(E2483,#REF!,1,FALSE())),"?TYPE_IDENTIFIABLE","?REFERENTIAL"),"_")))))</f>
        <v> </v>
      </c>
      <c r="H2483" s="25" t="str">
        <f>IF(J2483&lt;&gt;1,"",IF(I2483="SBJ","CB","?"))</f>
        <v> </v>
      </c>
      <c r="I2483" s="26" t="str">
        <f>IF(OR(E2483="",E2483="!!!",F2483="NEW"),"",INDEX(B2482:B$2,-1+SUMPRODUCT(MAX(ROW(E2482:E$2)*(E2483=E2482:E$2)))))</f>
        <v> </v>
      </c>
      <c r="J2483" s="26" t="str">
        <f>IF(OR(E2483="",E2483="!!!",F2483="NEW"),"",COUNTBLANK(OFFSET(A$1,,,SUMPRODUCT(MAX(ROW(E$2:E2483)*(E2483=E$2:E2483)))))-COUNTBLANK(OFFSET(A$1,,,SUMPRODUCT(MAX(ROW(E$1:E2482)*(E2=E$1:E2482))))))</f>
        <v> </v>
      </c>
      <c r="K2483" s="26" t="str">
        <f>IF(OR(E2483="",E2483="!!!",F2483="NEW"),"",INDEX(J$1:J2482,SUMPRODUCT(MAX(ROW(E$1:E2482)*(E2483=E$1:E2482)))))</f>
        <v> </v>
      </c>
      <c r="L2483" s="27"/>
    </row>
    <row r="2484" spans="1:12">
      <c r="A2484" s="20" t="s">
        <v>583</v>
      </c>
      <c r="E2484" s="22">
        <f>IF(D2484="?OLD","!!!","")</f>
        <v/>
      </c>
      <c r="F2484" s="23" t="str">
        <f>IF(OR(E2484="",E2484="!!!"),"",IF(NOT(ISNA(VLOOKUP(E2484,E$1:E2483,1,FALSE()))),"OLD",IF(AND(E2484&lt;&gt;"",E2484&lt;&gt;"!!!"),"NEW","")))</f>
        <v> </v>
      </c>
      <c r="G2484" s="24" t="str">
        <f>IF(OR(E2484="",E2484="!!!"),"",IF(OR(J2484=0,AND(J2484=1,K2484=1),AND(J2484=1,I2484="SBJ"),AND(J2484=1,I2484=0)),"?IN_FOCUS",IF(J2484&lt;=2,"?ACTIVATED",IF(J2484&lt;&gt;"","?FAMILIAR",IF(F2484="NEW",IF(ISNA(VLOOKUP(E2484,#REF!,1,FALSE())),"?TYPE_IDENTIFIABLE","?REFERENTIAL"),"_")))))</f>
        <v> </v>
      </c>
      <c r="H2484" s="25" t="str">
        <f>IF(J2484&lt;&gt;1,"",IF(I2484="SBJ","CB","?"))</f>
        <v> </v>
      </c>
      <c r="I2484" s="26" t="str">
        <f>IF(OR(E2484="",E2484="!!!",F2484="NEW"),"",INDEX(B2483:B$2,-1+SUMPRODUCT(MAX(ROW(E2483:E$2)*(E2484=E2483:E$2)))))</f>
        <v> </v>
      </c>
      <c r="J2484" s="26" t="str">
        <f>IF(OR(E2484="",E2484="!!!",F2484="NEW"),"",COUNTBLANK(OFFSET(A$1,,,SUMPRODUCT(MAX(ROW(E$2:E2484)*(E2484=E$2:E2484)))))-COUNTBLANK(OFFSET(A$1,,,SUMPRODUCT(MAX(ROW(E$1:E2483)*(E2=E$1:E2483))))))</f>
        <v> </v>
      </c>
      <c r="K2484" s="26" t="str">
        <f>IF(OR(E2484="",E2484="!!!",F2484="NEW"),"",INDEX(J$1:J2483,SUMPRODUCT(MAX(ROW(E$1:E2483)*(E2484=E$1:E2483)))))</f>
        <v> </v>
      </c>
      <c r="L2484" s="27"/>
    </row>
    <row r="2485" spans="1:12">
      <c r="A2485" s="20" t="s">
        <v>655</v>
      </c>
      <c r="E2485" s="22">
        <f>IF(D2485="?OLD","!!!","")</f>
        <v/>
      </c>
      <c r="F2485" s="23" t="str">
        <f>IF(OR(E2485="",E2485="!!!"),"",IF(NOT(ISNA(VLOOKUP(E2485,E$1:E2484,1,FALSE()))),"OLD",IF(AND(E2485&lt;&gt;"",E2485&lt;&gt;"!!!"),"NEW","")))</f>
        <v> </v>
      </c>
      <c r="G2485" s="24" t="str">
        <f>IF(OR(E2485="",E2485="!!!"),"",IF(OR(J2485=0,AND(J2485=1,K2485=1),AND(J2485=1,I2485="SBJ"),AND(J2485=1,I2485=0)),"?IN_FOCUS",IF(J2485&lt;=2,"?ACTIVATED",IF(J2485&lt;&gt;"","?FAMILIAR",IF(F2485="NEW",IF(ISNA(VLOOKUP(E2485,#REF!,1,FALSE())),"?TYPE_IDENTIFIABLE","?REFERENTIAL"),"_")))))</f>
        <v> </v>
      </c>
      <c r="H2485" s="25" t="str">
        <f>IF(J2485&lt;&gt;1,"",IF(I2485="SBJ","CB","?"))</f>
        <v> </v>
      </c>
      <c r="I2485" s="26" t="str">
        <f>IF(OR(E2485="",E2485="!!!",F2485="NEW"),"",INDEX(B2484:B$2,-1+SUMPRODUCT(MAX(ROW(E2484:E$2)*(E2485=E2484:E$2)))))</f>
        <v> </v>
      </c>
      <c r="J2485" s="26" t="str">
        <f>IF(OR(E2485="",E2485="!!!",F2485="NEW"),"",COUNTBLANK(OFFSET(A$1,,,SUMPRODUCT(MAX(ROW(E$2:E2485)*(E2485=E$2:E2485)))))-COUNTBLANK(OFFSET(A$1,,,SUMPRODUCT(MAX(ROW(E$1:E2484)*(E2=E$1:E2484))))))</f>
        <v> </v>
      </c>
      <c r="K2485" s="26" t="str">
        <f>IF(OR(E2485="",E2485="!!!",F2485="NEW"),"",INDEX(J$1:J2484,SUMPRODUCT(MAX(ROW(E$1:E2484)*(E2485=E$1:E2484)))))</f>
        <v> </v>
      </c>
      <c r="L2485" s="27"/>
    </row>
    <row r="2486" spans="1:12">
      <c r="A2486" s="20" t="s">
        <v>656</v>
      </c>
      <c r="B2486" s="21" t="s">
        <v>784</v>
      </c>
      <c r="C2486" s="21" t="s">
        <v>586</v>
      </c>
      <c r="D2486" s="21" t="s">
        <v>587</v>
      </c>
      <c r="E2486" s="22">
        <f>IF(D2486="?OLD","!!!","")</f>
        <v/>
      </c>
      <c r="F2486" s="23" t="str">
        <f>IF(OR(E2486="",E2486="!!!"),"",IF(NOT(ISNA(VLOOKUP(E2486,E$1:E2485,1,FALSE()))),"OLD",IF(AND(E2486&lt;&gt;"",E2486&lt;&gt;"!!!"),"NEW","")))</f>
        <v> </v>
      </c>
      <c r="G2486" s="24" t="str">
        <f>IF(OR(E2486="",E2486="!!!"),"",IF(OR(J2486=0,AND(J2486=1,K2486=1),AND(J2486=1,I2486="SBJ"),AND(J2486=1,I2486=0)),"?IN_FOCUS",IF(J2486&lt;=2,"?ACTIVATED",IF(J2486&lt;&gt;"","?FAMILIAR",IF(F2486="NEW",IF(ISNA(VLOOKUP(E2486,#REF!,1,FALSE())),"?TYPE_IDENTIFIABLE","?REFERENTIAL"),"_")))))</f>
        <v> </v>
      </c>
      <c r="H2486" s="25" t="str">
        <f>IF(J2486&lt;&gt;1,"",IF(I2486="SBJ","CB","?"))</f>
        <v> </v>
      </c>
      <c r="I2486" s="26" t="str">
        <f>IF(OR(E2486="",E2486="!!!",F2486="NEW"),"",INDEX(B2485:B$2,-1+SUMPRODUCT(MAX(ROW(E2485:E$2)*(E2486=E2485:E$2)))))</f>
        <v> </v>
      </c>
      <c r="J2486" s="26" t="str">
        <f>IF(OR(E2486="",E2486="!!!",F2486="NEW"),"",COUNTBLANK(OFFSET(A$1,,,SUMPRODUCT(MAX(ROW(E$2:E2486)*(E2486=E$2:E2486)))))-COUNTBLANK(OFFSET(A$1,,,SUMPRODUCT(MAX(ROW(E$1:E2485)*(E2=E$1:E2485))))))</f>
        <v> </v>
      </c>
      <c r="K2486" s="26" t="str">
        <f>IF(OR(E2486="",E2486="!!!",F2486="NEW"),"",INDEX(J$1:J2485,SUMPRODUCT(MAX(ROW(E$1:E2485)*(E2486=E$1:E2485)))))</f>
        <v> </v>
      </c>
      <c r="L2486" s="27"/>
    </row>
    <row r="2487" spans="1:12">
      <c r="A2487" s="20" t="s">
        <v>25</v>
      </c>
      <c r="E2487" s="22">
        <f>IF(D2487="?OLD","!!!","")</f>
        <v/>
      </c>
      <c r="F2487" s="23" t="str">
        <f>IF(OR(E2487="",E2487="!!!"),"",IF(NOT(ISNA(VLOOKUP(E2487,E$1:E2486,1,FALSE()))),"OLD",IF(AND(E2487&lt;&gt;"",E2487&lt;&gt;"!!!"),"NEW","")))</f>
        <v> </v>
      </c>
      <c r="G2487" s="24" t="str">
        <f>IF(OR(E2487="",E2487="!!!"),"",IF(OR(J2487=0,AND(J2487=1,K2487=1),AND(J2487=1,I2487="SBJ"),AND(J2487=1,I2487=0)),"?IN_FOCUS",IF(J2487&lt;=2,"?ACTIVATED",IF(J2487&lt;&gt;"","?FAMILIAR",IF(F2487="NEW",IF(ISNA(VLOOKUP(E2487,#REF!,1,FALSE())),"?TYPE_IDENTIFIABLE","?REFERENTIAL"),"_")))))</f>
        <v> </v>
      </c>
      <c r="H2487" s="25" t="str">
        <f>IF(J2487&lt;&gt;1,"",IF(I2487="SBJ","CB","?"))</f>
        <v> </v>
      </c>
      <c r="I2487" s="26" t="str">
        <f>IF(OR(E2487="",E2487="!!!",F2487="NEW"),"",INDEX(B2486:B$2,-1+SUMPRODUCT(MAX(ROW(E2486:E$2)*(E2487=E2486:E$2)))))</f>
        <v> </v>
      </c>
      <c r="J2487" s="26" t="str">
        <f>IF(OR(E2487="",E2487="!!!",F2487="NEW"),"",COUNTBLANK(OFFSET(A$1,,,SUMPRODUCT(MAX(ROW(E$2:E2487)*(E2487=E$2:E2487)))))-COUNTBLANK(OFFSET(A$1,,,SUMPRODUCT(MAX(ROW(E$1:E2486)*(E2=E$1:E2486))))))</f>
        <v> </v>
      </c>
      <c r="K2487" s="26" t="str">
        <f>IF(OR(E2487="",E2487="!!!",F2487="NEW"),"",INDEX(J$1:J2486,SUMPRODUCT(MAX(ROW(E$1:E2486)*(E2487=E$1:E2486)))))</f>
        <v> </v>
      </c>
      <c r="L2487" s="27"/>
    </row>
    <row r="2488" spans="1:12">
      <c r="A2488" s="20" t="s">
        <v>888</v>
      </c>
      <c r="E2488" s="22">
        <f>IF(D2488="?OLD","!!!","")</f>
        <v/>
      </c>
      <c r="F2488" s="23" t="str">
        <f>IF(OR(E2488="",E2488="!!!"),"",IF(NOT(ISNA(VLOOKUP(E2488,E$1:E2487,1,FALSE()))),"OLD",IF(AND(E2488&lt;&gt;"",E2488&lt;&gt;"!!!"),"NEW","")))</f>
        <v> </v>
      </c>
      <c r="G2488" s="24" t="str">
        <f>IF(OR(E2488="",E2488="!!!"),"",IF(OR(J2488=0,AND(J2488=1,K2488=1),AND(J2488=1,I2488="SBJ"),AND(J2488=1,I2488=0)),"?IN_FOCUS",IF(J2488&lt;=2,"?ACTIVATED",IF(J2488&lt;&gt;"","?FAMILIAR",IF(F2488="NEW",IF(ISNA(VLOOKUP(E2488,#REF!,1,FALSE())),"?TYPE_IDENTIFIABLE","?REFERENTIAL"),"_")))))</f>
        <v> </v>
      </c>
      <c r="H2488" s="25" t="str">
        <f>IF(J2488&lt;&gt;1,"",IF(I2488="SBJ","CB","?"))</f>
        <v> </v>
      </c>
      <c r="I2488" s="26" t="str">
        <f>IF(OR(E2488="",E2488="!!!",F2488="NEW"),"",INDEX(B2487:B$2,-1+SUMPRODUCT(MAX(ROW(E2487:E$2)*(E2488=E2487:E$2)))))</f>
        <v> </v>
      </c>
      <c r="J2488" s="26" t="str">
        <f>IF(OR(E2488="",E2488="!!!",F2488="NEW"),"",COUNTBLANK(OFFSET(A$1,,,SUMPRODUCT(MAX(ROW(E$2:E2488)*(E2488=E$2:E2488)))))-COUNTBLANK(OFFSET(A$1,,,SUMPRODUCT(MAX(ROW(E$1:E2487)*(E2=E$1:E2487))))))</f>
        <v> </v>
      </c>
      <c r="K2488" s="26" t="str">
        <f>IF(OR(E2488="",E2488="!!!",F2488="NEW"),"",INDEX(J$1:J2487,SUMPRODUCT(MAX(ROW(E$1:E2487)*(E2488=E$1:E2487)))))</f>
        <v> </v>
      </c>
      <c r="L2488" s="27"/>
    </row>
    <row r="2489" spans="1:12">
      <c r="A2489" s="20" t="s">
        <v>638</v>
      </c>
      <c r="E2489" s="22">
        <f>IF(D2489="?OLD","!!!","")</f>
        <v/>
      </c>
      <c r="F2489" s="23" t="str">
        <f>IF(OR(E2489="",E2489="!!!"),"",IF(NOT(ISNA(VLOOKUP(E2489,E$1:E2488,1,FALSE()))),"OLD",IF(AND(E2489&lt;&gt;"",E2489&lt;&gt;"!!!"),"NEW","")))</f>
        <v> </v>
      </c>
      <c r="G2489" s="24" t="str">
        <f>IF(OR(E2489="",E2489="!!!"),"",IF(OR(J2489=0,AND(J2489=1,K2489=1),AND(J2489=1,I2489="SBJ"),AND(J2489=1,I2489=0)),"?IN_FOCUS",IF(J2489&lt;=2,"?ACTIVATED",IF(J2489&lt;&gt;"","?FAMILIAR",IF(F2489="NEW",IF(ISNA(VLOOKUP(E2489,#REF!,1,FALSE())),"?TYPE_IDENTIFIABLE","?REFERENTIAL"),"_")))))</f>
        <v> </v>
      </c>
      <c r="H2489" s="25" t="str">
        <f>IF(J2489&lt;&gt;1,"",IF(I2489="SBJ","CB","?"))</f>
        <v> </v>
      </c>
      <c r="I2489" s="26" t="str">
        <f>IF(OR(E2489="",E2489="!!!",F2489="NEW"),"",INDEX(B2488:B$2,-1+SUMPRODUCT(MAX(ROW(E2488:E$2)*(E2489=E2488:E$2)))))</f>
        <v> </v>
      </c>
      <c r="J2489" s="26" t="str">
        <f>IF(OR(E2489="",E2489="!!!",F2489="NEW"),"",COUNTBLANK(OFFSET(A$1,,,SUMPRODUCT(MAX(ROW(E$2:E2489)*(E2489=E$2:E2489)))))-COUNTBLANK(OFFSET(A$1,,,SUMPRODUCT(MAX(ROW(E$1:E2488)*(E2=E$1:E2488))))))</f>
        <v> </v>
      </c>
      <c r="K2489" s="26" t="str">
        <f>IF(OR(E2489="",E2489="!!!",F2489="NEW"),"",INDEX(J$1:J2488,SUMPRODUCT(MAX(ROW(E$1:E2488)*(E2489=E$1:E2488)))))</f>
        <v> </v>
      </c>
      <c r="L2489" s="27"/>
    </row>
    <row r="2490" spans="1:12">
      <c r="A2490" s="20" t="s">
        <v>583</v>
      </c>
      <c r="E2490" s="22">
        <f>IF(D2490="?OLD","!!!","")</f>
        <v/>
      </c>
      <c r="F2490" s="23" t="str">
        <f>IF(OR(E2490="",E2490="!!!"),"",IF(NOT(ISNA(VLOOKUP(E2490,E$1:E2489,1,FALSE()))),"OLD",IF(AND(E2490&lt;&gt;"",E2490&lt;&gt;"!!!"),"NEW","")))</f>
        <v> </v>
      </c>
      <c r="G2490" s="24" t="str">
        <f>IF(OR(E2490="",E2490="!!!"),"",IF(OR(J2490=0,AND(J2490=1,K2490=1),AND(J2490=1,I2490="SBJ"),AND(J2490=1,I2490=0)),"?IN_FOCUS",IF(J2490&lt;=2,"?ACTIVATED",IF(J2490&lt;&gt;"","?FAMILIAR",IF(F2490="NEW",IF(ISNA(VLOOKUP(E2490,#REF!,1,FALSE())),"?TYPE_IDENTIFIABLE","?REFERENTIAL"),"_")))))</f>
        <v> </v>
      </c>
      <c r="H2490" s="25" t="str">
        <f>IF(J2490&lt;&gt;1,"",IF(I2490="SBJ","CB","?"))</f>
        <v> </v>
      </c>
      <c r="I2490" s="26" t="str">
        <f>IF(OR(E2490="",E2490="!!!",F2490="NEW"),"",INDEX(B2489:B$2,-1+SUMPRODUCT(MAX(ROW(E2489:E$2)*(E2490=E2489:E$2)))))</f>
        <v> </v>
      </c>
      <c r="J2490" s="26" t="str">
        <f>IF(OR(E2490="",E2490="!!!",F2490="NEW"),"",COUNTBLANK(OFFSET(A$1,,,SUMPRODUCT(MAX(ROW(E$2:E2490)*(E2490=E$2:E2490)))))-COUNTBLANK(OFFSET(A$1,,,SUMPRODUCT(MAX(ROW(E$1:E2489)*(E2=E$1:E2489))))))</f>
        <v> </v>
      </c>
      <c r="K2490" s="26" t="str">
        <f>IF(OR(E2490="",E2490="!!!",F2490="NEW"),"",INDEX(J$1:J2489,SUMPRODUCT(MAX(ROW(E$1:E2489)*(E2490=E$1:E2489)))))</f>
        <v> </v>
      </c>
      <c r="L2490" s="27"/>
    </row>
    <row r="2491" spans="1:12">
      <c r="A2491" s="20" t="s">
        <v>25</v>
      </c>
      <c r="E2491" s="22">
        <f>IF(D2491="?OLD","!!!","")</f>
        <v/>
      </c>
      <c r="F2491" s="23" t="str">
        <f>IF(OR(E2491="",E2491="!!!"),"",IF(NOT(ISNA(VLOOKUP(E2491,E$1:E2490,1,FALSE()))),"OLD",IF(AND(E2491&lt;&gt;"",E2491&lt;&gt;"!!!"),"NEW","")))</f>
        <v> </v>
      </c>
      <c r="G2491" s="24" t="str">
        <f>IF(OR(E2491="",E2491="!!!"),"",IF(OR(J2491=0,AND(J2491=1,K2491=1),AND(J2491=1,I2491="SBJ"),AND(J2491=1,I2491=0)),"?IN_FOCUS",IF(J2491&lt;=2,"?ACTIVATED",IF(J2491&lt;&gt;"","?FAMILIAR",IF(F2491="NEW",IF(ISNA(VLOOKUP(E2491,#REF!,1,FALSE())),"?TYPE_IDENTIFIABLE","?REFERENTIAL"),"_")))))</f>
        <v> </v>
      </c>
      <c r="H2491" s="25" t="str">
        <f>IF(J2491&lt;&gt;1,"",IF(I2491="SBJ","CB","?"))</f>
        <v> </v>
      </c>
      <c r="I2491" s="26" t="str">
        <f>IF(OR(E2491="",E2491="!!!",F2491="NEW"),"",INDEX(B2490:B$2,-1+SUMPRODUCT(MAX(ROW(E2490:E$2)*(E2491=E2490:E$2)))))</f>
        <v> </v>
      </c>
      <c r="J2491" s="26" t="str">
        <f>IF(OR(E2491="",E2491="!!!",F2491="NEW"),"",COUNTBLANK(OFFSET(A$1,,,SUMPRODUCT(MAX(ROW(E$2:E2491)*(E2491=E$2:E2491)))))-COUNTBLANK(OFFSET(A$1,,,SUMPRODUCT(MAX(ROW(E$1:E2490)*(E2=E$1:E2490))))))</f>
        <v> </v>
      </c>
      <c r="K2491" s="26" t="str">
        <f>IF(OR(E2491="",E2491="!!!",F2491="NEW"),"",INDEX(J$1:J2490,SUMPRODUCT(MAX(ROW(E$1:E2490)*(E2491=E$1:E2490)))))</f>
        <v> </v>
      </c>
      <c r="L2491" s="27"/>
    </row>
    <row r="2492" spans="1:12">
      <c r="A2492" s="20" t="s">
        <v>1694</v>
      </c>
      <c r="E2492" s="22">
        <f>IF(D2492="?OLD","!!!","")</f>
        <v/>
      </c>
      <c r="F2492" s="23" t="str">
        <f>IF(OR(E2492="",E2492="!!!"),"",IF(NOT(ISNA(VLOOKUP(E2492,E$1:E2491,1,FALSE()))),"OLD",IF(AND(E2492&lt;&gt;"",E2492&lt;&gt;"!!!"),"NEW","")))</f>
        <v> </v>
      </c>
      <c r="G2492" s="24" t="str">
        <f>IF(OR(E2492="",E2492="!!!"),"",IF(OR(J2492=0,AND(J2492=1,K2492=1),AND(J2492=1,I2492="SBJ"),AND(J2492=1,I2492=0)),"?IN_FOCUS",IF(J2492&lt;=2,"?ACTIVATED",IF(J2492&lt;&gt;"","?FAMILIAR",IF(F2492="NEW",IF(ISNA(VLOOKUP(E2492,#REF!,1,FALSE())),"?TYPE_IDENTIFIABLE","?REFERENTIAL"),"_")))))</f>
        <v> </v>
      </c>
      <c r="H2492" s="25" t="str">
        <f>IF(J2492&lt;&gt;1,"",IF(I2492="SBJ","CB","?"))</f>
        <v> </v>
      </c>
      <c r="I2492" s="26" t="str">
        <f>IF(OR(E2492="",E2492="!!!",F2492="NEW"),"",INDEX(B2491:B$2,-1+SUMPRODUCT(MAX(ROW(E2491:E$2)*(E2492=E2491:E$2)))))</f>
        <v> </v>
      </c>
      <c r="J2492" s="26" t="str">
        <f>IF(OR(E2492="",E2492="!!!",F2492="NEW"),"",COUNTBLANK(OFFSET(A$1,,,SUMPRODUCT(MAX(ROW(E$2:E2492)*(E2492=E$2:E2492)))))-COUNTBLANK(OFFSET(A$1,,,SUMPRODUCT(MAX(ROW(E$1:E2491)*(E2=E$1:E2491))))))</f>
        <v> </v>
      </c>
      <c r="K2492" s="26" t="str">
        <f>IF(OR(E2492="",E2492="!!!",F2492="NEW"),"",INDEX(J$1:J2491,SUMPRODUCT(MAX(ROW(E$1:E2491)*(E2492=E$1:E2491)))))</f>
        <v> </v>
      </c>
      <c r="L2492" s="27"/>
    </row>
    <row r="2493" spans="1:12">
      <c r="A2493" s="20" t="s">
        <v>888</v>
      </c>
      <c r="E2493" s="22">
        <f>IF(D2493="?OLD","!!!","")</f>
        <v/>
      </c>
      <c r="F2493" s="23" t="str">
        <f>IF(OR(E2493="",E2493="!!!"),"",IF(NOT(ISNA(VLOOKUP(E2493,E$1:E2492,1,FALSE()))),"OLD",IF(AND(E2493&lt;&gt;"",E2493&lt;&gt;"!!!"),"NEW","")))</f>
        <v> </v>
      </c>
      <c r="G2493" s="24" t="str">
        <f>IF(OR(E2493="",E2493="!!!"),"",IF(OR(J2493=0,AND(J2493=1,K2493=1),AND(J2493=1,I2493="SBJ"),AND(J2493=1,I2493=0)),"?IN_FOCUS",IF(J2493&lt;=2,"?ACTIVATED",IF(J2493&lt;&gt;"","?FAMILIAR",IF(F2493="NEW",IF(ISNA(VLOOKUP(E2493,#REF!,1,FALSE())),"?TYPE_IDENTIFIABLE","?REFERENTIAL"),"_")))))</f>
        <v> </v>
      </c>
      <c r="H2493" s="25" t="str">
        <f>IF(J2493&lt;&gt;1,"",IF(I2493="SBJ","CB","?"))</f>
        <v> </v>
      </c>
      <c r="I2493" s="26" t="str">
        <f>IF(OR(E2493="",E2493="!!!",F2493="NEW"),"",INDEX(B2492:B$2,-1+SUMPRODUCT(MAX(ROW(E2492:E$2)*(E2493=E2492:E$2)))))</f>
        <v> </v>
      </c>
      <c r="J2493" s="26" t="str">
        <f>IF(OR(E2493="",E2493="!!!",F2493="NEW"),"",COUNTBLANK(OFFSET(A$1,,,SUMPRODUCT(MAX(ROW(E$2:E2493)*(E2493=E$2:E2493)))))-COUNTBLANK(OFFSET(A$1,,,SUMPRODUCT(MAX(ROW(E$1:E2492)*(E2=E$1:E2492))))))</f>
        <v> </v>
      </c>
      <c r="K2493" s="26" t="str">
        <f>IF(OR(E2493="",E2493="!!!",F2493="NEW"),"",INDEX(J$1:J2492,SUMPRODUCT(MAX(ROW(E$1:E2492)*(E2493=E$1:E2492)))))</f>
        <v> </v>
      </c>
      <c r="L2493" s="27"/>
    </row>
    <row r="2494" spans="1:12">
      <c r="A2494" s="20" t="s">
        <v>638</v>
      </c>
      <c r="E2494" s="22">
        <f>IF(D2494="?OLD","!!!","")</f>
        <v/>
      </c>
      <c r="F2494" s="23" t="str">
        <f>IF(OR(E2494="",E2494="!!!"),"",IF(NOT(ISNA(VLOOKUP(E2494,E$1:E2493,1,FALSE()))),"OLD",IF(AND(E2494&lt;&gt;"",E2494&lt;&gt;"!!!"),"NEW","")))</f>
        <v> </v>
      </c>
      <c r="G2494" s="24" t="str">
        <f>IF(OR(E2494="",E2494="!!!"),"",IF(OR(J2494=0,AND(J2494=1,K2494=1),AND(J2494=1,I2494="SBJ"),AND(J2494=1,I2494=0)),"?IN_FOCUS",IF(J2494&lt;=2,"?ACTIVATED",IF(J2494&lt;&gt;"","?FAMILIAR",IF(F2494="NEW",IF(ISNA(VLOOKUP(E2494,#REF!,1,FALSE())),"?TYPE_IDENTIFIABLE","?REFERENTIAL"),"_")))))</f>
        <v> </v>
      </c>
      <c r="H2494" s="25" t="str">
        <f>IF(J2494&lt;&gt;1,"",IF(I2494="SBJ","CB","?"))</f>
        <v> </v>
      </c>
      <c r="I2494" s="26" t="str">
        <f>IF(OR(E2494="",E2494="!!!",F2494="NEW"),"",INDEX(B2493:B$2,-1+SUMPRODUCT(MAX(ROW(E2493:E$2)*(E2494=E2493:E$2)))))</f>
        <v> </v>
      </c>
      <c r="J2494" s="26" t="str">
        <f>IF(OR(E2494="",E2494="!!!",F2494="NEW"),"",COUNTBLANK(OFFSET(A$1,,,SUMPRODUCT(MAX(ROW(E$2:E2494)*(E2494=E$2:E2494)))))-COUNTBLANK(OFFSET(A$1,,,SUMPRODUCT(MAX(ROW(E$1:E2493)*(E2=E$1:E2493))))))</f>
        <v> </v>
      </c>
      <c r="K2494" s="26" t="str">
        <f>IF(OR(E2494="",E2494="!!!",F2494="NEW"),"",INDEX(J$1:J2493,SUMPRODUCT(MAX(ROW(E$1:E2493)*(E2494=E$1:E2493)))))</f>
        <v> </v>
      </c>
      <c r="L2494" s="27"/>
    </row>
    <row r="2495" spans="1:12">
      <c r="A2495" s="20" t="s">
        <v>630</v>
      </c>
      <c r="E2495" s="22">
        <f>IF(D2495="?OLD","!!!","")</f>
        <v/>
      </c>
      <c r="F2495" s="23" t="str">
        <f>IF(OR(E2495="",E2495="!!!"),"",IF(NOT(ISNA(VLOOKUP(E2495,E$1:E2494,1,FALSE()))),"OLD",IF(AND(E2495&lt;&gt;"",E2495&lt;&gt;"!!!"),"NEW","")))</f>
        <v> </v>
      </c>
      <c r="G2495" s="24" t="str">
        <f>IF(OR(E2495="",E2495="!!!"),"",IF(OR(J2495=0,AND(J2495=1,K2495=1),AND(J2495=1,I2495="SBJ"),AND(J2495=1,I2495=0)),"?IN_FOCUS",IF(J2495&lt;=2,"?ACTIVATED",IF(J2495&lt;&gt;"","?FAMILIAR",IF(F2495="NEW",IF(ISNA(VLOOKUP(E2495,#REF!,1,FALSE())),"?TYPE_IDENTIFIABLE","?REFERENTIAL"),"_")))))</f>
        <v> </v>
      </c>
      <c r="H2495" s="25" t="str">
        <f>IF(J2495&lt;&gt;1,"",IF(I2495="SBJ","CB","?"))</f>
        <v> </v>
      </c>
      <c r="I2495" s="26" t="str">
        <f>IF(OR(E2495="",E2495="!!!",F2495="NEW"),"",INDEX(B2494:B$2,-1+SUMPRODUCT(MAX(ROW(E2494:E$2)*(E2495=E2494:E$2)))))</f>
        <v> </v>
      </c>
      <c r="J2495" s="26" t="str">
        <f>IF(OR(E2495="",E2495="!!!",F2495="NEW"),"",COUNTBLANK(OFFSET(A$1,,,SUMPRODUCT(MAX(ROW(E$2:E2495)*(E2495=E$2:E2495)))))-COUNTBLANK(OFFSET(A$1,,,SUMPRODUCT(MAX(ROW(E$1:E2494)*(E2=E$1:E2494))))))</f>
        <v> </v>
      </c>
      <c r="K2495" s="26" t="str">
        <f>IF(OR(E2495="",E2495="!!!",F2495="NEW"),"",INDEX(J$1:J2494,SUMPRODUCT(MAX(ROW(E$1:E2494)*(E2495=E$1:E2494)))))</f>
        <v> </v>
      </c>
      <c r="L2495" s="27"/>
    </row>
    <row r="2496" spans="1:12">
      <c r="A2496" s="20" t="s">
        <v>1695</v>
      </c>
      <c r="E2496" s="22">
        <f>IF(D2496="?OLD","!!!","")</f>
        <v/>
      </c>
      <c r="F2496" s="23" t="str">
        <f>IF(OR(E2496="",E2496="!!!"),"",IF(NOT(ISNA(VLOOKUP(E2496,E$1:E2495,1,FALSE()))),"OLD",IF(AND(E2496&lt;&gt;"",E2496&lt;&gt;"!!!"),"NEW","")))</f>
        <v> </v>
      </c>
      <c r="G2496" s="24" t="str">
        <f>IF(OR(E2496="",E2496="!!!"),"",IF(OR(J2496=0,AND(J2496=1,K2496=1),AND(J2496=1,I2496="SBJ"),AND(J2496=1,I2496=0)),"?IN_FOCUS",IF(J2496&lt;=2,"?ACTIVATED",IF(J2496&lt;&gt;"","?FAMILIAR",IF(F2496="NEW",IF(ISNA(VLOOKUP(E2496,#REF!,1,FALSE())),"?TYPE_IDENTIFIABLE","?REFERENTIAL"),"_")))))</f>
        <v> </v>
      </c>
      <c r="H2496" s="25" t="str">
        <f>IF(J2496&lt;&gt;1,"",IF(I2496="SBJ","CB","?"))</f>
        <v> </v>
      </c>
      <c r="I2496" s="26" t="str">
        <f>IF(OR(E2496="",E2496="!!!",F2496="NEW"),"",INDEX(B2495:B$2,-1+SUMPRODUCT(MAX(ROW(E2495:E$2)*(E2496=E2495:E$2)))))</f>
        <v> </v>
      </c>
      <c r="J2496" s="26" t="str">
        <f>IF(OR(E2496="",E2496="!!!",F2496="NEW"),"",COUNTBLANK(OFFSET(A$1,,,SUMPRODUCT(MAX(ROW(E$2:E2496)*(E2496=E$2:E2496)))))-COUNTBLANK(OFFSET(A$1,,,SUMPRODUCT(MAX(ROW(E$1:E2495)*(E2=E$1:E2495))))))</f>
        <v> </v>
      </c>
      <c r="K2496" s="26" t="str">
        <f>IF(OR(E2496="",E2496="!!!",F2496="NEW"),"",INDEX(J$1:J2495,SUMPRODUCT(MAX(ROW(E$1:E2495)*(E2496=E$1:E2495)))))</f>
        <v> </v>
      </c>
      <c r="L2496" s="27"/>
    </row>
    <row r="2497" spans="1:12">
      <c r="A2497" s="20" t="s">
        <v>888</v>
      </c>
      <c r="E2497" s="22">
        <f>IF(D2497="?OLD","!!!","")</f>
        <v/>
      </c>
      <c r="F2497" s="23" t="str">
        <f>IF(OR(E2497="",E2497="!!!"),"",IF(NOT(ISNA(VLOOKUP(E2497,E$1:E2496,1,FALSE()))),"OLD",IF(AND(E2497&lt;&gt;"",E2497&lt;&gt;"!!!"),"NEW","")))</f>
        <v> </v>
      </c>
      <c r="G2497" s="24" t="str">
        <f>IF(OR(E2497="",E2497="!!!"),"",IF(OR(J2497=0,AND(J2497=1,K2497=1),AND(J2497=1,I2497="SBJ"),AND(J2497=1,I2497=0)),"?IN_FOCUS",IF(J2497&lt;=2,"?ACTIVATED",IF(J2497&lt;&gt;"","?FAMILIAR",IF(F2497="NEW",IF(ISNA(VLOOKUP(E2497,#REF!,1,FALSE())),"?TYPE_IDENTIFIABLE","?REFERENTIAL"),"_")))))</f>
        <v> </v>
      </c>
      <c r="H2497" s="25" t="str">
        <f>IF(J2497&lt;&gt;1,"",IF(I2497="SBJ","CB","?"))</f>
        <v> </v>
      </c>
      <c r="I2497" s="26" t="str">
        <f>IF(OR(E2497="",E2497="!!!",F2497="NEW"),"",INDEX(B2496:B$2,-1+SUMPRODUCT(MAX(ROW(E2496:E$2)*(E2497=E2496:E$2)))))</f>
        <v> </v>
      </c>
      <c r="J2497" s="26" t="str">
        <f>IF(OR(E2497="",E2497="!!!",F2497="NEW"),"",COUNTBLANK(OFFSET(A$1,,,SUMPRODUCT(MAX(ROW(E$2:E2497)*(E2497=E$2:E2497)))))-COUNTBLANK(OFFSET(A$1,,,SUMPRODUCT(MAX(ROW(E$1:E2496)*(E2=E$1:E2496))))))</f>
        <v> </v>
      </c>
      <c r="K2497" s="26" t="str">
        <f>IF(OR(E2497="",E2497="!!!",F2497="NEW"),"",INDEX(J$1:J2496,SUMPRODUCT(MAX(ROW(E$1:E2496)*(E2497=E$1:E2496)))))</f>
        <v> </v>
      </c>
      <c r="L2497" s="27"/>
    </row>
    <row r="2498" spans="1:12">
      <c r="A2498" s="20" t="s">
        <v>638</v>
      </c>
      <c r="E2498" s="22">
        <f>IF(D2498="?OLD","!!!","")</f>
        <v/>
      </c>
      <c r="F2498" s="23" t="str">
        <f>IF(OR(E2498="",E2498="!!!"),"",IF(NOT(ISNA(VLOOKUP(E2498,E$1:E2497,1,FALSE()))),"OLD",IF(AND(E2498&lt;&gt;"",E2498&lt;&gt;"!!!"),"NEW","")))</f>
        <v> </v>
      </c>
      <c r="G2498" s="24" t="str">
        <f>IF(OR(E2498="",E2498="!!!"),"",IF(OR(J2498=0,AND(J2498=1,K2498=1),AND(J2498=1,I2498="SBJ"),AND(J2498=1,I2498=0)),"?IN_FOCUS",IF(J2498&lt;=2,"?ACTIVATED",IF(J2498&lt;&gt;"","?FAMILIAR",IF(F2498="NEW",IF(ISNA(VLOOKUP(E2498,#REF!,1,FALSE())),"?TYPE_IDENTIFIABLE","?REFERENTIAL"),"_")))))</f>
        <v> </v>
      </c>
      <c r="H2498" s="25" t="str">
        <f>IF(J2498&lt;&gt;1,"",IF(I2498="SBJ","CB","?"))</f>
        <v> </v>
      </c>
      <c r="I2498" s="26" t="str">
        <f>IF(OR(E2498="",E2498="!!!",F2498="NEW"),"",INDEX(B2497:B$2,-1+SUMPRODUCT(MAX(ROW(E2497:E$2)*(E2498=E2497:E$2)))))</f>
        <v> </v>
      </c>
      <c r="J2498" s="26" t="str">
        <f>IF(OR(E2498="",E2498="!!!",F2498="NEW"),"",COUNTBLANK(OFFSET(A$1,,,SUMPRODUCT(MAX(ROW(E$2:E2498)*(E2498=E$2:E2498)))))-COUNTBLANK(OFFSET(A$1,,,SUMPRODUCT(MAX(ROW(E$1:E2497)*(E2=E$1:E2497))))))</f>
        <v> </v>
      </c>
      <c r="K2498" s="26" t="str">
        <f>IF(OR(E2498="",E2498="!!!",F2498="NEW"),"",INDEX(J$1:J2497,SUMPRODUCT(MAX(ROW(E$1:E2497)*(E2498=E$1:E2497)))))</f>
        <v> </v>
      </c>
      <c r="L2498" s="27"/>
    </row>
    <row r="2499" spans="1:12">
      <c r="A2499" s="20" t="s">
        <v>592</v>
      </c>
      <c r="E2499" s="22">
        <f>IF(D2499="?OLD","!!!","")</f>
        <v/>
      </c>
      <c r="F2499" s="23" t="str">
        <f>IF(OR(E2499="",E2499="!!!"),"",IF(NOT(ISNA(VLOOKUP(E2499,E$1:E2498,1,FALSE()))),"OLD",IF(AND(E2499&lt;&gt;"",E2499&lt;&gt;"!!!"),"NEW","")))</f>
        <v> </v>
      </c>
      <c r="G2499" s="24" t="str">
        <f>IF(OR(E2499="",E2499="!!!"),"",IF(OR(J2499=0,AND(J2499=1,K2499=1),AND(J2499=1,I2499="SBJ"),AND(J2499=1,I2499=0)),"?IN_FOCUS",IF(J2499&lt;=2,"?ACTIVATED",IF(J2499&lt;&gt;"","?FAMILIAR",IF(F2499="NEW",IF(ISNA(VLOOKUP(E2499,#REF!,1,FALSE())),"?TYPE_IDENTIFIABLE","?REFERENTIAL"),"_")))))</f>
        <v> </v>
      </c>
      <c r="H2499" s="25" t="str">
        <f>IF(J2499&lt;&gt;1,"",IF(I2499="SBJ","CB","?"))</f>
        <v> </v>
      </c>
      <c r="I2499" s="26" t="str">
        <f>IF(OR(E2499="",E2499="!!!",F2499="NEW"),"",INDEX(B2498:B$2,-1+SUMPRODUCT(MAX(ROW(E2498:E$2)*(E2499=E2498:E$2)))))</f>
        <v> </v>
      </c>
      <c r="J2499" s="26" t="str">
        <f>IF(OR(E2499="",E2499="!!!",F2499="NEW"),"",COUNTBLANK(OFFSET(A$1,,,SUMPRODUCT(MAX(ROW(E$2:E2499)*(E2499=E$2:E2499)))))-COUNTBLANK(OFFSET(A$1,,,SUMPRODUCT(MAX(ROW(E$1:E2498)*(E2=E$1:E2498))))))</f>
        <v> </v>
      </c>
      <c r="K2499" s="26" t="str">
        <f>IF(OR(E2499="",E2499="!!!",F2499="NEW"),"",INDEX(J$1:J2498,SUMPRODUCT(MAX(ROW(E$1:E2498)*(E2499=E$1:E2498)))))</f>
        <v> </v>
      </c>
      <c r="L2499" s="27"/>
    </row>
    <row r="2500" spans="1:12">
      <c r="A2500" s="20"/>
    </row>
    <row r="2501" spans="1:12">
      <c r="A2501" s="20" t="s">
        <v>1696</v>
      </c>
    </row>
    <row r="2502" spans="1:12">
      <c r="A2502" s="20" t="s">
        <v>1697</v>
      </c>
      <c r="E2502" s="22">
        <f>IF(D2502="?OLD","!!!","")</f>
        <v/>
      </c>
      <c r="F2502" s="23" t="str">
        <f>IF(OR(E2502="",E2502="!!!"),"",IF(NOT(ISNA(VLOOKUP(E2502,E$1:E2501,1,FALSE()))),"OLD",IF(AND(E2502&lt;&gt;"",E2502&lt;&gt;"!!!"),"NEW","")))</f>
        <v> </v>
      </c>
      <c r="G2502" s="24" t="str">
        <f>IF(OR(E2502="",E2502="!!!"),"",IF(OR(J2502=0,AND(J2502=1,K2502=1),AND(J2502=1,I2502="SBJ"),AND(J2502=1,I2502=0)),"?IN_FOCUS",IF(J2502&lt;=2,"?ACTIVATED",IF(J2502&lt;&gt;"","?FAMILIAR",IF(F2502="NEW",IF(ISNA(VLOOKUP(E2502,#REF!,1,FALSE())),"?TYPE_IDENTIFIABLE","?REFERENTIAL"),"_")))))</f>
        <v> </v>
      </c>
      <c r="H2502" s="25" t="str">
        <f>IF(J2502&lt;&gt;1,"",IF(I2502="SBJ","CB","?"))</f>
        <v> </v>
      </c>
      <c r="I2502" s="26" t="str">
        <f>IF(OR(E2502="",E2502="!!!",F2502="NEW"),"",INDEX(B2501:B$2,-1+SUMPRODUCT(MAX(ROW(E2501:E$2)*(E2502=E2501:E$2)))))</f>
        <v> </v>
      </c>
      <c r="J2502" s="26" t="str">
        <f>IF(OR(E2502="",E2502="!!!",F2502="NEW"),"",COUNTBLANK(OFFSET(A$1,,,SUMPRODUCT(MAX(ROW(E$2:E2502)*(E2502=E$2:E2502)))))-COUNTBLANK(OFFSET(A$1,,,SUMPRODUCT(MAX(ROW(E$1:E2501)*(E2=E$1:E2501))))))</f>
        <v> </v>
      </c>
      <c r="K2502" s="26" t="str">
        <f>IF(OR(E2502="",E2502="!!!",F2502="NEW"),"",INDEX(J$1:J2501,SUMPRODUCT(MAX(ROW(E$1:E2501)*(E2502=E$1:E2501)))))</f>
        <v> </v>
      </c>
      <c r="L2502" s="27"/>
    </row>
    <row r="2503" spans="1:12">
      <c r="A2503" s="20" t="s">
        <v>888</v>
      </c>
      <c r="E2503" s="22">
        <f>IF(D2503="?OLD","!!!","")</f>
        <v/>
      </c>
      <c r="F2503" s="23" t="str">
        <f>IF(OR(E2503="",E2503="!!!"),"",IF(NOT(ISNA(VLOOKUP(E2503,E$1:E2502,1,FALSE()))),"OLD",IF(AND(E2503&lt;&gt;"",E2503&lt;&gt;"!!!"),"NEW","")))</f>
        <v> </v>
      </c>
      <c r="G2503" s="24" t="str">
        <f>IF(OR(E2503="",E2503="!!!"),"",IF(OR(J2503=0,AND(J2503=1,K2503=1),AND(J2503=1,I2503="SBJ"),AND(J2503=1,I2503=0)),"?IN_FOCUS",IF(J2503&lt;=2,"?ACTIVATED",IF(J2503&lt;&gt;"","?FAMILIAR",IF(F2503="NEW",IF(ISNA(VLOOKUP(E2503,#REF!,1,FALSE())),"?TYPE_IDENTIFIABLE","?REFERENTIAL"),"_")))))</f>
        <v> </v>
      </c>
      <c r="H2503" s="25" t="str">
        <f>IF(J2503&lt;&gt;1,"",IF(I2503="SBJ","CB","?"))</f>
        <v> </v>
      </c>
      <c r="I2503" s="26" t="str">
        <f>IF(OR(E2503="",E2503="!!!",F2503="NEW"),"",INDEX(B2502:B$2,-1+SUMPRODUCT(MAX(ROW(E2502:E$2)*(E2503=E2502:E$2)))))</f>
        <v> </v>
      </c>
      <c r="J2503" s="26" t="str">
        <f>IF(OR(E2503="",E2503="!!!",F2503="NEW"),"",COUNTBLANK(OFFSET(A$1,,,SUMPRODUCT(MAX(ROW(E$2:E2503)*(E2503=E$2:E2503)))))-COUNTBLANK(OFFSET(A$1,,,SUMPRODUCT(MAX(ROW(E$1:E2502)*(E2=E$1:E2502))))))</f>
        <v> </v>
      </c>
      <c r="K2503" s="26" t="str">
        <f>IF(OR(E2503="",E2503="!!!",F2503="NEW"),"",INDEX(J$1:J2502,SUMPRODUCT(MAX(ROW(E$1:E2502)*(E2503=E$1:E2502)))))</f>
        <v> </v>
      </c>
      <c r="L2503" s="27"/>
    </row>
    <row r="2504" spans="1:12">
      <c r="A2504" s="20" t="s">
        <v>638</v>
      </c>
      <c r="E2504" s="22">
        <f>IF(D2504="?OLD","!!!","")</f>
        <v/>
      </c>
      <c r="F2504" s="23" t="str">
        <f>IF(OR(E2504="",E2504="!!!"),"",IF(NOT(ISNA(VLOOKUP(E2504,E$1:E2503,1,FALSE()))),"OLD",IF(AND(E2504&lt;&gt;"",E2504&lt;&gt;"!!!"),"NEW","")))</f>
        <v> </v>
      </c>
      <c r="G2504" s="24" t="str">
        <f>IF(OR(E2504="",E2504="!!!"),"",IF(OR(J2504=0,AND(J2504=1,K2504=1),AND(J2504=1,I2504="SBJ"),AND(J2504=1,I2504=0)),"?IN_FOCUS",IF(J2504&lt;=2,"?ACTIVATED",IF(J2504&lt;&gt;"","?FAMILIAR",IF(F2504="NEW",IF(ISNA(VLOOKUP(E2504,#REF!,1,FALSE())),"?TYPE_IDENTIFIABLE","?REFERENTIAL"),"_")))))</f>
        <v> </v>
      </c>
      <c r="H2504" s="25" t="str">
        <f>IF(J2504&lt;&gt;1,"",IF(I2504="SBJ","CB","?"))</f>
        <v> </v>
      </c>
      <c r="I2504" s="26" t="str">
        <f>IF(OR(E2504="",E2504="!!!",F2504="NEW"),"",INDEX(B2503:B$2,-1+SUMPRODUCT(MAX(ROW(E2503:E$2)*(E2504=E2503:E$2)))))</f>
        <v> </v>
      </c>
      <c r="J2504" s="26" t="str">
        <f>IF(OR(E2504="",E2504="!!!",F2504="NEW"),"",COUNTBLANK(OFFSET(A$1,,,SUMPRODUCT(MAX(ROW(E$2:E2504)*(E2504=E$2:E2504)))))-COUNTBLANK(OFFSET(A$1,,,SUMPRODUCT(MAX(ROW(E$1:E2503)*(E2=E$1:E2503))))))</f>
        <v> </v>
      </c>
      <c r="K2504" s="26" t="str">
        <f>IF(OR(E2504="",E2504="!!!",F2504="NEW"),"",INDEX(J$1:J2503,SUMPRODUCT(MAX(ROW(E$1:E2503)*(E2504=E$1:E2503)))))</f>
        <v> </v>
      </c>
      <c r="L2504" s="27"/>
    </row>
    <row r="2505" spans="1:12">
      <c r="A2505" s="20" t="s">
        <v>583</v>
      </c>
      <c r="E2505" s="22">
        <f>IF(D2505="?OLD","!!!","")</f>
        <v/>
      </c>
      <c r="F2505" s="23" t="str">
        <f>IF(OR(E2505="",E2505="!!!"),"",IF(NOT(ISNA(VLOOKUP(E2505,E$1:E2504,1,FALSE()))),"OLD",IF(AND(E2505&lt;&gt;"",E2505&lt;&gt;"!!!"),"NEW","")))</f>
        <v> </v>
      </c>
      <c r="G2505" s="24" t="str">
        <f>IF(OR(E2505="",E2505="!!!"),"",IF(OR(J2505=0,AND(J2505=1,K2505=1),AND(J2505=1,I2505="SBJ"),AND(J2505=1,I2505=0)),"?IN_FOCUS",IF(J2505&lt;=2,"?ACTIVATED",IF(J2505&lt;&gt;"","?FAMILIAR",IF(F2505="NEW",IF(ISNA(VLOOKUP(E2505,#REF!,1,FALSE())),"?TYPE_IDENTIFIABLE","?REFERENTIAL"),"_")))))</f>
        <v> </v>
      </c>
      <c r="H2505" s="25" t="str">
        <f>IF(J2505&lt;&gt;1,"",IF(I2505="SBJ","CB","?"))</f>
        <v> </v>
      </c>
      <c r="I2505" s="26" t="str">
        <f>IF(OR(E2505="",E2505="!!!",F2505="NEW"),"",INDEX(B2504:B$2,-1+SUMPRODUCT(MAX(ROW(E2504:E$2)*(E2505=E2504:E$2)))))</f>
        <v> </v>
      </c>
      <c r="J2505" s="26" t="str">
        <f>IF(OR(E2505="",E2505="!!!",F2505="NEW"),"",COUNTBLANK(OFFSET(A$1,,,SUMPRODUCT(MAX(ROW(E$2:E2505)*(E2505=E$2:E2505)))))-COUNTBLANK(OFFSET(A$1,,,SUMPRODUCT(MAX(ROW(E$1:E2504)*(E2=E$1:E2504))))))</f>
        <v> </v>
      </c>
      <c r="K2505" s="26" t="str">
        <f>IF(OR(E2505="",E2505="!!!",F2505="NEW"),"",INDEX(J$1:J2504,SUMPRODUCT(MAX(ROW(E$1:E2504)*(E2505=E$1:E2504)))))</f>
        <v> </v>
      </c>
      <c r="L2505" s="27"/>
    </row>
    <row r="2506" spans="1:12">
      <c r="A2506" s="20" t="s">
        <v>1698</v>
      </c>
      <c r="B2506" s="21" t="s">
        <v>651</v>
      </c>
      <c r="C2506" s="21" t="s">
        <v>628</v>
      </c>
      <c r="D2506" s="21" t="s">
        <v>587</v>
      </c>
      <c r="E2506" s="22">
        <f>IF(D2506="?OLD","!!!","")</f>
        <v/>
      </c>
      <c r="F2506" s="23" t="str">
        <f>IF(OR(E2506="",E2506="!!!"),"",IF(NOT(ISNA(VLOOKUP(E2506,E$1:E2505,1,FALSE()))),"OLD",IF(AND(E2506&lt;&gt;"",E2506&lt;&gt;"!!!"),"NEW","")))</f>
        <v> </v>
      </c>
      <c r="G2506" s="24" t="str">
        <f>IF(OR(E2506="",E2506="!!!"),"",IF(OR(J2506=0,AND(J2506=1,K2506=1),AND(J2506=1,I2506="SBJ"),AND(J2506=1,I2506=0)),"?IN_FOCUS",IF(J2506&lt;=2,"?ACTIVATED",IF(J2506&lt;&gt;"","?FAMILIAR",IF(F2506="NEW",IF(ISNA(VLOOKUP(E2506,#REF!,1,FALSE())),"?TYPE_IDENTIFIABLE","?REFERENTIAL"),"_")))))</f>
        <v> </v>
      </c>
      <c r="H2506" s="25" t="str">
        <f>IF(J2506&lt;&gt;1,"",IF(I2506="SBJ","CB","?"))</f>
        <v> </v>
      </c>
      <c r="I2506" s="26" t="str">
        <f>IF(OR(E2506="",E2506="!!!",F2506="NEW"),"",INDEX(B2505:B$2,-1+SUMPRODUCT(MAX(ROW(E2505:E$2)*(E2506=E2505:E$2)))))</f>
        <v> </v>
      </c>
      <c r="J2506" s="26" t="str">
        <f>IF(OR(E2506="",E2506="!!!",F2506="NEW"),"",COUNTBLANK(OFFSET(A$1,,,SUMPRODUCT(MAX(ROW(E$2:E2506)*(E2506=E$2:E2506)))))-COUNTBLANK(OFFSET(A$1,,,SUMPRODUCT(MAX(ROW(E$1:E2505)*(E2=E$1:E2505))))))</f>
        <v> </v>
      </c>
      <c r="K2506" s="26" t="str">
        <f>IF(OR(E2506="",E2506="!!!",F2506="NEW"),"",INDEX(J$1:J2505,SUMPRODUCT(MAX(ROW(E$1:E2505)*(E2506=E$1:E2505)))))</f>
        <v> </v>
      </c>
      <c r="L2506" s="27"/>
    </row>
    <row r="2507" spans="1:12">
      <c r="A2507" s="20" t="s">
        <v>888</v>
      </c>
      <c r="E2507" s="22">
        <f>IF(D2507="?OLD","!!!","")</f>
        <v/>
      </c>
      <c r="F2507" s="23" t="str">
        <f>IF(OR(E2507="",E2507="!!!"),"",IF(NOT(ISNA(VLOOKUP(E2507,E$1:E2506,1,FALSE()))),"OLD",IF(AND(E2507&lt;&gt;"",E2507&lt;&gt;"!!!"),"NEW","")))</f>
        <v> </v>
      </c>
      <c r="G2507" s="24" t="str">
        <f>IF(OR(E2507="",E2507="!!!"),"",IF(OR(J2507=0,AND(J2507=1,K2507=1),AND(J2507=1,I2507="SBJ"),AND(J2507=1,I2507=0)),"?IN_FOCUS",IF(J2507&lt;=2,"?ACTIVATED",IF(J2507&lt;&gt;"","?FAMILIAR",IF(F2507="NEW",IF(ISNA(VLOOKUP(E2507,#REF!,1,FALSE())),"?TYPE_IDENTIFIABLE","?REFERENTIAL"),"_")))))</f>
        <v> </v>
      </c>
      <c r="H2507" s="25" t="str">
        <f>IF(J2507&lt;&gt;1,"",IF(I2507="SBJ","CB","?"))</f>
        <v> </v>
      </c>
      <c r="I2507" s="26" t="str">
        <f>IF(OR(E2507="",E2507="!!!",F2507="NEW"),"",INDEX(B2506:B$2,-1+SUMPRODUCT(MAX(ROW(E2506:E$2)*(E2507=E2506:E$2)))))</f>
        <v> </v>
      </c>
      <c r="J2507" s="26" t="str">
        <f>IF(OR(E2507="",E2507="!!!",F2507="NEW"),"",COUNTBLANK(OFFSET(A$1,,,SUMPRODUCT(MAX(ROW(E$2:E2507)*(E2507=E$2:E2507)))))-COUNTBLANK(OFFSET(A$1,,,SUMPRODUCT(MAX(ROW(E$1:E2506)*(E2=E$1:E2506))))))</f>
        <v> </v>
      </c>
      <c r="K2507" s="26" t="str">
        <f>IF(OR(E2507="",E2507="!!!",F2507="NEW"),"",INDEX(J$1:J2506,SUMPRODUCT(MAX(ROW(E$1:E2506)*(E2507=E$1:E2506)))))</f>
        <v> </v>
      </c>
      <c r="L2507" s="27"/>
    </row>
    <row r="2508" spans="1:12">
      <c r="A2508" s="20" t="s">
        <v>638</v>
      </c>
      <c r="E2508" s="22">
        <f>IF(D2508="?OLD","!!!","")</f>
        <v/>
      </c>
      <c r="F2508" s="23" t="str">
        <f>IF(OR(E2508="",E2508="!!!"),"",IF(NOT(ISNA(VLOOKUP(E2508,E$1:E2507,1,FALSE()))),"OLD",IF(AND(E2508&lt;&gt;"",E2508&lt;&gt;"!!!"),"NEW","")))</f>
        <v> </v>
      </c>
      <c r="G2508" s="24" t="str">
        <f>IF(OR(E2508="",E2508="!!!"),"",IF(OR(J2508=0,AND(J2508=1,K2508=1),AND(J2508=1,I2508="SBJ"),AND(J2508=1,I2508=0)),"?IN_FOCUS",IF(J2508&lt;=2,"?ACTIVATED",IF(J2508&lt;&gt;"","?FAMILIAR",IF(F2508="NEW",IF(ISNA(VLOOKUP(E2508,#REF!,1,FALSE())),"?TYPE_IDENTIFIABLE","?REFERENTIAL"),"_")))))</f>
        <v> </v>
      </c>
      <c r="H2508" s="25" t="str">
        <f>IF(J2508&lt;&gt;1,"",IF(I2508="SBJ","CB","?"))</f>
        <v> </v>
      </c>
      <c r="I2508" s="26" t="str">
        <f>IF(OR(E2508="",E2508="!!!",F2508="NEW"),"",INDEX(B2507:B$2,-1+SUMPRODUCT(MAX(ROW(E2507:E$2)*(E2508=E2507:E$2)))))</f>
        <v> </v>
      </c>
      <c r="J2508" s="26" t="str">
        <f>IF(OR(E2508="",E2508="!!!",F2508="NEW"),"",COUNTBLANK(OFFSET(A$1,,,SUMPRODUCT(MAX(ROW(E$2:E2508)*(E2508=E$2:E2508)))))-COUNTBLANK(OFFSET(A$1,,,SUMPRODUCT(MAX(ROW(E$1:E2507)*(E2=E$1:E2507))))))</f>
        <v> </v>
      </c>
      <c r="K2508" s="26" t="str">
        <f>IF(OR(E2508="",E2508="!!!",F2508="NEW"),"",INDEX(J$1:J2507,SUMPRODUCT(MAX(ROW(E$1:E2507)*(E2508=E$1:E2507)))))</f>
        <v> </v>
      </c>
      <c r="L2508" s="27"/>
    </row>
    <row r="2509" spans="1:12">
      <c r="A2509" s="20" t="s">
        <v>583</v>
      </c>
      <c r="E2509" s="22">
        <f>IF(D2509="?OLD","!!!","")</f>
        <v/>
      </c>
      <c r="F2509" s="23" t="str">
        <f>IF(OR(E2509="",E2509="!!!"),"",IF(NOT(ISNA(VLOOKUP(E2509,E$1:E2508,1,FALSE()))),"OLD",IF(AND(E2509&lt;&gt;"",E2509&lt;&gt;"!!!"),"NEW","")))</f>
        <v> </v>
      </c>
      <c r="G2509" s="24" t="str">
        <f>IF(OR(E2509="",E2509="!!!"),"",IF(OR(J2509=0,AND(J2509=1,K2509=1),AND(J2509=1,I2509="SBJ"),AND(J2509=1,I2509=0)),"?IN_FOCUS",IF(J2509&lt;=2,"?ACTIVATED",IF(J2509&lt;&gt;"","?FAMILIAR",IF(F2509="NEW",IF(ISNA(VLOOKUP(E2509,#REF!,1,FALSE())),"?TYPE_IDENTIFIABLE","?REFERENTIAL"),"_")))))</f>
        <v> </v>
      </c>
      <c r="H2509" s="25" t="str">
        <f>IF(J2509&lt;&gt;1,"",IF(I2509="SBJ","CB","?"))</f>
        <v> </v>
      </c>
      <c r="I2509" s="26" t="str">
        <f>IF(OR(E2509="",E2509="!!!",F2509="NEW"),"",INDEX(B2508:B$2,-1+SUMPRODUCT(MAX(ROW(E2508:E$2)*(E2509=E2508:E$2)))))</f>
        <v> </v>
      </c>
      <c r="J2509" s="26" t="str">
        <f>IF(OR(E2509="",E2509="!!!",F2509="NEW"),"",COUNTBLANK(OFFSET(A$1,,,SUMPRODUCT(MAX(ROW(E$2:E2509)*(E2509=E$2:E2509)))))-COUNTBLANK(OFFSET(A$1,,,SUMPRODUCT(MAX(ROW(E$1:E2508)*(E2=E$1:E2508))))))</f>
        <v> </v>
      </c>
      <c r="K2509" s="26" t="str">
        <f>IF(OR(E2509="",E2509="!!!",F2509="NEW"),"",INDEX(J$1:J2508,SUMPRODUCT(MAX(ROW(E$1:E2508)*(E2509=E$1:E2508)))))</f>
        <v> </v>
      </c>
      <c r="L2509" s="27"/>
    </row>
    <row r="2510" spans="1:12">
      <c r="A2510" s="20" t="s">
        <v>25</v>
      </c>
      <c r="E2510" s="22">
        <f>IF(D2510="?OLD","!!!","")</f>
        <v/>
      </c>
      <c r="F2510" s="23" t="str">
        <f>IF(OR(E2510="",E2510="!!!"),"",IF(NOT(ISNA(VLOOKUP(E2510,E$1:E2509,1,FALSE()))),"OLD",IF(AND(E2510&lt;&gt;"",E2510&lt;&gt;"!!!"),"NEW","")))</f>
        <v> </v>
      </c>
      <c r="G2510" s="24" t="str">
        <f>IF(OR(E2510="",E2510="!!!"),"",IF(OR(J2510=0,AND(J2510=1,K2510=1),AND(J2510=1,I2510="SBJ"),AND(J2510=1,I2510=0)),"?IN_FOCUS",IF(J2510&lt;=2,"?ACTIVATED",IF(J2510&lt;&gt;"","?FAMILIAR",IF(F2510="NEW",IF(ISNA(VLOOKUP(E2510,#REF!,1,FALSE())),"?TYPE_IDENTIFIABLE","?REFERENTIAL"),"_")))))</f>
        <v> </v>
      </c>
      <c r="H2510" s="25" t="str">
        <f>IF(J2510&lt;&gt;1,"",IF(I2510="SBJ","CB","?"))</f>
        <v> </v>
      </c>
      <c r="I2510" s="26" t="str">
        <f>IF(OR(E2510="",E2510="!!!",F2510="NEW"),"",INDEX(B2509:B$2,-1+SUMPRODUCT(MAX(ROW(E2509:E$2)*(E2510=E2509:E$2)))))</f>
        <v> </v>
      </c>
      <c r="J2510" s="26" t="str">
        <f>IF(OR(E2510="",E2510="!!!",F2510="NEW"),"",COUNTBLANK(OFFSET(A$1,,,SUMPRODUCT(MAX(ROW(E$2:E2510)*(E2510=E$2:E2510)))))-COUNTBLANK(OFFSET(A$1,,,SUMPRODUCT(MAX(ROW(E$1:E2509)*(E2=E$1:E2509))))))</f>
        <v> </v>
      </c>
      <c r="K2510" s="26" t="str">
        <f>IF(OR(E2510="",E2510="!!!",F2510="NEW"),"",INDEX(J$1:J2509,SUMPRODUCT(MAX(ROW(E$1:E2509)*(E2510=E$1:E2509)))))</f>
        <v> </v>
      </c>
      <c r="L2510" s="27"/>
    </row>
    <row r="2511" spans="1:12">
      <c r="A2511" s="20" t="s">
        <v>1699</v>
      </c>
      <c r="E2511" s="22">
        <f>IF(D2511="?OLD","!!!","")</f>
        <v/>
      </c>
      <c r="F2511" s="23" t="str">
        <f>IF(OR(E2511="",E2511="!!!"),"",IF(NOT(ISNA(VLOOKUP(E2511,E$1:E2510,1,FALSE()))),"OLD",IF(AND(E2511&lt;&gt;"",E2511&lt;&gt;"!!!"),"NEW","")))</f>
        <v> </v>
      </c>
      <c r="G2511" s="24" t="str">
        <f>IF(OR(E2511="",E2511="!!!"),"",IF(OR(J2511=0,AND(J2511=1,K2511=1),AND(J2511=1,I2511="SBJ"),AND(J2511=1,I2511=0)),"?IN_FOCUS",IF(J2511&lt;=2,"?ACTIVATED",IF(J2511&lt;&gt;"","?FAMILIAR",IF(F2511="NEW",IF(ISNA(VLOOKUP(E2511,#REF!,1,FALSE())),"?TYPE_IDENTIFIABLE","?REFERENTIAL"),"_")))))</f>
        <v> </v>
      </c>
      <c r="H2511" s="25" t="str">
        <f>IF(J2511&lt;&gt;1,"",IF(I2511="SBJ","CB","?"))</f>
        <v> </v>
      </c>
      <c r="I2511" s="26" t="str">
        <f>IF(OR(E2511="",E2511="!!!",F2511="NEW"),"",INDEX(B2510:B$2,-1+SUMPRODUCT(MAX(ROW(E2510:E$2)*(E2511=E2510:E$2)))))</f>
        <v> </v>
      </c>
      <c r="J2511" s="26" t="str">
        <f>IF(OR(E2511="",E2511="!!!",F2511="NEW"),"",COUNTBLANK(OFFSET(A$1,,,SUMPRODUCT(MAX(ROW(E$2:E2511)*(E2511=E$2:E2511)))))-COUNTBLANK(OFFSET(A$1,,,SUMPRODUCT(MAX(ROW(E$1:E2510)*(E2=E$1:E2510))))))</f>
        <v> </v>
      </c>
      <c r="K2511" s="26" t="str">
        <f>IF(OR(E2511="",E2511="!!!",F2511="NEW"),"",INDEX(J$1:J2510,SUMPRODUCT(MAX(ROW(E$1:E2510)*(E2511=E$1:E2510)))))</f>
        <v> </v>
      </c>
      <c r="L2511" s="27"/>
    </row>
    <row r="2512" spans="1:12">
      <c r="A2512" s="20" t="s">
        <v>630</v>
      </c>
      <c r="E2512" s="22">
        <f>IF(D2512="?OLD","!!!","")</f>
        <v/>
      </c>
      <c r="F2512" s="23" t="str">
        <f>IF(OR(E2512="",E2512="!!!"),"",IF(NOT(ISNA(VLOOKUP(E2512,E$1:E2511,1,FALSE()))),"OLD",IF(AND(E2512&lt;&gt;"",E2512&lt;&gt;"!!!"),"NEW","")))</f>
        <v> </v>
      </c>
      <c r="G2512" s="24" t="str">
        <f>IF(OR(E2512="",E2512="!!!"),"",IF(OR(J2512=0,AND(J2512=1,K2512=1),AND(J2512=1,I2512="SBJ"),AND(J2512=1,I2512=0)),"?IN_FOCUS",IF(J2512&lt;=2,"?ACTIVATED",IF(J2512&lt;&gt;"","?FAMILIAR",IF(F2512="NEW",IF(ISNA(VLOOKUP(E2512,#REF!,1,FALSE())),"?TYPE_IDENTIFIABLE","?REFERENTIAL"),"_")))))</f>
        <v> </v>
      </c>
      <c r="H2512" s="25" t="str">
        <f>IF(J2512&lt;&gt;1,"",IF(I2512="SBJ","CB","?"))</f>
        <v> </v>
      </c>
      <c r="I2512" s="26" t="str">
        <f>IF(OR(E2512="",E2512="!!!",F2512="NEW"),"",INDEX(B2511:B$2,-1+SUMPRODUCT(MAX(ROW(E2511:E$2)*(E2512=E2511:E$2)))))</f>
        <v> </v>
      </c>
      <c r="J2512" s="26" t="str">
        <f>IF(OR(E2512="",E2512="!!!",F2512="NEW"),"",COUNTBLANK(OFFSET(A$1,,,SUMPRODUCT(MAX(ROW(E$2:E2512)*(E2512=E$2:E2512)))))-COUNTBLANK(OFFSET(A$1,,,SUMPRODUCT(MAX(ROW(E$1:E2511)*(E2=E$1:E2511))))))</f>
        <v> </v>
      </c>
      <c r="K2512" s="26" t="str">
        <f>IF(OR(E2512="",E2512="!!!",F2512="NEW"),"",INDEX(J$1:J2511,SUMPRODUCT(MAX(ROW(E$1:E2511)*(E2512=E$1:E2511)))))</f>
        <v> </v>
      </c>
      <c r="L2512" s="27"/>
    </row>
    <row r="2513" spans="1:12">
      <c r="A2513" s="20" t="s">
        <v>1700</v>
      </c>
      <c r="E2513" s="22">
        <f>IF(D2513="?OLD","!!!","")</f>
        <v/>
      </c>
      <c r="F2513" s="23" t="str">
        <f>IF(OR(E2513="",E2513="!!!"),"",IF(NOT(ISNA(VLOOKUP(E2513,E$1:E2512,1,FALSE()))),"OLD",IF(AND(E2513&lt;&gt;"",E2513&lt;&gt;"!!!"),"NEW","")))</f>
        <v> </v>
      </c>
      <c r="G2513" s="24" t="str">
        <f>IF(OR(E2513="",E2513="!!!"),"",IF(OR(J2513=0,AND(J2513=1,K2513=1),AND(J2513=1,I2513="SBJ"),AND(J2513=1,I2513=0)),"?IN_FOCUS",IF(J2513&lt;=2,"?ACTIVATED",IF(J2513&lt;&gt;"","?FAMILIAR",IF(F2513="NEW",IF(ISNA(VLOOKUP(E2513,#REF!,1,FALSE())),"?TYPE_IDENTIFIABLE","?REFERENTIAL"),"_")))))</f>
        <v> </v>
      </c>
      <c r="H2513" s="25" t="str">
        <f>IF(J2513&lt;&gt;1,"",IF(I2513="SBJ","CB","?"))</f>
        <v> </v>
      </c>
      <c r="I2513" s="26" t="str">
        <f>IF(OR(E2513="",E2513="!!!",F2513="NEW"),"",INDEX(B2512:B$2,-1+SUMPRODUCT(MAX(ROW(E2512:E$2)*(E2513=E2512:E$2)))))</f>
        <v> </v>
      </c>
      <c r="J2513" s="26" t="str">
        <f>IF(OR(E2513="",E2513="!!!",F2513="NEW"),"",COUNTBLANK(OFFSET(A$1,,,SUMPRODUCT(MAX(ROW(E$2:E2513)*(E2513=E$2:E2513)))))-COUNTBLANK(OFFSET(A$1,,,SUMPRODUCT(MAX(ROW(E$1:E2512)*(E2=E$1:E2512))))))</f>
        <v> </v>
      </c>
      <c r="K2513" s="26" t="str">
        <f>IF(OR(E2513="",E2513="!!!",F2513="NEW"),"",INDEX(J$1:J2512,SUMPRODUCT(MAX(ROW(E$1:E2512)*(E2513=E$1:E2512)))))</f>
        <v> </v>
      </c>
      <c r="L2513" s="27"/>
    </row>
    <row r="2514" spans="1:12">
      <c r="A2514" s="20" t="s">
        <v>888</v>
      </c>
      <c r="E2514" s="22">
        <f>IF(D2514="?OLD","!!!","")</f>
        <v/>
      </c>
      <c r="F2514" s="23" t="str">
        <f>IF(OR(E2514="",E2514="!!!"),"",IF(NOT(ISNA(VLOOKUP(E2514,E$1:E2513,1,FALSE()))),"OLD",IF(AND(E2514&lt;&gt;"",E2514&lt;&gt;"!!!"),"NEW","")))</f>
        <v> </v>
      </c>
      <c r="G2514" s="24" t="str">
        <f>IF(OR(E2514="",E2514="!!!"),"",IF(OR(J2514=0,AND(J2514=1,K2514=1),AND(J2514=1,I2514="SBJ"),AND(J2514=1,I2514=0)),"?IN_FOCUS",IF(J2514&lt;=2,"?ACTIVATED",IF(J2514&lt;&gt;"","?FAMILIAR",IF(F2514="NEW",IF(ISNA(VLOOKUP(E2514,#REF!,1,FALSE())),"?TYPE_IDENTIFIABLE","?REFERENTIAL"),"_")))))</f>
        <v> </v>
      </c>
      <c r="H2514" s="25" t="str">
        <f>IF(J2514&lt;&gt;1,"",IF(I2514="SBJ","CB","?"))</f>
        <v> </v>
      </c>
      <c r="I2514" s="26" t="str">
        <f>IF(OR(E2514="",E2514="!!!",F2514="NEW"),"",INDEX(B2513:B$2,-1+SUMPRODUCT(MAX(ROW(E2513:E$2)*(E2514=E2513:E$2)))))</f>
        <v> </v>
      </c>
      <c r="J2514" s="26" t="str">
        <f>IF(OR(E2514="",E2514="!!!",F2514="NEW"),"",COUNTBLANK(OFFSET(A$1,,,SUMPRODUCT(MAX(ROW(E$2:E2514)*(E2514=E$2:E2514)))))-COUNTBLANK(OFFSET(A$1,,,SUMPRODUCT(MAX(ROW(E$1:E2513)*(E2=E$1:E2513))))))</f>
        <v> </v>
      </c>
      <c r="K2514" s="26" t="str">
        <f>IF(OR(E2514="",E2514="!!!",F2514="NEW"),"",INDEX(J$1:J2513,SUMPRODUCT(MAX(ROW(E$1:E2513)*(E2514=E$1:E2513)))))</f>
        <v> </v>
      </c>
      <c r="L2514" s="27"/>
    </row>
    <row r="2515" spans="1:12">
      <c r="A2515" s="20" t="s">
        <v>638</v>
      </c>
      <c r="E2515" s="22">
        <f>IF(D2515="?OLD","!!!","")</f>
        <v/>
      </c>
      <c r="F2515" s="23" t="str">
        <f>IF(OR(E2515="",E2515="!!!"),"",IF(NOT(ISNA(VLOOKUP(E2515,E$1:E2514,1,FALSE()))),"OLD",IF(AND(E2515&lt;&gt;"",E2515&lt;&gt;"!!!"),"NEW","")))</f>
        <v> </v>
      </c>
      <c r="G2515" s="24" t="str">
        <f>IF(OR(E2515="",E2515="!!!"),"",IF(OR(J2515=0,AND(J2515=1,K2515=1),AND(J2515=1,I2515="SBJ"),AND(J2515=1,I2515=0)),"?IN_FOCUS",IF(J2515&lt;=2,"?ACTIVATED",IF(J2515&lt;&gt;"","?FAMILIAR",IF(F2515="NEW",IF(ISNA(VLOOKUP(E2515,#REF!,1,FALSE())),"?TYPE_IDENTIFIABLE","?REFERENTIAL"),"_")))))</f>
        <v> </v>
      </c>
      <c r="H2515" s="25" t="str">
        <f>IF(J2515&lt;&gt;1,"",IF(I2515="SBJ","CB","?"))</f>
        <v> </v>
      </c>
      <c r="I2515" s="26" t="str">
        <f>IF(OR(E2515="",E2515="!!!",F2515="NEW"),"",INDEX(B2514:B$2,-1+SUMPRODUCT(MAX(ROW(E2514:E$2)*(E2515=E2514:E$2)))))</f>
        <v> </v>
      </c>
      <c r="J2515" s="26" t="str">
        <f>IF(OR(E2515="",E2515="!!!",F2515="NEW"),"",COUNTBLANK(OFFSET(A$1,,,SUMPRODUCT(MAX(ROW(E$2:E2515)*(E2515=E$2:E2515)))))-COUNTBLANK(OFFSET(A$1,,,SUMPRODUCT(MAX(ROW(E$1:E2514)*(E2=E$1:E2514))))))</f>
        <v> </v>
      </c>
      <c r="K2515" s="26" t="str">
        <f>IF(OR(E2515="",E2515="!!!",F2515="NEW"),"",INDEX(J$1:J2514,SUMPRODUCT(MAX(ROW(E$1:E2514)*(E2515=E$1:E2514)))))</f>
        <v> </v>
      </c>
      <c r="L2515" s="27"/>
    </row>
    <row r="2516" spans="1:12">
      <c r="A2516" s="20" t="s">
        <v>583</v>
      </c>
      <c r="E2516" s="22">
        <f>IF(D2516="?OLD","!!!","")</f>
        <v/>
      </c>
      <c r="F2516" s="23" t="str">
        <f>IF(OR(E2516="",E2516="!!!"),"",IF(NOT(ISNA(VLOOKUP(E2516,E$1:E2515,1,FALSE()))),"OLD",IF(AND(E2516&lt;&gt;"",E2516&lt;&gt;"!!!"),"NEW","")))</f>
        <v> </v>
      </c>
      <c r="G2516" s="24" t="str">
        <f>IF(OR(E2516="",E2516="!!!"),"",IF(OR(J2516=0,AND(J2516=1,K2516=1),AND(J2516=1,I2516="SBJ"),AND(J2516=1,I2516=0)),"?IN_FOCUS",IF(J2516&lt;=2,"?ACTIVATED",IF(J2516&lt;&gt;"","?FAMILIAR",IF(F2516="NEW",IF(ISNA(VLOOKUP(E2516,#REF!,1,FALSE())),"?TYPE_IDENTIFIABLE","?REFERENTIAL"),"_")))))</f>
        <v> </v>
      </c>
      <c r="H2516" s="25" t="str">
        <f>IF(J2516&lt;&gt;1,"",IF(I2516="SBJ","CB","?"))</f>
        <v> </v>
      </c>
      <c r="I2516" s="26" t="str">
        <f>IF(OR(E2516="",E2516="!!!",F2516="NEW"),"",INDEX(B2515:B$2,-1+SUMPRODUCT(MAX(ROW(E2515:E$2)*(E2516=E2515:E$2)))))</f>
        <v> </v>
      </c>
      <c r="J2516" s="26" t="str">
        <f>IF(OR(E2516="",E2516="!!!",F2516="NEW"),"",COUNTBLANK(OFFSET(A$1,,,SUMPRODUCT(MAX(ROW(E$2:E2516)*(E2516=E$2:E2516)))))-COUNTBLANK(OFFSET(A$1,,,SUMPRODUCT(MAX(ROW(E$1:E2515)*(E2=E$1:E2515))))))</f>
        <v> </v>
      </c>
      <c r="K2516" s="26" t="str">
        <f>IF(OR(E2516="",E2516="!!!",F2516="NEW"),"",INDEX(J$1:J2515,SUMPRODUCT(MAX(ROW(E$1:E2515)*(E2516=E$1:E2515)))))</f>
        <v> </v>
      </c>
      <c r="L2516" s="27"/>
    </row>
    <row r="2517" spans="1:12">
      <c r="A2517" s="20" t="s">
        <v>1701</v>
      </c>
      <c r="E2517" s="22">
        <f>IF(D2517="?OLD","!!!","")</f>
        <v/>
      </c>
      <c r="F2517" s="23" t="str">
        <f>IF(OR(E2517="",E2517="!!!"),"",IF(NOT(ISNA(VLOOKUP(E2517,E$1:E2516,1,FALSE()))),"OLD",IF(AND(E2517&lt;&gt;"",E2517&lt;&gt;"!!!"),"NEW","")))</f>
        <v> </v>
      </c>
      <c r="G2517" s="24" t="str">
        <f>IF(OR(E2517="",E2517="!!!"),"",IF(OR(J2517=0,AND(J2517=1,K2517=1),AND(J2517=1,I2517="SBJ"),AND(J2517=1,I2517=0)),"?IN_FOCUS",IF(J2517&lt;=2,"?ACTIVATED",IF(J2517&lt;&gt;"","?FAMILIAR",IF(F2517="NEW",IF(ISNA(VLOOKUP(E2517,#REF!,1,FALSE())),"?TYPE_IDENTIFIABLE","?REFERENTIAL"),"_")))))</f>
        <v> </v>
      </c>
      <c r="H2517" s="25" t="str">
        <f>IF(J2517&lt;&gt;1,"",IF(I2517="SBJ","CB","?"))</f>
        <v> </v>
      </c>
      <c r="I2517" s="26" t="str">
        <f>IF(OR(E2517="",E2517="!!!",F2517="NEW"),"",INDEX(B2516:B$2,-1+SUMPRODUCT(MAX(ROW(E2516:E$2)*(E2517=E2516:E$2)))))</f>
        <v> </v>
      </c>
      <c r="J2517" s="26" t="str">
        <f>IF(OR(E2517="",E2517="!!!",F2517="NEW"),"",COUNTBLANK(OFFSET(A$1,,,SUMPRODUCT(MAX(ROW(E$2:E2517)*(E2517=E$2:E2517)))))-COUNTBLANK(OFFSET(A$1,,,SUMPRODUCT(MAX(ROW(E$1:E2516)*(E2=E$1:E2516))))))</f>
        <v> </v>
      </c>
      <c r="K2517" s="26" t="str">
        <f>IF(OR(E2517="",E2517="!!!",F2517="NEW"),"",INDEX(J$1:J2516,SUMPRODUCT(MAX(ROW(E$1:E2516)*(E2517=E$1:E2516)))))</f>
        <v> </v>
      </c>
      <c r="L2517" s="27"/>
    </row>
    <row r="2518" spans="1:12">
      <c r="A2518" s="20" t="s">
        <v>888</v>
      </c>
      <c r="E2518" s="22">
        <f>IF(D2518="?OLD","!!!","")</f>
        <v/>
      </c>
      <c r="F2518" s="23" t="str">
        <f>IF(OR(E2518="",E2518="!!!"),"",IF(NOT(ISNA(VLOOKUP(E2518,E$1:E2517,1,FALSE()))),"OLD",IF(AND(E2518&lt;&gt;"",E2518&lt;&gt;"!!!"),"NEW","")))</f>
        <v> </v>
      </c>
      <c r="G2518" s="24" t="str">
        <f>IF(OR(E2518="",E2518="!!!"),"",IF(OR(J2518=0,AND(J2518=1,K2518=1),AND(J2518=1,I2518="SBJ"),AND(J2518=1,I2518=0)),"?IN_FOCUS",IF(J2518&lt;=2,"?ACTIVATED",IF(J2518&lt;&gt;"","?FAMILIAR",IF(F2518="NEW",IF(ISNA(VLOOKUP(E2518,#REF!,1,FALSE())),"?TYPE_IDENTIFIABLE","?REFERENTIAL"),"_")))))</f>
        <v> </v>
      </c>
      <c r="H2518" s="25" t="str">
        <f>IF(J2518&lt;&gt;1,"",IF(I2518="SBJ","CB","?"))</f>
        <v> </v>
      </c>
      <c r="I2518" s="26" t="str">
        <f>IF(OR(E2518="",E2518="!!!",F2518="NEW"),"",INDEX(B2517:B$2,-1+SUMPRODUCT(MAX(ROW(E2517:E$2)*(E2518=E2517:E$2)))))</f>
        <v> </v>
      </c>
      <c r="J2518" s="26" t="str">
        <f>IF(OR(E2518="",E2518="!!!",F2518="NEW"),"",COUNTBLANK(OFFSET(A$1,,,SUMPRODUCT(MAX(ROW(E$2:E2518)*(E2518=E$2:E2518)))))-COUNTBLANK(OFFSET(A$1,,,SUMPRODUCT(MAX(ROW(E$1:E2517)*(E2=E$1:E2517))))))</f>
        <v> </v>
      </c>
      <c r="K2518" s="26" t="str">
        <f>IF(OR(E2518="",E2518="!!!",F2518="NEW"),"",INDEX(J$1:J2517,SUMPRODUCT(MAX(ROW(E$1:E2517)*(E2518=E$1:E2517)))))</f>
        <v> </v>
      </c>
      <c r="L2518" s="27"/>
    </row>
    <row r="2519" spans="1:12">
      <c r="A2519" s="20" t="s">
        <v>638</v>
      </c>
      <c r="E2519" s="22">
        <f>IF(D2519="?OLD","!!!","")</f>
        <v/>
      </c>
      <c r="F2519" s="23" t="str">
        <f>IF(OR(E2519="",E2519="!!!"),"",IF(NOT(ISNA(VLOOKUP(E2519,E$1:E2518,1,FALSE()))),"OLD",IF(AND(E2519&lt;&gt;"",E2519&lt;&gt;"!!!"),"NEW","")))</f>
        <v> </v>
      </c>
      <c r="G2519" s="24" t="str">
        <f>IF(OR(E2519="",E2519="!!!"),"",IF(OR(J2519=0,AND(J2519=1,K2519=1),AND(J2519=1,I2519="SBJ"),AND(J2519=1,I2519=0)),"?IN_FOCUS",IF(J2519&lt;=2,"?ACTIVATED",IF(J2519&lt;&gt;"","?FAMILIAR",IF(F2519="NEW",IF(ISNA(VLOOKUP(E2519,#REF!,1,FALSE())),"?TYPE_IDENTIFIABLE","?REFERENTIAL"),"_")))))</f>
        <v> </v>
      </c>
      <c r="H2519" s="25" t="str">
        <f>IF(J2519&lt;&gt;1,"",IF(I2519="SBJ","CB","?"))</f>
        <v> </v>
      </c>
      <c r="I2519" s="26" t="str">
        <f>IF(OR(E2519="",E2519="!!!",F2519="NEW"),"",INDEX(B2518:B$2,-1+SUMPRODUCT(MAX(ROW(E2518:E$2)*(E2519=E2518:E$2)))))</f>
        <v> </v>
      </c>
      <c r="J2519" s="26" t="str">
        <f>IF(OR(E2519="",E2519="!!!",F2519="NEW"),"",COUNTBLANK(OFFSET(A$1,,,SUMPRODUCT(MAX(ROW(E$2:E2519)*(E2519=E$2:E2519)))))-COUNTBLANK(OFFSET(A$1,,,SUMPRODUCT(MAX(ROW(E$1:E2518)*(E2=E$1:E2518))))))</f>
        <v> </v>
      </c>
      <c r="K2519" s="26" t="str">
        <f>IF(OR(E2519="",E2519="!!!",F2519="NEW"),"",INDEX(J$1:J2518,SUMPRODUCT(MAX(ROW(E$1:E2518)*(E2519=E$1:E2518)))))</f>
        <v> </v>
      </c>
      <c r="L2519" s="27"/>
    </row>
    <row r="2520" spans="1:12">
      <c r="A2520" s="20" t="s">
        <v>583</v>
      </c>
      <c r="E2520" s="22">
        <f>IF(D2520="?OLD","!!!","")</f>
        <v/>
      </c>
      <c r="F2520" s="23" t="str">
        <f>IF(OR(E2520="",E2520="!!!"),"",IF(NOT(ISNA(VLOOKUP(E2520,E$1:E2519,1,FALSE()))),"OLD",IF(AND(E2520&lt;&gt;"",E2520&lt;&gt;"!!!"),"NEW","")))</f>
        <v> </v>
      </c>
      <c r="G2520" s="24" t="str">
        <f>IF(OR(E2520="",E2520="!!!"),"",IF(OR(J2520=0,AND(J2520=1,K2520=1),AND(J2520=1,I2520="SBJ"),AND(J2520=1,I2520=0)),"?IN_FOCUS",IF(J2520&lt;=2,"?ACTIVATED",IF(J2520&lt;&gt;"","?FAMILIAR",IF(F2520="NEW",IF(ISNA(VLOOKUP(E2520,#REF!,1,FALSE())),"?TYPE_IDENTIFIABLE","?REFERENTIAL"),"_")))))</f>
        <v> </v>
      </c>
      <c r="H2520" s="25" t="str">
        <f>IF(J2520&lt;&gt;1,"",IF(I2520="SBJ","CB","?"))</f>
        <v> </v>
      </c>
      <c r="I2520" s="26" t="str">
        <f>IF(OR(E2520="",E2520="!!!",F2520="NEW"),"",INDEX(B2519:B$2,-1+SUMPRODUCT(MAX(ROW(E2519:E$2)*(E2520=E2519:E$2)))))</f>
        <v> </v>
      </c>
      <c r="J2520" s="26" t="str">
        <f>IF(OR(E2520="",E2520="!!!",F2520="NEW"),"",COUNTBLANK(OFFSET(A$1,,,SUMPRODUCT(MAX(ROW(E$2:E2520)*(E2520=E$2:E2520)))))-COUNTBLANK(OFFSET(A$1,,,SUMPRODUCT(MAX(ROW(E$1:E2519)*(E2=E$1:E2519))))))</f>
        <v> </v>
      </c>
      <c r="K2520" s="26" t="str">
        <f>IF(OR(E2520="",E2520="!!!",F2520="NEW"),"",INDEX(J$1:J2519,SUMPRODUCT(MAX(ROW(E$1:E2519)*(E2520=E$1:E2519)))))</f>
        <v> </v>
      </c>
      <c r="L2520" s="27"/>
    </row>
    <row r="2521" spans="1:12">
      <c r="A2521" s="20" t="s">
        <v>1702</v>
      </c>
      <c r="E2521" s="22">
        <f>IF(D2521="?OLD","!!!","")</f>
        <v/>
      </c>
      <c r="F2521" s="23" t="str">
        <f>IF(OR(E2521="",E2521="!!!"),"",IF(NOT(ISNA(VLOOKUP(E2521,E$1:E2520,1,FALSE()))),"OLD",IF(AND(E2521&lt;&gt;"",E2521&lt;&gt;"!!!"),"NEW","")))</f>
        <v> </v>
      </c>
      <c r="G2521" s="24" t="str">
        <f>IF(OR(E2521="",E2521="!!!"),"",IF(OR(J2521=0,AND(J2521=1,K2521=1),AND(J2521=1,I2521="SBJ"),AND(J2521=1,I2521=0)),"?IN_FOCUS",IF(J2521&lt;=2,"?ACTIVATED",IF(J2521&lt;&gt;"","?FAMILIAR",IF(F2521="NEW",IF(ISNA(VLOOKUP(E2521,#REF!,1,FALSE())),"?TYPE_IDENTIFIABLE","?REFERENTIAL"),"_")))))</f>
        <v> </v>
      </c>
      <c r="H2521" s="25" t="str">
        <f>IF(J2521&lt;&gt;1,"",IF(I2521="SBJ","CB","?"))</f>
        <v> </v>
      </c>
      <c r="I2521" s="26" t="str">
        <f>IF(OR(E2521="",E2521="!!!",F2521="NEW"),"",INDEX(B2520:B$2,-1+SUMPRODUCT(MAX(ROW(E2520:E$2)*(E2521=E2520:E$2)))))</f>
        <v> </v>
      </c>
      <c r="J2521" s="26" t="str">
        <f>IF(OR(E2521="",E2521="!!!",F2521="NEW"),"",COUNTBLANK(OFFSET(A$1,,,SUMPRODUCT(MAX(ROW(E$2:E2521)*(E2521=E$2:E2521)))))-COUNTBLANK(OFFSET(A$1,,,SUMPRODUCT(MAX(ROW(E$1:E2520)*(E2=E$1:E2520))))))</f>
        <v> </v>
      </c>
      <c r="K2521" s="26" t="str">
        <f>IF(OR(E2521="",E2521="!!!",F2521="NEW"),"",INDEX(J$1:J2520,SUMPRODUCT(MAX(ROW(E$1:E2520)*(E2521=E$1:E2520)))))</f>
        <v> </v>
      </c>
      <c r="L2521" s="27"/>
    </row>
    <row r="2522" spans="1:12">
      <c r="A2522" s="20" t="s">
        <v>630</v>
      </c>
      <c r="E2522" s="22">
        <f>IF(D2522="?OLD","!!!","")</f>
        <v/>
      </c>
      <c r="F2522" s="23" t="str">
        <f>IF(OR(E2522="",E2522="!!!"),"",IF(NOT(ISNA(VLOOKUP(E2522,E$1:E2521,1,FALSE()))),"OLD",IF(AND(E2522&lt;&gt;"",E2522&lt;&gt;"!!!"),"NEW","")))</f>
        <v> </v>
      </c>
      <c r="G2522" s="24" t="str">
        <f>IF(OR(E2522="",E2522="!!!"),"",IF(OR(J2522=0,AND(J2522=1,K2522=1),AND(J2522=1,I2522="SBJ"),AND(J2522=1,I2522=0)),"?IN_FOCUS",IF(J2522&lt;=2,"?ACTIVATED",IF(J2522&lt;&gt;"","?FAMILIAR",IF(F2522="NEW",IF(ISNA(VLOOKUP(E2522,#REF!,1,FALSE())),"?TYPE_IDENTIFIABLE","?REFERENTIAL"),"_")))))</f>
        <v> </v>
      </c>
      <c r="H2522" s="25" t="str">
        <f>IF(J2522&lt;&gt;1,"",IF(I2522="SBJ","CB","?"))</f>
        <v> </v>
      </c>
      <c r="I2522" s="26" t="str">
        <f>IF(OR(E2522="",E2522="!!!",F2522="NEW"),"",INDEX(B2521:B$2,-1+SUMPRODUCT(MAX(ROW(E2521:E$2)*(E2522=E2521:E$2)))))</f>
        <v> </v>
      </c>
      <c r="J2522" s="26" t="str">
        <f>IF(OR(E2522="",E2522="!!!",F2522="NEW"),"",COUNTBLANK(OFFSET(A$1,,,SUMPRODUCT(MAX(ROW(E$2:E2522)*(E2522=E$2:E2522)))))-COUNTBLANK(OFFSET(A$1,,,SUMPRODUCT(MAX(ROW(E$1:E2521)*(E2=E$1:E2521))))))</f>
        <v> </v>
      </c>
      <c r="K2522" s="26" t="str">
        <f>IF(OR(E2522="",E2522="!!!",F2522="NEW"),"",INDEX(J$1:J2521,SUMPRODUCT(MAX(ROW(E$1:E2521)*(E2522=E$1:E2521)))))</f>
        <v> </v>
      </c>
      <c r="L2522" s="27"/>
    </row>
    <row r="2523" spans="1:12">
      <c r="A2523" s="20" t="s">
        <v>1703</v>
      </c>
      <c r="E2523" s="22">
        <f>IF(D2523="?OLD","!!!","")</f>
        <v/>
      </c>
      <c r="F2523" s="23" t="str">
        <f>IF(OR(E2523="",E2523="!!!"),"",IF(NOT(ISNA(VLOOKUP(E2523,E$1:E2522,1,FALSE()))),"OLD",IF(AND(E2523&lt;&gt;"",E2523&lt;&gt;"!!!"),"NEW","")))</f>
        <v> </v>
      </c>
      <c r="G2523" s="24" t="str">
        <f>IF(OR(E2523="",E2523="!!!"),"",IF(OR(J2523=0,AND(J2523=1,K2523=1),AND(J2523=1,I2523="SBJ"),AND(J2523=1,I2523=0)),"?IN_FOCUS",IF(J2523&lt;=2,"?ACTIVATED",IF(J2523&lt;&gt;"","?FAMILIAR",IF(F2523="NEW",IF(ISNA(VLOOKUP(E2523,#REF!,1,FALSE())),"?TYPE_IDENTIFIABLE","?REFERENTIAL"),"_")))))</f>
        <v> </v>
      </c>
      <c r="H2523" s="25" t="str">
        <f>IF(J2523&lt;&gt;1,"",IF(I2523="SBJ","CB","?"))</f>
        <v> </v>
      </c>
      <c r="I2523" s="26" t="str">
        <f>IF(OR(E2523="",E2523="!!!",F2523="NEW"),"",INDEX(B2522:B$2,-1+SUMPRODUCT(MAX(ROW(E2522:E$2)*(E2523=E2522:E$2)))))</f>
        <v> </v>
      </c>
      <c r="J2523" s="26" t="str">
        <f>IF(OR(E2523="",E2523="!!!",F2523="NEW"),"",COUNTBLANK(OFFSET(A$1,,,SUMPRODUCT(MAX(ROW(E$2:E2523)*(E2523=E$2:E2523)))))-COUNTBLANK(OFFSET(A$1,,,SUMPRODUCT(MAX(ROW(E$1:E2522)*(E2=E$1:E2522))))))</f>
        <v> </v>
      </c>
      <c r="K2523" s="26" t="str">
        <f>IF(OR(E2523="",E2523="!!!",F2523="NEW"),"",INDEX(J$1:J2522,SUMPRODUCT(MAX(ROW(E$1:E2522)*(E2523=E$1:E2522)))))</f>
        <v> </v>
      </c>
      <c r="L2523" s="27"/>
    </row>
    <row r="2524" spans="1:12">
      <c r="A2524" s="20" t="s">
        <v>888</v>
      </c>
      <c r="E2524" s="22">
        <f>IF(D2524="?OLD","!!!","")</f>
        <v/>
      </c>
      <c r="F2524" s="23" t="str">
        <f>IF(OR(E2524="",E2524="!!!"),"",IF(NOT(ISNA(VLOOKUP(E2524,E$1:E2523,1,FALSE()))),"OLD",IF(AND(E2524&lt;&gt;"",E2524&lt;&gt;"!!!"),"NEW","")))</f>
        <v> </v>
      </c>
      <c r="G2524" s="24" t="str">
        <f>IF(OR(E2524="",E2524="!!!"),"",IF(OR(J2524=0,AND(J2524=1,K2524=1),AND(J2524=1,I2524="SBJ"),AND(J2524=1,I2524=0)),"?IN_FOCUS",IF(J2524&lt;=2,"?ACTIVATED",IF(J2524&lt;&gt;"","?FAMILIAR",IF(F2524="NEW",IF(ISNA(VLOOKUP(E2524,#REF!,1,FALSE())),"?TYPE_IDENTIFIABLE","?REFERENTIAL"),"_")))))</f>
        <v> </v>
      </c>
      <c r="H2524" s="25" t="str">
        <f>IF(J2524&lt;&gt;1,"",IF(I2524="SBJ","CB","?"))</f>
        <v> </v>
      </c>
      <c r="I2524" s="26" t="str">
        <f>IF(OR(E2524="",E2524="!!!",F2524="NEW"),"",INDEX(B2523:B$2,-1+SUMPRODUCT(MAX(ROW(E2523:E$2)*(E2524=E2523:E$2)))))</f>
        <v> </v>
      </c>
      <c r="J2524" s="26" t="str">
        <f>IF(OR(E2524="",E2524="!!!",F2524="NEW"),"",COUNTBLANK(OFFSET(A$1,,,SUMPRODUCT(MAX(ROW(E$2:E2524)*(E2524=E$2:E2524)))))-COUNTBLANK(OFFSET(A$1,,,SUMPRODUCT(MAX(ROW(E$1:E2523)*(E2=E$1:E2523))))))</f>
        <v> </v>
      </c>
      <c r="K2524" s="26" t="str">
        <f>IF(OR(E2524="",E2524="!!!",F2524="NEW"),"",INDEX(J$1:J2523,SUMPRODUCT(MAX(ROW(E$1:E2523)*(E2524=E$1:E2523)))))</f>
        <v> </v>
      </c>
      <c r="L2524" s="27"/>
    </row>
    <row r="2525" spans="1:12">
      <c r="A2525" s="20" t="s">
        <v>638</v>
      </c>
      <c r="E2525" s="22">
        <f>IF(D2525="?OLD","!!!","")</f>
        <v/>
      </c>
      <c r="F2525" s="23" t="str">
        <f>IF(OR(E2525="",E2525="!!!"),"",IF(NOT(ISNA(VLOOKUP(E2525,E$1:E2524,1,FALSE()))),"OLD",IF(AND(E2525&lt;&gt;"",E2525&lt;&gt;"!!!"),"NEW","")))</f>
        <v> </v>
      </c>
      <c r="G2525" s="24" t="str">
        <f>IF(OR(E2525="",E2525="!!!"),"",IF(OR(J2525=0,AND(J2525=1,K2525=1),AND(J2525=1,I2525="SBJ"),AND(J2525=1,I2525=0)),"?IN_FOCUS",IF(J2525&lt;=2,"?ACTIVATED",IF(J2525&lt;&gt;"","?FAMILIAR",IF(F2525="NEW",IF(ISNA(VLOOKUP(E2525,#REF!,1,FALSE())),"?TYPE_IDENTIFIABLE","?REFERENTIAL"),"_")))))</f>
        <v> </v>
      </c>
      <c r="H2525" s="25" t="str">
        <f>IF(J2525&lt;&gt;1,"",IF(I2525="SBJ","CB","?"))</f>
        <v> </v>
      </c>
      <c r="I2525" s="26" t="str">
        <f>IF(OR(E2525="",E2525="!!!",F2525="NEW"),"",INDEX(B2524:B$2,-1+SUMPRODUCT(MAX(ROW(E2524:E$2)*(E2525=E2524:E$2)))))</f>
        <v> </v>
      </c>
      <c r="J2525" s="26" t="str">
        <f>IF(OR(E2525="",E2525="!!!",F2525="NEW"),"",COUNTBLANK(OFFSET(A$1,,,SUMPRODUCT(MAX(ROW(E$2:E2525)*(E2525=E$2:E2525)))))-COUNTBLANK(OFFSET(A$1,,,SUMPRODUCT(MAX(ROW(E$1:E2524)*(E2=E$1:E2524))))))</f>
        <v> </v>
      </c>
      <c r="K2525" s="26" t="str">
        <f>IF(OR(E2525="",E2525="!!!",F2525="NEW"),"",INDEX(J$1:J2524,SUMPRODUCT(MAX(ROW(E$1:E2524)*(E2525=E$1:E2524)))))</f>
        <v> </v>
      </c>
      <c r="L2525" s="27"/>
    </row>
    <row r="2526" spans="1:12">
      <c r="A2526" s="20" t="s">
        <v>592</v>
      </c>
      <c r="E2526" s="22">
        <f>IF(D2526="?OLD","!!!","")</f>
        <v/>
      </c>
      <c r="F2526" s="23" t="str">
        <f>IF(OR(E2526="",E2526="!!!"),"",IF(NOT(ISNA(VLOOKUP(E2526,E$1:E2525,1,FALSE()))),"OLD",IF(AND(E2526&lt;&gt;"",E2526&lt;&gt;"!!!"),"NEW","")))</f>
        <v> </v>
      </c>
      <c r="G2526" s="24" t="str">
        <f>IF(OR(E2526="",E2526="!!!"),"",IF(OR(J2526=0,AND(J2526=1,K2526=1),AND(J2526=1,I2526="SBJ"),AND(J2526=1,I2526=0)),"?IN_FOCUS",IF(J2526&lt;=2,"?ACTIVATED",IF(J2526&lt;&gt;"","?FAMILIAR",IF(F2526="NEW",IF(ISNA(VLOOKUP(E2526,#REF!,1,FALSE())),"?TYPE_IDENTIFIABLE","?REFERENTIAL"),"_")))))</f>
        <v> </v>
      </c>
      <c r="H2526" s="25" t="str">
        <f>IF(J2526&lt;&gt;1,"",IF(I2526="SBJ","CB","?"))</f>
        <v> </v>
      </c>
      <c r="I2526" s="26" t="str">
        <f>IF(OR(E2526="",E2526="!!!",F2526="NEW"),"",INDEX(B2525:B$2,-1+SUMPRODUCT(MAX(ROW(E2525:E$2)*(E2526=E2525:E$2)))))</f>
        <v> </v>
      </c>
      <c r="J2526" s="26" t="str">
        <f>IF(OR(E2526="",E2526="!!!",F2526="NEW"),"",COUNTBLANK(OFFSET(A$1,,,SUMPRODUCT(MAX(ROW(E$2:E2526)*(E2526=E$2:E2526)))))-COUNTBLANK(OFFSET(A$1,,,SUMPRODUCT(MAX(ROW(E$1:E2525)*(E2=E$1:E2525))))))</f>
        <v> </v>
      </c>
      <c r="K2526" s="26" t="str">
        <f>IF(OR(E2526="",E2526="!!!",F2526="NEW"),"",INDEX(J$1:J2525,SUMPRODUCT(MAX(ROW(E$1:E2525)*(E2526=E$1:E2525)))))</f>
        <v> </v>
      </c>
      <c r="L2526" s="27"/>
    </row>
    <row r="2527" spans="1:12">
      <c r="A2527" s="20"/>
    </row>
    <row r="2528" spans="1:12">
      <c r="A2528" s="20" t="s">
        <v>1704</v>
      </c>
    </row>
    <row r="2529" spans="1:12">
      <c r="A2529" s="20" t="s">
        <v>594</v>
      </c>
      <c r="B2529" s="21" t="s">
        <v>578</v>
      </c>
      <c r="C2529" s="21" t="s">
        <v>586</v>
      </c>
      <c r="D2529" s="21" t="s">
        <v>587</v>
      </c>
      <c r="E2529" s="22">
        <f>IF(D2529="?OLD","!!!","")</f>
        <v/>
      </c>
      <c r="F2529" s="23" t="str">
        <f>IF(OR(E2529="",E2529="!!!"),"",IF(NOT(ISNA(VLOOKUP(E2529,E$1:E2528,1,FALSE()))),"OLD",IF(AND(E2529&lt;&gt;"",E2529&lt;&gt;"!!!"),"NEW","")))</f>
        <v> </v>
      </c>
      <c r="G2529" s="24" t="str">
        <f>IF(OR(E2529="",E2529="!!!"),"",IF(OR(J2529=0,AND(J2529=1,K2529=1),AND(J2529=1,I2529="SBJ"),AND(J2529=1,I2529=0)),"?IN_FOCUS",IF(J2529&lt;=2,"?ACTIVATED",IF(J2529&lt;&gt;"","?FAMILIAR",IF(F2529="NEW",IF(ISNA(VLOOKUP(E2529,#REF!,1,FALSE())),"?TYPE_IDENTIFIABLE","?REFERENTIAL"),"_")))))</f>
        <v> </v>
      </c>
      <c r="H2529" s="25" t="str">
        <f>IF(J2529&lt;&gt;1,"",IF(I2529="SBJ","CB","?"))</f>
        <v> </v>
      </c>
      <c r="I2529" s="26" t="str">
        <f>IF(OR(E2529="",E2529="!!!",F2529="NEW"),"",INDEX(B2528:B$2,-1+SUMPRODUCT(MAX(ROW(E2528:E$2)*(E2529=E2528:E$2)))))</f>
        <v> </v>
      </c>
      <c r="J2529" s="26" t="str">
        <f>IF(OR(E2529="",E2529="!!!",F2529="NEW"),"",COUNTBLANK(OFFSET(A$1,,,SUMPRODUCT(MAX(ROW(E$2:E2529)*(E2529=E$2:E2529)))))-COUNTBLANK(OFFSET(A$1,,,SUMPRODUCT(MAX(ROW(E$1:E2528)*(E2=E$1:E2528))))))</f>
        <v> </v>
      </c>
      <c r="K2529" s="26" t="str">
        <f>IF(OR(E2529="",E2529="!!!",F2529="NEW"),"",INDEX(J$1:J2528,SUMPRODUCT(MAX(ROW(E$1:E2528)*(E2529=E$1:E2528)))))</f>
        <v> </v>
      </c>
      <c r="L2529" s="27"/>
    </row>
    <row r="2530" spans="1:12">
      <c r="A2530" s="20" t="s">
        <v>1705</v>
      </c>
      <c r="E2530" s="22">
        <f>IF(D2530="?OLD","!!!","")</f>
        <v/>
      </c>
      <c r="F2530" s="23" t="str">
        <f>IF(OR(E2530="",E2530="!!!"),"",IF(NOT(ISNA(VLOOKUP(E2530,E$1:E2529,1,FALSE()))),"OLD",IF(AND(E2530&lt;&gt;"",E2530&lt;&gt;"!!!"),"NEW","")))</f>
        <v> </v>
      </c>
      <c r="G2530" s="24" t="str">
        <f>IF(OR(E2530="",E2530="!!!"),"",IF(OR(J2530=0,AND(J2530=1,K2530=1),AND(J2530=1,I2530="SBJ"),AND(J2530=1,I2530=0)),"?IN_FOCUS",IF(J2530&lt;=2,"?ACTIVATED",IF(J2530&lt;&gt;"","?FAMILIAR",IF(F2530="NEW",IF(ISNA(VLOOKUP(E2530,#REF!,1,FALSE())),"?TYPE_IDENTIFIABLE","?REFERENTIAL"),"_")))))</f>
        <v> </v>
      </c>
      <c r="H2530" s="25" t="str">
        <f>IF(J2530&lt;&gt;1,"",IF(I2530="SBJ","CB","?"))</f>
        <v> </v>
      </c>
      <c r="I2530" s="26" t="str">
        <f>IF(OR(E2530="",E2530="!!!",F2530="NEW"),"",INDEX(B2529:B$2,-1+SUMPRODUCT(MAX(ROW(E2529:E$2)*(E2530=E2529:E$2)))))</f>
        <v> </v>
      </c>
      <c r="J2530" s="26" t="str">
        <f>IF(OR(E2530="",E2530="!!!",F2530="NEW"),"",COUNTBLANK(OFFSET(A$1,,,SUMPRODUCT(MAX(ROW(E$2:E2530)*(E2530=E$2:E2530)))))-COUNTBLANK(OFFSET(A$1,,,SUMPRODUCT(MAX(ROW(E$1:E2529)*(E2=E$1:E2529))))))</f>
        <v> </v>
      </c>
      <c r="K2530" s="26" t="str">
        <f>IF(OR(E2530="",E2530="!!!",F2530="NEW"),"",INDEX(J$1:J2529,SUMPRODUCT(MAX(ROW(E$1:E2529)*(E2530=E$1:E2529)))))</f>
        <v> </v>
      </c>
      <c r="L2530" s="27"/>
    </row>
    <row r="2531" spans="1:12">
      <c r="A2531" s="20" t="s">
        <v>25</v>
      </c>
      <c r="E2531" s="22">
        <f>IF(D2531="?OLD","!!!","")</f>
        <v/>
      </c>
      <c r="F2531" s="23" t="str">
        <f>IF(OR(E2531="",E2531="!!!"),"",IF(NOT(ISNA(VLOOKUP(E2531,E$1:E2530,1,FALSE()))),"OLD",IF(AND(E2531&lt;&gt;"",E2531&lt;&gt;"!!!"),"NEW","")))</f>
        <v> </v>
      </c>
      <c r="G2531" s="24" t="str">
        <f>IF(OR(E2531="",E2531="!!!"),"",IF(OR(J2531=0,AND(J2531=1,K2531=1),AND(J2531=1,I2531="SBJ"),AND(J2531=1,I2531=0)),"?IN_FOCUS",IF(J2531&lt;=2,"?ACTIVATED",IF(J2531&lt;&gt;"","?FAMILIAR",IF(F2531="NEW",IF(ISNA(VLOOKUP(E2531,#REF!,1,FALSE())),"?TYPE_IDENTIFIABLE","?REFERENTIAL"),"_")))))</f>
        <v> </v>
      </c>
      <c r="H2531" s="25" t="str">
        <f>IF(J2531&lt;&gt;1,"",IF(I2531="SBJ","CB","?"))</f>
        <v> </v>
      </c>
      <c r="I2531" s="26" t="str">
        <f>IF(OR(E2531="",E2531="!!!",F2531="NEW"),"",INDEX(B2530:B$2,-1+SUMPRODUCT(MAX(ROW(E2530:E$2)*(E2531=E2530:E$2)))))</f>
        <v> </v>
      </c>
      <c r="J2531" s="26" t="str">
        <f>IF(OR(E2531="",E2531="!!!",F2531="NEW"),"",COUNTBLANK(OFFSET(A$1,,,SUMPRODUCT(MAX(ROW(E$2:E2531)*(E2531=E$2:E2531)))))-COUNTBLANK(OFFSET(A$1,,,SUMPRODUCT(MAX(ROW(E$1:E2530)*(E2=E$1:E2530))))))</f>
        <v> </v>
      </c>
      <c r="K2531" s="26" t="str">
        <f>IF(OR(E2531="",E2531="!!!",F2531="NEW"),"",INDEX(J$1:J2530,SUMPRODUCT(MAX(ROW(E$1:E2530)*(E2531=E$1:E2530)))))</f>
        <v> </v>
      </c>
      <c r="L2531" s="27"/>
    </row>
    <row r="2532" spans="1:12">
      <c r="A2532" s="20" t="s">
        <v>583</v>
      </c>
      <c r="E2532" s="22">
        <f>IF(D2532="?OLD","!!!","")</f>
        <v/>
      </c>
      <c r="F2532" s="23" t="str">
        <f>IF(OR(E2532="",E2532="!!!"),"",IF(NOT(ISNA(VLOOKUP(E2532,E$1:E2531,1,FALSE()))),"OLD",IF(AND(E2532&lt;&gt;"",E2532&lt;&gt;"!!!"),"NEW","")))</f>
        <v> </v>
      </c>
      <c r="G2532" s="24" t="str">
        <f>IF(OR(E2532="",E2532="!!!"),"",IF(OR(J2532=0,AND(J2532=1,K2532=1),AND(J2532=1,I2532="SBJ"),AND(J2532=1,I2532=0)),"?IN_FOCUS",IF(J2532&lt;=2,"?ACTIVATED",IF(J2532&lt;&gt;"","?FAMILIAR",IF(F2532="NEW",IF(ISNA(VLOOKUP(E2532,#REF!,1,FALSE())),"?TYPE_IDENTIFIABLE","?REFERENTIAL"),"_")))))</f>
        <v> </v>
      </c>
      <c r="H2532" s="25" t="str">
        <f>IF(J2532&lt;&gt;1,"",IF(I2532="SBJ","CB","?"))</f>
        <v> </v>
      </c>
      <c r="I2532" s="26" t="str">
        <f>IF(OR(E2532="",E2532="!!!",F2532="NEW"),"",INDEX(B2531:B$2,-1+SUMPRODUCT(MAX(ROW(E2531:E$2)*(E2532=E2531:E$2)))))</f>
        <v> </v>
      </c>
      <c r="J2532" s="26" t="str">
        <f>IF(OR(E2532="",E2532="!!!",F2532="NEW"),"",COUNTBLANK(OFFSET(A$1,,,SUMPRODUCT(MAX(ROW(E$2:E2532)*(E2532=E$2:E2532)))))-COUNTBLANK(OFFSET(A$1,,,SUMPRODUCT(MAX(ROW(E$1:E2531)*(E2=E$1:E2531))))))</f>
        <v> </v>
      </c>
      <c r="K2532" s="26" t="str">
        <f>IF(OR(E2532="",E2532="!!!",F2532="NEW"),"",INDEX(J$1:J2531,SUMPRODUCT(MAX(ROW(E$1:E2531)*(E2532=E$1:E2531)))))</f>
        <v> </v>
      </c>
      <c r="L2532" s="27"/>
    </row>
    <row r="2533" spans="1:12">
      <c r="A2533" s="20" t="s">
        <v>630</v>
      </c>
      <c r="E2533" s="22">
        <f>IF(D2533="?OLD","!!!","")</f>
        <v/>
      </c>
      <c r="F2533" s="23" t="str">
        <f>IF(OR(E2533="",E2533="!!!"),"",IF(NOT(ISNA(VLOOKUP(E2533,E$1:E2532,1,FALSE()))),"OLD",IF(AND(E2533&lt;&gt;"",E2533&lt;&gt;"!!!"),"NEW","")))</f>
        <v> </v>
      </c>
      <c r="G2533" s="24" t="str">
        <f>IF(OR(E2533="",E2533="!!!"),"",IF(OR(J2533=0,AND(J2533=1,K2533=1),AND(J2533=1,I2533="SBJ"),AND(J2533=1,I2533=0)),"?IN_FOCUS",IF(J2533&lt;=2,"?ACTIVATED",IF(J2533&lt;&gt;"","?FAMILIAR",IF(F2533="NEW",IF(ISNA(VLOOKUP(E2533,#REF!,1,FALSE())),"?TYPE_IDENTIFIABLE","?REFERENTIAL"),"_")))))</f>
        <v> </v>
      </c>
      <c r="H2533" s="25" t="str">
        <f>IF(J2533&lt;&gt;1,"",IF(I2533="SBJ","CB","?"))</f>
        <v> </v>
      </c>
      <c r="I2533" s="26" t="str">
        <f>IF(OR(E2533="",E2533="!!!",F2533="NEW"),"",INDEX(B2532:B$2,-1+SUMPRODUCT(MAX(ROW(E2532:E$2)*(E2533=E2532:E$2)))))</f>
        <v> </v>
      </c>
      <c r="J2533" s="26" t="str">
        <f>IF(OR(E2533="",E2533="!!!",F2533="NEW"),"",COUNTBLANK(OFFSET(A$1,,,SUMPRODUCT(MAX(ROW(E$2:E2533)*(E2533=E$2:E2533)))))-COUNTBLANK(OFFSET(A$1,,,SUMPRODUCT(MAX(ROW(E$1:E2532)*(E2=E$1:E2532))))))</f>
        <v> </v>
      </c>
      <c r="K2533" s="26" t="str">
        <f>IF(OR(E2533="",E2533="!!!",F2533="NEW"),"",INDEX(J$1:J2532,SUMPRODUCT(MAX(ROW(E$1:E2532)*(E2533=E$1:E2532)))))</f>
        <v> </v>
      </c>
      <c r="L2533" s="27"/>
    </row>
    <row r="2534" spans="1:12">
      <c r="A2534" s="20" t="s">
        <v>1164</v>
      </c>
      <c r="E2534" s="22">
        <f>IF(D2534="?OLD","!!!","")</f>
        <v/>
      </c>
      <c r="F2534" s="23" t="str">
        <f>IF(OR(E2534="",E2534="!!!"),"",IF(NOT(ISNA(VLOOKUP(E2534,E$1:E2533,1,FALSE()))),"OLD",IF(AND(E2534&lt;&gt;"",E2534&lt;&gt;"!!!"),"NEW","")))</f>
        <v> </v>
      </c>
      <c r="G2534" s="24" t="str">
        <f>IF(OR(E2534="",E2534="!!!"),"",IF(OR(J2534=0,AND(J2534=1,K2534=1),AND(J2534=1,I2534="SBJ"),AND(J2534=1,I2534=0)),"?IN_FOCUS",IF(J2534&lt;=2,"?ACTIVATED",IF(J2534&lt;&gt;"","?FAMILIAR",IF(F2534="NEW",IF(ISNA(VLOOKUP(E2534,#REF!,1,FALSE())),"?TYPE_IDENTIFIABLE","?REFERENTIAL"),"_")))))</f>
        <v> </v>
      </c>
      <c r="H2534" s="25" t="str">
        <f>IF(J2534&lt;&gt;1,"",IF(I2534="SBJ","CB","?"))</f>
        <v> </v>
      </c>
      <c r="I2534" s="26" t="str">
        <f>IF(OR(E2534="",E2534="!!!",F2534="NEW"),"",INDEX(B2533:B$2,-1+SUMPRODUCT(MAX(ROW(E2533:E$2)*(E2534=E2533:E$2)))))</f>
        <v> </v>
      </c>
      <c r="J2534" s="26" t="str">
        <f>IF(OR(E2534="",E2534="!!!",F2534="NEW"),"",COUNTBLANK(OFFSET(A$1,,,SUMPRODUCT(MAX(ROW(E$2:E2534)*(E2534=E$2:E2534)))))-COUNTBLANK(OFFSET(A$1,,,SUMPRODUCT(MAX(ROW(E$1:E2533)*(E2=E$1:E2533))))))</f>
        <v> </v>
      </c>
      <c r="K2534" s="26" t="str">
        <f>IF(OR(E2534="",E2534="!!!",F2534="NEW"),"",INDEX(J$1:J2533,SUMPRODUCT(MAX(ROW(E$1:E2533)*(E2534=E$1:E2533)))))</f>
        <v> </v>
      </c>
      <c r="L2534" s="27"/>
    </row>
    <row r="2535" spans="1:12">
      <c r="A2535" s="20" t="s">
        <v>782</v>
      </c>
      <c r="E2535" s="22">
        <f>IF(D2535="?OLD","!!!","")</f>
        <v/>
      </c>
      <c r="F2535" s="23" t="str">
        <f>IF(OR(E2535="",E2535="!!!"),"",IF(NOT(ISNA(VLOOKUP(E2535,E$1:E2534,1,FALSE()))),"OLD",IF(AND(E2535&lt;&gt;"",E2535&lt;&gt;"!!!"),"NEW","")))</f>
        <v> </v>
      </c>
      <c r="G2535" s="24" t="str">
        <f>IF(OR(E2535="",E2535="!!!"),"",IF(OR(J2535=0,AND(J2535=1,K2535=1),AND(J2535=1,I2535="SBJ"),AND(J2535=1,I2535=0)),"?IN_FOCUS",IF(J2535&lt;=2,"?ACTIVATED",IF(J2535&lt;&gt;"","?FAMILIAR",IF(F2535="NEW",IF(ISNA(VLOOKUP(E2535,#REF!,1,FALSE())),"?TYPE_IDENTIFIABLE","?REFERENTIAL"),"_")))))</f>
        <v> </v>
      </c>
      <c r="H2535" s="25" t="str">
        <f>IF(J2535&lt;&gt;1,"",IF(I2535="SBJ","CB","?"))</f>
        <v> </v>
      </c>
      <c r="I2535" s="26" t="str">
        <f>IF(OR(E2535="",E2535="!!!",F2535="NEW"),"",INDEX(B2534:B$2,-1+SUMPRODUCT(MAX(ROW(E2534:E$2)*(E2535=E2534:E$2)))))</f>
        <v> </v>
      </c>
      <c r="J2535" s="26" t="str">
        <f>IF(OR(E2535="",E2535="!!!",F2535="NEW"),"",COUNTBLANK(OFFSET(A$1,,,SUMPRODUCT(MAX(ROW(E$2:E2535)*(E2535=E$2:E2535)))))-COUNTBLANK(OFFSET(A$1,,,SUMPRODUCT(MAX(ROW(E$1:E2534)*(E2=E$1:E2534))))))</f>
        <v> </v>
      </c>
      <c r="K2535" s="26" t="str">
        <f>IF(OR(E2535="",E2535="!!!",F2535="NEW"),"",INDEX(J$1:J2534,SUMPRODUCT(MAX(ROW(E$1:E2534)*(E2535=E$1:E2534)))))</f>
        <v> </v>
      </c>
      <c r="L2535" s="27"/>
    </row>
    <row r="2536" spans="1:12">
      <c r="A2536" s="20" t="s">
        <v>1551</v>
      </c>
      <c r="B2536" s="21" t="s">
        <v>585</v>
      </c>
      <c r="C2536" s="21" t="s">
        <v>709</v>
      </c>
      <c r="D2536" s="21" t="s">
        <v>587</v>
      </c>
      <c r="E2536" s="22">
        <f>IF(D2536="?OLD","!!!","")</f>
        <v/>
      </c>
      <c r="F2536" s="23" t="str">
        <f>IF(OR(E2536="",E2536="!!!"),"",IF(NOT(ISNA(VLOOKUP(E2536,E$1:E2535,1,FALSE()))),"OLD",IF(AND(E2536&lt;&gt;"",E2536&lt;&gt;"!!!"),"NEW","")))</f>
        <v> </v>
      </c>
      <c r="G2536" s="24" t="str">
        <f>IF(OR(E2536="",E2536="!!!"),"",IF(OR(J2536=0,AND(J2536=1,K2536=1),AND(J2536=1,I2536="SBJ"),AND(J2536=1,I2536=0)),"?IN_FOCUS",IF(J2536&lt;=2,"?ACTIVATED",IF(J2536&lt;&gt;"","?FAMILIAR",IF(F2536="NEW",IF(ISNA(VLOOKUP(E2536,#REF!,1,FALSE())),"?TYPE_IDENTIFIABLE","?REFERENTIAL"),"_")))))</f>
        <v> </v>
      </c>
      <c r="H2536" s="25" t="str">
        <f>IF(J2536&lt;&gt;1,"",IF(I2536="SBJ","CB","?"))</f>
        <v> </v>
      </c>
      <c r="I2536" s="26" t="str">
        <f>IF(OR(E2536="",E2536="!!!",F2536="NEW"),"",INDEX(B2535:B$2,-1+SUMPRODUCT(MAX(ROW(E2535:E$2)*(E2536=E2535:E$2)))))</f>
        <v> </v>
      </c>
      <c r="J2536" s="26" t="str">
        <f>IF(OR(E2536="",E2536="!!!",F2536="NEW"),"",COUNTBLANK(OFFSET(A$1,,,SUMPRODUCT(MAX(ROW(E$2:E2536)*(E2536=E$2:E2536)))))-COUNTBLANK(OFFSET(A$1,,,SUMPRODUCT(MAX(ROW(E$1:E2535)*(E2=E$1:E2535))))))</f>
        <v> </v>
      </c>
      <c r="K2536" s="26" t="str">
        <f>IF(OR(E2536="",E2536="!!!",F2536="NEW"),"",INDEX(J$1:J2535,SUMPRODUCT(MAX(ROW(E$1:E2535)*(E2536=E$1:E2535)))))</f>
        <v> </v>
      </c>
      <c r="L2536" s="27"/>
    </row>
    <row r="2537" spans="1:12">
      <c r="A2537" s="20" t="s">
        <v>583</v>
      </c>
      <c r="E2537" s="22">
        <f>IF(D2537="?OLD","!!!","")</f>
        <v/>
      </c>
      <c r="F2537" s="23" t="str">
        <f>IF(OR(E2537="",E2537="!!!"),"",IF(NOT(ISNA(VLOOKUP(E2537,E$1:E2536,1,FALSE()))),"OLD",IF(AND(E2537&lt;&gt;"",E2537&lt;&gt;"!!!"),"NEW","")))</f>
        <v> </v>
      </c>
      <c r="G2537" s="24" t="str">
        <f>IF(OR(E2537="",E2537="!!!"),"",IF(OR(J2537=0,AND(J2537=1,K2537=1),AND(J2537=1,I2537="SBJ"),AND(J2537=1,I2537=0)),"?IN_FOCUS",IF(J2537&lt;=2,"?ACTIVATED",IF(J2537&lt;&gt;"","?FAMILIAR",IF(F2537="NEW",IF(ISNA(VLOOKUP(E2537,#REF!,1,FALSE())),"?TYPE_IDENTIFIABLE","?REFERENTIAL"),"_")))))</f>
        <v> </v>
      </c>
      <c r="H2537" s="25" t="str">
        <f>IF(J2537&lt;&gt;1,"",IF(I2537="SBJ","CB","?"))</f>
        <v> </v>
      </c>
      <c r="I2537" s="26" t="str">
        <f>IF(OR(E2537="",E2537="!!!",F2537="NEW"),"",INDEX(B2536:B$2,-1+SUMPRODUCT(MAX(ROW(E2536:E$2)*(E2537=E2536:E$2)))))</f>
        <v> </v>
      </c>
      <c r="J2537" s="26" t="str">
        <f>IF(OR(E2537="",E2537="!!!",F2537="NEW"),"",COUNTBLANK(OFFSET(A$1,,,SUMPRODUCT(MAX(ROW(E$2:E2537)*(E2537=E$2:E2537)))))-COUNTBLANK(OFFSET(A$1,,,SUMPRODUCT(MAX(ROW(E$1:E2536)*(E2=E$1:E2536))))))</f>
        <v> </v>
      </c>
      <c r="K2537" s="26" t="str">
        <f>IF(OR(E2537="",E2537="!!!",F2537="NEW"),"",INDEX(J$1:J2536,SUMPRODUCT(MAX(ROW(E$1:E2536)*(E2537=E$1:E2536)))))</f>
        <v> </v>
      </c>
      <c r="L2537" s="27"/>
    </row>
    <row r="2538" spans="1:12">
      <c r="A2538" s="20" t="s">
        <v>1460</v>
      </c>
      <c r="E2538" s="22">
        <f>IF(D2538="?OLD","!!!","")</f>
        <v/>
      </c>
      <c r="F2538" s="23" t="str">
        <f>IF(OR(E2538="",E2538="!!!"),"",IF(NOT(ISNA(VLOOKUP(E2538,E$1:E2537,1,FALSE()))),"OLD",IF(AND(E2538&lt;&gt;"",E2538&lt;&gt;"!!!"),"NEW","")))</f>
        <v> </v>
      </c>
      <c r="G2538" s="24" t="str">
        <f>IF(OR(E2538="",E2538="!!!"),"",IF(OR(J2538=0,AND(J2538=1,K2538=1),AND(J2538=1,I2538="SBJ"),AND(J2538=1,I2538=0)),"?IN_FOCUS",IF(J2538&lt;=2,"?ACTIVATED",IF(J2538&lt;&gt;"","?FAMILIAR",IF(F2538="NEW",IF(ISNA(VLOOKUP(E2538,#REF!,1,FALSE())),"?TYPE_IDENTIFIABLE","?REFERENTIAL"),"_")))))</f>
        <v> </v>
      </c>
      <c r="H2538" s="25" t="str">
        <f>IF(J2538&lt;&gt;1,"",IF(I2538="SBJ","CB","?"))</f>
        <v> </v>
      </c>
      <c r="I2538" s="26" t="str">
        <f>IF(OR(E2538="",E2538="!!!",F2538="NEW"),"",INDEX(B2537:B$2,-1+SUMPRODUCT(MAX(ROW(E2537:E$2)*(E2538=E2537:E$2)))))</f>
        <v> </v>
      </c>
      <c r="J2538" s="26" t="str">
        <f>IF(OR(E2538="",E2538="!!!",F2538="NEW"),"",COUNTBLANK(OFFSET(A$1,,,SUMPRODUCT(MAX(ROW(E$2:E2538)*(E2538=E$2:E2538)))))-COUNTBLANK(OFFSET(A$1,,,SUMPRODUCT(MAX(ROW(E$1:E2537)*(E2=E$1:E2537))))))</f>
        <v> </v>
      </c>
      <c r="K2538" s="26" t="str">
        <f>IF(OR(E2538="",E2538="!!!",F2538="NEW"),"",INDEX(J$1:J2537,SUMPRODUCT(MAX(ROW(E$1:E2537)*(E2538=E$1:E2537)))))</f>
        <v> </v>
      </c>
      <c r="L2538" s="27"/>
    </row>
    <row r="2539" spans="1:12">
      <c r="A2539" s="20" t="s">
        <v>653</v>
      </c>
      <c r="B2539" s="21" t="s">
        <v>762</v>
      </c>
      <c r="C2539" s="21" t="s">
        <v>613</v>
      </c>
      <c r="D2539" s="21" t="s">
        <v>587</v>
      </c>
      <c r="E2539" s="22">
        <f>IF(D2539="?OLD","!!!","")</f>
        <v/>
      </c>
      <c r="F2539" s="23" t="str">
        <f>IF(OR(E2539="",E2539="!!!"),"",IF(NOT(ISNA(VLOOKUP(E2539,E$1:E2538,1,FALSE()))),"OLD",IF(AND(E2539&lt;&gt;"",E2539&lt;&gt;"!!!"),"NEW","")))</f>
        <v> </v>
      </c>
      <c r="G2539" s="24" t="str">
        <f>IF(OR(E2539="",E2539="!!!"),"",IF(OR(J2539=0,AND(J2539=1,K2539=1),AND(J2539=1,I2539="SBJ"),AND(J2539=1,I2539=0)),"?IN_FOCUS",IF(J2539&lt;=2,"?ACTIVATED",IF(J2539&lt;&gt;"","?FAMILIAR",IF(F2539="NEW",IF(ISNA(VLOOKUP(E2539,#REF!,1,FALSE())),"?TYPE_IDENTIFIABLE","?REFERENTIAL"),"_")))))</f>
        <v> </v>
      </c>
      <c r="H2539" s="25" t="str">
        <f>IF(J2539&lt;&gt;1,"",IF(I2539="SBJ","CB","?"))</f>
        <v> </v>
      </c>
      <c r="I2539" s="26" t="str">
        <f>IF(OR(E2539="",E2539="!!!",F2539="NEW"),"",INDEX(B2538:B$2,-1+SUMPRODUCT(MAX(ROW(E2538:E$2)*(E2539=E2538:E$2)))))</f>
        <v> </v>
      </c>
      <c r="J2539" s="26" t="str">
        <f>IF(OR(E2539="",E2539="!!!",F2539="NEW"),"",COUNTBLANK(OFFSET(A$1,,,SUMPRODUCT(MAX(ROW(E$2:E2539)*(E2539=E$2:E2539)))))-COUNTBLANK(OFFSET(A$1,,,SUMPRODUCT(MAX(ROW(E$1:E2538)*(E2=E$1:E2538))))))</f>
        <v> </v>
      </c>
      <c r="K2539" s="26" t="str">
        <f>IF(OR(E2539="",E2539="!!!",F2539="NEW"),"",INDEX(J$1:J2538,SUMPRODUCT(MAX(ROW(E$1:E2538)*(E2539=E$1:E2538)))))</f>
        <v> </v>
      </c>
      <c r="L2539" s="27"/>
    </row>
    <row r="2540" spans="1:12">
      <c r="A2540" s="20" t="s">
        <v>609</v>
      </c>
      <c r="E2540" s="22">
        <f>IF(D2540="?OLD","!!!","")</f>
        <v/>
      </c>
      <c r="F2540" s="23" t="str">
        <f>IF(OR(E2540="",E2540="!!!"),"",IF(NOT(ISNA(VLOOKUP(E2540,E$1:E2539,1,FALSE()))),"OLD",IF(AND(E2540&lt;&gt;"",E2540&lt;&gt;"!!!"),"NEW","")))</f>
        <v> </v>
      </c>
      <c r="G2540" s="24" t="str">
        <f>IF(OR(E2540="",E2540="!!!"),"",IF(OR(J2540=0,AND(J2540=1,K2540=1),AND(J2540=1,I2540="SBJ"),AND(J2540=1,I2540=0)),"?IN_FOCUS",IF(J2540&lt;=2,"?ACTIVATED",IF(J2540&lt;&gt;"","?FAMILIAR",IF(F2540="NEW",IF(ISNA(VLOOKUP(E2540,#REF!,1,FALSE())),"?TYPE_IDENTIFIABLE","?REFERENTIAL"),"_")))))</f>
        <v> </v>
      </c>
      <c r="H2540" s="25" t="str">
        <f>IF(J2540&lt;&gt;1,"",IF(I2540="SBJ","CB","?"))</f>
        <v> </v>
      </c>
      <c r="I2540" s="26" t="str">
        <f>IF(OR(E2540="",E2540="!!!",F2540="NEW"),"",INDEX(B2539:B$2,-1+SUMPRODUCT(MAX(ROW(E2539:E$2)*(E2540=E2539:E$2)))))</f>
        <v> </v>
      </c>
      <c r="J2540" s="26" t="str">
        <f>IF(OR(E2540="",E2540="!!!",F2540="NEW"),"",COUNTBLANK(OFFSET(A$1,,,SUMPRODUCT(MAX(ROW(E$2:E2540)*(E2540=E$2:E2540)))))-COUNTBLANK(OFFSET(A$1,,,SUMPRODUCT(MAX(ROW(E$1:E2539)*(E2=E$1:E2539))))))</f>
        <v> </v>
      </c>
      <c r="K2540" s="26" t="str">
        <f>IF(OR(E2540="",E2540="!!!",F2540="NEW"),"",INDEX(J$1:J2539,SUMPRODUCT(MAX(ROW(E$1:E2539)*(E2540=E$1:E2539)))))</f>
        <v> </v>
      </c>
      <c r="L2540" s="27"/>
    </row>
    <row r="2541" spans="1:12">
      <c r="A2541" s="20" t="s">
        <v>1706</v>
      </c>
      <c r="E2541" s="22">
        <f>IF(D2541="?OLD","!!!","")</f>
        <v/>
      </c>
      <c r="F2541" s="23" t="str">
        <f>IF(OR(E2541="",E2541="!!!"),"",IF(NOT(ISNA(VLOOKUP(E2541,E$1:E2540,1,FALSE()))),"OLD",IF(AND(E2541&lt;&gt;"",E2541&lt;&gt;"!!!"),"NEW","")))</f>
        <v> </v>
      </c>
      <c r="G2541" s="24" t="str">
        <f>IF(OR(E2541="",E2541="!!!"),"",IF(OR(J2541=0,AND(J2541=1,K2541=1),AND(J2541=1,I2541="SBJ"),AND(J2541=1,I2541=0)),"?IN_FOCUS",IF(J2541&lt;=2,"?ACTIVATED",IF(J2541&lt;&gt;"","?FAMILIAR",IF(F2541="NEW",IF(ISNA(VLOOKUP(E2541,#REF!,1,FALSE())),"?TYPE_IDENTIFIABLE","?REFERENTIAL"),"_")))))</f>
        <v> </v>
      </c>
      <c r="H2541" s="25" t="str">
        <f>IF(J2541&lt;&gt;1,"",IF(I2541="SBJ","CB","?"))</f>
        <v> </v>
      </c>
      <c r="I2541" s="26" t="str">
        <f>IF(OR(E2541="",E2541="!!!",F2541="NEW"),"",INDEX(B2540:B$2,-1+SUMPRODUCT(MAX(ROW(E2540:E$2)*(E2541=E2540:E$2)))))</f>
        <v> </v>
      </c>
      <c r="J2541" s="26" t="str">
        <f>IF(OR(E2541="",E2541="!!!",F2541="NEW"),"",COUNTBLANK(OFFSET(A$1,,,SUMPRODUCT(MAX(ROW(E$2:E2541)*(E2541=E$2:E2541)))))-COUNTBLANK(OFFSET(A$1,,,SUMPRODUCT(MAX(ROW(E$1:E2540)*(E2=E$1:E2540))))))</f>
        <v> </v>
      </c>
      <c r="K2541" s="26" t="str">
        <f>IF(OR(E2541="",E2541="!!!",F2541="NEW"),"",INDEX(J$1:J2540,SUMPRODUCT(MAX(ROW(E$1:E2540)*(E2541=E$1:E2540)))))</f>
        <v> </v>
      </c>
      <c r="L2541" s="27"/>
    </row>
    <row r="2542" spans="1:12">
      <c r="A2542" s="20" t="s">
        <v>1553</v>
      </c>
      <c r="B2542" s="21" t="s">
        <v>695</v>
      </c>
      <c r="E2542" s="22">
        <f>IF(D2542="?OLD","!!!","")</f>
        <v/>
      </c>
      <c r="F2542" s="23" t="str">
        <f>IF(OR(E2542="",E2542="!!!"),"",IF(NOT(ISNA(VLOOKUP(E2542,E$1:E2541,1,FALSE()))),"OLD",IF(AND(E2542&lt;&gt;"",E2542&lt;&gt;"!!!"),"NEW","")))</f>
        <v> </v>
      </c>
      <c r="G2542" s="24" t="str">
        <f>IF(OR(E2542="",E2542="!!!"),"",IF(OR(J2542=0,AND(J2542=1,K2542=1),AND(J2542=1,I2542="SBJ"),AND(J2542=1,I2542=0)),"?IN_FOCUS",IF(J2542&lt;=2,"?ACTIVATED",IF(J2542&lt;&gt;"","?FAMILIAR",IF(F2542="NEW",IF(ISNA(VLOOKUP(E2542,#REF!,1,FALSE())),"?TYPE_IDENTIFIABLE","?REFERENTIAL"),"_")))))</f>
        <v> </v>
      </c>
      <c r="H2542" s="25" t="str">
        <f>IF(J2542&lt;&gt;1,"",IF(I2542="SBJ","CB","?"))</f>
        <v> </v>
      </c>
      <c r="I2542" s="26" t="str">
        <f>IF(OR(E2542="",E2542="!!!",F2542="NEW"),"",INDEX(B2541:B$2,-1+SUMPRODUCT(MAX(ROW(E2541:E$2)*(E2542=E2541:E$2)))))</f>
        <v> </v>
      </c>
      <c r="J2542" s="26" t="str">
        <f>IF(OR(E2542="",E2542="!!!",F2542="NEW"),"",COUNTBLANK(OFFSET(A$1,,,SUMPRODUCT(MAX(ROW(E$2:E2542)*(E2542=E$2:E2542)))))-COUNTBLANK(OFFSET(A$1,,,SUMPRODUCT(MAX(ROW(E$1:E2541)*(E2=E$1:E2541))))))</f>
        <v> </v>
      </c>
      <c r="K2542" s="26" t="str">
        <f>IF(OR(E2542="",E2542="!!!",F2542="NEW"),"",INDEX(J$1:J2541,SUMPRODUCT(MAX(ROW(E$1:E2541)*(E2542=E$1:E2541)))))</f>
        <v> </v>
      </c>
      <c r="L2542" s="27"/>
    </row>
    <row r="2543" spans="1:12">
      <c r="A2543" s="20" t="s">
        <v>1707</v>
      </c>
      <c r="E2543" s="22">
        <f>IF(D2543="?OLD","!!!","")</f>
        <v/>
      </c>
      <c r="F2543" s="23" t="str">
        <f>IF(OR(E2543="",E2543="!!!"),"",IF(NOT(ISNA(VLOOKUP(E2543,E$1:E2542,1,FALSE()))),"OLD",IF(AND(E2543&lt;&gt;"",E2543&lt;&gt;"!!!"),"NEW","")))</f>
        <v> </v>
      </c>
      <c r="G2543" s="24" t="str">
        <f>IF(OR(E2543="",E2543="!!!"),"",IF(OR(J2543=0,AND(J2543=1,K2543=1),AND(J2543=1,I2543="SBJ"),AND(J2543=1,I2543=0)),"?IN_FOCUS",IF(J2543&lt;=2,"?ACTIVATED",IF(J2543&lt;&gt;"","?FAMILIAR",IF(F2543="NEW",IF(ISNA(VLOOKUP(E2543,#REF!,1,FALSE())),"?TYPE_IDENTIFIABLE","?REFERENTIAL"),"_")))))</f>
        <v> </v>
      </c>
      <c r="H2543" s="25" t="str">
        <f>IF(J2543&lt;&gt;1,"",IF(I2543="SBJ","CB","?"))</f>
        <v> </v>
      </c>
      <c r="I2543" s="26" t="str">
        <f>IF(OR(E2543="",E2543="!!!",F2543="NEW"),"",INDEX(B2542:B$2,-1+SUMPRODUCT(MAX(ROW(E2542:E$2)*(E2543=E2542:E$2)))))</f>
        <v> </v>
      </c>
      <c r="J2543" s="26" t="str">
        <f>IF(OR(E2543="",E2543="!!!",F2543="NEW"),"",COUNTBLANK(OFFSET(A$1,,,SUMPRODUCT(MAX(ROW(E$2:E2543)*(E2543=E$2:E2543)))))-COUNTBLANK(OFFSET(A$1,,,SUMPRODUCT(MAX(ROW(E$1:E2542)*(E2=E$1:E2542))))))</f>
        <v> </v>
      </c>
      <c r="K2543" s="26" t="str">
        <f>IF(OR(E2543="",E2543="!!!",F2543="NEW"),"",INDEX(J$1:J2542,SUMPRODUCT(MAX(ROW(E$1:E2542)*(E2543=E$1:E2542)))))</f>
        <v> </v>
      </c>
      <c r="L2543" s="27"/>
    </row>
    <row r="2544" spans="1:12">
      <c r="A2544" s="20" t="s">
        <v>666</v>
      </c>
      <c r="E2544" s="22">
        <f>IF(D2544="?OLD","!!!","")</f>
        <v/>
      </c>
      <c r="F2544" s="23" t="str">
        <f>IF(OR(E2544="",E2544="!!!"),"",IF(NOT(ISNA(VLOOKUP(E2544,E$1:E2543,1,FALSE()))),"OLD",IF(AND(E2544&lt;&gt;"",E2544&lt;&gt;"!!!"),"NEW","")))</f>
        <v> </v>
      </c>
      <c r="G2544" s="24" t="str">
        <f>IF(OR(E2544="",E2544="!!!"),"",IF(OR(J2544=0,AND(J2544=1,K2544=1),AND(J2544=1,I2544="SBJ"),AND(J2544=1,I2544=0)),"?IN_FOCUS",IF(J2544&lt;=2,"?ACTIVATED",IF(J2544&lt;&gt;"","?FAMILIAR",IF(F2544="NEW",IF(ISNA(VLOOKUP(E2544,#REF!,1,FALSE())),"?TYPE_IDENTIFIABLE","?REFERENTIAL"),"_")))))</f>
        <v> </v>
      </c>
      <c r="H2544" s="25" t="str">
        <f>IF(J2544&lt;&gt;1,"",IF(I2544="SBJ","CB","?"))</f>
        <v> </v>
      </c>
      <c r="I2544" s="26" t="str">
        <f>IF(OR(E2544="",E2544="!!!",F2544="NEW"),"",INDEX(B2543:B$2,-1+SUMPRODUCT(MAX(ROW(E2543:E$2)*(E2544=E2543:E$2)))))</f>
        <v> </v>
      </c>
      <c r="J2544" s="26" t="str">
        <f>IF(OR(E2544="",E2544="!!!",F2544="NEW"),"",COUNTBLANK(OFFSET(A$1,,,SUMPRODUCT(MAX(ROW(E$2:E2544)*(E2544=E$2:E2544)))))-COUNTBLANK(OFFSET(A$1,,,SUMPRODUCT(MAX(ROW(E$1:E2543)*(E2=E$1:E2543))))))</f>
        <v> </v>
      </c>
      <c r="K2544" s="26" t="str">
        <f>IF(OR(E2544="",E2544="!!!",F2544="NEW"),"",INDEX(J$1:J2543,SUMPRODUCT(MAX(ROW(E$1:E2543)*(E2544=E$1:E2543)))))</f>
        <v> </v>
      </c>
      <c r="L2544" s="27"/>
    </row>
    <row r="2545" spans="1:12">
      <c r="A2545" s="20" t="s">
        <v>630</v>
      </c>
      <c r="E2545" s="22">
        <f>IF(D2545="?OLD","!!!","")</f>
        <v/>
      </c>
      <c r="F2545" s="23" t="str">
        <f>IF(OR(E2545="",E2545="!!!"),"",IF(NOT(ISNA(VLOOKUP(E2545,E$1:E2544,1,FALSE()))),"OLD",IF(AND(E2545&lt;&gt;"",E2545&lt;&gt;"!!!"),"NEW","")))</f>
        <v> </v>
      </c>
      <c r="G2545" s="24" t="str">
        <f>IF(OR(E2545="",E2545="!!!"),"",IF(OR(J2545=0,AND(J2545=1,K2545=1),AND(J2545=1,I2545="SBJ"),AND(J2545=1,I2545=0)),"?IN_FOCUS",IF(J2545&lt;=2,"?ACTIVATED",IF(J2545&lt;&gt;"","?FAMILIAR",IF(F2545="NEW",IF(ISNA(VLOOKUP(E2545,#REF!,1,FALSE())),"?TYPE_IDENTIFIABLE","?REFERENTIAL"),"_")))))</f>
        <v> </v>
      </c>
      <c r="H2545" s="25" t="str">
        <f>IF(J2545&lt;&gt;1,"",IF(I2545="SBJ","CB","?"))</f>
        <v> </v>
      </c>
      <c r="I2545" s="26" t="str">
        <f>IF(OR(E2545="",E2545="!!!",F2545="NEW"),"",INDEX(B2544:B$2,-1+SUMPRODUCT(MAX(ROW(E2544:E$2)*(E2545=E2544:E$2)))))</f>
        <v> </v>
      </c>
      <c r="J2545" s="26" t="str">
        <f>IF(OR(E2545="",E2545="!!!",F2545="NEW"),"",COUNTBLANK(OFFSET(A$1,,,SUMPRODUCT(MAX(ROW(E$2:E2545)*(E2545=E$2:E2545)))))-COUNTBLANK(OFFSET(A$1,,,SUMPRODUCT(MAX(ROW(E$1:E2544)*(E2=E$1:E2544))))))</f>
        <v> </v>
      </c>
      <c r="K2545" s="26" t="str">
        <f>IF(OR(E2545="",E2545="!!!",F2545="NEW"),"",INDEX(J$1:J2544,SUMPRODUCT(MAX(ROW(E$1:E2544)*(E2545=E$1:E2544)))))</f>
        <v> </v>
      </c>
      <c r="L2545" s="27"/>
    </row>
    <row r="2546" spans="1:12">
      <c r="A2546" s="20" t="s">
        <v>1708</v>
      </c>
      <c r="E2546" s="22">
        <f>IF(D2546="?OLD","!!!","")</f>
        <v/>
      </c>
      <c r="F2546" s="23" t="str">
        <f>IF(OR(E2546="",E2546="!!!"),"",IF(NOT(ISNA(VLOOKUP(E2546,E$1:E2545,1,FALSE()))),"OLD",IF(AND(E2546&lt;&gt;"",E2546&lt;&gt;"!!!"),"NEW","")))</f>
        <v> </v>
      </c>
      <c r="G2546" s="24" t="str">
        <f>IF(OR(E2546="",E2546="!!!"),"",IF(OR(J2546=0,AND(J2546=1,K2546=1),AND(J2546=1,I2546="SBJ"),AND(J2546=1,I2546=0)),"?IN_FOCUS",IF(J2546&lt;=2,"?ACTIVATED",IF(J2546&lt;&gt;"","?FAMILIAR",IF(F2546="NEW",IF(ISNA(VLOOKUP(E2546,#REF!,1,FALSE())),"?TYPE_IDENTIFIABLE","?REFERENTIAL"),"_")))))</f>
        <v> </v>
      </c>
      <c r="H2546" s="25" t="str">
        <f>IF(J2546&lt;&gt;1,"",IF(I2546="SBJ","CB","?"))</f>
        <v> </v>
      </c>
      <c r="I2546" s="26" t="str">
        <f>IF(OR(E2546="",E2546="!!!",F2546="NEW"),"",INDEX(B2545:B$2,-1+SUMPRODUCT(MAX(ROW(E2545:E$2)*(E2546=E2545:E$2)))))</f>
        <v> </v>
      </c>
      <c r="J2546" s="26" t="str">
        <f>IF(OR(E2546="",E2546="!!!",F2546="NEW"),"",COUNTBLANK(OFFSET(A$1,,,SUMPRODUCT(MAX(ROW(E$2:E2546)*(E2546=E$2:E2546)))))-COUNTBLANK(OFFSET(A$1,,,SUMPRODUCT(MAX(ROW(E$1:E2545)*(E2=E$1:E2545))))))</f>
        <v> </v>
      </c>
      <c r="K2546" s="26" t="str">
        <f>IF(OR(E2546="",E2546="!!!",F2546="NEW"),"",INDEX(J$1:J2545,SUMPRODUCT(MAX(ROW(E$1:E2545)*(E2546=E$1:E2545)))))</f>
        <v> </v>
      </c>
      <c r="L2546" s="27"/>
    </row>
    <row r="2547" spans="1:12">
      <c r="A2547" s="20" t="s">
        <v>1707</v>
      </c>
      <c r="E2547" s="22">
        <f>IF(D2547="?OLD","!!!","")</f>
        <v/>
      </c>
      <c r="F2547" s="23" t="str">
        <f>IF(OR(E2547="",E2547="!!!"),"",IF(NOT(ISNA(VLOOKUP(E2547,E$1:E2546,1,FALSE()))),"OLD",IF(AND(E2547&lt;&gt;"",E2547&lt;&gt;"!!!"),"NEW","")))</f>
        <v> </v>
      </c>
      <c r="G2547" s="24" t="str">
        <f>IF(OR(E2547="",E2547="!!!"),"",IF(OR(J2547=0,AND(J2547=1,K2547=1),AND(J2547=1,I2547="SBJ"),AND(J2547=1,I2547=0)),"?IN_FOCUS",IF(J2547&lt;=2,"?ACTIVATED",IF(J2547&lt;&gt;"","?FAMILIAR",IF(F2547="NEW",IF(ISNA(VLOOKUP(E2547,#REF!,1,FALSE())),"?TYPE_IDENTIFIABLE","?REFERENTIAL"),"_")))))</f>
        <v> </v>
      </c>
      <c r="H2547" s="25" t="str">
        <f>IF(J2547&lt;&gt;1,"",IF(I2547="SBJ","CB","?"))</f>
        <v> </v>
      </c>
      <c r="I2547" s="26" t="str">
        <f>IF(OR(E2547="",E2547="!!!",F2547="NEW"),"",INDEX(B2546:B$2,-1+SUMPRODUCT(MAX(ROW(E2546:E$2)*(E2547=E2546:E$2)))))</f>
        <v> </v>
      </c>
      <c r="J2547" s="26" t="str">
        <f>IF(OR(E2547="",E2547="!!!",F2547="NEW"),"",COUNTBLANK(OFFSET(A$1,,,SUMPRODUCT(MAX(ROW(E$2:E2547)*(E2547=E$2:E2547)))))-COUNTBLANK(OFFSET(A$1,,,SUMPRODUCT(MAX(ROW(E$1:E2546)*(E2=E$1:E2546))))))</f>
        <v> </v>
      </c>
      <c r="K2547" s="26" t="str">
        <f>IF(OR(E2547="",E2547="!!!",F2547="NEW"),"",INDEX(J$1:J2546,SUMPRODUCT(MAX(ROW(E$1:E2546)*(E2547=E$1:E2546)))))</f>
        <v> </v>
      </c>
      <c r="L2547" s="27"/>
    </row>
    <row r="2548" spans="1:12">
      <c r="A2548" s="20" t="s">
        <v>583</v>
      </c>
      <c r="E2548" s="22">
        <f>IF(D2548="?OLD","!!!","")</f>
        <v/>
      </c>
      <c r="F2548" s="23" t="str">
        <f>IF(OR(E2548="",E2548="!!!"),"",IF(NOT(ISNA(VLOOKUP(E2548,E$1:E2547,1,FALSE()))),"OLD",IF(AND(E2548&lt;&gt;"",E2548&lt;&gt;"!!!"),"NEW","")))</f>
        <v> </v>
      </c>
      <c r="G2548" s="24" t="str">
        <f>IF(OR(E2548="",E2548="!!!"),"",IF(OR(J2548=0,AND(J2548=1,K2548=1),AND(J2548=1,I2548="SBJ"),AND(J2548=1,I2548=0)),"?IN_FOCUS",IF(J2548&lt;=2,"?ACTIVATED",IF(J2548&lt;&gt;"","?FAMILIAR",IF(F2548="NEW",IF(ISNA(VLOOKUP(E2548,#REF!,1,FALSE())),"?TYPE_IDENTIFIABLE","?REFERENTIAL"),"_")))))</f>
        <v> </v>
      </c>
      <c r="H2548" s="25" t="str">
        <f>IF(J2548&lt;&gt;1,"",IF(I2548="SBJ","CB","?"))</f>
        <v> </v>
      </c>
      <c r="I2548" s="26" t="str">
        <f>IF(OR(E2548="",E2548="!!!",F2548="NEW"),"",INDEX(B2547:B$2,-1+SUMPRODUCT(MAX(ROW(E2547:E$2)*(E2548=E2547:E$2)))))</f>
        <v> </v>
      </c>
      <c r="J2548" s="26" t="str">
        <f>IF(OR(E2548="",E2548="!!!",F2548="NEW"),"",COUNTBLANK(OFFSET(A$1,,,SUMPRODUCT(MAX(ROW(E$2:E2548)*(E2548=E$2:E2548)))))-COUNTBLANK(OFFSET(A$1,,,SUMPRODUCT(MAX(ROW(E$1:E2547)*(E2=E$1:E2547))))))</f>
        <v> </v>
      </c>
      <c r="K2548" s="26" t="str">
        <f>IF(OR(E2548="",E2548="!!!",F2548="NEW"),"",INDEX(J$1:J2547,SUMPRODUCT(MAX(ROW(E$1:E2547)*(E2548=E$1:E2547)))))</f>
        <v> </v>
      </c>
      <c r="L2548" s="27"/>
    </row>
    <row r="2549" spans="1:12">
      <c r="A2549" s="20" t="s">
        <v>653</v>
      </c>
      <c r="B2549" s="21" t="s">
        <v>590</v>
      </c>
      <c r="C2549" s="21" t="s">
        <v>613</v>
      </c>
      <c r="D2549" s="21" t="s">
        <v>587</v>
      </c>
      <c r="E2549" s="22">
        <f>IF(D2549="?OLD","!!!","")</f>
        <v/>
      </c>
      <c r="F2549" s="23" t="str">
        <f>IF(OR(E2549="",E2549="!!!"),"",IF(NOT(ISNA(VLOOKUP(E2549,E$1:E2548,1,FALSE()))),"OLD",IF(AND(E2549&lt;&gt;"",E2549&lt;&gt;"!!!"),"NEW","")))</f>
        <v> </v>
      </c>
      <c r="G2549" s="24" t="str">
        <f>IF(OR(E2549="",E2549="!!!"),"",IF(OR(J2549=0,AND(J2549=1,K2549=1),AND(J2549=1,I2549="SBJ"),AND(J2549=1,I2549=0)),"?IN_FOCUS",IF(J2549&lt;=2,"?ACTIVATED",IF(J2549&lt;&gt;"","?FAMILIAR",IF(F2549="NEW",IF(ISNA(VLOOKUP(E2549,#REF!,1,FALSE())),"?TYPE_IDENTIFIABLE","?REFERENTIAL"),"_")))))</f>
        <v> </v>
      </c>
      <c r="H2549" s="25" t="str">
        <f>IF(J2549&lt;&gt;1,"",IF(I2549="SBJ","CB","?"))</f>
        <v> </v>
      </c>
      <c r="I2549" s="26" t="str">
        <f>IF(OR(E2549="",E2549="!!!",F2549="NEW"),"",INDEX(B2548:B$2,-1+SUMPRODUCT(MAX(ROW(E2548:E$2)*(E2549=E2548:E$2)))))</f>
        <v> </v>
      </c>
      <c r="J2549" s="26" t="str">
        <f>IF(OR(E2549="",E2549="!!!",F2549="NEW"),"",COUNTBLANK(OFFSET(A$1,,,SUMPRODUCT(MAX(ROW(E$2:E2549)*(E2549=E$2:E2549)))))-COUNTBLANK(OFFSET(A$1,,,SUMPRODUCT(MAX(ROW(E$1:E2548)*(E2=E$1:E2548))))))</f>
        <v> </v>
      </c>
      <c r="K2549" s="26" t="str">
        <f>IF(OR(E2549="",E2549="!!!",F2549="NEW"),"",INDEX(J$1:J2548,SUMPRODUCT(MAX(ROW(E$1:E2548)*(E2549=E$1:E2548)))))</f>
        <v> </v>
      </c>
      <c r="L2549" s="27"/>
    </row>
    <row r="2550" spans="1:12">
      <c r="A2550" s="20" t="s">
        <v>1709</v>
      </c>
      <c r="E2550" s="22">
        <f>IF(D2550="?OLD","!!!","")</f>
        <v/>
      </c>
      <c r="F2550" s="23" t="str">
        <f>IF(OR(E2550="",E2550="!!!"),"",IF(NOT(ISNA(VLOOKUP(E2550,E$1:E2549,1,FALSE()))),"OLD",IF(AND(E2550&lt;&gt;"",E2550&lt;&gt;"!!!"),"NEW","")))</f>
        <v> </v>
      </c>
      <c r="G2550" s="24" t="str">
        <f>IF(OR(E2550="",E2550="!!!"),"",IF(OR(J2550=0,AND(J2550=1,K2550=1),AND(J2550=1,I2550="SBJ"),AND(J2550=1,I2550=0)),"?IN_FOCUS",IF(J2550&lt;=2,"?ACTIVATED",IF(J2550&lt;&gt;"","?FAMILIAR",IF(F2550="NEW",IF(ISNA(VLOOKUP(E2550,#REF!,1,FALSE())),"?TYPE_IDENTIFIABLE","?REFERENTIAL"),"_")))))</f>
        <v> </v>
      </c>
      <c r="H2550" s="25" t="str">
        <f>IF(J2550&lt;&gt;1,"",IF(I2550="SBJ","CB","?"))</f>
        <v> </v>
      </c>
      <c r="I2550" s="26" t="str">
        <f>IF(OR(E2550="",E2550="!!!",F2550="NEW"),"",INDEX(B2549:B$2,-1+SUMPRODUCT(MAX(ROW(E2549:E$2)*(E2550=E2549:E$2)))))</f>
        <v> </v>
      </c>
      <c r="J2550" s="26" t="str">
        <f>IF(OR(E2550="",E2550="!!!",F2550="NEW"),"",COUNTBLANK(OFFSET(A$1,,,SUMPRODUCT(MAX(ROW(E$2:E2550)*(E2550=E$2:E2550)))))-COUNTBLANK(OFFSET(A$1,,,SUMPRODUCT(MAX(ROW(E$1:E2549)*(E2=E$1:E2549))))))</f>
        <v> </v>
      </c>
      <c r="K2550" s="26" t="str">
        <f>IF(OR(E2550="",E2550="!!!",F2550="NEW"),"",INDEX(J$1:J2549,SUMPRODUCT(MAX(ROW(E$1:E2549)*(E2550=E$1:E2549)))))</f>
        <v> </v>
      </c>
      <c r="L2550" s="27"/>
    </row>
    <row r="2551" spans="1:12">
      <c r="A2551" s="20" t="s">
        <v>1710</v>
      </c>
      <c r="E2551" s="22">
        <f>IF(D2551="?OLD","!!!","")</f>
        <v/>
      </c>
      <c r="F2551" s="23" t="str">
        <f>IF(OR(E2551="",E2551="!!!"),"",IF(NOT(ISNA(VLOOKUP(E2551,E$1:E2550,1,FALSE()))),"OLD",IF(AND(E2551&lt;&gt;"",E2551&lt;&gt;"!!!"),"NEW","")))</f>
        <v> </v>
      </c>
      <c r="G2551" s="24" t="str">
        <f>IF(OR(E2551="",E2551="!!!"),"",IF(OR(J2551=0,AND(J2551=1,K2551=1),AND(J2551=1,I2551="SBJ"),AND(J2551=1,I2551=0)),"?IN_FOCUS",IF(J2551&lt;=2,"?ACTIVATED",IF(J2551&lt;&gt;"","?FAMILIAR",IF(F2551="NEW",IF(ISNA(VLOOKUP(E2551,#REF!,1,FALSE())),"?TYPE_IDENTIFIABLE","?REFERENTIAL"),"_")))))</f>
        <v> </v>
      </c>
      <c r="H2551" s="25" t="str">
        <f>IF(J2551&lt;&gt;1,"",IF(I2551="SBJ","CB","?"))</f>
        <v> </v>
      </c>
      <c r="I2551" s="26" t="str">
        <f>IF(OR(E2551="",E2551="!!!",F2551="NEW"),"",INDEX(B2550:B$2,-1+SUMPRODUCT(MAX(ROW(E2550:E$2)*(E2551=E2550:E$2)))))</f>
        <v> </v>
      </c>
      <c r="J2551" s="26" t="str">
        <f>IF(OR(E2551="",E2551="!!!",F2551="NEW"),"",COUNTBLANK(OFFSET(A$1,,,SUMPRODUCT(MAX(ROW(E$2:E2551)*(E2551=E$2:E2551)))))-COUNTBLANK(OFFSET(A$1,,,SUMPRODUCT(MAX(ROW(E$1:E2550)*(E2=E$1:E2550))))))</f>
        <v> </v>
      </c>
      <c r="K2551" s="26" t="str">
        <f>IF(OR(E2551="",E2551="!!!",F2551="NEW"),"",INDEX(J$1:J2550,SUMPRODUCT(MAX(ROW(E$1:E2550)*(E2551=E$1:E2550)))))</f>
        <v> </v>
      </c>
      <c r="L2551" s="27"/>
    </row>
    <row r="2552" spans="1:12">
      <c r="A2552" s="20" t="s">
        <v>609</v>
      </c>
      <c r="E2552" s="22">
        <f>IF(D2552="?OLD","!!!","")</f>
        <v/>
      </c>
      <c r="F2552" s="23" t="str">
        <f>IF(OR(E2552="",E2552="!!!"),"",IF(NOT(ISNA(VLOOKUP(E2552,E$1:E2551,1,FALSE()))),"OLD",IF(AND(E2552&lt;&gt;"",E2552&lt;&gt;"!!!"),"NEW","")))</f>
        <v> </v>
      </c>
      <c r="G2552" s="24" t="str">
        <f>IF(OR(E2552="",E2552="!!!"),"",IF(OR(J2552=0,AND(J2552=1,K2552=1),AND(J2552=1,I2552="SBJ"),AND(J2552=1,I2552=0)),"?IN_FOCUS",IF(J2552&lt;=2,"?ACTIVATED",IF(J2552&lt;&gt;"","?FAMILIAR",IF(F2552="NEW",IF(ISNA(VLOOKUP(E2552,#REF!,1,FALSE())),"?TYPE_IDENTIFIABLE","?REFERENTIAL"),"_")))))</f>
        <v> </v>
      </c>
      <c r="H2552" s="25" t="str">
        <f>IF(J2552&lt;&gt;1,"",IF(I2552="SBJ","CB","?"))</f>
        <v> </v>
      </c>
      <c r="I2552" s="26" t="str">
        <f>IF(OR(E2552="",E2552="!!!",F2552="NEW"),"",INDEX(B2551:B$2,-1+SUMPRODUCT(MAX(ROW(E2551:E$2)*(E2552=E2551:E$2)))))</f>
        <v> </v>
      </c>
      <c r="J2552" s="26" t="str">
        <f>IF(OR(E2552="",E2552="!!!",F2552="NEW"),"",COUNTBLANK(OFFSET(A$1,,,SUMPRODUCT(MAX(ROW(E$2:E2552)*(E2552=E$2:E2552)))))-COUNTBLANK(OFFSET(A$1,,,SUMPRODUCT(MAX(ROW(E$1:E2551)*(E2=E$1:E2551))))))</f>
        <v> </v>
      </c>
      <c r="K2552" s="26" t="str">
        <f>IF(OR(E2552="",E2552="!!!",F2552="NEW"),"",INDEX(J$1:J2551,SUMPRODUCT(MAX(ROW(E$1:E2551)*(E2552=E$1:E2551)))))</f>
        <v> </v>
      </c>
      <c r="L2552" s="27"/>
    </row>
    <row r="2553" spans="1:12">
      <c r="A2553" s="20" t="s">
        <v>1291</v>
      </c>
      <c r="E2553" s="22">
        <f>IF(D2553="?OLD","!!!","")</f>
        <v/>
      </c>
      <c r="F2553" s="23" t="str">
        <f>IF(OR(E2553="",E2553="!!!"),"",IF(NOT(ISNA(VLOOKUP(E2553,E$1:E2552,1,FALSE()))),"OLD",IF(AND(E2553&lt;&gt;"",E2553&lt;&gt;"!!!"),"NEW","")))</f>
        <v> </v>
      </c>
      <c r="G2553" s="24" t="str">
        <f>IF(OR(E2553="",E2553="!!!"),"",IF(OR(J2553=0,AND(J2553=1,K2553=1),AND(J2553=1,I2553="SBJ"),AND(J2553=1,I2553=0)),"?IN_FOCUS",IF(J2553&lt;=2,"?ACTIVATED",IF(J2553&lt;&gt;"","?FAMILIAR",IF(F2553="NEW",IF(ISNA(VLOOKUP(E2553,#REF!,1,FALSE())),"?TYPE_IDENTIFIABLE","?REFERENTIAL"),"_")))))</f>
        <v> </v>
      </c>
      <c r="H2553" s="25" t="str">
        <f>IF(J2553&lt;&gt;1,"",IF(I2553="SBJ","CB","?"))</f>
        <v> </v>
      </c>
      <c r="I2553" s="26" t="str">
        <f>IF(OR(E2553="",E2553="!!!",F2553="NEW"),"",INDEX(B2552:B$2,-1+SUMPRODUCT(MAX(ROW(E2552:E$2)*(E2553=E2552:E$2)))))</f>
        <v> </v>
      </c>
      <c r="J2553" s="26" t="str">
        <f>IF(OR(E2553="",E2553="!!!",F2553="NEW"),"",COUNTBLANK(OFFSET(A$1,,,SUMPRODUCT(MAX(ROW(E$2:E2553)*(E2553=E$2:E2553)))))-COUNTBLANK(OFFSET(A$1,,,SUMPRODUCT(MAX(ROW(E$1:E2552)*(E2=E$1:E2552))))))</f>
        <v> </v>
      </c>
      <c r="K2553" s="26" t="str">
        <f>IF(OR(E2553="",E2553="!!!",F2553="NEW"),"",INDEX(J$1:J2552,SUMPRODUCT(MAX(ROW(E$1:E2552)*(E2553=E$1:E2552)))))</f>
        <v> </v>
      </c>
      <c r="L2553" s="27"/>
    </row>
    <row r="2554" spans="1:12">
      <c r="A2554" s="20" t="s">
        <v>1711</v>
      </c>
      <c r="B2554" s="21" t="s">
        <v>635</v>
      </c>
      <c r="E2554" s="22">
        <f>IF(D2554="?OLD","!!!","")</f>
        <v/>
      </c>
      <c r="F2554" s="23" t="str">
        <f>IF(OR(E2554="",E2554="!!!"),"",IF(NOT(ISNA(VLOOKUP(E2554,E$1:E2553,1,FALSE()))),"OLD",IF(AND(E2554&lt;&gt;"",E2554&lt;&gt;"!!!"),"NEW","")))</f>
        <v> </v>
      </c>
      <c r="G2554" s="24" t="str">
        <f>IF(OR(E2554="",E2554="!!!"),"",IF(OR(J2554=0,AND(J2554=1,K2554=1),AND(J2554=1,I2554="SBJ"),AND(J2554=1,I2554=0)),"?IN_FOCUS",IF(J2554&lt;=2,"?ACTIVATED",IF(J2554&lt;&gt;"","?FAMILIAR",IF(F2554="NEW",IF(ISNA(VLOOKUP(E2554,#REF!,1,FALSE())),"?TYPE_IDENTIFIABLE","?REFERENTIAL"),"_")))))</f>
        <v> </v>
      </c>
      <c r="H2554" s="25" t="str">
        <f>IF(J2554&lt;&gt;1,"",IF(I2554="SBJ","CB","?"))</f>
        <v> </v>
      </c>
      <c r="I2554" s="26" t="str">
        <f>IF(OR(E2554="",E2554="!!!",F2554="NEW"),"",INDEX(B2553:B$2,-1+SUMPRODUCT(MAX(ROW(E2553:E$2)*(E2554=E2553:E$2)))))</f>
        <v> </v>
      </c>
      <c r="J2554" s="26" t="str">
        <f>IF(OR(E2554="",E2554="!!!",F2554="NEW"),"",COUNTBLANK(OFFSET(A$1,,,SUMPRODUCT(MAX(ROW(E$2:E2554)*(E2554=E$2:E2554)))))-COUNTBLANK(OFFSET(A$1,,,SUMPRODUCT(MAX(ROW(E$1:E2553)*(E2=E$1:E2553))))))</f>
        <v> </v>
      </c>
      <c r="K2554" s="26" t="str">
        <f>IF(OR(E2554="",E2554="!!!",F2554="NEW"),"",INDEX(J$1:J2553,SUMPRODUCT(MAX(ROW(E$1:E2553)*(E2554=E$1:E2553)))))</f>
        <v> </v>
      </c>
      <c r="L2554" s="27"/>
    </row>
    <row r="2555" spans="1:12">
      <c r="A2555" s="20" t="s">
        <v>1712</v>
      </c>
      <c r="E2555" s="22">
        <f>IF(D2555="?OLD","!!!","")</f>
        <v/>
      </c>
      <c r="F2555" s="23" t="str">
        <f>IF(OR(E2555="",E2555="!!!"),"",IF(NOT(ISNA(VLOOKUP(E2555,E$1:E2554,1,FALSE()))),"OLD",IF(AND(E2555&lt;&gt;"",E2555&lt;&gt;"!!!"),"NEW","")))</f>
        <v> </v>
      </c>
      <c r="G2555" s="24" t="str">
        <f>IF(OR(E2555="",E2555="!!!"),"",IF(OR(J2555=0,AND(J2555=1,K2555=1),AND(J2555=1,I2555="SBJ"),AND(J2555=1,I2555=0)),"?IN_FOCUS",IF(J2555&lt;=2,"?ACTIVATED",IF(J2555&lt;&gt;"","?FAMILIAR",IF(F2555="NEW",IF(ISNA(VLOOKUP(E2555,#REF!,1,FALSE())),"?TYPE_IDENTIFIABLE","?REFERENTIAL"),"_")))))</f>
        <v> </v>
      </c>
      <c r="H2555" s="25" t="str">
        <f>IF(J2555&lt;&gt;1,"",IF(I2555="SBJ","CB","?"))</f>
        <v> </v>
      </c>
      <c r="I2555" s="26" t="str">
        <f>IF(OR(E2555="",E2555="!!!",F2555="NEW"),"",INDEX(B2554:B$2,-1+SUMPRODUCT(MAX(ROW(E2554:E$2)*(E2555=E2554:E$2)))))</f>
        <v> </v>
      </c>
      <c r="J2555" s="26" t="str">
        <f>IF(OR(E2555="",E2555="!!!",F2555="NEW"),"",COUNTBLANK(OFFSET(A$1,,,SUMPRODUCT(MAX(ROW(E$2:E2555)*(E2555=E$2:E2555)))))-COUNTBLANK(OFFSET(A$1,,,SUMPRODUCT(MAX(ROW(E$1:E2554)*(E2=E$1:E2554))))))</f>
        <v> </v>
      </c>
      <c r="K2555" s="26" t="str">
        <f>IF(OR(E2555="",E2555="!!!",F2555="NEW"),"",INDEX(J$1:J2554,SUMPRODUCT(MAX(ROW(E$1:E2554)*(E2555=E$1:E2554)))))</f>
        <v> </v>
      </c>
      <c r="L2555" s="27"/>
    </row>
    <row r="2556" spans="1:12">
      <c r="A2556" s="20" t="s">
        <v>1713</v>
      </c>
      <c r="B2556" s="21" t="s">
        <v>695</v>
      </c>
      <c r="C2556" s="21" t="s">
        <v>800</v>
      </c>
      <c r="D2556" s="21" t="s">
        <v>587</v>
      </c>
      <c r="E2556" s="22">
        <f>IF(D2556="?OLD","!!!","")</f>
        <v/>
      </c>
      <c r="F2556" s="23" t="str">
        <f>IF(OR(E2556="",E2556="!!!"),"",IF(NOT(ISNA(VLOOKUP(E2556,E$1:E2555,1,FALSE()))),"OLD",IF(AND(E2556&lt;&gt;"",E2556&lt;&gt;"!!!"),"NEW","")))</f>
        <v> </v>
      </c>
      <c r="G2556" s="24" t="str">
        <f>IF(OR(E2556="",E2556="!!!"),"",IF(OR(J2556=0,AND(J2556=1,K2556=1),AND(J2556=1,I2556="SBJ"),AND(J2556=1,I2556=0)),"?IN_FOCUS",IF(J2556&lt;=2,"?ACTIVATED",IF(J2556&lt;&gt;"","?FAMILIAR",IF(F2556="NEW",IF(ISNA(VLOOKUP(E2556,#REF!,1,FALSE())),"?TYPE_IDENTIFIABLE","?REFERENTIAL"),"_")))))</f>
        <v> </v>
      </c>
      <c r="H2556" s="25" t="str">
        <f>IF(J2556&lt;&gt;1,"",IF(I2556="SBJ","CB","?"))</f>
        <v> </v>
      </c>
      <c r="I2556" s="26" t="str">
        <f>IF(OR(E2556="",E2556="!!!",F2556="NEW"),"",INDEX(B2555:B$2,-1+SUMPRODUCT(MAX(ROW(E2555:E$2)*(E2556=E2555:E$2)))))</f>
        <v> </v>
      </c>
      <c r="J2556" s="26" t="str">
        <f>IF(OR(E2556="",E2556="!!!",F2556="NEW"),"",COUNTBLANK(OFFSET(A$1,,,SUMPRODUCT(MAX(ROW(E$2:E2556)*(E2556=E$2:E2556)))))-COUNTBLANK(OFFSET(A$1,,,SUMPRODUCT(MAX(ROW(E$1:E2555)*(E2=E$1:E2555))))))</f>
        <v> </v>
      </c>
      <c r="K2556" s="26" t="str">
        <f>IF(OR(E2556="",E2556="!!!",F2556="NEW"),"",INDEX(J$1:J2555,SUMPRODUCT(MAX(ROW(E$1:E2555)*(E2556=E$1:E2555)))))</f>
        <v> </v>
      </c>
      <c r="L2556" s="27"/>
    </row>
    <row r="2557" spans="1:12">
      <c r="A2557" s="20" t="s">
        <v>1216</v>
      </c>
      <c r="E2557" s="22">
        <f>IF(D2557="?OLD","!!!","")</f>
        <v/>
      </c>
      <c r="F2557" s="23" t="str">
        <f>IF(OR(E2557="",E2557="!!!"),"",IF(NOT(ISNA(VLOOKUP(E2557,E$1:E2556,1,FALSE()))),"OLD",IF(AND(E2557&lt;&gt;"",E2557&lt;&gt;"!!!"),"NEW","")))</f>
        <v> </v>
      </c>
      <c r="G2557" s="24" t="str">
        <f>IF(OR(E2557="",E2557="!!!"),"",IF(OR(J2557=0,AND(J2557=1,K2557=1),AND(J2557=1,I2557="SBJ"),AND(J2557=1,I2557=0)),"?IN_FOCUS",IF(J2557&lt;=2,"?ACTIVATED",IF(J2557&lt;&gt;"","?FAMILIAR",IF(F2557="NEW",IF(ISNA(VLOOKUP(E2557,#REF!,1,FALSE())),"?TYPE_IDENTIFIABLE","?REFERENTIAL"),"_")))))</f>
        <v> </v>
      </c>
      <c r="H2557" s="25" t="str">
        <f>IF(J2557&lt;&gt;1,"",IF(I2557="SBJ","CB","?"))</f>
        <v> </v>
      </c>
      <c r="I2557" s="26" t="str">
        <f>IF(OR(E2557="",E2557="!!!",F2557="NEW"),"",INDEX(B2556:B$2,-1+SUMPRODUCT(MAX(ROW(E2556:E$2)*(E2557=E2556:E$2)))))</f>
        <v> </v>
      </c>
      <c r="J2557" s="26" t="str">
        <f>IF(OR(E2557="",E2557="!!!",F2557="NEW"),"",COUNTBLANK(OFFSET(A$1,,,SUMPRODUCT(MAX(ROW(E$2:E2557)*(E2557=E$2:E2557)))))-COUNTBLANK(OFFSET(A$1,,,SUMPRODUCT(MAX(ROW(E$1:E2556)*(E2=E$1:E2556))))))</f>
        <v> </v>
      </c>
      <c r="K2557" s="26" t="str">
        <f>IF(OR(E2557="",E2557="!!!",F2557="NEW"),"",INDEX(J$1:J2556,SUMPRODUCT(MAX(ROW(E$1:E2556)*(E2557=E$1:E2556)))))</f>
        <v> </v>
      </c>
      <c r="L2557" s="27"/>
    </row>
    <row r="2558" spans="1:12">
      <c r="A2558" s="20" t="s">
        <v>1018</v>
      </c>
      <c r="E2558" s="22">
        <f>IF(D2558="?OLD","!!!","")</f>
        <v/>
      </c>
      <c r="F2558" s="23" t="str">
        <f>IF(OR(E2558="",E2558="!!!"),"",IF(NOT(ISNA(VLOOKUP(E2558,E$1:E2557,1,FALSE()))),"OLD",IF(AND(E2558&lt;&gt;"",E2558&lt;&gt;"!!!"),"NEW","")))</f>
        <v> </v>
      </c>
      <c r="G2558" s="24" t="str">
        <f>IF(OR(E2558="",E2558="!!!"),"",IF(OR(J2558=0,AND(J2558=1,K2558=1),AND(J2558=1,I2558="SBJ"),AND(J2558=1,I2558=0)),"?IN_FOCUS",IF(J2558&lt;=2,"?ACTIVATED",IF(J2558&lt;&gt;"","?FAMILIAR",IF(F2558="NEW",IF(ISNA(VLOOKUP(E2558,#REF!,1,FALSE())),"?TYPE_IDENTIFIABLE","?REFERENTIAL"),"_")))))</f>
        <v> </v>
      </c>
      <c r="H2558" s="25" t="str">
        <f>IF(J2558&lt;&gt;1,"",IF(I2558="SBJ","CB","?"))</f>
        <v> </v>
      </c>
      <c r="I2558" s="26" t="str">
        <f>IF(OR(E2558="",E2558="!!!",F2558="NEW"),"",INDEX(B2557:B$2,-1+SUMPRODUCT(MAX(ROW(E2557:E$2)*(E2558=E2557:E$2)))))</f>
        <v> </v>
      </c>
      <c r="J2558" s="26" t="str">
        <f>IF(OR(E2558="",E2558="!!!",F2558="NEW"),"",COUNTBLANK(OFFSET(A$1,,,SUMPRODUCT(MAX(ROW(E$2:E2558)*(E2558=E$2:E2558)))))-COUNTBLANK(OFFSET(A$1,,,SUMPRODUCT(MAX(ROW(E$1:E2557)*(E2=E$1:E2557))))))</f>
        <v> </v>
      </c>
      <c r="K2558" s="26" t="str">
        <f>IF(OR(E2558="",E2558="!!!",F2558="NEW"),"",INDEX(J$1:J2557,SUMPRODUCT(MAX(ROW(E$1:E2557)*(E2558=E$1:E2557)))))</f>
        <v> </v>
      </c>
      <c r="L2558" s="27"/>
    </row>
    <row r="2559" spans="1:12">
      <c r="A2559" s="20" t="s">
        <v>1714</v>
      </c>
      <c r="E2559" s="22">
        <f>IF(D2559="?OLD","!!!","")</f>
        <v/>
      </c>
      <c r="F2559" s="23" t="str">
        <f>IF(OR(E2559="",E2559="!!!"),"",IF(NOT(ISNA(VLOOKUP(E2559,E$1:E2558,1,FALSE()))),"OLD",IF(AND(E2559&lt;&gt;"",E2559&lt;&gt;"!!!"),"NEW","")))</f>
        <v> </v>
      </c>
      <c r="G2559" s="24" t="str">
        <f>IF(OR(E2559="",E2559="!!!"),"",IF(OR(J2559=0,AND(J2559=1,K2559=1),AND(J2559=1,I2559="SBJ"),AND(J2559=1,I2559=0)),"?IN_FOCUS",IF(J2559&lt;=2,"?ACTIVATED",IF(J2559&lt;&gt;"","?FAMILIAR",IF(F2559="NEW",IF(ISNA(VLOOKUP(E2559,#REF!,1,FALSE())),"?TYPE_IDENTIFIABLE","?REFERENTIAL"),"_")))))</f>
        <v> </v>
      </c>
      <c r="H2559" s="25" t="str">
        <f>IF(J2559&lt;&gt;1,"",IF(I2559="SBJ","CB","?"))</f>
        <v> </v>
      </c>
      <c r="I2559" s="26" t="str">
        <f>IF(OR(E2559="",E2559="!!!",F2559="NEW"),"",INDEX(B2558:B$2,-1+SUMPRODUCT(MAX(ROW(E2558:E$2)*(E2559=E2558:E$2)))))</f>
        <v> </v>
      </c>
      <c r="J2559" s="26" t="str">
        <f>IF(OR(E2559="",E2559="!!!",F2559="NEW"),"",COUNTBLANK(OFFSET(A$1,,,SUMPRODUCT(MAX(ROW(E$2:E2559)*(E2559=E$2:E2559)))))-COUNTBLANK(OFFSET(A$1,,,SUMPRODUCT(MAX(ROW(E$1:E2558)*(E2=E$1:E2558))))))</f>
        <v> </v>
      </c>
      <c r="K2559" s="26" t="str">
        <f>IF(OR(E2559="",E2559="!!!",F2559="NEW"),"",INDEX(J$1:J2558,SUMPRODUCT(MAX(ROW(E$1:E2558)*(E2559=E$1:E2558)))))</f>
        <v> </v>
      </c>
      <c r="L2559" s="27"/>
    </row>
    <row r="2560" spans="1:12">
      <c r="A2560" s="20" t="s">
        <v>660</v>
      </c>
      <c r="B2560" s="21" t="s">
        <v>722</v>
      </c>
      <c r="C2560" s="21" t="s">
        <v>709</v>
      </c>
      <c r="D2560" s="21" t="s">
        <v>587</v>
      </c>
      <c r="E2560" s="22">
        <f>IF(D2560="?OLD","!!!","")</f>
        <v/>
      </c>
      <c r="F2560" s="23" t="str">
        <f>IF(OR(E2560="",E2560="!!!"),"",IF(NOT(ISNA(VLOOKUP(E2560,E$1:E2559,1,FALSE()))),"OLD",IF(AND(E2560&lt;&gt;"",E2560&lt;&gt;"!!!"),"NEW","")))</f>
        <v> </v>
      </c>
      <c r="G2560" s="24" t="str">
        <f>IF(OR(E2560="",E2560="!!!"),"",IF(OR(J2560=0,AND(J2560=1,K2560=1),AND(J2560=1,I2560="SBJ"),AND(J2560=1,I2560=0)),"?IN_FOCUS",IF(J2560&lt;=2,"?ACTIVATED",IF(J2560&lt;&gt;"","?FAMILIAR",IF(F2560="NEW",IF(ISNA(VLOOKUP(E2560,#REF!,1,FALSE())),"?TYPE_IDENTIFIABLE","?REFERENTIAL"),"_")))))</f>
        <v> </v>
      </c>
      <c r="H2560" s="25" t="str">
        <f>IF(J2560&lt;&gt;1,"",IF(I2560="SBJ","CB","?"))</f>
        <v> </v>
      </c>
      <c r="I2560" s="26" t="str">
        <f>IF(OR(E2560="",E2560="!!!",F2560="NEW"),"",INDEX(B2559:B$2,-1+SUMPRODUCT(MAX(ROW(E2559:E$2)*(E2560=E2559:E$2)))))</f>
        <v> </v>
      </c>
      <c r="J2560" s="26" t="str">
        <f>IF(OR(E2560="",E2560="!!!",F2560="NEW"),"",COUNTBLANK(OFFSET(A$1,,,SUMPRODUCT(MAX(ROW(E$2:E2560)*(E2560=E$2:E2560)))))-COUNTBLANK(OFFSET(A$1,,,SUMPRODUCT(MAX(ROW(E$1:E2559)*(E2=E$1:E2559))))))</f>
        <v> </v>
      </c>
      <c r="K2560" s="26" t="str">
        <f>IF(OR(E2560="",E2560="!!!",F2560="NEW"),"",INDEX(J$1:J2559,SUMPRODUCT(MAX(ROW(E$1:E2559)*(E2560=E$1:E2559)))))</f>
        <v> </v>
      </c>
      <c r="L2560" s="27"/>
    </row>
    <row r="2561" spans="1:12">
      <c r="A2561" s="20" t="s">
        <v>583</v>
      </c>
      <c r="E2561" s="22">
        <f>IF(D2561="?OLD","!!!","")</f>
        <v/>
      </c>
      <c r="F2561" s="23" t="str">
        <f>IF(OR(E2561="",E2561="!!!"),"",IF(NOT(ISNA(VLOOKUP(E2561,E$1:E2560,1,FALSE()))),"OLD",IF(AND(E2561&lt;&gt;"",E2561&lt;&gt;"!!!"),"NEW","")))</f>
        <v> </v>
      </c>
      <c r="G2561" s="24" t="str">
        <f>IF(OR(E2561="",E2561="!!!"),"",IF(OR(J2561=0,AND(J2561=1,K2561=1),AND(J2561=1,I2561="SBJ"),AND(J2561=1,I2561=0)),"?IN_FOCUS",IF(J2561&lt;=2,"?ACTIVATED",IF(J2561&lt;&gt;"","?FAMILIAR",IF(F2561="NEW",IF(ISNA(VLOOKUP(E2561,#REF!,1,FALSE())),"?TYPE_IDENTIFIABLE","?REFERENTIAL"),"_")))))</f>
        <v> </v>
      </c>
      <c r="H2561" s="25" t="str">
        <f>IF(J2561&lt;&gt;1,"",IF(I2561="SBJ","CB","?"))</f>
        <v> </v>
      </c>
      <c r="I2561" s="26" t="str">
        <f>IF(OR(E2561="",E2561="!!!",F2561="NEW"),"",INDEX(B2560:B$2,-1+SUMPRODUCT(MAX(ROW(E2560:E$2)*(E2561=E2560:E$2)))))</f>
        <v> </v>
      </c>
      <c r="J2561" s="26" t="str">
        <f>IF(OR(E2561="",E2561="!!!",F2561="NEW"),"",COUNTBLANK(OFFSET(A$1,,,SUMPRODUCT(MAX(ROW(E$2:E2561)*(E2561=E$2:E2561)))))-COUNTBLANK(OFFSET(A$1,,,SUMPRODUCT(MAX(ROW(E$1:E2560)*(E2=E$1:E2560))))))</f>
        <v> </v>
      </c>
      <c r="K2561" s="26" t="str">
        <f>IF(OR(E2561="",E2561="!!!",F2561="NEW"),"",INDEX(J$1:J2560,SUMPRODUCT(MAX(ROW(E$1:E2560)*(E2561=E$1:E2560)))))</f>
        <v> </v>
      </c>
      <c r="L2561" s="27"/>
    </row>
    <row r="2562" spans="1:12">
      <c r="A2562" s="20" t="s">
        <v>1267</v>
      </c>
      <c r="E2562" s="22">
        <f>IF(D2562="?OLD","!!!","")</f>
        <v/>
      </c>
      <c r="F2562" s="23" t="str">
        <f>IF(OR(E2562="",E2562="!!!"),"",IF(NOT(ISNA(VLOOKUP(E2562,E$1:E2561,1,FALSE()))),"OLD",IF(AND(E2562&lt;&gt;"",E2562&lt;&gt;"!!!"),"NEW","")))</f>
        <v> </v>
      </c>
      <c r="G2562" s="24" t="str">
        <f>IF(OR(E2562="",E2562="!!!"),"",IF(OR(J2562=0,AND(J2562=1,K2562=1),AND(J2562=1,I2562="SBJ"),AND(J2562=1,I2562=0)),"?IN_FOCUS",IF(J2562&lt;=2,"?ACTIVATED",IF(J2562&lt;&gt;"","?FAMILIAR",IF(F2562="NEW",IF(ISNA(VLOOKUP(E2562,#REF!,1,FALSE())),"?TYPE_IDENTIFIABLE","?REFERENTIAL"),"_")))))</f>
        <v> </v>
      </c>
      <c r="H2562" s="25" t="str">
        <f>IF(J2562&lt;&gt;1,"",IF(I2562="SBJ","CB","?"))</f>
        <v> </v>
      </c>
      <c r="I2562" s="26" t="str">
        <f>IF(OR(E2562="",E2562="!!!",F2562="NEW"),"",INDEX(B2561:B$2,-1+SUMPRODUCT(MAX(ROW(E2561:E$2)*(E2562=E2561:E$2)))))</f>
        <v> </v>
      </c>
      <c r="J2562" s="26" t="str">
        <f>IF(OR(E2562="",E2562="!!!",F2562="NEW"),"",COUNTBLANK(OFFSET(A$1,,,SUMPRODUCT(MAX(ROW(E$2:E2562)*(E2562=E$2:E2562)))))-COUNTBLANK(OFFSET(A$1,,,SUMPRODUCT(MAX(ROW(E$1:E2561)*(E2=E$1:E2561))))))</f>
        <v> </v>
      </c>
      <c r="K2562" s="26" t="str">
        <f>IF(OR(E2562="",E2562="!!!",F2562="NEW"),"",INDEX(J$1:J2561,SUMPRODUCT(MAX(ROW(E$1:E2561)*(E2562=E$1:E2561)))))</f>
        <v> </v>
      </c>
      <c r="L2562" s="27"/>
    </row>
    <row r="2563" spans="1:12">
      <c r="A2563" s="20" t="s">
        <v>630</v>
      </c>
      <c r="E2563" s="22">
        <f>IF(D2563="?OLD","!!!","")</f>
        <v/>
      </c>
      <c r="F2563" s="23" t="str">
        <f>IF(OR(E2563="",E2563="!!!"),"",IF(NOT(ISNA(VLOOKUP(E2563,E$1:E2562,1,FALSE()))),"OLD",IF(AND(E2563&lt;&gt;"",E2563&lt;&gt;"!!!"),"NEW","")))</f>
        <v> </v>
      </c>
      <c r="G2563" s="24" t="str">
        <f>IF(OR(E2563="",E2563="!!!"),"",IF(OR(J2563=0,AND(J2563=1,K2563=1),AND(J2563=1,I2563="SBJ"),AND(J2563=1,I2563=0)),"?IN_FOCUS",IF(J2563&lt;=2,"?ACTIVATED",IF(J2563&lt;&gt;"","?FAMILIAR",IF(F2563="NEW",IF(ISNA(VLOOKUP(E2563,#REF!,1,FALSE())),"?TYPE_IDENTIFIABLE","?REFERENTIAL"),"_")))))</f>
        <v> </v>
      </c>
      <c r="H2563" s="25" t="str">
        <f>IF(J2563&lt;&gt;1,"",IF(I2563="SBJ","CB","?"))</f>
        <v> </v>
      </c>
      <c r="I2563" s="26" t="str">
        <f>IF(OR(E2563="",E2563="!!!",F2563="NEW"),"",INDEX(B2562:B$2,-1+SUMPRODUCT(MAX(ROW(E2562:E$2)*(E2563=E2562:E$2)))))</f>
        <v> </v>
      </c>
      <c r="J2563" s="26" t="str">
        <f>IF(OR(E2563="",E2563="!!!",F2563="NEW"),"",COUNTBLANK(OFFSET(A$1,,,SUMPRODUCT(MAX(ROW(E$2:E2563)*(E2563=E$2:E2563)))))-COUNTBLANK(OFFSET(A$1,,,SUMPRODUCT(MAX(ROW(E$1:E2562)*(E2=E$1:E2562))))))</f>
        <v> </v>
      </c>
      <c r="K2563" s="26" t="str">
        <f>IF(OR(E2563="",E2563="!!!",F2563="NEW"),"",INDEX(J$1:J2562,SUMPRODUCT(MAX(ROW(E$1:E2562)*(E2563=E$1:E2562)))))</f>
        <v> </v>
      </c>
      <c r="L2563" s="27"/>
    </row>
    <row r="2564" spans="1:12">
      <c r="A2564" s="20" t="s">
        <v>1715</v>
      </c>
      <c r="E2564" s="22">
        <f>IF(D2564="?OLD","!!!","")</f>
        <v/>
      </c>
      <c r="F2564" s="23" t="str">
        <f>IF(OR(E2564="",E2564="!!!"),"",IF(NOT(ISNA(VLOOKUP(E2564,E$1:E2563,1,FALSE()))),"OLD",IF(AND(E2564&lt;&gt;"",E2564&lt;&gt;"!!!"),"NEW","")))</f>
        <v> </v>
      </c>
      <c r="G2564" s="24" t="str">
        <f>IF(OR(E2564="",E2564="!!!"),"",IF(OR(J2564=0,AND(J2564=1,K2564=1),AND(J2564=1,I2564="SBJ"),AND(J2564=1,I2564=0)),"?IN_FOCUS",IF(J2564&lt;=2,"?ACTIVATED",IF(J2564&lt;&gt;"","?FAMILIAR",IF(F2564="NEW",IF(ISNA(VLOOKUP(E2564,#REF!,1,FALSE())),"?TYPE_IDENTIFIABLE","?REFERENTIAL"),"_")))))</f>
        <v> </v>
      </c>
      <c r="H2564" s="25" t="str">
        <f>IF(J2564&lt;&gt;1,"",IF(I2564="SBJ","CB","?"))</f>
        <v> </v>
      </c>
      <c r="I2564" s="26" t="str">
        <f>IF(OR(E2564="",E2564="!!!",F2564="NEW"),"",INDEX(B2563:B$2,-1+SUMPRODUCT(MAX(ROW(E2563:E$2)*(E2564=E2563:E$2)))))</f>
        <v> </v>
      </c>
      <c r="J2564" s="26" t="str">
        <f>IF(OR(E2564="",E2564="!!!",F2564="NEW"),"",COUNTBLANK(OFFSET(A$1,,,SUMPRODUCT(MAX(ROW(E$2:E2564)*(E2564=E$2:E2564)))))-COUNTBLANK(OFFSET(A$1,,,SUMPRODUCT(MAX(ROW(E$1:E2563)*(E2=E$1:E2563))))))</f>
        <v> </v>
      </c>
      <c r="K2564" s="26" t="str">
        <f>IF(OR(E2564="",E2564="!!!",F2564="NEW"),"",INDEX(J$1:J2563,SUMPRODUCT(MAX(ROW(E$1:E2563)*(E2564=E$1:E2563)))))</f>
        <v> </v>
      </c>
      <c r="L2564" s="27"/>
    </row>
    <row r="2565" spans="1:12">
      <c r="A2565" s="20" t="s">
        <v>1716</v>
      </c>
      <c r="E2565" s="22">
        <f>IF(D2565="?OLD","!!!","")</f>
        <v/>
      </c>
      <c r="F2565" s="23" t="str">
        <f>IF(OR(E2565="",E2565="!!!"),"",IF(NOT(ISNA(VLOOKUP(E2565,E$1:E2564,1,FALSE()))),"OLD",IF(AND(E2565&lt;&gt;"",E2565&lt;&gt;"!!!"),"NEW","")))</f>
        <v> </v>
      </c>
      <c r="G2565" s="24" t="str">
        <f>IF(OR(E2565="",E2565="!!!"),"",IF(OR(J2565=0,AND(J2565=1,K2565=1),AND(J2565=1,I2565="SBJ"),AND(J2565=1,I2565=0)),"?IN_FOCUS",IF(J2565&lt;=2,"?ACTIVATED",IF(J2565&lt;&gt;"","?FAMILIAR",IF(F2565="NEW",IF(ISNA(VLOOKUP(E2565,#REF!,1,FALSE())),"?TYPE_IDENTIFIABLE","?REFERENTIAL"),"_")))))</f>
        <v> </v>
      </c>
      <c r="H2565" s="25" t="str">
        <f>IF(J2565&lt;&gt;1,"",IF(I2565="SBJ","CB","?"))</f>
        <v> </v>
      </c>
      <c r="I2565" s="26" t="str">
        <f>IF(OR(E2565="",E2565="!!!",F2565="NEW"),"",INDEX(B2564:B$2,-1+SUMPRODUCT(MAX(ROW(E2564:E$2)*(E2565=E2564:E$2)))))</f>
        <v> </v>
      </c>
      <c r="J2565" s="26" t="str">
        <f>IF(OR(E2565="",E2565="!!!",F2565="NEW"),"",COUNTBLANK(OFFSET(A$1,,,SUMPRODUCT(MAX(ROW(E$2:E2565)*(E2565=E$2:E2565)))))-COUNTBLANK(OFFSET(A$1,,,SUMPRODUCT(MAX(ROW(E$1:E2564)*(E2=E$1:E2564))))))</f>
        <v> </v>
      </c>
      <c r="K2565" s="26" t="str">
        <f>IF(OR(E2565="",E2565="!!!",F2565="NEW"),"",INDEX(J$1:J2564,SUMPRODUCT(MAX(ROW(E$1:E2564)*(E2565=E$1:E2564)))))</f>
        <v> </v>
      </c>
      <c r="L2565" s="27"/>
    </row>
    <row r="2566" spans="1:12">
      <c r="A2566" s="20" t="s">
        <v>1717</v>
      </c>
      <c r="B2566" s="21" t="s">
        <v>1045</v>
      </c>
      <c r="E2566" s="22">
        <f>IF(D2566="?OLD","!!!","")</f>
        <v/>
      </c>
      <c r="F2566" s="23" t="str">
        <f>IF(OR(E2566="",E2566="!!!"),"",IF(NOT(ISNA(VLOOKUP(E2566,E$1:E2565,1,FALSE()))),"OLD",IF(AND(E2566&lt;&gt;"",E2566&lt;&gt;"!!!"),"NEW","")))</f>
        <v> </v>
      </c>
      <c r="G2566" s="24" t="str">
        <f>IF(OR(E2566="",E2566="!!!"),"",IF(OR(J2566=0,AND(J2566=1,K2566=1),AND(J2566=1,I2566="SBJ"),AND(J2566=1,I2566=0)),"?IN_FOCUS",IF(J2566&lt;=2,"?ACTIVATED",IF(J2566&lt;&gt;"","?FAMILIAR",IF(F2566="NEW",IF(ISNA(VLOOKUP(E2566,#REF!,1,FALSE())),"?TYPE_IDENTIFIABLE","?REFERENTIAL"),"_")))))</f>
        <v> </v>
      </c>
      <c r="H2566" s="25" t="str">
        <f>IF(J2566&lt;&gt;1,"",IF(I2566="SBJ","CB","?"))</f>
        <v> </v>
      </c>
      <c r="I2566" s="26" t="str">
        <f>IF(OR(E2566="",E2566="!!!",F2566="NEW"),"",INDEX(B2565:B$2,-1+SUMPRODUCT(MAX(ROW(E2565:E$2)*(E2566=E2565:E$2)))))</f>
        <v> </v>
      </c>
      <c r="J2566" s="26" t="str">
        <f>IF(OR(E2566="",E2566="!!!",F2566="NEW"),"",COUNTBLANK(OFFSET(A$1,,,SUMPRODUCT(MAX(ROW(E$2:E2566)*(E2566=E$2:E2566)))))-COUNTBLANK(OFFSET(A$1,,,SUMPRODUCT(MAX(ROW(E$1:E2565)*(E2=E$1:E2565))))))</f>
        <v> </v>
      </c>
      <c r="K2566" s="26" t="str">
        <f>IF(OR(E2566="",E2566="!!!",F2566="NEW"),"",INDEX(J$1:J2565,SUMPRODUCT(MAX(ROW(E$1:E2565)*(E2566=E$1:E2565)))))</f>
        <v> </v>
      </c>
      <c r="L2566" s="27"/>
    </row>
    <row r="2567" spans="1:12">
      <c r="A2567" s="20" t="s">
        <v>1718</v>
      </c>
      <c r="E2567" s="22">
        <f>IF(D2567="?OLD","!!!","")</f>
        <v/>
      </c>
      <c r="F2567" s="23" t="str">
        <f>IF(OR(E2567="",E2567="!!!"),"",IF(NOT(ISNA(VLOOKUP(E2567,E$1:E2566,1,FALSE()))),"OLD",IF(AND(E2567&lt;&gt;"",E2567&lt;&gt;"!!!"),"NEW","")))</f>
        <v> </v>
      </c>
      <c r="G2567" s="24" t="str">
        <f>IF(OR(E2567="",E2567="!!!"),"",IF(OR(J2567=0,AND(J2567=1,K2567=1),AND(J2567=1,I2567="SBJ"),AND(J2567=1,I2567=0)),"?IN_FOCUS",IF(J2567&lt;=2,"?ACTIVATED",IF(J2567&lt;&gt;"","?FAMILIAR",IF(F2567="NEW",IF(ISNA(VLOOKUP(E2567,#REF!,1,FALSE())),"?TYPE_IDENTIFIABLE","?REFERENTIAL"),"_")))))</f>
        <v> </v>
      </c>
      <c r="H2567" s="25" t="str">
        <f>IF(J2567&lt;&gt;1,"",IF(I2567="SBJ","CB","?"))</f>
        <v> </v>
      </c>
      <c r="I2567" s="26" t="str">
        <f>IF(OR(E2567="",E2567="!!!",F2567="NEW"),"",INDEX(B2566:B$2,-1+SUMPRODUCT(MAX(ROW(E2566:E$2)*(E2567=E2566:E$2)))))</f>
        <v> </v>
      </c>
      <c r="J2567" s="26" t="str">
        <f>IF(OR(E2567="",E2567="!!!",F2567="NEW"),"",COUNTBLANK(OFFSET(A$1,,,SUMPRODUCT(MAX(ROW(E$2:E2567)*(E2567=E$2:E2567)))))-COUNTBLANK(OFFSET(A$1,,,SUMPRODUCT(MAX(ROW(E$1:E2566)*(E2=E$1:E2566))))))</f>
        <v> </v>
      </c>
      <c r="K2567" s="26" t="str">
        <f>IF(OR(E2567="",E2567="!!!",F2567="NEW"),"",INDEX(J$1:J2566,SUMPRODUCT(MAX(ROW(E$1:E2566)*(E2567=E$1:E2566)))))</f>
        <v> </v>
      </c>
      <c r="L2567" s="27"/>
    </row>
    <row r="2568" spans="1:12">
      <c r="A2568" s="20" t="s">
        <v>873</v>
      </c>
      <c r="E2568" s="22">
        <f>IF(D2568="?OLD","!!!","")</f>
        <v/>
      </c>
      <c r="F2568" s="23" t="str">
        <f>IF(OR(E2568="",E2568="!!!"),"",IF(NOT(ISNA(VLOOKUP(E2568,E$1:E2567,1,FALSE()))),"OLD",IF(AND(E2568&lt;&gt;"",E2568&lt;&gt;"!!!"),"NEW","")))</f>
        <v> </v>
      </c>
      <c r="G2568" s="24" t="str">
        <f>IF(OR(E2568="",E2568="!!!"),"",IF(OR(J2568=0,AND(J2568=1,K2568=1),AND(J2568=1,I2568="SBJ"),AND(J2568=1,I2568=0)),"?IN_FOCUS",IF(J2568&lt;=2,"?ACTIVATED",IF(J2568&lt;&gt;"","?FAMILIAR",IF(F2568="NEW",IF(ISNA(VLOOKUP(E2568,#REF!,1,FALSE())),"?TYPE_IDENTIFIABLE","?REFERENTIAL"),"_")))))</f>
        <v> </v>
      </c>
      <c r="H2568" s="25" t="str">
        <f>IF(J2568&lt;&gt;1,"",IF(I2568="SBJ","CB","?"))</f>
        <v> </v>
      </c>
      <c r="I2568" s="26" t="str">
        <f>IF(OR(E2568="",E2568="!!!",F2568="NEW"),"",INDEX(B2567:B$2,-1+SUMPRODUCT(MAX(ROW(E2567:E$2)*(E2568=E2567:E$2)))))</f>
        <v> </v>
      </c>
      <c r="J2568" s="26" t="str">
        <f>IF(OR(E2568="",E2568="!!!",F2568="NEW"),"",COUNTBLANK(OFFSET(A$1,,,SUMPRODUCT(MAX(ROW(E$2:E2568)*(E2568=E$2:E2568)))))-COUNTBLANK(OFFSET(A$1,,,SUMPRODUCT(MAX(ROW(E$1:E2567)*(E2=E$1:E2567))))))</f>
        <v> </v>
      </c>
      <c r="K2568" s="26" t="str">
        <f>IF(OR(E2568="",E2568="!!!",F2568="NEW"),"",INDEX(J$1:J2567,SUMPRODUCT(MAX(ROW(E$1:E2567)*(E2568=E$1:E2567)))))</f>
        <v> </v>
      </c>
      <c r="L2568" s="27"/>
    </row>
    <row r="2569" spans="1:12">
      <c r="A2569" s="20" t="s">
        <v>1719</v>
      </c>
      <c r="E2569" s="22">
        <f>IF(D2569="?OLD","!!!","")</f>
        <v/>
      </c>
      <c r="F2569" s="23" t="str">
        <f>IF(OR(E2569="",E2569="!!!"),"",IF(NOT(ISNA(VLOOKUP(E2569,E$1:E2568,1,FALSE()))),"OLD",IF(AND(E2569&lt;&gt;"",E2569&lt;&gt;"!!!"),"NEW","")))</f>
        <v> </v>
      </c>
      <c r="G2569" s="24" t="str">
        <f>IF(OR(E2569="",E2569="!!!"),"",IF(OR(J2569=0,AND(J2569=1,K2569=1),AND(J2569=1,I2569="SBJ"),AND(J2569=1,I2569=0)),"?IN_FOCUS",IF(J2569&lt;=2,"?ACTIVATED",IF(J2569&lt;&gt;"","?FAMILIAR",IF(F2569="NEW",IF(ISNA(VLOOKUP(E2569,#REF!,1,FALSE())),"?TYPE_IDENTIFIABLE","?REFERENTIAL"),"_")))))</f>
        <v> </v>
      </c>
      <c r="H2569" s="25" t="str">
        <f>IF(J2569&lt;&gt;1,"",IF(I2569="SBJ","CB","?"))</f>
        <v> </v>
      </c>
      <c r="I2569" s="26" t="str">
        <f>IF(OR(E2569="",E2569="!!!",F2569="NEW"),"",INDEX(B2568:B$2,-1+SUMPRODUCT(MAX(ROW(E2568:E$2)*(E2569=E2568:E$2)))))</f>
        <v> </v>
      </c>
      <c r="J2569" s="26" t="str">
        <f>IF(OR(E2569="",E2569="!!!",F2569="NEW"),"",COUNTBLANK(OFFSET(A$1,,,SUMPRODUCT(MAX(ROW(E$2:E2569)*(E2569=E$2:E2569)))))-COUNTBLANK(OFFSET(A$1,,,SUMPRODUCT(MAX(ROW(E$1:E2568)*(E2=E$1:E2568))))))</f>
        <v> </v>
      </c>
      <c r="K2569" s="26" t="str">
        <f>IF(OR(E2569="",E2569="!!!",F2569="NEW"),"",INDEX(J$1:J2568,SUMPRODUCT(MAX(ROW(E$1:E2568)*(E2569=E$1:E2568)))))</f>
        <v> </v>
      </c>
      <c r="L2569" s="27"/>
    </row>
    <row r="2570" spans="1:12">
      <c r="A2570" s="20" t="s">
        <v>583</v>
      </c>
      <c r="E2570" s="22">
        <f>IF(D2570="?OLD","!!!","")</f>
        <v/>
      </c>
      <c r="F2570" s="23" t="str">
        <f>IF(OR(E2570="",E2570="!!!"),"",IF(NOT(ISNA(VLOOKUP(E2570,E$1:E2569,1,FALSE()))),"OLD",IF(AND(E2570&lt;&gt;"",E2570&lt;&gt;"!!!"),"NEW","")))</f>
        <v> </v>
      </c>
      <c r="G2570" s="24" t="str">
        <f>IF(OR(E2570="",E2570="!!!"),"",IF(OR(J2570=0,AND(J2570=1,K2570=1),AND(J2570=1,I2570="SBJ"),AND(J2570=1,I2570=0)),"?IN_FOCUS",IF(J2570&lt;=2,"?ACTIVATED",IF(J2570&lt;&gt;"","?FAMILIAR",IF(F2570="NEW",IF(ISNA(VLOOKUP(E2570,#REF!,1,FALSE())),"?TYPE_IDENTIFIABLE","?REFERENTIAL"),"_")))))</f>
        <v> </v>
      </c>
      <c r="H2570" s="25" t="str">
        <f>IF(J2570&lt;&gt;1,"",IF(I2570="SBJ","CB","?"))</f>
        <v> </v>
      </c>
      <c r="I2570" s="26" t="str">
        <f>IF(OR(E2570="",E2570="!!!",F2570="NEW"),"",INDEX(B2569:B$2,-1+SUMPRODUCT(MAX(ROW(E2569:E$2)*(E2570=E2569:E$2)))))</f>
        <v> </v>
      </c>
      <c r="J2570" s="26" t="str">
        <f>IF(OR(E2570="",E2570="!!!",F2570="NEW"),"",COUNTBLANK(OFFSET(A$1,,,SUMPRODUCT(MAX(ROW(E$2:E2570)*(E2570=E$2:E2570)))))-COUNTBLANK(OFFSET(A$1,,,SUMPRODUCT(MAX(ROW(E$1:E2569)*(E2=E$1:E2569))))))</f>
        <v> </v>
      </c>
      <c r="K2570" s="26" t="str">
        <f>IF(OR(E2570="",E2570="!!!",F2570="NEW"),"",INDEX(J$1:J2569,SUMPRODUCT(MAX(ROW(E$1:E2569)*(E2570=E$1:E2569)))))</f>
        <v> </v>
      </c>
      <c r="L2570" s="27"/>
    </row>
    <row r="2571" spans="1:12">
      <c r="A2571" s="20" t="s">
        <v>1720</v>
      </c>
      <c r="E2571" s="22">
        <f>IF(D2571="?OLD","!!!","")</f>
        <v/>
      </c>
      <c r="F2571" s="23" t="str">
        <f>IF(OR(E2571="",E2571="!!!"),"",IF(NOT(ISNA(VLOOKUP(E2571,E$1:E2570,1,FALSE()))),"OLD",IF(AND(E2571&lt;&gt;"",E2571&lt;&gt;"!!!"),"NEW","")))</f>
        <v> </v>
      </c>
      <c r="G2571" s="24" t="str">
        <f>IF(OR(E2571="",E2571="!!!"),"",IF(OR(J2571=0,AND(J2571=1,K2571=1),AND(J2571=1,I2571="SBJ"),AND(J2571=1,I2571=0)),"?IN_FOCUS",IF(J2571&lt;=2,"?ACTIVATED",IF(J2571&lt;&gt;"","?FAMILIAR",IF(F2571="NEW",IF(ISNA(VLOOKUP(E2571,#REF!,1,FALSE())),"?TYPE_IDENTIFIABLE","?REFERENTIAL"),"_")))))</f>
        <v> </v>
      </c>
      <c r="H2571" s="25" t="str">
        <f>IF(J2571&lt;&gt;1,"",IF(I2571="SBJ","CB","?"))</f>
        <v> </v>
      </c>
      <c r="I2571" s="26" t="str">
        <f>IF(OR(E2571="",E2571="!!!",F2571="NEW"),"",INDEX(B2570:B$2,-1+SUMPRODUCT(MAX(ROW(E2570:E$2)*(E2571=E2570:E$2)))))</f>
        <v> </v>
      </c>
      <c r="J2571" s="26" t="str">
        <f>IF(OR(E2571="",E2571="!!!",F2571="NEW"),"",COUNTBLANK(OFFSET(A$1,,,SUMPRODUCT(MAX(ROW(E$2:E2571)*(E2571=E$2:E2571)))))-COUNTBLANK(OFFSET(A$1,,,SUMPRODUCT(MAX(ROW(E$1:E2570)*(E2=E$1:E2570))))))</f>
        <v> </v>
      </c>
      <c r="K2571" s="26" t="str">
        <f>IF(OR(E2571="",E2571="!!!",F2571="NEW"),"",INDEX(J$1:J2570,SUMPRODUCT(MAX(ROW(E$1:E2570)*(E2571=E$1:E2570)))))</f>
        <v> </v>
      </c>
      <c r="L2571" s="27"/>
    </row>
    <row r="2572" spans="1:12">
      <c r="A2572" s="20" t="s">
        <v>580</v>
      </c>
      <c r="E2572" s="22">
        <f>IF(D2572="?OLD","!!!","")</f>
        <v/>
      </c>
      <c r="F2572" s="23" t="str">
        <f>IF(OR(E2572="",E2572="!!!"),"",IF(NOT(ISNA(VLOOKUP(E2572,E$1:E2571,1,FALSE()))),"OLD",IF(AND(E2572&lt;&gt;"",E2572&lt;&gt;"!!!"),"NEW","")))</f>
        <v> </v>
      </c>
      <c r="G2572" s="24" t="str">
        <f>IF(OR(E2572="",E2572="!!!"),"",IF(OR(J2572=0,AND(J2572=1,K2572=1),AND(J2572=1,I2572="SBJ"),AND(J2572=1,I2572=0)),"?IN_FOCUS",IF(J2572&lt;=2,"?ACTIVATED",IF(J2572&lt;&gt;"","?FAMILIAR",IF(F2572="NEW",IF(ISNA(VLOOKUP(E2572,#REF!,1,FALSE())),"?TYPE_IDENTIFIABLE","?REFERENTIAL"),"_")))))</f>
        <v> </v>
      </c>
      <c r="H2572" s="25" t="str">
        <f>IF(J2572&lt;&gt;1,"",IF(I2572="SBJ","CB","?"))</f>
        <v> </v>
      </c>
      <c r="I2572" s="26" t="str">
        <f>IF(OR(E2572="",E2572="!!!",F2572="NEW"),"",INDEX(B2571:B$2,-1+SUMPRODUCT(MAX(ROW(E2571:E$2)*(E2572=E2571:E$2)))))</f>
        <v> </v>
      </c>
      <c r="J2572" s="26" t="str">
        <f>IF(OR(E2572="",E2572="!!!",F2572="NEW"),"",COUNTBLANK(OFFSET(A$1,,,SUMPRODUCT(MAX(ROW(E$2:E2572)*(E2572=E$2:E2572)))))-COUNTBLANK(OFFSET(A$1,,,SUMPRODUCT(MAX(ROW(E$1:E2571)*(E2=E$1:E2571))))))</f>
        <v> </v>
      </c>
      <c r="K2572" s="26" t="str">
        <f>IF(OR(E2572="",E2572="!!!",F2572="NEW"),"",INDEX(J$1:J2571,SUMPRODUCT(MAX(ROW(E$1:E2571)*(E2572=E$1:E2571)))))</f>
        <v> </v>
      </c>
      <c r="L2572" s="27"/>
    </row>
    <row r="2573" spans="1:12">
      <c r="A2573" s="20" t="s">
        <v>1721</v>
      </c>
      <c r="E2573" s="22">
        <f>IF(D2573="?OLD","!!!","")</f>
        <v/>
      </c>
      <c r="F2573" s="23" t="str">
        <f>IF(OR(E2573="",E2573="!!!"),"",IF(NOT(ISNA(VLOOKUP(E2573,E$1:E2572,1,FALSE()))),"OLD",IF(AND(E2573&lt;&gt;"",E2573&lt;&gt;"!!!"),"NEW","")))</f>
        <v> </v>
      </c>
      <c r="G2573" s="24" t="str">
        <f>IF(OR(E2573="",E2573="!!!"),"",IF(OR(J2573=0,AND(J2573=1,K2573=1),AND(J2573=1,I2573="SBJ"),AND(J2573=1,I2573=0)),"?IN_FOCUS",IF(J2573&lt;=2,"?ACTIVATED",IF(J2573&lt;&gt;"","?FAMILIAR",IF(F2573="NEW",IF(ISNA(VLOOKUP(E2573,#REF!,1,FALSE())),"?TYPE_IDENTIFIABLE","?REFERENTIAL"),"_")))))</f>
        <v> </v>
      </c>
      <c r="H2573" s="25" t="str">
        <f>IF(J2573&lt;&gt;1,"",IF(I2573="SBJ","CB","?"))</f>
        <v> </v>
      </c>
      <c r="I2573" s="26" t="str">
        <f>IF(OR(E2573="",E2573="!!!",F2573="NEW"),"",INDEX(B2572:B$2,-1+SUMPRODUCT(MAX(ROW(E2572:E$2)*(E2573=E2572:E$2)))))</f>
        <v> </v>
      </c>
      <c r="J2573" s="26" t="str">
        <f>IF(OR(E2573="",E2573="!!!",F2573="NEW"),"",COUNTBLANK(OFFSET(A$1,,,SUMPRODUCT(MAX(ROW(E$2:E2573)*(E2573=E$2:E2573)))))-COUNTBLANK(OFFSET(A$1,,,SUMPRODUCT(MAX(ROW(E$1:E2572)*(E2=E$1:E2572))))))</f>
        <v> </v>
      </c>
      <c r="K2573" s="26" t="str">
        <f>IF(OR(E2573="",E2573="!!!",F2573="NEW"),"",INDEX(J$1:J2572,SUMPRODUCT(MAX(ROW(E$1:E2572)*(E2573=E$1:E2572)))))</f>
        <v> </v>
      </c>
      <c r="L2573" s="27"/>
    </row>
    <row r="2574" spans="1:12">
      <c r="A2574" s="20" t="s">
        <v>1722</v>
      </c>
      <c r="E2574" s="22">
        <f>IF(D2574="?OLD","!!!","")</f>
        <v/>
      </c>
      <c r="F2574" s="23" t="str">
        <f>IF(OR(E2574="",E2574="!!!"),"",IF(NOT(ISNA(VLOOKUP(E2574,E$1:E2573,1,FALSE()))),"OLD",IF(AND(E2574&lt;&gt;"",E2574&lt;&gt;"!!!"),"NEW","")))</f>
        <v> </v>
      </c>
      <c r="G2574" s="24" t="str">
        <f>IF(OR(E2574="",E2574="!!!"),"",IF(OR(J2574=0,AND(J2574=1,K2574=1),AND(J2574=1,I2574="SBJ"),AND(J2574=1,I2574=0)),"?IN_FOCUS",IF(J2574&lt;=2,"?ACTIVATED",IF(J2574&lt;&gt;"","?FAMILIAR",IF(F2574="NEW",IF(ISNA(VLOOKUP(E2574,#REF!,1,FALSE())),"?TYPE_IDENTIFIABLE","?REFERENTIAL"),"_")))))</f>
        <v> </v>
      </c>
      <c r="H2574" s="25" t="str">
        <f>IF(J2574&lt;&gt;1,"",IF(I2574="SBJ","CB","?"))</f>
        <v> </v>
      </c>
      <c r="I2574" s="26" t="str">
        <f>IF(OR(E2574="",E2574="!!!",F2574="NEW"),"",INDEX(B2573:B$2,-1+SUMPRODUCT(MAX(ROW(E2573:E$2)*(E2574=E2573:E$2)))))</f>
        <v> </v>
      </c>
      <c r="J2574" s="26" t="str">
        <f>IF(OR(E2574="",E2574="!!!",F2574="NEW"),"",COUNTBLANK(OFFSET(A$1,,,SUMPRODUCT(MAX(ROW(E$2:E2574)*(E2574=E$2:E2574)))))-COUNTBLANK(OFFSET(A$1,,,SUMPRODUCT(MAX(ROW(E$1:E2573)*(E2=E$1:E2573))))))</f>
        <v> </v>
      </c>
      <c r="K2574" s="26" t="str">
        <f>IF(OR(E2574="",E2574="!!!",F2574="NEW"),"",INDEX(J$1:J2573,SUMPRODUCT(MAX(ROW(E$1:E2573)*(E2574=E$1:E2573)))))</f>
        <v> </v>
      </c>
      <c r="L2574" s="27"/>
    </row>
    <row r="2575" spans="1:12">
      <c r="A2575" s="20" t="s">
        <v>1723</v>
      </c>
      <c r="E2575" s="22">
        <f>IF(D2575="?OLD","!!!","")</f>
        <v/>
      </c>
      <c r="F2575" s="23" t="str">
        <f>IF(OR(E2575="",E2575="!!!"),"",IF(NOT(ISNA(VLOOKUP(E2575,E$1:E2574,1,FALSE()))),"OLD",IF(AND(E2575&lt;&gt;"",E2575&lt;&gt;"!!!"),"NEW","")))</f>
        <v> </v>
      </c>
      <c r="G2575" s="24" t="str">
        <f>IF(OR(E2575="",E2575="!!!"),"",IF(OR(J2575=0,AND(J2575=1,K2575=1),AND(J2575=1,I2575="SBJ"),AND(J2575=1,I2575=0)),"?IN_FOCUS",IF(J2575&lt;=2,"?ACTIVATED",IF(J2575&lt;&gt;"","?FAMILIAR",IF(F2575="NEW",IF(ISNA(VLOOKUP(E2575,#REF!,1,FALSE())),"?TYPE_IDENTIFIABLE","?REFERENTIAL"),"_")))))</f>
        <v> </v>
      </c>
      <c r="H2575" s="25" t="str">
        <f>IF(J2575&lt;&gt;1,"",IF(I2575="SBJ","CB","?"))</f>
        <v> </v>
      </c>
      <c r="I2575" s="26" t="str">
        <f>IF(OR(E2575="",E2575="!!!",F2575="NEW"),"",INDEX(B2574:B$2,-1+SUMPRODUCT(MAX(ROW(E2574:E$2)*(E2575=E2574:E$2)))))</f>
        <v> </v>
      </c>
      <c r="J2575" s="26" t="str">
        <f>IF(OR(E2575="",E2575="!!!",F2575="NEW"),"",COUNTBLANK(OFFSET(A$1,,,SUMPRODUCT(MAX(ROW(E$2:E2575)*(E2575=E$2:E2575)))))-COUNTBLANK(OFFSET(A$1,,,SUMPRODUCT(MAX(ROW(E$1:E2574)*(E2=E$1:E2574))))))</f>
        <v> </v>
      </c>
      <c r="K2575" s="26" t="str">
        <f>IF(OR(E2575="",E2575="!!!",F2575="NEW"),"",INDEX(J$1:J2574,SUMPRODUCT(MAX(ROW(E$1:E2574)*(E2575=E$1:E2574)))))</f>
        <v> </v>
      </c>
      <c r="L2575" s="27"/>
    </row>
    <row r="2576" spans="1:12">
      <c r="A2576" s="20" t="s">
        <v>735</v>
      </c>
      <c r="E2576" s="22">
        <f>IF(D2576="?OLD","!!!","")</f>
        <v/>
      </c>
      <c r="F2576" s="23" t="str">
        <f>IF(OR(E2576="",E2576="!!!"),"",IF(NOT(ISNA(VLOOKUP(E2576,E$1:E2575,1,FALSE()))),"OLD",IF(AND(E2576&lt;&gt;"",E2576&lt;&gt;"!!!"),"NEW","")))</f>
        <v> </v>
      </c>
      <c r="G2576" s="24" t="str">
        <f>IF(OR(E2576="",E2576="!!!"),"",IF(OR(J2576=0,AND(J2576=1,K2576=1),AND(J2576=1,I2576="SBJ"),AND(J2576=1,I2576=0)),"?IN_FOCUS",IF(J2576&lt;=2,"?ACTIVATED",IF(J2576&lt;&gt;"","?FAMILIAR",IF(F2576="NEW",IF(ISNA(VLOOKUP(E2576,#REF!,1,FALSE())),"?TYPE_IDENTIFIABLE","?REFERENTIAL"),"_")))))</f>
        <v> </v>
      </c>
      <c r="H2576" s="25" t="str">
        <f>IF(J2576&lt;&gt;1,"",IF(I2576="SBJ","CB","?"))</f>
        <v> </v>
      </c>
      <c r="I2576" s="26" t="str">
        <f>IF(OR(E2576="",E2576="!!!",F2576="NEW"),"",INDEX(B2575:B$2,-1+SUMPRODUCT(MAX(ROW(E2575:E$2)*(E2576=E2575:E$2)))))</f>
        <v> </v>
      </c>
      <c r="J2576" s="26" t="str">
        <f>IF(OR(E2576="",E2576="!!!",F2576="NEW"),"",COUNTBLANK(OFFSET(A$1,,,SUMPRODUCT(MAX(ROW(E$2:E2576)*(E2576=E$2:E2576)))))-COUNTBLANK(OFFSET(A$1,,,SUMPRODUCT(MAX(ROW(E$1:E2575)*(E2=E$1:E2575))))))</f>
        <v> </v>
      </c>
      <c r="K2576" s="26" t="str">
        <f>IF(OR(E2576="",E2576="!!!",F2576="NEW"),"",INDEX(J$1:J2575,SUMPRODUCT(MAX(ROW(E$1:E2575)*(E2576=E$1:E2575)))))</f>
        <v> </v>
      </c>
      <c r="L2576" s="27"/>
    </row>
    <row r="2577" spans="1:12">
      <c r="A2577" s="20" t="s">
        <v>583</v>
      </c>
      <c r="E2577" s="22">
        <f>IF(D2577="?OLD","!!!","")</f>
        <v/>
      </c>
      <c r="F2577" s="23" t="str">
        <f>IF(OR(E2577="",E2577="!!!"),"",IF(NOT(ISNA(VLOOKUP(E2577,E$1:E2576,1,FALSE()))),"OLD",IF(AND(E2577&lt;&gt;"",E2577&lt;&gt;"!!!"),"NEW","")))</f>
        <v> </v>
      </c>
      <c r="G2577" s="24" t="str">
        <f>IF(OR(E2577="",E2577="!!!"),"",IF(OR(J2577=0,AND(J2577=1,K2577=1),AND(J2577=1,I2577="SBJ"),AND(J2577=1,I2577=0)),"?IN_FOCUS",IF(J2577&lt;=2,"?ACTIVATED",IF(J2577&lt;&gt;"","?FAMILIAR",IF(F2577="NEW",IF(ISNA(VLOOKUP(E2577,#REF!,1,FALSE())),"?TYPE_IDENTIFIABLE","?REFERENTIAL"),"_")))))</f>
        <v> </v>
      </c>
      <c r="H2577" s="25" t="str">
        <f>IF(J2577&lt;&gt;1,"",IF(I2577="SBJ","CB","?"))</f>
        <v> </v>
      </c>
      <c r="I2577" s="26" t="str">
        <f>IF(OR(E2577="",E2577="!!!",F2577="NEW"),"",INDEX(B2576:B$2,-1+SUMPRODUCT(MAX(ROW(E2576:E$2)*(E2577=E2576:E$2)))))</f>
        <v> </v>
      </c>
      <c r="J2577" s="26" t="str">
        <f>IF(OR(E2577="",E2577="!!!",F2577="NEW"),"",COUNTBLANK(OFFSET(A$1,,,SUMPRODUCT(MAX(ROW(E$2:E2577)*(E2577=E$2:E2577)))))-COUNTBLANK(OFFSET(A$1,,,SUMPRODUCT(MAX(ROW(E$1:E2576)*(E2=E$1:E2576))))))</f>
        <v> </v>
      </c>
      <c r="K2577" s="26" t="str">
        <f>IF(OR(E2577="",E2577="!!!",F2577="NEW"),"",INDEX(J$1:J2576,SUMPRODUCT(MAX(ROW(E$1:E2576)*(E2577=E$1:E2576)))))</f>
        <v> </v>
      </c>
      <c r="L2577" s="27"/>
    </row>
    <row r="2578" spans="1:12">
      <c r="A2578" s="20" t="s">
        <v>609</v>
      </c>
      <c r="E2578" s="22">
        <f>IF(D2578="?OLD","!!!","")</f>
        <v/>
      </c>
      <c r="F2578" s="23" t="str">
        <f>IF(OR(E2578="",E2578="!!!"),"",IF(NOT(ISNA(VLOOKUP(E2578,E$1:E2577,1,FALSE()))),"OLD",IF(AND(E2578&lt;&gt;"",E2578&lt;&gt;"!!!"),"NEW","")))</f>
        <v> </v>
      </c>
      <c r="G2578" s="24" t="str">
        <f>IF(OR(E2578="",E2578="!!!"),"",IF(OR(J2578=0,AND(J2578=1,K2578=1),AND(J2578=1,I2578="SBJ"),AND(J2578=1,I2578=0)),"?IN_FOCUS",IF(J2578&lt;=2,"?ACTIVATED",IF(J2578&lt;&gt;"","?FAMILIAR",IF(F2578="NEW",IF(ISNA(VLOOKUP(E2578,#REF!,1,FALSE())),"?TYPE_IDENTIFIABLE","?REFERENTIAL"),"_")))))</f>
        <v> </v>
      </c>
      <c r="H2578" s="25" t="str">
        <f>IF(J2578&lt;&gt;1,"",IF(I2578="SBJ","CB","?"))</f>
        <v> </v>
      </c>
      <c r="I2578" s="26" t="str">
        <f>IF(OR(E2578="",E2578="!!!",F2578="NEW"),"",INDEX(B2577:B$2,-1+SUMPRODUCT(MAX(ROW(E2577:E$2)*(E2578=E2577:E$2)))))</f>
        <v> </v>
      </c>
      <c r="J2578" s="26" t="str">
        <f>IF(OR(E2578="",E2578="!!!",F2578="NEW"),"",COUNTBLANK(OFFSET(A$1,,,SUMPRODUCT(MAX(ROW(E$2:E2578)*(E2578=E$2:E2578)))))-COUNTBLANK(OFFSET(A$1,,,SUMPRODUCT(MAX(ROW(E$1:E2577)*(E2=E$1:E2577))))))</f>
        <v> </v>
      </c>
      <c r="K2578" s="26" t="str">
        <f>IF(OR(E2578="",E2578="!!!",F2578="NEW"),"",INDEX(J$1:J2577,SUMPRODUCT(MAX(ROW(E$1:E2577)*(E2578=E$1:E2577)))))</f>
        <v> </v>
      </c>
      <c r="L2578" s="27"/>
    </row>
    <row r="2579" spans="1:12">
      <c r="A2579" s="20" t="s">
        <v>1724</v>
      </c>
      <c r="E2579" s="22">
        <f>IF(D2579="?OLD","!!!","")</f>
        <v/>
      </c>
      <c r="F2579" s="23" t="str">
        <f>IF(OR(E2579="",E2579="!!!"),"",IF(NOT(ISNA(VLOOKUP(E2579,E$1:E2578,1,FALSE()))),"OLD",IF(AND(E2579&lt;&gt;"",E2579&lt;&gt;"!!!"),"NEW","")))</f>
        <v> </v>
      </c>
      <c r="G2579" s="24" t="str">
        <f>IF(OR(E2579="",E2579="!!!"),"",IF(OR(J2579=0,AND(J2579=1,K2579=1),AND(J2579=1,I2579="SBJ"),AND(J2579=1,I2579=0)),"?IN_FOCUS",IF(J2579&lt;=2,"?ACTIVATED",IF(J2579&lt;&gt;"","?FAMILIAR",IF(F2579="NEW",IF(ISNA(VLOOKUP(E2579,#REF!,1,FALSE())),"?TYPE_IDENTIFIABLE","?REFERENTIAL"),"_")))))</f>
        <v> </v>
      </c>
      <c r="H2579" s="25" t="str">
        <f>IF(J2579&lt;&gt;1,"",IF(I2579="SBJ","CB","?"))</f>
        <v> </v>
      </c>
      <c r="I2579" s="26" t="str">
        <f>IF(OR(E2579="",E2579="!!!",F2579="NEW"),"",INDEX(B2578:B$2,-1+SUMPRODUCT(MAX(ROW(E2578:E$2)*(E2579=E2578:E$2)))))</f>
        <v> </v>
      </c>
      <c r="J2579" s="26" t="str">
        <f>IF(OR(E2579="",E2579="!!!",F2579="NEW"),"",COUNTBLANK(OFFSET(A$1,,,SUMPRODUCT(MAX(ROW(E$2:E2579)*(E2579=E$2:E2579)))))-COUNTBLANK(OFFSET(A$1,,,SUMPRODUCT(MAX(ROW(E$1:E2578)*(E2=E$1:E2578))))))</f>
        <v> </v>
      </c>
      <c r="K2579" s="26" t="str">
        <f>IF(OR(E2579="",E2579="!!!",F2579="NEW"),"",INDEX(J$1:J2578,SUMPRODUCT(MAX(ROW(E$1:E2578)*(E2579=E$1:E2578)))))</f>
        <v> </v>
      </c>
      <c r="L2579" s="27"/>
    </row>
    <row r="2580" spans="1:12">
      <c r="A2580" s="20" t="s">
        <v>1725</v>
      </c>
      <c r="E2580" s="22">
        <f>IF(D2580="?OLD","!!!","")</f>
        <v/>
      </c>
      <c r="F2580" s="23" t="str">
        <f>IF(OR(E2580="",E2580="!!!"),"",IF(NOT(ISNA(VLOOKUP(E2580,E$1:E2579,1,FALSE()))),"OLD",IF(AND(E2580&lt;&gt;"",E2580&lt;&gt;"!!!"),"NEW","")))</f>
        <v> </v>
      </c>
      <c r="G2580" s="24" t="str">
        <f>IF(OR(E2580="",E2580="!!!"),"",IF(OR(J2580=0,AND(J2580=1,K2580=1),AND(J2580=1,I2580="SBJ"),AND(J2580=1,I2580=0)),"?IN_FOCUS",IF(J2580&lt;=2,"?ACTIVATED",IF(J2580&lt;&gt;"","?FAMILIAR",IF(F2580="NEW",IF(ISNA(VLOOKUP(E2580,#REF!,1,FALSE())),"?TYPE_IDENTIFIABLE","?REFERENTIAL"),"_")))))</f>
        <v> </v>
      </c>
      <c r="H2580" s="25" t="str">
        <f>IF(J2580&lt;&gt;1,"",IF(I2580="SBJ","CB","?"))</f>
        <v> </v>
      </c>
      <c r="I2580" s="26" t="str">
        <f>IF(OR(E2580="",E2580="!!!",F2580="NEW"),"",INDEX(B2579:B$2,-1+SUMPRODUCT(MAX(ROW(E2579:E$2)*(E2580=E2579:E$2)))))</f>
        <v> </v>
      </c>
      <c r="J2580" s="26" t="str">
        <f>IF(OR(E2580="",E2580="!!!",F2580="NEW"),"",COUNTBLANK(OFFSET(A$1,,,SUMPRODUCT(MAX(ROW(E$2:E2580)*(E2580=E$2:E2580)))))-COUNTBLANK(OFFSET(A$1,,,SUMPRODUCT(MAX(ROW(E$1:E2579)*(E2=E$1:E2579))))))</f>
        <v> </v>
      </c>
      <c r="K2580" s="26" t="str">
        <f>IF(OR(E2580="",E2580="!!!",F2580="NEW"),"",INDEX(J$1:J2579,SUMPRODUCT(MAX(ROW(E$1:E2579)*(E2580=E$1:E2579)))))</f>
        <v> </v>
      </c>
      <c r="L2580" s="27"/>
    </row>
    <row r="2581" spans="1:12">
      <c r="A2581" s="20" t="s">
        <v>1004</v>
      </c>
      <c r="E2581" s="22">
        <f>IF(D2581="?OLD","!!!","")</f>
        <v/>
      </c>
      <c r="F2581" s="23" t="str">
        <f>IF(OR(E2581="",E2581="!!!"),"",IF(NOT(ISNA(VLOOKUP(E2581,E$1:E2580,1,FALSE()))),"OLD",IF(AND(E2581&lt;&gt;"",E2581&lt;&gt;"!!!"),"NEW","")))</f>
        <v> </v>
      </c>
      <c r="G2581" s="24" t="str">
        <f>IF(OR(E2581="",E2581="!!!"),"",IF(OR(J2581=0,AND(J2581=1,K2581=1),AND(J2581=1,I2581="SBJ"),AND(J2581=1,I2581=0)),"?IN_FOCUS",IF(J2581&lt;=2,"?ACTIVATED",IF(J2581&lt;&gt;"","?FAMILIAR",IF(F2581="NEW",IF(ISNA(VLOOKUP(E2581,#REF!,1,FALSE())),"?TYPE_IDENTIFIABLE","?REFERENTIAL"),"_")))))</f>
        <v> </v>
      </c>
      <c r="H2581" s="25" t="str">
        <f>IF(J2581&lt;&gt;1,"",IF(I2581="SBJ","CB","?"))</f>
        <v> </v>
      </c>
      <c r="I2581" s="26" t="str">
        <f>IF(OR(E2581="",E2581="!!!",F2581="NEW"),"",INDEX(B2580:B$2,-1+SUMPRODUCT(MAX(ROW(E2580:E$2)*(E2581=E2580:E$2)))))</f>
        <v> </v>
      </c>
      <c r="J2581" s="26" t="str">
        <f>IF(OR(E2581="",E2581="!!!",F2581="NEW"),"",COUNTBLANK(OFFSET(A$1,,,SUMPRODUCT(MAX(ROW(E$2:E2581)*(E2581=E$2:E2581)))))-COUNTBLANK(OFFSET(A$1,,,SUMPRODUCT(MAX(ROW(E$1:E2580)*(E2=E$1:E2580))))))</f>
        <v> </v>
      </c>
      <c r="K2581" s="26" t="str">
        <f>IF(OR(E2581="",E2581="!!!",F2581="NEW"),"",INDEX(J$1:J2580,SUMPRODUCT(MAX(ROW(E$1:E2580)*(E2581=E$1:E2580)))))</f>
        <v> </v>
      </c>
      <c r="L2581" s="27"/>
    </row>
    <row r="2582" spans="1:12">
      <c r="A2582" s="20" t="s">
        <v>1726</v>
      </c>
      <c r="E2582" s="22">
        <f>IF(D2582="?OLD","!!!","")</f>
        <v/>
      </c>
      <c r="F2582" s="23" t="str">
        <f>IF(OR(E2582="",E2582="!!!"),"",IF(NOT(ISNA(VLOOKUP(E2582,E$1:E2581,1,FALSE()))),"OLD",IF(AND(E2582&lt;&gt;"",E2582&lt;&gt;"!!!"),"NEW","")))</f>
        <v> </v>
      </c>
      <c r="G2582" s="24" t="str">
        <f>IF(OR(E2582="",E2582="!!!"),"",IF(OR(J2582=0,AND(J2582=1,K2582=1),AND(J2582=1,I2582="SBJ"),AND(J2582=1,I2582=0)),"?IN_FOCUS",IF(J2582&lt;=2,"?ACTIVATED",IF(J2582&lt;&gt;"","?FAMILIAR",IF(F2582="NEW",IF(ISNA(VLOOKUP(E2582,#REF!,1,FALSE())),"?TYPE_IDENTIFIABLE","?REFERENTIAL"),"_")))))</f>
        <v> </v>
      </c>
      <c r="H2582" s="25" t="str">
        <f>IF(J2582&lt;&gt;1,"",IF(I2582="SBJ","CB","?"))</f>
        <v> </v>
      </c>
      <c r="I2582" s="26" t="str">
        <f>IF(OR(E2582="",E2582="!!!",F2582="NEW"),"",INDEX(B2581:B$2,-1+SUMPRODUCT(MAX(ROW(E2581:E$2)*(E2582=E2581:E$2)))))</f>
        <v> </v>
      </c>
      <c r="J2582" s="26" t="str">
        <f>IF(OR(E2582="",E2582="!!!",F2582="NEW"),"",COUNTBLANK(OFFSET(A$1,,,SUMPRODUCT(MAX(ROW(E$2:E2582)*(E2582=E$2:E2582)))))-COUNTBLANK(OFFSET(A$1,,,SUMPRODUCT(MAX(ROW(E$1:E2581)*(E2=E$1:E2581))))))</f>
        <v> </v>
      </c>
      <c r="K2582" s="26" t="str">
        <f>IF(OR(E2582="",E2582="!!!",F2582="NEW"),"",INDEX(J$1:J2581,SUMPRODUCT(MAX(ROW(E$1:E2581)*(E2582=E$1:E2581)))))</f>
        <v> </v>
      </c>
      <c r="L2582" s="27"/>
    </row>
    <row r="2583" spans="1:12">
      <c r="A2583" s="20" t="s">
        <v>1005</v>
      </c>
      <c r="B2583" s="21" t="s">
        <v>1003</v>
      </c>
      <c r="E2583" s="22">
        <f>IF(D2583="?OLD","!!!","")</f>
        <v/>
      </c>
      <c r="F2583" s="23" t="str">
        <f>IF(OR(E2583="",E2583="!!!"),"",IF(NOT(ISNA(VLOOKUP(E2583,E$1:E2582,1,FALSE()))),"OLD",IF(AND(E2583&lt;&gt;"",E2583&lt;&gt;"!!!"),"NEW","")))</f>
        <v> </v>
      </c>
      <c r="G2583" s="24" t="str">
        <f>IF(OR(E2583="",E2583="!!!"),"",IF(OR(J2583=0,AND(J2583=1,K2583=1),AND(J2583=1,I2583="SBJ"),AND(J2583=1,I2583=0)),"?IN_FOCUS",IF(J2583&lt;=2,"?ACTIVATED",IF(J2583&lt;&gt;"","?FAMILIAR",IF(F2583="NEW",IF(ISNA(VLOOKUP(E2583,#REF!,1,FALSE())),"?TYPE_IDENTIFIABLE","?REFERENTIAL"),"_")))))</f>
        <v> </v>
      </c>
      <c r="H2583" s="25" t="str">
        <f>IF(J2583&lt;&gt;1,"",IF(I2583="SBJ","CB","?"))</f>
        <v> </v>
      </c>
      <c r="I2583" s="26" t="str">
        <f>IF(OR(E2583="",E2583="!!!",F2583="NEW"),"",INDEX(B2582:B$2,-1+SUMPRODUCT(MAX(ROW(E2582:E$2)*(E2583=E2582:E$2)))))</f>
        <v> </v>
      </c>
      <c r="J2583" s="26" t="str">
        <f>IF(OR(E2583="",E2583="!!!",F2583="NEW"),"",COUNTBLANK(OFFSET(A$1,,,SUMPRODUCT(MAX(ROW(E$2:E2583)*(E2583=E$2:E2583)))))-COUNTBLANK(OFFSET(A$1,,,SUMPRODUCT(MAX(ROW(E$1:E2582)*(E2=E$1:E2582))))))</f>
        <v> </v>
      </c>
      <c r="K2583" s="26" t="str">
        <f>IF(OR(E2583="",E2583="!!!",F2583="NEW"),"",INDEX(J$1:J2582,SUMPRODUCT(MAX(ROW(E$1:E2582)*(E2583=E$1:E2582)))))</f>
        <v> </v>
      </c>
      <c r="L2583" s="27"/>
    </row>
    <row r="2584" spans="1:12">
      <c r="A2584" s="20" t="s">
        <v>1727</v>
      </c>
      <c r="E2584" s="22">
        <f>IF(D2584="?OLD","!!!","")</f>
        <v/>
      </c>
      <c r="F2584" s="23" t="str">
        <f>IF(OR(E2584="",E2584="!!!"),"",IF(NOT(ISNA(VLOOKUP(E2584,E$1:E2583,1,FALSE()))),"OLD",IF(AND(E2584&lt;&gt;"",E2584&lt;&gt;"!!!"),"NEW","")))</f>
        <v> </v>
      </c>
      <c r="G2584" s="24" t="str">
        <f>IF(OR(E2584="",E2584="!!!"),"",IF(OR(J2584=0,AND(J2584=1,K2584=1),AND(J2584=1,I2584="SBJ"),AND(J2584=1,I2584=0)),"?IN_FOCUS",IF(J2584&lt;=2,"?ACTIVATED",IF(J2584&lt;&gt;"","?FAMILIAR",IF(F2584="NEW",IF(ISNA(VLOOKUP(E2584,#REF!,1,FALSE())),"?TYPE_IDENTIFIABLE","?REFERENTIAL"),"_")))))</f>
        <v> </v>
      </c>
      <c r="H2584" s="25" t="str">
        <f>IF(J2584&lt;&gt;1,"",IF(I2584="SBJ","CB","?"))</f>
        <v> </v>
      </c>
      <c r="I2584" s="26" t="str">
        <f>IF(OR(E2584="",E2584="!!!",F2584="NEW"),"",INDEX(B2583:B$2,-1+SUMPRODUCT(MAX(ROW(E2583:E$2)*(E2584=E2583:E$2)))))</f>
        <v> </v>
      </c>
      <c r="J2584" s="26" t="str">
        <f>IF(OR(E2584="",E2584="!!!",F2584="NEW"),"",COUNTBLANK(OFFSET(A$1,,,SUMPRODUCT(MAX(ROW(E$2:E2584)*(E2584=E$2:E2584)))))-COUNTBLANK(OFFSET(A$1,,,SUMPRODUCT(MAX(ROW(E$1:E2583)*(E2=E$1:E2583))))))</f>
        <v> </v>
      </c>
      <c r="K2584" s="26" t="str">
        <f>IF(OR(E2584="",E2584="!!!",F2584="NEW"),"",INDEX(J$1:J2583,SUMPRODUCT(MAX(ROW(E$1:E2583)*(E2584=E$1:E2583)))))</f>
        <v> </v>
      </c>
      <c r="L2584" s="27"/>
    </row>
    <row r="2585" spans="1:12">
      <c r="A2585" s="20" t="s">
        <v>1728</v>
      </c>
      <c r="E2585" s="22">
        <f>IF(D2585="?OLD","!!!","")</f>
        <v/>
      </c>
      <c r="F2585" s="23" t="str">
        <f>IF(OR(E2585="",E2585="!!!"),"",IF(NOT(ISNA(VLOOKUP(E2585,E$1:E2584,1,FALSE()))),"OLD",IF(AND(E2585&lt;&gt;"",E2585&lt;&gt;"!!!"),"NEW","")))</f>
        <v> </v>
      </c>
      <c r="G2585" s="24" t="str">
        <f>IF(OR(E2585="",E2585="!!!"),"",IF(OR(J2585=0,AND(J2585=1,K2585=1),AND(J2585=1,I2585="SBJ"),AND(J2585=1,I2585=0)),"?IN_FOCUS",IF(J2585&lt;=2,"?ACTIVATED",IF(J2585&lt;&gt;"","?FAMILIAR",IF(F2585="NEW",IF(ISNA(VLOOKUP(E2585,#REF!,1,FALSE())),"?TYPE_IDENTIFIABLE","?REFERENTIAL"),"_")))))</f>
        <v> </v>
      </c>
      <c r="H2585" s="25" t="str">
        <f>IF(J2585&lt;&gt;1,"",IF(I2585="SBJ","CB","?"))</f>
        <v> </v>
      </c>
      <c r="I2585" s="26" t="str">
        <f>IF(OR(E2585="",E2585="!!!",F2585="NEW"),"",INDEX(B2584:B$2,-1+SUMPRODUCT(MAX(ROW(E2584:E$2)*(E2585=E2584:E$2)))))</f>
        <v> </v>
      </c>
      <c r="J2585" s="26" t="str">
        <f>IF(OR(E2585="",E2585="!!!",F2585="NEW"),"",COUNTBLANK(OFFSET(A$1,,,SUMPRODUCT(MAX(ROW(E$2:E2585)*(E2585=E$2:E2585)))))-COUNTBLANK(OFFSET(A$1,,,SUMPRODUCT(MAX(ROW(E$1:E2584)*(E2=E$1:E2584))))))</f>
        <v> </v>
      </c>
      <c r="K2585" s="26" t="str">
        <f>IF(OR(E2585="",E2585="!!!",F2585="NEW"),"",INDEX(J$1:J2584,SUMPRODUCT(MAX(ROW(E$1:E2584)*(E2585=E$1:E2584)))))</f>
        <v> </v>
      </c>
      <c r="L2585" s="27"/>
    </row>
    <row r="2586" spans="1:12">
      <c r="A2586" s="20" t="s">
        <v>592</v>
      </c>
      <c r="E2586" s="22">
        <f>IF(D2586="?OLD","!!!","")</f>
        <v/>
      </c>
      <c r="F2586" s="23" t="str">
        <f>IF(OR(E2586="",E2586="!!!"),"",IF(NOT(ISNA(VLOOKUP(E2586,E$1:E2585,1,FALSE()))),"OLD",IF(AND(E2586&lt;&gt;"",E2586&lt;&gt;"!!!"),"NEW","")))</f>
        <v> </v>
      </c>
      <c r="G2586" s="24" t="str">
        <f>IF(OR(E2586="",E2586="!!!"),"",IF(OR(J2586=0,AND(J2586=1,K2586=1),AND(J2586=1,I2586="SBJ"),AND(J2586=1,I2586=0)),"?IN_FOCUS",IF(J2586&lt;=2,"?ACTIVATED",IF(J2586&lt;&gt;"","?FAMILIAR",IF(F2586="NEW",IF(ISNA(VLOOKUP(E2586,#REF!,1,FALSE())),"?TYPE_IDENTIFIABLE","?REFERENTIAL"),"_")))))</f>
        <v> </v>
      </c>
      <c r="H2586" s="25" t="str">
        <f>IF(J2586&lt;&gt;1,"",IF(I2586="SBJ","CB","?"))</f>
        <v> </v>
      </c>
      <c r="I2586" s="26" t="str">
        <f>IF(OR(E2586="",E2586="!!!",F2586="NEW"),"",INDEX(B2585:B$2,-1+SUMPRODUCT(MAX(ROW(E2585:E$2)*(E2586=E2585:E$2)))))</f>
        <v> </v>
      </c>
      <c r="J2586" s="26" t="str">
        <f>IF(OR(E2586="",E2586="!!!",F2586="NEW"),"",COUNTBLANK(OFFSET(A$1,,,SUMPRODUCT(MAX(ROW(E$2:E2586)*(E2586=E$2:E2586)))))-COUNTBLANK(OFFSET(A$1,,,SUMPRODUCT(MAX(ROW(E$1:E2585)*(E2=E$1:E2585))))))</f>
        <v> </v>
      </c>
      <c r="K2586" s="26" t="str">
        <f>IF(OR(E2586="",E2586="!!!",F2586="NEW"),"",INDEX(J$1:J2585,SUMPRODUCT(MAX(ROW(E$1:E2585)*(E2586=E$1:E2585)))))</f>
        <v> </v>
      </c>
      <c r="L2586" s="27"/>
    </row>
    <row r="2587" spans="1:12">
      <c r="A2587" s="20"/>
    </row>
    <row r="2588" spans="1:12">
      <c r="A2588" s="20" t="s">
        <v>1729</v>
      </c>
    </row>
    <row r="2589" spans="1:12">
      <c r="A2589" s="20" t="s">
        <v>1679</v>
      </c>
      <c r="E2589" s="22">
        <f>IF(D2589="?OLD","!!!","")</f>
        <v/>
      </c>
      <c r="F2589" s="23" t="str">
        <f>IF(OR(E2589="",E2589="!!!"),"",IF(NOT(ISNA(VLOOKUP(E2589,E$1:E2588,1,FALSE()))),"OLD",IF(AND(E2589&lt;&gt;"",E2589&lt;&gt;"!!!"),"NEW","")))</f>
        <v> </v>
      </c>
      <c r="G2589" s="24" t="str">
        <f>IF(OR(E2589="",E2589="!!!"),"",IF(OR(J2589=0,AND(J2589=1,K2589=1),AND(J2589=1,I2589="SBJ"),AND(J2589=1,I2589=0)),"?IN_FOCUS",IF(J2589&lt;=2,"?ACTIVATED",IF(J2589&lt;&gt;"","?FAMILIAR",IF(F2589="NEW",IF(ISNA(VLOOKUP(E2589,#REF!,1,FALSE())),"?TYPE_IDENTIFIABLE","?REFERENTIAL"),"_")))))</f>
        <v> </v>
      </c>
      <c r="H2589" s="25" t="str">
        <f>IF(J2589&lt;&gt;1,"",IF(I2589="SBJ","CB","?"))</f>
        <v> </v>
      </c>
      <c r="I2589" s="26" t="str">
        <f>IF(OR(E2589="",E2589="!!!",F2589="NEW"),"",INDEX(B2588:B$2,-1+SUMPRODUCT(MAX(ROW(E2588:E$2)*(E2589=E2588:E$2)))))</f>
        <v> </v>
      </c>
      <c r="J2589" s="26" t="str">
        <f>IF(OR(E2589="",E2589="!!!",F2589="NEW"),"",COUNTBLANK(OFFSET(A$1,,,SUMPRODUCT(MAX(ROW(E$2:E2589)*(E2589=E$2:E2589)))))-COUNTBLANK(OFFSET(A$1,,,SUMPRODUCT(MAX(ROW(E$1:E2588)*(E2=E$1:E2588))))))</f>
        <v> </v>
      </c>
      <c r="K2589" s="26" t="str">
        <f>IF(OR(E2589="",E2589="!!!",F2589="NEW"),"",INDEX(J$1:J2588,SUMPRODUCT(MAX(ROW(E$1:E2588)*(E2589=E$1:E2588)))))</f>
        <v> </v>
      </c>
      <c r="L2589" s="27"/>
    </row>
    <row r="2590" spans="1:12">
      <c r="A2590" s="20" t="s">
        <v>369</v>
      </c>
      <c r="E2590" s="22">
        <f>IF(D2590="?OLD","!!!","")</f>
        <v/>
      </c>
      <c r="F2590" s="23" t="str">
        <f>IF(OR(E2590="",E2590="!!!"),"",IF(NOT(ISNA(VLOOKUP(E2590,E$1:E2589,1,FALSE()))),"OLD",IF(AND(E2590&lt;&gt;"",E2590&lt;&gt;"!!!"),"NEW","")))</f>
        <v> </v>
      </c>
      <c r="G2590" s="24" t="str">
        <f>IF(OR(E2590="",E2590="!!!"),"",IF(OR(J2590=0,AND(J2590=1,K2590=1),AND(J2590=1,I2590="SBJ"),AND(J2590=1,I2590=0)),"?IN_FOCUS",IF(J2590&lt;=2,"?ACTIVATED",IF(J2590&lt;&gt;"","?FAMILIAR",IF(F2590="NEW",IF(ISNA(VLOOKUP(E2590,#REF!,1,FALSE())),"?TYPE_IDENTIFIABLE","?REFERENTIAL"),"_")))))</f>
        <v> </v>
      </c>
      <c r="H2590" s="25" t="str">
        <f>IF(J2590&lt;&gt;1,"",IF(I2590="SBJ","CB","?"))</f>
        <v> </v>
      </c>
      <c r="I2590" s="26" t="str">
        <f>IF(OR(E2590="",E2590="!!!",F2590="NEW"),"",INDEX(B2589:B$2,-1+SUMPRODUCT(MAX(ROW(E2589:E$2)*(E2590=E2589:E$2)))))</f>
        <v> </v>
      </c>
      <c r="J2590" s="26" t="str">
        <f>IF(OR(E2590="",E2590="!!!",F2590="NEW"),"",COUNTBLANK(OFFSET(A$1,,,SUMPRODUCT(MAX(ROW(E$2:E2590)*(E2590=E$2:E2590)))))-COUNTBLANK(OFFSET(A$1,,,SUMPRODUCT(MAX(ROW(E$1:E2589)*(E2=E$1:E2589))))))</f>
        <v> </v>
      </c>
      <c r="K2590" s="26" t="str">
        <f>IF(OR(E2590="",E2590="!!!",F2590="NEW"),"",INDEX(J$1:J2589,SUMPRODUCT(MAX(ROW(E$1:E2589)*(E2590=E$1:E2589)))))</f>
        <v> </v>
      </c>
      <c r="L2590" s="27"/>
    </row>
    <row r="2591" spans="1:12">
      <c r="A2591" s="20" t="s">
        <v>656</v>
      </c>
      <c r="B2591" s="21" t="s">
        <v>578</v>
      </c>
      <c r="C2591" s="21" t="s">
        <v>586</v>
      </c>
      <c r="D2591" s="21" t="s">
        <v>587</v>
      </c>
      <c r="E2591" s="22">
        <f>IF(D2591="?OLD","!!!","")</f>
        <v/>
      </c>
      <c r="F2591" s="23" t="str">
        <f>IF(OR(E2591="",E2591="!!!"),"",IF(NOT(ISNA(VLOOKUP(E2591,E$1:E2590,1,FALSE()))),"OLD",IF(AND(E2591&lt;&gt;"",E2591&lt;&gt;"!!!"),"NEW","")))</f>
        <v> </v>
      </c>
      <c r="G2591" s="24" t="str">
        <f>IF(OR(E2591="",E2591="!!!"),"",IF(OR(J2591=0,AND(J2591=1,K2591=1),AND(J2591=1,I2591="SBJ"),AND(J2591=1,I2591=0)),"?IN_FOCUS",IF(J2591&lt;=2,"?ACTIVATED",IF(J2591&lt;&gt;"","?FAMILIAR",IF(F2591="NEW",IF(ISNA(VLOOKUP(E2591,#REF!,1,FALSE())),"?TYPE_IDENTIFIABLE","?REFERENTIAL"),"_")))))</f>
        <v> </v>
      </c>
      <c r="H2591" s="25" t="str">
        <f>IF(J2591&lt;&gt;1,"",IF(I2591="SBJ","CB","?"))</f>
        <v> </v>
      </c>
      <c r="I2591" s="26" t="str">
        <f>IF(OR(E2591="",E2591="!!!",F2591="NEW"),"",INDEX(B2590:B$2,-1+SUMPRODUCT(MAX(ROW(E2590:E$2)*(E2591=E2590:E$2)))))</f>
        <v> </v>
      </c>
      <c r="J2591" s="26" t="str">
        <f>IF(OR(E2591="",E2591="!!!",F2591="NEW"),"",COUNTBLANK(OFFSET(A$1,,,SUMPRODUCT(MAX(ROW(E$2:E2591)*(E2591=E$2:E2591)))))-COUNTBLANK(OFFSET(A$1,,,SUMPRODUCT(MAX(ROW(E$1:E2590)*(E2=E$1:E2590))))))</f>
        <v> </v>
      </c>
      <c r="K2591" s="26" t="str">
        <f>IF(OR(E2591="",E2591="!!!",F2591="NEW"),"",INDEX(J$1:J2590,SUMPRODUCT(MAX(ROW(E$1:E2590)*(E2591=E$1:E2590)))))</f>
        <v> </v>
      </c>
      <c r="L2591" s="27"/>
    </row>
    <row r="2592" spans="1:12">
      <c r="A2592" s="20" t="s">
        <v>1085</v>
      </c>
      <c r="B2592" s="21" t="s">
        <v>615</v>
      </c>
      <c r="C2592" s="21" t="s">
        <v>613</v>
      </c>
      <c r="D2592" s="21" t="s">
        <v>587</v>
      </c>
      <c r="E2592" s="22">
        <f>IF(D2592="?OLD","!!!","")</f>
        <v/>
      </c>
      <c r="F2592" s="23" t="str">
        <f>IF(OR(E2592="",E2592="!!!"),"",IF(NOT(ISNA(VLOOKUP(E2592,E$1:E2591,1,FALSE()))),"OLD",IF(AND(E2592&lt;&gt;"",E2592&lt;&gt;"!!!"),"NEW","")))</f>
        <v> </v>
      </c>
      <c r="G2592" s="24" t="str">
        <f>IF(OR(E2592="",E2592="!!!"),"",IF(OR(J2592=0,AND(J2592=1,K2592=1),AND(J2592=1,I2592="SBJ"),AND(J2592=1,I2592=0)),"?IN_FOCUS",IF(J2592&lt;=2,"?ACTIVATED",IF(J2592&lt;&gt;"","?FAMILIAR",IF(F2592="NEW",IF(ISNA(VLOOKUP(E2592,#REF!,1,FALSE())),"?TYPE_IDENTIFIABLE","?REFERENTIAL"),"_")))))</f>
        <v> </v>
      </c>
      <c r="H2592" s="25" t="str">
        <f>IF(J2592&lt;&gt;1,"",IF(I2592="SBJ","CB","?"))</f>
        <v> </v>
      </c>
      <c r="I2592" s="26" t="str">
        <f>IF(OR(E2592="",E2592="!!!",F2592="NEW"),"",INDEX(B2591:B$2,-1+SUMPRODUCT(MAX(ROW(E2591:E$2)*(E2592=E2591:E$2)))))</f>
        <v> </v>
      </c>
      <c r="J2592" s="26" t="str">
        <f>IF(OR(E2592="",E2592="!!!",F2592="NEW"),"",COUNTBLANK(OFFSET(A$1,,,SUMPRODUCT(MAX(ROW(E$2:E2592)*(E2592=E$2:E2592)))))-COUNTBLANK(OFFSET(A$1,,,SUMPRODUCT(MAX(ROW(E$1:E2591)*(E2=E$1:E2591))))))</f>
        <v> </v>
      </c>
      <c r="K2592" s="26" t="str">
        <f>IF(OR(E2592="",E2592="!!!",F2592="NEW"),"",INDEX(J$1:J2591,SUMPRODUCT(MAX(ROW(E$1:E2591)*(E2592=E$1:E2591)))))</f>
        <v> </v>
      </c>
      <c r="L2592" s="27"/>
    </row>
    <row r="2593" spans="1:12">
      <c r="A2593" s="20" t="s">
        <v>1730</v>
      </c>
      <c r="E2593" s="22">
        <f>IF(D2593="?OLD","!!!","")</f>
        <v/>
      </c>
      <c r="F2593" s="23" t="str">
        <f>IF(OR(E2593="",E2593="!!!"),"",IF(NOT(ISNA(VLOOKUP(E2593,E$1:E2592,1,FALSE()))),"OLD",IF(AND(E2593&lt;&gt;"",E2593&lt;&gt;"!!!"),"NEW","")))</f>
        <v> </v>
      </c>
      <c r="G2593" s="24" t="str">
        <f>IF(OR(E2593="",E2593="!!!"),"",IF(OR(J2593=0,AND(J2593=1,K2593=1),AND(J2593=1,I2593="SBJ"),AND(J2593=1,I2593=0)),"?IN_FOCUS",IF(J2593&lt;=2,"?ACTIVATED",IF(J2593&lt;&gt;"","?FAMILIAR",IF(F2593="NEW",IF(ISNA(VLOOKUP(E2593,#REF!,1,FALSE())),"?TYPE_IDENTIFIABLE","?REFERENTIAL"),"_")))))</f>
        <v> </v>
      </c>
      <c r="H2593" s="25" t="str">
        <f>IF(J2593&lt;&gt;1,"",IF(I2593="SBJ","CB","?"))</f>
        <v> </v>
      </c>
      <c r="I2593" s="26" t="str">
        <f>IF(OR(E2593="",E2593="!!!",F2593="NEW"),"",INDEX(B2592:B$2,-1+SUMPRODUCT(MAX(ROW(E2592:E$2)*(E2593=E2592:E$2)))))</f>
        <v> </v>
      </c>
      <c r="J2593" s="26" t="str">
        <f>IF(OR(E2593="",E2593="!!!",F2593="NEW"),"",COUNTBLANK(OFFSET(A$1,,,SUMPRODUCT(MAX(ROW(E$2:E2593)*(E2593=E$2:E2593)))))-COUNTBLANK(OFFSET(A$1,,,SUMPRODUCT(MAX(ROW(E$1:E2592)*(E2=E$1:E2592))))))</f>
        <v> </v>
      </c>
      <c r="K2593" s="26" t="str">
        <f>IF(OR(E2593="",E2593="!!!",F2593="NEW"),"",INDEX(J$1:J2592,SUMPRODUCT(MAX(ROW(E$1:E2592)*(E2593=E$1:E2592)))))</f>
        <v> </v>
      </c>
      <c r="L2593" s="27"/>
    </row>
    <row r="2594" spans="1:12">
      <c r="A2594" s="20" t="s">
        <v>1081</v>
      </c>
      <c r="E2594" s="22">
        <f>IF(D2594="?OLD","!!!","")</f>
        <v/>
      </c>
      <c r="F2594" s="23" t="str">
        <f>IF(OR(E2594="",E2594="!!!"),"",IF(NOT(ISNA(VLOOKUP(E2594,E$1:E2593,1,FALSE()))),"OLD",IF(AND(E2594&lt;&gt;"",E2594&lt;&gt;"!!!"),"NEW","")))</f>
        <v> </v>
      </c>
      <c r="G2594" s="24" t="str">
        <f>IF(OR(E2594="",E2594="!!!"),"",IF(OR(J2594=0,AND(J2594=1,K2594=1),AND(J2594=1,I2594="SBJ"),AND(J2594=1,I2594=0)),"?IN_FOCUS",IF(J2594&lt;=2,"?ACTIVATED",IF(J2594&lt;&gt;"","?FAMILIAR",IF(F2594="NEW",IF(ISNA(VLOOKUP(E2594,#REF!,1,FALSE())),"?TYPE_IDENTIFIABLE","?REFERENTIAL"),"_")))))</f>
        <v> </v>
      </c>
      <c r="H2594" s="25" t="str">
        <f>IF(J2594&lt;&gt;1,"",IF(I2594="SBJ","CB","?"))</f>
        <v> </v>
      </c>
      <c r="I2594" s="26" t="str">
        <f>IF(OR(E2594="",E2594="!!!",F2594="NEW"),"",INDEX(B2593:B$2,-1+SUMPRODUCT(MAX(ROW(E2593:E$2)*(E2594=E2593:E$2)))))</f>
        <v> </v>
      </c>
      <c r="J2594" s="26" t="str">
        <f>IF(OR(E2594="",E2594="!!!",F2594="NEW"),"",COUNTBLANK(OFFSET(A$1,,,SUMPRODUCT(MAX(ROW(E$2:E2594)*(E2594=E$2:E2594)))))-COUNTBLANK(OFFSET(A$1,,,SUMPRODUCT(MAX(ROW(E$1:E2593)*(E2=E$1:E2593))))))</f>
        <v> </v>
      </c>
      <c r="K2594" s="26" t="str">
        <f>IF(OR(E2594="",E2594="!!!",F2594="NEW"),"",INDEX(J$1:J2593,SUMPRODUCT(MAX(ROW(E$1:E2593)*(E2594=E$1:E2593)))))</f>
        <v> </v>
      </c>
      <c r="L2594" s="27"/>
    </row>
    <row r="2595" spans="1:12">
      <c r="A2595" s="20"/>
    </row>
    <row r="2596" spans="1:12">
      <c r="A2596" s="20" t="s">
        <v>1731</v>
      </c>
    </row>
    <row r="2597" spans="1:12">
      <c r="A2597" s="20" t="s">
        <v>936</v>
      </c>
      <c r="B2597" s="21" t="s">
        <v>578</v>
      </c>
      <c r="C2597" s="21" t="s">
        <v>613</v>
      </c>
      <c r="D2597" s="21" t="s">
        <v>587</v>
      </c>
      <c r="E2597" s="22">
        <f>IF(D2597="?OLD","!!!","")</f>
        <v/>
      </c>
      <c r="F2597" s="23" t="str">
        <f>IF(OR(E2597="",E2597="!!!"),"",IF(NOT(ISNA(VLOOKUP(E2597,E$1:E2596,1,FALSE()))),"OLD",IF(AND(E2597&lt;&gt;"",E2597&lt;&gt;"!!!"),"NEW","")))</f>
        <v> </v>
      </c>
      <c r="G2597" s="24" t="str">
        <f>IF(OR(E2597="",E2597="!!!"),"",IF(OR(J2597=0,AND(J2597=1,K2597=1),AND(J2597=1,I2597="SBJ"),AND(J2597=1,I2597=0)),"?IN_FOCUS",IF(J2597&lt;=2,"?ACTIVATED",IF(J2597&lt;&gt;"","?FAMILIAR",IF(F2597="NEW",IF(ISNA(VLOOKUP(E2597,#REF!,1,FALSE())),"?TYPE_IDENTIFIABLE","?REFERENTIAL"),"_")))))</f>
        <v> </v>
      </c>
      <c r="H2597" s="25" t="str">
        <f>IF(J2597&lt;&gt;1,"",IF(I2597="SBJ","CB","?"))</f>
        <v> </v>
      </c>
      <c r="I2597" s="26" t="str">
        <f>IF(OR(E2597="",E2597="!!!",F2597="NEW"),"",INDEX(B2596:B$2,-1+SUMPRODUCT(MAX(ROW(E2596:E$2)*(E2597=E2596:E$2)))))</f>
        <v> </v>
      </c>
      <c r="J2597" s="26" t="str">
        <f>IF(OR(E2597="",E2597="!!!",F2597="NEW"),"",COUNTBLANK(OFFSET(A$1,,,SUMPRODUCT(MAX(ROW(E$2:E2597)*(E2597=E$2:E2597)))))-COUNTBLANK(OFFSET(A$1,,,SUMPRODUCT(MAX(ROW(E$1:E2596)*(E2=E$1:E2596))))))</f>
        <v> </v>
      </c>
      <c r="K2597" s="26" t="str">
        <f>IF(OR(E2597="",E2597="!!!",F2597="NEW"),"",INDEX(J$1:J2596,SUMPRODUCT(MAX(ROW(E$1:E2596)*(E2597=E$1:E2596)))))</f>
        <v> </v>
      </c>
      <c r="L2597" s="27"/>
    </row>
    <row r="2598" spans="1:12">
      <c r="A2598" s="20" t="s">
        <v>1105</v>
      </c>
      <c r="B2598" s="21" t="s">
        <v>615</v>
      </c>
      <c r="C2598" s="21" t="s">
        <v>613</v>
      </c>
      <c r="D2598" s="21" t="s">
        <v>587</v>
      </c>
      <c r="E2598" s="22">
        <f>IF(D2598="?OLD","!!!","")</f>
        <v/>
      </c>
      <c r="F2598" s="23" t="str">
        <f>IF(OR(E2598="",E2598="!!!"),"",IF(NOT(ISNA(VLOOKUP(E2598,E$1:E2597,1,FALSE()))),"OLD",IF(AND(E2598&lt;&gt;"",E2598&lt;&gt;"!!!"),"NEW","")))</f>
        <v> </v>
      </c>
      <c r="G2598" s="24" t="str">
        <f>IF(OR(E2598="",E2598="!!!"),"",IF(OR(J2598=0,AND(J2598=1,K2598=1),AND(J2598=1,I2598="SBJ"),AND(J2598=1,I2598=0)),"?IN_FOCUS",IF(J2598&lt;=2,"?ACTIVATED",IF(J2598&lt;&gt;"","?FAMILIAR",IF(F2598="NEW",IF(ISNA(VLOOKUP(E2598,#REF!,1,FALSE())),"?TYPE_IDENTIFIABLE","?REFERENTIAL"),"_")))))</f>
        <v> </v>
      </c>
      <c r="H2598" s="25" t="str">
        <f>IF(J2598&lt;&gt;1,"",IF(I2598="SBJ","CB","?"))</f>
        <v> </v>
      </c>
      <c r="I2598" s="26" t="str">
        <f>IF(OR(E2598="",E2598="!!!",F2598="NEW"),"",INDEX(B2597:B$2,-1+SUMPRODUCT(MAX(ROW(E2597:E$2)*(E2598=E2597:E$2)))))</f>
        <v> </v>
      </c>
      <c r="J2598" s="26" t="str">
        <f>IF(OR(E2598="",E2598="!!!",F2598="NEW"),"",COUNTBLANK(OFFSET(A$1,,,SUMPRODUCT(MAX(ROW(E$2:E2598)*(E2598=E$2:E2598)))))-COUNTBLANK(OFFSET(A$1,,,SUMPRODUCT(MAX(ROW(E$1:E2597)*(E2=E$1:E2597))))))</f>
        <v> </v>
      </c>
      <c r="K2598" s="26" t="str">
        <f>IF(OR(E2598="",E2598="!!!",F2598="NEW"),"",INDEX(J$1:J2597,SUMPRODUCT(MAX(ROW(E$1:E2597)*(E2598=E$1:E2597)))))</f>
        <v> </v>
      </c>
      <c r="L2598" s="27"/>
    </row>
    <row r="2599" spans="1:12">
      <c r="A2599" s="20" t="s">
        <v>1732</v>
      </c>
      <c r="E2599" s="22">
        <f>IF(D2599="?OLD","!!!","")</f>
        <v/>
      </c>
      <c r="F2599" s="23" t="str">
        <f>IF(OR(E2599="",E2599="!!!"),"",IF(NOT(ISNA(VLOOKUP(E2599,E$1:E2598,1,FALSE()))),"OLD",IF(AND(E2599&lt;&gt;"",E2599&lt;&gt;"!!!"),"NEW","")))</f>
        <v> </v>
      </c>
      <c r="G2599" s="24" t="str">
        <f>IF(OR(E2599="",E2599="!!!"),"",IF(OR(J2599=0,AND(J2599=1,K2599=1),AND(J2599=1,I2599="SBJ"),AND(J2599=1,I2599=0)),"?IN_FOCUS",IF(J2599&lt;=2,"?ACTIVATED",IF(J2599&lt;&gt;"","?FAMILIAR",IF(F2599="NEW",IF(ISNA(VLOOKUP(E2599,#REF!,1,FALSE())),"?TYPE_IDENTIFIABLE","?REFERENTIAL"),"_")))))</f>
        <v> </v>
      </c>
      <c r="H2599" s="25" t="str">
        <f>IF(J2599&lt;&gt;1,"",IF(I2599="SBJ","CB","?"))</f>
        <v> </v>
      </c>
      <c r="I2599" s="26" t="str">
        <f>IF(OR(E2599="",E2599="!!!",F2599="NEW"),"",INDEX(B2598:B$2,-1+SUMPRODUCT(MAX(ROW(E2598:E$2)*(E2599=E2598:E$2)))))</f>
        <v> </v>
      </c>
      <c r="J2599" s="26" t="str">
        <f>IF(OR(E2599="",E2599="!!!",F2599="NEW"),"",COUNTBLANK(OFFSET(A$1,,,SUMPRODUCT(MAX(ROW(E$2:E2599)*(E2599=E$2:E2599)))))-COUNTBLANK(OFFSET(A$1,,,SUMPRODUCT(MAX(ROW(E$1:E2598)*(E2=E$1:E2598))))))</f>
        <v> </v>
      </c>
      <c r="K2599" s="26" t="str">
        <f>IF(OR(E2599="",E2599="!!!",F2599="NEW"),"",INDEX(J$1:J2598,SUMPRODUCT(MAX(ROW(E$1:E2598)*(E2599=E$1:E2598)))))</f>
        <v> </v>
      </c>
      <c r="L2599" s="27"/>
    </row>
    <row r="2600" spans="1:12">
      <c r="A2600" s="20" t="s">
        <v>592</v>
      </c>
      <c r="E2600" s="22">
        <f>IF(D2600="?OLD","!!!","")</f>
        <v/>
      </c>
      <c r="F2600" s="23" t="str">
        <f>IF(OR(E2600="",E2600="!!!"),"",IF(NOT(ISNA(VLOOKUP(E2600,E$1:E2599,1,FALSE()))),"OLD",IF(AND(E2600&lt;&gt;"",E2600&lt;&gt;"!!!"),"NEW","")))</f>
        <v> </v>
      </c>
      <c r="G2600" s="24" t="str">
        <f>IF(OR(E2600="",E2600="!!!"),"",IF(OR(J2600=0,AND(J2600=1,K2600=1),AND(J2600=1,I2600="SBJ"),AND(J2600=1,I2600=0)),"?IN_FOCUS",IF(J2600&lt;=2,"?ACTIVATED",IF(J2600&lt;&gt;"","?FAMILIAR",IF(F2600="NEW",IF(ISNA(VLOOKUP(E2600,#REF!,1,FALSE())),"?TYPE_IDENTIFIABLE","?REFERENTIAL"),"_")))))</f>
        <v> </v>
      </c>
      <c r="H2600" s="25" t="str">
        <f>IF(J2600&lt;&gt;1,"",IF(I2600="SBJ","CB","?"))</f>
        <v> </v>
      </c>
      <c r="I2600" s="26" t="str">
        <f>IF(OR(E2600="",E2600="!!!",F2600="NEW"),"",INDEX(B2599:B$2,-1+SUMPRODUCT(MAX(ROW(E2599:E$2)*(E2600=E2599:E$2)))))</f>
        <v> </v>
      </c>
      <c r="J2600" s="26" t="str">
        <f>IF(OR(E2600="",E2600="!!!",F2600="NEW"),"",COUNTBLANK(OFFSET(A$1,,,SUMPRODUCT(MAX(ROW(E$2:E2600)*(E2600=E$2:E2600)))))-COUNTBLANK(OFFSET(A$1,,,SUMPRODUCT(MAX(ROW(E$1:E2599)*(E2=E$1:E2599))))))</f>
        <v> </v>
      </c>
      <c r="K2600" s="26" t="str">
        <f>IF(OR(E2600="",E2600="!!!",F2600="NEW"),"",INDEX(J$1:J2599,SUMPRODUCT(MAX(ROW(E$1:E2599)*(E2600=E$1:E2599)))))</f>
        <v> </v>
      </c>
      <c r="L2600" s="27"/>
    </row>
    <row r="2601" spans="1:12">
      <c r="A2601" s="20"/>
    </row>
    <row r="2602" spans="1:12">
      <c r="A2602" s="20" t="s">
        <v>1733</v>
      </c>
    </row>
    <row r="2603" spans="1:12">
      <c r="A2603" s="20" t="s">
        <v>1734</v>
      </c>
      <c r="B2603" s="21" t="s">
        <v>578</v>
      </c>
      <c r="E2603" s="22">
        <f>IF(D2603="?OLD","!!!","")</f>
        <v/>
      </c>
      <c r="F2603" s="23" t="str">
        <f>IF(OR(E2603="",E2603="!!!"),"",IF(NOT(ISNA(VLOOKUP(E2603,E$1:E2602,1,FALSE()))),"OLD",IF(AND(E2603&lt;&gt;"",E2603&lt;&gt;"!!!"),"NEW","")))</f>
        <v> </v>
      </c>
      <c r="G2603" s="24" t="str">
        <f>IF(OR(E2603="",E2603="!!!"),"",IF(OR(J2603=0,AND(J2603=1,K2603=1),AND(J2603=1,I2603="SBJ"),AND(J2603=1,I2603=0)),"?IN_FOCUS",IF(J2603&lt;=2,"?ACTIVATED",IF(J2603&lt;&gt;"","?FAMILIAR",IF(F2603="NEW",IF(ISNA(VLOOKUP(E2603,#REF!,1,FALSE())),"?TYPE_IDENTIFIABLE","?REFERENTIAL"),"_")))))</f>
        <v> </v>
      </c>
      <c r="H2603" s="25" t="str">
        <f>IF(J2603&lt;&gt;1,"",IF(I2603="SBJ","CB","?"))</f>
        <v> </v>
      </c>
      <c r="I2603" s="26" t="str">
        <f>IF(OR(E2603="",E2603="!!!",F2603="NEW"),"",INDEX(B2602:B$2,-1+SUMPRODUCT(MAX(ROW(E2602:E$2)*(E2603=E2602:E$2)))))</f>
        <v> </v>
      </c>
      <c r="J2603" s="26" t="str">
        <f>IF(OR(E2603="",E2603="!!!",F2603="NEW"),"",COUNTBLANK(OFFSET(A$1,,,SUMPRODUCT(MAX(ROW(E$2:E2603)*(E2603=E$2:E2603)))))-COUNTBLANK(OFFSET(A$1,,,SUMPRODUCT(MAX(ROW(E$1:E2602)*(E2=E$1:E2602))))))</f>
        <v> </v>
      </c>
      <c r="K2603" s="26" t="str">
        <f>IF(OR(E2603="",E2603="!!!",F2603="NEW"),"",INDEX(J$1:J2602,SUMPRODUCT(MAX(ROW(E$1:E2602)*(E2603=E$1:E2602)))))</f>
        <v> </v>
      </c>
      <c r="L2603" s="27"/>
    </row>
    <row r="2604" spans="1:12">
      <c r="A2604" s="20" t="s">
        <v>622</v>
      </c>
      <c r="E2604" s="22">
        <f>IF(D2604="?OLD","!!!","")</f>
        <v/>
      </c>
      <c r="F2604" s="23" t="str">
        <f>IF(OR(E2604="",E2604="!!!"),"",IF(NOT(ISNA(VLOOKUP(E2604,E$1:E2603,1,FALSE()))),"OLD",IF(AND(E2604&lt;&gt;"",E2604&lt;&gt;"!!!"),"NEW","")))</f>
        <v> </v>
      </c>
      <c r="G2604" s="24" t="str">
        <f>IF(OR(E2604="",E2604="!!!"),"",IF(OR(J2604=0,AND(J2604=1,K2604=1),AND(J2604=1,I2604="SBJ"),AND(J2604=1,I2604=0)),"?IN_FOCUS",IF(J2604&lt;=2,"?ACTIVATED",IF(J2604&lt;&gt;"","?FAMILIAR",IF(F2604="NEW",IF(ISNA(VLOOKUP(E2604,#REF!,1,FALSE())),"?TYPE_IDENTIFIABLE","?REFERENTIAL"),"_")))))</f>
        <v> </v>
      </c>
      <c r="H2604" s="25" t="str">
        <f>IF(J2604&lt;&gt;1,"",IF(I2604="SBJ","CB","?"))</f>
        <v> </v>
      </c>
      <c r="I2604" s="26" t="str">
        <f>IF(OR(E2604="",E2604="!!!",F2604="NEW"),"",INDEX(B2603:B$2,-1+SUMPRODUCT(MAX(ROW(E2603:E$2)*(E2604=E2603:E$2)))))</f>
        <v> </v>
      </c>
      <c r="J2604" s="26" t="str">
        <f>IF(OR(E2604="",E2604="!!!",F2604="NEW"),"",COUNTBLANK(OFFSET(A$1,,,SUMPRODUCT(MAX(ROW(E$2:E2604)*(E2604=E$2:E2604)))))-COUNTBLANK(OFFSET(A$1,,,SUMPRODUCT(MAX(ROW(E$1:E2603)*(E2=E$1:E2603))))))</f>
        <v> </v>
      </c>
      <c r="K2604" s="26" t="str">
        <f>IF(OR(E2604="",E2604="!!!",F2604="NEW"),"",INDEX(J$1:J2603,SUMPRODUCT(MAX(ROW(E$1:E2603)*(E2604=E$1:E2603)))))</f>
        <v> </v>
      </c>
      <c r="L2604" s="27"/>
    </row>
    <row r="2605" spans="1:12">
      <c r="A2605" s="20" t="s">
        <v>666</v>
      </c>
      <c r="E2605" s="22">
        <f>IF(D2605="?OLD","!!!","")</f>
        <v/>
      </c>
      <c r="F2605" s="23" t="str">
        <f>IF(OR(E2605="",E2605="!!!"),"",IF(NOT(ISNA(VLOOKUP(E2605,E$1:E2604,1,FALSE()))),"OLD",IF(AND(E2605&lt;&gt;"",E2605&lt;&gt;"!!!"),"NEW","")))</f>
        <v> </v>
      </c>
      <c r="G2605" s="24" t="str">
        <f>IF(OR(E2605="",E2605="!!!"),"",IF(OR(J2605=0,AND(J2605=1,K2605=1),AND(J2605=1,I2605="SBJ"),AND(J2605=1,I2605=0)),"?IN_FOCUS",IF(J2605&lt;=2,"?ACTIVATED",IF(J2605&lt;&gt;"","?FAMILIAR",IF(F2605="NEW",IF(ISNA(VLOOKUP(E2605,#REF!,1,FALSE())),"?TYPE_IDENTIFIABLE","?REFERENTIAL"),"_")))))</f>
        <v> </v>
      </c>
      <c r="H2605" s="25" t="str">
        <f>IF(J2605&lt;&gt;1,"",IF(I2605="SBJ","CB","?"))</f>
        <v> </v>
      </c>
      <c r="I2605" s="26" t="str">
        <f>IF(OR(E2605="",E2605="!!!",F2605="NEW"),"",INDEX(B2604:B$2,-1+SUMPRODUCT(MAX(ROW(E2604:E$2)*(E2605=E2604:E$2)))))</f>
        <v> </v>
      </c>
      <c r="J2605" s="26" t="str">
        <f>IF(OR(E2605="",E2605="!!!",F2605="NEW"),"",COUNTBLANK(OFFSET(A$1,,,SUMPRODUCT(MAX(ROW(E$2:E2605)*(E2605=E$2:E2605)))))-COUNTBLANK(OFFSET(A$1,,,SUMPRODUCT(MAX(ROW(E$1:E2604)*(E2=E$1:E2604))))))</f>
        <v> </v>
      </c>
      <c r="K2605" s="26" t="str">
        <f>IF(OR(E2605="",E2605="!!!",F2605="NEW"),"",INDEX(J$1:J2604,SUMPRODUCT(MAX(ROW(E$1:E2604)*(E2605=E$1:E2604)))))</f>
        <v> </v>
      </c>
      <c r="L2605" s="27"/>
    </row>
    <row r="2606" spans="1:12">
      <c r="A2606" s="20" t="s">
        <v>609</v>
      </c>
      <c r="E2606" s="22">
        <f>IF(D2606="?OLD","!!!","")</f>
        <v/>
      </c>
      <c r="F2606" s="23" t="str">
        <f>IF(OR(E2606="",E2606="!!!"),"",IF(NOT(ISNA(VLOOKUP(E2606,E$1:E2605,1,FALSE()))),"OLD",IF(AND(E2606&lt;&gt;"",E2606&lt;&gt;"!!!"),"NEW","")))</f>
        <v> </v>
      </c>
      <c r="G2606" s="24" t="str">
        <f>IF(OR(E2606="",E2606="!!!"),"",IF(OR(J2606=0,AND(J2606=1,K2606=1),AND(J2606=1,I2606="SBJ"),AND(J2606=1,I2606=0)),"?IN_FOCUS",IF(J2606&lt;=2,"?ACTIVATED",IF(J2606&lt;&gt;"","?FAMILIAR",IF(F2606="NEW",IF(ISNA(VLOOKUP(E2606,#REF!,1,FALSE())),"?TYPE_IDENTIFIABLE","?REFERENTIAL"),"_")))))</f>
        <v> </v>
      </c>
      <c r="H2606" s="25" t="str">
        <f>IF(J2606&lt;&gt;1,"",IF(I2606="SBJ","CB","?"))</f>
        <v> </v>
      </c>
      <c r="I2606" s="26" t="str">
        <f>IF(OR(E2606="",E2606="!!!",F2606="NEW"),"",INDEX(B2605:B$2,-1+SUMPRODUCT(MAX(ROW(E2605:E$2)*(E2606=E2605:E$2)))))</f>
        <v> </v>
      </c>
      <c r="J2606" s="26" t="str">
        <f>IF(OR(E2606="",E2606="!!!",F2606="NEW"),"",COUNTBLANK(OFFSET(A$1,,,SUMPRODUCT(MAX(ROW(E$2:E2606)*(E2606=E$2:E2606)))))-COUNTBLANK(OFFSET(A$1,,,SUMPRODUCT(MAX(ROW(E$1:E2605)*(E2=E$1:E2605))))))</f>
        <v> </v>
      </c>
      <c r="K2606" s="26" t="str">
        <f>IF(OR(E2606="",E2606="!!!",F2606="NEW"),"",INDEX(J$1:J2605,SUMPRODUCT(MAX(ROW(E$1:E2605)*(E2606=E$1:E2605)))))</f>
        <v> </v>
      </c>
      <c r="L2606" s="27"/>
    </row>
    <row r="2607" spans="1:12">
      <c r="A2607" s="20" t="s">
        <v>1735</v>
      </c>
      <c r="E2607" s="22">
        <f>IF(D2607="?OLD","!!!","")</f>
        <v/>
      </c>
      <c r="F2607" s="23" t="str">
        <f>IF(OR(E2607="",E2607="!!!"),"",IF(NOT(ISNA(VLOOKUP(E2607,E$1:E2606,1,FALSE()))),"OLD",IF(AND(E2607&lt;&gt;"",E2607&lt;&gt;"!!!"),"NEW","")))</f>
        <v> </v>
      </c>
      <c r="G2607" s="24" t="str">
        <f>IF(OR(E2607="",E2607="!!!"),"",IF(OR(J2607=0,AND(J2607=1,K2607=1),AND(J2607=1,I2607="SBJ"),AND(J2607=1,I2607=0)),"?IN_FOCUS",IF(J2607&lt;=2,"?ACTIVATED",IF(J2607&lt;&gt;"","?FAMILIAR",IF(F2607="NEW",IF(ISNA(VLOOKUP(E2607,#REF!,1,FALSE())),"?TYPE_IDENTIFIABLE","?REFERENTIAL"),"_")))))</f>
        <v> </v>
      </c>
      <c r="H2607" s="25" t="str">
        <f>IF(J2607&lt;&gt;1,"",IF(I2607="SBJ","CB","?"))</f>
        <v> </v>
      </c>
      <c r="I2607" s="26" t="str">
        <f>IF(OR(E2607="",E2607="!!!",F2607="NEW"),"",INDEX(B2606:B$2,-1+SUMPRODUCT(MAX(ROW(E2606:E$2)*(E2607=E2606:E$2)))))</f>
        <v> </v>
      </c>
      <c r="J2607" s="26" t="str">
        <f>IF(OR(E2607="",E2607="!!!",F2607="NEW"),"",COUNTBLANK(OFFSET(A$1,,,SUMPRODUCT(MAX(ROW(E$2:E2607)*(E2607=E$2:E2607)))))-COUNTBLANK(OFFSET(A$1,,,SUMPRODUCT(MAX(ROW(E$1:E2606)*(E2=E$1:E2606))))))</f>
        <v> </v>
      </c>
      <c r="K2607" s="26" t="str">
        <f>IF(OR(E2607="",E2607="!!!",F2607="NEW"),"",INDEX(J$1:J2606,SUMPRODUCT(MAX(ROW(E$1:E2606)*(E2607=E$1:E2606)))))</f>
        <v> </v>
      </c>
      <c r="L2607" s="27"/>
    </row>
    <row r="2608" spans="1:12">
      <c r="A2608" s="20" t="s">
        <v>1613</v>
      </c>
      <c r="E2608" s="22">
        <f>IF(D2608="?OLD","!!!","")</f>
        <v/>
      </c>
      <c r="F2608" s="23" t="str">
        <f>IF(OR(E2608="",E2608="!!!"),"",IF(NOT(ISNA(VLOOKUP(E2608,E$1:E2607,1,FALSE()))),"OLD",IF(AND(E2608&lt;&gt;"",E2608&lt;&gt;"!!!"),"NEW","")))</f>
        <v> </v>
      </c>
      <c r="G2608" s="24" t="str">
        <f>IF(OR(E2608="",E2608="!!!"),"",IF(OR(J2608=0,AND(J2608=1,K2608=1),AND(J2608=1,I2608="SBJ"),AND(J2608=1,I2608=0)),"?IN_FOCUS",IF(J2608&lt;=2,"?ACTIVATED",IF(J2608&lt;&gt;"","?FAMILIAR",IF(F2608="NEW",IF(ISNA(VLOOKUP(E2608,#REF!,1,FALSE())),"?TYPE_IDENTIFIABLE","?REFERENTIAL"),"_")))))</f>
        <v> </v>
      </c>
      <c r="H2608" s="25" t="str">
        <f>IF(J2608&lt;&gt;1,"",IF(I2608="SBJ","CB","?"))</f>
        <v> </v>
      </c>
      <c r="I2608" s="26" t="str">
        <f>IF(OR(E2608="",E2608="!!!",F2608="NEW"),"",INDEX(B2607:B$2,-1+SUMPRODUCT(MAX(ROW(E2607:E$2)*(E2608=E2607:E$2)))))</f>
        <v> </v>
      </c>
      <c r="J2608" s="26" t="str">
        <f>IF(OR(E2608="",E2608="!!!",F2608="NEW"),"",COUNTBLANK(OFFSET(A$1,,,SUMPRODUCT(MAX(ROW(E$2:E2608)*(E2608=E$2:E2608)))))-COUNTBLANK(OFFSET(A$1,,,SUMPRODUCT(MAX(ROW(E$1:E2607)*(E2=E$1:E2607))))))</f>
        <v> </v>
      </c>
      <c r="K2608" s="26" t="str">
        <f>IF(OR(E2608="",E2608="!!!",F2608="NEW"),"",INDEX(J$1:J2607,SUMPRODUCT(MAX(ROW(E$1:E2607)*(E2608=E$1:E2607)))))</f>
        <v> </v>
      </c>
      <c r="L2608" s="27"/>
    </row>
    <row r="2609" spans="1:12">
      <c r="A2609" s="20" t="s">
        <v>735</v>
      </c>
      <c r="E2609" s="22">
        <f>IF(D2609="?OLD","!!!","")</f>
        <v/>
      </c>
      <c r="F2609" s="23" t="str">
        <f>IF(OR(E2609="",E2609="!!!"),"",IF(NOT(ISNA(VLOOKUP(E2609,E$1:E2608,1,FALSE()))),"OLD",IF(AND(E2609&lt;&gt;"",E2609&lt;&gt;"!!!"),"NEW","")))</f>
        <v> </v>
      </c>
      <c r="G2609" s="24" t="str">
        <f>IF(OR(E2609="",E2609="!!!"),"",IF(OR(J2609=0,AND(J2609=1,K2609=1),AND(J2609=1,I2609="SBJ"),AND(J2609=1,I2609=0)),"?IN_FOCUS",IF(J2609&lt;=2,"?ACTIVATED",IF(J2609&lt;&gt;"","?FAMILIAR",IF(F2609="NEW",IF(ISNA(VLOOKUP(E2609,#REF!,1,FALSE())),"?TYPE_IDENTIFIABLE","?REFERENTIAL"),"_")))))</f>
        <v> </v>
      </c>
      <c r="H2609" s="25" t="str">
        <f>IF(J2609&lt;&gt;1,"",IF(I2609="SBJ","CB","?"))</f>
        <v> </v>
      </c>
      <c r="I2609" s="26" t="str">
        <f>IF(OR(E2609="",E2609="!!!",F2609="NEW"),"",INDEX(B2608:B$2,-1+SUMPRODUCT(MAX(ROW(E2608:E$2)*(E2609=E2608:E$2)))))</f>
        <v> </v>
      </c>
      <c r="J2609" s="26" t="str">
        <f>IF(OR(E2609="",E2609="!!!",F2609="NEW"),"",COUNTBLANK(OFFSET(A$1,,,SUMPRODUCT(MAX(ROW(E$2:E2609)*(E2609=E$2:E2609)))))-COUNTBLANK(OFFSET(A$1,,,SUMPRODUCT(MAX(ROW(E$1:E2608)*(E2=E$1:E2608))))))</f>
        <v> </v>
      </c>
      <c r="K2609" s="26" t="str">
        <f>IF(OR(E2609="",E2609="!!!",F2609="NEW"),"",INDEX(J$1:J2608,SUMPRODUCT(MAX(ROW(E$1:E2608)*(E2609=E$1:E2608)))))</f>
        <v> </v>
      </c>
      <c r="L2609" s="27"/>
    </row>
    <row r="2610" spans="1:12">
      <c r="A2610" s="20" t="s">
        <v>592</v>
      </c>
      <c r="E2610" s="22">
        <f>IF(D2610="?OLD","!!!","")</f>
        <v/>
      </c>
      <c r="F2610" s="23" t="str">
        <f>IF(OR(E2610="",E2610="!!!"),"",IF(NOT(ISNA(VLOOKUP(E2610,E$1:E2609,1,FALSE()))),"OLD",IF(AND(E2610&lt;&gt;"",E2610&lt;&gt;"!!!"),"NEW","")))</f>
        <v> </v>
      </c>
      <c r="G2610" s="24" t="str">
        <f>IF(OR(E2610="",E2610="!!!"),"",IF(OR(J2610=0,AND(J2610=1,K2610=1),AND(J2610=1,I2610="SBJ"),AND(J2610=1,I2610=0)),"?IN_FOCUS",IF(J2610&lt;=2,"?ACTIVATED",IF(J2610&lt;&gt;"","?FAMILIAR",IF(F2610="NEW",IF(ISNA(VLOOKUP(E2610,#REF!,1,FALSE())),"?TYPE_IDENTIFIABLE","?REFERENTIAL"),"_")))))</f>
        <v> </v>
      </c>
      <c r="H2610" s="25" t="str">
        <f>IF(J2610&lt;&gt;1,"",IF(I2610="SBJ","CB","?"))</f>
        <v> </v>
      </c>
      <c r="I2610" s="26" t="str">
        <f>IF(OR(E2610="",E2610="!!!",F2610="NEW"),"",INDEX(B2609:B$2,-1+SUMPRODUCT(MAX(ROW(E2609:E$2)*(E2610=E2609:E$2)))))</f>
        <v> </v>
      </c>
      <c r="J2610" s="26" t="str">
        <f>IF(OR(E2610="",E2610="!!!",F2610="NEW"),"",COUNTBLANK(OFFSET(A$1,,,SUMPRODUCT(MAX(ROW(E$2:E2610)*(E2610=E$2:E2610)))))-COUNTBLANK(OFFSET(A$1,,,SUMPRODUCT(MAX(ROW(E$1:E2609)*(E2=E$1:E2609))))))</f>
        <v> </v>
      </c>
      <c r="K2610" s="26" t="str">
        <f>IF(OR(E2610="",E2610="!!!",F2610="NEW"),"",INDEX(J$1:J2609,SUMPRODUCT(MAX(ROW(E$1:E2609)*(E2610=E$1:E2609)))))</f>
        <v> </v>
      </c>
      <c r="L2610" s="27"/>
    </row>
    <row r="2611" spans="1:12">
      <c r="A2611" s="20"/>
    </row>
    <row r="2612" spans="1:12">
      <c r="A2612" s="20" t="s">
        <v>1736</v>
      </c>
    </row>
    <row r="2613" spans="1:12">
      <c r="A2613" s="20" t="s">
        <v>1273</v>
      </c>
      <c r="B2613" s="21" t="s">
        <v>578</v>
      </c>
      <c r="C2613" s="21" t="s">
        <v>613</v>
      </c>
      <c r="D2613" s="21" t="s">
        <v>587</v>
      </c>
      <c r="E2613" s="22">
        <f>IF(D2613="?OLD","!!!","")</f>
        <v/>
      </c>
      <c r="F2613" s="23" t="str">
        <f>IF(OR(E2613="",E2613="!!!"),"",IF(NOT(ISNA(VLOOKUP(E2613,E$1:E2612,1,FALSE()))),"OLD",IF(AND(E2613&lt;&gt;"",E2613&lt;&gt;"!!!"),"NEW","")))</f>
        <v> </v>
      </c>
      <c r="G2613" s="24" t="str">
        <f>IF(OR(E2613="",E2613="!!!"),"",IF(OR(J2613=0,AND(J2613=1,K2613=1),AND(J2613=1,I2613="SBJ"),AND(J2613=1,I2613=0)),"?IN_FOCUS",IF(J2613&lt;=2,"?ACTIVATED",IF(J2613&lt;&gt;"","?FAMILIAR",IF(F2613="NEW",IF(ISNA(VLOOKUP(E2613,#REF!,1,FALSE())),"?TYPE_IDENTIFIABLE","?REFERENTIAL"),"_")))))</f>
        <v> </v>
      </c>
      <c r="H2613" s="25" t="str">
        <f>IF(J2613&lt;&gt;1,"",IF(I2613="SBJ","CB","?"))</f>
        <v> </v>
      </c>
      <c r="I2613" s="26" t="str">
        <f>IF(OR(E2613="",E2613="!!!",F2613="NEW"),"",INDEX(B2612:B$2,-1+SUMPRODUCT(MAX(ROW(E2612:E$2)*(E2613=E2612:E$2)))))</f>
        <v> </v>
      </c>
      <c r="J2613" s="26" t="str">
        <f>IF(OR(E2613="",E2613="!!!",F2613="NEW"),"",COUNTBLANK(OFFSET(A$1,,,SUMPRODUCT(MAX(ROW(E$2:E2613)*(E2613=E$2:E2613)))))-COUNTBLANK(OFFSET(A$1,,,SUMPRODUCT(MAX(ROW(E$1:E2612)*(E2=E$1:E2612))))))</f>
        <v> </v>
      </c>
      <c r="K2613" s="26" t="str">
        <f>IF(OR(E2613="",E2613="!!!",F2613="NEW"),"",INDEX(J$1:J2612,SUMPRODUCT(MAX(ROW(E$1:E2612)*(E2613=E$1:E2612)))))</f>
        <v> </v>
      </c>
      <c r="L2613" s="27"/>
    </row>
    <row r="2614" spans="1:12">
      <c r="A2614" s="20" t="s">
        <v>1735</v>
      </c>
      <c r="E2614" s="22">
        <f>IF(D2614="?OLD","!!!","")</f>
        <v/>
      </c>
      <c r="F2614" s="23" t="str">
        <f>IF(OR(E2614="",E2614="!!!"),"",IF(NOT(ISNA(VLOOKUP(E2614,E$1:E2613,1,FALSE()))),"OLD",IF(AND(E2614&lt;&gt;"",E2614&lt;&gt;"!!!"),"NEW","")))</f>
        <v> </v>
      </c>
      <c r="G2614" s="24" t="str">
        <f>IF(OR(E2614="",E2614="!!!"),"",IF(OR(J2614=0,AND(J2614=1,K2614=1),AND(J2614=1,I2614="SBJ"),AND(J2614=1,I2614=0)),"?IN_FOCUS",IF(J2614&lt;=2,"?ACTIVATED",IF(J2614&lt;&gt;"","?FAMILIAR",IF(F2614="NEW",IF(ISNA(VLOOKUP(E2614,#REF!,1,FALSE())),"?TYPE_IDENTIFIABLE","?REFERENTIAL"),"_")))))</f>
        <v> </v>
      </c>
      <c r="H2614" s="25" t="str">
        <f>IF(J2614&lt;&gt;1,"",IF(I2614="SBJ","CB","?"))</f>
        <v> </v>
      </c>
      <c r="I2614" s="26" t="str">
        <f>IF(OR(E2614="",E2614="!!!",F2614="NEW"),"",INDEX(B2613:B$2,-1+SUMPRODUCT(MAX(ROW(E2613:E$2)*(E2614=E2613:E$2)))))</f>
        <v> </v>
      </c>
      <c r="J2614" s="26" t="str">
        <f>IF(OR(E2614="",E2614="!!!",F2614="NEW"),"",COUNTBLANK(OFFSET(A$1,,,SUMPRODUCT(MAX(ROW(E$2:E2614)*(E2614=E$2:E2614)))))-COUNTBLANK(OFFSET(A$1,,,SUMPRODUCT(MAX(ROW(E$1:E2613)*(E2=E$1:E2613))))))</f>
        <v> </v>
      </c>
      <c r="K2614" s="26" t="str">
        <f>IF(OR(E2614="",E2614="!!!",F2614="NEW"),"",INDEX(J$1:J2613,SUMPRODUCT(MAX(ROW(E$1:E2613)*(E2614=E$1:E2613)))))</f>
        <v> </v>
      </c>
      <c r="L2614" s="27"/>
    </row>
    <row r="2615" spans="1:12">
      <c r="A2615" s="20" t="s">
        <v>1613</v>
      </c>
      <c r="E2615" s="22">
        <f>IF(D2615="?OLD","!!!","")</f>
        <v/>
      </c>
      <c r="F2615" s="23" t="str">
        <f>IF(OR(E2615="",E2615="!!!"),"",IF(NOT(ISNA(VLOOKUP(E2615,E$1:E2614,1,FALSE()))),"OLD",IF(AND(E2615&lt;&gt;"",E2615&lt;&gt;"!!!"),"NEW","")))</f>
        <v> </v>
      </c>
      <c r="G2615" s="24" t="str">
        <f>IF(OR(E2615="",E2615="!!!"),"",IF(OR(J2615=0,AND(J2615=1,K2615=1),AND(J2615=1,I2615="SBJ"),AND(J2615=1,I2615=0)),"?IN_FOCUS",IF(J2615&lt;=2,"?ACTIVATED",IF(J2615&lt;&gt;"","?FAMILIAR",IF(F2615="NEW",IF(ISNA(VLOOKUP(E2615,#REF!,1,FALSE())),"?TYPE_IDENTIFIABLE","?REFERENTIAL"),"_")))))</f>
        <v> </v>
      </c>
      <c r="H2615" s="25" t="str">
        <f>IF(J2615&lt;&gt;1,"",IF(I2615="SBJ","CB","?"))</f>
        <v> </v>
      </c>
      <c r="I2615" s="26" t="str">
        <f>IF(OR(E2615="",E2615="!!!",F2615="NEW"),"",INDEX(B2614:B$2,-1+SUMPRODUCT(MAX(ROW(E2614:E$2)*(E2615=E2614:E$2)))))</f>
        <v> </v>
      </c>
      <c r="J2615" s="26" t="str">
        <f>IF(OR(E2615="",E2615="!!!",F2615="NEW"),"",COUNTBLANK(OFFSET(A$1,,,SUMPRODUCT(MAX(ROW(E$2:E2615)*(E2615=E$2:E2615)))))-COUNTBLANK(OFFSET(A$1,,,SUMPRODUCT(MAX(ROW(E$1:E2614)*(E2=E$1:E2614))))))</f>
        <v> </v>
      </c>
      <c r="K2615" s="26" t="str">
        <f>IF(OR(E2615="",E2615="!!!",F2615="NEW"),"",INDEX(J$1:J2614,SUMPRODUCT(MAX(ROW(E$1:E2614)*(E2615=E$1:E2614)))))</f>
        <v> </v>
      </c>
      <c r="L2615" s="27"/>
    </row>
    <row r="2616" spans="1:12">
      <c r="A2616" s="20" t="s">
        <v>754</v>
      </c>
      <c r="E2616" s="22">
        <f>IF(D2616="?OLD","!!!","")</f>
        <v/>
      </c>
      <c r="F2616" s="23" t="str">
        <f>IF(OR(E2616="",E2616="!!!"),"",IF(NOT(ISNA(VLOOKUP(E2616,E$1:E2615,1,FALSE()))),"OLD",IF(AND(E2616&lt;&gt;"",E2616&lt;&gt;"!!!"),"NEW","")))</f>
        <v> </v>
      </c>
      <c r="G2616" s="24" t="str">
        <f>IF(OR(E2616="",E2616="!!!"),"",IF(OR(J2616=0,AND(J2616=1,K2616=1),AND(J2616=1,I2616="SBJ"),AND(J2616=1,I2616=0)),"?IN_FOCUS",IF(J2616&lt;=2,"?ACTIVATED",IF(J2616&lt;&gt;"","?FAMILIAR",IF(F2616="NEW",IF(ISNA(VLOOKUP(E2616,#REF!,1,FALSE())),"?TYPE_IDENTIFIABLE","?REFERENTIAL"),"_")))))</f>
        <v> </v>
      </c>
      <c r="H2616" s="25" t="str">
        <f>IF(J2616&lt;&gt;1,"",IF(I2616="SBJ","CB","?"))</f>
        <v> </v>
      </c>
      <c r="I2616" s="26" t="str">
        <f>IF(OR(E2616="",E2616="!!!",F2616="NEW"),"",INDEX(B2615:B$2,-1+SUMPRODUCT(MAX(ROW(E2615:E$2)*(E2616=E2615:E$2)))))</f>
        <v> </v>
      </c>
      <c r="J2616" s="26" t="str">
        <f>IF(OR(E2616="",E2616="!!!",F2616="NEW"),"",COUNTBLANK(OFFSET(A$1,,,SUMPRODUCT(MAX(ROW(E$2:E2616)*(E2616=E$2:E2616)))))-COUNTBLANK(OFFSET(A$1,,,SUMPRODUCT(MAX(ROW(E$1:E2615)*(E2=E$1:E2615))))))</f>
        <v> </v>
      </c>
      <c r="K2616" s="26" t="str">
        <f>IF(OR(E2616="",E2616="!!!",F2616="NEW"),"",INDEX(J$1:J2615,SUMPRODUCT(MAX(ROW(E$1:E2615)*(E2616=E$1:E2615)))))</f>
        <v> </v>
      </c>
      <c r="L2616" s="27"/>
    </row>
    <row r="2617" spans="1:12">
      <c r="A2617" s="20" t="s">
        <v>592</v>
      </c>
      <c r="E2617" s="22">
        <f>IF(D2617="?OLD","!!!","")</f>
        <v/>
      </c>
      <c r="F2617" s="23" t="str">
        <f>IF(OR(E2617="",E2617="!!!"),"",IF(NOT(ISNA(VLOOKUP(E2617,E$1:E2616,1,FALSE()))),"OLD",IF(AND(E2617&lt;&gt;"",E2617&lt;&gt;"!!!"),"NEW","")))</f>
        <v> </v>
      </c>
      <c r="G2617" s="24" t="str">
        <f>IF(OR(E2617="",E2617="!!!"),"",IF(OR(J2617=0,AND(J2617=1,K2617=1),AND(J2617=1,I2617="SBJ"),AND(J2617=1,I2617=0)),"?IN_FOCUS",IF(J2617&lt;=2,"?ACTIVATED",IF(J2617&lt;&gt;"","?FAMILIAR",IF(F2617="NEW",IF(ISNA(VLOOKUP(E2617,#REF!,1,FALSE())),"?TYPE_IDENTIFIABLE","?REFERENTIAL"),"_")))))</f>
        <v> </v>
      </c>
      <c r="H2617" s="25" t="str">
        <f>IF(J2617&lt;&gt;1,"",IF(I2617="SBJ","CB","?"))</f>
        <v> </v>
      </c>
      <c r="I2617" s="26" t="str">
        <f>IF(OR(E2617="",E2617="!!!",F2617="NEW"),"",INDEX(B2616:B$2,-1+SUMPRODUCT(MAX(ROW(E2616:E$2)*(E2617=E2616:E$2)))))</f>
        <v> </v>
      </c>
      <c r="J2617" s="26" t="str">
        <f>IF(OR(E2617="",E2617="!!!",F2617="NEW"),"",COUNTBLANK(OFFSET(A$1,,,SUMPRODUCT(MAX(ROW(E$2:E2617)*(E2617=E$2:E2617)))))-COUNTBLANK(OFFSET(A$1,,,SUMPRODUCT(MAX(ROW(E$1:E2616)*(E2=E$1:E2616))))))</f>
        <v> </v>
      </c>
      <c r="K2617" s="26" t="str">
        <f>IF(OR(E2617="",E2617="!!!",F2617="NEW"),"",INDEX(J$1:J2616,SUMPRODUCT(MAX(ROW(E$1:E2616)*(E2617=E$1:E2616)))))</f>
        <v> </v>
      </c>
      <c r="L2617" s="27"/>
    </row>
    <row r="2618" spans="1:12">
      <c r="A2618" s="20"/>
    </row>
    <row r="2619" spans="1:12">
      <c r="A2619" s="20" t="s">
        <v>1737</v>
      </c>
    </row>
    <row r="2620" spans="1:12">
      <c r="A2620" s="20" t="s">
        <v>577</v>
      </c>
      <c r="B2620" s="21" t="s">
        <v>578</v>
      </c>
      <c r="E2620" s="22">
        <f>IF(D2620="?OLD","!!!","")</f>
        <v/>
      </c>
      <c r="F2620" s="23" t="str">
        <f>IF(OR(E2620="",E2620="!!!"),"",IF(NOT(ISNA(VLOOKUP(E2620,E$1:E2619,1,FALSE()))),"OLD",IF(AND(E2620&lt;&gt;"",E2620&lt;&gt;"!!!"),"NEW","")))</f>
        <v> </v>
      </c>
      <c r="G2620" s="24" t="str">
        <f>IF(OR(E2620="",E2620="!!!"),"",IF(OR(J2620=0,AND(J2620=1,K2620=1),AND(J2620=1,I2620="SBJ"),AND(J2620=1,I2620=0)),"?IN_FOCUS",IF(J2620&lt;=2,"?ACTIVATED",IF(J2620&lt;&gt;"","?FAMILIAR",IF(F2620="NEW",IF(ISNA(VLOOKUP(E2620,#REF!,1,FALSE())),"?TYPE_IDENTIFIABLE","?REFERENTIAL"),"_")))))</f>
        <v> </v>
      </c>
      <c r="H2620" s="25" t="str">
        <f>IF(J2620&lt;&gt;1,"",IF(I2620="SBJ","CB","?"))</f>
        <v> </v>
      </c>
      <c r="I2620" s="26" t="str">
        <f>IF(OR(E2620="",E2620="!!!",F2620="NEW"),"",INDEX(B2619:B$2,-1+SUMPRODUCT(MAX(ROW(E2619:E$2)*(E2620=E2619:E$2)))))</f>
        <v> </v>
      </c>
      <c r="J2620" s="26" t="str">
        <f>IF(OR(E2620="",E2620="!!!",F2620="NEW"),"",COUNTBLANK(OFFSET(A$1,,,SUMPRODUCT(MAX(ROW(E$2:E2620)*(E2620=E$2:E2620)))))-COUNTBLANK(OFFSET(A$1,,,SUMPRODUCT(MAX(ROW(E$1:E2619)*(E2=E$1:E2619))))))</f>
        <v> </v>
      </c>
      <c r="K2620" s="26" t="str">
        <f>IF(OR(E2620="",E2620="!!!",F2620="NEW"),"",INDEX(J$1:J2619,SUMPRODUCT(MAX(ROW(E$1:E2619)*(E2620=E$1:E2619)))))</f>
        <v> </v>
      </c>
      <c r="L2620" s="27"/>
    </row>
    <row r="2621" spans="1:12">
      <c r="A2621" s="20" t="s">
        <v>1660</v>
      </c>
      <c r="E2621" s="22">
        <f>IF(D2621="?OLD","!!!","")</f>
        <v/>
      </c>
      <c r="F2621" s="23" t="str">
        <f>IF(OR(E2621="",E2621="!!!"),"",IF(NOT(ISNA(VLOOKUP(E2621,E$1:E2620,1,FALSE()))),"OLD",IF(AND(E2621&lt;&gt;"",E2621&lt;&gt;"!!!"),"NEW","")))</f>
        <v> </v>
      </c>
      <c r="G2621" s="24" t="str">
        <f>IF(OR(E2621="",E2621="!!!"),"",IF(OR(J2621=0,AND(J2621=1,K2621=1),AND(J2621=1,I2621="SBJ"),AND(J2621=1,I2621=0)),"?IN_FOCUS",IF(J2621&lt;=2,"?ACTIVATED",IF(J2621&lt;&gt;"","?FAMILIAR",IF(F2621="NEW",IF(ISNA(VLOOKUP(E2621,#REF!,1,FALSE())),"?TYPE_IDENTIFIABLE","?REFERENTIAL"),"_")))))</f>
        <v> </v>
      </c>
      <c r="H2621" s="25" t="str">
        <f>IF(J2621&lt;&gt;1,"",IF(I2621="SBJ","CB","?"))</f>
        <v> </v>
      </c>
      <c r="I2621" s="26" t="str">
        <f>IF(OR(E2621="",E2621="!!!",F2621="NEW"),"",INDEX(B2620:B$2,-1+SUMPRODUCT(MAX(ROW(E2620:E$2)*(E2621=E2620:E$2)))))</f>
        <v> </v>
      </c>
      <c r="J2621" s="26" t="str">
        <f>IF(OR(E2621="",E2621="!!!",F2621="NEW"),"",COUNTBLANK(OFFSET(A$1,,,SUMPRODUCT(MAX(ROW(E$2:E2621)*(E2621=E$2:E2621)))))-COUNTBLANK(OFFSET(A$1,,,SUMPRODUCT(MAX(ROW(E$1:E2620)*(E2=E$1:E2620))))))</f>
        <v> </v>
      </c>
      <c r="K2621" s="26" t="str">
        <f>IF(OR(E2621="",E2621="!!!",F2621="NEW"),"",INDEX(J$1:J2620,SUMPRODUCT(MAX(ROW(E$1:E2620)*(E2621=E$1:E2620)))))</f>
        <v> </v>
      </c>
      <c r="L2621" s="27"/>
    </row>
    <row r="2622" spans="1:12">
      <c r="A2622" s="20" t="s">
        <v>580</v>
      </c>
      <c r="E2622" s="22">
        <f>IF(D2622="?OLD","!!!","")</f>
        <v/>
      </c>
      <c r="F2622" s="23" t="str">
        <f>IF(OR(E2622="",E2622="!!!"),"",IF(NOT(ISNA(VLOOKUP(E2622,E$1:E2621,1,FALSE()))),"OLD",IF(AND(E2622&lt;&gt;"",E2622&lt;&gt;"!!!"),"NEW","")))</f>
        <v> </v>
      </c>
      <c r="G2622" s="24" t="str">
        <f>IF(OR(E2622="",E2622="!!!"),"",IF(OR(J2622=0,AND(J2622=1,K2622=1),AND(J2622=1,I2622="SBJ"),AND(J2622=1,I2622=0)),"?IN_FOCUS",IF(J2622&lt;=2,"?ACTIVATED",IF(J2622&lt;&gt;"","?FAMILIAR",IF(F2622="NEW",IF(ISNA(VLOOKUP(E2622,#REF!,1,FALSE())),"?TYPE_IDENTIFIABLE","?REFERENTIAL"),"_")))))</f>
        <v> </v>
      </c>
      <c r="H2622" s="25" t="str">
        <f>IF(J2622&lt;&gt;1,"",IF(I2622="SBJ","CB","?"))</f>
        <v> </v>
      </c>
      <c r="I2622" s="26" t="str">
        <f>IF(OR(E2622="",E2622="!!!",F2622="NEW"),"",INDEX(B2621:B$2,-1+SUMPRODUCT(MAX(ROW(E2621:E$2)*(E2622=E2621:E$2)))))</f>
        <v> </v>
      </c>
      <c r="J2622" s="26" t="str">
        <f>IF(OR(E2622="",E2622="!!!",F2622="NEW"),"",COUNTBLANK(OFFSET(A$1,,,SUMPRODUCT(MAX(ROW(E$2:E2622)*(E2622=E$2:E2622)))))-COUNTBLANK(OFFSET(A$1,,,SUMPRODUCT(MAX(ROW(E$1:E2621)*(E2=E$1:E2621))))))</f>
        <v> </v>
      </c>
      <c r="K2622" s="26" t="str">
        <f>IF(OR(E2622="",E2622="!!!",F2622="NEW"),"",INDEX(J$1:J2621,SUMPRODUCT(MAX(ROW(E$1:E2621)*(E2622=E$1:E2621)))))</f>
        <v> </v>
      </c>
      <c r="L2622" s="27"/>
    </row>
    <row r="2623" spans="1:12">
      <c r="A2623" s="20" t="s">
        <v>1738</v>
      </c>
      <c r="E2623" s="22">
        <f>IF(D2623="?OLD","!!!","")</f>
        <v/>
      </c>
      <c r="F2623" s="23" t="str">
        <f>IF(OR(E2623="",E2623="!!!"),"",IF(NOT(ISNA(VLOOKUP(E2623,E$1:E2622,1,FALSE()))),"OLD",IF(AND(E2623&lt;&gt;"",E2623&lt;&gt;"!!!"),"NEW","")))</f>
        <v> </v>
      </c>
      <c r="G2623" s="24" t="str">
        <f>IF(OR(E2623="",E2623="!!!"),"",IF(OR(J2623=0,AND(J2623=1,K2623=1),AND(J2623=1,I2623="SBJ"),AND(J2623=1,I2623=0)),"?IN_FOCUS",IF(J2623&lt;=2,"?ACTIVATED",IF(J2623&lt;&gt;"","?FAMILIAR",IF(F2623="NEW",IF(ISNA(VLOOKUP(E2623,#REF!,1,FALSE())),"?TYPE_IDENTIFIABLE","?REFERENTIAL"),"_")))))</f>
        <v> </v>
      </c>
      <c r="H2623" s="25" t="str">
        <f>IF(J2623&lt;&gt;1,"",IF(I2623="SBJ","CB","?"))</f>
        <v> </v>
      </c>
      <c r="I2623" s="26" t="str">
        <f>IF(OR(E2623="",E2623="!!!",F2623="NEW"),"",INDEX(B2622:B$2,-1+SUMPRODUCT(MAX(ROW(E2622:E$2)*(E2623=E2622:E$2)))))</f>
        <v> </v>
      </c>
      <c r="J2623" s="26" t="str">
        <f>IF(OR(E2623="",E2623="!!!",F2623="NEW"),"",COUNTBLANK(OFFSET(A$1,,,SUMPRODUCT(MAX(ROW(E$2:E2623)*(E2623=E$2:E2623)))))-COUNTBLANK(OFFSET(A$1,,,SUMPRODUCT(MAX(ROW(E$1:E2622)*(E2=E$1:E2622))))))</f>
        <v> </v>
      </c>
      <c r="K2623" s="26" t="str">
        <f>IF(OR(E2623="",E2623="!!!",F2623="NEW"),"",INDEX(J$1:J2622,SUMPRODUCT(MAX(ROW(E$1:E2622)*(E2623=E$1:E2622)))))</f>
        <v> </v>
      </c>
      <c r="L2623" s="27"/>
    </row>
    <row r="2624" spans="1:12">
      <c r="A2624" s="20" t="s">
        <v>1739</v>
      </c>
      <c r="E2624" s="22">
        <f>IF(D2624="?OLD","!!!","")</f>
        <v/>
      </c>
      <c r="F2624" s="23" t="str">
        <f>IF(OR(E2624="",E2624="!!!"),"",IF(NOT(ISNA(VLOOKUP(E2624,E$1:E2623,1,FALSE()))),"OLD",IF(AND(E2624&lt;&gt;"",E2624&lt;&gt;"!!!"),"NEW","")))</f>
        <v> </v>
      </c>
      <c r="G2624" s="24" t="str">
        <f>IF(OR(E2624="",E2624="!!!"),"",IF(OR(J2624=0,AND(J2624=1,K2624=1),AND(J2624=1,I2624="SBJ"),AND(J2624=1,I2624=0)),"?IN_FOCUS",IF(J2624&lt;=2,"?ACTIVATED",IF(J2624&lt;&gt;"","?FAMILIAR",IF(F2624="NEW",IF(ISNA(VLOOKUP(E2624,#REF!,1,FALSE())),"?TYPE_IDENTIFIABLE","?REFERENTIAL"),"_")))))</f>
        <v> </v>
      </c>
      <c r="H2624" s="25" t="str">
        <f>IF(J2624&lt;&gt;1,"",IF(I2624="SBJ","CB","?"))</f>
        <v> </v>
      </c>
      <c r="I2624" s="26" t="str">
        <f>IF(OR(E2624="",E2624="!!!",F2624="NEW"),"",INDEX(B2623:B$2,-1+SUMPRODUCT(MAX(ROW(E2623:E$2)*(E2624=E2623:E$2)))))</f>
        <v> </v>
      </c>
      <c r="J2624" s="26" t="str">
        <f>IF(OR(E2624="",E2624="!!!",F2624="NEW"),"",COUNTBLANK(OFFSET(A$1,,,SUMPRODUCT(MAX(ROW(E$2:E2624)*(E2624=E$2:E2624)))))-COUNTBLANK(OFFSET(A$1,,,SUMPRODUCT(MAX(ROW(E$1:E2623)*(E2=E$1:E2623))))))</f>
        <v> </v>
      </c>
      <c r="K2624" s="26" t="str">
        <f>IF(OR(E2624="",E2624="!!!",F2624="NEW"),"",INDEX(J$1:J2623,SUMPRODUCT(MAX(ROW(E$1:E2623)*(E2624=E$1:E2623)))))</f>
        <v> </v>
      </c>
      <c r="L2624" s="27"/>
    </row>
    <row r="2625" spans="1:12">
      <c r="A2625" s="20" t="s">
        <v>592</v>
      </c>
      <c r="E2625" s="22">
        <f>IF(D2625="?OLD","!!!","")</f>
        <v/>
      </c>
      <c r="F2625" s="23" t="str">
        <f>IF(OR(E2625="",E2625="!!!"),"",IF(NOT(ISNA(VLOOKUP(E2625,E$1:E2624,1,FALSE()))),"OLD",IF(AND(E2625&lt;&gt;"",E2625&lt;&gt;"!!!"),"NEW","")))</f>
        <v> </v>
      </c>
      <c r="G2625" s="24" t="str">
        <f>IF(OR(E2625="",E2625="!!!"),"",IF(OR(J2625=0,AND(J2625=1,K2625=1),AND(J2625=1,I2625="SBJ"),AND(J2625=1,I2625=0)),"?IN_FOCUS",IF(J2625&lt;=2,"?ACTIVATED",IF(J2625&lt;&gt;"","?FAMILIAR",IF(F2625="NEW",IF(ISNA(VLOOKUP(E2625,#REF!,1,FALSE())),"?TYPE_IDENTIFIABLE","?REFERENTIAL"),"_")))))</f>
        <v> </v>
      </c>
      <c r="H2625" s="25" t="str">
        <f>IF(J2625&lt;&gt;1,"",IF(I2625="SBJ","CB","?"))</f>
        <v> </v>
      </c>
      <c r="I2625" s="26" t="str">
        <f>IF(OR(E2625="",E2625="!!!",F2625="NEW"),"",INDEX(B2624:B$2,-1+SUMPRODUCT(MAX(ROW(E2624:E$2)*(E2625=E2624:E$2)))))</f>
        <v> </v>
      </c>
      <c r="J2625" s="26" t="str">
        <f>IF(OR(E2625="",E2625="!!!",F2625="NEW"),"",COUNTBLANK(OFFSET(A$1,,,SUMPRODUCT(MAX(ROW(E$2:E2625)*(E2625=E$2:E2625)))))-COUNTBLANK(OFFSET(A$1,,,SUMPRODUCT(MAX(ROW(E$1:E2624)*(E2=E$1:E2624))))))</f>
        <v> </v>
      </c>
      <c r="K2625" s="26" t="str">
        <f>IF(OR(E2625="",E2625="!!!",F2625="NEW"),"",INDEX(J$1:J2624,SUMPRODUCT(MAX(ROW(E$1:E2624)*(E2625=E$1:E2624)))))</f>
        <v> </v>
      </c>
      <c r="L2625" s="27"/>
    </row>
    <row r="2626" spans="1:12">
      <c r="A2626" s="20"/>
    </row>
    <row r="2627" spans="1:12">
      <c r="A2627" s="20" t="s">
        <v>1740</v>
      </c>
    </row>
    <row r="2628" spans="1:12">
      <c r="A2628" s="20" t="s">
        <v>936</v>
      </c>
      <c r="B2628" s="21" t="s">
        <v>578</v>
      </c>
      <c r="C2628" s="21" t="s">
        <v>613</v>
      </c>
      <c r="D2628" s="21" t="s">
        <v>587</v>
      </c>
      <c r="E2628" s="22">
        <f>IF(D2628="?OLD","!!!","")</f>
        <v/>
      </c>
      <c r="F2628" s="23" t="str">
        <f>IF(OR(E2628="",E2628="!!!"),"",IF(NOT(ISNA(VLOOKUP(E2628,E$1:E2627,1,FALSE()))),"OLD",IF(AND(E2628&lt;&gt;"",E2628&lt;&gt;"!!!"),"NEW","")))</f>
        <v> </v>
      </c>
      <c r="G2628" s="24" t="str">
        <f>IF(OR(E2628="",E2628="!!!"),"",IF(OR(J2628=0,AND(J2628=1,K2628=1),AND(J2628=1,I2628="SBJ"),AND(J2628=1,I2628=0)),"?IN_FOCUS",IF(J2628&lt;=2,"?ACTIVATED",IF(J2628&lt;&gt;"","?FAMILIAR",IF(F2628="NEW",IF(ISNA(VLOOKUP(E2628,#REF!,1,FALSE())),"?TYPE_IDENTIFIABLE","?REFERENTIAL"),"_")))))</f>
        <v> </v>
      </c>
      <c r="H2628" s="25" t="str">
        <f>IF(J2628&lt;&gt;1,"",IF(I2628="SBJ","CB","?"))</f>
        <v> </v>
      </c>
      <c r="I2628" s="26" t="str">
        <f>IF(OR(E2628="",E2628="!!!",F2628="NEW"),"",INDEX(B2627:B$2,-1+SUMPRODUCT(MAX(ROW(E2627:E$2)*(E2628=E2627:E$2)))))</f>
        <v> </v>
      </c>
      <c r="J2628" s="26" t="str">
        <f>IF(OR(E2628="",E2628="!!!",F2628="NEW"),"",COUNTBLANK(OFFSET(A$1,,,SUMPRODUCT(MAX(ROW(E$2:E2628)*(E2628=E$2:E2628)))))-COUNTBLANK(OFFSET(A$1,,,SUMPRODUCT(MAX(ROW(E$1:E2627)*(E2=E$1:E2627))))))</f>
        <v> </v>
      </c>
      <c r="K2628" s="26" t="str">
        <f>IF(OR(E2628="",E2628="!!!",F2628="NEW"),"",INDEX(J$1:J2627,SUMPRODUCT(MAX(ROW(E$1:E2627)*(E2628=E$1:E2627)))))</f>
        <v> </v>
      </c>
      <c r="L2628" s="27"/>
    </row>
    <row r="2629" spans="1:12">
      <c r="A2629" s="20" t="s">
        <v>1741</v>
      </c>
      <c r="E2629" s="22">
        <f>IF(D2629="?OLD","!!!","")</f>
        <v/>
      </c>
      <c r="F2629" s="23" t="str">
        <f>IF(OR(E2629="",E2629="!!!"),"",IF(NOT(ISNA(VLOOKUP(E2629,E$1:E2628,1,FALSE()))),"OLD",IF(AND(E2629&lt;&gt;"",E2629&lt;&gt;"!!!"),"NEW","")))</f>
        <v> </v>
      </c>
      <c r="G2629" s="24" t="str">
        <f>IF(OR(E2629="",E2629="!!!"),"",IF(OR(J2629=0,AND(J2629=1,K2629=1),AND(J2629=1,I2629="SBJ"),AND(J2629=1,I2629=0)),"?IN_FOCUS",IF(J2629&lt;=2,"?ACTIVATED",IF(J2629&lt;&gt;"","?FAMILIAR",IF(F2629="NEW",IF(ISNA(VLOOKUP(E2629,#REF!,1,FALSE())),"?TYPE_IDENTIFIABLE","?REFERENTIAL"),"_")))))</f>
        <v> </v>
      </c>
      <c r="H2629" s="25" t="str">
        <f>IF(J2629&lt;&gt;1,"",IF(I2629="SBJ","CB","?"))</f>
        <v> </v>
      </c>
      <c r="I2629" s="26" t="str">
        <f>IF(OR(E2629="",E2629="!!!",F2629="NEW"),"",INDEX(B2628:B$2,-1+SUMPRODUCT(MAX(ROW(E2628:E$2)*(E2629=E2628:E$2)))))</f>
        <v> </v>
      </c>
      <c r="J2629" s="26" t="str">
        <f>IF(OR(E2629="",E2629="!!!",F2629="NEW"),"",COUNTBLANK(OFFSET(A$1,,,SUMPRODUCT(MAX(ROW(E$2:E2629)*(E2629=E$2:E2629)))))-COUNTBLANK(OFFSET(A$1,,,SUMPRODUCT(MAX(ROW(E$1:E2628)*(E2=E$1:E2628))))))</f>
        <v> </v>
      </c>
      <c r="K2629" s="26" t="str">
        <f>IF(OR(E2629="",E2629="!!!",F2629="NEW"),"",INDEX(J$1:J2628,SUMPRODUCT(MAX(ROW(E$1:E2628)*(E2629=E$1:E2628)))))</f>
        <v> </v>
      </c>
      <c r="L2629" s="27"/>
    </row>
    <row r="2630" spans="1:12">
      <c r="A2630" s="20" t="s">
        <v>583</v>
      </c>
      <c r="E2630" s="22">
        <f>IF(D2630="?OLD","!!!","")</f>
        <v/>
      </c>
      <c r="F2630" s="23" t="str">
        <f>IF(OR(E2630="",E2630="!!!"),"",IF(NOT(ISNA(VLOOKUP(E2630,E$1:E2629,1,FALSE()))),"OLD",IF(AND(E2630&lt;&gt;"",E2630&lt;&gt;"!!!"),"NEW","")))</f>
        <v> </v>
      </c>
      <c r="G2630" s="24" t="str">
        <f>IF(OR(E2630="",E2630="!!!"),"",IF(OR(J2630=0,AND(J2630=1,K2630=1),AND(J2630=1,I2630="SBJ"),AND(J2630=1,I2630=0)),"?IN_FOCUS",IF(J2630&lt;=2,"?ACTIVATED",IF(J2630&lt;&gt;"","?FAMILIAR",IF(F2630="NEW",IF(ISNA(VLOOKUP(E2630,#REF!,1,FALSE())),"?TYPE_IDENTIFIABLE","?REFERENTIAL"),"_")))))</f>
        <v> </v>
      </c>
      <c r="H2630" s="25" t="str">
        <f>IF(J2630&lt;&gt;1,"",IF(I2630="SBJ","CB","?"))</f>
        <v> </v>
      </c>
      <c r="I2630" s="26" t="str">
        <f>IF(OR(E2630="",E2630="!!!",F2630="NEW"),"",INDEX(B2629:B$2,-1+SUMPRODUCT(MAX(ROW(E2629:E$2)*(E2630=E2629:E$2)))))</f>
        <v> </v>
      </c>
      <c r="J2630" s="26" t="str">
        <f>IF(OR(E2630="",E2630="!!!",F2630="NEW"),"",COUNTBLANK(OFFSET(A$1,,,SUMPRODUCT(MAX(ROW(E$2:E2630)*(E2630=E$2:E2630)))))-COUNTBLANK(OFFSET(A$1,,,SUMPRODUCT(MAX(ROW(E$1:E2629)*(E2=E$1:E2629))))))</f>
        <v> </v>
      </c>
      <c r="K2630" s="26" t="str">
        <f>IF(OR(E2630="",E2630="!!!",F2630="NEW"),"",INDEX(J$1:J2629,SUMPRODUCT(MAX(ROW(E$1:E2629)*(E2630=E$1:E2629)))))</f>
        <v> </v>
      </c>
      <c r="L2630" s="27"/>
    </row>
    <row r="2631" spans="1:12">
      <c r="A2631" s="20" t="s">
        <v>369</v>
      </c>
      <c r="E2631" s="22">
        <f>IF(D2631="?OLD","!!!","")</f>
        <v/>
      </c>
      <c r="F2631" s="23" t="str">
        <f>IF(OR(E2631="",E2631="!!!"),"",IF(NOT(ISNA(VLOOKUP(E2631,E$1:E2630,1,FALSE()))),"OLD",IF(AND(E2631&lt;&gt;"",E2631&lt;&gt;"!!!"),"NEW","")))</f>
        <v> </v>
      </c>
      <c r="G2631" s="24" t="str">
        <f>IF(OR(E2631="",E2631="!!!"),"",IF(OR(J2631=0,AND(J2631=1,K2631=1),AND(J2631=1,I2631="SBJ"),AND(J2631=1,I2631=0)),"?IN_FOCUS",IF(J2631&lt;=2,"?ACTIVATED",IF(J2631&lt;&gt;"","?FAMILIAR",IF(F2631="NEW",IF(ISNA(VLOOKUP(E2631,#REF!,1,FALSE())),"?TYPE_IDENTIFIABLE","?REFERENTIAL"),"_")))))</f>
        <v> </v>
      </c>
      <c r="H2631" s="25" t="str">
        <f>IF(J2631&lt;&gt;1,"",IF(I2631="SBJ","CB","?"))</f>
        <v> </v>
      </c>
      <c r="I2631" s="26" t="str">
        <f>IF(OR(E2631="",E2631="!!!",F2631="NEW"),"",INDEX(B2630:B$2,-1+SUMPRODUCT(MAX(ROW(E2630:E$2)*(E2631=E2630:E$2)))))</f>
        <v> </v>
      </c>
      <c r="J2631" s="26" t="str">
        <f>IF(OR(E2631="",E2631="!!!",F2631="NEW"),"",COUNTBLANK(OFFSET(A$1,,,SUMPRODUCT(MAX(ROW(E$2:E2631)*(E2631=E$2:E2631)))))-COUNTBLANK(OFFSET(A$1,,,SUMPRODUCT(MAX(ROW(E$1:E2630)*(E2=E$1:E2630))))))</f>
        <v> </v>
      </c>
      <c r="K2631" s="26" t="str">
        <f>IF(OR(E2631="",E2631="!!!",F2631="NEW"),"",INDEX(J$1:J2630,SUMPRODUCT(MAX(ROW(E$1:E2630)*(E2631=E$1:E2630)))))</f>
        <v> </v>
      </c>
      <c r="L2631" s="27"/>
    </row>
    <row r="2632" spans="1:12">
      <c r="A2632" s="20" t="s">
        <v>1303</v>
      </c>
      <c r="B2632" s="21" t="s">
        <v>892</v>
      </c>
      <c r="C2632" s="21" t="s">
        <v>613</v>
      </c>
      <c r="D2632" s="21" t="s">
        <v>587</v>
      </c>
      <c r="E2632" s="22">
        <f>IF(D2632="?OLD","!!!","")</f>
        <v/>
      </c>
      <c r="F2632" s="23" t="str">
        <f>IF(OR(E2632="",E2632="!!!"),"",IF(NOT(ISNA(VLOOKUP(E2632,E$1:E2631,1,FALSE()))),"OLD",IF(AND(E2632&lt;&gt;"",E2632&lt;&gt;"!!!"),"NEW","")))</f>
        <v> </v>
      </c>
      <c r="G2632" s="24" t="str">
        <f>IF(OR(E2632="",E2632="!!!"),"",IF(OR(J2632=0,AND(J2632=1,K2632=1),AND(J2632=1,I2632="SBJ"),AND(J2632=1,I2632=0)),"?IN_FOCUS",IF(J2632&lt;=2,"?ACTIVATED",IF(J2632&lt;&gt;"","?FAMILIAR",IF(F2632="NEW",IF(ISNA(VLOOKUP(E2632,#REF!,1,FALSE())),"?TYPE_IDENTIFIABLE","?REFERENTIAL"),"_")))))</f>
        <v> </v>
      </c>
      <c r="H2632" s="25" t="str">
        <f>IF(J2632&lt;&gt;1,"",IF(I2632="SBJ","CB","?"))</f>
        <v> </v>
      </c>
      <c r="I2632" s="26" t="str">
        <f>IF(OR(E2632="",E2632="!!!",F2632="NEW"),"",INDEX(B2631:B$2,-1+SUMPRODUCT(MAX(ROW(E2631:E$2)*(E2632=E2631:E$2)))))</f>
        <v> </v>
      </c>
      <c r="J2632" s="26" t="str">
        <f>IF(OR(E2632="",E2632="!!!",F2632="NEW"),"",COUNTBLANK(OFFSET(A$1,,,SUMPRODUCT(MAX(ROW(E$2:E2632)*(E2632=E$2:E2632)))))-COUNTBLANK(OFFSET(A$1,,,SUMPRODUCT(MAX(ROW(E$1:E2631)*(E2=E$1:E2631))))))</f>
        <v> </v>
      </c>
      <c r="K2632" s="26" t="str">
        <f>IF(OR(E2632="",E2632="!!!",F2632="NEW"),"",INDEX(J$1:J2631,SUMPRODUCT(MAX(ROW(E$1:E2631)*(E2632=E$1:E2631)))))</f>
        <v> </v>
      </c>
      <c r="L2632" s="27"/>
    </row>
    <row r="2633" spans="1:12">
      <c r="A2633" s="20" t="s">
        <v>1742</v>
      </c>
      <c r="E2633" s="22">
        <f>IF(D2633="?OLD","!!!","")</f>
        <v/>
      </c>
      <c r="F2633" s="23" t="str">
        <f>IF(OR(E2633="",E2633="!!!"),"",IF(NOT(ISNA(VLOOKUP(E2633,E$1:E2632,1,FALSE()))),"OLD",IF(AND(E2633&lt;&gt;"",E2633&lt;&gt;"!!!"),"NEW","")))</f>
        <v> </v>
      </c>
      <c r="G2633" s="24" t="str">
        <f>IF(OR(E2633="",E2633="!!!"),"",IF(OR(J2633=0,AND(J2633=1,K2633=1),AND(J2633=1,I2633="SBJ"),AND(J2633=1,I2633=0)),"?IN_FOCUS",IF(J2633&lt;=2,"?ACTIVATED",IF(J2633&lt;&gt;"","?FAMILIAR",IF(F2633="NEW",IF(ISNA(VLOOKUP(E2633,#REF!,1,FALSE())),"?TYPE_IDENTIFIABLE","?REFERENTIAL"),"_")))))</f>
        <v> </v>
      </c>
      <c r="H2633" s="25" t="str">
        <f>IF(J2633&lt;&gt;1,"",IF(I2633="SBJ","CB","?"))</f>
        <v> </v>
      </c>
      <c r="I2633" s="26" t="str">
        <f>IF(OR(E2633="",E2633="!!!",F2633="NEW"),"",INDEX(B2632:B$2,-1+SUMPRODUCT(MAX(ROW(E2632:E$2)*(E2633=E2632:E$2)))))</f>
        <v> </v>
      </c>
      <c r="J2633" s="26" t="str">
        <f>IF(OR(E2633="",E2633="!!!",F2633="NEW"),"",COUNTBLANK(OFFSET(A$1,,,SUMPRODUCT(MAX(ROW(E$2:E2633)*(E2633=E$2:E2633)))))-COUNTBLANK(OFFSET(A$1,,,SUMPRODUCT(MAX(ROW(E$1:E2632)*(E2=E$1:E2632))))))</f>
        <v> </v>
      </c>
      <c r="K2633" s="26" t="str">
        <f>IF(OR(E2633="",E2633="!!!",F2633="NEW"),"",INDEX(J$1:J2632,SUMPRODUCT(MAX(ROW(E$1:E2632)*(E2633=E$1:E2632)))))</f>
        <v> </v>
      </c>
      <c r="L2633" s="27"/>
    </row>
    <row r="2634" spans="1:12">
      <c r="A2634" s="20" t="s">
        <v>1743</v>
      </c>
      <c r="E2634" s="22">
        <f>IF(D2634="?OLD","!!!","")</f>
        <v/>
      </c>
      <c r="F2634" s="23" t="str">
        <f>IF(OR(E2634="",E2634="!!!"),"",IF(NOT(ISNA(VLOOKUP(E2634,E$1:E2633,1,FALSE()))),"OLD",IF(AND(E2634&lt;&gt;"",E2634&lt;&gt;"!!!"),"NEW","")))</f>
        <v> </v>
      </c>
      <c r="G2634" s="24" t="str">
        <f>IF(OR(E2634="",E2634="!!!"),"",IF(OR(J2634=0,AND(J2634=1,K2634=1),AND(J2634=1,I2634="SBJ"),AND(J2634=1,I2634=0)),"?IN_FOCUS",IF(J2634&lt;=2,"?ACTIVATED",IF(J2634&lt;&gt;"","?FAMILIAR",IF(F2634="NEW",IF(ISNA(VLOOKUP(E2634,#REF!,1,FALSE())),"?TYPE_IDENTIFIABLE","?REFERENTIAL"),"_")))))</f>
        <v> </v>
      </c>
      <c r="H2634" s="25" t="str">
        <f>IF(J2634&lt;&gt;1,"",IF(I2634="SBJ","CB","?"))</f>
        <v> </v>
      </c>
      <c r="I2634" s="26" t="str">
        <f>IF(OR(E2634="",E2634="!!!",F2634="NEW"),"",INDEX(B2633:B$2,-1+SUMPRODUCT(MAX(ROW(E2633:E$2)*(E2634=E2633:E$2)))))</f>
        <v> </v>
      </c>
      <c r="J2634" s="26" t="str">
        <f>IF(OR(E2634="",E2634="!!!",F2634="NEW"),"",COUNTBLANK(OFFSET(A$1,,,SUMPRODUCT(MAX(ROW(E$2:E2634)*(E2634=E$2:E2634)))))-COUNTBLANK(OFFSET(A$1,,,SUMPRODUCT(MAX(ROW(E$1:E2633)*(E2=E$1:E2633))))))</f>
        <v> </v>
      </c>
      <c r="K2634" s="26" t="str">
        <f>IF(OR(E2634="",E2634="!!!",F2634="NEW"),"",INDEX(J$1:J2633,SUMPRODUCT(MAX(ROW(E$1:E2633)*(E2634=E$1:E2633)))))</f>
        <v> </v>
      </c>
      <c r="L2634" s="27"/>
    </row>
    <row r="2635" spans="1:12">
      <c r="A2635" s="20" t="s">
        <v>580</v>
      </c>
      <c r="E2635" s="22">
        <f>IF(D2635="?OLD","!!!","")</f>
        <v/>
      </c>
      <c r="F2635" s="23" t="str">
        <f>IF(OR(E2635="",E2635="!!!"),"",IF(NOT(ISNA(VLOOKUP(E2635,E$1:E2634,1,FALSE()))),"OLD",IF(AND(E2635&lt;&gt;"",E2635&lt;&gt;"!!!"),"NEW","")))</f>
        <v> </v>
      </c>
      <c r="G2635" s="24" t="str">
        <f>IF(OR(E2635="",E2635="!!!"),"",IF(OR(J2635=0,AND(J2635=1,K2635=1),AND(J2635=1,I2635="SBJ"),AND(J2635=1,I2635=0)),"?IN_FOCUS",IF(J2635&lt;=2,"?ACTIVATED",IF(J2635&lt;&gt;"","?FAMILIAR",IF(F2635="NEW",IF(ISNA(VLOOKUP(E2635,#REF!,1,FALSE())),"?TYPE_IDENTIFIABLE","?REFERENTIAL"),"_")))))</f>
        <v> </v>
      </c>
      <c r="H2635" s="25" t="str">
        <f>IF(J2635&lt;&gt;1,"",IF(I2635="SBJ","CB","?"))</f>
        <v> </v>
      </c>
      <c r="I2635" s="26" t="str">
        <f>IF(OR(E2635="",E2635="!!!",F2635="NEW"),"",INDEX(B2634:B$2,-1+SUMPRODUCT(MAX(ROW(E2634:E$2)*(E2635=E2634:E$2)))))</f>
        <v> </v>
      </c>
      <c r="J2635" s="26" t="str">
        <f>IF(OR(E2635="",E2635="!!!",F2635="NEW"),"",COUNTBLANK(OFFSET(A$1,,,SUMPRODUCT(MAX(ROW(E$2:E2635)*(E2635=E$2:E2635)))))-COUNTBLANK(OFFSET(A$1,,,SUMPRODUCT(MAX(ROW(E$1:E2634)*(E2=E$1:E2634))))))</f>
        <v> </v>
      </c>
      <c r="K2635" s="26" t="str">
        <f>IF(OR(E2635="",E2635="!!!",F2635="NEW"),"",INDEX(J$1:J2634,SUMPRODUCT(MAX(ROW(E$1:E2634)*(E2635=E$1:E2634)))))</f>
        <v> </v>
      </c>
      <c r="L2635" s="27"/>
    </row>
    <row r="2636" spans="1:12">
      <c r="A2636" s="20" t="s">
        <v>1744</v>
      </c>
      <c r="E2636" s="22">
        <f>IF(D2636="?OLD","!!!","")</f>
        <v/>
      </c>
      <c r="F2636" s="23" t="str">
        <f>IF(OR(E2636="",E2636="!!!"),"",IF(NOT(ISNA(VLOOKUP(E2636,E$1:E2635,1,FALSE()))),"OLD",IF(AND(E2636&lt;&gt;"",E2636&lt;&gt;"!!!"),"NEW","")))</f>
        <v> </v>
      </c>
      <c r="G2636" s="24" t="str">
        <f>IF(OR(E2636="",E2636="!!!"),"",IF(OR(J2636=0,AND(J2636=1,K2636=1),AND(J2636=1,I2636="SBJ"),AND(J2636=1,I2636=0)),"?IN_FOCUS",IF(J2636&lt;=2,"?ACTIVATED",IF(J2636&lt;&gt;"","?FAMILIAR",IF(F2636="NEW",IF(ISNA(VLOOKUP(E2636,#REF!,1,FALSE())),"?TYPE_IDENTIFIABLE","?REFERENTIAL"),"_")))))</f>
        <v> </v>
      </c>
      <c r="H2636" s="25" t="str">
        <f>IF(J2636&lt;&gt;1,"",IF(I2636="SBJ","CB","?"))</f>
        <v> </v>
      </c>
      <c r="I2636" s="26" t="str">
        <f>IF(OR(E2636="",E2636="!!!",F2636="NEW"),"",INDEX(B2635:B$2,-1+SUMPRODUCT(MAX(ROW(E2635:E$2)*(E2636=E2635:E$2)))))</f>
        <v> </v>
      </c>
      <c r="J2636" s="26" t="str">
        <f>IF(OR(E2636="",E2636="!!!",F2636="NEW"),"",COUNTBLANK(OFFSET(A$1,,,SUMPRODUCT(MAX(ROW(E$2:E2636)*(E2636=E$2:E2636)))))-COUNTBLANK(OFFSET(A$1,,,SUMPRODUCT(MAX(ROW(E$1:E2635)*(E2=E$1:E2635))))))</f>
        <v> </v>
      </c>
      <c r="K2636" s="26" t="str">
        <f>IF(OR(E2636="",E2636="!!!",F2636="NEW"),"",INDEX(J$1:J2635,SUMPRODUCT(MAX(ROW(E$1:E2635)*(E2636=E$1:E2635)))))</f>
        <v> </v>
      </c>
      <c r="L2636" s="27"/>
    </row>
    <row r="2637" spans="1:12">
      <c r="A2637" s="20" t="s">
        <v>1745</v>
      </c>
      <c r="E2637" s="22">
        <f>IF(D2637="?OLD","!!!","")</f>
        <v/>
      </c>
      <c r="F2637" s="23" t="str">
        <f>IF(OR(E2637="",E2637="!!!"),"",IF(NOT(ISNA(VLOOKUP(E2637,E$1:E2636,1,FALSE()))),"OLD",IF(AND(E2637&lt;&gt;"",E2637&lt;&gt;"!!!"),"NEW","")))</f>
        <v> </v>
      </c>
      <c r="G2637" s="24" t="str">
        <f>IF(OR(E2637="",E2637="!!!"),"",IF(OR(J2637=0,AND(J2637=1,K2637=1),AND(J2637=1,I2637="SBJ"),AND(J2637=1,I2637=0)),"?IN_FOCUS",IF(J2637&lt;=2,"?ACTIVATED",IF(J2637&lt;&gt;"","?FAMILIAR",IF(F2637="NEW",IF(ISNA(VLOOKUP(E2637,#REF!,1,FALSE())),"?TYPE_IDENTIFIABLE","?REFERENTIAL"),"_")))))</f>
        <v> </v>
      </c>
      <c r="H2637" s="25" t="str">
        <f>IF(J2637&lt;&gt;1,"",IF(I2637="SBJ","CB","?"))</f>
        <v> </v>
      </c>
      <c r="I2637" s="26" t="str">
        <f>IF(OR(E2637="",E2637="!!!",F2637="NEW"),"",INDEX(B2636:B$2,-1+SUMPRODUCT(MAX(ROW(E2636:E$2)*(E2637=E2636:E$2)))))</f>
        <v> </v>
      </c>
      <c r="J2637" s="26" t="str">
        <f>IF(OR(E2637="",E2637="!!!",F2637="NEW"),"",COUNTBLANK(OFFSET(A$1,,,SUMPRODUCT(MAX(ROW(E$2:E2637)*(E2637=E$2:E2637)))))-COUNTBLANK(OFFSET(A$1,,,SUMPRODUCT(MAX(ROW(E$1:E2636)*(E2=E$1:E2636))))))</f>
        <v> </v>
      </c>
      <c r="K2637" s="26" t="str">
        <f>IF(OR(E2637="",E2637="!!!",F2637="NEW"),"",INDEX(J$1:J2636,SUMPRODUCT(MAX(ROW(E$1:E2636)*(E2637=E$1:E2636)))))</f>
        <v> </v>
      </c>
      <c r="L2637" s="27"/>
    </row>
    <row r="2638" spans="1:12">
      <c r="A2638" s="20" t="s">
        <v>592</v>
      </c>
      <c r="E2638" s="22">
        <f>IF(D2638="?OLD","!!!","")</f>
        <v/>
      </c>
      <c r="F2638" s="23" t="str">
        <f>IF(OR(E2638="",E2638="!!!"),"",IF(NOT(ISNA(VLOOKUP(E2638,E$1:E2637,1,FALSE()))),"OLD",IF(AND(E2638&lt;&gt;"",E2638&lt;&gt;"!!!"),"NEW","")))</f>
        <v> </v>
      </c>
      <c r="G2638" s="24" t="str">
        <f>IF(OR(E2638="",E2638="!!!"),"",IF(OR(J2638=0,AND(J2638=1,K2638=1),AND(J2638=1,I2638="SBJ"),AND(J2638=1,I2638=0)),"?IN_FOCUS",IF(J2638&lt;=2,"?ACTIVATED",IF(J2638&lt;&gt;"","?FAMILIAR",IF(F2638="NEW",IF(ISNA(VLOOKUP(E2638,#REF!,1,FALSE())),"?TYPE_IDENTIFIABLE","?REFERENTIAL"),"_")))))</f>
        <v> </v>
      </c>
      <c r="H2638" s="25" t="str">
        <f>IF(J2638&lt;&gt;1,"",IF(I2638="SBJ","CB","?"))</f>
        <v> </v>
      </c>
      <c r="I2638" s="26" t="str">
        <f>IF(OR(E2638="",E2638="!!!",F2638="NEW"),"",INDEX(B2637:B$2,-1+SUMPRODUCT(MAX(ROW(E2637:E$2)*(E2638=E2637:E$2)))))</f>
        <v> </v>
      </c>
      <c r="J2638" s="26" t="str">
        <f>IF(OR(E2638="",E2638="!!!",F2638="NEW"),"",COUNTBLANK(OFFSET(A$1,,,SUMPRODUCT(MAX(ROW(E$2:E2638)*(E2638=E$2:E2638)))))-COUNTBLANK(OFFSET(A$1,,,SUMPRODUCT(MAX(ROW(E$1:E2637)*(E2=E$1:E2637))))))</f>
        <v> </v>
      </c>
      <c r="K2638" s="26" t="str">
        <f>IF(OR(E2638="",E2638="!!!",F2638="NEW"),"",INDEX(J$1:J2637,SUMPRODUCT(MAX(ROW(E$1:E2637)*(E2638=E$1:E2637)))))</f>
        <v> </v>
      </c>
      <c r="L2638" s="27"/>
    </row>
    <row r="2639" spans="1:12">
      <c r="A2639" s="20"/>
    </row>
    <row r="2640" spans="1:12">
      <c r="A2640" s="20" t="s">
        <v>1746</v>
      </c>
    </row>
    <row r="2641" spans="1:12">
      <c r="A2641" s="20" t="s">
        <v>706</v>
      </c>
      <c r="E2641" s="22">
        <f>IF(D2641="?OLD","!!!","")</f>
        <v/>
      </c>
      <c r="F2641" s="23" t="str">
        <f>IF(OR(E2641="",E2641="!!!"),"",IF(NOT(ISNA(VLOOKUP(E2641,E$1:E2640,1,FALSE()))),"OLD",IF(AND(E2641&lt;&gt;"",E2641&lt;&gt;"!!!"),"NEW","")))</f>
        <v> </v>
      </c>
      <c r="G2641" s="24" t="str">
        <f>IF(OR(E2641="",E2641="!!!"),"",IF(OR(J2641=0,AND(J2641=1,K2641=1),AND(J2641=1,I2641="SBJ"),AND(J2641=1,I2641=0)),"?IN_FOCUS",IF(J2641&lt;=2,"?ACTIVATED",IF(J2641&lt;&gt;"","?FAMILIAR",IF(F2641="NEW",IF(ISNA(VLOOKUP(E2641,#REF!,1,FALSE())),"?TYPE_IDENTIFIABLE","?REFERENTIAL"),"_")))))</f>
        <v> </v>
      </c>
      <c r="H2641" s="25" t="str">
        <f>IF(J2641&lt;&gt;1,"",IF(I2641="SBJ","CB","?"))</f>
        <v> </v>
      </c>
      <c r="I2641" s="26" t="str">
        <f>IF(OR(E2641="",E2641="!!!",F2641="NEW"),"",INDEX(B2640:B$2,-1+SUMPRODUCT(MAX(ROW(E2640:E$2)*(E2641=E2640:E$2)))))</f>
        <v> </v>
      </c>
      <c r="J2641" s="26" t="str">
        <f>IF(OR(E2641="",E2641="!!!",F2641="NEW"),"",COUNTBLANK(OFFSET(A$1,,,SUMPRODUCT(MAX(ROW(E$2:E2641)*(E2641=E$2:E2641)))))-COUNTBLANK(OFFSET(A$1,,,SUMPRODUCT(MAX(ROW(E$1:E2640)*(E2=E$1:E2640))))))</f>
        <v> </v>
      </c>
      <c r="K2641" s="26" t="str">
        <f>IF(OR(E2641="",E2641="!!!",F2641="NEW"),"",INDEX(J$1:J2640,SUMPRODUCT(MAX(ROW(E$1:E2640)*(E2641=E$1:E2640)))))</f>
        <v> </v>
      </c>
      <c r="L2641" s="27"/>
    </row>
    <row r="2642" spans="1:12">
      <c r="A2642" s="20" t="s">
        <v>584</v>
      </c>
      <c r="E2642" s="22">
        <f>IF(D2642="?OLD","!!!","")</f>
        <v/>
      </c>
      <c r="F2642" s="23" t="str">
        <f>IF(OR(E2642="",E2642="!!!"),"",IF(NOT(ISNA(VLOOKUP(E2642,E$1:E2641,1,FALSE()))),"OLD",IF(AND(E2642&lt;&gt;"",E2642&lt;&gt;"!!!"),"NEW","")))</f>
        <v> </v>
      </c>
      <c r="G2642" s="24" t="str">
        <f>IF(OR(E2642="",E2642="!!!"),"",IF(OR(J2642=0,AND(J2642=1,K2642=1),AND(J2642=1,I2642="SBJ"),AND(J2642=1,I2642=0)),"?IN_FOCUS",IF(J2642&lt;=2,"?ACTIVATED",IF(J2642&lt;&gt;"","?FAMILIAR",IF(F2642="NEW",IF(ISNA(VLOOKUP(E2642,#REF!,1,FALSE())),"?TYPE_IDENTIFIABLE","?REFERENTIAL"),"_")))))</f>
        <v> </v>
      </c>
      <c r="H2642" s="25" t="str">
        <f>IF(J2642&lt;&gt;1,"",IF(I2642="SBJ","CB","?"))</f>
        <v> </v>
      </c>
      <c r="I2642" s="26" t="str">
        <f>IF(OR(E2642="",E2642="!!!",F2642="NEW"),"",INDEX(B2641:B$2,-1+SUMPRODUCT(MAX(ROW(E2641:E$2)*(E2642=E2641:E$2)))))</f>
        <v> </v>
      </c>
      <c r="J2642" s="26" t="str">
        <f>IF(OR(E2642="",E2642="!!!",F2642="NEW"),"",COUNTBLANK(OFFSET(A$1,,,SUMPRODUCT(MAX(ROW(E$2:E2642)*(E2642=E$2:E2642)))))-COUNTBLANK(OFFSET(A$1,,,SUMPRODUCT(MAX(ROW(E$1:E2641)*(E2=E$1:E2641))))))</f>
        <v> </v>
      </c>
      <c r="K2642" s="26" t="str">
        <f>IF(OR(E2642="",E2642="!!!",F2642="NEW"),"",INDEX(J$1:J2641,SUMPRODUCT(MAX(ROW(E$1:E2641)*(E2642=E$1:E2641)))))</f>
        <v> </v>
      </c>
      <c r="L2642" s="27"/>
    </row>
    <row r="2643" spans="1:12">
      <c r="A2643" s="20" t="s">
        <v>1747</v>
      </c>
      <c r="B2643" s="21" t="s">
        <v>651</v>
      </c>
      <c r="C2643" s="21" t="s">
        <v>709</v>
      </c>
      <c r="D2643" s="21" t="s">
        <v>587</v>
      </c>
      <c r="E2643" s="22">
        <f>IF(D2643="?OLD","!!!","")</f>
        <v/>
      </c>
      <c r="F2643" s="23" t="str">
        <f>IF(OR(E2643="",E2643="!!!"),"",IF(NOT(ISNA(VLOOKUP(E2643,E$1:E2642,1,FALSE()))),"OLD",IF(AND(E2643&lt;&gt;"",E2643&lt;&gt;"!!!"),"NEW","")))</f>
        <v> </v>
      </c>
      <c r="G2643" s="24" t="str">
        <f>IF(OR(E2643="",E2643="!!!"),"",IF(OR(J2643=0,AND(J2643=1,K2643=1),AND(J2643=1,I2643="SBJ"),AND(J2643=1,I2643=0)),"?IN_FOCUS",IF(J2643&lt;=2,"?ACTIVATED",IF(J2643&lt;&gt;"","?FAMILIAR",IF(F2643="NEW",IF(ISNA(VLOOKUP(E2643,#REF!,1,FALSE())),"?TYPE_IDENTIFIABLE","?REFERENTIAL"),"_")))))</f>
        <v> </v>
      </c>
      <c r="H2643" s="25" t="str">
        <f>IF(J2643&lt;&gt;1,"",IF(I2643="SBJ","CB","?"))</f>
        <v> </v>
      </c>
      <c r="I2643" s="26" t="str">
        <f>IF(OR(E2643="",E2643="!!!",F2643="NEW"),"",INDEX(B2642:B$2,-1+SUMPRODUCT(MAX(ROW(E2642:E$2)*(E2643=E2642:E$2)))))</f>
        <v> </v>
      </c>
      <c r="J2643" s="26" t="str">
        <f>IF(OR(E2643="",E2643="!!!",F2643="NEW"),"",COUNTBLANK(OFFSET(A$1,,,SUMPRODUCT(MAX(ROW(E$2:E2643)*(E2643=E$2:E2643)))))-COUNTBLANK(OFFSET(A$1,,,SUMPRODUCT(MAX(ROW(E$1:E2642)*(E2=E$1:E2642))))))</f>
        <v> </v>
      </c>
      <c r="K2643" s="26" t="str">
        <f>IF(OR(E2643="",E2643="!!!",F2643="NEW"),"",INDEX(J$1:J2642,SUMPRODUCT(MAX(ROW(E$1:E2642)*(E2643=E$1:E2642)))))</f>
        <v> </v>
      </c>
      <c r="L2643" s="27"/>
    </row>
    <row r="2644" spans="1:12">
      <c r="A2644" s="20" t="s">
        <v>688</v>
      </c>
      <c r="E2644" s="22">
        <f>IF(D2644="?OLD","!!!","")</f>
        <v/>
      </c>
      <c r="F2644" s="23" t="str">
        <f>IF(OR(E2644="",E2644="!!!"),"",IF(NOT(ISNA(VLOOKUP(E2644,E$1:E2643,1,FALSE()))),"OLD",IF(AND(E2644&lt;&gt;"",E2644&lt;&gt;"!!!"),"NEW","")))</f>
        <v> </v>
      </c>
      <c r="G2644" s="24" t="str">
        <f>IF(OR(E2644="",E2644="!!!"),"",IF(OR(J2644=0,AND(J2644=1,K2644=1),AND(J2644=1,I2644="SBJ"),AND(J2644=1,I2644=0)),"?IN_FOCUS",IF(J2644&lt;=2,"?ACTIVATED",IF(J2644&lt;&gt;"","?FAMILIAR",IF(F2644="NEW",IF(ISNA(VLOOKUP(E2644,#REF!,1,FALSE())),"?TYPE_IDENTIFIABLE","?REFERENTIAL"),"_")))))</f>
        <v> </v>
      </c>
      <c r="H2644" s="25" t="str">
        <f>IF(J2644&lt;&gt;1,"",IF(I2644="SBJ","CB","?"))</f>
        <v> </v>
      </c>
      <c r="I2644" s="26" t="str">
        <f>IF(OR(E2644="",E2644="!!!",F2644="NEW"),"",INDEX(B2643:B$2,-1+SUMPRODUCT(MAX(ROW(E2643:E$2)*(E2644=E2643:E$2)))))</f>
        <v> </v>
      </c>
      <c r="J2644" s="26" t="str">
        <f>IF(OR(E2644="",E2644="!!!",F2644="NEW"),"",COUNTBLANK(OFFSET(A$1,,,SUMPRODUCT(MAX(ROW(E$2:E2644)*(E2644=E$2:E2644)))))-COUNTBLANK(OFFSET(A$1,,,SUMPRODUCT(MAX(ROW(E$1:E2643)*(E2=E$1:E2643))))))</f>
        <v> </v>
      </c>
      <c r="K2644" s="26" t="str">
        <f>IF(OR(E2644="",E2644="!!!",F2644="NEW"),"",INDEX(J$1:J2643,SUMPRODUCT(MAX(ROW(E$1:E2643)*(E2644=E$1:E2643)))))</f>
        <v> </v>
      </c>
      <c r="L2644" s="27"/>
    </row>
    <row r="2645" spans="1:12">
      <c r="A2645" s="20" t="s">
        <v>1748</v>
      </c>
      <c r="E2645" s="22">
        <f>IF(D2645="?OLD","!!!","")</f>
        <v/>
      </c>
      <c r="F2645" s="23" t="str">
        <f>IF(OR(E2645="",E2645="!!!"),"",IF(NOT(ISNA(VLOOKUP(E2645,E$1:E2644,1,FALSE()))),"OLD",IF(AND(E2645&lt;&gt;"",E2645&lt;&gt;"!!!"),"NEW","")))</f>
        <v> </v>
      </c>
      <c r="G2645" s="24" t="str">
        <f>IF(OR(E2645="",E2645="!!!"),"",IF(OR(J2645=0,AND(J2645=1,K2645=1),AND(J2645=1,I2645="SBJ"),AND(J2645=1,I2645=0)),"?IN_FOCUS",IF(J2645&lt;=2,"?ACTIVATED",IF(J2645&lt;&gt;"","?FAMILIAR",IF(F2645="NEW",IF(ISNA(VLOOKUP(E2645,#REF!,1,FALSE())),"?TYPE_IDENTIFIABLE","?REFERENTIAL"),"_")))))</f>
        <v> </v>
      </c>
      <c r="H2645" s="25" t="str">
        <f>IF(J2645&lt;&gt;1,"",IF(I2645="SBJ","CB","?"))</f>
        <v> </v>
      </c>
      <c r="I2645" s="26" t="str">
        <f>IF(OR(E2645="",E2645="!!!",F2645="NEW"),"",INDEX(B2644:B$2,-1+SUMPRODUCT(MAX(ROW(E2644:E$2)*(E2645=E2644:E$2)))))</f>
        <v> </v>
      </c>
      <c r="J2645" s="26" t="str">
        <f>IF(OR(E2645="",E2645="!!!",F2645="NEW"),"",COUNTBLANK(OFFSET(A$1,,,SUMPRODUCT(MAX(ROW(E$2:E2645)*(E2645=E$2:E2645)))))-COUNTBLANK(OFFSET(A$1,,,SUMPRODUCT(MAX(ROW(E$1:E2644)*(E2=E$1:E2644))))))</f>
        <v> </v>
      </c>
      <c r="K2645" s="26" t="str">
        <f>IF(OR(E2645="",E2645="!!!",F2645="NEW"),"",INDEX(J$1:J2644,SUMPRODUCT(MAX(ROW(E$1:E2644)*(E2645=E$1:E2644)))))</f>
        <v> </v>
      </c>
      <c r="L2645" s="27"/>
    </row>
    <row r="2646" spans="1:12">
      <c r="A2646" s="20" t="s">
        <v>948</v>
      </c>
      <c r="E2646" s="22">
        <f>IF(D2646="?OLD","!!!","")</f>
        <v/>
      </c>
      <c r="F2646" s="23" t="str">
        <f>IF(OR(E2646="",E2646="!!!"),"",IF(NOT(ISNA(VLOOKUP(E2646,E$1:E2645,1,FALSE()))),"OLD",IF(AND(E2646&lt;&gt;"",E2646&lt;&gt;"!!!"),"NEW","")))</f>
        <v> </v>
      </c>
      <c r="G2646" s="24" t="str">
        <f>IF(OR(E2646="",E2646="!!!"),"",IF(OR(J2646=0,AND(J2646=1,K2646=1),AND(J2646=1,I2646="SBJ"),AND(J2646=1,I2646=0)),"?IN_FOCUS",IF(J2646&lt;=2,"?ACTIVATED",IF(J2646&lt;&gt;"","?FAMILIAR",IF(F2646="NEW",IF(ISNA(VLOOKUP(E2646,#REF!,1,FALSE())),"?TYPE_IDENTIFIABLE","?REFERENTIAL"),"_")))))</f>
        <v> </v>
      </c>
      <c r="H2646" s="25" t="str">
        <f>IF(J2646&lt;&gt;1,"",IF(I2646="SBJ","CB","?"))</f>
        <v> </v>
      </c>
      <c r="I2646" s="26" t="str">
        <f>IF(OR(E2646="",E2646="!!!",F2646="NEW"),"",INDEX(B2645:B$2,-1+SUMPRODUCT(MAX(ROW(E2645:E$2)*(E2646=E2645:E$2)))))</f>
        <v> </v>
      </c>
      <c r="J2646" s="26" t="str">
        <f>IF(OR(E2646="",E2646="!!!",F2646="NEW"),"",COUNTBLANK(OFFSET(A$1,,,SUMPRODUCT(MAX(ROW(E$2:E2646)*(E2646=E$2:E2646)))))-COUNTBLANK(OFFSET(A$1,,,SUMPRODUCT(MAX(ROW(E$1:E2645)*(E2=E$1:E2645))))))</f>
        <v> </v>
      </c>
      <c r="K2646" s="26" t="str">
        <f>IF(OR(E2646="",E2646="!!!",F2646="NEW"),"",INDEX(J$1:J2645,SUMPRODUCT(MAX(ROW(E$1:E2645)*(E2646=E$1:E2645)))))</f>
        <v> </v>
      </c>
      <c r="L2646" s="27"/>
    </row>
    <row r="2647" spans="1:12">
      <c r="A2647" s="20" t="s">
        <v>1749</v>
      </c>
      <c r="E2647" s="22">
        <f>IF(D2647="?OLD","!!!","")</f>
        <v/>
      </c>
      <c r="F2647" s="23" t="str">
        <f>IF(OR(E2647="",E2647="!!!"),"",IF(NOT(ISNA(VLOOKUP(E2647,E$1:E2646,1,FALSE()))),"OLD",IF(AND(E2647&lt;&gt;"",E2647&lt;&gt;"!!!"),"NEW","")))</f>
        <v> </v>
      </c>
      <c r="G2647" s="24" t="str">
        <f>IF(OR(E2647="",E2647="!!!"),"",IF(OR(J2647=0,AND(J2647=1,K2647=1),AND(J2647=1,I2647="SBJ"),AND(J2647=1,I2647=0)),"?IN_FOCUS",IF(J2647&lt;=2,"?ACTIVATED",IF(J2647&lt;&gt;"","?FAMILIAR",IF(F2647="NEW",IF(ISNA(VLOOKUP(E2647,#REF!,1,FALSE())),"?TYPE_IDENTIFIABLE","?REFERENTIAL"),"_")))))</f>
        <v> </v>
      </c>
      <c r="H2647" s="25" t="str">
        <f>IF(J2647&lt;&gt;1,"",IF(I2647="SBJ","CB","?"))</f>
        <v> </v>
      </c>
      <c r="I2647" s="26" t="str">
        <f>IF(OR(E2647="",E2647="!!!",F2647="NEW"),"",INDEX(B2646:B$2,-1+SUMPRODUCT(MAX(ROW(E2646:E$2)*(E2647=E2646:E$2)))))</f>
        <v> </v>
      </c>
      <c r="J2647" s="26" t="str">
        <f>IF(OR(E2647="",E2647="!!!",F2647="NEW"),"",COUNTBLANK(OFFSET(A$1,,,SUMPRODUCT(MAX(ROW(E$2:E2647)*(E2647=E$2:E2647)))))-COUNTBLANK(OFFSET(A$1,,,SUMPRODUCT(MAX(ROW(E$1:E2646)*(E2=E$1:E2646))))))</f>
        <v> </v>
      </c>
      <c r="K2647" s="26" t="str">
        <f>IF(OR(E2647="",E2647="!!!",F2647="NEW"),"",INDEX(J$1:J2646,SUMPRODUCT(MAX(ROW(E$1:E2646)*(E2647=E$1:E2646)))))</f>
        <v> </v>
      </c>
      <c r="L2647" s="27"/>
    </row>
    <row r="2648" spans="1:12">
      <c r="A2648" s="20" t="s">
        <v>653</v>
      </c>
      <c r="B2648" s="21" t="s">
        <v>578</v>
      </c>
      <c r="C2648" s="21" t="s">
        <v>613</v>
      </c>
      <c r="D2648" s="21" t="s">
        <v>587</v>
      </c>
      <c r="E2648" s="22">
        <f>IF(D2648="?OLD","!!!","")</f>
        <v/>
      </c>
      <c r="F2648" s="23" t="str">
        <f>IF(OR(E2648="",E2648="!!!"),"",IF(NOT(ISNA(VLOOKUP(E2648,E$1:E2647,1,FALSE()))),"OLD",IF(AND(E2648&lt;&gt;"",E2648&lt;&gt;"!!!"),"NEW","")))</f>
        <v> </v>
      </c>
      <c r="G2648" s="24" t="str">
        <f>IF(OR(E2648="",E2648="!!!"),"",IF(OR(J2648=0,AND(J2648=1,K2648=1),AND(J2648=1,I2648="SBJ"),AND(J2648=1,I2648=0)),"?IN_FOCUS",IF(J2648&lt;=2,"?ACTIVATED",IF(J2648&lt;&gt;"","?FAMILIAR",IF(F2648="NEW",IF(ISNA(VLOOKUP(E2648,#REF!,1,FALSE())),"?TYPE_IDENTIFIABLE","?REFERENTIAL"),"_")))))</f>
        <v> </v>
      </c>
      <c r="H2648" s="25" t="str">
        <f>IF(J2648&lt;&gt;1,"",IF(I2648="SBJ","CB","?"))</f>
        <v> </v>
      </c>
      <c r="I2648" s="26" t="str">
        <f>IF(OR(E2648="",E2648="!!!",F2648="NEW"),"",INDEX(B2647:B$2,-1+SUMPRODUCT(MAX(ROW(E2647:E$2)*(E2648=E2647:E$2)))))</f>
        <v> </v>
      </c>
      <c r="J2648" s="26" t="str">
        <f>IF(OR(E2648="",E2648="!!!",F2648="NEW"),"",COUNTBLANK(OFFSET(A$1,,,SUMPRODUCT(MAX(ROW(E$2:E2648)*(E2648=E$2:E2648)))))-COUNTBLANK(OFFSET(A$1,,,SUMPRODUCT(MAX(ROW(E$1:E2647)*(E2=E$1:E2647))))))</f>
        <v> </v>
      </c>
      <c r="K2648" s="26" t="str">
        <f>IF(OR(E2648="",E2648="!!!",F2648="NEW"),"",INDEX(J$1:J2647,SUMPRODUCT(MAX(ROW(E$1:E2647)*(E2648=E$1:E2647)))))</f>
        <v> </v>
      </c>
      <c r="L2648" s="27"/>
    </row>
    <row r="2649" spans="1:12">
      <c r="A2649" s="20" t="s">
        <v>1071</v>
      </c>
      <c r="E2649" s="22">
        <f>IF(D2649="?OLD","!!!","")</f>
        <v/>
      </c>
      <c r="F2649" s="23" t="str">
        <f>IF(OR(E2649="",E2649="!!!"),"",IF(NOT(ISNA(VLOOKUP(E2649,E$1:E2648,1,FALSE()))),"OLD",IF(AND(E2649&lt;&gt;"",E2649&lt;&gt;"!!!"),"NEW","")))</f>
        <v> </v>
      </c>
      <c r="G2649" s="24" t="str">
        <f>IF(OR(E2649="",E2649="!!!"),"",IF(OR(J2649=0,AND(J2649=1,K2649=1),AND(J2649=1,I2649="SBJ"),AND(J2649=1,I2649=0)),"?IN_FOCUS",IF(J2649&lt;=2,"?ACTIVATED",IF(J2649&lt;&gt;"","?FAMILIAR",IF(F2649="NEW",IF(ISNA(VLOOKUP(E2649,#REF!,1,FALSE())),"?TYPE_IDENTIFIABLE","?REFERENTIAL"),"_")))))</f>
        <v> </v>
      </c>
      <c r="H2649" s="25" t="str">
        <f>IF(J2649&lt;&gt;1,"",IF(I2649="SBJ","CB","?"))</f>
        <v> </v>
      </c>
      <c r="I2649" s="26" t="str">
        <f>IF(OR(E2649="",E2649="!!!",F2649="NEW"),"",INDEX(B2648:B$2,-1+SUMPRODUCT(MAX(ROW(E2648:E$2)*(E2649=E2648:E$2)))))</f>
        <v> </v>
      </c>
      <c r="J2649" s="26" t="str">
        <f>IF(OR(E2649="",E2649="!!!",F2649="NEW"),"",COUNTBLANK(OFFSET(A$1,,,SUMPRODUCT(MAX(ROW(E$2:E2649)*(E2649=E$2:E2649)))))-COUNTBLANK(OFFSET(A$1,,,SUMPRODUCT(MAX(ROW(E$1:E2648)*(E2=E$1:E2648))))))</f>
        <v> </v>
      </c>
      <c r="K2649" s="26" t="str">
        <f>IF(OR(E2649="",E2649="!!!",F2649="NEW"),"",INDEX(J$1:J2648,SUMPRODUCT(MAX(ROW(E$1:E2648)*(E2649=E$1:E2648)))))</f>
        <v> </v>
      </c>
      <c r="L2649" s="27"/>
    </row>
    <row r="2650" spans="1:12">
      <c r="A2650" s="20" t="s">
        <v>1750</v>
      </c>
      <c r="E2650" s="22">
        <f>IF(D2650="?OLD","!!!","")</f>
        <v/>
      </c>
      <c r="F2650" s="23" t="str">
        <f>IF(OR(E2650="",E2650="!!!"),"",IF(NOT(ISNA(VLOOKUP(E2650,E$1:E2649,1,FALSE()))),"OLD",IF(AND(E2650&lt;&gt;"",E2650&lt;&gt;"!!!"),"NEW","")))</f>
        <v> </v>
      </c>
      <c r="G2650" s="24" t="str">
        <f>IF(OR(E2650="",E2650="!!!"),"",IF(OR(J2650=0,AND(J2650=1,K2650=1),AND(J2650=1,I2650="SBJ"),AND(J2650=1,I2650=0)),"?IN_FOCUS",IF(J2650&lt;=2,"?ACTIVATED",IF(J2650&lt;&gt;"","?FAMILIAR",IF(F2650="NEW",IF(ISNA(VLOOKUP(E2650,#REF!,1,FALSE())),"?TYPE_IDENTIFIABLE","?REFERENTIAL"),"_")))))</f>
        <v> </v>
      </c>
      <c r="H2650" s="25" t="str">
        <f>IF(J2650&lt;&gt;1,"",IF(I2650="SBJ","CB","?"))</f>
        <v> </v>
      </c>
      <c r="I2650" s="26" t="str">
        <f>IF(OR(E2650="",E2650="!!!",F2650="NEW"),"",INDEX(B2649:B$2,-1+SUMPRODUCT(MAX(ROW(E2649:E$2)*(E2650=E2649:E$2)))))</f>
        <v> </v>
      </c>
      <c r="J2650" s="26" t="str">
        <f>IF(OR(E2650="",E2650="!!!",F2650="NEW"),"",COUNTBLANK(OFFSET(A$1,,,SUMPRODUCT(MAX(ROW(E$2:E2650)*(E2650=E$2:E2650)))))-COUNTBLANK(OFFSET(A$1,,,SUMPRODUCT(MAX(ROW(E$1:E2649)*(E2=E$1:E2649))))))</f>
        <v> </v>
      </c>
      <c r="K2650" s="26" t="str">
        <f>IF(OR(E2650="",E2650="!!!",F2650="NEW"),"",INDEX(J$1:J2649,SUMPRODUCT(MAX(ROW(E$1:E2649)*(E2650=E$1:E2649)))))</f>
        <v> </v>
      </c>
      <c r="L2650" s="27"/>
    </row>
    <row r="2651" spans="1:12">
      <c r="A2651" s="20" t="s">
        <v>1751</v>
      </c>
      <c r="E2651" s="22">
        <f>IF(D2651="?OLD","!!!","")</f>
        <v/>
      </c>
      <c r="F2651" s="23" t="str">
        <f>IF(OR(E2651="",E2651="!!!"),"",IF(NOT(ISNA(VLOOKUP(E2651,E$1:E2650,1,FALSE()))),"OLD",IF(AND(E2651&lt;&gt;"",E2651&lt;&gt;"!!!"),"NEW","")))</f>
        <v> </v>
      </c>
      <c r="G2651" s="24" t="str">
        <f>IF(OR(E2651="",E2651="!!!"),"",IF(OR(J2651=0,AND(J2651=1,K2651=1),AND(J2651=1,I2651="SBJ"),AND(J2651=1,I2651=0)),"?IN_FOCUS",IF(J2651&lt;=2,"?ACTIVATED",IF(J2651&lt;&gt;"","?FAMILIAR",IF(F2651="NEW",IF(ISNA(VLOOKUP(E2651,#REF!,1,FALSE())),"?TYPE_IDENTIFIABLE","?REFERENTIAL"),"_")))))</f>
        <v> </v>
      </c>
      <c r="H2651" s="25" t="str">
        <f>IF(J2651&lt;&gt;1,"",IF(I2651="SBJ","CB","?"))</f>
        <v> </v>
      </c>
      <c r="I2651" s="26" t="str">
        <f>IF(OR(E2651="",E2651="!!!",F2651="NEW"),"",INDEX(B2650:B$2,-1+SUMPRODUCT(MAX(ROW(E2650:E$2)*(E2651=E2650:E$2)))))</f>
        <v> </v>
      </c>
      <c r="J2651" s="26" t="str">
        <f>IF(OR(E2651="",E2651="!!!",F2651="NEW"),"",COUNTBLANK(OFFSET(A$1,,,SUMPRODUCT(MAX(ROW(E$2:E2651)*(E2651=E$2:E2651)))))-COUNTBLANK(OFFSET(A$1,,,SUMPRODUCT(MAX(ROW(E$1:E2650)*(E2=E$1:E2650))))))</f>
        <v> </v>
      </c>
      <c r="K2651" s="26" t="str">
        <f>IF(OR(E2651="",E2651="!!!",F2651="NEW"),"",INDEX(J$1:J2650,SUMPRODUCT(MAX(ROW(E$1:E2650)*(E2651=E$1:E2650)))))</f>
        <v> </v>
      </c>
      <c r="L2651" s="27"/>
    </row>
    <row r="2652" spans="1:12">
      <c r="A2652" s="20" t="s">
        <v>723</v>
      </c>
      <c r="E2652" s="22">
        <f>IF(D2652="?OLD","!!!","")</f>
        <v/>
      </c>
      <c r="F2652" s="23" t="str">
        <f>IF(OR(E2652="",E2652="!!!"),"",IF(NOT(ISNA(VLOOKUP(E2652,E$1:E2651,1,FALSE()))),"OLD",IF(AND(E2652&lt;&gt;"",E2652&lt;&gt;"!!!"),"NEW","")))</f>
        <v> </v>
      </c>
      <c r="G2652" s="24" t="str">
        <f>IF(OR(E2652="",E2652="!!!"),"",IF(OR(J2652=0,AND(J2652=1,K2652=1),AND(J2652=1,I2652="SBJ"),AND(J2652=1,I2652=0)),"?IN_FOCUS",IF(J2652&lt;=2,"?ACTIVATED",IF(J2652&lt;&gt;"","?FAMILIAR",IF(F2652="NEW",IF(ISNA(VLOOKUP(E2652,#REF!,1,FALSE())),"?TYPE_IDENTIFIABLE","?REFERENTIAL"),"_")))))</f>
        <v> </v>
      </c>
      <c r="H2652" s="25" t="str">
        <f>IF(J2652&lt;&gt;1,"",IF(I2652="SBJ","CB","?"))</f>
        <v> </v>
      </c>
      <c r="I2652" s="26" t="str">
        <f>IF(OR(E2652="",E2652="!!!",F2652="NEW"),"",INDEX(B2651:B$2,-1+SUMPRODUCT(MAX(ROW(E2651:E$2)*(E2652=E2651:E$2)))))</f>
        <v> </v>
      </c>
      <c r="J2652" s="26" t="str">
        <f>IF(OR(E2652="",E2652="!!!",F2652="NEW"),"",COUNTBLANK(OFFSET(A$1,,,SUMPRODUCT(MAX(ROW(E$2:E2652)*(E2652=E$2:E2652)))))-COUNTBLANK(OFFSET(A$1,,,SUMPRODUCT(MAX(ROW(E$1:E2651)*(E2=E$1:E2651))))))</f>
        <v> </v>
      </c>
      <c r="K2652" s="26" t="str">
        <f>IF(OR(E2652="",E2652="!!!",F2652="NEW"),"",INDEX(J$1:J2651,SUMPRODUCT(MAX(ROW(E$1:E2651)*(E2652=E$1:E2651)))))</f>
        <v> </v>
      </c>
      <c r="L2652" s="27"/>
    </row>
    <row r="2653" spans="1:12">
      <c r="A2653" s="20" t="s">
        <v>820</v>
      </c>
      <c r="E2653" s="22">
        <f>IF(D2653="?OLD","!!!","")</f>
        <v/>
      </c>
      <c r="F2653" s="23" t="str">
        <f>IF(OR(E2653="",E2653="!!!"),"",IF(NOT(ISNA(VLOOKUP(E2653,E$1:E2652,1,FALSE()))),"OLD",IF(AND(E2653&lt;&gt;"",E2653&lt;&gt;"!!!"),"NEW","")))</f>
        <v> </v>
      </c>
      <c r="G2653" s="24" t="str">
        <f>IF(OR(E2653="",E2653="!!!"),"",IF(OR(J2653=0,AND(J2653=1,K2653=1),AND(J2653=1,I2653="SBJ"),AND(J2653=1,I2653=0)),"?IN_FOCUS",IF(J2653&lt;=2,"?ACTIVATED",IF(J2653&lt;&gt;"","?FAMILIAR",IF(F2653="NEW",IF(ISNA(VLOOKUP(E2653,#REF!,1,FALSE())),"?TYPE_IDENTIFIABLE","?REFERENTIAL"),"_")))))</f>
        <v> </v>
      </c>
      <c r="H2653" s="25" t="str">
        <f>IF(J2653&lt;&gt;1,"",IF(I2653="SBJ","CB","?"))</f>
        <v> </v>
      </c>
      <c r="I2653" s="26" t="str">
        <f>IF(OR(E2653="",E2653="!!!",F2653="NEW"),"",INDEX(B2652:B$2,-1+SUMPRODUCT(MAX(ROW(E2652:E$2)*(E2653=E2652:E$2)))))</f>
        <v> </v>
      </c>
      <c r="J2653" s="26" t="str">
        <f>IF(OR(E2653="",E2653="!!!",F2653="NEW"),"",COUNTBLANK(OFFSET(A$1,,,SUMPRODUCT(MAX(ROW(E$2:E2653)*(E2653=E$2:E2653)))))-COUNTBLANK(OFFSET(A$1,,,SUMPRODUCT(MAX(ROW(E$1:E2652)*(E2=E$1:E2652))))))</f>
        <v> </v>
      </c>
      <c r="K2653" s="26" t="str">
        <f>IF(OR(E2653="",E2653="!!!",F2653="NEW"),"",INDEX(J$1:J2652,SUMPRODUCT(MAX(ROW(E$1:E2652)*(E2653=E$1:E2652)))))</f>
        <v> </v>
      </c>
      <c r="L2653" s="27"/>
    </row>
    <row r="2654" spans="1:12">
      <c r="A2654" s="20" t="s">
        <v>1752</v>
      </c>
      <c r="B2654" s="21" t="s">
        <v>635</v>
      </c>
      <c r="E2654" s="22">
        <f>IF(D2654="?OLD","!!!","")</f>
        <v/>
      </c>
      <c r="F2654" s="23" t="str">
        <f>IF(OR(E2654="",E2654="!!!"),"",IF(NOT(ISNA(VLOOKUP(E2654,E$1:E2653,1,FALSE()))),"OLD",IF(AND(E2654&lt;&gt;"",E2654&lt;&gt;"!!!"),"NEW","")))</f>
        <v> </v>
      </c>
      <c r="G2654" s="24" t="str">
        <f>IF(OR(E2654="",E2654="!!!"),"",IF(OR(J2654=0,AND(J2654=1,K2654=1),AND(J2654=1,I2654="SBJ"),AND(J2654=1,I2654=0)),"?IN_FOCUS",IF(J2654&lt;=2,"?ACTIVATED",IF(J2654&lt;&gt;"","?FAMILIAR",IF(F2654="NEW",IF(ISNA(VLOOKUP(E2654,#REF!,1,FALSE())),"?TYPE_IDENTIFIABLE","?REFERENTIAL"),"_")))))</f>
        <v> </v>
      </c>
      <c r="H2654" s="25" t="str">
        <f>IF(J2654&lt;&gt;1,"",IF(I2654="SBJ","CB","?"))</f>
        <v> </v>
      </c>
      <c r="I2654" s="26" t="str">
        <f>IF(OR(E2654="",E2654="!!!",F2654="NEW"),"",INDEX(B2653:B$2,-1+SUMPRODUCT(MAX(ROW(E2653:E$2)*(E2654=E2653:E$2)))))</f>
        <v> </v>
      </c>
      <c r="J2654" s="26" t="str">
        <f>IF(OR(E2654="",E2654="!!!",F2654="NEW"),"",COUNTBLANK(OFFSET(A$1,,,SUMPRODUCT(MAX(ROW(E$2:E2654)*(E2654=E$2:E2654)))))-COUNTBLANK(OFFSET(A$1,,,SUMPRODUCT(MAX(ROW(E$1:E2653)*(E2=E$1:E2653))))))</f>
        <v> </v>
      </c>
      <c r="K2654" s="26" t="str">
        <f>IF(OR(E2654="",E2654="!!!",F2654="NEW"),"",INDEX(J$1:J2653,SUMPRODUCT(MAX(ROW(E$1:E2653)*(E2654=E$1:E2653)))))</f>
        <v> </v>
      </c>
      <c r="L2654" s="27"/>
    </row>
    <row r="2655" spans="1:12">
      <c r="A2655" s="20" t="s">
        <v>666</v>
      </c>
      <c r="E2655" s="22">
        <f>IF(D2655="?OLD","!!!","")</f>
        <v/>
      </c>
      <c r="F2655" s="23" t="str">
        <f>IF(OR(E2655="",E2655="!!!"),"",IF(NOT(ISNA(VLOOKUP(E2655,E$1:E2654,1,FALSE()))),"OLD",IF(AND(E2655&lt;&gt;"",E2655&lt;&gt;"!!!"),"NEW","")))</f>
        <v> </v>
      </c>
      <c r="G2655" s="24" t="str">
        <f>IF(OR(E2655="",E2655="!!!"),"",IF(OR(J2655=0,AND(J2655=1,K2655=1),AND(J2655=1,I2655="SBJ"),AND(J2655=1,I2655=0)),"?IN_FOCUS",IF(J2655&lt;=2,"?ACTIVATED",IF(J2655&lt;&gt;"","?FAMILIAR",IF(F2655="NEW",IF(ISNA(VLOOKUP(E2655,#REF!,1,FALSE())),"?TYPE_IDENTIFIABLE","?REFERENTIAL"),"_")))))</f>
        <v> </v>
      </c>
      <c r="H2655" s="25" t="str">
        <f>IF(J2655&lt;&gt;1,"",IF(I2655="SBJ","CB","?"))</f>
        <v> </v>
      </c>
      <c r="I2655" s="26" t="str">
        <f>IF(OR(E2655="",E2655="!!!",F2655="NEW"),"",INDEX(B2654:B$2,-1+SUMPRODUCT(MAX(ROW(E2654:E$2)*(E2655=E2654:E$2)))))</f>
        <v> </v>
      </c>
      <c r="J2655" s="26" t="str">
        <f>IF(OR(E2655="",E2655="!!!",F2655="NEW"),"",COUNTBLANK(OFFSET(A$1,,,SUMPRODUCT(MAX(ROW(E$2:E2655)*(E2655=E$2:E2655)))))-COUNTBLANK(OFFSET(A$1,,,SUMPRODUCT(MAX(ROW(E$1:E2654)*(E2=E$1:E2654))))))</f>
        <v> </v>
      </c>
      <c r="K2655" s="26" t="str">
        <f>IF(OR(E2655="",E2655="!!!",F2655="NEW"),"",INDEX(J$1:J2654,SUMPRODUCT(MAX(ROW(E$1:E2654)*(E2655=E$1:E2654)))))</f>
        <v> </v>
      </c>
      <c r="L2655" s="27"/>
    </row>
    <row r="2656" spans="1:12">
      <c r="A2656" s="20" t="s">
        <v>753</v>
      </c>
      <c r="E2656" s="22">
        <f>IF(D2656="?OLD","!!!","")</f>
        <v/>
      </c>
      <c r="F2656" s="23" t="str">
        <f>IF(OR(E2656="",E2656="!!!"),"",IF(NOT(ISNA(VLOOKUP(E2656,E$1:E2655,1,FALSE()))),"OLD",IF(AND(E2656&lt;&gt;"",E2656&lt;&gt;"!!!"),"NEW","")))</f>
        <v> </v>
      </c>
      <c r="G2656" s="24" t="str">
        <f>IF(OR(E2656="",E2656="!!!"),"",IF(OR(J2656=0,AND(J2656=1,K2656=1),AND(J2656=1,I2656="SBJ"),AND(J2656=1,I2656=0)),"?IN_FOCUS",IF(J2656&lt;=2,"?ACTIVATED",IF(J2656&lt;&gt;"","?FAMILIAR",IF(F2656="NEW",IF(ISNA(VLOOKUP(E2656,#REF!,1,FALSE())),"?TYPE_IDENTIFIABLE","?REFERENTIAL"),"_")))))</f>
        <v> </v>
      </c>
      <c r="H2656" s="25" t="str">
        <f>IF(J2656&lt;&gt;1,"",IF(I2656="SBJ","CB","?"))</f>
        <v> </v>
      </c>
      <c r="I2656" s="26" t="str">
        <f>IF(OR(E2656="",E2656="!!!",F2656="NEW"),"",INDEX(B2655:B$2,-1+SUMPRODUCT(MAX(ROW(E2655:E$2)*(E2656=E2655:E$2)))))</f>
        <v> </v>
      </c>
      <c r="J2656" s="26" t="str">
        <f>IF(OR(E2656="",E2656="!!!",F2656="NEW"),"",COUNTBLANK(OFFSET(A$1,,,SUMPRODUCT(MAX(ROW(E$2:E2656)*(E2656=E$2:E2656)))))-COUNTBLANK(OFFSET(A$1,,,SUMPRODUCT(MAX(ROW(E$1:E2655)*(E2=E$1:E2655))))))</f>
        <v> </v>
      </c>
      <c r="K2656" s="26" t="str">
        <f>IF(OR(E2656="",E2656="!!!",F2656="NEW"),"",INDEX(J$1:J2655,SUMPRODUCT(MAX(ROW(E$1:E2655)*(E2656=E$1:E2655)))))</f>
        <v> </v>
      </c>
      <c r="L2656" s="27"/>
    </row>
    <row r="2657" spans="1:12">
      <c r="A2657" s="20" t="s">
        <v>1744</v>
      </c>
      <c r="E2657" s="22">
        <f>IF(D2657="?OLD","!!!","")</f>
        <v/>
      </c>
      <c r="F2657" s="23" t="str">
        <f>IF(OR(E2657="",E2657="!!!"),"",IF(NOT(ISNA(VLOOKUP(E2657,E$1:E2656,1,FALSE()))),"OLD",IF(AND(E2657&lt;&gt;"",E2657&lt;&gt;"!!!"),"NEW","")))</f>
        <v> </v>
      </c>
      <c r="G2657" s="24" t="str">
        <f>IF(OR(E2657="",E2657="!!!"),"",IF(OR(J2657=0,AND(J2657=1,K2657=1),AND(J2657=1,I2657="SBJ"),AND(J2657=1,I2657=0)),"?IN_FOCUS",IF(J2657&lt;=2,"?ACTIVATED",IF(J2657&lt;&gt;"","?FAMILIAR",IF(F2657="NEW",IF(ISNA(VLOOKUP(E2657,#REF!,1,FALSE())),"?TYPE_IDENTIFIABLE","?REFERENTIAL"),"_")))))</f>
        <v> </v>
      </c>
      <c r="H2657" s="25" t="str">
        <f>IF(J2657&lt;&gt;1,"",IF(I2657="SBJ","CB","?"))</f>
        <v> </v>
      </c>
      <c r="I2657" s="26" t="str">
        <f>IF(OR(E2657="",E2657="!!!",F2657="NEW"),"",INDEX(B2656:B$2,-1+SUMPRODUCT(MAX(ROW(E2656:E$2)*(E2657=E2656:E$2)))))</f>
        <v> </v>
      </c>
      <c r="J2657" s="26" t="str">
        <f>IF(OR(E2657="",E2657="!!!",F2657="NEW"),"",COUNTBLANK(OFFSET(A$1,,,SUMPRODUCT(MAX(ROW(E$2:E2657)*(E2657=E$2:E2657)))))-COUNTBLANK(OFFSET(A$1,,,SUMPRODUCT(MAX(ROW(E$1:E2656)*(E2=E$1:E2656))))))</f>
        <v> </v>
      </c>
      <c r="K2657" s="26" t="str">
        <f>IF(OR(E2657="",E2657="!!!",F2657="NEW"),"",INDEX(J$1:J2656,SUMPRODUCT(MAX(ROW(E$1:E2656)*(E2657=E$1:E2656)))))</f>
        <v> </v>
      </c>
      <c r="L2657" s="27"/>
    </row>
    <row r="2658" spans="1:12">
      <c r="A2658" s="20" t="s">
        <v>1753</v>
      </c>
      <c r="E2658" s="22">
        <f>IF(D2658="?OLD","!!!","")</f>
        <v/>
      </c>
      <c r="F2658" s="23" t="str">
        <f>IF(OR(E2658="",E2658="!!!"),"",IF(NOT(ISNA(VLOOKUP(E2658,E$1:E2657,1,FALSE()))),"OLD",IF(AND(E2658&lt;&gt;"",E2658&lt;&gt;"!!!"),"NEW","")))</f>
        <v> </v>
      </c>
      <c r="G2658" s="24" t="str">
        <f>IF(OR(E2658="",E2658="!!!"),"",IF(OR(J2658=0,AND(J2658=1,K2658=1),AND(J2658=1,I2658="SBJ"),AND(J2658=1,I2658=0)),"?IN_FOCUS",IF(J2658&lt;=2,"?ACTIVATED",IF(J2658&lt;&gt;"","?FAMILIAR",IF(F2658="NEW",IF(ISNA(VLOOKUP(E2658,#REF!,1,FALSE())),"?TYPE_IDENTIFIABLE","?REFERENTIAL"),"_")))))</f>
        <v> </v>
      </c>
      <c r="H2658" s="25" t="str">
        <f>IF(J2658&lt;&gt;1,"",IF(I2658="SBJ","CB","?"))</f>
        <v> </v>
      </c>
      <c r="I2658" s="26" t="str">
        <f>IF(OR(E2658="",E2658="!!!",F2658="NEW"),"",INDEX(B2657:B$2,-1+SUMPRODUCT(MAX(ROW(E2657:E$2)*(E2658=E2657:E$2)))))</f>
        <v> </v>
      </c>
      <c r="J2658" s="26" t="str">
        <f>IF(OR(E2658="",E2658="!!!",F2658="NEW"),"",COUNTBLANK(OFFSET(A$1,,,SUMPRODUCT(MAX(ROW(E$2:E2658)*(E2658=E$2:E2658)))))-COUNTBLANK(OFFSET(A$1,,,SUMPRODUCT(MAX(ROW(E$1:E2657)*(E2=E$1:E2657))))))</f>
        <v> </v>
      </c>
      <c r="K2658" s="26" t="str">
        <f>IF(OR(E2658="",E2658="!!!",F2658="NEW"),"",INDEX(J$1:J2657,SUMPRODUCT(MAX(ROW(E$1:E2657)*(E2658=E$1:E2657)))))</f>
        <v> </v>
      </c>
      <c r="L2658" s="27"/>
    </row>
    <row r="2659" spans="1:12">
      <c r="A2659" s="20" t="s">
        <v>592</v>
      </c>
      <c r="E2659" s="22">
        <f>IF(D2659="?OLD","!!!","")</f>
        <v/>
      </c>
      <c r="F2659" s="23" t="str">
        <f>IF(OR(E2659="",E2659="!!!"),"",IF(NOT(ISNA(VLOOKUP(E2659,E$1:E2658,1,FALSE()))),"OLD",IF(AND(E2659&lt;&gt;"",E2659&lt;&gt;"!!!"),"NEW","")))</f>
        <v> </v>
      </c>
      <c r="G2659" s="24" t="str">
        <f>IF(OR(E2659="",E2659="!!!"),"",IF(OR(J2659=0,AND(J2659=1,K2659=1),AND(J2659=1,I2659="SBJ"),AND(J2659=1,I2659=0)),"?IN_FOCUS",IF(J2659&lt;=2,"?ACTIVATED",IF(J2659&lt;&gt;"","?FAMILIAR",IF(F2659="NEW",IF(ISNA(VLOOKUP(E2659,#REF!,1,FALSE())),"?TYPE_IDENTIFIABLE","?REFERENTIAL"),"_")))))</f>
        <v> </v>
      </c>
      <c r="H2659" s="25" t="str">
        <f>IF(J2659&lt;&gt;1,"",IF(I2659="SBJ","CB","?"))</f>
        <v> </v>
      </c>
      <c r="I2659" s="26" t="str">
        <f>IF(OR(E2659="",E2659="!!!",F2659="NEW"),"",INDEX(B2658:B$2,-1+SUMPRODUCT(MAX(ROW(E2658:E$2)*(E2659=E2658:E$2)))))</f>
        <v> </v>
      </c>
      <c r="J2659" s="26" t="str">
        <f>IF(OR(E2659="",E2659="!!!",F2659="NEW"),"",COUNTBLANK(OFFSET(A$1,,,SUMPRODUCT(MAX(ROW(E$2:E2659)*(E2659=E$2:E2659)))))-COUNTBLANK(OFFSET(A$1,,,SUMPRODUCT(MAX(ROW(E$1:E2658)*(E2=E$1:E2658))))))</f>
        <v> </v>
      </c>
      <c r="K2659" s="26" t="str">
        <f>IF(OR(E2659="",E2659="!!!",F2659="NEW"),"",INDEX(J$1:J2658,SUMPRODUCT(MAX(ROW(E$1:E2658)*(E2659=E$1:E2658)))))</f>
        <v> </v>
      </c>
      <c r="L2659" s="27"/>
    </row>
    <row r="2660" spans="1:12">
      <c r="A2660" s="20"/>
    </row>
    <row r="2661" spans="1:12">
      <c r="A2661" s="20" t="s">
        <v>1754</v>
      </c>
    </row>
    <row r="2662" spans="1:12">
      <c r="A2662" s="20" t="s">
        <v>765</v>
      </c>
      <c r="B2662" s="21" t="s">
        <v>578</v>
      </c>
      <c r="C2662" s="21" t="s">
        <v>613</v>
      </c>
      <c r="D2662" s="21" t="s">
        <v>587</v>
      </c>
      <c r="E2662" s="22">
        <f>IF(D2662="?OLD","!!!","")</f>
        <v/>
      </c>
      <c r="F2662" s="23" t="str">
        <f>IF(OR(E2662="",E2662="!!!"),"",IF(NOT(ISNA(VLOOKUP(E2662,E$1:E2661,1,FALSE()))),"OLD",IF(AND(E2662&lt;&gt;"",E2662&lt;&gt;"!!!"),"NEW","")))</f>
        <v> </v>
      </c>
      <c r="G2662" s="24" t="str">
        <f>IF(OR(E2662="",E2662="!!!"),"",IF(OR(J2662=0,AND(J2662=1,K2662=1),AND(J2662=1,I2662="SBJ"),AND(J2662=1,I2662=0)),"?IN_FOCUS",IF(J2662&lt;=2,"?ACTIVATED",IF(J2662&lt;&gt;"","?FAMILIAR",IF(F2662="NEW",IF(ISNA(VLOOKUP(E2662,#REF!,1,FALSE())),"?TYPE_IDENTIFIABLE","?REFERENTIAL"),"_")))))</f>
        <v> </v>
      </c>
      <c r="H2662" s="25" t="str">
        <f>IF(J2662&lt;&gt;1,"",IF(I2662="SBJ","CB","?"))</f>
        <v> </v>
      </c>
      <c r="I2662" s="26" t="str">
        <f>IF(OR(E2662="",E2662="!!!",F2662="NEW"),"",INDEX(B2661:B$2,-1+SUMPRODUCT(MAX(ROW(E2661:E$2)*(E2662=E2661:E$2)))))</f>
        <v> </v>
      </c>
      <c r="J2662" s="26" t="str">
        <f>IF(OR(E2662="",E2662="!!!",F2662="NEW"),"",COUNTBLANK(OFFSET(A$1,,,SUMPRODUCT(MAX(ROW(E$2:E2662)*(E2662=E$2:E2662)))))-COUNTBLANK(OFFSET(A$1,,,SUMPRODUCT(MAX(ROW(E$1:E2661)*(E2=E$1:E2661))))))</f>
        <v> </v>
      </c>
      <c r="K2662" s="26" t="str">
        <f>IF(OR(E2662="",E2662="!!!",F2662="NEW"),"",INDEX(J$1:J2661,SUMPRODUCT(MAX(ROW(E$1:E2661)*(E2662=E$1:E2661)))))</f>
        <v> </v>
      </c>
      <c r="L2662" s="27"/>
    </row>
    <row r="2663" spans="1:12">
      <c r="A2663" s="20" t="s">
        <v>1071</v>
      </c>
      <c r="E2663" s="22">
        <f>IF(D2663="?OLD","!!!","")</f>
        <v/>
      </c>
      <c r="F2663" s="23" t="str">
        <f>IF(OR(E2663="",E2663="!!!"),"",IF(NOT(ISNA(VLOOKUP(E2663,E$1:E2662,1,FALSE()))),"OLD",IF(AND(E2663&lt;&gt;"",E2663&lt;&gt;"!!!"),"NEW","")))</f>
        <v> </v>
      </c>
      <c r="G2663" s="24" t="str">
        <f>IF(OR(E2663="",E2663="!!!"),"",IF(OR(J2663=0,AND(J2663=1,K2663=1),AND(J2663=1,I2663="SBJ"),AND(J2663=1,I2663=0)),"?IN_FOCUS",IF(J2663&lt;=2,"?ACTIVATED",IF(J2663&lt;&gt;"","?FAMILIAR",IF(F2663="NEW",IF(ISNA(VLOOKUP(E2663,#REF!,1,FALSE())),"?TYPE_IDENTIFIABLE","?REFERENTIAL"),"_")))))</f>
        <v> </v>
      </c>
      <c r="H2663" s="25" t="str">
        <f>IF(J2663&lt;&gt;1,"",IF(I2663="SBJ","CB","?"))</f>
        <v> </v>
      </c>
      <c r="I2663" s="26" t="str">
        <f>IF(OR(E2663="",E2663="!!!",F2663="NEW"),"",INDEX(B2662:B$2,-1+SUMPRODUCT(MAX(ROW(E2662:E$2)*(E2663=E2662:E$2)))))</f>
        <v> </v>
      </c>
      <c r="J2663" s="26" t="str">
        <f>IF(OR(E2663="",E2663="!!!",F2663="NEW"),"",COUNTBLANK(OFFSET(A$1,,,SUMPRODUCT(MAX(ROW(E$2:E2663)*(E2663=E$2:E2663)))))-COUNTBLANK(OFFSET(A$1,,,SUMPRODUCT(MAX(ROW(E$1:E2662)*(E2=E$1:E2662))))))</f>
        <v> </v>
      </c>
      <c r="K2663" s="26" t="str">
        <f>IF(OR(E2663="",E2663="!!!",F2663="NEW"),"",INDEX(J$1:J2662,SUMPRODUCT(MAX(ROW(E$1:E2662)*(E2663=E$1:E2662)))))</f>
        <v> </v>
      </c>
      <c r="L2663" s="27"/>
    </row>
    <row r="2664" spans="1:12">
      <c r="A2664" s="20" t="s">
        <v>1072</v>
      </c>
      <c r="E2664" s="22">
        <f>IF(D2664="?OLD","!!!","")</f>
        <v/>
      </c>
      <c r="F2664" s="23" t="str">
        <f>IF(OR(E2664="",E2664="!!!"),"",IF(NOT(ISNA(VLOOKUP(E2664,E$1:E2663,1,FALSE()))),"OLD",IF(AND(E2664&lt;&gt;"",E2664&lt;&gt;"!!!"),"NEW","")))</f>
        <v> </v>
      </c>
      <c r="G2664" s="24" t="str">
        <f>IF(OR(E2664="",E2664="!!!"),"",IF(OR(J2664=0,AND(J2664=1,K2664=1),AND(J2664=1,I2664="SBJ"),AND(J2664=1,I2664=0)),"?IN_FOCUS",IF(J2664&lt;=2,"?ACTIVATED",IF(J2664&lt;&gt;"","?FAMILIAR",IF(F2664="NEW",IF(ISNA(VLOOKUP(E2664,#REF!,1,FALSE())),"?TYPE_IDENTIFIABLE","?REFERENTIAL"),"_")))))</f>
        <v> </v>
      </c>
      <c r="H2664" s="25" t="str">
        <f>IF(J2664&lt;&gt;1,"",IF(I2664="SBJ","CB","?"))</f>
        <v> </v>
      </c>
      <c r="I2664" s="26" t="str">
        <f>IF(OR(E2664="",E2664="!!!",F2664="NEW"),"",INDEX(B2663:B$2,-1+SUMPRODUCT(MAX(ROW(E2663:E$2)*(E2664=E2663:E$2)))))</f>
        <v> </v>
      </c>
      <c r="J2664" s="26" t="str">
        <f>IF(OR(E2664="",E2664="!!!",F2664="NEW"),"",COUNTBLANK(OFFSET(A$1,,,SUMPRODUCT(MAX(ROW(E$2:E2664)*(E2664=E$2:E2664)))))-COUNTBLANK(OFFSET(A$1,,,SUMPRODUCT(MAX(ROW(E$1:E2663)*(E2=E$1:E2663))))))</f>
        <v> </v>
      </c>
      <c r="K2664" s="26" t="str">
        <f>IF(OR(E2664="",E2664="!!!",F2664="NEW"),"",INDEX(J$1:J2663,SUMPRODUCT(MAX(ROW(E$1:E2663)*(E2664=E$1:E2663)))))</f>
        <v> </v>
      </c>
      <c r="L2664" s="27"/>
    </row>
    <row r="2665" spans="1:12">
      <c r="A2665" s="20" t="s">
        <v>609</v>
      </c>
      <c r="E2665" s="22">
        <f>IF(D2665="?OLD","!!!","")</f>
        <v/>
      </c>
      <c r="F2665" s="23" t="str">
        <f>IF(OR(E2665="",E2665="!!!"),"",IF(NOT(ISNA(VLOOKUP(E2665,E$1:E2664,1,FALSE()))),"OLD",IF(AND(E2665&lt;&gt;"",E2665&lt;&gt;"!!!"),"NEW","")))</f>
        <v> </v>
      </c>
      <c r="G2665" s="24" t="str">
        <f>IF(OR(E2665="",E2665="!!!"),"",IF(OR(J2665=0,AND(J2665=1,K2665=1),AND(J2665=1,I2665="SBJ"),AND(J2665=1,I2665=0)),"?IN_FOCUS",IF(J2665&lt;=2,"?ACTIVATED",IF(J2665&lt;&gt;"","?FAMILIAR",IF(F2665="NEW",IF(ISNA(VLOOKUP(E2665,#REF!,1,FALSE())),"?TYPE_IDENTIFIABLE","?REFERENTIAL"),"_")))))</f>
        <v> </v>
      </c>
      <c r="H2665" s="25" t="str">
        <f>IF(J2665&lt;&gt;1,"",IF(I2665="SBJ","CB","?"))</f>
        <v> </v>
      </c>
      <c r="I2665" s="26" t="str">
        <f>IF(OR(E2665="",E2665="!!!",F2665="NEW"),"",INDEX(B2664:B$2,-1+SUMPRODUCT(MAX(ROW(E2664:E$2)*(E2665=E2664:E$2)))))</f>
        <v> </v>
      </c>
      <c r="J2665" s="26" t="str">
        <f>IF(OR(E2665="",E2665="!!!",F2665="NEW"),"",COUNTBLANK(OFFSET(A$1,,,SUMPRODUCT(MAX(ROW(E$2:E2665)*(E2665=E$2:E2665)))))-COUNTBLANK(OFFSET(A$1,,,SUMPRODUCT(MAX(ROW(E$1:E2664)*(E2=E$1:E2664))))))</f>
        <v> </v>
      </c>
      <c r="K2665" s="26" t="str">
        <f>IF(OR(E2665="",E2665="!!!",F2665="NEW"),"",INDEX(J$1:J2664,SUMPRODUCT(MAX(ROW(E$1:E2664)*(E2665=E$1:E2664)))))</f>
        <v> </v>
      </c>
      <c r="L2665" s="27"/>
    </row>
    <row r="2666" spans="1:12">
      <c r="A2666" s="20" t="s">
        <v>1755</v>
      </c>
      <c r="B2666" s="21" t="s">
        <v>635</v>
      </c>
      <c r="C2666" s="21" t="s">
        <v>628</v>
      </c>
      <c r="D2666" s="21" t="s">
        <v>587</v>
      </c>
      <c r="E2666" s="22">
        <f>IF(D2666="?OLD","!!!","")</f>
        <v/>
      </c>
      <c r="F2666" s="23" t="str">
        <f>IF(OR(E2666="",E2666="!!!"),"",IF(NOT(ISNA(VLOOKUP(E2666,E$1:E2665,1,FALSE()))),"OLD",IF(AND(E2666&lt;&gt;"",E2666&lt;&gt;"!!!"),"NEW","")))</f>
        <v> </v>
      </c>
      <c r="G2666" s="24" t="str">
        <f>IF(OR(E2666="",E2666="!!!"),"",IF(OR(J2666=0,AND(J2666=1,K2666=1),AND(J2666=1,I2666="SBJ"),AND(J2666=1,I2666=0)),"?IN_FOCUS",IF(J2666&lt;=2,"?ACTIVATED",IF(J2666&lt;&gt;"","?FAMILIAR",IF(F2666="NEW",IF(ISNA(VLOOKUP(E2666,#REF!,1,FALSE())),"?TYPE_IDENTIFIABLE","?REFERENTIAL"),"_")))))</f>
        <v> </v>
      </c>
      <c r="H2666" s="25" t="str">
        <f>IF(J2666&lt;&gt;1,"",IF(I2666="SBJ","CB","?"))</f>
        <v> </v>
      </c>
      <c r="I2666" s="26" t="str">
        <f>IF(OR(E2666="",E2666="!!!",F2666="NEW"),"",INDEX(B2665:B$2,-1+SUMPRODUCT(MAX(ROW(E2665:E$2)*(E2666=E2665:E$2)))))</f>
        <v> </v>
      </c>
      <c r="J2666" s="26" t="str">
        <f>IF(OR(E2666="",E2666="!!!",F2666="NEW"),"",COUNTBLANK(OFFSET(A$1,,,SUMPRODUCT(MAX(ROW(E$2:E2666)*(E2666=E$2:E2666)))))-COUNTBLANK(OFFSET(A$1,,,SUMPRODUCT(MAX(ROW(E$1:E2665)*(E2=E$1:E2665))))))</f>
        <v> </v>
      </c>
      <c r="K2666" s="26" t="str">
        <f>IF(OR(E2666="",E2666="!!!",F2666="NEW"),"",INDEX(J$1:J2665,SUMPRODUCT(MAX(ROW(E$1:E2665)*(E2666=E$1:E2665)))))</f>
        <v> </v>
      </c>
      <c r="L2666" s="27"/>
    </row>
    <row r="2667" spans="1:12">
      <c r="A2667" s="20" t="s">
        <v>1756</v>
      </c>
      <c r="B2667" s="21" t="s">
        <v>601</v>
      </c>
      <c r="C2667" s="21" t="s">
        <v>628</v>
      </c>
      <c r="D2667" s="21" t="s">
        <v>587</v>
      </c>
      <c r="E2667" s="22">
        <f>IF(D2667="?OLD","!!!","")</f>
        <v/>
      </c>
      <c r="F2667" s="23" t="str">
        <f>IF(OR(E2667="",E2667="!!!"),"",IF(NOT(ISNA(VLOOKUP(E2667,E$1:E2666,1,FALSE()))),"OLD",IF(AND(E2667&lt;&gt;"",E2667&lt;&gt;"!!!"),"NEW","")))</f>
        <v> </v>
      </c>
      <c r="G2667" s="24" t="str">
        <f>IF(OR(E2667="",E2667="!!!"),"",IF(OR(J2667=0,AND(J2667=1,K2667=1),AND(J2667=1,I2667="SBJ"),AND(J2667=1,I2667=0)),"?IN_FOCUS",IF(J2667&lt;=2,"?ACTIVATED",IF(J2667&lt;&gt;"","?FAMILIAR",IF(F2667="NEW",IF(ISNA(VLOOKUP(E2667,#REF!,1,FALSE())),"?TYPE_IDENTIFIABLE","?REFERENTIAL"),"_")))))</f>
        <v> </v>
      </c>
      <c r="H2667" s="25" t="str">
        <f>IF(J2667&lt;&gt;1,"",IF(I2667="SBJ","CB","?"))</f>
        <v> </v>
      </c>
      <c r="I2667" s="26" t="str">
        <f>IF(OR(E2667="",E2667="!!!",F2667="NEW"),"",INDEX(B2666:B$2,-1+SUMPRODUCT(MAX(ROW(E2666:E$2)*(E2667=E2666:E$2)))))</f>
        <v> </v>
      </c>
      <c r="J2667" s="26" t="str">
        <f>IF(OR(E2667="",E2667="!!!",F2667="NEW"),"",COUNTBLANK(OFFSET(A$1,,,SUMPRODUCT(MAX(ROW(E$2:E2667)*(E2667=E$2:E2667)))))-COUNTBLANK(OFFSET(A$1,,,SUMPRODUCT(MAX(ROW(E$1:E2666)*(E2=E$1:E2666))))))</f>
        <v> </v>
      </c>
      <c r="K2667" s="26" t="str">
        <f>IF(OR(E2667="",E2667="!!!",F2667="NEW"),"",INDEX(J$1:J2666,SUMPRODUCT(MAX(ROW(E$1:E2666)*(E2667=E$1:E2666)))))</f>
        <v> </v>
      </c>
      <c r="L2667" s="27"/>
    </row>
    <row r="2668" spans="1:12">
      <c r="A2668" s="20" t="s">
        <v>583</v>
      </c>
      <c r="E2668" s="22">
        <f>IF(D2668="?OLD","!!!","")</f>
        <v/>
      </c>
      <c r="F2668" s="23" t="str">
        <f>IF(OR(E2668="",E2668="!!!"),"",IF(NOT(ISNA(VLOOKUP(E2668,E$1:E2667,1,FALSE()))),"OLD",IF(AND(E2668&lt;&gt;"",E2668&lt;&gt;"!!!"),"NEW","")))</f>
        <v> </v>
      </c>
      <c r="G2668" s="24" t="str">
        <f>IF(OR(E2668="",E2668="!!!"),"",IF(OR(J2668=0,AND(J2668=1,K2668=1),AND(J2668=1,I2668="SBJ"),AND(J2668=1,I2668=0)),"?IN_FOCUS",IF(J2668&lt;=2,"?ACTIVATED",IF(J2668&lt;&gt;"","?FAMILIAR",IF(F2668="NEW",IF(ISNA(VLOOKUP(E2668,#REF!,1,FALSE())),"?TYPE_IDENTIFIABLE","?REFERENTIAL"),"_")))))</f>
        <v> </v>
      </c>
      <c r="H2668" s="25" t="str">
        <f>IF(J2668&lt;&gt;1,"",IF(I2668="SBJ","CB","?"))</f>
        <v> </v>
      </c>
      <c r="I2668" s="26" t="str">
        <f>IF(OR(E2668="",E2668="!!!",F2668="NEW"),"",INDEX(B2667:B$2,-1+SUMPRODUCT(MAX(ROW(E2667:E$2)*(E2668=E2667:E$2)))))</f>
        <v> </v>
      </c>
      <c r="J2668" s="26" t="str">
        <f>IF(OR(E2668="",E2668="!!!",F2668="NEW"),"",COUNTBLANK(OFFSET(A$1,,,SUMPRODUCT(MAX(ROW(E$2:E2668)*(E2668=E$2:E2668)))))-COUNTBLANK(OFFSET(A$1,,,SUMPRODUCT(MAX(ROW(E$1:E2667)*(E2=E$1:E2667))))))</f>
        <v> </v>
      </c>
      <c r="K2668" s="26" t="str">
        <f>IF(OR(E2668="",E2668="!!!",F2668="NEW"),"",INDEX(J$1:J2667,SUMPRODUCT(MAX(ROW(E$1:E2667)*(E2668=E$1:E2667)))))</f>
        <v> </v>
      </c>
      <c r="L2668" s="27"/>
    </row>
    <row r="2669" spans="1:12">
      <c r="A2669" s="20" t="s">
        <v>1042</v>
      </c>
      <c r="B2669" s="21" t="s">
        <v>762</v>
      </c>
      <c r="C2669" s="21" t="s">
        <v>602</v>
      </c>
      <c r="E2669" s="22">
        <f>IF(D2669="?OLD","!!!","")</f>
        <v/>
      </c>
      <c r="F2669" s="23" t="str">
        <f>IF(OR(E2669="",E2669="!!!"),"",IF(NOT(ISNA(VLOOKUP(E2669,E$1:E2668,1,FALSE()))),"OLD",IF(AND(E2669&lt;&gt;"",E2669&lt;&gt;"!!!"),"NEW","")))</f>
        <v> </v>
      </c>
      <c r="G2669" s="24" t="str">
        <f>IF(OR(E2669="",E2669="!!!"),"",IF(OR(J2669=0,AND(J2669=1,K2669=1),AND(J2669=1,I2669="SBJ"),AND(J2669=1,I2669=0)),"?IN_FOCUS",IF(J2669&lt;=2,"?ACTIVATED",IF(J2669&lt;&gt;"","?FAMILIAR",IF(F2669="NEW",IF(ISNA(VLOOKUP(E2669,#REF!,1,FALSE())),"?TYPE_IDENTIFIABLE","?REFERENTIAL"),"_")))))</f>
        <v> </v>
      </c>
      <c r="H2669" s="25" t="str">
        <f>IF(J2669&lt;&gt;1,"",IF(I2669="SBJ","CB","?"))</f>
        <v> </v>
      </c>
      <c r="I2669" s="26" t="str">
        <f>IF(OR(E2669="",E2669="!!!",F2669="NEW"),"",INDEX(B2668:B$2,-1+SUMPRODUCT(MAX(ROW(E2668:E$2)*(E2669=E2668:E$2)))))</f>
        <v> </v>
      </c>
      <c r="J2669" s="26" t="str">
        <f>IF(OR(E2669="",E2669="!!!",F2669="NEW"),"",COUNTBLANK(OFFSET(A$1,,,SUMPRODUCT(MAX(ROW(E$2:E2669)*(E2669=E$2:E2669)))))-COUNTBLANK(OFFSET(A$1,,,SUMPRODUCT(MAX(ROW(E$1:E2668)*(E2=E$1:E2668))))))</f>
        <v> </v>
      </c>
      <c r="K2669" s="26" t="str">
        <f>IF(OR(E2669="",E2669="!!!",F2669="NEW"),"",INDEX(J$1:J2668,SUMPRODUCT(MAX(ROW(E$1:E2668)*(E2669=E$1:E2668)))))</f>
        <v> </v>
      </c>
      <c r="L2669" s="27"/>
    </row>
    <row r="2670" spans="1:12">
      <c r="A2670" s="20" t="s">
        <v>1757</v>
      </c>
      <c r="E2670" s="22">
        <f>IF(D2670="?OLD","!!!","")</f>
        <v/>
      </c>
      <c r="F2670" s="23" t="str">
        <f>IF(OR(E2670="",E2670="!!!"),"",IF(NOT(ISNA(VLOOKUP(E2670,E$1:E2669,1,FALSE()))),"OLD",IF(AND(E2670&lt;&gt;"",E2670&lt;&gt;"!!!"),"NEW","")))</f>
        <v> </v>
      </c>
      <c r="G2670" s="24" t="str">
        <f>IF(OR(E2670="",E2670="!!!"),"",IF(OR(J2670=0,AND(J2670=1,K2670=1),AND(J2670=1,I2670="SBJ"),AND(J2670=1,I2670=0)),"?IN_FOCUS",IF(J2670&lt;=2,"?ACTIVATED",IF(J2670&lt;&gt;"","?FAMILIAR",IF(F2670="NEW",IF(ISNA(VLOOKUP(E2670,#REF!,1,FALSE())),"?TYPE_IDENTIFIABLE","?REFERENTIAL"),"_")))))</f>
        <v> </v>
      </c>
      <c r="H2670" s="25" t="str">
        <f>IF(J2670&lt;&gt;1,"",IF(I2670="SBJ","CB","?"))</f>
        <v> </v>
      </c>
      <c r="I2670" s="26" t="str">
        <f>IF(OR(E2670="",E2670="!!!",F2670="NEW"),"",INDEX(B2669:B$2,-1+SUMPRODUCT(MAX(ROW(E2669:E$2)*(E2670=E2669:E$2)))))</f>
        <v> </v>
      </c>
      <c r="J2670" s="26" t="str">
        <f>IF(OR(E2670="",E2670="!!!",F2670="NEW"),"",COUNTBLANK(OFFSET(A$1,,,SUMPRODUCT(MAX(ROW(E$2:E2670)*(E2670=E$2:E2670)))))-COUNTBLANK(OFFSET(A$1,,,SUMPRODUCT(MAX(ROW(E$1:E2669)*(E2=E$1:E2669))))))</f>
        <v> </v>
      </c>
      <c r="K2670" s="26" t="str">
        <f>IF(OR(E2670="",E2670="!!!",F2670="NEW"),"",INDEX(J$1:J2669,SUMPRODUCT(MAX(ROW(E$1:E2669)*(E2670=E$1:E2669)))))</f>
        <v> </v>
      </c>
      <c r="L2670" s="27"/>
    </row>
    <row r="2671" spans="1:12">
      <c r="A2671" s="20" t="s">
        <v>1758</v>
      </c>
      <c r="E2671" s="22">
        <f>IF(D2671="?OLD","!!!","")</f>
        <v/>
      </c>
      <c r="F2671" s="23" t="str">
        <f>IF(OR(E2671="",E2671="!!!"),"",IF(NOT(ISNA(VLOOKUP(E2671,E$1:E2670,1,FALSE()))),"OLD",IF(AND(E2671&lt;&gt;"",E2671&lt;&gt;"!!!"),"NEW","")))</f>
        <v> </v>
      </c>
      <c r="G2671" s="24" t="str">
        <f>IF(OR(E2671="",E2671="!!!"),"",IF(OR(J2671=0,AND(J2671=1,K2671=1),AND(J2671=1,I2671="SBJ"),AND(J2671=1,I2671=0)),"?IN_FOCUS",IF(J2671&lt;=2,"?ACTIVATED",IF(J2671&lt;&gt;"","?FAMILIAR",IF(F2671="NEW",IF(ISNA(VLOOKUP(E2671,#REF!,1,FALSE())),"?TYPE_IDENTIFIABLE","?REFERENTIAL"),"_")))))</f>
        <v> </v>
      </c>
      <c r="H2671" s="25" t="str">
        <f>IF(J2671&lt;&gt;1,"",IF(I2671="SBJ","CB","?"))</f>
        <v> </v>
      </c>
      <c r="I2671" s="26" t="str">
        <f>IF(OR(E2671="",E2671="!!!",F2671="NEW"),"",INDEX(B2670:B$2,-1+SUMPRODUCT(MAX(ROW(E2670:E$2)*(E2671=E2670:E$2)))))</f>
        <v> </v>
      </c>
      <c r="J2671" s="26" t="str">
        <f>IF(OR(E2671="",E2671="!!!",F2671="NEW"),"",COUNTBLANK(OFFSET(A$1,,,SUMPRODUCT(MAX(ROW(E$2:E2671)*(E2671=E$2:E2671)))))-COUNTBLANK(OFFSET(A$1,,,SUMPRODUCT(MAX(ROW(E$1:E2670)*(E2=E$1:E2670))))))</f>
        <v> </v>
      </c>
      <c r="K2671" s="26" t="str">
        <f>IF(OR(E2671="",E2671="!!!",F2671="NEW"),"",INDEX(J$1:J2670,SUMPRODUCT(MAX(ROW(E$1:E2670)*(E2671=E$1:E2670)))))</f>
        <v> </v>
      </c>
      <c r="L2671" s="27"/>
    </row>
    <row r="2672" spans="1:12">
      <c r="A2672" s="20" t="s">
        <v>583</v>
      </c>
      <c r="E2672" s="22">
        <f>IF(D2672="?OLD","!!!","")</f>
        <v/>
      </c>
      <c r="F2672" s="23" t="str">
        <f>IF(OR(E2672="",E2672="!!!"),"",IF(NOT(ISNA(VLOOKUP(E2672,E$1:E2671,1,FALSE()))),"OLD",IF(AND(E2672&lt;&gt;"",E2672&lt;&gt;"!!!"),"NEW","")))</f>
        <v> </v>
      </c>
      <c r="G2672" s="24" t="str">
        <f>IF(OR(E2672="",E2672="!!!"),"",IF(OR(J2672=0,AND(J2672=1,K2672=1),AND(J2672=1,I2672="SBJ"),AND(J2672=1,I2672=0)),"?IN_FOCUS",IF(J2672&lt;=2,"?ACTIVATED",IF(J2672&lt;&gt;"","?FAMILIAR",IF(F2672="NEW",IF(ISNA(VLOOKUP(E2672,#REF!,1,FALSE())),"?TYPE_IDENTIFIABLE","?REFERENTIAL"),"_")))))</f>
        <v> </v>
      </c>
      <c r="H2672" s="25" t="str">
        <f>IF(J2672&lt;&gt;1,"",IF(I2672="SBJ","CB","?"))</f>
        <v> </v>
      </c>
      <c r="I2672" s="26" t="str">
        <f>IF(OR(E2672="",E2672="!!!",F2672="NEW"),"",INDEX(B2671:B$2,-1+SUMPRODUCT(MAX(ROW(E2671:E$2)*(E2672=E2671:E$2)))))</f>
        <v> </v>
      </c>
      <c r="J2672" s="26" t="str">
        <f>IF(OR(E2672="",E2672="!!!",F2672="NEW"),"",COUNTBLANK(OFFSET(A$1,,,SUMPRODUCT(MAX(ROW(E$2:E2672)*(E2672=E$2:E2672)))))-COUNTBLANK(OFFSET(A$1,,,SUMPRODUCT(MAX(ROW(E$1:E2671)*(E2=E$1:E2671))))))</f>
        <v> </v>
      </c>
      <c r="K2672" s="26" t="str">
        <f>IF(OR(E2672="",E2672="!!!",F2672="NEW"),"",INDEX(J$1:J2671,SUMPRODUCT(MAX(ROW(E$1:E2671)*(E2672=E$1:E2671)))))</f>
        <v> </v>
      </c>
      <c r="L2672" s="27"/>
    </row>
    <row r="2673" spans="1:12">
      <c r="A2673" s="20" t="s">
        <v>1136</v>
      </c>
      <c r="E2673" s="22">
        <f>IF(D2673="?OLD","!!!","")</f>
        <v/>
      </c>
      <c r="F2673" s="23" t="str">
        <f>IF(OR(E2673="",E2673="!!!"),"",IF(NOT(ISNA(VLOOKUP(E2673,E$1:E2672,1,FALSE()))),"OLD",IF(AND(E2673&lt;&gt;"",E2673&lt;&gt;"!!!"),"NEW","")))</f>
        <v> </v>
      </c>
      <c r="G2673" s="24" t="str">
        <f>IF(OR(E2673="",E2673="!!!"),"",IF(OR(J2673=0,AND(J2673=1,K2673=1),AND(J2673=1,I2673="SBJ"),AND(J2673=1,I2673=0)),"?IN_FOCUS",IF(J2673&lt;=2,"?ACTIVATED",IF(J2673&lt;&gt;"","?FAMILIAR",IF(F2673="NEW",IF(ISNA(VLOOKUP(E2673,#REF!,1,FALSE())),"?TYPE_IDENTIFIABLE","?REFERENTIAL"),"_")))))</f>
        <v> </v>
      </c>
      <c r="H2673" s="25" t="str">
        <f>IF(J2673&lt;&gt;1,"",IF(I2673="SBJ","CB","?"))</f>
        <v> </v>
      </c>
      <c r="I2673" s="26" t="str">
        <f>IF(OR(E2673="",E2673="!!!",F2673="NEW"),"",INDEX(B2672:B$2,-1+SUMPRODUCT(MAX(ROW(E2672:E$2)*(E2673=E2672:E$2)))))</f>
        <v> </v>
      </c>
      <c r="J2673" s="26" t="str">
        <f>IF(OR(E2673="",E2673="!!!",F2673="NEW"),"",COUNTBLANK(OFFSET(A$1,,,SUMPRODUCT(MAX(ROW(E$2:E2673)*(E2673=E$2:E2673)))))-COUNTBLANK(OFFSET(A$1,,,SUMPRODUCT(MAX(ROW(E$1:E2672)*(E2=E$1:E2672))))))</f>
        <v> </v>
      </c>
      <c r="K2673" s="26" t="str">
        <f>IF(OR(E2673="",E2673="!!!",F2673="NEW"),"",INDEX(J$1:J2672,SUMPRODUCT(MAX(ROW(E$1:E2672)*(E2673=E$1:E2672)))))</f>
        <v> </v>
      </c>
      <c r="L2673" s="27"/>
    </row>
    <row r="2674" spans="1:12">
      <c r="A2674" s="20" t="s">
        <v>1755</v>
      </c>
      <c r="B2674" s="21" t="s">
        <v>645</v>
      </c>
      <c r="C2674" s="21" t="s">
        <v>628</v>
      </c>
      <c r="D2674" s="21" t="s">
        <v>587</v>
      </c>
      <c r="E2674" s="22">
        <f>IF(D2674="?OLD","!!!","")</f>
        <v/>
      </c>
      <c r="F2674" s="23" t="str">
        <f>IF(OR(E2674="",E2674="!!!"),"",IF(NOT(ISNA(VLOOKUP(E2674,E$1:E2673,1,FALSE()))),"OLD",IF(AND(E2674&lt;&gt;"",E2674&lt;&gt;"!!!"),"NEW","")))</f>
        <v> </v>
      </c>
      <c r="G2674" s="24" t="str">
        <f>IF(OR(E2674="",E2674="!!!"),"",IF(OR(J2674=0,AND(J2674=1,K2674=1),AND(J2674=1,I2674="SBJ"),AND(J2674=1,I2674=0)),"?IN_FOCUS",IF(J2674&lt;=2,"?ACTIVATED",IF(J2674&lt;&gt;"","?FAMILIAR",IF(F2674="NEW",IF(ISNA(VLOOKUP(E2674,#REF!,1,FALSE())),"?TYPE_IDENTIFIABLE","?REFERENTIAL"),"_")))))</f>
        <v> </v>
      </c>
      <c r="H2674" s="25" t="str">
        <f>IF(J2674&lt;&gt;1,"",IF(I2674="SBJ","CB","?"))</f>
        <v> </v>
      </c>
      <c r="I2674" s="26" t="str">
        <f>IF(OR(E2674="",E2674="!!!",F2674="NEW"),"",INDEX(B2673:B$2,-1+SUMPRODUCT(MAX(ROW(E2673:E$2)*(E2674=E2673:E$2)))))</f>
        <v> </v>
      </c>
      <c r="J2674" s="26" t="str">
        <f>IF(OR(E2674="",E2674="!!!",F2674="NEW"),"",COUNTBLANK(OFFSET(A$1,,,SUMPRODUCT(MAX(ROW(E$2:E2674)*(E2674=E$2:E2674)))))-COUNTBLANK(OFFSET(A$1,,,SUMPRODUCT(MAX(ROW(E$1:E2673)*(E2=E$1:E2673))))))</f>
        <v> </v>
      </c>
      <c r="K2674" s="26" t="str">
        <f>IF(OR(E2674="",E2674="!!!",F2674="NEW"),"",INDEX(J$1:J2673,SUMPRODUCT(MAX(ROW(E$1:E2673)*(E2674=E$1:E2673)))))</f>
        <v> </v>
      </c>
      <c r="L2674" s="27"/>
    </row>
    <row r="2675" spans="1:12">
      <c r="A2675" s="20" t="s">
        <v>1759</v>
      </c>
      <c r="B2675" s="21" t="s">
        <v>722</v>
      </c>
      <c r="C2675" s="21" t="s">
        <v>628</v>
      </c>
      <c r="D2675" s="21" t="s">
        <v>587</v>
      </c>
      <c r="E2675" s="22">
        <f>IF(D2675="?OLD","!!!","")</f>
        <v/>
      </c>
      <c r="F2675" s="23" t="str">
        <f>IF(OR(E2675="",E2675="!!!"),"",IF(NOT(ISNA(VLOOKUP(E2675,E$1:E2674,1,FALSE()))),"OLD",IF(AND(E2675&lt;&gt;"",E2675&lt;&gt;"!!!"),"NEW","")))</f>
        <v> </v>
      </c>
      <c r="G2675" s="24" t="str">
        <f>IF(OR(E2675="",E2675="!!!"),"",IF(OR(J2675=0,AND(J2675=1,K2675=1),AND(J2675=1,I2675="SBJ"),AND(J2675=1,I2675=0)),"?IN_FOCUS",IF(J2675&lt;=2,"?ACTIVATED",IF(J2675&lt;&gt;"","?FAMILIAR",IF(F2675="NEW",IF(ISNA(VLOOKUP(E2675,#REF!,1,FALSE())),"?TYPE_IDENTIFIABLE","?REFERENTIAL"),"_")))))</f>
        <v> </v>
      </c>
      <c r="H2675" s="25" t="str">
        <f>IF(J2675&lt;&gt;1,"",IF(I2675="SBJ","CB","?"))</f>
        <v> </v>
      </c>
      <c r="I2675" s="26" t="str">
        <f>IF(OR(E2675="",E2675="!!!",F2675="NEW"),"",INDEX(B2674:B$2,-1+SUMPRODUCT(MAX(ROW(E2674:E$2)*(E2675=E2674:E$2)))))</f>
        <v> </v>
      </c>
      <c r="J2675" s="26" t="str">
        <f>IF(OR(E2675="",E2675="!!!",F2675="NEW"),"",COUNTBLANK(OFFSET(A$1,,,SUMPRODUCT(MAX(ROW(E$2:E2675)*(E2675=E$2:E2675)))))-COUNTBLANK(OFFSET(A$1,,,SUMPRODUCT(MAX(ROW(E$1:E2674)*(E2=E$1:E2674))))))</f>
        <v> </v>
      </c>
      <c r="K2675" s="26" t="str">
        <f>IF(OR(E2675="",E2675="!!!",F2675="NEW"),"",INDEX(J$1:J2674,SUMPRODUCT(MAX(ROW(E$1:E2674)*(E2675=E$1:E2674)))))</f>
        <v> </v>
      </c>
      <c r="L2675" s="27"/>
    </row>
    <row r="2676" spans="1:12">
      <c r="A2676" s="20" t="s">
        <v>583</v>
      </c>
      <c r="E2676" s="22">
        <f>IF(D2676="?OLD","!!!","")</f>
        <v/>
      </c>
      <c r="F2676" s="23" t="str">
        <f>IF(OR(E2676="",E2676="!!!"),"",IF(NOT(ISNA(VLOOKUP(E2676,E$1:E2675,1,FALSE()))),"OLD",IF(AND(E2676&lt;&gt;"",E2676&lt;&gt;"!!!"),"NEW","")))</f>
        <v> </v>
      </c>
      <c r="G2676" s="24" t="str">
        <f>IF(OR(E2676="",E2676="!!!"),"",IF(OR(J2676=0,AND(J2676=1,K2676=1),AND(J2676=1,I2676="SBJ"),AND(J2676=1,I2676=0)),"?IN_FOCUS",IF(J2676&lt;=2,"?ACTIVATED",IF(J2676&lt;&gt;"","?FAMILIAR",IF(F2676="NEW",IF(ISNA(VLOOKUP(E2676,#REF!,1,FALSE())),"?TYPE_IDENTIFIABLE","?REFERENTIAL"),"_")))))</f>
        <v> </v>
      </c>
      <c r="H2676" s="25" t="str">
        <f>IF(J2676&lt;&gt;1,"",IF(I2676="SBJ","CB","?"))</f>
        <v> </v>
      </c>
      <c r="I2676" s="26" t="str">
        <f>IF(OR(E2676="",E2676="!!!",F2676="NEW"),"",INDEX(B2675:B$2,-1+SUMPRODUCT(MAX(ROW(E2675:E$2)*(E2676=E2675:E$2)))))</f>
        <v> </v>
      </c>
      <c r="J2676" s="26" t="str">
        <f>IF(OR(E2676="",E2676="!!!",F2676="NEW"),"",COUNTBLANK(OFFSET(A$1,,,SUMPRODUCT(MAX(ROW(E$2:E2676)*(E2676=E$2:E2676)))))-COUNTBLANK(OFFSET(A$1,,,SUMPRODUCT(MAX(ROW(E$1:E2675)*(E2=E$1:E2675))))))</f>
        <v> </v>
      </c>
      <c r="K2676" s="26" t="str">
        <f>IF(OR(E2676="",E2676="!!!",F2676="NEW"),"",INDEX(J$1:J2675,SUMPRODUCT(MAX(ROW(E$1:E2675)*(E2676=E$1:E2675)))))</f>
        <v> </v>
      </c>
      <c r="L2676" s="27"/>
    </row>
    <row r="2677" spans="1:12">
      <c r="A2677" s="20" t="s">
        <v>609</v>
      </c>
      <c r="E2677" s="22">
        <f>IF(D2677="?OLD","!!!","")</f>
        <v/>
      </c>
      <c r="F2677" s="23" t="str">
        <f>IF(OR(E2677="",E2677="!!!"),"",IF(NOT(ISNA(VLOOKUP(E2677,E$1:E2676,1,FALSE()))),"OLD",IF(AND(E2677&lt;&gt;"",E2677&lt;&gt;"!!!"),"NEW","")))</f>
        <v> </v>
      </c>
      <c r="G2677" s="24" t="str">
        <f>IF(OR(E2677="",E2677="!!!"),"",IF(OR(J2677=0,AND(J2677=1,K2677=1),AND(J2677=1,I2677="SBJ"),AND(J2677=1,I2677=0)),"?IN_FOCUS",IF(J2677&lt;=2,"?ACTIVATED",IF(J2677&lt;&gt;"","?FAMILIAR",IF(F2677="NEW",IF(ISNA(VLOOKUP(E2677,#REF!,1,FALSE())),"?TYPE_IDENTIFIABLE","?REFERENTIAL"),"_")))))</f>
        <v> </v>
      </c>
      <c r="H2677" s="25" t="str">
        <f>IF(J2677&lt;&gt;1,"",IF(I2677="SBJ","CB","?"))</f>
        <v> </v>
      </c>
      <c r="I2677" s="26" t="str">
        <f>IF(OR(E2677="",E2677="!!!",F2677="NEW"),"",INDEX(B2676:B$2,-1+SUMPRODUCT(MAX(ROW(E2676:E$2)*(E2677=E2676:E$2)))))</f>
        <v> </v>
      </c>
      <c r="J2677" s="26" t="str">
        <f>IF(OR(E2677="",E2677="!!!",F2677="NEW"),"",COUNTBLANK(OFFSET(A$1,,,SUMPRODUCT(MAX(ROW(E$2:E2677)*(E2677=E$2:E2677)))))-COUNTBLANK(OFFSET(A$1,,,SUMPRODUCT(MAX(ROW(E$1:E2676)*(E2=E$1:E2676))))))</f>
        <v> </v>
      </c>
      <c r="K2677" s="26" t="str">
        <f>IF(OR(E2677="",E2677="!!!",F2677="NEW"),"",INDEX(J$1:J2676,SUMPRODUCT(MAX(ROW(E$1:E2676)*(E2677=E$1:E2676)))))</f>
        <v> </v>
      </c>
      <c r="L2677" s="27"/>
    </row>
    <row r="2678" spans="1:12">
      <c r="A2678" s="20" t="s">
        <v>1760</v>
      </c>
      <c r="E2678" s="22">
        <f>IF(D2678="?OLD","!!!","")</f>
        <v/>
      </c>
      <c r="F2678" s="23" t="str">
        <f>IF(OR(E2678="",E2678="!!!"),"",IF(NOT(ISNA(VLOOKUP(E2678,E$1:E2677,1,FALSE()))),"OLD",IF(AND(E2678&lt;&gt;"",E2678&lt;&gt;"!!!"),"NEW","")))</f>
        <v> </v>
      </c>
      <c r="G2678" s="24" t="str">
        <f>IF(OR(E2678="",E2678="!!!"),"",IF(OR(J2678=0,AND(J2678=1,K2678=1),AND(J2678=1,I2678="SBJ"),AND(J2678=1,I2678=0)),"?IN_FOCUS",IF(J2678&lt;=2,"?ACTIVATED",IF(J2678&lt;&gt;"","?FAMILIAR",IF(F2678="NEW",IF(ISNA(VLOOKUP(E2678,#REF!,1,FALSE())),"?TYPE_IDENTIFIABLE","?REFERENTIAL"),"_")))))</f>
        <v> </v>
      </c>
      <c r="H2678" s="25" t="str">
        <f>IF(J2678&lt;&gt;1,"",IF(I2678="SBJ","CB","?"))</f>
        <v> </v>
      </c>
      <c r="I2678" s="26" t="str">
        <f>IF(OR(E2678="",E2678="!!!",F2678="NEW"),"",INDEX(B2677:B$2,-1+SUMPRODUCT(MAX(ROW(E2677:E$2)*(E2678=E2677:E$2)))))</f>
        <v> </v>
      </c>
      <c r="J2678" s="26" t="str">
        <f>IF(OR(E2678="",E2678="!!!",F2678="NEW"),"",COUNTBLANK(OFFSET(A$1,,,SUMPRODUCT(MAX(ROW(E$2:E2678)*(E2678=E$2:E2678)))))-COUNTBLANK(OFFSET(A$1,,,SUMPRODUCT(MAX(ROW(E$1:E2677)*(E2=E$1:E2677))))))</f>
        <v> </v>
      </c>
      <c r="K2678" s="26" t="str">
        <f>IF(OR(E2678="",E2678="!!!",F2678="NEW"),"",INDEX(J$1:J2677,SUMPRODUCT(MAX(ROW(E$1:E2677)*(E2678=E$1:E2677)))))</f>
        <v> </v>
      </c>
      <c r="L2678" s="27"/>
    </row>
    <row r="2679" spans="1:12">
      <c r="A2679" s="20" t="s">
        <v>810</v>
      </c>
      <c r="E2679" s="22">
        <f>IF(D2679="?OLD","!!!","")</f>
        <v/>
      </c>
      <c r="F2679" s="23" t="str">
        <f>IF(OR(E2679="",E2679="!!!"),"",IF(NOT(ISNA(VLOOKUP(E2679,E$1:E2678,1,FALSE()))),"OLD",IF(AND(E2679&lt;&gt;"",E2679&lt;&gt;"!!!"),"NEW","")))</f>
        <v> </v>
      </c>
      <c r="G2679" s="24" t="str">
        <f>IF(OR(E2679="",E2679="!!!"),"",IF(OR(J2679=0,AND(J2679=1,K2679=1),AND(J2679=1,I2679="SBJ"),AND(J2679=1,I2679=0)),"?IN_FOCUS",IF(J2679&lt;=2,"?ACTIVATED",IF(J2679&lt;&gt;"","?FAMILIAR",IF(F2679="NEW",IF(ISNA(VLOOKUP(E2679,#REF!,1,FALSE())),"?TYPE_IDENTIFIABLE","?REFERENTIAL"),"_")))))</f>
        <v> </v>
      </c>
      <c r="H2679" s="25" t="str">
        <f>IF(J2679&lt;&gt;1,"",IF(I2679="SBJ","CB","?"))</f>
        <v> </v>
      </c>
      <c r="I2679" s="26" t="str">
        <f>IF(OR(E2679="",E2679="!!!",F2679="NEW"),"",INDEX(B2678:B$2,-1+SUMPRODUCT(MAX(ROW(E2678:E$2)*(E2679=E2678:E$2)))))</f>
        <v> </v>
      </c>
      <c r="J2679" s="26" t="str">
        <f>IF(OR(E2679="",E2679="!!!",F2679="NEW"),"",COUNTBLANK(OFFSET(A$1,,,SUMPRODUCT(MAX(ROW(E$2:E2679)*(E2679=E$2:E2679)))))-COUNTBLANK(OFFSET(A$1,,,SUMPRODUCT(MAX(ROW(E$1:E2678)*(E2=E$1:E2678))))))</f>
        <v> </v>
      </c>
      <c r="K2679" s="26" t="str">
        <f>IF(OR(E2679="",E2679="!!!",F2679="NEW"),"",INDEX(J$1:J2678,SUMPRODUCT(MAX(ROW(E$1:E2678)*(E2679=E$1:E2678)))))</f>
        <v> </v>
      </c>
      <c r="L2679" s="27"/>
    </row>
    <row r="2680" spans="1:12">
      <c r="A2680" s="20" t="s">
        <v>1761</v>
      </c>
      <c r="E2680" s="22">
        <f>IF(D2680="?OLD","!!!","")</f>
        <v/>
      </c>
      <c r="F2680" s="23" t="str">
        <f>IF(OR(E2680="",E2680="!!!"),"",IF(NOT(ISNA(VLOOKUP(E2680,E$1:E2679,1,FALSE()))),"OLD",IF(AND(E2680&lt;&gt;"",E2680&lt;&gt;"!!!"),"NEW","")))</f>
        <v> </v>
      </c>
      <c r="G2680" s="24" t="str">
        <f>IF(OR(E2680="",E2680="!!!"),"",IF(OR(J2680=0,AND(J2680=1,K2680=1),AND(J2680=1,I2680="SBJ"),AND(J2680=1,I2680=0)),"?IN_FOCUS",IF(J2680&lt;=2,"?ACTIVATED",IF(J2680&lt;&gt;"","?FAMILIAR",IF(F2680="NEW",IF(ISNA(VLOOKUP(E2680,#REF!,1,FALSE())),"?TYPE_IDENTIFIABLE","?REFERENTIAL"),"_")))))</f>
        <v> </v>
      </c>
      <c r="H2680" s="25" t="str">
        <f>IF(J2680&lt;&gt;1,"",IF(I2680="SBJ","CB","?"))</f>
        <v> </v>
      </c>
      <c r="I2680" s="26" t="str">
        <f>IF(OR(E2680="",E2680="!!!",F2680="NEW"),"",INDEX(B2679:B$2,-1+SUMPRODUCT(MAX(ROW(E2679:E$2)*(E2680=E2679:E$2)))))</f>
        <v> </v>
      </c>
      <c r="J2680" s="26" t="str">
        <f>IF(OR(E2680="",E2680="!!!",F2680="NEW"),"",COUNTBLANK(OFFSET(A$1,,,SUMPRODUCT(MAX(ROW(E$2:E2680)*(E2680=E$2:E2680)))))-COUNTBLANK(OFFSET(A$1,,,SUMPRODUCT(MAX(ROW(E$1:E2679)*(E2=E$1:E2679))))))</f>
        <v> </v>
      </c>
      <c r="K2680" s="26" t="str">
        <f>IF(OR(E2680="",E2680="!!!",F2680="NEW"),"",INDEX(J$1:J2679,SUMPRODUCT(MAX(ROW(E$1:E2679)*(E2680=E$1:E2679)))))</f>
        <v> </v>
      </c>
      <c r="L2680" s="27"/>
    </row>
    <row r="2681" spans="1:12">
      <c r="A2681" s="20" t="s">
        <v>1762</v>
      </c>
      <c r="E2681" s="22">
        <f>IF(D2681="?OLD","!!!","")</f>
        <v/>
      </c>
      <c r="F2681" s="23" t="str">
        <f>IF(OR(E2681="",E2681="!!!"),"",IF(NOT(ISNA(VLOOKUP(E2681,E$1:E2680,1,FALSE()))),"OLD",IF(AND(E2681&lt;&gt;"",E2681&lt;&gt;"!!!"),"NEW","")))</f>
        <v> </v>
      </c>
      <c r="G2681" s="24" t="str">
        <f>IF(OR(E2681="",E2681="!!!"),"",IF(OR(J2681=0,AND(J2681=1,K2681=1),AND(J2681=1,I2681="SBJ"),AND(J2681=1,I2681=0)),"?IN_FOCUS",IF(J2681&lt;=2,"?ACTIVATED",IF(J2681&lt;&gt;"","?FAMILIAR",IF(F2681="NEW",IF(ISNA(VLOOKUP(E2681,#REF!,1,FALSE())),"?TYPE_IDENTIFIABLE","?REFERENTIAL"),"_")))))</f>
        <v> </v>
      </c>
      <c r="H2681" s="25" t="str">
        <f>IF(J2681&lt;&gt;1,"",IF(I2681="SBJ","CB","?"))</f>
        <v> </v>
      </c>
      <c r="I2681" s="26" t="str">
        <f>IF(OR(E2681="",E2681="!!!",F2681="NEW"),"",INDEX(B2680:B$2,-1+SUMPRODUCT(MAX(ROW(E2680:E$2)*(E2681=E2680:E$2)))))</f>
        <v> </v>
      </c>
      <c r="J2681" s="26" t="str">
        <f>IF(OR(E2681="",E2681="!!!",F2681="NEW"),"",COUNTBLANK(OFFSET(A$1,,,SUMPRODUCT(MAX(ROW(E$2:E2681)*(E2681=E$2:E2681)))))-COUNTBLANK(OFFSET(A$1,,,SUMPRODUCT(MAX(ROW(E$1:E2680)*(E2=E$1:E2680))))))</f>
        <v> </v>
      </c>
      <c r="K2681" s="26" t="str">
        <f>IF(OR(E2681="",E2681="!!!",F2681="NEW"),"",INDEX(J$1:J2680,SUMPRODUCT(MAX(ROW(E$1:E2680)*(E2681=E$1:E2680)))))</f>
        <v> </v>
      </c>
      <c r="L2681" s="27"/>
    </row>
    <row r="2682" spans="1:12">
      <c r="A2682" s="20" t="s">
        <v>583</v>
      </c>
      <c r="E2682" s="22">
        <f>IF(D2682="?OLD","!!!","")</f>
        <v/>
      </c>
      <c r="F2682" s="23" t="str">
        <f>IF(OR(E2682="",E2682="!!!"),"",IF(NOT(ISNA(VLOOKUP(E2682,E$1:E2681,1,FALSE()))),"OLD",IF(AND(E2682&lt;&gt;"",E2682&lt;&gt;"!!!"),"NEW","")))</f>
        <v> </v>
      </c>
      <c r="G2682" s="24" t="str">
        <f>IF(OR(E2682="",E2682="!!!"),"",IF(OR(J2682=0,AND(J2682=1,K2682=1),AND(J2682=1,I2682="SBJ"),AND(J2682=1,I2682=0)),"?IN_FOCUS",IF(J2682&lt;=2,"?ACTIVATED",IF(J2682&lt;&gt;"","?FAMILIAR",IF(F2682="NEW",IF(ISNA(VLOOKUP(E2682,#REF!,1,FALSE())),"?TYPE_IDENTIFIABLE","?REFERENTIAL"),"_")))))</f>
        <v> </v>
      </c>
      <c r="H2682" s="25" t="str">
        <f>IF(J2682&lt;&gt;1,"",IF(I2682="SBJ","CB","?"))</f>
        <v> </v>
      </c>
      <c r="I2682" s="26" t="str">
        <f>IF(OR(E2682="",E2682="!!!",F2682="NEW"),"",INDEX(B2681:B$2,-1+SUMPRODUCT(MAX(ROW(E2681:E$2)*(E2682=E2681:E$2)))))</f>
        <v> </v>
      </c>
      <c r="J2682" s="26" t="str">
        <f>IF(OR(E2682="",E2682="!!!",F2682="NEW"),"",COUNTBLANK(OFFSET(A$1,,,SUMPRODUCT(MAX(ROW(E$2:E2682)*(E2682=E$2:E2682)))))-COUNTBLANK(OFFSET(A$1,,,SUMPRODUCT(MAX(ROW(E$1:E2681)*(E2=E$1:E2681))))))</f>
        <v> </v>
      </c>
      <c r="K2682" s="26" t="str">
        <f>IF(OR(E2682="",E2682="!!!",F2682="NEW"),"",INDEX(J$1:J2681,SUMPRODUCT(MAX(ROW(E$1:E2681)*(E2682=E$1:E2681)))))</f>
        <v> </v>
      </c>
      <c r="L2682" s="27"/>
    </row>
    <row r="2683" spans="1:12">
      <c r="A2683" s="20" t="s">
        <v>1136</v>
      </c>
      <c r="E2683" s="22">
        <f>IF(D2683="?OLD","!!!","")</f>
        <v/>
      </c>
      <c r="F2683" s="23" t="str">
        <f>IF(OR(E2683="",E2683="!!!"),"",IF(NOT(ISNA(VLOOKUP(E2683,E$1:E2682,1,FALSE()))),"OLD",IF(AND(E2683&lt;&gt;"",E2683&lt;&gt;"!!!"),"NEW","")))</f>
        <v> </v>
      </c>
      <c r="G2683" s="24" t="str">
        <f>IF(OR(E2683="",E2683="!!!"),"",IF(OR(J2683=0,AND(J2683=1,K2683=1),AND(J2683=1,I2683="SBJ"),AND(J2683=1,I2683=0)),"?IN_FOCUS",IF(J2683&lt;=2,"?ACTIVATED",IF(J2683&lt;&gt;"","?FAMILIAR",IF(F2683="NEW",IF(ISNA(VLOOKUP(E2683,#REF!,1,FALSE())),"?TYPE_IDENTIFIABLE","?REFERENTIAL"),"_")))))</f>
        <v> </v>
      </c>
      <c r="H2683" s="25" t="str">
        <f>IF(J2683&lt;&gt;1,"",IF(I2683="SBJ","CB","?"))</f>
        <v> </v>
      </c>
      <c r="I2683" s="26" t="str">
        <f>IF(OR(E2683="",E2683="!!!",F2683="NEW"),"",INDEX(B2682:B$2,-1+SUMPRODUCT(MAX(ROW(E2682:E$2)*(E2683=E2682:E$2)))))</f>
        <v> </v>
      </c>
      <c r="J2683" s="26" t="str">
        <f>IF(OR(E2683="",E2683="!!!",F2683="NEW"),"",COUNTBLANK(OFFSET(A$1,,,SUMPRODUCT(MAX(ROW(E$2:E2683)*(E2683=E$2:E2683)))))-COUNTBLANK(OFFSET(A$1,,,SUMPRODUCT(MAX(ROW(E$1:E2682)*(E2=E$1:E2682))))))</f>
        <v> </v>
      </c>
      <c r="K2683" s="26" t="str">
        <f>IF(OR(E2683="",E2683="!!!",F2683="NEW"),"",INDEX(J$1:J2682,SUMPRODUCT(MAX(ROW(E$1:E2682)*(E2683=E$1:E2682)))))</f>
        <v> </v>
      </c>
      <c r="L2683" s="27"/>
    </row>
    <row r="2684" spans="1:12">
      <c r="A2684" s="20" t="s">
        <v>1022</v>
      </c>
      <c r="E2684" s="22">
        <f>IF(D2684="?OLD","!!!","")</f>
        <v/>
      </c>
      <c r="F2684" s="23" t="str">
        <f>IF(OR(E2684="",E2684="!!!"),"",IF(NOT(ISNA(VLOOKUP(E2684,E$1:E2683,1,FALSE()))),"OLD",IF(AND(E2684&lt;&gt;"",E2684&lt;&gt;"!!!"),"NEW","")))</f>
        <v> </v>
      </c>
      <c r="G2684" s="24" t="str">
        <f>IF(OR(E2684="",E2684="!!!"),"",IF(OR(J2684=0,AND(J2684=1,K2684=1),AND(J2684=1,I2684="SBJ"),AND(J2684=1,I2684=0)),"?IN_FOCUS",IF(J2684&lt;=2,"?ACTIVATED",IF(J2684&lt;&gt;"","?FAMILIAR",IF(F2684="NEW",IF(ISNA(VLOOKUP(E2684,#REF!,1,FALSE())),"?TYPE_IDENTIFIABLE","?REFERENTIAL"),"_")))))</f>
        <v> </v>
      </c>
      <c r="H2684" s="25" t="str">
        <f>IF(J2684&lt;&gt;1,"",IF(I2684="SBJ","CB","?"))</f>
        <v> </v>
      </c>
      <c r="I2684" s="26" t="str">
        <f>IF(OR(E2684="",E2684="!!!",F2684="NEW"),"",INDEX(B2683:B$2,-1+SUMPRODUCT(MAX(ROW(E2683:E$2)*(E2684=E2683:E$2)))))</f>
        <v> </v>
      </c>
      <c r="J2684" s="26" t="str">
        <f>IF(OR(E2684="",E2684="!!!",F2684="NEW"),"",COUNTBLANK(OFFSET(A$1,,,SUMPRODUCT(MAX(ROW(E$2:E2684)*(E2684=E$2:E2684)))))-COUNTBLANK(OFFSET(A$1,,,SUMPRODUCT(MAX(ROW(E$1:E2683)*(E2=E$1:E2683))))))</f>
        <v> </v>
      </c>
      <c r="K2684" s="26" t="str">
        <f>IF(OR(E2684="",E2684="!!!",F2684="NEW"),"",INDEX(J$1:J2683,SUMPRODUCT(MAX(ROW(E$1:E2683)*(E2684=E$1:E2683)))))</f>
        <v> </v>
      </c>
      <c r="L2684" s="27"/>
    </row>
    <row r="2685" spans="1:12">
      <c r="A2685" s="20" t="s">
        <v>832</v>
      </c>
      <c r="B2685" s="21" t="s">
        <v>627</v>
      </c>
      <c r="C2685" s="21" t="s">
        <v>628</v>
      </c>
      <c r="D2685" s="21" t="s">
        <v>587</v>
      </c>
      <c r="E2685" s="22">
        <f>IF(D2685="?OLD","!!!","")</f>
        <v/>
      </c>
      <c r="F2685" s="23" t="str">
        <f>IF(OR(E2685="",E2685="!!!"),"",IF(NOT(ISNA(VLOOKUP(E2685,E$1:E2684,1,FALSE()))),"OLD",IF(AND(E2685&lt;&gt;"",E2685&lt;&gt;"!!!"),"NEW","")))</f>
        <v> </v>
      </c>
      <c r="G2685" s="24" t="str">
        <f>IF(OR(E2685="",E2685="!!!"),"",IF(OR(J2685=0,AND(J2685=1,K2685=1),AND(J2685=1,I2685="SBJ"),AND(J2685=1,I2685=0)),"?IN_FOCUS",IF(J2685&lt;=2,"?ACTIVATED",IF(J2685&lt;&gt;"","?FAMILIAR",IF(F2685="NEW",IF(ISNA(VLOOKUP(E2685,#REF!,1,FALSE())),"?TYPE_IDENTIFIABLE","?REFERENTIAL"),"_")))))</f>
        <v> </v>
      </c>
      <c r="H2685" s="25" t="str">
        <f>IF(J2685&lt;&gt;1,"",IF(I2685="SBJ","CB","?"))</f>
        <v> </v>
      </c>
      <c r="I2685" s="26" t="str">
        <f>IF(OR(E2685="",E2685="!!!",F2685="NEW"),"",INDEX(B2684:B$2,-1+SUMPRODUCT(MAX(ROW(E2684:E$2)*(E2685=E2684:E$2)))))</f>
        <v> </v>
      </c>
      <c r="J2685" s="26" t="str">
        <f>IF(OR(E2685="",E2685="!!!",F2685="NEW"),"",COUNTBLANK(OFFSET(A$1,,,SUMPRODUCT(MAX(ROW(E$2:E2685)*(E2685=E$2:E2685)))))-COUNTBLANK(OFFSET(A$1,,,SUMPRODUCT(MAX(ROW(E$1:E2684)*(E2=E$1:E2684))))))</f>
        <v> </v>
      </c>
      <c r="K2685" s="26" t="str">
        <f>IF(OR(E2685="",E2685="!!!",F2685="NEW"),"",INDEX(J$1:J2684,SUMPRODUCT(MAX(ROW(E$1:E2684)*(E2685=E$1:E2684)))))</f>
        <v> </v>
      </c>
      <c r="L2685" s="27"/>
    </row>
    <row r="2686" spans="1:12">
      <c r="A2686" s="20" t="s">
        <v>1763</v>
      </c>
      <c r="B2686" s="21" t="s">
        <v>827</v>
      </c>
      <c r="C2686" s="21" t="s">
        <v>628</v>
      </c>
      <c r="D2686" s="21" t="s">
        <v>587</v>
      </c>
      <c r="E2686" s="22">
        <f>IF(D2686="?OLD","!!!","")</f>
        <v/>
      </c>
      <c r="F2686" s="23" t="str">
        <f>IF(OR(E2686="",E2686="!!!"),"",IF(NOT(ISNA(VLOOKUP(E2686,E$1:E2685,1,FALSE()))),"OLD",IF(AND(E2686&lt;&gt;"",E2686&lt;&gt;"!!!"),"NEW","")))</f>
        <v> </v>
      </c>
      <c r="G2686" s="24" t="str">
        <f>IF(OR(E2686="",E2686="!!!"),"",IF(OR(J2686=0,AND(J2686=1,K2686=1),AND(J2686=1,I2686="SBJ"),AND(J2686=1,I2686=0)),"?IN_FOCUS",IF(J2686&lt;=2,"?ACTIVATED",IF(J2686&lt;&gt;"","?FAMILIAR",IF(F2686="NEW",IF(ISNA(VLOOKUP(E2686,#REF!,1,FALSE())),"?TYPE_IDENTIFIABLE","?REFERENTIAL"),"_")))))</f>
        <v> </v>
      </c>
      <c r="H2686" s="25" t="str">
        <f>IF(J2686&lt;&gt;1,"",IF(I2686="SBJ","CB","?"))</f>
        <v> </v>
      </c>
      <c r="I2686" s="26" t="str">
        <f>IF(OR(E2686="",E2686="!!!",F2686="NEW"),"",INDEX(B2685:B$2,-1+SUMPRODUCT(MAX(ROW(E2685:E$2)*(E2686=E2685:E$2)))))</f>
        <v> </v>
      </c>
      <c r="J2686" s="26" t="str">
        <f>IF(OR(E2686="",E2686="!!!",F2686="NEW"),"",COUNTBLANK(OFFSET(A$1,,,SUMPRODUCT(MAX(ROW(E$2:E2686)*(E2686=E$2:E2686)))))-COUNTBLANK(OFFSET(A$1,,,SUMPRODUCT(MAX(ROW(E$1:E2685)*(E2=E$1:E2685))))))</f>
        <v> </v>
      </c>
      <c r="K2686" s="26" t="str">
        <f>IF(OR(E2686="",E2686="!!!",F2686="NEW"),"",INDEX(J$1:J2685,SUMPRODUCT(MAX(ROW(E$1:E2685)*(E2686=E$1:E2685)))))</f>
        <v> </v>
      </c>
      <c r="L2686" s="27"/>
    </row>
    <row r="2687" spans="1:12">
      <c r="A2687" s="20" t="s">
        <v>592</v>
      </c>
      <c r="E2687" s="22">
        <f>IF(D2687="?OLD","!!!","")</f>
        <v/>
      </c>
      <c r="F2687" s="23" t="str">
        <f>IF(OR(E2687="",E2687="!!!"),"",IF(NOT(ISNA(VLOOKUP(E2687,E$1:E2686,1,FALSE()))),"OLD",IF(AND(E2687&lt;&gt;"",E2687&lt;&gt;"!!!"),"NEW","")))</f>
        <v> </v>
      </c>
      <c r="G2687" s="24" t="str">
        <f>IF(OR(E2687="",E2687="!!!"),"",IF(OR(J2687=0,AND(J2687=1,K2687=1),AND(J2687=1,I2687="SBJ"),AND(J2687=1,I2687=0)),"?IN_FOCUS",IF(J2687&lt;=2,"?ACTIVATED",IF(J2687&lt;&gt;"","?FAMILIAR",IF(F2687="NEW",IF(ISNA(VLOOKUP(E2687,#REF!,1,FALSE())),"?TYPE_IDENTIFIABLE","?REFERENTIAL"),"_")))))</f>
        <v> </v>
      </c>
      <c r="H2687" s="25" t="str">
        <f>IF(J2687&lt;&gt;1,"",IF(I2687="SBJ","CB","?"))</f>
        <v> </v>
      </c>
      <c r="I2687" s="26" t="str">
        <f>IF(OR(E2687="",E2687="!!!",F2687="NEW"),"",INDEX(B2686:B$2,-1+SUMPRODUCT(MAX(ROW(E2686:E$2)*(E2687=E2686:E$2)))))</f>
        <v> </v>
      </c>
      <c r="J2687" s="26" t="str">
        <f>IF(OR(E2687="",E2687="!!!",F2687="NEW"),"",COUNTBLANK(OFFSET(A$1,,,SUMPRODUCT(MAX(ROW(E$2:E2687)*(E2687=E$2:E2687)))))-COUNTBLANK(OFFSET(A$1,,,SUMPRODUCT(MAX(ROW(E$1:E2686)*(E2=E$1:E2686))))))</f>
        <v> </v>
      </c>
      <c r="K2687" s="26" t="str">
        <f>IF(OR(E2687="",E2687="!!!",F2687="NEW"),"",INDEX(J$1:J2686,SUMPRODUCT(MAX(ROW(E$1:E2686)*(E2687=E$1:E2686)))))</f>
        <v> </v>
      </c>
      <c r="L2687" s="27"/>
    </row>
    <row r="2688" spans="1:12">
      <c r="A2688" s="20"/>
    </row>
    <row r="2689" spans="1:12">
      <c r="A2689" s="20" t="s">
        <v>1764</v>
      </c>
    </row>
    <row r="2690" spans="1:12">
      <c r="A2690" s="20" t="s">
        <v>765</v>
      </c>
      <c r="B2690" s="21" t="s">
        <v>578</v>
      </c>
      <c r="C2690" s="21" t="s">
        <v>613</v>
      </c>
      <c r="D2690" s="21" t="s">
        <v>587</v>
      </c>
      <c r="E2690" s="22">
        <f>IF(D2690="?OLD","!!!","")</f>
        <v/>
      </c>
      <c r="F2690" s="23" t="str">
        <f>IF(OR(E2690="",E2690="!!!"),"",IF(NOT(ISNA(VLOOKUP(E2690,E$1:E2689,1,FALSE()))),"OLD",IF(AND(E2690&lt;&gt;"",E2690&lt;&gt;"!!!"),"NEW","")))</f>
        <v> </v>
      </c>
      <c r="G2690" s="24" t="str">
        <f>IF(OR(E2690="",E2690="!!!"),"",IF(OR(J2690=0,AND(J2690=1,K2690=1),AND(J2690=1,I2690="SBJ"),AND(J2690=1,I2690=0)),"?IN_FOCUS",IF(J2690&lt;=2,"?ACTIVATED",IF(J2690&lt;&gt;"","?FAMILIAR",IF(F2690="NEW",IF(ISNA(VLOOKUP(E2690,#REF!,1,FALSE())),"?TYPE_IDENTIFIABLE","?REFERENTIAL"),"_")))))</f>
        <v> </v>
      </c>
      <c r="H2690" s="25" t="str">
        <f>IF(J2690&lt;&gt;1,"",IF(I2690="SBJ","CB","?"))</f>
        <v> </v>
      </c>
      <c r="I2690" s="26" t="str">
        <f>IF(OR(E2690="",E2690="!!!",F2690="NEW"),"",INDEX(B2689:B$2,-1+SUMPRODUCT(MAX(ROW(E2689:E$2)*(E2690=E2689:E$2)))))</f>
        <v> </v>
      </c>
      <c r="J2690" s="26" t="str">
        <f>IF(OR(E2690="",E2690="!!!",F2690="NEW"),"",COUNTBLANK(OFFSET(A$1,,,SUMPRODUCT(MAX(ROW(E$2:E2690)*(E2690=E$2:E2690)))))-COUNTBLANK(OFFSET(A$1,,,SUMPRODUCT(MAX(ROW(E$1:E2689)*(E2=E$1:E2689))))))</f>
        <v> </v>
      </c>
      <c r="K2690" s="26" t="str">
        <f>IF(OR(E2690="",E2690="!!!",F2690="NEW"),"",INDEX(J$1:J2689,SUMPRODUCT(MAX(ROW(E$1:E2689)*(E2690=E$1:E2689)))))</f>
        <v> </v>
      </c>
      <c r="L2690" s="27"/>
    </row>
    <row r="2691" spans="1:12">
      <c r="A2691" s="20" t="s">
        <v>1071</v>
      </c>
      <c r="E2691" s="22">
        <f>IF(D2691="?OLD","!!!","")</f>
        <v/>
      </c>
      <c r="F2691" s="23" t="str">
        <f>IF(OR(E2691="",E2691="!!!"),"",IF(NOT(ISNA(VLOOKUP(E2691,E$1:E2690,1,FALSE()))),"OLD",IF(AND(E2691&lt;&gt;"",E2691&lt;&gt;"!!!"),"NEW","")))</f>
        <v> </v>
      </c>
      <c r="G2691" s="24" t="str">
        <f>IF(OR(E2691="",E2691="!!!"),"",IF(OR(J2691=0,AND(J2691=1,K2691=1),AND(J2691=1,I2691="SBJ"),AND(J2691=1,I2691=0)),"?IN_FOCUS",IF(J2691&lt;=2,"?ACTIVATED",IF(J2691&lt;&gt;"","?FAMILIAR",IF(F2691="NEW",IF(ISNA(VLOOKUP(E2691,#REF!,1,FALSE())),"?TYPE_IDENTIFIABLE","?REFERENTIAL"),"_")))))</f>
        <v> </v>
      </c>
      <c r="H2691" s="25" t="str">
        <f>IF(J2691&lt;&gt;1,"",IF(I2691="SBJ","CB","?"))</f>
        <v> </v>
      </c>
      <c r="I2691" s="26" t="str">
        <f>IF(OR(E2691="",E2691="!!!",F2691="NEW"),"",INDEX(B2690:B$2,-1+SUMPRODUCT(MAX(ROW(E2690:E$2)*(E2691=E2690:E$2)))))</f>
        <v> </v>
      </c>
      <c r="J2691" s="26" t="str">
        <f>IF(OR(E2691="",E2691="!!!",F2691="NEW"),"",COUNTBLANK(OFFSET(A$1,,,SUMPRODUCT(MAX(ROW(E$2:E2691)*(E2691=E$2:E2691)))))-COUNTBLANK(OFFSET(A$1,,,SUMPRODUCT(MAX(ROW(E$1:E2690)*(E2=E$1:E2690))))))</f>
        <v> </v>
      </c>
      <c r="K2691" s="26" t="str">
        <f>IF(OR(E2691="",E2691="!!!",F2691="NEW"),"",INDEX(J$1:J2690,SUMPRODUCT(MAX(ROW(E$1:E2690)*(E2691=E$1:E2690)))))</f>
        <v> </v>
      </c>
      <c r="L2691" s="27"/>
    </row>
    <row r="2692" spans="1:12">
      <c r="A2692" s="20" t="s">
        <v>1072</v>
      </c>
      <c r="E2692" s="22">
        <f>IF(D2692="?OLD","!!!","")</f>
        <v/>
      </c>
      <c r="F2692" s="23" t="str">
        <f>IF(OR(E2692="",E2692="!!!"),"",IF(NOT(ISNA(VLOOKUP(E2692,E$1:E2691,1,FALSE()))),"OLD",IF(AND(E2692&lt;&gt;"",E2692&lt;&gt;"!!!"),"NEW","")))</f>
        <v> </v>
      </c>
      <c r="G2692" s="24" t="str">
        <f>IF(OR(E2692="",E2692="!!!"),"",IF(OR(J2692=0,AND(J2692=1,K2692=1),AND(J2692=1,I2692="SBJ"),AND(J2692=1,I2692=0)),"?IN_FOCUS",IF(J2692&lt;=2,"?ACTIVATED",IF(J2692&lt;&gt;"","?FAMILIAR",IF(F2692="NEW",IF(ISNA(VLOOKUP(E2692,#REF!,1,FALSE())),"?TYPE_IDENTIFIABLE","?REFERENTIAL"),"_")))))</f>
        <v> </v>
      </c>
      <c r="H2692" s="25" t="str">
        <f>IF(J2692&lt;&gt;1,"",IF(I2692="SBJ","CB","?"))</f>
        <v> </v>
      </c>
      <c r="I2692" s="26" t="str">
        <f>IF(OR(E2692="",E2692="!!!",F2692="NEW"),"",INDEX(B2691:B$2,-1+SUMPRODUCT(MAX(ROW(E2691:E$2)*(E2692=E2691:E$2)))))</f>
        <v> </v>
      </c>
      <c r="J2692" s="26" t="str">
        <f>IF(OR(E2692="",E2692="!!!",F2692="NEW"),"",COUNTBLANK(OFFSET(A$1,,,SUMPRODUCT(MAX(ROW(E$2:E2692)*(E2692=E$2:E2692)))))-COUNTBLANK(OFFSET(A$1,,,SUMPRODUCT(MAX(ROW(E$1:E2691)*(E2=E$1:E2691))))))</f>
        <v> </v>
      </c>
      <c r="K2692" s="26" t="str">
        <f>IF(OR(E2692="",E2692="!!!",F2692="NEW"),"",INDEX(J$1:J2691,SUMPRODUCT(MAX(ROW(E$1:E2691)*(E2692=E$1:E2691)))))</f>
        <v> </v>
      </c>
      <c r="L2692" s="27"/>
    </row>
    <row r="2693" spans="1:12">
      <c r="A2693" s="20" t="s">
        <v>1765</v>
      </c>
      <c r="E2693" s="22">
        <f>IF(D2693="?OLD","!!!","")</f>
        <v/>
      </c>
      <c r="F2693" s="23" t="str">
        <f>IF(OR(E2693="",E2693="!!!"),"",IF(NOT(ISNA(VLOOKUP(E2693,E$1:E2692,1,FALSE()))),"OLD",IF(AND(E2693&lt;&gt;"",E2693&lt;&gt;"!!!"),"NEW","")))</f>
        <v> </v>
      </c>
      <c r="G2693" s="24" t="str">
        <f>IF(OR(E2693="",E2693="!!!"),"",IF(OR(J2693=0,AND(J2693=1,K2693=1),AND(J2693=1,I2693="SBJ"),AND(J2693=1,I2693=0)),"?IN_FOCUS",IF(J2693&lt;=2,"?ACTIVATED",IF(J2693&lt;&gt;"","?FAMILIAR",IF(F2693="NEW",IF(ISNA(VLOOKUP(E2693,#REF!,1,FALSE())),"?TYPE_IDENTIFIABLE","?REFERENTIAL"),"_")))))</f>
        <v> </v>
      </c>
      <c r="H2693" s="25" t="str">
        <f>IF(J2693&lt;&gt;1,"",IF(I2693="SBJ","CB","?"))</f>
        <v> </v>
      </c>
      <c r="I2693" s="26" t="str">
        <f>IF(OR(E2693="",E2693="!!!",F2693="NEW"),"",INDEX(B2692:B$2,-1+SUMPRODUCT(MAX(ROW(E2692:E$2)*(E2693=E2692:E$2)))))</f>
        <v> </v>
      </c>
      <c r="J2693" s="26" t="str">
        <f>IF(OR(E2693="",E2693="!!!",F2693="NEW"),"",COUNTBLANK(OFFSET(A$1,,,SUMPRODUCT(MAX(ROW(E$2:E2693)*(E2693=E$2:E2693)))))-COUNTBLANK(OFFSET(A$1,,,SUMPRODUCT(MAX(ROW(E$1:E2692)*(E2=E$1:E2692))))))</f>
        <v> </v>
      </c>
      <c r="K2693" s="26" t="str">
        <f>IF(OR(E2693="",E2693="!!!",F2693="NEW"),"",INDEX(J$1:J2692,SUMPRODUCT(MAX(ROW(E$1:E2692)*(E2693=E$1:E2692)))))</f>
        <v> </v>
      </c>
      <c r="L2693" s="27"/>
    </row>
    <row r="2694" spans="1:12">
      <c r="A2694" s="20" t="s">
        <v>1766</v>
      </c>
      <c r="B2694" s="21" t="s">
        <v>635</v>
      </c>
      <c r="E2694" s="22">
        <f>IF(D2694="?OLD","!!!","")</f>
        <v/>
      </c>
      <c r="F2694" s="23" t="str">
        <f>IF(OR(E2694="",E2694="!!!"),"",IF(NOT(ISNA(VLOOKUP(E2694,E$1:E2693,1,FALSE()))),"OLD",IF(AND(E2694&lt;&gt;"",E2694&lt;&gt;"!!!"),"NEW","")))</f>
        <v> </v>
      </c>
      <c r="G2694" s="24" t="str">
        <f>IF(OR(E2694="",E2694="!!!"),"",IF(OR(J2694=0,AND(J2694=1,K2694=1),AND(J2694=1,I2694="SBJ"),AND(J2694=1,I2694=0)),"?IN_FOCUS",IF(J2694&lt;=2,"?ACTIVATED",IF(J2694&lt;&gt;"","?FAMILIAR",IF(F2694="NEW",IF(ISNA(VLOOKUP(E2694,#REF!,1,FALSE())),"?TYPE_IDENTIFIABLE","?REFERENTIAL"),"_")))))</f>
        <v> </v>
      </c>
      <c r="H2694" s="25" t="str">
        <f>IF(J2694&lt;&gt;1,"",IF(I2694="SBJ","CB","?"))</f>
        <v> </v>
      </c>
      <c r="I2694" s="26" t="str">
        <f>IF(OR(E2694="",E2694="!!!",F2694="NEW"),"",INDEX(B2693:B$2,-1+SUMPRODUCT(MAX(ROW(E2693:E$2)*(E2694=E2693:E$2)))))</f>
        <v> </v>
      </c>
      <c r="J2694" s="26" t="str">
        <f>IF(OR(E2694="",E2694="!!!",F2694="NEW"),"",COUNTBLANK(OFFSET(A$1,,,SUMPRODUCT(MAX(ROW(E$2:E2694)*(E2694=E$2:E2694)))))-COUNTBLANK(OFFSET(A$1,,,SUMPRODUCT(MAX(ROW(E$1:E2693)*(E2=E$1:E2693))))))</f>
        <v> </v>
      </c>
      <c r="K2694" s="26" t="str">
        <f>IF(OR(E2694="",E2694="!!!",F2694="NEW"),"",INDEX(J$1:J2693,SUMPRODUCT(MAX(ROW(E$1:E2693)*(E2694=E$1:E2693)))))</f>
        <v> </v>
      </c>
      <c r="L2694" s="27"/>
    </row>
    <row r="2695" spans="1:12">
      <c r="A2695" s="20" t="s">
        <v>1057</v>
      </c>
      <c r="E2695" s="22">
        <f>IF(D2695="?OLD","!!!","")</f>
        <v/>
      </c>
      <c r="F2695" s="23" t="str">
        <f>IF(OR(E2695="",E2695="!!!"),"",IF(NOT(ISNA(VLOOKUP(E2695,E$1:E2694,1,FALSE()))),"OLD",IF(AND(E2695&lt;&gt;"",E2695&lt;&gt;"!!!"),"NEW","")))</f>
        <v> </v>
      </c>
      <c r="G2695" s="24" t="str">
        <f>IF(OR(E2695="",E2695="!!!"),"",IF(OR(J2695=0,AND(J2695=1,K2695=1),AND(J2695=1,I2695="SBJ"),AND(J2695=1,I2695=0)),"?IN_FOCUS",IF(J2695&lt;=2,"?ACTIVATED",IF(J2695&lt;&gt;"","?FAMILIAR",IF(F2695="NEW",IF(ISNA(VLOOKUP(E2695,#REF!,1,FALSE())),"?TYPE_IDENTIFIABLE","?REFERENTIAL"),"_")))))</f>
        <v> </v>
      </c>
      <c r="H2695" s="25" t="str">
        <f>IF(J2695&lt;&gt;1,"",IF(I2695="SBJ","CB","?"))</f>
        <v> </v>
      </c>
      <c r="I2695" s="26" t="str">
        <f>IF(OR(E2695="",E2695="!!!",F2695="NEW"),"",INDEX(B2694:B$2,-1+SUMPRODUCT(MAX(ROW(E2694:E$2)*(E2695=E2694:E$2)))))</f>
        <v> </v>
      </c>
      <c r="J2695" s="26" t="str">
        <f>IF(OR(E2695="",E2695="!!!",F2695="NEW"),"",COUNTBLANK(OFFSET(A$1,,,SUMPRODUCT(MAX(ROW(E$2:E2695)*(E2695=E$2:E2695)))))-COUNTBLANK(OFFSET(A$1,,,SUMPRODUCT(MAX(ROW(E$1:E2694)*(E2=E$1:E2694))))))</f>
        <v> </v>
      </c>
      <c r="K2695" s="26" t="str">
        <f>IF(OR(E2695="",E2695="!!!",F2695="NEW"),"",INDEX(J$1:J2694,SUMPRODUCT(MAX(ROW(E$1:E2694)*(E2695=E$1:E2694)))))</f>
        <v> </v>
      </c>
      <c r="L2695" s="27"/>
    </row>
    <row r="2696" spans="1:12">
      <c r="A2696" s="20" t="s">
        <v>592</v>
      </c>
      <c r="E2696" s="22">
        <f>IF(D2696="?OLD","!!!","")</f>
        <v/>
      </c>
      <c r="F2696" s="23" t="str">
        <f>IF(OR(E2696="",E2696="!!!"),"",IF(NOT(ISNA(VLOOKUP(E2696,E$1:E2695,1,FALSE()))),"OLD",IF(AND(E2696&lt;&gt;"",E2696&lt;&gt;"!!!"),"NEW","")))</f>
        <v> </v>
      </c>
      <c r="G2696" s="24" t="str">
        <f>IF(OR(E2696="",E2696="!!!"),"",IF(OR(J2696=0,AND(J2696=1,K2696=1),AND(J2696=1,I2696="SBJ"),AND(J2696=1,I2696=0)),"?IN_FOCUS",IF(J2696&lt;=2,"?ACTIVATED",IF(J2696&lt;&gt;"","?FAMILIAR",IF(F2696="NEW",IF(ISNA(VLOOKUP(E2696,#REF!,1,FALSE())),"?TYPE_IDENTIFIABLE","?REFERENTIAL"),"_")))))</f>
        <v> </v>
      </c>
      <c r="H2696" s="25" t="str">
        <f>IF(J2696&lt;&gt;1,"",IF(I2696="SBJ","CB","?"))</f>
        <v> </v>
      </c>
      <c r="I2696" s="26" t="str">
        <f>IF(OR(E2696="",E2696="!!!",F2696="NEW"),"",INDEX(B2695:B$2,-1+SUMPRODUCT(MAX(ROW(E2695:E$2)*(E2696=E2695:E$2)))))</f>
        <v> </v>
      </c>
      <c r="J2696" s="26" t="str">
        <f>IF(OR(E2696="",E2696="!!!",F2696="NEW"),"",COUNTBLANK(OFFSET(A$1,,,SUMPRODUCT(MAX(ROW(E$2:E2696)*(E2696=E$2:E2696)))))-COUNTBLANK(OFFSET(A$1,,,SUMPRODUCT(MAX(ROW(E$1:E2695)*(E2=E$1:E2695))))))</f>
        <v> </v>
      </c>
      <c r="K2696" s="26" t="str">
        <f>IF(OR(E2696="",E2696="!!!",F2696="NEW"),"",INDEX(J$1:J2695,SUMPRODUCT(MAX(ROW(E$1:E2695)*(E2696=E$1:E2695)))))</f>
        <v> </v>
      </c>
      <c r="L2696" s="27"/>
    </row>
    <row r="2697" spans="1:12">
      <c r="A2697" s="20"/>
    </row>
    <row r="2698" spans="1:12">
      <c r="A2698" s="20" t="s">
        <v>1767</v>
      </c>
    </row>
    <row r="2699" spans="1:12">
      <c r="A2699" s="20" t="s">
        <v>1768</v>
      </c>
      <c r="E2699" s="22">
        <f>IF(D2699="?OLD","!!!","")</f>
        <v/>
      </c>
      <c r="F2699" s="23" t="str">
        <f>IF(OR(E2699="",E2699="!!!"),"",IF(NOT(ISNA(VLOOKUP(E2699,E$1:E2698,1,FALSE()))),"OLD",IF(AND(E2699&lt;&gt;"",E2699&lt;&gt;"!!!"),"NEW","")))</f>
        <v> </v>
      </c>
      <c r="G2699" s="24" t="str">
        <f>IF(OR(E2699="",E2699="!!!"),"",IF(OR(J2699=0,AND(J2699=1,K2699=1),AND(J2699=1,I2699="SBJ"),AND(J2699=1,I2699=0)),"?IN_FOCUS",IF(J2699&lt;=2,"?ACTIVATED",IF(J2699&lt;&gt;"","?FAMILIAR",IF(F2699="NEW",IF(ISNA(VLOOKUP(E2699,#REF!,1,FALSE())),"?TYPE_IDENTIFIABLE","?REFERENTIAL"),"_")))))</f>
        <v> </v>
      </c>
      <c r="H2699" s="25" t="str">
        <f>IF(J2699&lt;&gt;1,"",IF(I2699="SBJ","CB","?"))</f>
        <v> </v>
      </c>
      <c r="I2699" s="26" t="str">
        <f>IF(OR(E2699="",E2699="!!!",F2699="NEW"),"",INDEX(B2698:B$2,-1+SUMPRODUCT(MAX(ROW(E2698:E$2)*(E2699=E2698:E$2)))))</f>
        <v> </v>
      </c>
      <c r="J2699" s="26" t="str">
        <f>IF(OR(E2699="",E2699="!!!",F2699="NEW"),"",COUNTBLANK(OFFSET(A$1,,,SUMPRODUCT(MAX(ROW(E$2:E2699)*(E2699=E$2:E2699)))))-COUNTBLANK(OFFSET(A$1,,,SUMPRODUCT(MAX(ROW(E$1:E2698)*(E2=E$1:E2698))))))</f>
        <v> </v>
      </c>
      <c r="K2699" s="26" t="str">
        <f>IF(OR(E2699="",E2699="!!!",F2699="NEW"),"",INDEX(J$1:J2698,SUMPRODUCT(MAX(ROW(E$1:E2698)*(E2699=E$1:E2698)))))</f>
        <v> </v>
      </c>
      <c r="L2699" s="27"/>
    </row>
    <row r="2700" spans="1:12">
      <c r="A2700" s="20" t="s">
        <v>1769</v>
      </c>
      <c r="B2700" s="21" t="s">
        <v>578</v>
      </c>
      <c r="C2700" s="21" t="s">
        <v>709</v>
      </c>
      <c r="D2700" s="21" t="s">
        <v>587</v>
      </c>
      <c r="E2700" s="22">
        <f>IF(D2700="?OLD","!!!","")</f>
        <v/>
      </c>
      <c r="F2700" s="23" t="str">
        <f>IF(OR(E2700="",E2700="!!!"),"",IF(NOT(ISNA(VLOOKUP(E2700,E$1:E2699,1,FALSE()))),"OLD",IF(AND(E2700&lt;&gt;"",E2700&lt;&gt;"!!!"),"NEW","")))</f>
        <v> </v>
      </c>
      <c r="G2700" s="24" t="str">
        <f>IF(OR(E2700="",E2700="!!!"),"",IF(OR(J2700=0,AND(J2700=1,K2700=1),AND(J2700=1,I2700="SBJ"),AND(J2700=1,I2700=0)),"?IN_FOCUS",IF(J2700&lt;=2,"?ACTIVATED",IF(J2700&lt;&gt;"","?FAMILIAR",IF(F2700="NEW",IF(ISNA(VLOOKUP(E2700,#REF!,1,FALSE())),"?TYPE_IDENTIFIABLE","?REFERENTIAL"),"_")))))</f>
        <v> </v>
      </c>
      <c r="H2700" s="25" t="str">
        <f>IF(J2700&lt;&gt;1,"",IF(I2700="SBJ","CB","?"))</f>
        <v> </v>
      </c>
      <c r="I2700" s="26" t="str">
        <f>IF(OR(E2700="",E2700="!!!",F2700="NEW"),"",INDEX(B2699:B$2,-1+SUMPRODUCT(MAX(ROW(E2699:E$2)*(E2700=E2699:E$2)))))</f>
        <v> </v>
      </c>
      <c r="J2700" s="26" t="str">
        <f>IF(OR(E2700="",E2700="!!!",F2700="NEW"),"",COUNTBLANK(OFFSET(A$1,,,SUMPRODUCT(MAX(ROW(E$2:E2700)*(E2700=E$2:E2700)))))-COUNTBLANK(OFFSET(A$1,,,SUMPRODUCT(MAX(ROW(E$1:E2699)*(E2=E$1:E2699))))))</f>
        <v> </v>
      </c>
      <c r="K2700" s="26" t="str">
        <f>IF(OR(E2700="",E2700="!!!",F2700="NEW"),"",INDEX(J$1:J2699,SUMPRODUCT(MAX(ROW(E$1:E2699)*(E2700=E$1:E2699)))))</f>
        <v> </v>
      </c>
      <c r="L2700" s="27"/>
    </row>
    <row r="2701" spans="1:12">
      <c r="A2701" s="20" t="s">
        <v>1770</v>
      </c>
      <c r="B2701" s="21" t="s">
        <v>601</v>
      </c>
      <c r="C2701" s="21" t="s">
        <v>787</v>
      </c>
      <c r="D2701" s="21" t="s">
        <v>587</v>
      </c>
      <c r="E2701" s="22">
        <f>IF(D2701="?OLD","!!!","")</f>
        <v/>
      </c>
      <c r="F2701" s="23" t="str">
        <f>IF(OR(E2701="",E2701="!!!"),"",IF(NOT(ISNA(VLOOKUP(E2701,E$1:E2700,1,FALSE()))),"OLD",IF(AND(E2701&lt;&gt;"",E2701&lt;&gt;"!!!"),"NEW","")))</f>
        <v> </v>
      </c>
      <c r="G2701" s="24" t="str">
        <f>IF(OR(E2701="",E2701="!!!"),"",IF(OR(J2701=0,AND(J2701=1,K2701=1),AND(J2701=1,I2701="SBJ"),AND(J2701=1,I2701=0)),"?IN_FOCUS",IF(J2701&lt;=2,"?ACTIVATED",IF(J2701&lt;&gt;"","?FAMILIAR",IF(F2701="NEW",IF(ISNA(VLOOKUP(E2701,#REF!,1,FALSE())),"?TYPE_IDENTIFIABLE","?REFERENTIAL"),"_")))))</f>
        <v> </v>
      </c>
      <c r="H2701" s="25" t="str">
        <f>IF(J2701&lt;&gt;1,"",IF(I2701="SBJ","CB","?"))</f>
        <v> </v>
      </c>
      <c r="I2701" s="26" t="str">
        <f>IF(OR(E2701="",E2701="!!!",F2701="NEW"),"",INDEX(B2700:B$2,-1+SUMPRODUCT(MAX(ROW(E2700:E$2)*(E2701=E2700:E$2)))))</f>
        <v> </v>
      </c>
      <c r="J2701" s="26" t="str">
        <f>IF(OR(E2701="",E2701="!!!",F2701="NEW"),"",COUNTBLANK(OFFSET(A$1,,,SUMPRODUCT(MAX(ROW(E$2:E2701)*(E2701=E$2:E2701)))))-COUNTBLANK(OFFSET(A$1,,,SUMPRODUCT(MAX(ROW(E$1:E2700)*(E2=E$1:E2700))))))</f>
        <v> </v>
      </c>
      <c r="K2701" s="26" t="str">
        <f>IF(OR(E2701="",E2701="!!!",F2701="NEW"),"",INDEX(J$1:J2700,SUMPRODUCT(MAX(ROW(E$1:E2700)*(E2701=E$1:E2700)))))</f>
        <v> </v>
      </c>
      <c r="L2701" s="27"/>
    </row>
    <row r="2702" spans="1:12">
      <c r="A2702" s="20" t="s">
        <v>1771</v>
      </c>
      <c r="E2702" s="22">
        <f>IF(D2702="?OLD","!!!","")</f>
        <v/>
      </c>
      <c r="F2702" s="23" t="str">
        <f>IF(OR(E2702="",E2702="!!!"),"",IF(NOT(ISNA(VLOOKUP(E2702,E$1:E2701,1,FALSE()))),"OLD",IF(AND(E2702&lt;&gt;"",E2702&lt;&gt;"!!!"),"NEW","")))</f>
        <v> </v>
      </c>
      <c r="G2702" s="24" t="str">
        <f>IF(OR(E2702="",E2702="!!!"),"",IF(OR(J2702=0,AND(J2702=1,K2702=1),AND(J2702=1,I2702="SBJ"),AND(J2702=1,I2702=0)),"?IN_FOCUS",IF(J2702&lt;=2,"?ACTIVATED",IF(J2702&lt;&gt;"","?FAMILIAR",IF(F2702="NEW",IF(ISNA(VLOOKUP(E2702,#REF!,1,FALSE())),"?TYPE_IDENTIFIABLE","?REFERENTIAL"),"_")))))</f>
        <v> </v>
      </c>
      <c r="H2702" s="25" t="str">
        <f>IF(J2702&lt;&gt;1,"",IF(I2702="SBJ","CB","?"))</f>
        <v> </v>
      </c>
      <c r="I2702" s="26" t="str">
        <f>IF(OR(E2702="",E2702="!!!",F2702="NEW"),"",INDEX(B2701:B$2,-1+SUMPRODUCT(MAX(ROW(E2701:E$2)*(E2702=E2701:E$2)))))</f>
        <v> </v>
      </c>
      <c r="J2702" s="26" t="str">
        <f>IF(OR(E2702="",E2702="!!!",F2702="NEW"),"",COUNTBLANK(OFFSET(A$1,,,SUMPRODUCT(MAX(ROW(E$2:E2702)*(E2702=E$2:E2702)))))-COUNTBLANK(OFFSET(A$1,,,SUMPRODUCT(MAX(ROW(E$1:E2701)*(E2=E$1:E2701))))))</f>
        <v> </v>
      </c>
      <c r="K2702" s="26" t="str">
        <f>IF(OR(E2702="",E2702="!!!",F2702="NEW"),"",INDEX(J$1:J2701,SUMPRODUCT(MAX(ROW(E$1:E2701)*(E2702=E$1:E2701)))))</f>
        <v> </v>
      </c>
      <c r="L2702" s="27"/>
    </row>
    <row r="2703" spans="1:12">
      <c r="A2703" s="20" t="s">
        <v>1772</v>
      </c>
      <c r="E2703" s="22">
        <f>IF(D2703="?OLD","!!!","")</f>
        <v/>
      </c>
      <c r="F2703" s="23" t="str">
        <f>IF(OR(E2703="",E2703="!!!"),"",IF(NOT(ISNA(VLOOKUP(E2703,E$1:E2702,1,FALSE()))),"OLD",IF(AND(E2703&lt;&gt;"",E2703&lt;&gt;"!!!"),"NEW","")))</f>
        <v> </v>
      </c>
      <c r="G2703" s="24" t="str">
        <f>IF(OR(E2703="",E2703="!!!"),"",IF(OR(J2703=0,AND(J2703=1,K2703=1),AND(J2703=1,I2703="SBJ"),AND(J2703=1,I2703=0)),"?IN_FOCUS",IF(J2703&lt;=2,"?ACTIVATED",IF(J2703&lt;&gt;"","?FAMILIAR",IF(F2703="NEW",IF(ISNA(VLOOKUP(E2703,#REF!,1,FALSE())),"?TYPE_IDENTIFIABLE","?REFERENTIAL"),"_")))))</f>
        <v> </v>
      </c>
      <c r="H2703" s="25" t="str">
        <f>IF(J2703&lt;&gt;1,"",IF(I2703="SBJ","CB","?"))</f>
        <v> </v>
      </c>
      <c r="I2703" s="26" t="str">
        <f>IF(OR(E2703="",E2703="!!!",F2703="NEW"),"",INDEX(B2702:B$2,-1+SUMPRODUCT(MAX(ROW(E2702:E$2)*(E2703=E2702:E$2)))))</f>
        <v> </v>
      </c>
      <c r="J2703" s="26" t="str">
        <f>IF(OR(E2703="",E2703="!!!",F2703="NEW"),"",COUNTBLANK(OFFSET(A$1,,,SUMPRODUCT(MAX(ROW(E$2:E2703)*(E2703=E$2:E2703)))))-COUNTBLANK(OFFSET(A$1,,,SUMPRODUCT(MAX(ROW(E$1:E2702)*(E2=E$1:E2702))))))</f>
        <v> </v>
      </c>
      <c r="K2703" s="26" t="str">
        <f>IF(OR(E2703="",E2703="!!!",F2703="NEW"),"",INDEX(J$1:J2702,SUMPRODUCT(MAX(ROW(E$1:E2702)*(E2703=E$1:E2702)))))</f>
        <v> </v>
      </c>
      <c r="L2703" s="27"/>
    </row>
    <row r="2704" spans="1:12">
      <c r="A2704" s="20" t="s">
        <v>1182</v>
      </c>
      <c r="E2704" s="22">
        <f>IF(D2704="?OLD","!!!","")</f>
        <v/>
      </c>
      <c r="F2704" s="23" t="str">
        <f>IF(OR(E2704="",E2704="!!!"),"",IF(NOT(ISNA(VLOOKUP(E2704,E$1:E2703,1,FALSE()))),"OLD",IF(AND(E2704&lt;&gt;"",E2704&lt;&gt;"!!!"),"NEW","")))</f>
        <v> </v>
      </c>
      <c r="G2704" s="24" t="str">
        <f>IF(OR(E2704="",E2704="!!!"),"",IF(OR(J2704=0,AND(J2704=1,K2704=1),AND(J2704=1,I2704="SBJ"),AND(J2704=1,I2704=0)),"?IN_FOCUS",IF(J2704&lt;=2,"?ACTIVATED",IF(J2704&lt;&gt;"","?FAMILIAR",IF(F2704="NEW",IF(ISNA(VLOOKUP(E2704,#REF!,1,FALSE())),"?TYPE_IDENTIFIABLE","?REFERENTIAL"),"_")))))</f>
        <v> </v>
      </c>
      <c r="H2704" s="25" t="str">
        <f>IF(J2704&lt;&gt;1,"",IF(I2704="SBJ","CB","?"))</f>
        <v> </v>
      </c>
      <c r="I2704" s="26" t="str">
        <f>IF(OR(E2704="",E2704="!!!",F2704="NEW"),"",INDEX(B2703:B$2,-1+SUMPRODUCT(MAX(ROW(E2703:E$2)*(E2704=E2703:E$2)))))</f>
        <v> </v>
      </c>
      <c r="J2704" s="26" t="str">
        <f>IF(OR(E2704="",E2704="!!!",F2704="NEW"),"",COUNTBLANK(OFFSET(A$1,,,SUMPRODUCT(MAX(ROW(E$2:E2704)*(E2704=E$2:E2704)))))-COUNTBLANK(OFFSET(A$1,,,SUMPRODUCT(MAX(ROW(E$1:E2703)*(E2=E$1:E2703))))))</f>
        <v> </v>
      </c>
      <c r="K2704" s="26" t="str">
        <f>IF(OR(E2704="",E2704="!!!",F2704="NEW"),"",INDEX(J$1:J2703,SUMPRODUCT(MAX(ROW(E$1:E2703)*(E2704=E$1:E2703)))))</f>
        <v> </v>
      </c>
      <c r="L2704" s="27"/>
    </row>
    <row r="2705" spans="1:12">
      <c r="A2705" s="20" t="s">
        <v>583</v>
      </c>
      <c r="E2705" s="22">
        <f>IF(D2705="?OLD","!!!","")</f>
        <v/>
      </c>
      <c r="F2705" s="23" t="str">
        <f>IF(OR(E2705="",E2705="!!!"),"",IF(NOT(ISNA(VLOOKUP(E2705,E$1:E2704,1,FALSE()))),"OLD",IF(AND(E2705&lt;&gt;"",E2705&lt;&gt;"!!!"),"NEW","")))</f>
        <v> </v>
      </c>
      <c r="G2705" s="24" t="str">
        <f>IF(OR(E2705="",E2705="!!!"),"",IF(OR(J2705=0,AND(J2705=1,K2705=1),AND(J2705=1,I2705="SBJ"),AND(J2705=1,I2705=0)),"?IN_FOCUS",IF(J2705&lt;=2,"?ACTIVATED",IF(J2705&lt;&gt;"","?FAMILIAR",IF(F2705="NEW",IF(ISNA(VLOOKUP(E2705,#REF!,1,FALSE())),"?TYPE_IDENTIFIABLE","?REFERENTIAL"),"_")))))</f>
        <v> </v>
      </c>
      <c r="H2705" s="25" t="str">
        <f>IF(J2705&lt;&gt;1,"",IF(I2705="SBJ","CB","?"))</f>
        <v> </v>
      </c>
      <c r="I2705" s="26" t="str">
        <f>IF(OR(E2705="",E2705="!!!",F2705="NEW"),"",INDEX(B2704:B$2,-1+SUMPRODUCT(MAX(ROW(E2704:E$2)*(E2705=E2704:E$2)))))</f>
        <v> </v>
      </c>
      <c r="J2705" s="26" t="str">
        <f>IF(OR(E2705="",E2705="!!!",F2705="NEW"),"",COUNTBLANK(OFFSET(A$1,,,SUMPRODUCT(MAX(ROW(E$2:E2705)*(E2705=E$2:E2705)))))-COUNTBLANK(OFFSET(A$1,,,SUMPRODUCT(MAX(ROW(E$1:E2704)*(E2=E$1:E2704))))))</f>
        <v> </v>
      </c>
      <c r="K2705" s="26" t="str">
        <f>IF(OR(E2705="",E2705="!!!",F2705="NEW"),"",INDEX(J$1:J2704,SUMPRODUCT(MAX(ROW(E$1:E2704)*(E2705=E$1:E2704)))))</f>
        <v> </v>
      </c>
      <c r="L2705" s="27"/>
    </row>
    <row r="2706" spans="1:12">
      <c r="A2706" s="20" t="s">
        <v>1076</v>
      </c>
      <c r="B2706" s="21" t="s">
        <v>578</v>
      </c>
      <c r="C2706" s="21" t="s">
        <v>613</v>
      </c>
      <c r="D2706" s="21" t="s">
        <v>587</v>
      </c>
      <c r="E2706" s="22">
        <f>IF(D2706="?OLD","!!!","")</f>
        <v/>
      </c>
      <c r="F2706" s="23" t="str">
        <f>IF(OR(E2706="",E2706="!!!"),"",IF(NOT(ISNA(VLOOKUP(E2706,E$1:E2705,1,FALSE()))),"OLD",IF(AND(E2706&lt;&gt;"",E2706&lt;&gt;"!!!"),"NEW","")))</f>
        <v> </v>
      </c>
      <c r="G2706" s="24" t="str">
        <f>IF(OR(E2706="",E2706="!!!"),"",IF(OR(J2706=0,AND(J2706=1,K2706=1),AND(J2706=1,I2706="SBJ"),AND(J2706=1,I2706=0)),"?IN_FOCUS",IF(J2706&lt;=2,"?ACTIVATED",IF(J2706&lt;&gt;"","?FAMILIAR",IF(F2706="NEW",IF(ISNA(VLOOKUP(E2706,#REF!,1,FALSE())),"?TYPE_IDENTIFIABLE","?REFERENTIAL"),"_")))))</f>
        <v> </v>
      </c>
      <c r="H2706" s="25" t="str">
        <f>IF(J2706&lt;&gt;1,"",IF(I2706="SBJ","CB","?"))</f>
        <v> </v>
      </c>
      <c r="I2706" s="26" t="str">
        <f>IF(OR(E2706="",E2706="!!!",F2706="NEW"),"",INDEX(B2705:B$2,-1+SUMPRODUCT(MAX(ROW(E2705:E$2)*(E2706=E2705:E$2)))))</f>
        <v> </v>
      </c>
      <c r="J2706" s="26" t="str">
        <f>IF(OR(E2706="",E2706="!!!",F2706="NEW"),"",COUNTBLANK(OFFSET(A$1,,,SUMPRODUCT(MAX(ROW(E$2:E2706)*(E2706=E$2:E2706)))))-COUNTBLANK(OFFSET(A$1,,,SUMPRODUCT(MAX(ROW(E$1:E2705)*(E2=E$1:E2705))))))</f>
        <v> </v>
      </c>
      <c r="K2706" s="26" t="str">
        <f>IF(OR(E2706="",E2706="!!!",F2706="NEW"),"",INDEX(J$1:J2705,SUMPRODUCT(MAX(ROW(E$1:E2705)*(E2706=E$1:E2705)))))</f>
        <v> </v>
      </c>
      <c r="L2706" s="27"/>
    </row>
    <row r="2707" spans="1:12">
      <c r="A2707" s="20" t="s">
        <v>1618</v>
      </c>
      <c r="E2707" s="22">
        <f>IF(D2707="?OLD","!!!","")</f>
        <v/>
      </c>
      <c r="F2707" s="23" t="str">
        <f>IF(OR(E2707="",E2707="!!!"),"",IF(NOT(ISNA(VLOOKUP(E2707,E$1:E2706,1,FALSE()))),"OLD",IF(AND(E2707&lt;&gt;"",E2707&lt;&gt;"!!!"),"NEW","")))</f>
        <v> </v>
      </c>
      <c r="G2707" s="24" t="str">
        <f>IF(OR(E2707="",E2707="!!!"),"",IF(OR(J2707=0,AND(J2707=1,K2707=1),AND(J2707=1,I2707="SBJ"),AND(J2707=1,I2707=0)),"?IN_FOCUS",IF(J2707&lt;=2,"?ACTIVATED",IF(J2707&lt;&gt;"","?FAMILIAR",IF(F2707="NEW",IF(ISNA(VLOOKUP(E2707,#REF!,1,FALSE())),"?TYPE_IDENTIFIABLE","?REFERENTIAL"),"_")))))</f>
        <v> </v>
      </c>
      <c r="H2707" s="25" t="str">
        <f>IF(J2707&lt;&gt;1,"",IF(I2707="SBJ","CB","?"))</f>
        <v> </v>
      </c>
      <c r="I2707" s="26" t="str">
        <f>IF(OR(E2707="",E2707="!!!",F2707="NEW"),"",INDEX(B2706:B$2,-1+SUMPRODUCT(MAX(ROW(E2706:E$2)*(E2707=E2706:E$2)))))</f>
        <v> </v>
      </c>
      <c r="J2707" s="26" t="str">
        <f>IF(OR(E2707="",E2707="!!!",F2707="NEW"),"",COUNTBLANK(OFFSET(A$1,,,SUMPRODUCT(MAX(ROW(E$2:E2707)*(E2707=E$2:E2707)))))-COUNTBLANK(OFFSET(A$1,,,SUMPRODUCT(MAX(ROW(E$1:E2706)*(E2=E$1:E2706))))))</f>
        <v> </v>
      </c>
      <c r="K2707" s="26" t="str">
        <f>IF(OR(E2707="",E2707="!!!",F2707="NEW"),"",INDEX(J$1:J2706,SUMPRODUCT(MAX(ROW(E$1:E2706)*(E2707=E$1:E2706)))))</f>
        <v> </v>
      </c>
      <c r="L2707" s="27"/>
    </row>
    <row r="2708" spans="1:12">
      <c r="A2708" s="20" t="s">
        <v>579</v>
      </c>
      <c r="E2708" s="22">
        <f>IF(D2708="?OLD","!!!","")</f>
        <v/>
      </c>
      <c r="F2708" s="23" t="str">
        <f>IF(OR(E2708="",E2708="!!!"),"",IF(NOT(ISNA(VLOOKUP(E2708,E$1:E2707,1,FALSE()))),"OLD",IF(AND(E2708&lt;&gt;"",E2708&lt;&gt;"!!!"),"NEW","")))</f>
        <v> </v>
      </c>
      <c r="G2708" s="24" t="str">
        <f>IF(OR(E2708="",E2708="!!!"),"",IF(OR(J2708=0,AND(J2708=1,K2708=1),AND(J2708=1,I2708="SBJ"),AND(J2708=1,I2708=0)),"?IN_FOCUS",IF(J2708&lt;=2,"?ACTIVATED",IF(J2708&lt;&gt;"","?FAMILIAR",IF(F2708="NEW",IF(ISNA(VLOOKUP(E2708,#REF!,1,FALSE())),"?TYPE_IDENTIFIABLE","?REFERENTIAL"),"_")))))</f>
        <v> </v>
      </c>
      <c r="H2708" s="25" t="str">
        <f>IF(J2708&lt;&gt;1,"",IF(I2708="SBJ","CB","?"))</f>
        <v> </v>
      </c>
      <c r="I2708" s="26" t="str">
        <f>IF(OR(E2708="",E2708="!!!",F2708="NEW"),"",INDEX(B2707:B$2,-1+SUMPRODUCT(MAX(ROW(E2707:E$2)*(E2708=E2707:E$2)))))</f>
        <v> </v>
      </c>
      <c r="J2708" s="26" t="str">
        <f>IF(OR(E2708="",E2708="!!!",F2708="NEW"),"",COUNTBLANK(OFFSET(A$1,,,SUMPRODUCT(MAX(ROW(E$2:E2708)*(E2708=E$2:E2708)))))-COUNTBLANK(OFFSET(A$1,,,SUMPRODUCT(MAX(ROW(E$1:E2707)*(E2=E$1:E2707))))))</f>
        <v> </v>
      </c>
      <c r="K2708" s="26" t="str">
        <f>IF(OR(E2708="",E2708="!!!",F2708="NEW"),"",INDEX(J$1:J2707,SUMPRODUCT(MAX(ROW(E$1:E2707)*(E2708=E$1:E2707)))))</f>
        <v> </v>
      </c>
      <c r="L2708" s="27"/>
    </row>
    <row r="2709" spans="1:12">
      <c r="A2709" s="20" t="s">
        <v>753</v>
      </c>
      <c r="E2709" s="22">
        <f>IF(D2709="?OLD","!!!","")</f>
        <v/>
      </c>
      <c r="F2709" s="23" t="str">
        <f>IF(OR(E2709="",E2709="!!!"),"",IF(NOT(ISNA(VLOOKUP(E2709,E$1:E2708,1,FALSE()))),"OLD",IF(AND(E2709&lt;&gt;"",E2709&lt;&gt;"!!!"),"NEW","")))</f>
        <v> </v>
      </c>
      <c r="G2709" s="24" t="str">
        <f>IF(OR(E2709="",E2709="!!!"),"",IF(OR(J2709=0,AND(J2709=1,K2709=1),AND(J2709=1,I2709="SBJ"),AND(J2709=1,I2709=0)),"?IN_FOCUS",IF(J2709&lt;=2,"?ACTIVATED",IF(J2709&lt;&gt;"","?FAMILIAR",IF(F2709="NEW",IF(ISNA(VLOOKUP(E2709,#REF!,1,FALSE())),"?TYPE_IDENTIFIABLE","?REFERENTIAL"),"_")))))</f>
        <v> </v>
      </c>
      <c r="H2709" s="25" t="str">
        <f>IF(J2709&lt;&gt;1,"",IF(I2709="SBJ","CB","?"))</f>
        <v> </v>
      </c>
      <c r="I2709" s="26" t="str">
        <f>IF(OR(E2709="",E2709="!!!",F2709="NEW"),"",INDEX(B2708:B$2,-1+SUMPRODUCT(MAX(ROW(E2708:E$2)*(E2709=E2708:E$2)))))</f>
        <v> </v>
      </c>
      <c r="J2709" s="26" t="str">
        <f>IF(OR(E2709="",E2709="!!!",F2709="NEW"),"",COUNTBLANK(OFFSET(A$1,,,SUMPRODUCT(MAX(ROW(E$2:E2709)*(E2709=E$2:E2709)))))-COUNTBLANK(OFFSET(A$1,,,SUMPRODUCT(MAX(ROW(E$1:E2708)*(E2=E$1:E2708))))))</f>
        <v> </v>
      </c>
      <c r="K2709" s="26" t="str">
        <f>IF(OR(E2709="",E2709="!!!",F2709="NEW"),"",INDEX(J$1:J2708,SUMPRODUCT(MAX(ROW(E$1:E2708)*(E2709=E$1:E2708)))))</f>
        <v> </v>
      </c>
      <c r="L2709" s="27"/>
    </row>
    <row r="2710" spans="1:12">
      <c r="A2710" s="20" t="s">
        <v>1773</v>
      </c>
      <c r="E2710" s="22">
        <f>IF(D2710="?OLD","!!!","")</f>
        <v/>
      </c>
      <c r="F2710" s="23" t="str">
        <f>IF(OR(E2710="",E2710="!!!"),"",IF(NOT(ISNA(VLOOKUP(E2710,E$1:E2709,1,FALSE()))),"OLD",IF(AND(E2710&lt;&gt;"",E2710&lt;&gt;"!!!"),"NEW","")))</f>
        <v> </v>
      </c>
      <c r="G2710" s="24" t="str">
        <f>IF(OR(E2710="",E2710="!!!"),"",IF(OR(J2710=0,AND(J2710=1,K2710=1),AND(J2710=1,I2710="SBJ"),AND(J2710=1,I2710=0)),"?IN_FOCUS",IF(J2710&lt;=2,"?ACTIVATED",IF(J2710&lt;&gt;"","?FAMILIAR",IF(F2710="NEW",IF(ISNA(VLOOKUP(E2710,#REF!,1,FALSE())),"?TYPE_IDENTIFIABLE","?REFERENTIAL"),"_")))))</f>
        <v> </v>
      </c>
      <c r="H2710" s="25" t="str">
        <f>IF(J2710&lt;&gt;1,"",IF(I2710="SBJ","CB","?"))</f>
        <v> </v>
      </c>
      <c r="I2710" s="26" t="str">
        <f>IF(OR(E2710="",E2710="!!!",F2710="NEW"),"",INDEX(B2709:B$2,-1+SUMPRODUCT(MAX(ROW(E2709:E$2)*(E2710=E2709:E$2)))))</f>
        <v> </v>
      </c>
      <c r="J2710" s="26" t="str">
        <f>IF(OR(E2710="",E2710="!!!",F2710="NEW"),"",COUNTBLANK(OFFSET(A$1,,,SUMPRODUCT(MAX(ROW(E$2:E2710)*(E2710=E$2:E2710)))))-COUNTBLANK(OFFSET(A$1,,,SUMPRODUCT(MAX(ROW(E$1:E2709)*(E2=E$1:E2709))))))</f>
        <v> </v>
      </c>
      <c r="K2710" s="26" t="str">
        <f>IF(OR(E2710="",E2710="!!!",F2710="NEW"),"",INDEX(J$1:J2709,SUMPRODUCT(MAX(ROW(E$1:E2709)*(E2710=E$1:E2709)))))</f>
        <v> </v>
      </c>
      <c r="L2710" s="27"/>
    </row>
    <row r="2711" spans="1:12">
      <c r="A2711" s="20" t="s">
        <v>580</v>
      </c>
      <c r="E2711" s="22">
        <f>IF(D2711="?OLD","!!!","")</f>
        <v/>
      </c>
      <c r="F2711" s="23" t="str">
        <f>IF(OR(E2711="",E2711="!!!"),"",IF(NOT(ISNA(VLOOKUP(E2711,E$1:E2710,1,FALSE()))),"OLD",IF(AND(E2711&lt;&gt;"",E2711&lt;&gt;"!!!"),"NEW","")))</f>
        <v> </v>
      </c>
      <c r="G2711" s="24" t="str">
        <f>IF(OR(E2711="",E2711="!!!"),"",IF(OR(J2711=0,AND(J2711=1,K2711=1),AND(J2711=1,I2711="SBJ"),AND(J2711=1,I2711=0)),"?IN_FOCUS",IF(J2711&lt;=2,"?ACTIVATED",IF(J2711&lt;&gt;"","?FAMILIAR",IF(F2711="NEW",IF(ISNA(VLOOKUP(E2711,#REF!,1,FALSE())),"?TYPE_IDENTIFIABLE","?REFERENTIAL"),"_")))))</f>
        <v> </v>
      </c>
      <c r="H2711" s="25" t="str">
        <f>IF(J2711&lt;&gt;1,"",IF(I2711="SBJ","CB","?"))</f>
        <v> </v>
      </c>
      <c r="I2711" s="26" t="str">
        <f>IF(OR(E2711="",E2711="!!!",F2711="NEW"),"",INDEX(B2710:B$2,-1+SUMPRODUCT(MAX(ROW(E2710:E$2)*(E2711=E2710:E$2)))))</f>
        <v> </v>
      </c>
      <c r="J2711" s="26" t="str">
        <f>IF(OR(E2711="",E2711="!!!",F2711="NEW"),"",COUNTBLANK(OFFSET(A$1,,,SUMPRODUCT(MAX(ROW(E$2:E2711)*(E2711=E$2:E2711)))))-COUNTBLANK(OFFSET(A$1,,,SUMPRODUCT(MAX(ROW(E$1:E2710)*(E2=E$1:E2710))))))</f>
        <v> </v>
      </c>
      <c r="K2711" s="26" t="str">
        <f>IF(OR(E2711="",E2711="!!!",F2711="NEW"),"",INDEX(J$1:J2710,SUMPRODUCT(MAX(ROW(E$1:E2710)*(E2711=E$1:E2710)))))</f>
        <v> </v>
      </c>
      <c r="L2711" s="27"/>
    </row>
    <row r="2712" spans="1:12">
      <c r="A2712" s="20" t="s">
        <v>1774</v>
      </c>
      <c r="B2712" s="21" t="s">
        <v>585</v>
      </c>
      <c r="C2712" s="21" t="s">
        <v>800</v>
      </c>
      <c r="D2712" s="21" t="s">
        <v>587</v>
      </c>
      <c r="E2712" s="22">
        <f>IF(D2712="?OLD","!!!","")</f>
        <v/>
      </c>
      <c r="F2712" s="23" t="str">
        <f>IF(OR(E2712="",E2712="!!!"),"",IF(NOT(ISNA(VLOOKUP(E2712,E$1:E2711,1,FALSE()))),"OLD",IF(AND(E2712&lt;&gt;"",E2712&lt;&gt;"!!!"),"NEW","")))</f>
        <v> </v>
      </c>
      <c r="G2712" s="24" t="str">
        <f>IF(OR(E2712="",E2712="!!!"),"",IF(OR(J2712=0,AND(J2712=1,K2712=1),AND(J2712=1,I2712="SBJ"),AND(J2712=1,I2712=0)),"?IN_FOCUS",IF(J2712&lt;=2,"?ACTIVATED",IF(J2712&lt;&gt;"","?FAMILIAR",IF(F2712="NEW",IF(ISNA(VLOOKUP(E2712,#REF!,1,FALSE())),"?TYPE_IDENTIFIABLE","?REFERENTIAL"),"_")))))</f>
        <v> </v>
      </c>
      <c r="H2712" s="25" t="str">
        <f>IF(J2712&lt;&gt;1,"",IF(I2712="SBJ","CB","?"))</f>
        <v> </v>
      </c>
      <c r="I2712" s="26" t="str">
        <f>IF(OR(E2712="",E2712="!!!",F2712="NEW"),"",INDEX(B2711:B$2,-1+SUMPRODUCT(MAX(ROW(E2711:E$2)*(E2712=E2711:E$2)))))</f>
        <v> </v>
      </c>
      <c r="J2712" s="26" t="str">
        <f>IF(OR(E2712="",E2712="!!!",F2712="NEW"),"",COUNTBLANK(OFFSET(A$1,,,SUMPRODUCT(MAX(ROW(E$2:E2712)*(E2712=E$2:E2712)))))-COUNTBLANK(OFFSET(A$1,,,SUMPRODUCT(MAX(ROW(E$1:E2711)*(E2=E$1:E2711))))))</f>
        <v> </v>
      </c>
      <c r="K2712" s="26" t="str">
        <f>IF(OR(E2712="",E2712="!!!",F2712="NEW"),"",INDEX(J$1:J2711,SUMPRODUCT(MAX(ROW(E$1:E2711)*(E2712=E$1:E2711)))))</f>
        <v> </v>
      </c>
      <c r="L2712" s="27"/>
    </row>
    <row r="2713" spans="1:12">
      <c r="A2713" s="20" t="s">
        <v>1775</v>
      </c>
      <c r="B2713" s="21" t="s">
        <v>601</v>
      </c>
      <c r="C2713" s="21" t="s">
        <v>628</v>
      </c>
      <c r="D2713" s="21" t="s">
        <v>587</v>
      </c>
      <c r="E2713" s="22">
        <f>IF(D2713="?OLD","!!!","")</f>
        <v/>
      </c>
      <c r="F2713" s="23" t="str">
        <f>IF(OR(E2713="",E2713="!!!"),"",IF(NOT(ISNA(VLOOKUP(E2713,E$1:E2712,1,FALSE()))),"OLD",IF(AND(E2713&lt;&gt;"",E2713&lt;&gt;"!!!"),"NEW","")))</f>
        <v> </v>
      </c>
      <c r="G2713" s="24" t="str">
        <f>IF(OR(E2713="",E2713="!!!"),"",IF(OR(J2713=0,AND(J2713=1,K2713=1),AND(J2713=1,I2713="SBJ"),AND(J2713=1,I2713=0)),"?IN_FOCUS",IF(J2713&lt;=2,"?ACTIVATED",IF(J2713&lt;&gt;"","?FAMILIAR",IF(F2713="NEW",IF(ISNA(VLOOKUP(E2713,#REF!,1,FALSE())),"?TYPE_IDENTIFIABLE","?REFERENTIAL"),"_")))))</f>
        <v> </v>
      </c>
      <c r="H2713" s="25" t="str">
        <f>IF(J2713&lt;&gt;1,"",IF(I2713="SBJ","CB","?"))</f>
        <v> </v>
      </c>
      <c r="I2713" s="26" t="str">
        <f>IF(OR(E2713="",E2713="!!!",F2713="NEW"),"",INDEX(B2712:B$2,-1+SUMPRODUCT(MAX(ROW(E2712:E$2)*(E2713=E2712:E$2)))))</f>
        <v> </v>
      </c>
      <c r="J2713" s="26" t="str">
        <f>IF(OR(E2713="",E2713="!!!",F2713="NEW"),"",COUNTBLANK(OFFSET(A$1,,,SUMPRODUCT(MAX(ROW(E$2:E2713)*(E2713=E$2:E2713)))))-COUNTBLANK(OFFSET(A$1,,,SUMPRODUCT(MAX(ROW(E$1:E2712)*(E2=E$1:E2712))))))</f>
        <v> </v>
      </c>
      <c r="K2713" s="26" t="str">
        <f>IF(OR(E2713="",E2713="!!!",F2713="NEW"),"",INDEX(J$1:J2712,SUMPRODUCT(MAX(ROW(E$1:E2712)*(E2713=E$1:E2712)))))</f>
        <v> </v>
      </c>
      <c r="L2713" s="27"/>
    </row>
    <row r="2714" spans="1:12">
      <c r="A2714" s="20" t="s">
        <v>583</v>
      </c>
      <c r="E2714" s="22">
        <f>IF(D2714="?OLD","!!!","")</f>
        <v/>
      </c>
      <c r="F2714" s="23" t="str">
        <f>IF(OR(E2714="",E2714="!!!"),"",IF(NOT(ISNA(VLOOKUP(E2714,E$1:E2713,1,FALSE()))),"OLD",IF(AND(E2714&lt;&gt;"",E2714&lt;&gt;"!!!"),"NEW","")))</f>
        <v> </v>
      </c>
      <c r="G2714" s="24" t="str">
        <f>IF(OR(E2714="",E2714="!!!"),"",IF(OR(J2714=0,AND(J2714=1,K2714=1),AND(J2714=1,I2714="SBJ"),AND(J2714=1,I2714=0)),"?IN_FOCUS",IF(J2714&lt;=2,"?ACTIVATED",IF(J2714&lt;&gt;"","?FAMILIAR",IF(F2714="NEW",IF(ISNA(VLOOKUP(E2714,#REF!,1,FALSE())),"?TYPE_IDENTIFIABLE","?REFERENTIAL"),"_")))))</f>
        <v> </v>
      </c>
      <c r="H2714" s="25" t="str">
        <f>IF(J2714&lt;&gt;1,"",IF(I2714="SBJ","CB","?"))</f>
        <v> </v>
      </c>
      <c r="I2714" s="26" t="str">
        <f>IF(OR(E2714="",E2714="!!!",F2714="NEW"),"",INDEX(B2713:B$2,-1+SUMPRODUCT(MAX(ROW(E2713:E$2)*(E2714=E2713:E$2)))))</f>
        <v> </v>
      </c>
      <c r="J2714" s="26" t="str">
        <f>IF(OR(E2714="",E2714="!!!",F2714="NEW"),"",COUNTBLANK(OFFSET(A$1,,,SUMPRODUCT(MAX(ROW(E$2:E2714)*(E2714=E$2:E2714)))))-COUNTBLANK(OFFSET(A$1,,,SUMPRODUCT(MAX(ROW(E$1:E2713)*(E2=E$1:E2713))))))</f>
        <v> </v>
      </c>
      <c r="K2714" s="26" t="str">
        <f>IF(OR(E2714="",E2714="!!!",F2714="NEW"),"",INDEX(J$1:J2713,SUMPRODUCT(MAX(ROW(E$1:E2713)*(E2714=E$1:E2713)))))</f>
        <v> </v>
      </c>
      <c r="L2714" s="27"/>
    </row>
    <row r="2715" spans="1:12">
      <c r="A2715" s="20" t="s">
        <v>1776</v>
      </c>
      <c r="B2715" s="21" t="s">
        <v>645</v>
      </c>
      <c r="C2715" s="21" t="s">
        <v>628</v>
      </c>
      <c r="D2715" s="21" t="s">
        <v>587</v>
      </c>
      <c r="E2715" s="22">
        <f>IF(D2715="?OLD","!!!","")</f>
        <v/>
      </c>
      <c r="F2715" s="23" t="str">
        <f>IF(OR(E2715="",E2715="!!!"),"",IF(NOT(ISNA(VLOOKUP(E2715,E$1:E2714,1,FALSE()))),"OLD",IF(AND(E2715&lt;&gt;"",E2715&lt;&gt;"!!!"),"NEW","")))</f>
        <v> </v>
      </c>
      <c r="G2715" s="24" t="str">
        <f>IF(OR(E2715="",E2715="!!!"),"",IF(OR(J2715=0,AND(J2715=1,K2715=1),AND(J2715=1,I2715="SBJ"),AND(J2715=1,I2715=0)),"?IN_FOCUS",IF(J2715&lt;=2,"?ACTIVATED",IF(J2715&lt;&gt;"","?FAMILIAR",IF(F2715="NEW",IF(ISNA(VLOOKUP(E2715,#REF!,1,FALSE())),"?TYPE_IDENTIFIABLE","?REFERENTIAL"),"_")))))</f>
        <v> </v>
      </c>
      <c r="H2715" s="25" t="str">
        <f>IF(J2715&lt;&gt;1,"",IF(I2715="SBJ","CB","?"))</f>
        <v> </v>
      </c>
      <c r="I2715" s="26" t="str">
        <f>IF(OR(E2715="",E2715="!!!",F2715="NEW"),"",INDEX(B2714:B$2,-1+SUMPRODUCT(MAX(ROW(E2714:E$2)*(E2715=E2714:E$2)))))</f>
        <v> </v>
      </c>
      <c r="J2715" s="26" t="str">
        <f>IF(OR(E2715="",E2715="!!!",F2715="NEW"),"",COUNTBLANK(OFFSET(A$1,,,SUMPRODUCT(MAX(ROW(E$2:E2715)*(E2715=E$2:E2715)))))-COUNTBLANK(OFFSET(A$1,,,SUMPRODUCT(MAX(ROW(E$1:E2714)*(E2=E$1:E2714))))))</f>
        <v> </v>
      </c>
      <c r="K2715" s="26" t="str">
        <f>IF(OR(E2715="",E2715="!!!",F2715="NEW"),"",INDEX(J$1:J2714,SUMPRODUCT(MAX(ROW(E$1:E2714)*(E2715=E$1:E2714)))))</f>
        <v> </v>
      </c>
      <c r="L2715" s="27"/>
    </row>
    <row r="2716" spans="1:12">
      <c r="A2716" s="20" t="s">
        <v>583</v>
      </c>
      <c r="E2716" s="22">
        <f>IF(D2716="?OLD","!!!","")</f>
        <v/>
      </c>
      <c r="F2716" s="23" t="str">
        <f>IF(OR(E2716="",E2716="!!!"),"",IF(NOT(ISNA(VLOOKUP(E2716,E$1:E2715,1,FALSE()))),"OLD",IF(AND(E2716&lt;&gt;"",E2716&lt;&gt;"!!!"),"NEW","")))</f>
        <v> </v>
      </c>
      <c r="G2716" s="24" t="str">
        <f>IF(OR(E2716="",E2716="!!!"),"",IF(OR(J2716=0,AND(J2716=1,K2716=1),AND(J2716=1,I2716="SBJ"),AND(J2716=1,I2716=0)),"?IN_FOCUS",IF(J2716&lt;=2,"?ACTIVATED",IF(J2716&lt;&gt;"","?FAMILIAR",IF(F2716="NEW",IF(ISNA(VLOOKUP(E2716,#REF!,1,FALSE())),"?TYPE_IDENTIFIABLE","?REFERENTIAL"),"_")))))</f>
        <v> </v>
      </c>
      <c r="H2716" s="25" t="str">
        <f>IF(J2716&lt;&gt;1,"",IF(I2716="SBJ","CB","?"))</f>
        <v> </v>
      </c>
      <c r="I2716" s="26" t="str">
        <f>IF(OR(E2716="",E2716="!!!",F2716="NEW"),"",INDEX(B2715:B$2,-1+SUMPRODUCT(MAX(ROW(E2715:E$2)*(E2716=E2715:E$2)))))</f>
        <v> </v>
      </c>
      <c r="J2716" s="26" t="str">
        <f>IF(OR(E2716="",E2716="!!!",F2716="NEW"),"",COUNTBLANK(OFFSET(A$1,,,SUMPRODUCT(MAX(ROW(E$2:E2716)*(E2716=E$2:E2716)))))-COUNTBLANK(OFFSET(A$1,,,SUMPRODUCT(MAX(ROW(E$1:E2715)*(E2=E$1:E2715))))))</f>
        <v> </v>
      </c>
      <c r="K2716" s="26" t="str">
        <f>IF(OR(E2716="",E2716="!!!",F2716="NEW"),"",INDEX(J$1:J2715,SUMPRODUCT(MAX(ROW(E$1:E2715)*(E2716=E$1:E2715)))))</f>
        <v> </v>
      </c>
      <c r="L2716" s="27"/>
    </row>
    <row r="2717" spans="1:12">
      <c r="A2717" s="20" t="s">
        <v>1777</v>
      </c>
      <c r="B2717" s="21" t="s">
        <v>585</v>
      </c>
      <c r="C2717" s="21" t="s">
        <v>628</v>
      </c>
      <c r="D2717" s="21" t="s">
        <v>587</v>
      </c>
      <c r="E2717" s="22">
        <f>IF(D2717="?OLD","!!!","")</f>
        <v/>
      </c>
      <c r="F2717" s="23" t="str">
        <f>IF(OR(E2717="",E2717="!!!"),"",IF(NOT(ISNA(VLOOKUP(E2717,E$1:E2716,1,FALSE()))),"OLD",IF(AND(E2717&lt;&gt;"",E2717&lt;&gt;"!!!"),"NEW","")))</f>
        <v> </v>
      </c>
      <c r="G2717" s="24" t="str">
        <f>IF(OR(E2717="",E2717="!!!"),"",IF(OR(J2717=0,AND(J2717=1,K2717=1),AND(J2717=1,I2717="SBJ"),AND(J2717=1,I2717=0)),"?IN_FOCUS",IF(J2717&lt;=2,"?ACTIVATED",IF(J2717&lt;&gt;"","?FAMILIAR",IF(F2717="NEW",IF(ISNA(VLOOKUP(E2717,#REF!,1,FALSE())),"?TYPE_IDENTIFIABLE","?REFERENTIAL"),"_")))))</f>
        <v> </v>
      </c>
      <c r="H2717" s="25" t="str">
        <f>IF(J2717&lt;&gt;1,"",IF(I2717="SBJ","CB","?"))</f>
        <v> </v>
      </c>
      <c r="I2717" s="26" t="str">
        <f>IF(OR(E2717="",E2717="!!!",F2717="NEW"),"",INDEX(B2716:B$2,-1+SUMPRODUCT(MAX(ROW(E2716:E$2)*(E2717=E2716:E$2)))))</f>
        <v> </v>
      </c>
      <c r="J2717" s="26" t="str">
        <f>IF(OR(E2717="",E2717="!!!",F2717="NEW"),"",COUNTBLANK(OFFSET(A$1,,,SUMPRODUCT(MAX(ROW(E$2:E2717)*(E2717=E$2:E2717)))))-COUNTBLANK(OFFSET(A$1,,,SUMPRODUCT(MAX(ROW(E$1:E2716)*(E2=E$1:E2716))))))</f>
        <v> </v>
      </c>
      <c r="K2717" s="26" t="str">
        <f>IF(OR(E2717="",E2717="!!!",F2717="NEW"),"",INDEX(J$1:J2716,SUMPRODUCT(MAX(ROW(E$1:E2716)*(E2717=E$1:E2716)))))</f>
        <v> </v>
      </c>
      <c r="L2717" s="27"/>
    </row>
    <row r="2718" spans="1:12">
      <c r="A2718" s="20" t="s">
        <v>583</v>
      </c>
      <c r="E2718" s="22">
        <f>IF(D2718="?OLD","!!!","")</f>
        <v/>
      </c>
      <c r="F2718" s="23" t="str">
        <f>IF(OR(E2718="",E2718="!!!"),"",IF(NOT(ISNA(VLOOKUP(E2718,E$1:E2717,1,FALSE()))),"OLD",IF(AND(E2718&lt;&gt;"",E2718&lt;&gt;"!!!"),"NEW","")))</f>
        <v> </v>
      </c>
      <c r="G2718" s="24" t="str">
        <f>IF(OR(E2718="",E2718="!!!"),"",IF(OR(J2718=0,AND(J2718=1,K2718=1),AND(J2718=1,I2718="SBJ"),AND(J2718=1,I2718=0)),"?IN_FOCUS",IF(J2718&lt;=2,"?ACTIVATED",IF(J2718&lt;&gt;"","?FAMILIAR",IF(F2718="NEW",IF(ISNA(VLOOKUP(E2718,#REF!,1,FALSE())),"?TYPE_IDENTIFIABLE","?REFERENTIAL"),"_")))))</f>
        <v> </v>
      </c>
      <c r="H2718" s="25" t="str">
        <f>IF(J2718&lt;&gt;1,"",IF(I2718="SBJ","CB","?"))</f>
        <v> </v>
      </c>
      <c r="I2718" s="26" t="str">
        <f>IF(OR(E2718="",E2718="!!!",F2718="NEW"),"",INDEX(B2717:B$2,-1+SUMPRODUCT(MAX(ROW(E2717:E$2)*(E2718=E2717:E$2)))))</f>
        <v> </v>
      </c>
      <c r="J2718" s="26" t="str">
        <f>IF(OR(E2718="",E2718="!!!",F2718="NEW"),"",COUNTBLANK(OFFSET(A$1,,,SUMPRODUCT(MAX(ROW(E$2:E2718)*(E2718=E$2:E2718)))))-COUNTBLANK(OFFSET(A$1,,,SUMPRODUCT(MAX(ROW(E$1:E2717)*(E2=E$1:E2717))))))</f>
        <v> </v>
      </c>
      <c r="K2718" s="26" t="str">
        <f>IF(OR(E2718="",E2718="!!!",F2718="NEW"),"",INDEX(J$1:J2717,SUMPRODUCT(MAX(ROW(E$1:E2717)*(E2718=E$1:E2717)))))</f>
        <v> </v>
      </c>
      <c r="L2718" s="27"/>
    </row>
    <row r="2719" spans="1:12">
      <c r="A2719" s="20" t="s">
        <v>1778</v>
      </c>
      <c r="B2719" s="21" t="s">
        <v>585</v>
      </c>
      <c r="C2719" s="21" t="s">
        <v>628</v>
      </c>
      <c r="D2719" s="21" t="s">
        <v>587</v>
      </c>
      <c r="E2719" s="22">
        <f>IF(D2719="?OLD","!!!","")</f>
        <v/>
      </c>
      <c r="F2719" s="23" t="str">
        <f>IF(OR(E2719="",E2719="!!!"),"",IF(NOT(ISNA(VLOOKUP(E2719,E$1:E2718,1,FALSE()))),"OLD",IF(AND(E2719&lt;&gt;"",E2719&lt;&gt;"!!!"),"NEW","")))</f>
        <v> </v>
      </c>
      <c r="G2719" s="24" t="str">
        <f>IF(OR(E2719="",E2719="!!!"),"",IF(OR(J2719=0,AND(J2719=1,K2719=1),AND(J2719=1,I2719="SBJ"),AND(J2719=1,I2719=0)),"?IN_FOCUS",IF(J2719&lt;=2,"?ACTIVATED",IF(J2719&lt;&gt;"","?FAMILIAR",IF(F2719="NEW",IF(ISNA(VLOOKUP(E2719,#REF!,1,FALSE())),"?TYPE_IDENTIFIABLE","?REFERENTIAL"),"_")))))</f>
        <v> </v>
      </c>
      <c r="H2719" s="25" t="str">
        <f>IF(J2719&lt;&gt;1,"",IF(I2719="SBJ","CB","?"))</f>
        <v> </v>
      </c>
      <c r="I2719" s="26" t="str">
        <f>IF(OR(E2719="",E2719="!!!",F2719="NEW"),"",INDEX(B2718:B$2,-1+SUMPRODUCT(MAX(ROW(E2718:E$2)*(E2719=E2718:E$2)))))</f>
        <v> </v>
      </c>
      <c r="J2719" s="26" t="str">
        <f>IF(OR(E2719="",E2719="!!!",F2719="NEW"),"",COUNTBLANK(OFFSET(A$1,,,SUMPRODUCT(MAX(ROW(E$2:E2719)*(E2719=E$2:E2719)))))-COUNTBLANK(OFFSET(A$1,,,SUMPRODUCT(MAX(ROW(E$1:E2718)*(E2=E$1:E2718))))))</f>
        <v> </v>
      </c>
      <c r="K2719" s="26" t="str">
        <f>IF(OR(E2719="",E2719="!!!",F2719="NEW"),"",INDEX(J$1:J2718,SUMPRODUCT(MAX(ROW(E$1:E2718)*(E2719=E$1:E2718)))))</f>
        <v> </v>
      </c>
      <c r="L2719" s="27"/>
    </row>
    <row r="2720" spans="1:12">
      <c r="A2720" s="20" t="s">
        <v>630</v>
      </c>
      <c r="E2720" s="22">
        <f>IF(D2720="?OLD","!!!","")</f>
        <v/>
      </c>
      <c r="F2720" s="23" t="str">
        <f>IF(OR(E2720="",E2720="!!!"),"",IF(NOT(ISNA(VLOOKUP(E2720,E$1:E2719,1,FALSE()))),"OLD",IF(AND(E2720&lt;&gt;"",E2720&lt;&gt;"!!!"),"NEW","")))</f>
        <v> </v>
      </c>
      <c r="G2720" s="24" t="str">
        <f>IF(OR(E2720="",E2720="!!!"),"",IF(OR(J2720=0,AND(J2720=1,K2720=1),AND(J2720=1,I2720="SBJ"),AND(J2720=1,I2720=0)),"?IN_FOCUS",IF(J2720&lt;=2,"?ACTIVATED",IF(J2720&lt;&gt;"","?FAMILIAR",IF(F2720="NEW",IF(ISNA(VLOOKUP(E2720,#REF!,1,FALSE())),"?TYPE_IDENTIFIABLE","?REFERENTIAL"),"_")))))</f>
        <v> </v>
      </c>
      <c r="H2720" s="25" t="str">
        <f>IF(J2720&lt;&gt;1,"",IF(I2720="SBJ","CB","?"))</f>
        <v> </v>
      </c>
      <c r="I2720" s="26" t="str">
        <f>IF(OR(E2720="",E2720="!!!",F2720="NEW"),"",INDEX(B2719:B$2,-1+SUMPRODUCT(MAX(ROW(E2719:E$2)*(E2720=E2719:E$2)))))</f>
        <v> </v>
      </c>
      <c r="J2720" s="26" t="str">
        <f>IF(OR(E2720="",E2720="!!!",F2720="NEW"),"",COUNTBLANK(OFFSET(A$1,,,SUMPRODUCT(MAX(ROW(E$2:E2720)*(E2720=E$2:E2720)))))-COUNTBLANK(OFFSET(A$1,,,SUMPRODUCT(MAX(ROW(E$1:E2719)*(E2=E$1:E2719))))))</f>
        <v> </v>
      </c>
      <c r="K2720" s="26" t="str">
        <f>IF(OR(E2720="",E2720="!!!",F2720="NEW"),"",INDEX(J$1:J2719,SUMPRODUCT(MAX(ROW(E$1:E2719)*(E2720=E$1:E2719)))))</f>
        <v> </v>
      </c>
      <c r="L2720" s="27"/>
    </row>
    <row r="2721" spans="1:12">
      <c r="A2721" s="20" t="s">
        <v>1364</v>
      </c>
      <c r="B2721" s="21" t="s">
        <v>585</v>
      </c>
      <c r="C2721" s="21" t="s">
        <v>628</v>
      </c>
      <c r="D2721" s="21" t="s">
        <v>587</v>
      </c>
      <c r="E2721" s="22">
        <f>IF(D2721="?OLD","!!!","")</f>
        <v/>
      </c>
      <c r="F2721" s="23" t="str">
        <f>IF(OR(E2721="",E2721="!!!"),"",IF(NOT(ISNA(VLOOKUP(E2721,E$1:E2720,1,FALSE()))),"OLD",IF(AND(E2721&lt;&gt;"",E2721&lt;&gt;"!!!"),"NEW","")))</f>
        <v> </v>
      </c>
      <c r="G2721" s="24" t="str">
        <f>IF(OR(E2721="",E2721="!!!"),"",IF(OR(J2721=0,AND(J2721=1,K2721=1),AND(J2721=1,I2721="SBJ"),AND(J2721=1,I2721=0)),"?IN_FOCUS",IF(J2721&lt;=2,"?ACTIVATED",IF(J2721&lt;&gt;"","?FAMILIAR",IF(F2721="NEW",IF(ISNA(VLOOKUP(E2721,#REF!,1,FALSE())),"?TYPE_IDENTIFIABLE","?REFERENTIAL"),"_")))))</f>
        <v> </v>
      </c>
      <c r="H2721" s="25" t="str">
        <f>IF(J2721&lt;&gt;1,"",IF(I2721="SBJ","CB","?"))</f>
        <v> </v>
      </c>
      <c r="I2721" s="26" t="str">
        <f>IF(OR(E2721="",E2721="!!!",F2721="NEW"),"",INDEX(B2720:B$2,-1+SUMPRODUCT(MAX(ROW(E2720:E$2)*(E2721=E2720:E$2)))))</f>
        <v> </v>
      </c>
      <c r="J2721" s="26" t="str">
        <f>IF(OR(E2721="",E2721="!!!",F2721="NEW"),"",COUNTBLANK(OFFSET(A$1,,,SUMPRODUCT(MAX(ROW(E$2:E2721)*(E2721=E$2:E2721)))))-COUNTBLANK(OFFSET(A$1,,,SUMPRODUCT(MAX(ROW(E$1:E2720)*(E2=E$1:E2720))))))</f>
        <v> </v>
      </c>
      <c r="K2721" s="26" t="str">
        <f>IF(OR(E2721="",E2721="!!!",F2721="NEW"),"",INDEX(J$1:J2720,SUMPRODUCT(MAX(ROW(E$1:E2720)*(E2721=E$1:E2720)))))</f>
        <v> </v>
      </c>
      <c r="L2721" s="27"/>
    </row>
    <row r="2722" spans="1:12">
      <c r="A2722" s="20" t="s">
        <v>592</v>
      </c>
      <c r="E2722" s="22">
        <f>IF(D2722="?OLD","!!!","")</f>
        <v/>
      </c>
      <c r="F2722" s="23" t="str">
        <f>IF(OR(E2722="",E2722="!!!"),"",IF(NOT(ISNA(VLOOKUP(E2722,E$1:E2721,1,FALSE()))),"OLD",IF(AND(E2722&lt;&gt;"",E2722&lt;&gt;"!!!"),"NEW","")))</f>
        <v> </v>
      </c>
      <c r="G2722" s="24" t="str">
        <f>IF(OR(E2722="",E2722="!!!"),"",IF(OR(J2722=0,AND(J2722=1,K2722=1),AND(J2722=1,I2722="SBJ"),AND(J2722=1,I2722=0)),"?IN_FOCUS",IF(J2722&lt;=2,"?ACTIVATED",IF(J2722&lt;&gt;"","?FAMILIAR",IF(F2722="NEW",IF(ISNA(VLOOKUP(E2722,#REF!,1,FALSE())),"?TYPE_IDENTIFIABLE","?REFERENTIAL"),"_")))))</f>
        <v> </v>
      </c>
      <c r="H2722" s="25" t="str">
        <f>IF(J2722&lt;&gt;1,"",IF(I2722="SBJ","CB","?"))</f>
        <v> </v>
      </c>
      <c r="I2722" s="26" t="str">
        <f>IF(OR(E2722="",E2722="!!!",F2722="NEW"),"",INDEX(B2721:B$2,-1+SUMPRODUCT(MAX(ROW(E2721:E$2)*(E2722=E2721:E$2)))))</f>
        <v> </v>
      </c>
      <c r="J2722" s="26" t="str">
        <f>IF(OR(E2722="",E2722="!!!",F2722="NEW"),"",COUNTBLANK(OFFSET(A$1,,,SUMPRODUCT(MAX(ROW(E$2:E2722)*(E2722=E$2:E2722)))))-COUNTBLANK(OFFSET(A$1,,,SUMPRODUCT(MAX(ROW(E$1:E2721)*(E2=E$1:E2721))))))</f>
        <v> </v>
      </c>
      <c r="K2722" s="26" t="str">
        <f>IF(OR(E2722="",E2722="!!!",F2722="NEW"),"",INDEX(J$1:J2721,SUMPRODUCT(MAX(ROW(E$1:E2721)*(E2722=E$1:E2721)))))</f>
        <v> </v>
      </c>
      <c r="L2722" s="27"/>
    </row>
    <row r="2723" spans="1:12">
      <c r="A2723" s="20"/>
    </row>
    <row r="2724" spans="1:12">
      <c r="A2724" s="20" t="s">
        <v>1779</v>
      </c>
    </row>
    <row r="2725" spans="1:12">
      <c r="A2725" s="20" t="s">
        <v>1062</v>
      </c>
      <c r="B2725" s="21" t="s">
        <v>578</v>
      </c>
      <c r="E2725" s="22">
        <f>IF(D2725="?OLD","!!!","")</f>
        <v/>
      </c>
      <c r="F2725" s="23" t="str">
        <f>IF(OR(E2725="",E2725="!!!"),"",IF(NOT(ISNA(VLOOKUP(E2725,E$1:E2724,1,FALSE()))),"OLD",IF(AND(E2725&lt;&gt;"",E2725&lt;&gt;"!!!"),"NEW","")))</f>
        <v> </v>
      </c>
      <c r="G2725" s="24" t="str">
        <f>IF(OR(E2725="",E2725="!!!"),"",IF(OR(J2725=0,AND(J2725=1,K2725=1),AND(J2725=1,I2725="SBJ"),AND(J2725=1,I2725=0)),"?IN_FOCUS",IF(J2725&lt;=2,"?ACTIVATED",IF(J2725&lt;&gt;"","?FAMILIAR",IF(F2725="NEW",IF(ISNA(VLOOKUP(E2725,#REF!,1,FALSE())),"?TYPE_IDENTIFIABLE","?REFERENTIAL"),"_")))))</f>
        <v> </v>
      </c>
      <c r="H2725" s="25" t="str">
        <f>IF(J2725&lt;&gt;1,"",IF(I2725="SBJ","CB","?"))</f>
        <v> </v>
      </c>
      <c r="I2725" s="26" t="str">
        <f>IF(OR(E2725="",E2725="!!!",F2725="NEW"),"",INDEX(B2724:B$2,-1+SUMPRODUCT(MAX(ROW(E2724:E$2)*(E2725=E2724:E$2)))))</f>
        <v> </v>
      </c>
      <c r="J2725" s="26" t="str">
        <f>IF(OR(E2725="",E2725="!!!",F2725="NEW"),"",COUNTBLANK(OFFSET(A$1,,,SUMPRODUCT(MAX(ROW(E$2:E2725)*(E2725=E$2:E2725)))))-COUNTBLANK(OFFSET(A$1,,,SUMPRODUCT(MAX(ROW(E$1:E2724)*(E2=E$1:E2724))))))</f>
        <v> </v>
      </c>
      <c r="K2725" s="26" t="str">
        <f>IF(OR(E2725="",E2725="!!!",F2725="NEW"),"",INDEX(J$1:J2724,SUMPRODUCT(MAX(ROW(E$1:E2724)*(E2725=E$1:E2724)))))</f>
        <v> </v>
      </c>
      <c r="L2725" s="27"/>
    </row>
    <row r="2726" spans="1:12">
      <c r="A2726" s="20" t="s">
        <v>1780</v>
      </c>
      <c r="E2726" s="22">
        <f>IF(D2726="?OLD","!!!","")</f>
        <v/>
      </c>
      <c r="F2726" s="23" t="str">
        <f>IF(OR(E2726="",E2726="!!!"),"",IF(NOT(ISNA(VLOOKUP(E2726,E$1:E2725,1,FALSE()))),"OLD",IF(AND(E2726&lt;&gt;"",E2726&lt;&gt;"!!!"),"NEW","")))</f>
        <v> </v>
      </c>
      <c r="G2726" s="24" t="str">
        <f>IF(OR(E2726="",E2726="!!!"),"",IF(OR(J2726=0,AND(J2726=1,K2726=1),AND(J2726=1,I2726="SBJ"),AND(J2726=1,I2726=0)),"?IN_FOCUS",IF(J2726&lt;=2,"?ACTIVATED",IF(J2726&lt;&gt;"","?FAMILIAR",IF(F2726="NEW",IF(ISNA(VLOOKUP(E2726,#REF!,1,FALSE())),"?TYPE_IDENTIFIABLE","?REFERENTIAL"),"_")))))</f>
        <v> </v>
      </c>
      <c r="H2726" s="25" t="str">
        <f>IF(J2726&lt;&gt;1,"",IF(I2726="SBJ","CB","?"))</f>
        <v> </v>
      </c>
      <c r="I2726" s="26" t="str">
        <f>IF(OR(E2726="",E2726="!!!",F2726="NEW"),"",INDEX(B2725:B$2,-1+SUMPRODUCT(MAX(ROW(E2725:E$2)*(E2726=E2725:E$2)))))</f>
        <v> </v>
      </c>
      <c r="J2726" s="26" t="str">
        <f>IF(OR(E2726="",E2726="!!!",F2726="NEW"),"",COUNTBLANK(OFFSET(A$1,,,SUMPRODUCT(MAX(ROW(E$2:E2726)*(E2726=E$2:E2726)))))-COUNTBLANK(OFFSET(A$1,,,SUMPRODUCT(MAX(ROW(E$1:E2725)*(E2=E$1:E2725))))))</f>
        <v> </v>
      </c>
      <c r="K2726" s="26" t="str">
        <f>IF(OR(E2726="",E2726="!!!",F2726="NEW"),"",INDEX(J$1:J2725,SUMPRODUCT(MAX(ROW(E$1:E2725)*(E2726=E$1:E2725)))))</f>
        <v> </v>
      </c>
      <c r="L2726" s="27"/>
    </row>
    <row r="2727" spans="1:12">
      <c r="A2727" s="20" t="s">
        <v>1781</v>
      </c>
      <c r="B2727" s="21" t="s">
        <v>615</v>
      </c>
      <c r="C2727" s="21" t="s">
        <v>800</v>
      </c>
      <c r="D2727" s="21" t="s">
        <v>587</v>
      </c>
      <c r="E2727" s="22">
        <f>IF(D2727="?OLD","!!!","")</f>
        <v/>
      </c>
      <c r="F2727" s="23" t="str">
        <f>IF(OR(E2727="",E2727="!!!"),"",IF(NOT(ISNA(VLOOKUP(E2727,E$1:E2726,1,FALSE()))),"OLD",IF(AND(E2727&lt;&gt;"",E2727&lt;&gt;"!!!"),"NEW","")))</f>
        <v> </v>
      </c>
      <c r="G2727" s="24" t="str">
        <f>IF(OR(E2727="",E2727="!!!"),"",IF(OR(J2727=0,AND(J2727=1,K2727=1),AND(J2727=1,I2727="SBJ"),AND(J2727=1,I2727=0)),"?IN_FOCUS",IF(J2727&lt;=2,"?ACTIVATED",IF(J2727&lt;&gt;"","?FAMILIAR",IF(F2727="NEW",IF(ISNA(VLOOKUP(E2727,#REF!,1,FALSE())),"?TYPE_IDENTIFIABLE","?REFERENTIAL"),"_")))))</f>
        <v> </v>
      </c>
      <c r="H2727" s="25" t="str">
        <f>IF(J2727&lt;&gt;1,"",IF(I2727="SBJ","CB","?"))</f>
        <v> </v>
      </c>
      <c r="I2727" s="26" t="str">
        <f>IF(OR(E2727="",E2727="!!!",F2727="NEW"),"",INDEX(B2726:B$2,-1+SUMPRODUCT(MAX(ROW(E2726:E$2)*(E2727=E2726:E$2)))))</f>
        <v> </v>
      </c>
      <c r="J2727" s="26" t="str">
        <f>IF(OR(E2727="",E2727="!!!",F2727="NEW"),"",COUNTBLANK(OFFSET(A$1,,,SUMPRODUCT(MAX(ROW(E$2:E2727)*(E2727=E$2:E2727)))))-COUNTBLANK(OFFSET(A$1,,,SUMPRODUCT(MAX(ROW(E$1:E2726)*(E2=E$1:E2726))))))</f>
        <v> </v>
      </c>
      <c r="K2727" s="26" t="str">
        <f>IF(OR(E2727="",E2727="!!!",F2727="NEW"),"",INDEX(J$1:J2726,SUMPRODUCT(MAX(ROW(E$1:E2726)*(E2727=E$1:E2726)))))</f>
        <v> </v>
      </c>
      <c r="L2727" s="27"/>
    </row>
    <row r="2728" spans="1:12">
      <c r="A2728" s="20" t="s">
        <v>898</v>
      </c>
      <c r="B2728" s="21" t="s">
        <v>585</v>
      </c>
      <c r="C2728" s="21" t="s">
        <v>586</v>
      </c>
      <c r="D2728" s="21" t="s">
        <v>587</v>
      </c>
      <c r="E2728" s="22">
        <f>IF(D2728="?OLD","!!!","")</f>
        <v/>
      </c>
      <c r="F2728" s="23" t="str">
        <f>IF(OR(E2728="",E2728="!!!"),"",IF(NOT(ISNA(VLOOKUP(E2728,E$1:E2727,1,FALSE()))),"OLD",IF(AND(E2728&lt;&gt;"",E2728&lt;&gt;"!!!"),"NEW","")))</f>
        <v> </v>
      </c>
      <c r="G2728" s="24" t="str">
        <f>IF(OR(E2728="",E2728="!!!"),"",IF(OR(J2728=0,AND(J2728=1,K2728=1),AND(J2728=1,I2728="SBJ"),AND(J2728=1,I2728=0)),"?IN_FOCUS",IF(J2728&lt;=2,"?ACTIVATED",IF(J2728&lt;&gt;"","?FAMILIAR",IF(F2728="NEW",IF(ISNA(VLOOKUP(E2728,#REF!,1,FALSE())),"?TYPE_IDENTIFIABLE","?REFERENTIAL"),"_")))))</f>
        <v> </v>
      </c>
      <c r="H2728" s="25" t="str">
        <f>IF(J2728&lt;&gt;1,"",IF(I2728="SBJ","CB","?"))</f>
        <v> </v>
      </c>
      <c r="I2728" s="26" t="str">
        <f>IF(OR(E2728="",E2728="!!!",F2728="NEW"),"",INDEX(B2727:B$2,-1+SUMPRODUCT(MAX(ROW(E2727:E$2)*(E2728=E2727:E$2)))))</f>
        <v> </v>
      </c>
      <c r="J2728" s="26" t="str">
        <f>IF(OR(E2728="",E2728="!!!",F2728="NEW"),"",COUNTBLANK(OFFSET(A$1,,,SUMPRODUCT(MAX(ROW(E$2:E2728)*(E2728=E$2:E2728)))))-COUNTBLANK(OFFSET(A$1,,,SUMPRODUCT(MAX(ROW(E$1:E2727)*(E2=E$1:E2727))))))</f>
        <v> </v>
      </c>
      <c r="K2728" s="26" t="str">
        <f>IF(OR(E2728="",E2728="!!!",F2728="NEW"),"",INDEX(J$1:J2727,SUMPRODUCT(MAX(ROW(E$1:E2727)*(E2728=E$1:E2727)))))</f>
        <v> </v>
      </c>
      <c r="L2728" s="27"/>
    </row>
    <row r="2729" spans="1:12">
      <c r="A2729" s="20" t="s">
        <v>583</v>
      </c>
      <c r="E2729" s="22">
        <f>IF(D2729="?OLD","!!!","")</f>
        <v/>
      </c>
      <c r="F2729" s="23" t="str">
        <f>IF(OR(E2729="",E2729="!!!"),"",IF(NOT(ISNA(VLOOKUP(E2729,E$1:E2728,1,FALSE()))),"OLD",IF(AND(E2729&lt;&gt;"",E2729&lt;&gt;"!!!"),"NEW","")))</f>
        <v> </v>
      </c>
      <c r="G2729" s="24" t="str">
        <f>IF(OR(E2729="",E2729="!!!"),"",IF(OR(J2729=0,AND(J2729=1,K2729=1),AND(J2729=1,I2729="SBJ"),AND(J2729=1,I2729=0)),"?IN_FOCUS",IF(J2729&lt;=2,"?ACTIVATED",IF(J2729&lt;&gt;"","?FAMILIAR",IF(F2729="NEW",IF(ISNA(VLOOKUP(E2729,#REF!,1,FALSE())),"?TYPE_IDENTIFIABLE","?REFERENTIAL"),"_")))))</f>
        <v> </v>
      </c>
      <c r="H2729" s="25" t="str">
        <f>IF(J2729&lt;&gt;1,"",IF(I2729="SBJ","CB","?"))</f>
        <v> </v>
      </c>
      <c r="I2729" s="26" t="str">
        <f>IF(OR(E2729="",E2729="!!!",F2729="NEW"),"",INDEX(B2728:B$2,-1+SUMPRODUCT(MAX(ROW(E2728:E$2)*(E2729=E2728:E$2)))))</f>
        <v> </v>
      </c>
      <c r="J2729" s="26" t="str">
        <f>IF(OR(E2729="",E2729="!!!",F2729="NEW"),"",COUNTBLANK(OFFSET(A$1,,,SUMPRODUCT(MAX(ROW(E$2:E2729)*(E2729=E$2:E2729)))))-COUNTBLANK(OFFSET(A$1,,,SUMPRODUCT(MAX(ROW(E$1:E2728)*(E2=E$1:E2728))))))</f>
        <v> </v>
      </c>
      <c r="K2729" s="26" t="str">
        <f>IF(OR(E2729="",E2729="!!!",F2729="NEW"),"",INDEX(J$1:J2728,SUMPRODUCT(MAX(ROW(E$1:E2728)*(E2729=E$1:E2728)))))</f>
        <v> </v>
      </c>
      <c r="L2729" s="27"/>
    </row>
    <row r="2730" spans="1:12">
      <c r="A2730" s="20" t="s">
        <v>733</v>
      </c>
      <c r="E2730" s="22">
        <f>IF(D2730="?OLD","!!!","")</f>
        <v/>
      </c>
      <c r="F2730" s="23" t="str">
        <f>IF(OR(E2730="",E2730="!!!"),"",IF(NOT(ISNA(VLOOKUP(E2730,E$1:E2729,1,FALSE()))),"OLD",IF(AND(E2730&lt;&gt;"",E2730&lt;&gt;"!!!"),"NEW","")))</f>
        <v> </v>
      </c>
      <c r="G2730" s="24" t="str">
        <f>IF(OR(E2730="",E2730="!!!"),"",IF(OR(J2730=0,AND(J2730=1,K2730=1),AND(J2730=1,I2730="SBJ"),AND(J2730=1,I2730=0)),"?IN_FOCUS",IF(J2730&lt;=2,"?ACTIVATED",IF(J2730&lt;&gt;"","?FAMILIAR",IF(F2730="NEW",IF(ISNA(VLOOKUP(E2730,#REF!,1,FALSE())),"?TYPE_IDENTIFIABLE","?REFERENTIAL"),"_")))))</f>
        <v> </v>
      </c>
      <c r="H2730" s="25" t="str">
        <f>IF(J2730&lt;&gt;1,"",IF(I2730="SBJ","CB","?"))</f>
        <v> </v>
      </c>
      <c r="I2730" s="26" t="str">
        <f>IF(OR(E2730="",E2730="!!!",F2730="NEW"),"",INDEX(B2729:B$2,-1+SUMPRODUCT(MAX(ROW(E2729:E$2)*(E2730=E2729:E$2)))))</f>
        <v> </v>
      </c>
      <c r="J2730" s="26" t="str">
        <f>IF(OR(E2730="",E2730="!!!",F2730="NEW"),"",COUNTBLANK(OFFSET(A$1,,,SUMPRODUCT(MAX(ROW(E$2:E2730)*(E2730=E$2:E2730)))))-COUNTBLANK(OFFSET(A$1,,,SUMPRODUCT(MAX(ROW(E$1:E2729)*(E2=E$1:E2729))))))</f>
        <v> </v>
      </c>
      <c r="K2730" s="26" t="str">
        <f>IF(OR(E2730="",E2730="!!!",F2730="NEW"),"",INDEX(J$1:J2729,SUMPRODUCT(MAX(ROW(E$1:E2729)*(E2730=E$1:E2729)))))</f>
        <v> </v>
      </c>
      <c r="L2730" s="27"/>
    </row>
    <row r="2731" spans="1:12">
      <c r="A2731" s="20" t="s">
        <v>1742</v>
      </c>
      <c r="E2731" s="22">
        <f>IF(D2731="?OLD","!!!","")</f>
        <v/>
      </c>
      <c r="F2731" s="23" t="str">
        <f>IF(OR(E2731="",E2731="!!!"),"",IF(NOT(ISNA(VLOOKUP(E2731,E$1:E2730,1,FALSE()))),"OLD",IF(AND(E2731&lt;&gt;"",E2731&lt;&gt;"!!!"),"NEW","")))</f>
        <v> </v>
      </c>
      <c r="G2731" s="24" t="str">
        <f>IF(OR(E2731="",E2731="!!!"),"",IF(OR(J2731=0,AND(J2731=1,K2731=1),AND(J2731=1,I2731="SBJ"),AND(J2731=1,I2731=0)),"?IN_FOCUS",IF(J2731&lt;=2,"?ACTIVATED",IF(J2731&lt;&gt;"","?FAMILIAR",IF(F2731="NEW",IF(ISNA(VLOOKUP(E2731,#REF!,1,FALSE())),"?TYPE_IDENTIFIABLE","?REFERENTIAL"),"_")))))</f>
        <v> </v>
      </c>
      <c r="H2731" s="25" t="str">
        <f>IF(J2731&lt;&gt;1,"",IF(I2731="SBJ","CB","?"))</f>
        <v> </v>
      </c>
      <c r="I2731" s="26" t="str">
        <f>IF(OR(E2731="",E2731="!!!",F2731="NEW"),"",INDEX(B2730:B$2,-1+SUMPRODUCT(MAX(ROW(E2730:E$2)*(E2731=E2730:E$2)))))</f>
        <v> </v>
      </c>
      <c r="J2731" s="26" t="str">
        <f>IF(OR(E2731="",E2731="!!!",F2731="NEW"),"",COUNTBLANK(OFFSET(A$1,,,SUMPRODUCT(MAX(ROW(E$2:E2731)*(E2731=E$2:E2731)))))-COUNTBLANK(OFFSET(A$1,,,SUMPRODUCT(MAX(ROW(E$1:E2730)*(E2=E$1:E2730))))))</f>
        <v> </v>
      </c>
      <c r="K2731" s="26" t="str">
        <f>IF(OR(E2731="",E2731="!!!",F2731="NEW"),"",INDEX(J$1:J2730,SUMPRODUCT(MAX(ROW(E$1:E2730)*(E2731=E$1:E2730)))))</f>
        <v> </v>
      </c>
      <c r="L2731" s="27"/>
    </row>
    <row r="2732" spans="1:12">
      <c r="A2732" s="20" t="s">
        <v>1782</v>
      </c>
      <c r="E2732" s="22">
        <f>IF(D2732="?OLD","!!!","")</f>
        <v/>
      </c>
      <c r="F2732" s="23" t="str">
        <f>IF(OR(E2732="",E2732="!!!"),"",IF(NOT(ISNA(VLOOKUP(E2732,E$1:E2731,1,FALSE()))),"OLD",IF(AND(E2732&lt;&gt;"",E2732&lt;&gt;"!!!"),"NEW","")))</f>
        <v> </v>
      </c>
      <c r="G2732" s="24" t="str">
        <f>IF(OR(E2732="",E2732="!!!"),"",IF(OR(J2732=0,AND(J2732=1,K2732=1),AND(J2732=1,I2732="SBJ"),AND(J2732=1,I2732=0)),"?IN_FOCUS",IF(J2732&lt;=2,"?ACTIVATED",IF(J2732&lt;&gt;"","?FAMILIAR",IF(F2732="NEW",IF(ISNA(VLOOKUP(E2732,#REF!,1,FALSE())),"?TYPE_IDENTIFIABLE","?REFERENTIAL"),"_")))))</f>
        <v> </v>
      </c>
      <c r="H2732" s="25" t="str">
        <f>IF(J2732&lt;&gt;1,"",IF(I2732="SBJ","CB","?"))</f>
        <v> </v>
      </c>
      <c r="I2732" s="26" t="str">
        <f>IF(OR(E2732="",E2732="!!!",F2732="NEW"),"",INDEX(B2731:B$2,-1+SUMPRODUCT(MAX(ROW(E2731:E$2)*(E2732=E2731:E$2)))))</f>
        <v> </v>
      </c>
      <c r="J2732" s="26" t="str">
        <f>IF(OR(E2732="",E2732="!!!",F2732="NEW"),"",COUNTBLANK(OFFSET(A$1,,,SUMPRODUCT(MAX(ROW(E$2:E2732)*(E2732=E$2:E2732)))))-COUNTBLANK(OFFSET(A$1,,,SUMPRODUCT(MAX(ROW(E$1:E2731)*(E2=E$1:E2731))))))</f>
        <v> </v>
      </c>
      <c r="K2732" s="26" t="str">
        <f>IF(OR(E2732="",E2732="!!!",F2732="NEW"),"",INDEX(J$1:J2731,SUMPRODUCT(MAX(ROW(E$1:E2731)*(E2732=E$1:E2731)))))</f>
        <v> </v>
      </c>
      <c r="L2732" s="27"/>
    </row>
    <row r="2733" spans="1:12">
      <c r="A2733" s="20" t="s">
        <v>1783</v>
      </c>
      <c r="E2733" s="22">
        <f>IF(D2733="?OLD","!!!","")</f>
        <v/>
      </c>
      <c r="F2733" s="23" t="str">
        <f>IF(OR(E2733="",E2733="!!!"),"",IF(NOT(ISNA(VLOOKUP(E2733,E$1:E2732,1,FALSE()))),"OLD",IF(AND(E2733&lt;&gt;"",E2733&lt;&gt;"!!!"),"NEW","")))</f>
        <v> </v>
      </c>
      <c r="G2733" s="24" t="str">
        <f>IF(OR(E2733="",E2733="!!!"),"",IF(OR(J2733=0,AND(J2733=1,K2733=1),AND(J2733=1,I2733="SBJ"),AND(J2733=1,I2733=0)),"?IN_FOCUS",IF(J2733&lt;=2,"?ACTIVATED",IF(J2733&lt;&gt;"","?FAMILIAR",IF(F2733="NEW",IF(ISNA(VLOOKUP(E2733,#REF!,1,FALSE())),"?TYPE_IDENTIFIABLE","?REFERENTIAL"),"_")))))</f>
        <v> </v>
      </c>
      <c r="H2733" s="25" t="str">
        <f>IF(J2733&lt;&gt;1,"",IF(I2733="SBJ","CB","?"))</f>
        <v> </v>
      </c>
      <c r="I2733" s="26" t="str">
        <f>IF(OR(E2733="",E2733="!!!",F2733="NEW"),"",INDEX(B2732:B$2,-1+SUMPRODUCT(MAX(ROW(E2732:E$2)*(E2733=E2732:E$2)))))</f>
        <v> </v>
      </c>
      <c r="J2733" s="26" t="str">
        <f>IF(OR(E2733="",E2733="!!!",F2733="NEW"),"",COUNTBLANK(OFFSET(A$1,,,SUMPRODUCT(MAX(ROW(E$2:E2733)*(E2733=E$2:E2733)))))-COUNTBLANK(OFFSET(A$1,,,SUMPRODUCT(MAX(ROW(E$1:E2732)*(E2=E$1:E2732))))))</f>
        <v> </v>
      </c>
      <c r="K2733" s="26" t="str">
        <f>IF(OR(E2733="",E2733="!!!",F2733="NEW"),"",INDEX(J$1:J2732,SUMPRODUCT(MAX(ROW(E$1:E2732)*(E2733=E$1:E2732)))))</f>
        <v> </v>
      </c>
      <c r="L2733" s="27"/>
    </row>
    <row r="2734" spans="1:12">
      <c r="A2734" s="20" t="s">
        <v>1784</v>
      </c>
      <c r="E2734" s="22">
        <f>IF(D2734="?OLD","!!!","")</f>
        <v/>
      </c>
      <c r="F2734" s="23" t="str">
        <f>IF(OR(E2734="",E2734="!!!"),"",IF(NOT(ISNA(VLOOKUP(E2734,E$1:E2733,1,FALSE()))),"OLD",IF(AND(E2734&lt;&gt;"",E2734&lt;&gt;"!!!"),"NEW","")))</f>
        <v> </v>
      </c>
      <c r="G2734" s="24" t="str">
        <f>IF(OR(E2734="",E2734="!!!"),"",IF(OR(J2734=0,AND(J2734=1,K2734=1),AND(J2734=1,I2734="SBJ"),AND(J2734=1,I2734=0)),"?IN_FOCUS",IF(J2734&lt;=2,"?ACTIVATED",IF(J2734&lt;&gt;"","?FAMILIAR",IF(F2734="NEW",IF(ISNA(VLOOKUP(E2734,#REF!,1,FALSE())),"?TYPE_IDENTIFIABLE","?REFERENTIAL"),"_")))))</f>
        <v> </v>
      </c>
      <c r="H2734" s="25" t="str">
        <f>IF(J2734&lt;&gt;1,"",IF(I2734="SBJ","CB","?"))</f>
        <v> </v>
      </c>
      <c r="I2734" s="26" t="str">
        <f>IF(OR(E2734="",E2734="!!!",F2734="NEW"),"",INDEX(B2733:B$2,-1+SUMPRODUCT(MAX(ROW(E2733:E$2)*(E2734=E2733:E$2)))))</f>
        <v> </v>
      </c>
      <c r="J2734" s="26" t="str">
        <f>IF(OR(E2734="",E2734="!!!",F2734="NEW"),"",COUNTBLANK(OFFSET(A$1,,,SUMPRODUCT(MAX(ROW(E$2:E2734)*(E2734=E$2:E2734)))))-COUNTBLANK(OFFSET(A$1,,,SUMPRODUCT(MAX(ROW(E$1:E2733)*(E2=E$1:E2733))))))</f>
        <v> </v>
      </c>
      <c r="K2734" s="26" t="str">
        <f>IF(OR(E2734="",E2734="!!!",F2734="NEW"),"",INDEX(J$1:J2733,SUMPRODUCT(MAX(ROW(E$1:E2733)*(E2734=E$1:E2733)))))</f>
        <v> </v>
      </c>
      <c r="L2734" s="27"/>
    </row>
    <row r="2735" spans="1:12">
      <c r="A2735" s="20" t="s">
        <v>1766</v>
      </c>
      <c r="B2735" s="21" t="s">
        <v>1045</v>
      </c>
      <c r="E2735" s="22">
        <f>IF(D2735="?OLD","!!!","")</f>
        <v/>
      </c>
      <c r="F2735" s="23" t="str">
        <f>IF(OR(E2735="",E2735="!!!"),"",IF(NOT(ISNA(VLOOKUP(E2735,E$1:E2734,1,FALSE()))),"OLD",IF(AND(E2735&lt;&gt;"",E2735&lt;&gt;"!!!"),"NEW","")))</f>
        <v> </v>
      </c>
      <c r="G2735" s="24" t="str">
        <f>IF(OR(E2735="",E2735="!!!"),"",IF(OR(J2735=0,AND(J2735=1,K2735=1),AND(J2735=1,I2735="SBJ"),AND(J2735=1,I2735=0)),"?IN_FOCUS",IF(J2735&lt;=2,"?ACTIVATED",IF(J2735&lt;&gt;"","?FAMILIAR",IF(F2735="NEW",IF(ISNA(VLOOKUP(E2735,#REF!,1,FALSE())),"?TYPE_IDENTIFIABLE","?REFERENTIAL"),"_")))))</f>
        <v> </v>
      </c>
      <c r="H2735" s="25" t="str">
        <f>IF(J2735&lt;&gt;1,"",IF(I2735="SBJ","CB","?"))</f>
        <v> </v>
      </c>
      <c r="I2735" s="26" t="str">
        <f>IF(OR(E2735="",E2735="!!!",F2735="NEW"),"",INDEX(B2734:B$2,-1+SUMPRODUCT(MAX(ROW(E2734:E$2)*(E2735=E2734:E$2)))))</f>
        <v> </v>
      </c>
      <c r="J2735" s="26" t="str">
        <f>IF(OR(E2735="",E2735="!!!",F2735="NEW"),"",COUNTBLANK(OFFSET(A$1,,,SUMPRODUCT(MAX(ROW(E$2:E2735)*(E2735=E$2:E2735)))))-COUNTBLANK(OFFSET(A$1,,,SUMPRODUCT(MAX(ROW(E$1:E2734)*(E2=E$1:E2734))))))</f>
        <v> </v>
      </c>
      <c r="K2735" s="26" t="str">
        <f>IF(OR(E2735="",E2735="!!!",F2735="NEW"),"",INDEX(J$1:J2734,SUMPRODUCT(MAX(ROW(E$1:E2734)*(E2735=E$1:E2734)))))</f>
        <v> </v>
      </c>
      <c r="L2735" s="27"/>
    </row>
    <row r="2736" spans="1:12">
      <c r="A2736" s="20" t="s">
        <v>1057</v>
      </c>
      <c r="E2736" s="22">
        <f>IF(D2736="?OLD","!!!","")</f>
        <v/>
      </c>
      <c r="F2736" s="23" t="str">
        <f>IF(OR(E2736="",E2736="!!!"),"",IF(NOT(ISNA(VLOOKUP(E2736,E$1:E2735,1,FALSE()))),"OLD",IF(AND(E2736&lt;&gt;"",E2736&lt;&gt;"!!!"),"NEW","")))</f>
        <v> </v>
      </c>
      <c r="G2736" s="24" t="str">
        <f>IF(OR(E2736="",E2736="!!!"),"",IF(OR(J2736=0,AND(J2736=1,K2736=1),AND(J2736=1,I2736="SBJ"),AND(J2736=1,I2736=0)),"?IN_FOCUS",IF(J2736&lt;=2,"?ACTIVATED",IF(J2736&lt;&gt;"","?FAMILIAR",IF(F2736="NEW",IF(ISNA(VLOOKUP(E2736,#REF!,1,FALSE())),"?TYPE_IDENTIFIABLE","?REFERENTIAL"),"_")))))</f>
        <v> </v>
      </c>
      <c r="H2736" s="25" t="str">
        <f>IF(J2736&lt;&gt;1,"",IF(I2736="SBJ","CB","?"))</f>
        <v> </v>
      </c>
      <c r="I2736" s="26" t="str">
        <f>IF(OR(E2736="",E2736="!!!",F2736="NEW"),"",INDEX(B2735:B$2,-1+SUMPRODUCT(MAX(ROW(E2735:E$2)*(E2736=E2735:E$2)))))</f>
        <v> </v>
      </c>
      <c r="J2736" s="26" t="str">
        <f>IF(OR(E2736="",E2736="!!!",F2736="NEW"),"",COUNTBLANK(OFFSET(A$1,,,SUMPRODUCT(MAX(ROW(E$2:E2736)*(E2736=E$2:E2736)))))-COUNTBLANK(OFFSET(A$1,,,SUMPRODUCT(MAX(ROW(E$1:E2735)*(E2=E$1:E2735))))))</f>
        <v> </v>
      </c>
      <c r="K2736" s="26" t="str">
        <f>IF(OR(E2736="",E2736="!!!",F2736="NEW"),"",INDEX(J$1:J2735,SUMPRODUCT(MAX(ROW(E$1:E2735)*(E2736=E$1:E2735)))))</f>
        <v> </v>
      </c>
      <c r="L2736" s="27"/>
    </row>
    <row r="2737" spans="1:12">
      <c r="A2737" s="20" t="s">
        <v>592</v>
      </c>
      <c r="E2737" s="22">
        <f>IF(D2737="?OLD","!!!","")</f>
        <v/>
      </c>
      <c r="F2737" s="23" t="str">
        <f>IF(OR(E2737="",E2737="!!!"),"",IF(NOT(ISNA(VLOOKUP(E2737,E$1:E2736,1,FALSE()))),"OLD",IF(AND(E2737&lt;&gt;"",E2737&lt;&gt;"!!!"),"NEW","")))</f>
        <v> </v>
      </c>
      <c r="G2737" s="24" t="str">
        <f>IF(OR(E2737="",E2737="!!!"),"",IF(OR(J2737=0,AND(J2737=1,K2737=1),AND(J2737=1,I2737="SBJ"),AND(J2737=1,I2737=0)),"?IN_FOCUS",IF(J2737&lt;=2,"?ACTIVATED",IF(J2737&lt;&gt;"","?FAMILIAR",IF(F2737="NEW",IF(ISNA(VLOOKUP(E2737,#REF!,1,FALSE())),"?TYPE_IDENTIFIABLE","?REFERENTIAL"),"_")))))</f>
        <v> </v>
      </c>
      <c r="H2737" s="25" t="str">
        <f>IF(J2737&lt;&gt;1,"",IF(I2737="SBJ","CB","?"))</f>
        <v> </v>
      </c>
      <c r="I2737" s="26" t="str">
        <f>IF(OR(E2737="",E2737="!!!",F2737="NEW"),"",INDEX(B2736:B$2,-1+SUMPRODUCT(MAX(ROW(E2736:E$2)*(E2737=E2736:E$2)))))</f>
        <v> </v>
      </c>
      <c r="J2737" s="26" t="str">
        <f>IF(OR(E2737="",E2737="!!!",F2737="NEW"),"",COUNTBLANK(OFFSET(A$1,,,SUMPRODUCT(MAX(ROW(E$2:E2737)*(E2737=E$2:E2737)))))-COUNTBLANK(OFFSET(A$1,,,SUMPRODUCT(MAX(ROW(E$1:E2736)*(E2=E$1:E2736))))))</f>
        <v> </v>
      </c>
      <c r="K2737" s="26" t="str">
        <f>IF(OR(E2737="",E2737="!!!",F2737="NEW"),"",INDEX(J$1:J2736,SUMPRODUCT(MAX(ROW(E$1:E2736)*(E2737=E$1:E2736)))))</f>
        <v> </v>
      </c>
      <c r="L2737" s="27"/>
    </row>
    <row r="2738" spans="1:12">
      <c r="A2738" s="20"/>
    </row>
    <row r="2739" spans="1:12">
      <c r="A2739" s="20" t="s">
        <v>1785</v>
      </c>
    </row>
    <row r="2740" spans="1:12">
      <c r="A2740" s="20" t="s">
        <v>1786</v>
      </c>
      <c r="B2740" s="21" t="s">
        <v>615</v>
      </c>
      <c r="C2740" s="21" t="s">
        <v>613</v>
      </c>
      <c r="D2740" s="21" t="s">
        <v>587</v>
      </c>
      <c r="E2740" s="22">
        <f>IF(D2740="?OLD","!!!","")</f>
        <v/>
      </c>
      <c r="F2740" s="23" t="str">
        <f>IF(OR(E2740="",E2740="!!!"),"",IF(NOT(ISNA(VLOOKUP(E2740,E$1:E2739,1,FALSE()))),"OLD",IF(AND(E2740&lt;&gt;"",E2740&lt;&gt;"!!!"),"NEW","")))</f>
        <v> </v>
      </c>
      <c r="G2740" s="24" t="str">
        <f>IF(OR(E2740="",E2740="!!!"),"",IF(OR(J2740=0,AND(J2740=1,K2740=1),AND(J2740=1,I2740="SBJ"),AND(J2740=1,I2740=0)),"?IN_FOCUS",IF(J2740&lt;=2,"?ACTIVATED",IF(J2740&lt;&gt;"","?FAMILIAR",IF(F2740="NEW",IF(ISNA(VLOOKUP(E2740,#REF!,1,FALSE())),"?TYPE_IDENTIFIABLE","?REFERENTIAL"),"_")))))</f>
        <v> </v>
      </c>
      <c r="H2740" s="25" t="str">
        <f>IF(J2740&lt;&gt;1,"",IF(I2740="SBJ","CB","?"))</f>
        <v> </v>
      </c>
      <c r="I2740" s="26" t="str">
        <f>IF(OR(E2740="",E2740="!!!",F2740="NEW"),"",INDEX(B2739:B$2,-1+SUMPRODUCT(MAX(ROW(E2739:E$2)*(E2740=E2739:E$2)))))</f>
        <v> </v>
      </c>
      <c r="J2740" s="26" t="str">
        <f>IF(OR(E2740="",E2740="!!!",F2740="NEW"),"",COUNTBLANK(OFFSET(A$1,,,SUMPRODUCT(MAX(ROW(E$2:E2740)*(E2740=E$2:E2740)))))-COUNTBLANK(OFFSET(A$1,,,SUMPRODUCT(MAX(ROW(E$1:E2739)*(E2=E$1:E2739))))))</f>
        <v> </v>
      </c>
      <c r="K2740" s="26" t="str">
        <f>IF(OR(E2740="",E2740="!!!",F2740="NEW"),"",INDEX(J$1:J2739,SUMPRODUCT(MAX(ROW(E$1:E2739)*(E2740=E$1:E2739)))))</f>
        <v> </v>
      </c>
      <c r="L2740" s="27"/>
    </row>
    <row r="2741" spans="1:12">
      <c r="A2741" s="20" t="s">
        <v>870</v>
      </c>
      <c r="E2741" s="22">
        <f>IF(D2741="?OLD","!!!","")</f>
        <v/>
      </c>
      <c r="F2741" s="23" t="str">
        <f>IF(OR(E2741="",E2741="!!!"),"",IF(NOT(ISNA(VLOOKUP(E2741,E$1:E2740,1,FALSE()))),"OLD",IF(AND(E2741&lt;&gt;"",E2741&lt;&gt;"!!!"),"NEW","")))</f>
        <v> </v>
      </c>
      <c r="G2741" s="24" t="str">
        <f>IF(OR(E2741="",E2741="!!!"),"",IF(OR(J2741=0,AND(J2741=1,K2741=1),AND(J2741=1,I2741="SBJ"),AND(J2741=1,I2741=0)),"?IN_FOCUS",IF(J2741&lt;=2,"?ACTIVATED",IF(J2741&lt;&gt;"","?FAMILIAR",IF(F2741="NEW",IF(ISNA(VLOOKUP(E2741,#REF!,1,FALSE())),"?TYPE_IDENTIFIABLE","?REFERENTIAL"),"_")))))</f>
        <v> </v>
      </c>
      <c r="H2741" s="25" t="str">
        <f>IF(J2741&lt;&gt;1,"",IF(I2741="SBJ","CB","?"))</f>
        <v> </v>
      </c>
      <c r="I2741" s="26" t="str">
        <f>IF(OR(E2741="",E2741="!!!",F2741="NEW"),"",INDEX(B2740:B$2,-1+SUMPRODUCT(MAX(ROW(E2740:E$2)*(E2741=E2740:E$2)))))</f>
        <v> </v>
      </c>
      <c r="J2741" s="26" t="str">
        <f>IF(OR(E2741="",E2741="!!!",F2741="NEW"),"",COUNTBLANK(OFFSET(A$1,,,SUMPRODUCT(MAX(ROW(E$2:E2741)*(E2741=E$2:E2741)))))-COUNTBLANK(OFFSET(A$1,,,SUMPRODUCT(MAX(ROW(E$1:E2740)*(E2=E$1:E2740))))))</f>
        <v> </v>
      </c>
      <c r="K2741" s="26" t="str">
        <f>IF(OR(E2741="",E2741="!!!",F2741="NEW"),"",INDEX(J$1:J2740,SUMPRODUCT(MAX(ROW(E$1:E2740)*(E2741=E$1:E2740)))))</f>
        <v> </v>
      </c>
      <c r="L2741" s="27"/>
    </row>
    <row r="2742" spans="1:12">
      <c r="A2742" s="20" t="s">
        <v>1787</v>
      </c>
      <c r="E2742" s="22">
        <f>IF(D2742="?OLD","!!!","")</f>
        <v/>
      </c>
      <c r="F2742" s="23" t="str">
        <f>IF(OR(E2742="",E2742="!!!"),"",IF(NOT(ISNA(VLOOKUP(E2742,E$1:E2741,1,FALSE()))),"OLD",IF(AND(E2742&lt;&gt;"",E2742&lt;&gt;"!!!"),"NEW","")))</f>
        <v> </v>
      </c>
      <c r="G2742" s="24" t="str">
        <f>IF(OR(E2742="",E2742="!!!"),"",IF(OR(J2742=0,AND(J2742=1,K2742=1),AND(J2742=1,I2742="SBJ"),AND(J2742=1,I2742=0)),"?IN_FOCUS",IF(J2742&lt;=2,"?ACTIVATED",IF(J2742&lt;&gt;"","?FAMILIAR",IF(F2742="NEW",IF(ISNA(VLOOKUP(E2742,#REF!,1,FALSE())),"?TYPE_IDENTIFIABLE","?REFERENTIAL"),"_")))))</f>
        <v> </v>
      </c>
      <c r="H2742" s="25" t="str">
        <f>IF(J2742&lt;&gt;1,"",IF(I2742="SBJ","CB","?"))</f>
        <v> </v>
      </c>
      <c r="I2742" s="26" t="str">
        <f>IF(OR(E2742="",E2742="!!!",F2742="NEW"),"",INDEX(B2741:B$2,-1+SUMPRODUCT(MAX(ROW(E2741:E$2)*(E2742=E2741:E$2)))))</f>
        <v> </v>
      </c>
      <c r="J2742" s="26" t="str">
        <f>IF(OR(E2742="",E2742="!!!",F2742="NEW"),"",COUNTBLANK(OFFSET(A$1,,,SUMPRODUCT(MAX(ROW(E$2:E2742)*(E2742=E$2:E2742)))))-COUNTBLANK(OFFSET(A$1,,,SUMPRODUCT(MAX(ROW(E$1:E2741)*(E2=E$1:E2741))))))</f>
        <v> </v>
      </c>
      <c r="K2742" s="26" t="str">
        <f>IF(OR(E2742="",E2742="!!!",F2742="NEW"),"",INDEX(J$1:J2741,SUMPRODUCT(MAX(ROW(E$1:E2741)*(E2742=E$1:E2741)))))</f>
        <v> </v>
      </c>
      <c r="L2742" s="27"/>
    </row>
    <row r="2743" spans="1:12">
      <c r="A2743" s="20" t="s">
        <v>909</v>
      </c>
      <c r="E2743" s="22">
        <f>IF(D2743="?OLD","!!!","")</f>
        <v/>
      </c>
      <c r="F2743" s="23" t="str">
        <f>IF(OR(E2743="",E2743="!!!"),"",IF(NOT(ISNA(VLOOKUP(E2743,E$1:E2742,1,FALSE()))),"OLD",IF(AND(E2743&lt;&gt;"",E2743&lt;&gt;"!!!"),"NEW","")))</f>
        <v> </v>
      </c>
      <c r="G2743" s="24" t="str">
        <f>IF(OR(E2743="",E2743="!!!"),"",IF(OR(J2743=0,AND(J2743=1,K2743=1),AND(J2743=1,I2743="SBJ"),AND(J2743=1,I2743=0)),"?IN_FOCUS",IF(J2743&lt;=2,"?ACTIVATED",IF(J2743&lt;&gt;"","?FAMILIAR",IF(F2743="NEW",IF(ISNA(VLOOKUP(E2743,#REF!,1,FALSE())),"?TYPE_IDENTIFIABLE","?REFERENTIAL"),"_")))))</f>
        <v> </v>
      </c>
      <c r="H2743" s="25" t="str">
        <f>IF(J2743&lt;&gt;1,"",IF(I2743="SBJ","CB","?"))</f>
        <v> </v>
      </c>
      <c r="I2743" s="26" t="str">
        <f>IF(OR(E2743="",E2743="!!!",F2743="NEW"),"",INDEX(B2742:B$2,-1+SUMPRODUCT(MAX(ROW(E2742:E$2)*(E2743=E2742:E$2)))))</f>
        <v> </v>
      </c>
      <c r="J2743" s="26" t="str">
        <f>IF(OR(E2743="",E2743="!!!",F2743="NEW"),"",COUNTBLANK(OFFSET(A$1,,,SUMPRODUCT(MAX(ROW(E$2:E2743)*(E2743=E$2:E2743)))))-COUNTBLANK(OFFSET(A$1,,,SUMPRODUCT(MAX(ROW(E$1:E2742)*(E2=E$1:E2742))))))</f>
        <v> </v>
      </c>
      <c r="K2743" s="26" t="str">
        <f>IF(OR(E2743="",E2743="!!!",F2743="NEW"),"",INDEX(J$1:J2742,SUMPRODUCT(MAX(ROW(E$1:E2742)*(E2743=E$1:E2742)))))</f>
        <v> </v>
      </c>
      <c r="L2743" s="27"/>
    </row>
    <row r="2744" spans="1:12">
      <c r="A2744" s="20" t="s">
        <v>1769</v>
      </c>
      <c r="B2744" s="21" t="s">
        <v>578</v>
      </c>
      <c r="C2744" s="21" t="s">
        <v>709</v>
      </c>
      <c r="D2744" s="21" t="s">
        <v>587</v>
      </c>
      <c r="E2744" s="22">
        <f>IF(D2744="?OLD","!!!","")</f>
        <v/>
      </c>
      <c r="F2744" s="23" t="str">
        <f>IF(OR(E2744="",E2744="!!!"),"",IF(NOT(ISNA(VLOOKUP(E2744,E$1:E2743,1,FALSE()))),"OLD",IF(AND(E2744&lt;&gt;"",E2744&lt;&gt;"!!!"),"NEW","")))</f>
        <v> </v>
      </c>
      <c r="G2744" s="24" t="str">
        <f>IF(OR(E2744="",E2744="!!!"),"",IF(OR(J2744=0,AND(J2744=1,K2744=1),AND(J2744=1,I2744="SBJ"),AND(J2744=1,I2744=0)),"?IN_FOCUS",IF(J2744&lt;=2,"?ACTIVATED",IF(J2744&lt;&gt;"","?FAMILIAR",IF(F2744="NEW",IF(ISNA(VLOOKUP(E2744,#REF!,1,FALSE())),"?TYPE_IDENTIFIABLE","?REFERENTIAL"),"_")))))</f>
        <v> </v>
      </c>
      <c r="H2744" s="25" t="str">
        <f>IF(J2744&lt;&gt;1,"",IF(I2744="SBJ","CB","?"))</f>
        <v> </v>
      </c>
      <c r="I2744" s="26" t="str">
        <f>IF(OR(E2744="",E2744="!!!",F2744="NEW"),"",INDEX(B2743:B$2,-1+SUMPRODUCT(MAX(ROW(E2743:E$2)*(E2744=E2743:E$2)))))</f>
        <v> </v>
      </c>
      <c r="J2744" s="26" t="str">
        <f>IF(OR(E2744="",E2744="!!!",F2744="NEW"),"",COUNTBLANK(OFFSET(A$1,,,SUMPRODUCT(MAX(ROW(E$2:E2744)*(E2744=E$2:E2744)))))-COUNTBLANK(OFFSET(A$1,,,SUMPRODUCT(MAX(ROW(E$1:E2743)*(E2=E$1:E2743))))))</f>
        <v> </v>
      </c>
      <c r="K2744" s="26" t="str">
        <f>IF(OR(E2744="",E2744="!!!",F2744="NEW"),"",INDEX(J$1:J2743,SUMPRODUCT(MAX(ROW(E$1:E2743)*(E2744=E$1:E2743)))))</f>
        <v> </v>
      </c>
      <c r="L2744" s="27"/>
    </row>
    <row r="2745" spans="1:12">
      <c r="A2745" s="20" t="s">
        <v>583</v>
      </c>
      <c r="E2745" s="22">
        <f>IF(D2745="?OLD","!!!","")</f>
        <v/>
      </c>
      <c r="F2745" s="23" t="str">
        <f>IF(OR(E2745="",E2745="!!!"),"",IF(NOT(ISNA(VLOOKUP(E2745,E$1:E2744,1,FALSE()))),"OLD",IF(AND(E2745&lt;&gt;"",E2745&lt;&gt;"!!!"),"NEW","")))</f>
        <v> </v>
      </c>
      <c r="G2745" s="24" t="str">
        <f>IF(OR(E2745="",E2745="!!!"),"",IF(OR(J2745=0,AND(J2745=1,K2745=1),AND(J2745=1,I2745="SBJ"),AND(J2745=1,I2745=0)),"?IN_FOCUS",IF(J2745&lt;=2,"?ACTIVATED",IF(J2745&lt;&gt;"","?FAMILIAR",IF(F2745="NEW",IF(ISNA(VLOOKUP(E2745,#REF!,1,FALSE())),"?TYPE_IDENTIFIABLE","?REFERENTIAL"),"_")))))</f>
        <v> </v>
      </c>
      <c r="H2745" s="25" t="str">
        <f>IF(J2745&lt;&gt;1,"",IF(I2745="SBJ","CB","?"))</f>
        <v> </v>
      </c>
      <c r="I2745" s="26" t="str">
        <f>IF(OR(E2745="",E2745="!!!",F2745="NEW"),"",INDEX(B2744:B$2,-1+SUMPRODUCT(MAX(ROW(E2744:E$2)*(E2745=E2744:E$2)))))</f>
        <v> </v>
      </c>
      <c r="J2745" s="26" t="str">
        <f>IF(OR(E2745="",E2745="!!!",F2745="NEW"),"",COUNTBLANK(OFFSET(A$1,,,SUMPRODUCT(MAX(ROW(E$2:E2745)*(E2745=E$2:E2745)))))-COUNTBLANK(OFFSET(A$1,,,SUMPRODUCT(MAX(ROW(E$1:E2744)*(E2=E$1:E2744))))))</f>
        <v> </v>
      </c>
      <c r="K2745" s="26" t="str">
        <f>IF(OR(E2745="",E2745="!!!",F2745="NEW"),"",INDEX(J$1:J2744,SUMPRODUCT(MAX(ROW(E$1:E2744)*(E2745=E$1:E2744)))))</f>
        <v> </v>
      </c>
      <c r="L2745" s="27"/>
    </row>
    <row r="2746" spans="1:12">
      <c r="A2746" s="20" t="s">
        <v>1362</v>
      </c>
      <c r="E2746" s="22">
        <f>IF(D2746="?OLD","!!!","")</f>
        <v/>
      </c>
      <c r="F2746" s="23" t="str">
        <f>IF(OR(E2746="",E2746="!!!"),"",IF(NOT(ISNA(VLOOKUP(E2746,E$1:E2745,1,FALSE()))),"OLD",IF(AND(E2746&lt;&gt;"",E2746&lt;&gt;"!!!"),"NEW","")))</f>
        <v> </v>
      </c>
      <c r="G2746" s="24" t="str">
        <f>IF(OR(E2746="",E2746="!!!"),"",IF(OR(J2746=0,AND(J2746=1,K2746=1),AND(J2746=1,I2746="SBJ"),AND(J2746=1,I2746=0)),"?IN_FOCUS",IF(J2746&lt;=2,"?ACTIVATED",IF(J2746&lt;&gt;"","?FAMILIAR",IF(F2746="NEW",IF(ISNA(VLOOKUP(E2746,#REF!,1,FALSE())),"?TYPE_IDENTIFIABLE","?REFERENTIAL"),"_")))))</f>
        <v> </v>
      </c>
      <c r="H2746" s="25" t="str">
        <f>IF(J2746&lt;&gt;1,"",IF(I2746="SBJ","CB","?"))</f>
        <v> </v>
      </c>
      <c r="I2746" s="26" t="str">
        <f>IF(OR(E2746="",E2746="!!!",F2746="NEW"),"",INDEX(B2745:B$2,-1+SUMPRODUCT(MAX(ROW(E2745:E$2)*(E2746=E2745:E$2)))))</f>
        <v> </v>
      </c>
      <c r="J2746" s="26" t="str">
        <f>IF(OR(E2746="",E2746="!!!",F2746="NEW"),"",COUNTBLANK(OFFSET(A$1,,,SUMPRODUCT(MAX(ROW(E$2:E2746)*(E2746=E$2:E2746)))))-COUNTBLANK(OFFSET(A$1,,,SUMPRODUCT(MAX(ROW(E$1:E2745)*(E2=E$1:E2745))))))</f>
        <v> </v>
      </c>
      <c r="K2746" s="26" t="str">
        <f>IF(OR(E2746="",E2746="!!!",F2746="NEW"),"",INDEX(J$1:J2745,SUMPRODUCT(MAX(ROW(E$1:E2745)*(E2746=E$1:E2745)))))</f>
        <v> </v>
      </c>
      <c r="L2746" s="27"/>
    </row>
    <row r="2747" spans="1:12">
      <c r="A2747" s="20" t="s">
        <v>369</v>
      </c>
      <c r="E2747" s="22">
        <f>IF(D2747="?OLD","!!!","")</f>
        <v/>
      </c>
      <c r="F2747" s="23" t="str">
        <f>IF(OR(E2747="",E2747="!!!"),"",IF(NOT(ISNA(VLOOKUP(E2747,E$1:E2746,1,FALSE()))),"OLD",IF(AND(E2747&lt;&gt;"",E2747&lt;&gt;"!!!"),"NEW","")))</f>
        <v> </v>
      </c>
      <c r="G2747" s="24" t="str">
        <f>IF(OR(E2747="",E2747="!!!"),"",IF(OR(J2747=0,AND(J2747=1,K2747=1),AND(J2747=1,I2747="SBJ"),AND(J2747=1,I2747=0)),"?IN_FOCUS",IF(J2747&lt;=2,"?ACTIVATED",IF(J2747&lt;&gt;"","?FAMILIAR",IF(F2747="NEW",IF(ISNA(VLOOKUP(E2747,#REF!,1,FALSE())),"?TYPE_IDENTIFIABLE","?REFERENTIAL"),"_")))))</f>
        <v> </v>
      </c>
      <c r="H2747" s="25" t="str">
        <f>IF(J2747&lt;&gt;1,"",IF(I2747="SBJ","CB","?"))</f>
        <v> </v>
      </c>
      <c r="I2747" s="26" t="str">
        <f>IF(OR(E2747="",E2747="!!!",F2747="NEW"),"",INDEX(B2746:B$2,-1+SUMPRODUCT(MAX(ROW(E2746:E$2)*(E2747=E2746:E$2)))))</f>
        <v> </v>
      </c>
      <c r="J2747" s="26" t="str">
        <f>IF(OR(E2747="",E2747="!!!",F2747="NEW"),"",COUNTBLANK(OFFSET(A$1,,,SUMPRODUCT(MAX(ROW(E$2:E2747)*(E2747=E$2:E2747)))))-COUNTBLANK(OFFSET(A$1,,,SUMPRODUCT(MAX(ROW(E$1:E2746)*(E2=E$1:E2746))))))</f>
        <v> </v>
      </c>
      <c r="K2747" s="26" t="str">
        <f>IF(OR(E2747="",E2747="!!!",F2747="NEW"),"",INDEX(J$1:J2746,SUMPRODUCT(MAX(ROW(E$1:E2746)*(E2747=E$1:E2746)))))</f>
        <v> </v>
      </c>
      <c r="L2747" s="27"/>
    </row>
    <row r="2748" spans="1:12">
      <c r="A2748" s="20" t="s">
        <v>1766</v>
      </c>
      <c r="B2748" s="21" t="s">
        <v>590</v>
      </c>
      <c r="E2748" s="22">
        <f>IF(D2748="?OLD","!!!","")</f>
        <v/>
      </c>
      <c r="F2748" s="23" t="str">
        <f>IF(OR(E2748="",E2748="!!!"),"",IF(NOT(ISNA(VLOOKUP(E2748,E$1:E2747,1,FALSE()))),"OLD",IF(AND(E2748&lt;&gt;"",E2748&lt;&gt;"!!!"),"NEW","")))</f>
        <v> </v>
      </c>
      <c r="G2748" s="24" t="str">
        <f>IF(OR(E2748="",E2748="!!!"),"",IF(OR(J2748=0,AND(J2748=1,K2748=1),AND(J2748=1,I2748="SBJ"),AND(J2748=1,I2748=0)),"?IN_FOCUS",IF(J2748&lt;=2,"?ACTIVATED",IF(J2748&lt;&gt;"","?FAMILIAR",IF(F2748="NEW",IF(ISNA(VLOOKUP(E2748,#REF!,1,FALSE())),"?TYPE_IDENTIFIABLE","?REFERENTIAL"),"_")))))</f>
        <v> </v>
      </c>
      <c r="H2748" s="25" t="str">
        <f>IF(J2748&lt;&gt;1,"",IF(I2748="SBJ","CB","?"))</f>
        <v> </v>
      </c>
      <c r="I2748" s="26" t="str">
        <f>IF(OR(E2748="",E2748="!!!",F2748="NEW"),"",INDEX(B2747:B$2,-1+SUMPRODUCT(MAX(ROW(E2747:E$2)*(E2748=E2747:E$2)))))</f>
        <v> </v>
      </c>
      <c r="J2748" s="26" t="str">
        <f>IF(OR(E2748="",E2748="!!!",F2748="NEW"),"",COUNTBLANK(OFFSET(A$1,,,SUMPRODUCT(MAX(ROW(E$2:E2748)*(E2748=E$2:E2748)))))-COUNTBLANK(OFFSET(A$1,,,SUMPRODUCT(MAX(ROW(E$1:E2747)*(E2=E$1:E2747))))))</f>
        <v> </v>
      </c>
      <c r="K2748" s="26" t="str">
        <f>IF(OR(E2748="",E2748="!!!",F2748="NEW"),"",INDEX(J$1:J2747,SUMPRODUCT(MAX(ROW(E$1:E2747)*(E2748=E$1:E2747)))))</f>
        <v> </v>
      </c>
      <c r="L2748" s="27"/>
    </row>
    <row r="2749" spans="1:12">
      <c r="A2749" s="20" t="s">
        <v>1057</v>
      </c>
      <c r="E2749" s="22">
        <f>IF(D2749="?OLD","!!!","")</f>
        <v/>
      </c>
      <c r="F2749" s="23" t="str">
        <f>IF(OR(E2749="",E2749="!!!"),"",IF(NOT(ISNA(VLOOKUP(E2749,E$1:E2748,1,FALSE()))),"OLD",IF(AND(E2749&lt;&gt;"",E2749&lt;&gt;"!!!"),"NEW","")))</f>
        <v> </v>
      </c>
      <c r="G2749" s="24" t="str">
        <f>IF(OR(E2749="",E2749="!!!"),"",IF(OR(J2749=0,AND(J2749=1,K2749=1),AND(J2749=1,I2749="SBJ"),AND(J2749=1,I2749=0)),"?IN_FOCUS",IF(J2749&lt;=2,"?ACTIVATED",IF(J2749&lt;&gt;"","?FAMILIAR",IF(F2749="NEW",IF(ISNA(VLOOKUP(E2749,#REF!,1,FALSE())),"?TYPE_IDENTIFIABLE","?REFERENTIAL"),"_")))))</f>
        <v> </v>
      </c>
      <c r="H2749" s="25" t="str">
        <f>IF(J2749&lt;&gt;1,"",IF(I2749="SBJ","CB","?"))</f>
        <v> </v>
      </c>
      <c r="I2749" s="26" t="str">
        <f>IF(OR(E2749="",E2749="!!!",F2749="NEW"),"",INDEX(B2748:B$2,-1+SUMPRODUCT(MAX(ROW(E2748:E$2)*(E2749=E2748:E$2)))))</f>
        <v> </v>
      </c>
      <c r="J2749" s="26" t="str">
        <f>IF(OR(E2749="",E2749="!!!",F2749="NEW"),"",COUNTBLANK(OFFSET(A$1,,,SUMPRODUCT(MAX(ROW(E$2:E2749)*(E2749=E$2:E2749)))))-COUNTBLANK(OFFSET(A$1,,,SUMPRODUCT(MAX(ROW(E$1:E2748)*(E2=E$1:E2748))))))</f>
        <v> </v>
      </c>
      <c r="K2749" s="26" t="str">
        <f>IF(OR(E2749="",E2749="!!!",F2749="NEW"),"",INDEX(J$1:J2748,SUMPRODUCT(MAX(ROW(E$1:E2748)*(E2749=E$1:E2748)))))</f>
        <v> </v>
      </c>
      <c r="L2749" s="27"/>
    </row>
    <row r="2750" spans="1:12">
      <c r="A2750" s="20" t="s">
        <v>655</v>
      </c>
      <c r="E2750" s="22">
        <f>IF(D2750="?OLD","!!!","")</f>
        <v/>
      </c>
      <c r="F2750" s="23" t="str">
        <f>IF(OR(E2750="",E2750="!!!"),"",IF(NOT(ISNA(VLOOKUP(E2750,E$1:E2749,1,FALSE()))),"OLD",IF(AND(E2750&lt;&gt;"",E2750&lt;&gt;"!!!"),"NEW","")))</f>
        <v> </v>
      </c>
      <c r="G2750" s="24" t="str">
        <f>IF(OR(E2750="",E2750="!!!"),"",IF(OR(J2750=0,AND(J2750=1,K2750=1),AND(J2750=1,I2750="SBJ"),AND(J2750=1,I2750=0)),"?IN_FOCUS",IF(J2750&lt;=2,"?ACTIVATED",IF(J2750&lt;&gt;"","?FAMILIAR",IF(F2750="NEW",IF(ISNA(VLOOKUP(E2750,#REF!,1,FALSE())),"?TYPE_IDENTIFIABLE","?REFERENTIAL"),"_")))))</f>
        <v> </v>
      </c>
      <c r="H2750" s="25" t="str">
        <f>IF(J2750&lt;&gt;1,"",IF(I2750="SBJ","CB","?"))</f>
        <v> </v>
      </c>
      <c r="I2750" s="26" t="str">
        <f>IF(OR(E2750="",E2750="!!!",F2750="NEW"),"",INDEX(B2749:B$2,-1+SUMPRODUCT(MAX(ROW(E2749:E$2)*(E2750=E2749:E$2)))))</f>
        <v> </v>
      </c>
      <c r="J2750" s="26" t="str">
        <f>IF(OR(E2750="",E2750="!!!",F2750="NEW"),"",COUNTBLANK(OFFSET(A$1,,,SUMPRODUCT(MAX(ROW(E$2:E2750)*(E2750=E$2:E2750)))))-COUNTBLANK(OFFSET(A$1,,,SUMPRODUCT(MAX(ROW(E$1:E2749)*(E2=E$1:E2749))))))</f>
        <v> </v>
      </c>
      <c r="K2750" s="26" t="str">
        <f>IF(OR(E2750="",E2750="!!!",F2750="NEW"),"",INDEX(J$1:J2749,SUMPRODUCT(MAX(ROW(E$1:E2749)*(E2750=E$1:E2749)))))</f>
        <v> </v>
      </c>
      <c r="L2750" s="27"/>
    </row>
    <row r="2751" spans="1:12">
      <c r="A2751" s="20" t="s">
        <v>656</v>
      </c>
      <c r="B2751" s="21" t="s">
        <v>585</v>
      </c>
      <c r="C2751" s="21" t="s">
        <v>586</v>
      </c>
      <c r="D2751" s="21" t="s">
        <v>587</v>
      </c>
      <c r="E2751" s="22">
        <f>IF(D2751="?OLD","!!!","")</f>
        <v/>
      </c>
      <c r="F2751" s="23" t="str">
        <f>IF(OR(E2751="",E2751="!!!"),"",IF(NOT(ISNA(VLOOKUP(E2751,E$1:E2750,1,FALSE()))),"OLD",IF(AND(E2751&lt;&gt;"",E2751&lt;&gt;"!!!"),"NEW","")))</f>
        <v> </v>
      </c>
      <c r="G2751" s="24" t="str">
        <f>IF(OR(E2751="",E2751="!!!"),"",IF(OR(J2751=0,AND(J2751=1,K2751=1),AND(J2751=1,I2751="SBJ"),AND(J2751=1,I2751=0)),"?IN_FOCUS",IF(J2751&lt;=2,"?ACTIVATED",IF(J2751&lt;&gt;"","?FAMILIAR",IF(F2751="NEW",IF(ISNA(VLOOKUP(E2751,#REF!,1,FALSE())),"?TYPE_IDENTIFIABLE","?REFERENTIAL"),"_")))))</f>
        <v> </v>
      </c>
      <c r="H2751" s="25" t="str">
        <f>IF(J2751&lt;&gt;1,"",IF(I2751="SBJ","CB","?"))</f>
        <v> </v>
      </c>
      <c r="I2751" s="26" t="str">
        <f>IF(OR(E2751="",E2751="!!!",F2751="NEW"),"",INDEX(B2750:B$2,-1+SUMPRODUCT(MAX(ROW(E2750:E$2)*(E2751=E2750:E$2)))))</f>
        <v> </v>
      </c>
      <c r="J2751" s="26" t="str">
        <f>IF(OR(E2751="",E2751="!!!",F2751="NEW"),"",COUNTBLANK(OFFSET(A$1,,,SUMPRODUCT(MAX(ROW(E$2:E2751)*(E2751=E$2:E2751)))))-COUNTBLANK(OFFSET(A$1,,,SUMPRODUCT(MAX(ROW(E$1:E2750)*(E2=E$1:E2750))))))</f>
        <v> </v>
      </c>
      <c r="K2751" s="26" t="str">
        <f>IF(OR(E2751="",E2751="!!!",F2751="NEW"),"",INDEX(J$1:J2750,SUMPRODUCT(MAX(ROW(E$1:E2750)*(E2751=E$1:E2750)))))</f>
        <v> </v>
      </c>
      <c r="L2751" s="27"/>
    </row>
    <row r="2752" spans="1:12">
      <c r="A2752" s="20" t="s">
        <v>1766</v>
      </c>
      <c r="E2752" s="22">
        <f>IF(D2752="?OLD","!!!","")</f>
        <v/>
      </c>
      <c r="F2752" s="23" t="str">
        <f>IF(OR(E2752="",E2752="!!!"),"",IF(NOT(ISNA(VLOOKUP(E2752,E$1:E2751,1,FALSE()))),"OLD",IF(AND(E2752&lt;&gt;"",E2752&lt;&gt;"!!!"),"NEW","")))</f>
        <v> </v>
      </c>
      <c r="G2752" s="24" t="str">
        <f>IF(OR(E2752="",E2752="!!!"),"",IF(OR(J2752=0,AND(J2752=1,K2752=1),AND(J2752=1,I2752="SBJ"),AND(J2752=1,I2752=0)),"?IN_FOCUS",IF(J2752&lt;=2,"?ACTIVATED",IF(J2752&lt;&gt;"","?FAMILIAR",IF(F2752="NEW",IF(ISNA(VLOOKUP(E2752,#REF!,1,FALSE())),"?TYPE_IDENTIFIABLE","?REFERENTIAL"),"_")))))</f>
        <v> </v>
      </c>
      <c r="H2752" s="25" t="str">
        <f>IF(J2752&lt;&gt;1,"",IF(I2752="SBJ","CB","?"))</f>
        <v> </v>
      </c>
      <c r="I2752" s="26" t="str">
        <f>IF(OR(E2752="",E2752="!!!",F2752="NEW"),"",INDEX(B2751:B$2,-1+SUMPRODUCT(MAX(ROW(E2751:E$2)*(E2752=E2751:E$2)))))</f>
        <v> </v>
      </c>
      <c r="J2752" s="26" t="str">
        <f>IF(OR(E2752="",E2752="!!!",F2752="NEW"),"",COUNTBLANK(OFFSET(A$1,,,SUMPRODUCT(MAX(ROW(E$2:E2752)*(E2752=E$2:E2752)))))-COUNTBLANK(OFFSET(A$1,,,SUMPRODUCT(MAX(ROW(E$1:E2751)*(E2=E$1:E2751))))))</f>
        <v> </v>
      </c>
      <c r="K2752" s="26" t="str">
        <f>IF(OR(E2752="",E2752="!!!",F2752="NEW"),"",INDEX(J$1:J2751,SUMPRODUCT(MAX(ROW(E$1:E2751)*(E2752=E$1:E2751)))))</f>
        <v> </v>
      </c>
      <c r="L2752" s="27"/>
    </row>
    <row r="2753" spans="1:12">
      <c r="A2753" s="20" t="s">
        <v>1788</v>
      </c>
      <c r="E2753" s="22">
        <f>IF(D2753="?OLD","!!!","")</f>
        <v/>
      </c>
      <c r="F2753" s="23" t="str">
        <f>IF(OR(E2753="",E2753="!!!"),"",IF(NOT(ISNA(VLOOKUP(E2753,E$1:E2752,1,FALSE()))),"OLD",IF(AND(E2753&lt;&gt;"",E2753&lt;&gt;"!!!"),"NEW","")))</f>
        <v> </v>
      </c>
      <c r="G2753" s="24" t="str">
        <f>IF(OR(E2753="",E2753="!!!"),"",IF(OR(J2753=0,AND(J2753=1,K2753=1),AND(J2753=1,I2753="SBJ"),AND(J2753=1,I2753=0)),"?IN_FOCUS",IF(J2753&lt;=2,"?ACTIVATED",IF(J2753&lt;&gt;"","?FAMILIAR",IF(F2753="NEW",IF(ISNA(VLOOKUP(E2753,#REF!,1,FALSE())),"?TYPE_IDENTIFIABLE","?REFERENTIAL"),"_")))))</f>
        <v> </v>
      </c>
      <c r="H2753" s="25" t="str">
        <f>IF(J2753&lt;&gt;1,"",IF(I2753="SBJ","CB","?"))</f>
        <v> </v>
      </c>
      <c r="I2753" s="26" t="str">
        <f>IF(OR(E2753="",E2753="!!!",F2753="NEW"),"",INDEX(B2752:B$2,-1+SUMPRODUCT(MAX(ROW(E2752:E$2)*(E2753=E2752:E$2)))))</f>
        <v> </v>
      </c>
      <c r="J2753" s="26" t="str">
        <f>IF(OR(E2753="",E2753="!!!",F2753="NEW"),"",COUNTBLANK(OFFSET(A$1,,,SUMPRODUCT(MAX(ROW(E$2:E2753)*(E2753=E$2:E2753)))))-COUNTBLANK(OFFSET(A$1,,,SUMPRODUCT(MAX(ROW(E$1:E2752)*(E2=E$1:E2752))))))</f>
        <v> </v>
      </c>
      <c r="K2753" s="26" t="str">
        <f>IF(OR(E2753="",E2753="!!!",F2753="NEW"),"",INDEX(J$1:J2752,SUMPRODUCT(MAX(ROW(E$1:E2752)*(E2753=E$1:E2752)))))</f>
        <v> </v>
      </c>
      <c r="L2753" s="27"/>
    </row>
    <row r="2754" spans="1:12">
      <c r="A2754" s="20" t="s">
        <v>583</v>
      </c>
      <c r="E2754" s="22">
        <f>IF(D2754="?OLD","!!!","")</f>
        <v/>
      </c>
      <c r="F2754" s="23" t="str">
        <f>IF(OR(E2754="",E2754="!!!"),"",IF(NOT(ISNA(VLOOKUP(E2754,E$1:E2753,1,FALSE()))),"OLD",IF(AND(E2754&lt;&gt;"",E2754&lt;&gt;"!!!"),"NEW","")))</f>
        <v> </v>
      </c>
      <c r="G2754" s="24" t="str">
        <f>IF(OR(E2754="",E2754="!!!"),"",IF(OR(J2754=0,AND(J2754=1,K2754=1),AND(J2754=1,I2754="SBJ"),AND(J2754=1,I2754=0)),"?IN_FOCUS",IF(J2754&lt;=2,"?ACTIVATED",IF(J2754&lt;&gt;"","?FAMILIAR",IF(F2754="NEW",IF(ISNA(VLOOKUP(E2754,#REF!,1,FALSE())),"?TYPE_IDENTIFIABLE","?REFERENTIAL"),"_")))))</f>
        <v> </v>
      </c>
      <c r="H2754" s="25" t="str">
        <f>IF(J2754&lt;&gt;1,"",IF(I2754="SBJ","CB","?"))</f>
        <v> </v>
      </c>
      <c r="I2754" s="26" t="str">
        <f>IF(OR(E2754="",E2754="!!!",F2754="NEW"),"",INDEX(B2753:B$2,-1+SUMPRODUCT(MAX(ROW(E2753:E$2)*(E2754=E2753:E$2)))))</f>
        <v> </v>
      </c>
      <c r="J2754" s="26" t="str">
        <f>IF(OR(E2754="",E2754="!!!",F2754="NEW"),"",COUNTBLANK(OFFSET(A$1,,,SUMPRODUCT(MAX(ROW(E$2:E2754)*(E2754=E$2:E2754)))))-COUNTBLANK(OFFSET(A$1,,,SUMPRODUCT(MAX(ROW(E$1:E2753)*(E2=E$1:E2753))))))</f>
        <v> </v>
      </c>
      <c r="K2754" s="26" t="str">
        <f>IF(OR(E2754="",E2754="!!!",F2754="NEW"),"",INDEX(J$1:J2753,SUMPRODUCT(MAX(ROW(E$1:E2753)*(E2754=E$1:E2753)))))</f>
        <v> </v>
      </c>
      <c r="L2754" s="27"/>
    </row>
    <row r="2755" spans="1:12">
      <c r="A2755" s="20" t="s">
        <v>1136</v>
      </c>
      <c r="E2755" s="22">
        <f>IF(D2755="?OLD","!!!","")</f>
        <v/>
      </c>
      <c r="F2755" s="23" t="str">
        <f>IF(OR(E2755="",E2755="!!!"),"",IF(NOT(ISNA(VLOOKUP(E2755,E$1:E2754,1,FALSE()))),"OLD",IF(AND(E2755&lt;&gt;"",E2755&lt;&gt;"!!!"),"NEW","")))</f>
        <v> </v>
      </c>
      <c r="G2755" s="24" t="str">
        <f>IF(OR(E2755="",E2755="!!!"),"",IF(OR(J2755=0,AND(J2755=1,K2755=1),AND(J2755=1,I2755="SBJ"),AND(J2755=1,I2755=0)),"?IN_FOCUS",IF(J2755&lt;=2,"?ACTIVATED",IF(J2755&lt;&gt;"","?FAMILIAR",IF(F2755="NEW",IF(ISNA(VLOOKUP(E2755,#REF!,1,FALSE())),"?TYPE_IDENTIFIABLE","?REFERENTIAL"),"_")))))</f>
        <v> </v>
      </c>
      <c r="H2755" s="25" t="str">
        <f>IF(J2755&lt;&gt;1,"",IF(I2755="SBJ","CB","?"))</f>
        <v> </v>
      </c>
      <c r="I2755" s="26" t="str">
        <f>IF(OR(E2755="",E2755="!!!",F2755="NEW"),"",INDEX(B2754:B$2,-1+SUMPRODUCT(MAX(ROW(E2754:E$2)*(E2755=E2754:E$2)))))</f>
        <v> </v>
      </c>
      <c r="J2755" s="26" t="str">
        <f>IF(OR(E2755="",E2755="!!!",F2755="NEW"),"",COUNTBLANK(OFFSET(A$1,,,SUMPRODUCT(MAX(ROW(E$2:E2755)*(E2755=E$2:E2755)))))-COUNTBLANK(OFFSET(A$1,,,SUMPRODUCT(MAX(ROW(E$1:E2754)*(E2=E$1:E2754))))))</f>
        <v> </v>
      </c>
      <c r="K2755" s="26" t="str">
        <f>IF(OR(E2755="",E2755="!!!",F2755="NEW"),"",INDEX(J$1:J2754,SUMPRODUCT(MAX(ROW(E$1:E2754)*(E2755=E$1:E2754)))))</f>
        <v> </v>
      </c>
      <c r="L2755" s="27"/>
    </row>
    <row r="2756" spans="1:12">
      <c r="A2756" s="20" t="s">
        <v>1766</v>
      </c>
      <c r="B2756" s="21" t="s">
        <v>590</v>
      </c>
      <c r="E2756" s="22">
        <f>IF(D2756="?OLD","!!!","")</f>
        <v/>
      </c>
      <c r="F2756" s="23" t="str">
        <f>IF(OR(E2756="",E2756="!!!"),"",IF(NOT(ISNA(VLOOKUP(E2756,E$1:E2755,1,FALSE()))),"OLD",IF(AND(E2756&lt;&gt;"",E2756&lt;&gt;"!!!"),"NEW","")))</f>
        <v> </v>
      </c>
      <c r="G2756" s="24" t="str">
        <f>IF(OR(E2756="",E2756="!!!"),"",IF(OR(J2756=0,AND(J2756=1,K2756=1),AND(J2756=1,I2756="SBJ"),AND(J2756=1,I2756=0)),"?IN_FOCUS",IF(J2756&lt;=2,"?ACTIVATED",IF(J2756&lt;&gt;"","?FAMILIAR",IF(F2756="NEW",IF(ISNA(VLOOKUP(E2756,#REF!,1,FALSE())),"?TYPE_IDENTIFIABLE","?REFERENTIAL"),"_")))))</f>
        <v> </v>
      </c>
      <c r="H2756" s="25" t="str">
        <f>IF(J2756&lt;&gt;1,"",IF(I2756="SBJ","CB","?"))</f>
        <v> </v>
      </c>
      <c r="I2756" s="26" t="str">
        <f>IF(OR(E2756="",E2756="!!!",F2756="NEW"),"",INDEX(B2755:B$2,-1+SUMPRODUCT(MAX(ROW(E2755:E$2)*(E2756=E2755:E$2)))))</f>
        <v> </v>
      </c>
      <c r="J2756" s="26" t="str">
        <f>IF(OR(E2756="",E2756="!!!",F2756="NEW"),"",COUNTBLANK(OFFSET(A$1,,,SUMPRODUCT(MAX(ROW(E$2:E2756)*(E2756=E$2:E2756)))))-COUNTBLANK(OFFSET(A$1,,,SUMPRODUCT(MAX(ROW(E$1:E2755)*(E2=E$1:E2755))))))</f>
        <v> </v>
      </c>
      <c r="K2756" s="26" t="str">
        <f>IF(OR(E2756="",E2756="!!!",F2756="NEW"),"",INDEX(J$1:J2755,SUMPRODUCT(MAX(ROW(E$1:E2755)*(E2756=E$1:E2755)))))</f>
        <v> </v>
      </c>
      <c r="L2756" s="27"/>
    </row>
    <row r="2757" spans="1:12">
      <c r="A2757" s="20" t="s">
        <v>1788</v>
      </c>
      <c r="E2757" s="22">
        <f>IF(D2757="?OLD","!!!","")</f>
        <v/>
      </c>
      <c r="F2757" s="23" t="str">
        <f>IF(OR(E2757="",E2757="!!!"),"",IF(NOT(ISNA(VLOOKUP(E2757,E$1:E2756,1,FALSE()))),"OLD",IF(AND(E2757&lt;&gt;"",E2757&lt;&gt;"!!!"),"NEW","")))</f>
        <v> </v>
      </c>
      <c r="G2757" s="24" t="str">
        <f>IF(OR(E2757="",E2757="!!!"),"",IF(OR(J2757=0,AND(J2757=1,K2757=1),AND(J2757=1,I2757="SBJ"),AND(J2757=1,I2757=0)),"?IN_FOCUS",IF(J2757&lt;=2,"?ACTIVATED",IF(J2757&lt;&gt;"","?FAMILIAR",IF(F2757="NEW",IF(ISNA(VLOOKUP(E2757,#REF!,1,FALSE())),"?TYPE_IDENTIFIABLE","?REFERENTIAL"),"_")))))</f>
        <v> </v>
      </c>
      <c r="H2757" s="25" t="str">
        <f>IF(J2757&lt;&gt;1,"",IF(I2757="SBJ","CB","?"))</f>
        <v> </v>
      </c>
      <c r="I2757" s="26" t="str">
        <f>IF(OR(E2757="",E2757="!!!",F2757="NEW"),"",INDEX(B2756:B$2,-1+SUMPRODUCT(MAX(ROW(E2756:E$2)*(E2757=E2756:E$2)))))</f>
        <v> </v>
      </c>
      <c r="J2757" s="26" t="str">
        <f>IF(OR(E2757="",E2757="!!!",F2757="NEW"),"",COUNTBLANK(OFFSET(A$1,,,SUMPRODUCT(MAX(ROW(E$2:E2757)*(E2757=E$2:E2757)))))-COUNTBLANK(OFFSET(A$1,,,SUMPRODUCT(MAX(ROW(E$1:E2756)*(E2=E$1:E2756))))))</f>
        <v> </v>
      </c>
      <c r="K2757" s="26" t="str">
        <f>IF(OR(E2757="",E2757="!!!",F2757="NEW"),"",INDEX(J$1:J2756,SUMPRODUCT(MAX(ROW(E$1:E2756)*(E2757=E$1:E2756)))))</f>
        <v> </v>
      </c>
      <c r="L2757" s="27"/>
    </row>
    <row r="2758" spans="1:12">
      <c r="A2758" s="20" t="s">
        <v>655</v>
      </c>
      <c r="E2758" s="22">
        <f>IF(D2758="?OLD","!!!","")</f>
        <v/>
      </c>
      <c r="F2758" s="23" t="str">
        <f>IF(OR(E2758="",E2758="!!!"),"",IF(NOT(ISNA(VLOOKUP(E2758,E$1:E2757,1,FALSE()))),"OLD",IF(AND(E2758&lt;&gt;"",E2758&lt;&gt;"!!!"),"NEW","")))</f>
        <v> </v>
      </c>
      <c r="G2758" s="24" t="str">
        <f>IF(OR(E2758="",E2758="!!!"),"",IF(OR(J2758=0,AND(J2758=1,K2758=1),AND(J2758=1,I2758="SBJ"),AND(J2758=1,I2758=0)),"?IN_FOCUS",IF(J2758&lt;=2,"?ACTIVATED",IF(J2758&lt;&gt;"","?FAMILIAR",IF(F2758="NEW",IF(ISNA(VLOOKUP(E2758,#REF!,1,FALSE())),"?TYPE_IDENTIFIABLE","?REFERENTIAL"),"_")))))</f>
        <v> </v>
      </c>
      <c r="H2758" s="25" t="str">
        <f>IF(J2758&lt;&gt;1,"",IF(I2758="SBJ","CB","?"))</f>
        <v> </v>
      </c>
      <c r="I2758" s="26" t="str">
        <f>IF(OR(E2758="",E2758="!!!",F2758="NEW"),"",INDEX(B2757:B$2,-1+SUMPRODUCT(MAX(ROW(E2757:E$2)*(E2758=E2757:E$2)))))</f>
        <v> </v>
      </c>
      <c r="J2758" s="26" t="str">
        <f>IF(OR(E2758="",E2758="!!!",F2758="NEW"),"",COUNTBLANK(OFFSET(A$1,,,SUMPRODUCT(MAX(ROW(E$2:E2758)*(E2758=E$2:E2758)))))-COUNTBLANK(OFFSET(A$1,,,SUMPRODUCT(MAX(ROW(E$1:E2757)*(E2=E$1:E2757))))))</f>
        <v> </v>
      </c>
      <c r="K2758" s="26" t="str">
        <f>IF(OR(E2758="",E2758="!!!",F2758="NEW"),"",INDEX(J$1:J2757,SUMPRODUCT(MAX(ROW(E$1:E2757)*(E2758=E$1:E2757)))))</f>
        <v> </v>
      </c>
      <c r="L2758" s="27"/>
    </row>
    <row r="2759" spans="1:12">
      <c r="A2759" s="20" t="s">
        <v>656</v>
      </c>
      <c r="B2759" s="21" t="s">
        <v>585</v>
      </c>
      <c r="C2759" s="21" t="s">
        <v>586</v>
      </c>
      <c r="D2759" s="21" t="s">
        <v>587</v>
      </c>
      <c r="E2759" s="22">
        <f>IF(D2759="?OLD","!!!","")</f>
        <v/>
      </c>
      <c r="F2759" s="23" t="str">
        <f>IF(OR(E2759="",E2759="!!!"),"",IF(NOT(ISNA(VLOOKUP(E2759,E$1:E2758,1,FALSE()))),"OLD",IF(AND(E2759&lt;&gt;"",E2759&lt;&gt;"!!!"),"NEW","")))</f>
        <v> </v>
      </c>
      <c r="G2759" s="24" t="str">
        <f>IF(OR(E2759="",E2759="!!!"),"",IF(OR(J2759=0,AND(J2759=1,K2759=1),AND(J2759=1,I2759="SBJ"),AND(J2759=1,I2759=0)),"?IN_FOCUS",IF(J2759&lt;=2,"?ACTIVATED",IF(J2759&lt;&gt;"","?FAMILIAR",IF(F2759="NEW",IF(ISNA(VLOOKUP(E2759,#REF!,1,FALSE())),"?TYPE_IDENTIFIABLE","?REFERENTIAL"),"_")))))</f>
        <v> </v>
      </c>
      <c r="H2759" s="25" t="str">
        <f>IF(J2759&lt;&gt;1,"",IF(I2759="SBJ","CB","?"))</f>
        <v> </v>
      </c>
      <c r="I2759" s="26" t="str">
        <f>IF(OR(E2759="",E2759="!!!",F2759="NEW"),"",INDEX(B2758:B$2,-1+SUMPRODUCT(MAX(ROW(E2758:E$2)*(E2759=E2758:E$2)))))</f>
        <v> </v>
      </c>
      <c r="J2759" s="26" t="str">
        <f>IF(OR(E2759="",E2759="!!!",F2759="NEW"),"",COUNTBLANK(OFFSET(A$1,,,SUMPRODUCT(MAX(ROW(E$2:E2759)*(E2759=E$2:E2759)))))-COUNTBLANK(OFFSET(A$1,,,SUMPRODUCT(MAX(ROW(E$1:E2758)*(E2=E$1:E2758))))))</f>
        <v> </v>
      </c>
      <c r="K2759" s="26" t="str">
        <f>IF(OR(E2759="",E2759="!!!",F2759="NEW"),"",INDEX(J$1:J2758,SUMPRODUCT(MAX(ROW(E$1:E2758)*(E2759=E$1:E2758)))))</f>
        <v> </v>
      </c>
      <c r="L2759" s="27"/>
    </row>
    <row r="2760" spans="1:12">
      <c r="A2760" s="20" t="s">
        <v>1766</v>
      </c>
      <c r="B2760" s="21" t="s">
        <v>651</v>
      </c>
      <c r="C2760" s="21" t="s">
        <v>800</v>
      </c>
      <c r="D2760" s="21" t="s">
        <v>587</v>
      </c>
      <c r="E2760" s="22">
        <f>IF(D2760="?OLD","!!!","")</f>
        <v/>
      </c>
      <c r="F2760" s="23" t="str">
        <f>IF(OR(E2760="",E2760="!!!"),"",IF(NOT(ISNA(VLOOKUP(E2760,E$1:E2759,1,FALSE()))),"OLD",IF(AND(E2760&lt;&gt;"",E2760&lt;&gt;"!!!"),"NEW","")))</f>
        <v> </v>
      </c>
      <c r="G2760" s="24" t="str">
        <f>IF(OR(E2760="",E2760="!!!"),"",IF(OR(J2760=0,AND(J2760=1,K2760=1),AND(J2760=1,I2760="SBJ"),AND(J2760=1,I2760=0)),"?IN_FOCUS",IF(J2760&lt;=2,"?ACTIVATED",IF(J2760&lt;&gt;"","?FAMILIAR",IF(F2760="NEW",IF(ISNA(VLOOKUP(E2760,#REF!,1,FALSE())),"?TYPE_IDENTIFIABLE","?REFERENTIAL"),"_")))))</f>
        <v> </v>
      </c>
      <c r="H2760" s="25" t="str">
        <f>IF(J2760&lt;&gt;1,"",IF(I2760="SBJ","CB","?"))</f>
        <v> </v>
      </c>
      <c r="I2760" s="26" t="str">
        <f>IF(OR(E2760="",E2760="!!!",F2760="NEW"),"",INDEX(B2759:B$2,-1+SUMPRODUCT(MAX(ROW(E2759:E$2)*(E2760=E2759:E$2)))))</f>
        <v> </v>
      </c>
      <c r="J2760" s="26" t="str">
        <f>IF(OR(E2760="",E2760="!!!",F2760="NEW"),"",COUNTBLANK(OFFSET(A$1,,,SUMPRODUCT(MAX(ROW(E$2:E2760)*(E2760=E$2:E2760)))))-COUNTBLANK(OFFSET(A$1,,,SUMPRODUCT(MAX(ROW(E$1:E2759)*(E2=E$1:E2759))))))</f>
        <v> </v>
      </c>
      <c r="K2760" s="26" t="str">
        <f>IF(OR(E2760="",E2760="!!!",F2760="NEW"),"",INDEX(J$1:J2759,SUMPRODUCT(MAX(ROW(E$1:E2759)*(E2760=E$1:E2759)))))</f>
        <v> </v>
      </c>
      <c r="L2760" s="27"/>
    </row>
    <row r="2761" spans="1:12">
      <c r="A2761" s="20" t="s">
        <v>721</v>
      </c>
      <c r="B2761" s="21" t="s">
        <v>585</v>
      </c>
      <c r="C2761" s="21" t="s">
        <v>613</v>
      </c>
      <c r="D2761" s="21" t="s">
        <v>587</v>
      </c>
      <c r="E2761" s="22">
        <f>IF(D2761="?OLD","!!!","")</f>
        <v/>
      </c>
      <c r="F2761" s="23" t="str">
        <f>IF(OR(E2761="",E2761="!!!"),"",IF(NOT(ISNA(VLOOKUP(E2761,E$1:E2760,1,FALSE()))),"OLD",IF(AND(E2761&lt;&gt;"",E2761&lt;&gt;"!!!"),"NEW","")))</f>
        <v> </v>
      </c>
      <c r="G2761" s="24" t="str">
        <f>IF(OR(E2761="",E2761="!!!"),"",IF(OR(J2761=0,AND(J2761=1,K2761=1),AND(J2761=1,I2761="SBJ"),AND(J2761=1,I2761=0)),"?IN_FOCUS",IF(J2761&lt;=2,"?ACTIVATED",IF(J2761&lt;&gt;"","?FAMILIAR",IF(F2761="NEW",IF(ISNA(VLOOKUP(E2761,#REF!,1,FALSE())),"?TYPE_IDENTIFIABLE","?REFERENTIAL"),"_")))))</f>
        <v> </v>
      </c>
      <c r="H2761" s="25" t="str">
        <f>IF(J2761&lt;&gt;1,"",IF(I2761="SBJ","CB","?"))</f>
        <v> </v>
      </c>
      <c r="I2761" s="26" t="str">
        <f>IF(OR(E2761="",E2761="!!!",F2761="NEW"),"",INDEX(B2760:B$2,-1+SUMPRODUCT(MAX(ROW(E2760:E$2)*(E2761=E2760:E$2)))))</f>
        <v> </v>
      </c>
      <c r="J2761" s="26" t="str">
        <f>IF(OR(E2761="",E2761="!!!",F2761="NEW"),"",COUNTBLANK(OFFSET(A$1,,,SUMPRODUCT(MAX(ROW(E$2:E2761)*(E2761=E$2:E2761)))))-COUNTBLANK(OFFSET(A$1,,,SUMPRODUCT(MAX(ROW(E$1:E2760)*(E2=E$1:E2760))))))</f>
        <v> </v>
      </c>
      <c r="K2761" s="26" t="str">
        <f>IF(OR(E2761="",E2761="!!!",F2761="NEW"),"",INDEX(J$1:J2760,SUMPRODUCT(MAX(ROW(E$1:E2760)*(E2761=E$1:E2760)))))</f>
        <v> </v>
      </c>
      <c r="L2761" s="27"/>
    </row>
    <row r="2762" spans="1:12">
      <c r="A2762" s="20" t="s">
        <v>1216</v>
      </c>
      <c r="E2762" s="22">
        <f>IF(D2762="?OLD","!!!","")</f>
        <v/>
      </c>
      <c r="F2762" s="23" t="str">
        <f>IF(OR(E2762="",E2762="!!!"),"",IF(NOT(ISNA(VLOOKUP(E2762,E$1:E2761,1,FALSE()))),"OLD",IF(AND(E2762&lt;&gt;"",E2762&lt;&gt;"!!!"),"NEW","")))</f>
        <v> </v>
      </c>
      <c r="G2762" s="24" t="str">
        <f>IF(OR(E2762="",E2762="!!!"),"",IF(OR(J2762=0,AND(J2762=1,K2762=1),AND(J2762=1,I2762="SBJ"),AND(J2762=1,I2762=0)),"?IN_FOCUS",IF(J2762&lt;=2,"?ACTIVATED",IF(J2762&lt;&gt;"","?FAMILIAR",IF(F2762="NEW",IF(ISNA(VLOOKUP(E2762,#REF!,1,FALSE())),"?TYPE_IDENTIFIABLE","?REFERENTIAL"),"_")))))</f>
        <v> </v>
      </c>
      <c r="H2762" s="25" t="str">
        <f>IF(J2762&lt;&gt;1,"",IF(I2762="SBJ","CB","?"))</f>
        <v> </v>
      </c>
      <c r="I2762" s="26" t="str">
        <f>IF(OR(E2762="",E2762="!!!",F2762="NEW"),"",INDEX(B2761:B$2,-1+SUMPRODUCT(MAX(ROW(E2761:E$2)*(E2762=E2761:E$2)))))</f>
        <v> </v>
      </c>
      <c r="J2762" s="26" t="str">
        <f>IF(OR(E2762="",E2762="!!!",F2762="NEW"),"",COUNTBLANK(OFFSET(A$1,,,SUMPRODUCT(MAX(ROW(E$2:E2762)*(E2762=E$2:E2762)))))-COUNTBLANK(OFFSET(A$1,,,SUMPRODUCT(MAX(ROW(E$1:E2761)*(E2=E$1:E2761))))))</f>
        <v> </v>
      </c>
      <c r="K2762" s="26" t="str">
        <f>IF(OR(E2762="",E2762="!!!",F2762="NEW"),"",INDEX(J$1:J2761,SUMPRODUCT(MAX(ROW(E$1:E2761)*(E2762=E$1:E2761)))))</f>
        <v> </v>
      </c>
      <c r="L2762" s="27"/>
    </row>
    <row r="2763" spans="1:12">
      <c r="A2763" s="20" t="s">
        <v>583</v>
      </c>
      <c r="E2763" s="22">
        <f>IF(D2763="?OLD","!!!","")</f>
        <v/>
      </c>
      <c r="F2763" s="23" t="str">
        <f>IF(OR(E2763="",E2763="!!!"),"",IF(NOT(ISNA(VLOOKUP(E2763,E$1:E2762,1,FALSE()))),"OLD",IF(AND(E2763&lt;&gt;"",E2763&lt;&gt;"!!!"),"NEW","")))</f>
        <v> </v>
      </c>
      <c r="G2763" s="24" t="str">
        <f>IF(OR(E2763="",E2763="!!!"),"",IF(OR(J2763=0,AND(J2763=1,K2763=1),AND(J2763=1,I2763="SBJ"),AND(J2763=1,I2763=0)),"?IN_FOCUS",IF(J2763&lt;=2,"?ACTIVATED",IF(J2763&lt;&gt;"","?FAMILIAR",IF(F2763="NEW",IF(ISNA(VLOOKUP(E2763,#REF!,1,FALSE())),"?TYPE_IDENTIFIABLE","?REFERENTIAL"),"_")))))</f>
        <v> </v>
      </c>
      <c r="H2763" s="25" t="str">
        <f>IF(J2763&lt;&gt;1,"",IF(I2763="SBJ","CB","?"))</f>
        <v> </v>
      </c>
      <c r="I2763" s="26" t="str">
        <f>IF(OR(E2763="",E2763="!!!",F2763="NEW"),"",INDEX(B2762:B$2,-1+SUMPRODUCT(MAX(ROW(E2762:E$2)*(E2763=E2762:E$2)))))</f>
        <v> </v>
      </c>
      <c r="J2763" s="26" t="str">
        <f>IF(OR(E2763="",E2763="!!!",F2763="NEW"),"",COUNTBLANK(OFFSET(A$1,,,SUMPRODUCT(MAX(ROW(E$2:E2763)*(E2763=E$2:E2763)))))-COUNTBLANK(OFFSET(A$1,,,SUMPRODUCT(MAX(ROW(E$1:E2762)*(E2=E$1:E2762))))))</f>
        <v> </v>
      </c>
      <c r="K2763" s="26" t="str">
        <f>IF(OR(E2763="",E2763="!!!",F2763="NEW"),"",INDEX(J$1:J2762,SUMPRODUCT(MAX(ROW(E$1:E2762)*(E2763=E$1:E2762)))))</f>
        <v> </v>
      </c>
      <c r="L2763" s="27"/>
    </row>
    <row r="2764" spans="1:12">
      <c r="A2764" s="20" t="s">
        <v>1766</v>
      </c>
      <c r="E2764" s="22">
        <f>IF(D2764="?OLD","!!!","")</f>
        <v/>
      </c>
      <c r="F2764" s="23" t="str">
        <f>IF(OR(E2764="",E2764="!!!"),"",IF(NOT(ISNA(VLOOKUP(E2764,E$1:E2763,1,FALSE()))),"OLD",IF(AND(E2764&lt;&gt;"",E2764&lt;&gt;"!!!"),"NEW","")))</f>
        <v> </v>
      </c>
      <c r="G2764" s="24" t="str">
        <f>IF(OR(E2764="",E2764="!!!"),"",IF(OR(J2764=0,AND(J2764=1,K2764=1),AND(J2764=1,I2764="SBJ"),AND(J2764=1,I2764=0)),"?IN_FOCUS",IF(J2764&lt;=2,"?ACTIVATED",IF(J2764&lt;&gt;"","?FAMILIAR",IF(F2764="NEW",IF(ISNA(VLOOKUP(E2764,#REF!,1,FALSE())),"?TYPE_IDENTIFIABLE","?REFERENTIAL"),"_")))))</f>
        <v> </v>
      </c>
      <c r="H2764" s="25" t="str">
        <f>IF(J2764&lt;&gt;1,"",IF(I2764="SBJ","CB","?"))</f>
        <v> </v>
      </c>
      <c r="I2764" s="26" t="str">
        <f>IF(OR(E2764="",E2764="!!!",F2764="NEW"),"",INDEX(B2763:B$2,-1+SUMPRODUCT(MAX(ROW(E2763:E$2)*(E2764=E2763:E$2)))))</f>
        <v> </v>
      </c>
      <c r="J2764" s="26" t="str">
        <f>IF(OR(E2764="",E2764="!!!",F2764="NEW"),"",COUNTBLANK(OFFSET(A$1,,,SUMPRODUCT(MAX(ROW(E$2:E2764)*(E2764=E$2:E2764)))))-COUNTBLANK(OFFSET(A$1,,,SUMPRODUCT(MAX(ROW(E$1:E2763)*(E2=E$1:E2763))))))</f>
        <v> </v>
      </c>
      <c r="K2764" s="26" t="str">
        <f>IF(OR(E2764="",E2764="!!!",F2764="NEW"),"",INDEX(J$1:J2763,SUMPRODUCT(MAX(ROW(E$1:E2763)*(E2764=E$1:E2763)))))</f>
        <v> </v>
      </c>
      <c r="L2764" s="27"/>
    </row>
    <row r="2765" spans="1:12">
      <c r="A2765" s="20" t="s">
        <v>1789</v>
      </c>
      <c r="B2765" s="21" t="s">
        <v>635</v>
      </c>
      <c r="C2765" s="21" t="s">
        <v>613</v>
      </c>
      <c r="D2765" s="21" t="s">
        <v>587</v>
      </c>
      <c r="E2765" s="22">
        <f>IF(D2765="?OLD","!!!","")</f>
        <v/>
      </c>
      <c r="F2765" s="23" t="str">
        <f>IF(OR(E2765="",E2765="!!!"),"",IF(NOT(ISNA(VLOOKUP(E2765,E$1:E2764,1,FALSE()))),"OLD",IF(AND(E2765&lt;&gt;"",E2765&lt;&gt;"!!!"),"NEW","")))</f>
        <v> </v>
      </c>
      <c r="G2765" s="24" t="str">
        <f>IF(OR(E2765="",E2765="!!!"),"",IF(OR(J2765=0,AND(J2765=1,K2765=1),AND(J2765=1,I2765="SBJ"),AND(J2765=1,I2765=0)),"?IN_FOCUS",IF(J2765&lt;=2,"?ACTIVATED",IF(J2765&lt;&gt;"","?FAMILIAR",IF(F2765="NEW",IF(ISNA(VLOOKUP(E2765,#REF!,1,FALSE())),"?TYPE_IDENTIFIABLE","?REFERENTIAL"),"_")))))</f>
        <v> </v>
      </c>
      <c r="H2765" s="25" t="str">
        <f>IF(J2765&lt;&gt;1,"",IF(I2765="SBJ","CB","?"))</f>
        <v> </v>
      </c>
      <c r="I2765" s="26" t="str">
        <f>IF(OR(E2765="",E2765="!!!",F2765="NEW"),"",INDEX(B2764:B$2,-1+SUMPRODUCT(MAX(ROW(E2764:E$2)*(E2765=E2764:E$2)))))</f>
        <v> </v>
      </c>
      <c r="J2765" s="26" t="str">
        <f>IF(OR(E2765="",E2765="!!!",F2765="NEW"),"",COUNTBLANK(OFFSET(A$1,,,SUMPRODUCT(MAX(ROW(E$2:E2765)*(E2765=E$2:E2765)))))-COUNTBLANK(OFFSET(A$1,,,SUMPRODUCT(MAX(ROW(E$1:E2764)*(E2=E$1:E2764))))))</f>
        <v> </v>
      </c>
      <c r="K2765" s="26" t="str">
        <f>IF(OR(E2765="",E2765="!!!",F2765="NEW"),"",INDEX(J$1:J2764,SUMPRODUCT(MAX(ROW(E$1:E2764)*(E2765=E$1:E2764)))))</f>
        <v> </v>
      </c>
      <c r="L2765" s="27"/>
    </row>
    <row r="2766" spans="1:12">
      <c r="A2766" s="20" t="s">
        <v>630</v>
      </c>
      <c r="E2766" s="22">
        <f>IF(D2766="?OLD","!!!","")</f>
        <v/>
      </c>
      <c r="F2766" s="23" t="str">
        <f>IF(OR(E2766="",E2766="!!!"),"",IF(NOT(ISNA(VLOOKUP(E2766,E$1:E2765,1,FALSE()))),"OLD",IF(AND(E2766&lt;&gt;"",E2766&lt;&gt;"!!!"),"NEW","")))</f>
        <v> </v>
      </c>
      <c r="G2766" s="24" t="str">
        <f>IF(OR(E2766="",E2766="!!!"),"",IF(OR(J2766=0,AND(J2766=1,K2766=1),AND(J2766=1,I2766="SBJ"),AND(J2766=1,I2766=0)),"?IN_FOCUS",IF(J2766&lt;=2,"?ACTIVATED",IF(J2766&lt;&gt;"","?FAMILIAR",IF(F2766="NEW",IF(ISNA(VLOOKUP(E2766,#REF!,1,FALSE())),"?TYPE_IDENTIFIABLE","?REFERENTIAL"),"_")))))</f>
        <v> </v>
      </c>
      <c r="H2766" s="25" t="str">
        <f>IF(J2766&lt;&gt;1,"",IF(I2766="SBJ","CB","?"))</f>
        <v> </v>
      </c>
      <c r="I2766" s="26" t="str">
        <f>IF(OR(E2766="",E2766="!!!",F2766="NEW"),"",INDEX(B2765:B$2,-1+SUMPRODUCT(MAX(ROW(E2765:E$2)*(E2766=E2765:E$2)))))</f>
        <v> </v>
      </c>
      <c r="J2766" s="26" t="str">
        <f>IF(OR(E2766="",E2766="!!!",F2766="NEW"),"",COUNTBLANK(OFFSET(A$1,,,SUMPRODUCT(MAX(ROW(E$2:E2766)*(E2766=E$2:E2766)))))-COUNTBLANK(OFFSET(A$1,,,SUMPRODUCT(MAX(ROW(E$1:E2765)*(E2=E$1:E2765))))))</f>
        <v> </v>
      </c>
      <c r="K2766" s="26" t="str">
        <f>IF(OR(E2766="",E2766="!!!",F2766="NEW"),"",INDEX(J$1:J2765,SUMPRODUCT(MAX(ROW(E$1:E2765)*(E2766=E$1:E2765)))))</f>
        <v> </v>
      </c>
      <c r="L2766" s="27"/>
    </row>
    <row r="2767" spans="1:12">
      <c r="A2767" s="20" t="s">
        <v>1239</v>
      </c>
      <c r="B2767" s="21" t="s">
        <v>601</v>
      </c>
      <c r="C2767" s="21" t="s">
        <v>613</v>
      </c>
      <c r="D2767" s="21" t="s">
        <v>587</v>
      </c>
      <c r="E2767" s="22">
        <f>IF(D2767="?OLD","!!!","")</f>
        <v/>
      </c>
      <c r="F2767" s="23" t="str">
        <f>IF(OR(E2767="",E2767="!!!"),"",IF(NOT(ISNA(VLOOKUP(E2767,E$1:E2766,1,FALSE()))),"OLD",IF(AND(E2767&lt;&gt;"",E2767&lt;&gt;"!!!"),"NEW","")))</f>
        <v> </v>
      </c>
      <c r="G2767" s="24" t="str">
        <f>IF(OR(E2767="",E2767="!!!"),"",IF(OR(J2767=0,AND(J2767=1,K2767=1),AND(J2767=1,I2767="SBJ"),AND(J2767=1,I2767=0)),"?IN_FOCUS",IF(J2767&lt;=2,"?ACTIVATED",IF(J2767&lt;&gt;"","?FAMILIAR",IF(F2767="NEW",IF(ISNA(VLOOKUP(E2767,#REF!,1,FALSE())),"?TYPE_IDENTIFIABLE","?REFERENTIAL"),"_")))))</f>
        <v> </v>
      </c>
      <c r="H2767" s="25" t="str">
        <f>IF(J2767&lt;&gt;1,"",IF(I2767="SBJ","CB","?"))</f>
        <v> </v>
      </c>
      <c r="I2767" s="26" t="str">
        <f>IF(OR(E2767="",E2767="!!!",F2767="NEW"),"",INDEX(B2766:B$2,-1+SUMPRODUCT(MAX(ROW(E2766:E$2)*(E2767=E2766:E$2)))))</f>
        <v> </v>
      </c>
      <c r="J2767" s="26" t="str">
        <f>IF(OR(E2767="",E2767="!!!",F2767="NEW"),"",COUNTBLANK(OFFSET(A$1,,,SUMPRODUCT(MAX(ROW(E$2:E2767)*(E2767=E$2:E2767)))))-COUNTBLANK(OFFSET(A$1,,,SUMPRODUCT(MAX(ROW(E$1:E2766)*(E2=E$1:E2766))))))</f>
        <v> </v>
      </c>
      <c r="K2767" s="26" t="str">
        <f>IF(OR(E2767="",E2767="!!!",F2767="NEW"),"",INDEX(J$1:J2766,SUMPRODUCT(MAX(ROW(E$1:E2766)*(E2767=E$1:E2766)))))</f>
        <v> </v>
      </c>
      <c r="L2767" s="27"/>
    </row>
    <row r="2768" spans="1:12">
      <c r="A2768" s="20" t="s">
        <v>592</v>
      </c>
      <c r="E2768" s="22">
        <f>IF(D2768="?OLD","!!!","")</f>
        <v/>
      </c>
      <c r="F2768" s="23" t="str">
        <f>IF(OR(E2768="",E2768="!!!"),"",IF(NOT(ISNA(VLOOKUP(E2768,E$1:E2767,1,FALSE()))),"OLD",IF(AND(E2768&lt;&gt;"",E2768&lt;&gt;"!!!"),"NEW","")))</f>
        <v> </v>
      </c>
      <c r="G2768" s="24" t="str">
        <f>IF(OR(E2768="",E2768="!!!"),"",IF(OR(J2768=0,AND(J2768=1,K2768=1),AND(J2768=1,I2768="SBJ"),AND(J2768=1,I2768=0)),"?IN_FOCUS",IF(J2768&lt;=2,"?ACTIVATED",IF(J2768&lt;&gt;"","?FAMILIAR",IF(F2768="NEW",IF(ISNA(VLOOKUP(E2768,#REF!,1,FALSE())),"?TYPE_IDENTIFIABLE","?REFERENTIAL"),"_")))))</f>
        <v> </v>
      </c>
      <c r="H2768" s="25" t="str">
        <f>IF(J2768&lt;&gt;1,"",IF(I2768="SBJ","CB","?"))</f>
        <v> </v>
      </c>
      <c r="I2768" s="26" t="str">
        <f>IF(OR(E2768="",E2768="!!!",F2768="NEW"),"",INDEX(B2767:B$2,-1+SUMPRODUCT(MAX(ROW(E2767:E$2)*(E2768=E2767:E$2)))))</f>
        <v> </v>
      </c>
      <c r="J2768" s="26" t="str">
        <f>IF(OR(E2768="",E2768="!!!",F2768="NEW"),"",COUNTBLANK(OFFSET(A$1,,,SUMPRODUCT(MAX(ROW(E$2:E2768)*(E2768=E$2:E2768)))))-COUNTBLANK(OFFSET(A$1,,,SUMPRODUCT(MAX(ROW(E$1:E2767)*(E2=E$1:E2767))))))</f>
        <v> </v>
      </c>
      <c r="K2768" s="26" t="str">
        <f>IF(OR(E2768="",E2768="!!!",F2768="NEW"),"",INDEX(J$1:J2767,SUMPRODUCT(MAX(ROW(E$1:E2767)*(E2768=E$1:E2767)))))</f>
        <v> </v>
      </c>
      <c r="L2768" s="27"/>
    </row>
    <row r="2769" spans="1:12">
      <c r="A2769" s="20"/>
    </row>
    <row r="2770" spans="1:12">
      <c r="A2770" s="20" t="s">
        <v>1790</v>
      </c>
    </row>
    <row r="2771" spans="1:12">
      <c r="A2771" s="20" t="s">
        <v>751</v>
      </c>
      <c r="E2771" s="22">
        <f>IF(D2771="?OLD","!!!","")</f>
        <v/>
      </c>
      <c r="F2771" s="23" t="str">
        <f>IF(OR(E2771="",E2771="!!!"),"",IF(NOT(ISNA(VLOOKUP(E2771,E$1:E2770,1,FALSE()))),"OLD",IF(AND(E2771&lt;&gt;"",E2771&lt;&gt;"!!!"),"NEW","")))</f>
        <v> </v>
      </c>
      <c r="G2771" s="24" t="str">
        <f>IF(OR(E2771="",E2771="!!!"),"",IF(OR(J2771=0,AND(J2771=1,K2771=1),AND(J2771=1,I2771="SBJ"),AND(J2771=1,I2771=0)),"?IN_FOCUS",IF(J2771&lt;=2,"?ACTIVATED",IF(J2771&lt;&gt;"","?FAMILIAR",IF(F2771="NEW",IF(ISNA(VLOOKUP(E2771,#REF!,1,FALSE())),"?TYPE_IDENTIFIABLE","?REFERENTIAL"),"_")))))</f>
        <v> </v>
      </c>
      <c r="H2771" s="25" t="str">
        <f>IF(J2771&lt;&gt;1,"",IF(I2771="SBJ","CB","?"))</f>
        <v> </v>
      </c>
      <c r="I2771" s="26" t="str">
        <f>IF(OR(E2771="",E2771="!!!",F2771="NEW"),"",INDEX(B2770:B$2,-1+SUMPRODUCT(MAX(ROW(E2770:E$2)*(E2771=E2770:E$2)))))</f>
        <v> </v>
      </c>
      <c r="J2771" s="26" t="str">
        <f>IF(OR(E2771="",E2771="!!!",F2771="NEW"),"",COUNTBLANK(OFFSET(A$1,,,SUMPRODUCT(MAX(ROW(E$2:E2771)*(E2771=E$2:E2771)))))-COUNTBLANK(OFFSET(A$1,,,SUMPRODUCT(MAX(ROW(E$1:E2770)*(E2=E$1:E2770))))))</f>
        <v> </v>
      </c>
      <c r="K2771" s="26" t="str">
        <f>IF(OR(E2771="",E2771="!!!",F2771="NEW"),"",INDEX(J$1:J2770,SUMPRODUCT(MAX(ROW(E$1:E2770)*(E2771=E$1:E2770)))))</f>
        <v> </v>
      </c>
      <c r="L2771" s="27"/>
    </row>
    <row r="2772" spans="1:12">
      <c r="A2772" s="20" t="s">
        <v>975</v>
      </c>
      <c r="E2772" s="22">
        <f>IF(D2772="?OLD","!!!","")</f>
        <v/>
      </c>
      <c r="F2772" s="23" t="str">
        <f>IF(OR(E2772="",E2772="!!!"),"",IF(NOT(ISNA(VLOOKUP(E2772,E$1:E2771,1,FALSE()))),"OLD",IF(AND(E2772&lt;&gt;"",E2772&lt;&gt;"!!!"),"NEW","")))</f>
        <v> </v>
      </c>
      <c r="G2772" s="24" t="str">
        <f>IF(OR(E2772="",E2772="!!!"),"",IF(OR(J2772=0,AND(J2772=1,K2772=1),AND(J2772=1,I2772="SBJ"),AND(J2772=1,I2772=0)),"?IN_FOCUS",IF(J2772&lt;=2,"?ACTIVATED",IF(J2772&lt;&gt;"","?FAMILIAR",IF(F2772="NEW",IF(ISNA(VLOOKUP(E2772,#REF!,1,FALSE())),"?TYPE_IDENTIFIABLE","?REFERENTIAL"),"_")))))</f>
        <v> </v>
      </c>
      <c r="H2772" s="25" t="str">
        <f>IF(J2772&lt;&gt;1,"",IF(I2772="SBJ","CB","?"))</f>
        <v> </v>
      </c>
      <c r="I2772" s="26" t="str">
        <f>IF(OR(E2772="",E2772="!!!",F2772="NEW"),"",INDEX(B2771:B$2,-1+SUMPRODUCT(MAX(ROW(E2771:E$2)*(E2772=E2771:E$2)))))</f>
        <v> </v>
      </c>
      <c r="J2772" s="26" t="str">
        <f>IF(OR(E2772="",E2772="!!!",F2772="NEW"),"",COUNTBLANK(OFFSET(A$1,,,SUMPRODUCT(MAX(ROW(E$2:E2772)*(E2772=E$2:E2772)))))-COUNTBLANK(OFFSET(A$1,,,SUMPRODUCT(MAX(ROW(E$1:E2771)*(E2=E$1:E2771))))))</f>
        <v> </v>
      </c>
      <c r="K2772" s="26" t="str">
        <f>IF(OR(E2772="",E2772="!!!",F2772="NEW"),"",INDEX(J$1:J2771,SUMPRODUCT(MAX(ROW(E$1:E2771)*(E2772=E$1:E2771)))))</f>
        <v> </v>
      </c>
      <c r="L2772" s="27"/>
    </row>
    <row r="2773" spans="1:12">
      <c r="A2773" s="20" t="s">
        <v>1791</v>
      </c>
      <c r="E2773" s="22">
        <f>IF(D2773="?OLD","!!!","")</f>
        <v/>
      </c>
      <c r="F2773" s="23" t="str">
        <f>IF(OR(E2773="",E2773="!!!"),"",IF(NOT(ISNA(VLOOKUP(E2773,E$1:E2772,1,FALSE()))),"OLD",IF(AND(E2773&lt;&gt;"",E2773&lt;&gt;"!!!"),"NEW","")))</f>
        <v> </v>
      </c>
      <c r="G2773" s="24" t="str">
        <f>IF(OR(E2773="",E2773="!!!"),"",IF(OR(J2773=0,AND(J2773=1,K2773=1),AND(J2773=1,I2773="SBJ"),AND(J2773=1,I2773=0)),"?IN_FOCUS",IF(J2773&lt;=2,"?ACTIVATED",IF(J2773&lt;&gt;"","?FAMILIAR",IF(F2773="NEW",IF(ISNA(VLOOKUP(E2773,#REF!,1,FALSE())),"?TYPE_IDENTIFIABLE","?REFERENTIAL"),"_")))))</f>
        <v> </v>
      </c>
      <c r="H2773" s="25" t="str">
        <f>IF(J2773&lt;&gt;1,"",IF(I2773="SBJ","CB","?"))</f>
        <v> </v>
      </c>
      <c r="I2773" s="26" t="str">
        <f>IF(OR(E2773="",E2773="!!!",F2773="NEW"),"",INDEX(B2772:B$2,-1+SUMPRODUCT(MAX(ROW(E2772:E$2)*(E2773=E2772:E$2)))))</f>
        <v> </v>
      </c>
      <c r="J2773" s="26" t="str">
        <f>IF(OR(E2773="",E2773="!!!",F2773="NEW"),"",COUNTBLANK(OFFSET(A$1,,,SUMPRODUCT(MAX(ROW(E$2:E2773)*(E2773=E$2:E2773)))))-COUNTBLANK(OFFSET(A$1,,,SUMPRODUCT(MAX(ROW(E$1:E2772)*(E2=E$1:E2772))))))</f>
        <v> </v>
      </c>
      <c r="K2773" s="26" t="str">
        <f>IF(OR(E2773="",E2773="!!!",F2773="NEW"),"",INDEX(J$1:J2772,SUMPRODUCT(MAX(ROW(E$1:E2772)*(E2773=E$1:E2772)))))</f>
        <v> </v>
      </c>
      <c r="L2773" s="27"/>
    </row>
    <row r="2774" spans="1:12">
      <c r="A2774" s="20" t="s">
        <v>1792</v>
      </c>
      <c r="B2774" s="21" t="s">
        <v>605</v>
      </c>
      <c r="E2774" s="22">
        <f>IF(D2774="?OLD","!!!","")</f>
        <v/>
      </c>
      <c r="F2774" s="23" t="str">
        <f>IF(OR(E2774="",E2774="!!!"),"",IF(NOT(ISNA(VLOOKUP(E2774,E$1:E2773,1,FALSE()))),"OLD",IF(AND(E2774&lt;&gt;"",E2774&lt;&gt;"!!!"),"NEW","")))</f>
        <v> </v>
      </c>
      <c r="G2774" s="24" t="str">
        <f>IF(OR(E2774="",E2774="!!!"),"",IF(OR(J2774=0,AND(J2774=1,K2774=1),AND(J2774=1,I2774="SBJ"),AND(J2774=1,I2774=0)),"?IN_FOCUS",IF(J2774&lt;=2,"?ACTIVATED",IF(J2774&lt;&gt;"","?FAMILIAR",IF(F2774="NEW",IF(ISNA(VLOOKUP(E2774,#REF!,1,FALSE())),"?TYPE_IDENTIFIABLE","?REFERENTIAL"),"_")))))</f>
        <v> </v>
      </c>
      <c r="H2774" s="25" t="str">
        <f>IF(J2774&lt;&gt;1,"",IF(I2774="SBJ","CB","?"))</f>
        <v> </v>
      </c>
      <c r="I2774" s="26" t="str">
        <f>IF(OR(E2774="",E2774="!!!",F2774="NEW"),"",INDEX(B2773:B$2,-1+SUMPRODUCT(MAX(ROW(E2773:E$2)*(E2774=E2773:E$2)))))</f>
        <v> </v>
      </c>
      <c r="J2774" s="26" t="str">
        <f>IF(OR(E2774="",E2774="!!!",F2774="NEW"),"",COUNTBLANK(OFFSET(A$1,,,SUMPRODUCT(MAX(ROW(E$2:E2774)*(E2774=E$2:E2774)))))-COUNTBLANK(OFFSET(A$1,,,SUMPRODUCT(MAX(ROW(E$1:E2773)*(E2=E$1:E2773))))))</f>
        <v> </v>
      </c>
      <c r="K2774" s="26" t="str">
        <f>IF(OR(E2774="",E2774="!!!",F2774="NEW"),"",INDEX(J$1:J2773,SUMPRODUCT(MAX(ROW(E$1:E2773)*(E2774=E$1:E2773)))))</f>
        <v> </v>
      </c>
      <c r="L2774" s="27"/>
    </row>
    <row r="2775" spans="1:12">
      <c r="A2775" s="20" t="s">
        <v>888</v>
      </c>
      <c r="E2775" s="22">
        <f>IF(D2775="?OLD","!!!","")</f>
        <v/>
      </c>
      <c r="F2775" s="23" t="str">
        <f>IF(OR(E2775="",E2775="!!!"),"",IF(NOT(ISNA(VLOOKUP(E2775,E$1:E2774,1,FALSE()))),"OLD",IF(AND(E2775&lt;&gt;"",E2775&lt;&gt;"!!!"),"NEW","")))</f>
        <v> </v>
      </c>
      <c r="G2775" s="24" t="str">
        <f>IF(OR(E2775="",E2775="!!!"),"",IF(OR(J2775=0,AND(J2775=1,K2775=1),AND(J2775=1,I2775="SBJ"),AND(J2775=1,I2775=0)),"?IN_FOCUS",IF(J2775&lt;=2,"?ACTIVATED",IF(J2775&lt;&gt;"","?FAMILIAR",IF(F2775="NEW",IF(ISNA(VLOOKUP(E2775,#REF!,1,FALSE())),"?TYPE_IDENTIFIABLE","?REFERENTIAL"),"_")))))</f>
        <v> </v>
      </c>
      <c r="H2775" s="25" t="str">
        <f>IF(J2775&lt;&gt;1,"",IF(I2775="SBJ","CB","?"))</f>
        <v> </v>
      </c>
      <c r="I2775" s="26" t="str">
        <f>IF(OR(E2775="",E2775="!!!",F2775="NEW"),"",INDEX(B2774:B$2,-1+SUMPRODUCT(MAX(ROW(E2774:E$2)*(E2775=E2774:E$2)))))</f>
        <v> </v>
      </c>
      <c r="J2775" s="26" t="str">
        <f>IF(OR(E2775="",E2775="!!!",F2775="NEW"),"",COUNTBLANK(OFFSET(A$1,,,SUMPRODUCT(MAX(ROW(E$2:E2775)*(E2775=E$2:E2775)))))-COUNTBLANK(OFFSET(A$1,,,SUMPRODUCT(MAX(ROW(E$1:E2774)*(E2=E$1:E2774))))))</f>
        <v> </v>
      </c>
      <c r="K2775" s="26" t="str">
        <f>IF(OR(E2775="",E2775="!!!",F2775="NEW"),"",INDEX(J$1:J2774,SUMPRODUCT(MAX(ROW(E$1:E2774)*(E2775=E$1:E2774)))))</f>
        <v> </v>
      </c>
      <c r="L2775" s="27"/>
    </row>
    <row r="2776" spans="1:12">
      <c r="A2776" s="20" t="s">
        <v>638</v>
      </c>
      <c r="E2776" s="22">
        <f>IF(D2776="?OLD","!!!","")</f>
        <v/>
      </c>
      <c r="F2776" s="23" t="str">
        <f>IF(OR(E2776="",E2776="!!!"),"",IF(NOT(ISNA(VLOOKUP(E2776,E$1:E2775,1,FALSE()))),"OLD",IF(AND(E2776&lt;&gt;"",E2776&lt;&gt;"!!!"),"NEW","")))</f>
        <v> </v>
      </c>
      <c r="G2776" s="24" t="str">
        <f>IF(OR(E2776="",E2776="!!!"),"",IF(OR(J2776=0,AND(J2776=1,K2776=1),AND(J2776=1,I2776="SBJ"),AND(J2776=1,I2776=0)),"?IN_FOCUS",IF(J2776&lt;=2,"?ACTIVATED",IF(J2776&lt;&gt;"","?FAMILIAR",IF(F2776="NEW",IF(ISNA(VLOOKUP(E2776,#REF!,1,FALSE())),"?TYPE_IDENTIFIABLE","?REFERENTIAL"),"_")))))</f>
        <v> </v>
      </c>
      <c r="H2776" s="25" t="str">
        <f>IF(J2776&lt;&gt;1,"",IF(I2776="SBJ","CB","?"))</f>
        <v> </v>
      </c>
      <c r="I2776" s="26" t="str">
        <f>IF(OR(E2776="",E2776="!!!",F2776="NEW"),"",INDEX(B2775:B$2,-1+SUMPRODUCT(MAX(ROW(E2775:E$2)*(E2776=E2775:E$2)))))</f>
        <v> </v>
      </c>
      <c r="J2776" s="26" t="str">
        <f>IF(OR(E2776="",E2776="!!!",F2776="NEW"),"",COUNTBLANK(OFFSET(A$1,,,SUMPRODUCT(MAX(ROW(E$2:E2776)*(E2776=E$2:E2776)))))-COUNTBLANK(OFFSET(A$1,,,SUMPRODUCT(MAX(ROW(E$1:E2775)*(E2=E$1:E2775))))))</f>
        <v> </v>
      </c>
      <c r="K2776" s="26" t="str">
        <f>IF(OR(E2776="",E2776="!!!",F2776="NEW"),"",INDEX(J$1:J2775,SUMPRODUCT(MAX(ROW(E$1:E2775)*(E2776=E$1:E2775)))))</f>
        <v> </v>
      </c>
      <c r="L2776" s="27"/>
    </row>
    <row r="2777" spans="1:12">
      <c r="A2777" s="20" t="s">
        <v>583</v>
      </c>
      <c r="E2777" s="22">
        <f>IF(D2777="?OLD","!!!","")</f>
        <v/>
      </c>
      <c r="F2777" s="23" t="str">
        <f>IF(OR(E2777="",E2777="!!!"),"",IF(NOT(ISNA(VLOOKUP(E2777,E$1:E2776,1,FALSE()))),"OLD",IF(AND(E2777&lt;&gt;"",E2777&lt;&gt;"!!!"),"NEW","")))</f>
        <v> </v>
      </c>
      <c r="G2777" s="24" t="str">
        <f>IF(OR(E2777="",E2777="!!!"),"",IF(OR(J2777=0,AND(J2777=1,K2777=1),AND(J2777=1,I2777="SBJ"),AND(J2777=1,I2777=0)),"?IN_FOCUS",IF(J2777&lt;=2,"?ACTIVATED",IF(J2777&lt;&gt;"","?FAMILIAR",IF(F2777="NEW",IF(ISNA(VLOOKUP(E2777,#REF!,1,FALSE())),"?TYPE_IDENTIFIABLE","?REFERENTIAL"),"_")))))</f>
        <v> </v>
      </c>
      <c r="H2777" s="25" t="str">
        <f>IF(J2777&lt;&gt;1,"",IF(I2777="SBJ","CB","?"))</f>
        <v> </v>
      </c>
      <c r="I2777" s="26" t="str">
        <f>IF(OR(E2777="",E2777="!!!",F2777="NEW"),"",INDEX(B2776:B$2,-1+SUMPRODUCT(MAX(ROW(E2776:E$2)*(E2777=E2776:E$2)))))</f>
        <v> </v>
      </c>
      <c r="J2777" s="26" t="str">
        <f>IF(OR(E2777="",E2777="!!!",F2777="NEW"),"",COUNTBLANK(OFFSET(A$1,,,SUMPRODUCT(MAX(ROW(E$2:E2777)*(E2777=E$2:E2777)))))-COUNTBLANK(OFFSET(A$1,,,SUMPRODUCT(MAX(ROW(E$1:E2776)*(E2=E$1:E2776))))))</f>
        <v> </v>
      </c>
      <c r="K2777" s="26" t="str">
        <f>IF(OR(E2777="",E2777="!!!",F2777="NEW"),"",INDEX(J$1:J2776,SUMPRODUCT(MAX(ROW(E$1:E2776)*(E2777=E$1:E2776)))))</f>
        <v> </v>
      </c>
      <c r="L2777" s="27"/>
    </row>
    <row r="2778" spans="1:12">
      <c r="A2778" s="20" t="s">
        <v>716</v>
      </c>
      <c r="B2778" s="21" t="s">
        <v>590</v>
      </c>
      <c r="C2778" s="21" t="s">
        <v>613</v>
      </c>
      <c r="D2778" s="21" t="s">
        <v>587</v>
      </c>
      <c r="E2778" s="22">
        <f>IF(D2778="?OLD","!!!","")</f>
        <v/>
      </c>
      <c r="F2778" s="23" t="str">
        <f>IF(OR(E2778="",E2778="!!!"),"",IF(NOT(ISNA(VLOOKUP(E2778,E$1:E2777,1,FALSE()))),"OLD",IF(AND(E2778&lt;&gt;"",E2778&lt;&gt;"!!!"),"NEW","")))</f>
        <v> </v>
      </c>
      <c r="G2778" s="24" t="str">
        <f>IF(OR(E2778="",E2778="!!!"),"",IF(OR(J2778=0,AND(J2778=1,K2778=1),AND(J2778=1,I2778="SBJ"),AND(J2778=1,I2778=0)),"?IN_FOCUS",IF(J2778&lt;=2,"?ACTIVATED",IF(J2778&lt;&gt;"","?FAMILIAR",IF(F2778="NEW",IF(ISNA(VLOOKUP(E2778,#REF!,1,FALSE())),"?TYPE_IDENTIFIABLE","?REFERENTIAL"),"_")))))</f>
        <v> </v>
      </c>
      <c r="H2778" s="25" t="str">
        <f>IF(J2778&lt;&gt;1,"",IF(I2778="SBJ","CB","?"))</f>
        <v> </v>
      </c>
      <c r="I2778" s="26" t="str">
        <f>IF(OR(E2778="",E2778="!!!",F2778="NEW"),"",INDEX(B2777:B$2,-1+SUMPRODUCT(MAX(ROW(E2777:E$2)*(E2778=E2777:E$2)))))</f>
        <v> </v>
      </c>
      <c r="J2778" s="26" t="str">
        <f>IF(OR(E2778="",E2778="!!!",F2778="NEW"),"",COUNTBLANK(OFFSET(A$1,,,SUMPRODUCT(MAX(ROW(E$2:E2778)*(E2778=E$2:E2778)))))-COUNTBLANK(OFFSET(A$1,,,SUMPRODUCT(MAX(ROW(E$1:E2777)*(E2=E$1:E2777))))))</f>
        <v> </v>
      </c>
      <c r="K2778" s="26" t="str">
        <f>IF(OR(E2778="",E2778="!!!",F2778="NEW"),"",INDEX(J$1:J2777,SUMPRODUCT(MAX(ROW(E$1:E2777)*(E2778=E$1:E2777)))))</f>
        <v> </v>
      </c>
      <c r="L2778" s="27"/>
    </row>
    <row r="2779" spans="1:12">
      <c r="A2779" s="20" t="s">
        <v>1793</v>
      </c>
      <c r="E2779" s="22">
        <f>IF(D2779="?OLD","!!!","")</f>
        <v/>
      </c>
      <c r="F2779" s="23" t="str">
        <f>IF(OR(E2779="",E2779="!!!"),"",IF(NOT(ISNA(VLOOKUP(E2779,E$1:E2778,1,FALSE()))),"OLD",IF(AND(E2779&lt;&gt;"",E2779&lt;&gt;"!!!"),"NEW","")))</f>
        <v> </v>
      </c>
      <c r="G2779" s="24" t="str">
        <f>IF(OR(E2779="",E2779="!!!"),"",IF(OR(J2779=0,AND(J2779=1,K2779=1),AND(J2779=1,I2779="SBJ"),AND(J2779=1,I2779=0)),"?IN_FOCUS",IF(J2779&lt;=2,"?ACTIVATED",IF(J2779&lt;&gt;"","?FAMILIAR",IF(F2779="NEW",IF(ISNA(VLOOKUP(E2779,#REF!,1,FALSE())),"?TYPE_IDENTIFIABLE","?REFERENTIAL"),"_")))))</f>
        <v> </v>
      </c>
      <c r="H2779" s="25" t="str">
        <f>IF(J2779&lt;&gt;1,"",IF(I2779="SBJ","CB","?"))</f>
        <v> </v>
      </c>
      <c r="I2779" s="26" t="str">
        <f>IF(OR(E2779="",E2779="!!!",F2779="NEW"),"",INDEX(B2778:B$2,-1+SUMPRODUCT(MAX(ROW(E2778:E$2)*(E2779=E2778:E$2)))))</f>
        <v> </v>
      </c>
      <c r="J2779" s="26" t="str">
        <f>IF(OR(E2779="",E2779="!!!",F2779="NEW"),"",COUNTBLANK(OFFSET(A$1,,,SUMPRODUCT(MAX(ROW(E$2:E2779)*(E2779=E$2:E2779)))))-COUNTBLANK(OFFSET(A$1,,,SUMPRODUCT(MAX(ROW(E$1:E2778)*(E2=E$1:E2778))))))</f>
        <v> </v>
      </c>
      <c r="K2779" s="26" t="str">
        <f>IF(OR(E2779="",E2779="!!!",F2779="NEW"),"",INDEX(J$1:J2778,SUMPRODUCT(MAX(ROW(E$1:E2778)*(E2779=E$1:E2778)))))</f>
        <v> </v>
      </c>
      <c r="L2779" s="27"/>
    </row>
    <row r="2780" spans="1:12">
      <c r="A2780" s="20" t="s">
        <v>583</v>
      </c>
      <c r="E2780" s="22">
        <f>IF(D2780="?OLD","!!!","")</f>
        <v/>
      </c>
      <c r="F2780" s="23" t="str">
        <f>IF(OR(E2780="",E2780="!!!"),"",IF(NOT(ISNA(VLOOKUP(E2780,E$1:E2779,1,FALSE()))),"OLD",IF(AND(E2780&lt;&gt;"",E2780&lt;&gt;"!!!"),"NEW","")))</f>
        <v> </v>
      </c>
      <c r="G2780" s="24" t="str">
        <f>IF(OR(E2780="",E2780="!!!"),"",IF(OR(J2780=0,AND(J2780=1,K2780=1),AND(J2780=1,I2780="SBJ"),AND(J2780=1,I2780=0)),"?IN_FOCUS",IF(J2780&lt;=2,"?ACTIVATED",IF(J2780&lt;&gt;"","?FAMILIAR",IF(F2780="NEW",IF(ISNA(VLOOKUP(E2780,#REF!,1,FALSE())),"?TYPE_IDENTIFIABLE","?REFERENTIAL"),"_")))))</f>
        <v> </v>
      </c>
      <c r="H2780" s="25" t="str">
        <f>IF(J2780&lt;&gt;1,"",IF(I2780="SBJ","CB","?"))</f>
        <v> </v>
      </c>
      <c r="I2780" s="26" t="str">
        <f>IF(OR(E2780="",E2780="!!!",F2780="NEW"),"",INDEX(B2779:B$2,-1+SUMPRODUCT(MAX(ROW(E2779:E$2)*(E2780=E2779:E$2)))))</f>
        <v> </v>
      </c>
      <c r="J2780" s="26" t="str">
        <f>IF(OR(E2780="",E2780="!!!",F2780="NEW"),"",COUNTBLANK(OFFSET(A$1,,,SUMPRODUCT(MAX(ROW(E$2:E2780)*(E2780=E$2:E2780)))))-COUNTBLANK(OFFSET(A$1,,,SUMPRODUCT(MAX(ROW(E$1:E2779)*(E2=E$1:E2779))))))</f>
        <v> </v>
      </c>
      <c r="K2780" s="26" t="str">
        <f>IF(OR(E2780="",E2780="!!!",F2780="NEW"),"",INDEX(J$1:J2779,SUMPRODUCT(MAX(ROW(E$1:E2779)*(E2780=E$1:E2779)))))</f>
        <v> </v>
      </c>
      <c r="L2780" s="27"/>
    </row>
    <row r="2781" spans="1:12">
      <c r="A2781" s="20" t="s">
        <v>656</v>
      </c>
      <c r="B2781" s="21" t="s">
        <v>578</v>
      </c>
      <c r="C2781" s="21" t="s">
        <v>586</v>
      </c>
      <c r="D2781" s="21" t="s">
        <v>587</v>
      </c>
      <c r="E2781" s="22">
        <f>IF(D2781="?OLD","!!!","")</f>
        <v/>
      </c>
      <c r="F2781" s="23" t="str">
        <f>IF(OR(E2781="",E2781="!!!"),"",IF(NOT(ISNA(VLOOKUP(E2781,E$1:E2780,1,FALSE()))),"OLD",IF(AND(E2781&lt;&gt;"",E2781&lt;&gt;"!!!"),"NEW","")))</f>
        <v> </v>
      </c>
      <c r="G2781" s="24" t="str">
        <f>IF(OR(E2781="",E2781="!!!"),"",IF(OR(J2781=0,AND(J2781=1,K2781=1),AND(J2781=1,I2781="SBJ"),AND(J2781=1,I2781=0)),"?IN_FOCUS",IF(J2781&lt;=2,"?ACTIVATED",IF(J2781&lt;&gt;"","?FAMILIAR",IF(F2781="NEW",IF(ISNA(VLOOKUP(E2781,#REF!,1,FALSE())),"?TYPE_IDENTIFIABLE","?REFERENTIAL"),"_")))))</f>
        <v> </v>
      </c>
      <c r="H2781" s="25" t="str">
        <f>IF(J2781&lt;&gt;1,"",IF(I2781="SBJ","CB","?"))</f>
        <v> </v>
      </c>
      <c r="I2781" s="26" t="str">
        <f>IF(OR(E2781="",E2781="!!!",F2781="NEW"),"",INDEX(B2780:B$2,-1+SUMPRODUCT(MAX(ROW(E2780:E$2)*(E2781=E2780:E$2)))))</f>
        <v> </v>
      </c>
      <c r="J2781" s="26" t="str">
        <f>IF(OR(E2781="",E2781="!!!",F2781="NEW"),"",COUNTBLANK(OFFSET(A$1,,,SUMPRODUCT(MAX(ROW(E$2:E2781)*(E2781=E$2:E2781)))))-COUNTBLANK(OFFSET(A$1,,,SUMPRODUCT(MAX(ROW(E$1:E2780)*(E2=E$1:E2780))))))</f>
        <v> </v>
      </c>
      <c r="K2781" s="26" t="str">
        <f>IF(OR(E2781="",E2781="!!!",F2781="NEW"),"",INDEX(J$1:J2780,SUMPRODUCT(MAX(ROW(E$1:E2780)*(E2781=E$1:E2780)))))</f>
        <v> </v>
      </c>
      <c r="L2781" s="27"/>
    </row>
    <row r="2782" spans="1:12">
      <c r="A2782" s="20" t="s">
        <v>670</v>
      </c>
      <c r="E2782" s="22">
        <f>IF(D2782="?OLD","!!!","")</f>
        <v/>
      </c>
      <c r="F2782" s="23" t="str">
        <f>IF(OR(E2782="",E2782="!!!"),"",IF(NOT(ISNA(VLOOKUP(E2782,E$1:E2781,1,FALSE()))),"OLD",IF(AND(E2782&lt;&gt;"",E2782&lt;&gt;"!!!"),"NEW","")))</f>
        <v> </v>
      </c>
      <c r="G2782" s="24" t="str">
        <f>IF(OR(E2782="",E2782="!!!"),"",IF(OR(J2782=0,AND(J2782=1,K2782=1),AND(J2782=1,I2782="SBJ"),AND(J2782=1,I2782=0)),"?IN_FOCUS",IF(J2782&lt;=2,"?ACTIVATED",IF(J2782&lt;&gt;"","?FAMILIAR",IF(F2782="NEW",IF(ISNA(VLOOKUP(E2782,#REF!,1,FALSE())),"?TYPE_IDENTIFIABLE","?REFERENTIAL"),"_")))))</f>
        <v> </v>
      </c>
      <c r="H2782" s="25" t="str">
        <f>IF(J2782&lt;&gt;1,"",IF(I2782="SBJ","CB","?"))</f>
        <v> </v>
      </c>
      <c r="I2782" s="26" t="str">
        <f>IF(OR(E2782="",E2782="!!!",F2782="NEW"),"",INDEX(B2781:B$2,-1+SUMPRODUCT(MAX(ROW(E2781:E$2)*(E2782=E2781:E$2)))))</f>
        <v> </v>
      </c>
      <c r="J2782" s="26" t="str">
        <f>IF(OR(E2782="",E2782="!!!",F2782="NEW"),"",COUNTBLANK(OFFSET(A$1,,,SUMPRODUCT(MAX(ROW(E$2:E2782)*(E2782=E$2:E2782)))))-COUNTBLANK(OFFSET(A$1,,,SUMPRODUCT(MAX(ROW(E$1:E2781)*(E2=E$1:E2781))))))</f>
        <v> </v>
      </c>
      <c r="K2782" s="26" t="str">
        <f>IF(OR(E2782="",E2782="!!!",F2782="NEW"),"",INDEX(J$1:J2781,SUMPRODUCT(MAX(ROW(E$1:E2781)*(E2782=E$1:E2781)))))</f>
        <v> </v>
      </c>
      <c r="L2782" s="27"/>
    </row>
    <row r="2783" spans="1:12">
      <c r="A2783" s="20" t="s">
        <v>975</v>
      </c>
      <c r="E2783" s="22">
        <f>IF(D2783="?OLD","!!!","")</f>
        <v/>
      </c>
      <c r="F2783" s="23" t="str">
        <f>IF(OR(E2783="",E2783="!!!"),"",IF(NOT(ISNA(VLOOKUP(E2783,E$1:E2782,1,FALSE()))),"OLD",IF(AND(E2783&lt;&gt;"",E2783&lt;&gt;"!!!"),"NEW","")))</f>
        <v> </v>
      </c>
      <c r="G2783" s="24" t="str">
        <f>IF(OR(E2783="",E2783="!!!"),"",IF(OR(J2783=0,AND(J2783=1,K2783=1),AND(J2783=1,I2783="SBJ"),AND(J2783=1,I2783=0)),"?IN_FOCUS",IF(J2783&lt;=2,"?ACTIVATED",IF(J2783&lt;&gt;"","?FAMILIAR",IF(F2783="NEW",IF(ISNA(VLOOKUP(E2783,#REF!,1,FALSE())),"?TYPE_IDENTIFIABLE","?REFERENTIAL"),"_")))))</f>
        <v> </v>
      </c>
      <c r="H2783" s="25" t="str">
        <f>IF(J2783&lt;&gt;1,"",IF(I2783="SBJ","CB","?"))</f>
        <v> </v>
      </c>
      <c r="I2783" s="26" t="str">
        <f>IF(OR(E2783="",E2783="!!!",F2783="NEW"),"",INDEX(B2782:B$2,-1+SUMPRODUCT(MAX(ROW(E2782:E$2)*(E2783=E2782:E$2)))))</f>
        <v> </v>
      </c>
      <c r="J2783" s="26" t="str">
        <f>IF(OR(E2783="",E2783="!!!",F2783="NEW"),"",COUNTBLANK(OFFSET(A$1,,,SUMPRODUCT(MAX(ROW(E$2:E2783)*(E2783=E$2:E2783)))))-COUNTBLANK(OFFSET(A$1,,,SUMPRODUCT(MAX(ROW(E$1:E2782)*(E2=E$1:E2782))))))</f>
        <v> </v>
      </c>
      <c r="K2783" s="26" t="str">
        <f>IF(OR(E2783="",E2783="!!!",F2783="NEW"),"",INDEX(J$1:J2782,SUMPRODUCT(MAX(ROW(E$1:E2782)*(E2783=E$1:E2782)))))</f>
        <v> </v>
      </c>
      <c r="L2783" s="27"/>
    </row>
    <row r="2784" spans="1:12">
      <c r="A2784" s="20" t="s">
        <v>1794</v>
      </c>
      <c r="E2784" s="22">
        <f>IF(D2784="?OLD","!!!","")</f>
        <v/>
      </c>
      <c r="F2784" s="23" t="str">
        <f>IF(OR(E2784="",E2784="!!!"),"",IF(NOT(ISNA(VLOOKUP(E2784,E$1:E2783,1,FALSE()))),"OLD",IF(AND(E2784&lt;&gt;"",E2784&lt;&gt;"!!!"),"NEW","")))</f>
        <v> </v>
      </c>
      <c r="G2784" s="24" t="str">
        <f>IF(OR(E2784="",E2784="!!!"),"",IF(OR(J2784=0,AND(J2784=1,K2784=1),AND(J2784=1,I2784="SBJ"),AND(J2784=1,I2784=0)),"?IN_FOCUS",IF(J2784&lt;=2,"?ACTIVATED",IF(J2784&lt;&gt;"","?FAMILIAR",IF(F2784="NEW",IF(ISNA(VLOOKUP(E2784,#REF!,1,FALSE())),"?TYPE_IDENTIFIABLE","?REFERENTIAL"),"_")))))</f>
        <v> </v>
      </c>
      <c r="H2784" s="25" t="str">
        <f>IF(J2784&lt;&gt;1,"",IF(I2784="SBJ","CB","?"))</f>
        <v> </v>
      </c>
      <c r="I2784" s="26" t="str">
        <f>IF(OR(E2784="",E2784="!!!",F2784="NEW"),"",INDEX(B2783:B$2,-1+SUMPRODUCT(MAX(ROW(E2783:E$2)*(E2784=E2783:E$2)))))</f>
        <v> </v>
      </c>
      <c r="J2784" s="26" t="str">
        <f>IF(OR(E2784="",E2784="!!!",F2784="NEW"),"",COUNTBLANK(OFFSET(A$1,,,SUMPRODUCT(MAX(ROW(E$2:E2784)*(E2784=E$2:E2784)))))-COUNTBLANK(OFFSET(A$1,,,SUMPRODUCT(MAX(ROW(E$1:E2783)*(E2=E$1:E2783))))))</f>
        <v> </v>
      </c>
      <c r="K2784" s="26" t="str">
        <f>IF(OR(E2784="",E2784="!!!",F2784="NEW"),"",INDEX(J$1:J2783,SUMPRODUCT(MAX(ROW(E$1:E2783)*(E2784=E$1:E2783)))))</f>
        <v> </v>
      </c>
      <c r="L2784" s="27"/>
    </row>
    <row r="2785" spans="1:12">
      <c r="A2785" s="20" t="s">
        <v>1795</v>
      </c>
      <c r="B2785" s="21" t="s">
        <v>651</v>
      </c>
      <c r="C2785" s="21" t="s">
        <v>628</v>
      </c>
      <c r="D2785" s="21" t="s">
        <v>587</v>
      </c>
      <c r="E2785" s="22">
        <f>IF(D2785="?OLD","!!!","")</f>
        <v/>
      </c>
      <c r="F2785" s="23" t="str">
        <f>IF(OR(E2785="",E2785="!!!"),"",IF(NOT(ISNA(VLOOKUP(E2785,E$1:E2784,1,FALSE()))),"OLD",IF(AND(E2785&lt;&gt;"",E2785&lt;&gt;"!!!"),"NEW","")))</f>
        <v> </v>
      </c>
      <c r="G2785" s="24" t="str">
        <f>IF(OR(E2785="",E2785="!!!"),"",IF(OR(J2785=0,AND(J2785=1,K2785=1),AND(J2785=1,I2785="SBJ"),AND(J2785=1,I2785=0)),"?IN_FOCUS",IF(J2785&lt;=2,"?ACTIVATED",IF(J2785&lt;&gt;"","?FAMILIAR",IF(F2785="NEW",IF(ISNA(VLOOKUP(E2785,#REF!,1,FALSE())),"?TYPE_IDENTIFIABLE","?REFERENTIAL"),"_")))))</f>
        <v> </v>
      </c>
      <c r="H2785" s="25" t="str">
        <f>IF(J2785&lt;&gt;1,"",IF(I2785="SBJ","CB","?"))</f>
        <v> </v>
      </c>
      <c r="I2785" s="26" t="str">
        <f>IF(OR(E2785="",E2785="!!!",F2785="NEW"),"",INDEX(B2784:B$2,-1+SUMPRODUCT(MAX(ROW(E2784:E$2)*(E2785=E2784:E$2)))))</f>
        <v> </v>
      </c>
      <c r="J2785" s="26" t="str">
        <f>IF(OR(E2785="",E2785="!!!",F2785="NEW"),"",COUNTBLANK(OFFSET(A$1,,,SUMPRODUCT(MAX(ROW(E$2:E2785)*(E2785=E$2:E2785)))))-COUNTBLANK(OFFSET(A$1,,,SUMPRODUCT(MAX(ROW(E$1:E2784)*(E2=E$1:E2784))))))</f>
        <v> </v>
      </c>
      <c r="K2785" s="26" t="str">
        <f>IF(OR(E2785="",E2785="!!!",F2785="NEW"),"",INDEX(J$1:J2784,SUMPRODUCT(MAX(ROW(E$1:E2784)*(E2785=E$1:E2784)))))</f>
        <v> </v>
      </c>
      <c r="L2785" s="27"/>
    </row>
    <row r="2786" spans="1:12">
      <c r="A2786" s="20" t="s">
        <v>583</v>
      </c>
      <c r="E2786" s="22">
        <f>IF(D2786="?OLD","!!!","")</f>
        <v/>
      </c>
      <c r="F2786" s="23" t="str">
        <f>IF(OR(E2786="",E2786="!!!"),"",IF(NOT(ISNA(VLOOKUP(E2786,E$1:E2785,1,FALSE()))),"OLD",IF(AND(E2786&lt;&gt;"",E2786&lt;&gt;"!!!"),"NEW","")))</f>
        <v> </v>
      </c>
      <c r="G2786" s="24" t="str">
        <f>IF(OR(E2786="",E2786="!!!"),"",IF(OR(J2786=0,AND(J2786=1,K2786=1),AND(J2786=1,I2786="SBJ"),AND(J2786=1,I2786=0)),"?IN_FOCUS",IF(J2786&lt;=2,"?ACTIVATED",IF(J2786&lt;&gt;"","?FAMILIAR",IF(F2786="NEW",IF(ISNA(VLOOKUP(E2786,#REF!,1,FALSE())),"?TYPE_IDENTIFIABLE","?REFERENTIAL"),"_")))))</f>
        <v> </v>
      </c>
      <c r="H2786" s="25" t="str">
        <f>IF(J2786&lt;&gt;1,"",IF(I2786="SBJ","CB","?"))</f>
        <v> </v>
      </c>
      <c r="I2786" s="26" t="str">
        <f>IF(OR(E2786="",E2786="!!!",F2786="NEW"),"",INDEX(B2785:B$2,-1+SUMPRODUCT(MAX(ROW(E2785:E$2)*(E2786=E2785:E$2)))))</f>
        <v> </v>
      </c>
      <c r="J2786" s="26" t="str">
        <f>IF(OR(E2786="",E2786="!!!",F2786="NEW"),"",COUNTBLANK(OFFSET(A$1,,,SUMPRODUCT(MAX(ROW(E$2:E2786)*(E2786=E$2:E2786)))))-COUNTBLANK(OFFSET(A$1,,,SUMPRODUCT(MAX(ROW(E$1:E2785)*(E2=E$1:E2785))))))</f>
        <v> </v>
      </c>
      <c r="K2786" s="26" t="str">
        <f>IF(OR(E2786="",E2786="!!!",F2786="NEW"),"",INDEX(J$1:J2785,SUMPRODUCT(MAX(ROW(E$1:E2785)*(E2786=E$1:E2785)))))</f>
        <v> </v>
      </c>
      <c r="L2786" s="27"/>
    </row>
    <row r="2787" spans="1:12">
      <c r="A2787" s="20" t="s">
        <v>616</v>
      </c>
      <c r="B2787" s="21" t="s">
        <v>590</v>
      </c>
      <c r="C2787" s="21" t="s">
        <v>602</v>
      </c>
      <c r="E2787" s="22">
        <f>IF(D2787="?OLD","!!!","")</f>
        <v/>
      </c>
      <c r="F2787" s="23" t="str">
        <f>IF(OR(E2787="",E2787="!!!"),"",IF(NOT(ISNA(VLOOKUP(E2787,E$1:E2786,1,FALSE()))),"OLD",IF(AND(E2787&lt;&gt;"",E2787&lt;&gt;"!!!"),"NEW","")))</f>
        <v> </v>
      </c>
      <c r="G2787" s="24" t="str">
        <f>IF(OR(E2787="",E2787="!!!"),"",IF(OR(J2787=0,AND(J2787=1,K2787=1),AND(J2787=1,I2787="SBJ"),AND(J2787=1,I2787=0)),"?IN_FOCUS",IF(J2787&lt;=2,"?ACTIVATED",IF(J2787&lt;&gt;"","?FAMILIAR",IF(F2787="NEW",IF(ISNA(VLOOKUP(E2787,#REF!,1,FALSE())),"?TYPE_IDENTIFIABLE","?REFERENTIAL"),"_")))))</f>
        <v> </v>
      </c>
      <c r="H2787" s="25" t="str">
        <f>IF(J2787&lt;&gt;1,"",IF(I2787="SBJ","CB","?"))</f>
        <v> </v>
      </c>
      <c r="I2787" s="26" t="str">
        <f>IF(OR(E2787="",E2787="!!!",F2787="NEW"),"",INDEX(B2786:B$2,-1+SUMPRODUCT(MAX(ROW(E2786:E$2)*(E2787=E2786:E$2)))))</f>
        <v> </v>
      </c>
      <c r="J2787" s="26" t="str">
        <f>IF(OR(E2787="",E2787="!!!",F2787="NEW"),"",COUNTBLANK(OFFSET(A$1,,,SUMPRODUCT(MAX(ROW(E$2:E2787)*(E2787=E$2:E2787)))))-COUNTBLANK(OFFSET(A$1,,,SUMPRODUCT(MAX(ROW(E$1:E2786)*(E2=E$1:E2786))))))</f>
        <v> </v>
      </c>
      <c r="K2787" s="26" t="str">
        <f>IF(OR(E2787="",E2787="!!!",F2787="NEW"),"",INDEX(J$1:J2786,SUMPRODUCT(MAX(ROW(E$1:E2786)*(E2787=E$1:E2786)))))</f>
        <v> </v>
      </c>
      <c r="L2787" s="27"/>
    </row>
    <row r="2788" spans="1:12">
      <c r="A2788" s="20" t="s">
        <v>1796</v>
      </c>
      <c r="E2788" s="22">
        <f>IF(D2788="?OLD","!!!","")</f>
        <v/>
      </c>
      <c r="F2788" s="23" t="str">
        <f>IF(OR(E2788="",E2788="!!!"),"",IF(NOT(ISNA(VLOOKUP(E2788,E$1:E2787,1,FALSE()))),"OLD",IF(AND(E2788&lt;&gt;"",E2788&lt;&gt;"!!!"),"NEW","")))</f>
        <v> </v>
      </c>
      <c r="G2788" s="24" t="str">
        <f>IF(OR(E2788="",E2788="!!!"),"",IF(OR(J2788=0,AND(J2788=1,K2788=1),AND(J2788=1,I2788="SBJ"),AND(J2788=1,I2788=0)),"?IN_FOCUS",IF(J2788&lt;=2,"?ACTIVATED",IF(J2788&lt;&gt;"","?FAMILIAR",IF(F2788="NEW",IF(ISNA(VLOOKUP(E2788,#REF!,1,FALSE())),"?TYPE_IDENTIFIABLE","?REFERENTIAL"),"_")))))</f>
        <v> </v>
      </c>
      <c r="H2788" s="25" t="str">
        <f>IF(J2788&lt;&gt;1,"",IF(I2788="SBJ","CB","?"))</f>
        <v> </v>
      </c>
      <c r="I2788" s="26" t="str">
        <f>IF(OR(E2788="",E2788="!!!",F2788="NEW"),"",INDEX(B2787:B$2,-1+SUMPRODUCT(MAX(ROW(E2787:E$2)*(E2788=E2787:E$2)))))</f>
        <v> </v>
      </c>
      <c r="J2788" s="26" t="str">
        <f>IF(OR(E2788="",E2788="!!!",F2788="NEW"),"",COUNTBLANK(OFFSET(A$1,,,SUMPRODUCT(MAX(ROW(E$2:E2788)*(E2788=E$2:E2788)))))-COUNTBLANK(OFFSET(A$1,,,SUMPRODUCT(MAX(ROW(E$1:E2787)*(E2=E$1:E2787))))))</f>
        <v> </v>
      </c>
      <c r="K2788" s="26" t="str">
        <f>IF(OR(E2788="",E2788="!!!",F2788="NEW"),"",INDEX(J$1:J2787,SUMPRODUCT(MAX(ROW(E$1:E2787)*(E2788=E$1:E2787)))))</f>
        <v> </v>
      </c>
      <c r="L2788" s="27"/>
    </row>
    <row r="2789" spans="1:12">
      <c r="A2789" s="20" t="s">
        <v>1797</v>
      </c>
      <c r="B2789" s="21" t="s">
        <v>635</v>
      </c>
      <c r="E2789" s="22">
        <f>IF(D2789="?OLD","!!!","")</f>
        <v/>
      </c>
      <c r="F2789" s="23" t="str">
        <f>IF(OR(E2789="",E2789="!!!"),"",IF(NOT(ISNA(VLOOKUP(E2789,E$1:E2788,1,FALSE()))),"OLD",IF(AND(E2789&lt;&gt;"",E2789&lt;&gt;"!!!"),"NEW","")))</f>
        <v> </v>
      </c>
      <c r="G2789" s="24" t="str">
        <f>IF(OR(E2789="",E2789="!!!"),"",IF(OR(J2789=0,AND(J2789=1,K2789=1),AND(J2789=1,I2789="SBJ"),AND(J2789=1,I2789=0)),"?IN_FOCUS",IF(J2789&lt;=2,"?ACTIVATED",IF(J2789&lt;&gt;"","?FAMILIAR",IF(F2789="NEW",IF(ISNA(VLOOKUP(E2789,#REF!,1,FALSE())),"?TYPE_IDENTIFIABLE","?REFERENTIAL"),"_")))))</f>
        <v> </v>
      </c>
      <c r="H2789" s="25" t="str">
        <f>IF(J2789&lt;&gt;1,"",IF(I2789="SBJ","CB","?"))</f>
        <v> </v>
      </c>
      <c r="I2789" s="26" t="str">
        <f>IF(OR(E2789="",E2789="!!!",F2789="NEW"),"",INDEX(B2788:B$2,-1+SUMPRODUCT(MAX(ROW(E2788:E$2)*(E2789=E2788:E$2)))))</f>
        <v> </v>
      </c>
      <c r="J2789" s="26" t="str">
        <f>IF(OR(E2789="",E2789="!!!",F2789="NEW"),"",COUNTBLANK(OFFSET(A$1,,,SUMPRODUCT(MAX(ROW(E$2:E2789)*(E2789=E$2:E2789)))))-COUNTBLANK(OFFSET(A$1,,,SUMPRODUCT(MAX(ROW(E$1:E2788)*(E2=E$1:E2788))))))</f>
        <v> </v>
      </c>
      <c r="K2789" s="26" t="str">
        <f>IF(OR(E2789="",E2789="!!!",F2789="NEW"),"",INDEX(J$1:J2788,SUMPRODUCT(MAX(ROW(E$1:E2788)*(E2789=E$1:E2788)))))</f>
        <v> </v>
      </c>
      <c r="L2789" s="27"/>
    </row>
    <row r="2790" spans="1:12">
      <c r="A2790" s="20" t="s">
        <v>483</v>
      </c>
      <c r="E2790" s="22">
        <f>IF(D2790="?OLD","!!!","")</f>
        <v/>
      </c>
      <c r="F2790" s="23" t="str">
        <f>IF(OR(E2790="",E2790="!!!"),"",IF(NOT(ISNA(VLOOKUP(E2790,E$1:E2789,1,FALSE()))),"OLD",IF(AND(E2790&lt;&gt;"",E2790&lt;&gt;"!!!"),"NEW","")))</f>
        <v> </v>
      </c>
      <c r="G2790" s="24" t="str">
        <f>IF(OR(E2790="",E2790="!!!"),"",IF(OR(J2790=0,AND(J2790=1,K2790=1),AND(J2790=1,I2790="SBJ"),AND(J2790=1,I2790=0)),"?IN_FOCUS",IF(J2790&lt;=2,"?ACTIVATED",IF(J2790&lt;&gt;"","?FAMILIAR",IF(F2790="NEW",IF(ISNA(VLOOKUP(E2790,#REF!,1,FALSE())),"?TYPE_IDENTIFIABLE","?REFERENTIAL"),"_")))))</f>
        <v> </v>
      </c>
      <c r="H2790" s="25" t="str">
        <f>IF(J2790&lt;&gt;1,"",IF(I2790="SBJ","CB","?"))</f>
        <v> </v>
      </c>
      <c r="I2790" s="26" t="str">
        <f>IF(OR(E2790="",E2790="!!!",F2790="NEW"),"",INDEX(B2789:B$2,-1+SUMPRODUCT(MAX(ROW(E2789:E$2)*(E2790=E2789:E$2)))))</f>
        <v> </v>
      </c>
      <c r="J2790" s="26" t="str">
        <f>IF(OR(E2790="",E2790="!!!",F2790="NEW"),"",COUNTBLANK(OFFSET(A$1,,,SUMPRODUCT(MAX(ROW(E$2:E2790)*(E2790=E$2:E2790)))))-COUNTBLANK(OFFSET(A$1,,,SUMPRODUCT(MAX(ROW(E$1:E2789)*(E2=E$1:E2789))))))</f>
        <v> </v>
      </c>
      <c r="K2790" s="26" t="str">
        <f>IF(OR(E2790="",E2790="!!!",F2790="NEW"),"",INDEX(J$1:J2789,SUMPRODUCT(MAX(ROW(E$1:E2789)*(E2790=E$1:E2789)))))</f>
        <v> </v>
      </c>
      <c r="L2790" s="27"/>
    </row>
    <row r="2791" spans="1:12">
      <c r="A2791" s="20" t="s">
        <v>1798</v>
      </c>
      <c r="E2791" s="22">
        <f>IF(D2791="?OLD","!!!","")</f>
        <v/>
      </c>
      <c r="F2791" s="23" t="str">
        <f>IF(OR(E2791="",E2791="!!!"),"",IF(NOT(ISNA(VLOOKUP(E2791,E$1:E2790,1,FALSE()))),"OLD",IF(AND(E2791&lt;&gt;"",E2791&lt;&gt;"!!!"),"NEW","")))</f>
        <v> </v>
      </c>
      <c r="G2791" s="24" t="str">
        <f>IF(OR(E2791="",E2791="!!!"),"",IF(OR(J2791=0,AND(J2791=1,K2791=1),AND(J2791=1,I2791="SBJ"),AND(J2791=1,I2791=0)),"?IN_FOCUS",IF(J2791&lt;=2,"?ACTIVATED",IF(J2791&lt;&gt;"","?FAMILIAR",IF(F2791="NEW",IF(ISNA(VLOOKUP(E2791,#REF!,1,FALSE())),"?TYPE_IDENTIFIABLE","?REFERENTIAL"),"_")))))</f>
        <v> </v>
      </c>
      <c r="H2791" s="25" t="str">
        <f>IF(J2791&lt;&gt;1,"",IF(I2791="SBJ","CB","?"))</f>
        <v> </v>
      </c>
      <c r="I2791" s="26" t="str">
        <f>IF(OR(E2791="",E2791="!!!",F2791="NEW"),"",INDEX(B2790:B$2,-1+SUMPRODUCT(MAX(ROW(E2790:E$2)*(E2791=E2790:E$2)))))</f>
        <v> </v>
      </c>
      <c r="J2791" s="26" t="str">
        <f>IF(OR(E2791="",E2791="!!!",F2791="NEW"),"",COUNTBLANK(OFFSET(A$1,,,SUMPRODUCT(MAX(ROW(E$2:E2791)*(E2791=E$2:E2791)))))-COUNTBLANK(OFFSET(A$1,,,SUMPRODUCT(MAX(ROW(E$1:E2790)*(E2=E$1:E2790))))))</f>
        <v> </v>
      </c>
      <c r="K2791" s="26" t="str">
        <f>IF(OR(E2791="",E2791="!!!",F2791="NEW"),"",INDEX(J$1:J2790,SUMPRODUCT(MAX(ROW(E$1:E2790)*(E2791=E$1:E2790)))))</f>
        <v> </v>
      </c>
      <c r="L2791" s="27"/>
    </row>
    <row r="2792" spans="1:12">
      <c r="A2792" s="20" t="s">
        <v>1799</v>
      </c>
      <c r="E2792" s="22">
        <f>IF(D2792="?OLD","!!!","")</f>
        <v/>
      </c>
      <c r="F2792" s="23" t="str">
        <f>IF(OR(E2792="",E2792="!!!"),"",IF(NOT(ISNA(VLOOKUP(E2792,E$1:E2791,1,FALSE()))),"OLD",IF(AND(E2792&lt;&gt;"",E2792&lt;&gt;"!!!"),"NEW","")))</f>
        <v> </v>
      </c>
      <c r="G2792" s="24" t="str">
        <f>IF(OR(E2792="",E2792="!!!"),"",IF(OR(J2792=0,AND(J2792=1,K2792=1),AND(J2792=1,I2792="SBJ"),AND(J2792=1,I2792=0)),"?IN_FOCUS",IF(J2792&lt;=2,"?ACTIVATED",IF(J2792&lt;&gt;"","?FAMILIAR",IF(F2792="NEW",IF(ISNA(VLOOKUP(E2792,#REF!,1,FALSE())),"?TYPE_IDENTIFIABLE","?REFERENTIAL"),"_")))))</f>
        <v> </v>
      </c>
      <c r="H2792" s="25" t="str">
        <f>IF(J2792&lt;&gt;1,"",IF(I2792="SBJ","CB","?"))</f>
        <v> </v>
      </c>
      <c r="I2792" s="26" t="str">
        <f>IF(OR(E2792="",E2792="!!!",F2792="NEW"),"",INDEX(B2791:B$2,-1+SUMPRODUCT(MAX(ROW(E2791:E$2)*(E2792=E2791:E$2)))))</f>
        <v> </v>
      </c>
      <c r="J2792" s="26" t="str">
        <f>IF(OR(E2792="",E2792="!!!",F2792="NEW"),"",COUNTBLANK(OFFSET(A$1,,,SUMPRODUCT(MAX(ROW(E$2:E2792)*(E2792=E$2:E2792)))))-COUNTBLANK(OFFSET(A$1,,,SUMPRODUCT(MAX(ROW(E$1:E2791)*(E2=E$1:E2791))))))</f>
        <v> </v>
      </c>
      <c r="K2792" s="26" t="str">
        <f>IF(OR(E2792="",E2792="!!!",F2792="NEW"),"",INDEX(J$1:J2791,SUMPRODUCT(MAX(ROW(E$1:E2791)*(E2792=E$1:E2791)))))</f>
        <v> </v>
      </c>
      <c r="L2792" s="27"/>
    </row>
    <row r="2793" spans="1:12">
      <c r="A2793" s="20" t="s">
        <v>1800</v>
      </c>
      <c r="B2793" s="21" t="s">
        <v>601</v>
      </c>
      <c r="C2793" s="21" t="s">
        <v>709</v>
      </c>
      <c r="D2793" s="21" t="s">
        <v>587</v>
      </c>
      <c r="E2793" s="22">
        <f>IF(D2793="?OLD","!!!","")</f>
        <v/>
      </c>
      <c r="F2793" s="23" t="str">
        <f>IF(OR(E2793="",E2793="!!!"),"",IF(NOT(ISNA(VLOOKUP(E2793,E$1:E2792,1,FALSE()))),"OLD",IF(AND(E2793&lt;&gt;"",E2793&lt;&gt;"!!!"),"NEW","")))</f>
        <v> </v>
      </c>
      <c r="G2793" s="24" t="str">
        <f>IF(OR(E2793="",E2793="!!!"),"",IF(OR(J2793=0,AND(J2793=1,K2793=1),AND(J2793=1,I2793="SBJ"),AND(J2793=1,I2793=0)),"?IN_FOCUS",IF(J2793&lt;=2,"?ACTIVATED",IF(J2793&lt;&gt;"","?FAMILIAR",IF(F2793="NEW",IF(ISNA(VLOOKUP(E2793,#REF!,1,FALSE())),"?TYPE_IDENTIFIABLE","?REFERENTIAL"),"_")))))</f>
        <v> </v>
      </c>
      <c r="H2793" s="25" t="str">
        <f>IF(J2793&lt;&gt;1,"",IF(I2793="SBJ","CB","?"))</f>
        <v> </v>
      </c>
      <c r="I2793" s="26" t="str">
        <f>IF(OR(E2793="",E2793="!!!",F2793="NEW"),"",INDEX(B2792:B$2,-1+SUMPRODUCT(MAX(ROW(E2792:E$2)*(E2793=E2792:E$2)))))</f>
        <v> </v>
      </c>
      <c r="J2793" s="26" t="str">
        <f>IF(OR(E2793="",E2793="!!!",F2793="NEW"),"",COUNTBLANK(OFFSET(A$1,,,SUMPRODUCT(MAX(ROW(E$2:E2793)*(E2793=E$2:E2793)))))-COUNTBLANK(OFFSET(A$1,,,SUMPRODUCT(MAX(ROW(E$1:E2792)*(E2=E$1:E2792))))))</f>
        <v> </v>
      </c>
      <c r="K2793" s="26" t="str">
        <f>IF(OR(E2793="",E2793="!!!",F2793="NEW"),"",INDEX(J$1:J2792,SUMPRODUCT(MAX(ROW(E$1:E2792)*(E2793=E$1:E2792)))))</f>
        <v> </v>
      </c>
      <c r="L2793" s="27"/>
    </row>
    <row r="2794" spans="1:12">
      <c r="A2794" s="20" t="s">
        <v>888</v>
      </c>
      <c r="E2794" s="22">
        <f>IF(D2794="?OLD","!!!","")</f>
        <v/>
      </c>
      <c r="F2794" s="23" t="str">
        <f>IF(OR(E2794="",E2794="!!!"),"",IF(NOT(ISNA(VLOOKUP(E2794,E$1:E2793,1,FALSE()))),"OLD",IF(AND(E2794&lt;&gt;"",E2794&lt;&gt;"!!!"),"NEW","")))</f>
        <v> </v>
      </c>
      <c r="G2794" s="24" t="str">
        <f>IF(OR(E2794="",E2794="!!!"),"",IF(OR(J2794=0,AND(J2794=1,K2794=1),AND(J2794=1,I2794="SBJ"),AND(J2794=1,I2794=0)),"?IN_FOCUS",IF(J2794&lt;=2,"?ACTIVATED",IF(J2794&lt;&gt;"","?FAMILIAR",IF(F2794="NEW",IF(ISNA(VLOOKUP(E2794,#REF!,1,FALSE())),"?TYPE_IDENTIFIABLE","?REFERENTIAL"),"_")))))</f>
        <v> </v>
      </c>
      <c r="H2794" s="25" t="str">
        <f>IF(J2794&lt;&gt;1,"",IF(I2794="SBJ","CB","?"))</f>
        <v> </v>
      </c>
      <c r="I2794" s="26" t="str">
        <f>IF(OR(E2794="",E2794="!!!",F2794="NEW"),"",INDEX(B2793:B$2,-1+SUMPRODUCT(MAX(ROW(E2793:E$2)*(E2794=E2793:E$2)))))</f>
        <v> </v>
      </c>
      <c r="J2794" s="26" t="str">
        <f>IF(OR(E2794="",E2794="!!!",F2794="NEW"),"",COUNTBLANK(OFFSET(A$1,,,SUMPRODUCT(MAX(ROW(E$2:E2794)*(E2794=E$2:E2794)))))-COUNTBLANK(OFFSET(A$1,,,SUMPRODUCT(MAX(ROW(E$1:E2793)*(E2=E$1:E2793))))))</f>
        <v> </v>
      </c>
      <c r="K2794" s="26" t="str">
        <f>IF(OR(E2794="",E2794="!!!",F2794="NEW"),"",INDEX(J$1:J2793,SUMPRODUCT(MAX(ROW(E$1:E2793)*(E2794=E$1:E2793)))))</f>
        <v> </v>
      </c>
      <c r="L2794" s="27"/>
    </row>
    <row r="2795" spans="1:12">
      <c r="A2795" s="20" t="s">
        <v>638</v>
      </c>
      <c r="E2795" s="22">
        <f>IF(D2795="?OLD","!!!","")</f>
        <v/>
      </c>
      <c r="F2795" s="23" t="str">
        <f>IF(OR(E2795="",E2795="!!!"),"",IF(NOT(ISNA(VLOOKUP(E2795,E$1:E2794,1,FALSE()))),"OLD",IF(AND(E2795&lt;&gt;"",E2795&lt;&gt;"!!!"),"NEW","")))</f>
        <v> </v>
      </c>
      <c r="G2795" s="24" t="str">
        <f>IF(OR(E2795="",E2795="!!!"),"",IF(OR(J2795=0,AND(J2795=1,K2795=1),AND(J2795=1,I2795="SBJ"),AND(J2795=1,I2795=0)),"?IN_FOCUS",IF(J2795&lt;=2,"?ACTIVATED",IF(J2795&lt;&gt;"","?FAMILIAR",IF(F2795="NEW",IF(ISNA(VLOOKUP(E2795,#REF!,1,FALSE())),"?TYPE_IDENTIFIABLE","?REFERENTIAL"),"_")))))</f>
        <v> </v>
      </c>
      <c r="H2795" s="25" t="str">
        <f>IF(J2795&lt;&gt;1,"",IF(I2795="SBJ","CB","?"))</f>
        <v> </v>
      </c>
      <c r="I2795" s="26" t="str">
        <f>IF(OR(E2795="",E2795="!!!",F2795="NEW"),"",INDEX(B2794:B$2,-1+SUMPRODUCT(MAX(ROW(E2794:E$2)*(E2795=E2794:E$2)))))</f>
        <v> </v>
      </c>
      <c r="J2795" s="26" t="str">
        <f>IF(OR(E2795="",E2795="!!!",F2795="NEW"),"",COUNTBLANK(OFFSET(A$1,,,SUMPRODUCT(MAX(ROW(E$2:E2795)*(E2795=E$2:E2795)))))-COUNTBLANK(OFFSET(A$1,,,SUMPRODUCT(MAX(ROW(E$1:E2794)*(E2=E$1:E2794))))))</f>
        <v> </v>
      </c>
      <c r="K2795" s="26" t="str">
        <f>IF(OR(E2795="",E2795="!!!",F2795="NEW"),"",INDEX(J$1:J2794,SUMPRODUCT(MAX(ROW(E$1:E2794)*(E2795=E$1:E2794)))))</f>
        <v> </v>
      </c>
      <c r="L2795" s="27"/>
    </row>
    <row r="2796" spans="1:12">
      <c r="A2796" s="20" t="s">
        <v>592</v>
      </c>
      <c r="E2796" s="22">
        <f>IF(D2796="?OLD","!!!","")</f>
        <v/>
      </c>
      <c r="F2796" s="23" t="str">
        <f>IF(OR(E2796="",E2796="!!!"),"",IF(NOT(ISNA(VLOOKUP(E2796,E$1:E2795,1,FALSE()))),"OLD",IF(AND(E2796&lt;&gt;"",E2796&lt;&gt;"!!!"),"NEW","")))</f>
        <v> </v>
      </c>
      <c r="G2796" s="24" t="str">
        <f>IF(OR(E2796="",E2796="!!!"),"",IF(OR(J2796=0,AND(J2796=1,K2796=1),AND(J2796=1,I2796="SBJ"),AND(J2796=1,I2796=0)),"?IN_FOCUS",IF(J2796&lt;=2,"?ACTIVATED",IF(J2796&lt;&gt;"","?FAMILIAR",IF(F2796="NEW",IF(ISNA(VLOOKUP(E2796,#REF!,1,FALSE())),"?TYPE_IDENTIFIABLE","?REFERENTIAL"),"_")))))</f>
        <v> </v>
      </c>
      <c r="H2796" s="25" t="str">
        <f>IF(J2796&lt;&gt;1,"",IF(I2796="SBJ","CB","?"))</f>
        <v> </v>
      </c>
      <c r="I2796" s="26" t="str">
        <f>IF(OR(E2796="",E2796="!!!",F2796="NEW"),"",INDEX(B2795:B$2,-1+SUMPRODUCT(MAX(ROW(E2795:E$2)*(E2796=E2795:E$2)))))</f>
        <v> </v>
      </c>
      <c r="J2796" s="26" t="str">
        <f>IF(OR(E2796="",E2796="!!!",F2796="NEW"),"",COUNTBLANK(OFFSET(A$1,,,SUMPRODUCT(MAX(ROW(E$2:E2796)*(E2796=E$2:E2796)))))-COUNTBLANK(OFFSET(A$1,,,SUMPRODUCT(MAX(ROW(E$1:E2795)*(E2=E$1:E2795))))))</f>
        <v> </v>
      </c>
      <c r="K2796" s="26" t="str">
        <f>IF(OR(E2796="",E2796="!!!",F2796="NEW"),"",INDEX(J$1:J2795,SUMPRODUCT(MAX(ROW(E$1:E2795)*(E2796=E$1:E2795)))))</f>
        <v> </v>
      </c>
      <c r="L2796" s="27"/>
    </row>
    <row r="2797" spans="1:12">
      <c r="A2797" s="20"/>
    </row>
    <row r="2798" spans="1:12">
      <c r="A2798" s="20" t="s">
        <v>1801</v>
      </c>
    </row>
    <row r="2799" spans="1:12">
      <c r="A2799" s="20" t="s">
        <v>936</v>
      </c>
      <c r="B2799" s="21" t="s">
        <v>578</v>
      </c>
      <c r="C2799" s="21" t="s">
        <v>613</v>
      </c>
      <c r="D2799" s="21" t="s">
        <v>587</v>
      </c>
      <c r="E2799" s="22">
        <f>IF(D2799="?OLD","!!!","")</f>
        <v/>
      </c>
      <c r="F2799" s="23" t="str">
        <f>IF(OR(E2799="",E2799="!!!"),"",IF(NOT(ISNA(VLOOKUP(E2799,E$1:E2798,1,FALSE()))),"OLD",IF(AND(E2799&lt;&gt;"",E2799&lt;&gt;"!!!"),"NEW","")))</f>
        <v> </v>
      </c>
      <c r="G2799" s="24" t="str">
        <f>IF(OR(E2799="",E2799="!!!"),"",IF(OR(J2799=0,AND(J2799=1,K2799=1),AND(J2799=1,I2799="SBJ"),AND(J2799=1,I2799=0)),"?IN_FOCUS",IF(J2799&lt;=2,"?ACTIVATED",IF(J2799&lt;&gt;"","?FAMILIAR",IF(F2799="NEW",IF(ISNA(VLOOKUP(E2799,#REF!,1,FALSE())),"?TYPE_IDENTIFIABLE","?REFERENTIAL"),"_")))))</f>
        <v> </v>
      </c>
      <c r="H2799" s="25" t="str">
        <f>IF(J2799&lt;&gt;1,"",IF(I2799="SBJ","CB","?"))</f>
        <v> </v>
      </c>
      <c r="I2799" s="26" t="str">
        <f>IF(OR(E2799="",E2799="!!!",F2799="NEW"),"",INDEX(B2798:B$2,-1+SUMPRODUCT(MAX(ROW(E2798:E$2)*(E2799=E2798:E$2)))))</f>
        <v> </v>
      </c>
      <c r="J2799" s="26" t="str">
        <f>IF(OR(E2799="",E2799="!!!",F2799="NEW"),"",COUNTBLANK(OFFSET(A$1,,,SUMPRODUCT(MAX(ROW(E$2:E2799)*(E2799=E$2:E2799)))))-COUNTBLANK(OFFSET(A$1,,,SUMPRODUCT(MAX(ROW(E$1:E2798)*(E2=E$1:E2798))))))</f>
        <v> </v>
      </c>
      <c r="K2799" s="26" t="str">
        <f>IF(OR(E2799="",E2799="!!!",F2799="NEW"),"",INDEX(J$1:J2798,SUMPRODUCT(MAX(ROW(E$1:E2798)*(E2799=E$1:E2798)))))</f>
        <v> </v>
      </c>
      <c r="L2799" s="27"/>
    </row>
    <row r="2800" spans="1:12">
      <c r="A2800" s="20" t="s">
        <v>1802</v>
      </c>
      <c r="E2800" s="22">
        <f>IF(D2800="?OLD","!!!","")</f>
        <v/>
      </c>
      <c r="F2800" s="23" t="str">
        <f>IF(OR(E2800="",E2800="!!!"),"",IF(NOT(ISNA(VLOOKUP(E2800,E$1:E2799,1,FALSE()))),"OLD",IF(AND(E2800&lt;&gt;"",E2800&lt;&gt;"!!!"),"NEW","")))</f>
        <v> </v>
      </c>
      <c r="G2800" s="24" t="str">
        <f>IF(OR(E2800="",E2800="!!!"),"",IF(OR(J2800=0,AND(J2800=1,K2800=1),AND(J2800=1,I2800="SBJ"),AND(J2800=1,I2800=0)),"?IN_FOCUS",IF(J2800&lt;=2,"?ACTIVATED",IF(J2800&lt;&gt;"","?FAMILIAR",IF(F2800="NEW",IF(ISNA(VLOOKUP(E2800,#REF!,1,FALSE())),"?TYPE_IDENTIFIABLE","?REFERENTIAL"),"_")))))</f>
        <v> </v>
      </c>
      <c r="H2800" s="25" t="str">
        <f>IF(J2800&lt;&gt;1,"",IF(I2800="SBJ","CB","?"))</f>
        <v> </v>
      </c>
      <c r="I2800" s="26" t="str">
        <f>IF(OR(E2800="",E2800="!!!",F2800="NEW"),"",INDEX(B2799:B$2,-1+SUMPRODUCT(MAX(ROW(E2799:E$2)*(E2800=E2799:E$2)))))</f>
        <v> </v>
      </c>
      <c r="J2800" s="26" t="str">
        <f>IF(OR(E2800="",E2800="!!!",F2800="NEW"),"",COUNTBLANK(OFFSET(A$1,,,SUMPRODUCT(MAX(ROW(E$2:E2800)*(E2800=E$2:E2800)))))-COUNTBLANK(OFFSET(A$1,,,SUMPRODUCT(MAX(ROW(E$1:E2799)*(E2=E$1:E2799))))))</f>
        <v> </v>
      </c>
      <c r="K2800" s="26" t="str">
        <f>IF(OR(E2800="",E2800="!!!",F2800="NEW"),"",INDEX(J$1:J2799,SUMPRODUCT(MAX(ROW(E$1:E2799)*(E2800=E$1:E2799)))))</f>
        <v> </v>
      </c>
      <c r="L2800" s="27"/>
    </row>
    <row r="2801" spans="1:12">
      <c r="A2801" s="20" t="s">
        <v>1803</v>
      </c>
      <c r="E2801" s="22">
        <f>IF(D2801="?OLD","!!!","")</f>
        <v/>
      </c>
      <c r="F2801" s="23" t="str">
        <f>IF(OR(E2801="",E2801="!!!"),"",IF(NOT(ISNA(VLOOKUP(E2801,E$1:E2800,1,FALSE()))),"OLD",IF(AND(E2801&lt;&gt;"",E2801&lt;&gt;"!!!"),"NEW","")))</f>
        <v> </v>
      </c>
      <c r="G2801" s="24" t="str">
        <f>IF(OR(E2801="",E2801="!!!"),"",IF(OR(J2801=0,AND(J2801=1,K2801=1),AND(J2801=1,I2801="SBJ"),AND(J2801=1,I2801=0)),"?IN_FOCUS",IF(J2801&lt;=2,"?ACTIVATED",IF(J2801&lt;&gt;"","?FAMILIAR",IF(F2801="NEW",IF(ISNA(VLOOKUP(E2801,#REF!,1,FALSE())),"?TYPE_IDENTIFIABLE","?REFERENTIAL"),"_")))))</f>
        <v> </v>
      </c>
      <c r="H2801" s="25" t="str">
        <f>IF(J2801&lt;&gt;1,"",IF(I2801="SBJ","CB","?"))</f>
        <v> </v>
      </c>
      <c r="I2801" s="26" t="str">
        <f>IF(OR(E2801="",E2801="!!!",F2801="NEW"),"",INDEX(B2800:B$2,-1+SUMPRODUCT(MAX(ROW(E2800:E$2)*(E2801=E2800:E$2)))))</f>
        <v> </v>
      </c>
      <c r="J2801" s="26" t="str">
        <f>IF(OR(E2801="",E2801="!!!",F2801="NEW"),"",COUNTBLANK(OFFSET(A$1,,,SUMPRODUCT(MAX(ROW(E$2:E2801)*(E2801=E$2:E2801)))))-COUNTBLANK(OFFSET(A$1,,,SUMPRODUCT(MAX(ROW(E$1:E2800)*(E2=E$1:E2800))))))</f>
        <v> </v>
      </c>
      <c r="K2801" s="26" t="str">
        <f>IF(OR(E2801="",E2801="!!!",F2801="NEW"),"",INDEX(J$1:J2800,SUMPRODUCT(MAX(ROW(E$1:E2800)*(E2801=E$1:E2800)))))</f>
        <v> </v>
      </c>
      <c r="L2801" s="27"/>
    </row>
    <row r="2802" spans="1:12">
      <c r="A2802" s="20" t="s">
        <v>1804</v>
      </c>
      <c r="B2802" s="21" t="s">
        <v>635</v>
      </c>
      <c r="E2802" s="22">
        <f>IF(D2802="?OLD","!!!","")</f>
        <v/>
      </c>
      <c r="F2802" s="23" t="str">
        <f>IF(OR(E2802="",E2802="!!!"),"",IF(NOT(ISNA(VLOOKUP(E2802,E$1:E2801,1,FALSE()))),"OLD",IF(AND(E2802&lt;&gt;"",E2802&lt;&gt;"!!!"),"NEW","")))</f>
        <v> </v>
      </c>
      <c r="G2802" s="24" t="str">
        <f>IF(OR(E2802="",E2802="!!!"),"",IF(OR(J2802=0,AND(J2802=1,K2802=1),AND(J2802=1,I2802="SBJ"),AND(J2802=1,I2802=0)),"?IN_FOCUS",IF(J2802&lt;=2,"?ACTIVATED",IF(J2802&lt;&gt;"","?FAMILIAR",IF(F2802="NEW",IF(ISNA(VLOOKUP(E2802,#REF!,1,FALSE())),"?TYPE_IDENTIFIABLE","?REFERENTIAL"),"_")))))</f>
        <v> </v>
      </c>
      <c r="H2802" s="25" t="str">
        <f>IF(J2802&lt;&gt;1,"",IF(I2802="SBJ","CB","?"))</f>
        <v> </v>
      </c>
      <c r="I2802" s="26" t="str">
        <f>IF(OR(E2802="",E2802="!!!",F2802="NEW"),"",INDEX(B2801:B$2,-1+SUMPRODUCT(MAX(ROW(E2801:E$2)*(E2802=E2801:E$2)))))</f>
        <v> </v>
      </c>
      <c r="J2802" s="26" t="str">
        <f>IF(OR(E2802="",E2802="!!!",F2802="NEW"),"",COUNTBLANK(OFFSET(A$1,,,SUMPRODUCT(MAX(ROW(E$2:E2802)*(E2802=E$2:E2802)))))-COUNTBLANK(OFFSET(A$1,,,SUMPRODUCT(MAX(ROW(E$1:E2801)*(E2=E$1:E2801))))))</f>
        <v> </v>
      </c>
      <c r="K2802" s="26" t="str">
        <f>IF(OR(E2802="",E2802="!!!",F2802="NEW"),"",INDEX(J$1:J2801,SUMPRODUCT(MAX(ROW(E$1:E2801)*(E2802=E$1:E2801)))))</f>
        <v> </v>
      </c>
      <c r="L2802" s="27"/>
    </row>
    <row r="2803" spans="1:12">
      <c r="A2803" s="20" t="s">
        <v>630</v>
      </c>
      <c r="E2803" s="22">
        <f>IF(D2803="?OLD","!!!","")</f>
        <v/>
      </c>
      <c r="F2803" s="23" t="str">
        <f>IF(OR(E2803="",E2803="!!!"),"",IF(NOT(ISNA(VLOOKUP(E2803,E$1:E2802,1,FALSE()))),"OLD",IF(AND(E2803&lt;&gt;"",E2803&lt;&gt;"!!!"),"NEW","")))</f>
        <v> </v>
      </c>
      <c r="G2803" s="24" t="str">
        <f>IF(OR(E2803="",E2803="!!!"),"",IF(OR(J2803=0,AND(J2803=1,K2803=1),AND(J2803=1,I2803="SBJ"),AND(J2803=1,I2803=0)),"?IN_FOCUS",IF(J2803&lt;=2,"?ACTIVATED",IF(J2803&lt;&gt;"","?FAMILIAR",IF(F2803="NEW",IF(ISNA(VLOOKUP(E2803,#REF!,1,FALSE())),"?TYPE_IDENTIFIABLE","?REFERENTIAL"),"_")))))</f>
        <v> </v>
      </c>
      <c r="H2803" s="25" t="str">
        <f>IF(J2803&lt;&gt;1,"",IF(I2803="SBJ","CB","?"))</f>
        <v> </v>
      </c>
      <c r="I2803" s="26" t="str">
        <f>IF(OR(E2803="",E2803="!!!",F2803="NEW"),"",INDEX(B2802:B$2,-1+SUMPRODUCT(MAX(ROW(E2802:E$2)*(E2803=E2802:E$2)))))</f>
        <v> </v>
      </c>
      <c r="J2803" s="26" t="str">
        <f>IF(OR(E2803="",E2803="!!!",F2803="NEW"),"",COUNTBLANK(OFFSET(A$1,,,SUMPRODUCT(MAX(ROW(E$2:E2803)*(E2803=E$2:E2803)))))-COUNTBLANK(OFFSET(A$1,,,SUMPRODUCT(MAX(ROW(E$1:E2802)*(E2=E$1:E2802))))))</f>
        <v> </v>
      </c>
      <c r="K2803" s="26" t="str">
        <f>IF(OR(E2803="",E2803="!!!",F2803="NEW"),"",INDEX(J$1:J2802,SUMPRODUCT(MAX(ROW(E$1:E2802)*(E2803=E$1:E2802)))))</f>
        <v> </v>
      </c>
      <c r="L2803" s="27"/>
    </row>
    <row r="2804" spans="1:12">
      <c r="A2804" s="20" t="s">
        <v>1805</v>
      </c>
      <c r="E2804" s="22">
        <f>IF(D2804="?OLD","!!!","")</f>
        <v/>
      </c>
      <c r="F2804" s="23" t="str">
        <f>IF(OR(E2804="",E2804="!!!"),"",IF(NOT(ISNA(VLOOKUP(E2804,E$1:E2803,1,FALSE()))),"OLD",IF(AND(E2804&lt;&gt;"",E2804&lt;&gt;"!!!"),"NEW","")))</f>
        <v> </v>
      </c>
      <c r="G2804" s="24" t="str">
        <f>IF(OR(E2804="",E2804="!!!"),"",IF(OR(J2804=0,AND(J2804=1,K2804=1),AND(J2804=1,I2804="SBJ"),AND(J2804=1,I2804=0)),"?IN_FOCUS",IF(J2804&lt;=2,"?ACTIVATED",IF(J2804&lt;&gt;"","?FAMILIAR",IF(F2804="NEW",IF(ISNA(VLOOKUP(E2804,#REF!,1,FALSE())),"?TYPE_IDENTIFIABLE","?REFERENTIAL"),"_")))))</f>
        <v> </v>
      </c>
      <c r="H2804" s="25" t="str">
        <f>IF(J2804&lt;&gt;1,"",IF(I2804="SBJ","CB","?"))</f>
        <v> </v>
      </c>
      <c r="I2804" s="26" t="str">
        <f>IF(OR(E2804="",E2804="!!!",F2804="NEW"),"",INDEX(B2803:B$2,-1+SUMPRODUCT(MAX(ROW(E2803:E$2)*(E2804=E2803:E$2)))))</f>
        <v> </v>
      </c>
      <c r="J2804" s="26" t="str">
        <f>IF(OR(E2804="",E2804="!!!",F2804="NEW"),"",COUNTBLANK(OFFSET(A$1,,,SUMPRODUCT(MAX(ROW(E$2:E2804)*(E2804=E$2:E2804)))))-COUNTBLANK(OFFSET(A$1,,,SUMPRODUCT(MAX(ROW(E$1:E2803)*(E2=E$1:E2803))))))</f>
        <v> </v>
      </c>
      <c r="K2804" s="26" t="str">
        <f>IF(OR(E2804="",E2804="!!!",F2804="NEW"),"",INDEX(J$1:J2803,SUMPRODUCT(MAX(ROW(E$1:E2803)*(E2804=E$1:E2803)))))</f>
        <v> </v>
      </c>
      <c r="L2804" s="27"/>
    </row>
    <row r="2805" spans="1:12">
      <c r="A2805" s="20" t="s">
        <v>1806</v>
      </c>
      <c r="E2805" s="22">
        <f>IF(D2805="?OLD","!!!","")</f>
        <v/>
      </c>
      <c r="F2805" s="23" t="str">
        <f>IF(OR(E2805="",E2805="!!!"),"",IF(NOT(ISNA(VLOOKUP(E2805,E$1:E2804,1,FALSE()))),"OLD",IF(AND(E2805&lt;&gt;"",E2805&lt;&gt;"!!!"),"NEW","")))</f>
        <v> </v>
      </c>
      <c r="G2805" s="24" t="str">
        <f>IF(OR(E2805="",E2805="!!!"),"",IF(OR(J2805=0,AND(J2805=1,K2805=1),AND(J2805=1,I2805="SBJ"),AND(J2805=1,I2805=0)),"?IN_FOCUS",IF(J2805&lt;=2,"?ACTIVATED",IF(J2805&lt;&gt;"","?FAMILIAR",IF(F2805="NEW",IF(ISNA(VLOOKUP(E2805,#REF!,1,FALSE())),"?TYPE_IDENTIFIABLE","?REFERENTIAL"),"_")))))</f>
        <v> </v>
      </c>
      <c r="H2805" s="25" t="str">
        <f>IF(J2805&lt;&gt;1,"",IF(I2805="SBJ","CB","?"))</f>
        <v> </v>
      </c>
      <c r="I2805" s="26" t="str">
        <f>IF(OR(E2805="",E2805="!!!",F2805="NEW"),"",INDEX(B2804:B$2,-1+SUMPRODUCT(MAX(ROW(E2804:E$2)*(E2805=E2804:E$2)))))</f>
        <v> </v>
      </c>
      <c r="J2805" s="26" t="str">
        <f>IF(OR(E2805="",E2805="!!!",F2805="NEW"),"",COUNTBLANK(OFFSET(A$1,,,SUMPRODUCT(MAX(ROW(E$2:E2805)*(E2805=E$2:E2805)))))-COUNTBLANK(OFFSET(A$1,,,SUMPRODUCT(MAX(ROW(E$1:E2804)*(E2=E$1:E2804))))))</f>
        <v> </v>
      </c>
      <c r="K2805" s="26" t="str">
        <f>IF(OR(E2805="",E2805="!!!",F2805="NEW"),"",INDEX(J$1:J2804,SUMPRODUCT(MAX(ROW(E$1:E2804)*(E2805=E$1:E2804)))))</f>
        <v> </v>
      </c>
      <c r="L2805" s="27"/>
    </row>
    <row r="2806" spans="1:12">
      <c r="A2806" s="20" t="s">
        <v>1807</v>
      </c>
      <c r="E2806" s="22">
        <f>IF(D2806="?OLD","!!!","")</f>
        <v/>
      </c>
      <c r="F2806" s="23" t="str">
        <f>IF(OR(E2806="",E2806="!!!"),"",IF(NOT(ISNA(VLOOKUP(E2806,E$1:E2805,1,FALSE()))),"OLD",IF(AND(E2806&lt;&gt;"",E2806&lt;&gt;"!!!"),"NEW","")))</f>
        <v> </v>
      </c>
      <c r="G2806" s="24" t="str">
        <f>IF(OR(E2806="",E2806="!!!"),"",IF(OR(J2806=0,AND(J2806=1,K2806=1),AND(J2806=1,I2806="SBJ"),AND(J2806=1,I2806=0)),"?IN_FOCUS",IF(J2806&lt;=2,"?ACTIVATED",IF(J2806&lt;&gt;"","?FAMILIAR",IF(F2806="NEW",IF(ISNA(VLOOKUP(E2806,#REF!,1,FALSE())),"?TYPE_IDENTIFIABLE","?REFERENTIAL"),"_")))))</f>
        <v> </v>
      </c>
      <c r="H2806" s="25" t="str">
        <f>IF(J2806&lt;&gt;1,"",IF(I2806="SBJ","CB","?"))</f>
        <v> </v>
      </c>
      <c r="I2806" s="26" t="str">
        <f>IF(OR(E2806="",E2806="!!!",F2806="NEW"),"",INDEX(B2805:B$2,-1+SUMPRODUCT(MAX(ROW(E2805:E$2)*(E2806=E2805:E$2)))))</f>
        <v> </v>
      </c>
      <c r="J2806" s="26" t="str">
        <f>IF(OR(E2806="",E2806="!!!",F2806="NEW"),"",COUNTBLANK(OFFSET(A$1,,,SUMPRODUCT(MAX(ROW(E$2:E2806)*(E2806=E$2:E2806)))))-COUNTBLANK(OFFSET(A$1,,,SUMPRODUCT(MAX(ROW(E$1:E2805)*(E2=E$1:E2805))))))</f>
        <v> </v>
      </c>
      <c r="K2806" s="26" t="str">
        <f>IF(OR(E2806="",E2806="!!!",F2806="NEW"),"",INDEX(J$1:J2805,SUMPRODUCT(MAX(ROW(E$1:E2805)*(E2806=E$1:E2805)))))</f>
        <v> </v>
      </c>
      <c r="L2806" s="27"/>
    </row>
    <row r="2807" spans="1:12">
      <c r="A2807" s="20" t="s">
        <v>1717</v>
      </c>
      <c r="B2807" s="21" t="s">
        <v>892</v>
      </c>
      <c r="E2807" s="22">
        <f>IF(D2807="?OLD","!!!","")</f>
        <v/>
      </c>
      <c r="F2807" s="23" t="str">
        <f>IF(OR(E2807="",E2807="!!!"),"",IF(NOT(ISNA(VLOOKUP(E2807,E$1:E2806,1,FALSE()))),"OLD",IF(AND(E2807&lt;&gt;"",E2807&lt;&gt;"!!!"),"NEW","")))</f>
        <v> </v>
      </c>
      <c r="G2807" s="24" t="str">
        <f>IF(OR(E2807="",E2807="!!!"),"",IF(OR(J2807=0,AND(J2807=1,K2807=1),AND(J2807=1,I2807="SBJ"),AND(J2807=1,I2807=0)),"?IN_FOCUS",IF(J2807&lt;=2,"?ACTIVATED",IF(J2807&lt;&gt;"","?FAMILIAR",IF(F2807="NEW",IF(ISNA(VLOOKUP(E2807,#REF!,1,FALSE())),"?TYPE_IDENTIFIABLE","?REFERENTIAL"),"_")))))</f>
        <v> </v>
      </c>
      <c r="H2807" s="25" t="str">
        <f>IF(J2807&lt;&gt;1,"",IF(I2807="SBJ","CB","?"))</f>
        <v> </v>
      </c>
      <c r="I2807" s="26" t="str">
        <f>IF(OR(E2807="",E2807="!!!",F2807="NEW"),"",INDEX(B2806:B$2,-1+SUMPRODUCT(MAX(ROW(E2806:E$2)*(E2807=E2806:E$2)))))</f>
        <v> </v>
      </c>
      <c r="J2807" s="26" t="str">
        <f>IF(OR(E2807="",E2807="!!!",F2807="NEW"),"",COUNTBLANK(OFFSET(A$1,,,SUMPRODUCT(MAX(ROW(E$2:E2807)*(E2807=E$2:E2807)))))-COUNTBLANK(OFFSET(A$1,,,SUMPRODUCT(MAX(ROW(E$1:E2806)*(E2=E$1:E2806))))))</f>
        <v> </v>
      </c>
      <c r="K2807" s="26" t="str">
        <f>IF(OR(E2807="",E2807="!!!",F2807="NEW"),"",INDEX(J$1:J2806,SUMPRODUCT(MAX(ROW(E$1:E2806)*(E2807=E$1:E2806)))))</f>
        <v> </v>
      </c>
      <c r="L2807" s="27"/>
    </row>
    <row r="2808" spans="1:12">
      <c r="A2808" s="20" t="s">
        <v>583</v>
      </c>
      <c r="E2808" s="22">
        <f>IF(D2808="?OLD","!!!","")</f>
        <v/>
      </c>
      <c r="F2808" s="23" t="str">
        <f>IF(OR(E2808="",E2808="!!!"),"",IF(NOT(ISNA(VLOOKUP(E2808,E$1:E2807,1,FALSE()))),"OLD",IF(AND(E2808&lt;&gt;"",E2808&lt;&gt;"!!!"),"NEW","")))</f>
        <v> </v>
      </c>
      <c r="G2808" s="24" t="str">
        <f>IF(OR(E2808="",E2808="!!!"),"",IF(OR(J2808=0,AND(J2808=1,K2808=1),AND(J2808=1,I2808="SBJ"),AND(J2808=1,I2808=0)),"?IN_FOCUS",IF(J2808&lt;=2,"?ACTIVATED",IF(J2808&lt;&gt;"","?FAMILIAR",IF(F2808="NEW",IF(ISNA(VLOOKUP(E2808,#REF!,1,FALSE())),"?TYPE_IDENTIFIABLE","?REFERENTIAL"),"_")))))</f>
        <v> </v>
      </c>
      <c r="H2808" s="25" t="str">
        <f>IF(J2808&lt;&gt;1,"",IF(I2808="SBJ","CB","?"))</f>
        <v> </v>
      </c>
      <c r="I2808" s="26" t="str">
        <f>IF(OR(E2808="",E2808="!!!",F2808="NEW"),"",INDEX(B2807:B$2,-1+SUMPRODUCT(MAX(ROW(E2807:E$2)*(E2808=E2807:E$2)))))</f>
        <v> </v>
      </c>
      <c r="J2808" s="26" t="str">
        <f>IF(OR(E2808="",E2808="!!!",F2808="NEW"),"",COUNTBLANK(OFFSET(A$1,,,SUMPRODUCT(MAX(ROW(E$2:E2808)*(E2808=E$2:E2808)))))-COUNTBLANK(OFFSET(A$1,,,SUMPRODUCT(MAX(ROW(E$1:E2807)*(E2=E$1:E2807))))))</f>
        <v> </v>
      </c>
      <c r="K2808" s="26" t="str">
        <f>IF(OR(E2808="",E2808="!!!",F2808="NEW"),"",INDEX(J$1:J2807,SUMPRODUCT(MAX(ROW(E$1:E2807)*(E2808=E$1:E2807)))))</f>
        <v> </v>
      </c>
      <c r="L2808" s="27"/>
    </row>
    <row r="2809" spans="1:12">
      <c r="A2809" s="20" t="s">
        <v>1808</v>
      </c>
      <c r="E2809" s="22">
        <f>IF(D2809="?OLD","!!!","")</f>
        <v/>
      </c>
      <c r="F2809" s="23" t="str">
        <f>IF(OR(E2809="",E2809="!!!"),"",IF(NOT(ISNA(VLOOKUP(E2809,E$1:E2808,1,FALSE()))),"OLD",IF(AND(E2809&lt;&gt;"",E2809&lt;&gt;"!!!"),"NEW","")))</f>
        <v> </v>
      </c>
      <c r="G2809" s="24" t="str">
        <f>IF(OR(E2809="",E2809="!!!"),"",IF(OR(J2809=0,AND(J2809=1,K2809=1),AND(J2809=1,I2809="SBJ"),AND(J2809=1,I2809=0)),"?IN_FOCUS",IF(J2809&lt;=2,"?ACTIVATED",IF(J2809&lt;&gt;"","?FAMILIAR",IF(F2809="NEW",IF(ISNA(VLOOKUP(E2809,#REF!,1,FALSE())),"?TYPE_IDENTIFIABLE","?REFERENTIAL"),"_")))))</f>
        <v> </v>
      </c>
      <c r="H2809" s="25" t="str">
        <f>IF(J2809&lt;&gt;1,"",IF(I2809="SBJ","CB","?"))</f>
        <v> </v>
      </c>
      <c r="I2809" s="26" t="str">
        <f>IF(OR(E2809="",E2809="!!!",F2809="NEW"),"",INDEX(B2808:B$2,-1+SUMPRODUCT(MAX(ROW(E2808:E$2)*(E2809=E2808:E$2)))))</f>
        <v> </v>
      </c>
      <c r="J2809" s="26" t="str">
        <f>IF(OR(E2809="",E2809="!!!",F2809="NEW"),"",COUNTBLANK(OFFSET(A$1,,,SUMPRODUCT(MAX(ROW(E$2:E2809)*(E2809=E$2:E2809)))))-COUNTBLANK(OFFSET(A$1,,,SUMPRODUCT(MAX(ROW(E$1:E2808)*(E2=E$1:E2808))))))</f>
        <v> </v>
      </c>
      <c r="K2809" s="26" t="str">
        <f>IF(OR(E2809="",E2809="!!!",F2809="NEW"),"",INDEX(J$1:J2808,SUMPRODUCT(MAX(ROW(E$1:E2808)*(E2809=E$1:E2808)))))</f>
        <v> </v>
      </c>
      <c r="L2809" s="27"/>
    </row>
    <row r="2810" spans="1:12">
      <c r="A2810" s="20" t="s">
        <v>748</v>
      </c>
      <c r="E2810" s="22">
        <f>IF(D2810="?OLD","!!!","")</f>
        <v/>
      </c>
      <c r="F2810" s="23" t="str">
        <f>IF(OR(E2810="",E2810="!!!"),"",IF(NOT(ISNA(VLOOKUP(E2810,E$1:E2809,1,FALSE()))),"OLD",IF(AND(E2810&lt;&gt;"",E2810&lt;&gt;"!!!"),"NEW","")))</f>
        <v> </v>
      </c>
      <c r="G2810" s="24" t="str">
        <f>IF(OR(E2810="",E2810="!!!"),"",IF(OR(J2810=0,AND(J2810=1,K2810=1),AND(J2810=1,I2810="SBJ"),AND(J2810=1,I2810=0)),"?IN_FOCUS",IF(J2810&lt;=2,"?ACTIVATED",IF(J2810&lt;&gt;"","?FAMILIAR",IF(F2810="NEW",IF(ISNA(VLOOKUP(E2810,#REF!,1,FALSE())),"?TYPE_IDENTIFIABLE","?REFERENTIAL"),"_")))))</f>
        <v> </v>
      </c>
      <c r="H2810" s="25" t="str">
        <f>IF(J2810&lt;&gt;1,"",IF(I2810="SBJ","CB","?"))</f>
        <v> </v>
      </c>
      <c r="I2810" s="26" t="str">
        <f>IF(OR(E2810="",E2810="!!!",F2810="NEW"),"",INDEX(B2809:B$2,-1+SUMPRODUCT(MAX(ROW(E2809:E$2)*(E2810=E2809:E$2)))))</f>
        <v> </v>
      </c>
      <c r="J2810" s="26" t="str">
        <f>IF(OR(E2810="",E2810="!!!",F2810="NEW"),"",COUNTBLANK(OFFSET(A$1,,,SUMPRODUCT(MAX(ROW(E$2:E2810)*(E2810=E$2:E2810)))))-COUNTBLANK(OFFSET(A$1,,,SUMPRODUCT(MAX(ROW(E$1:E2809)*(E2=E$1:E2809))))))</f>
        <v> </v>
      </c>
      <c r="K2810" s="26" t="str">
        <f>IF(OR(E2810="",E2810="!!!",F2810="NEW"),"",INDEX(J$1:J2809,SUMPRODUCT(MAX(ROW(E$1:E2809)*(E2810=E$1:E2809)))))</f>
        <v> </v>
      </c>
      <c r="L2810" s="27"/>
    </row>
    <row r="2811" spans="1:12">
      <c r="A2811" s="20" t="s">
        <v>1809</v>
      </c>
      <c r="E2811" s="22">
        <f>IF(D2811="?OLD","!!!","")</f>
        <v/>
      </c>
      <c r="F2811" s="23" t="str">
        <f>IF(OR(E2811="",E2811="!!!"),"",IF(NOT(ISNA(VLOOKUP(E2811,E$1:E2810,1,FALSE()))),"OLD",IF(AND(E2811&lt;&gt;"",E2811&lt;&gt;"!!!"),"NEW","")))</f>
        <v> </v>
      </c>
      <c r="G2811" s="24" t="str">
        <f>IF(OR(E2811="",E2811="!!!"),"",IF(OR(J2811=0,AND(J2811=1,K2811=1),AND(J2811=1,I2811="SBJ"),AND(J2811=1,I2811=0)),"?IN_FOCUS",IF(J2811&lt;=2,"?ACTIVATED",IF(J2811&lt;&gt;"","?FAMILIAR",IF(F2811="NEW",IF(ISNA(VLOOKUP(E2811,#REF!,1,FALSE())),"?TYPE_IDENTIFIABLE","?REFERENTIAL"),"_")))))</f>
        <v> </v>
      </c>
      <c r="H2811" s="25" t="str">
        <f>IF(J2811&lt;&gt;1,"",IF(I2811="SBJ","CB","?"))</f>
        <v> </v>
      </c>
      <c r="I2811" s="26" t="str">
        <f>IF(OR(E2811="",E2811="!!!",F2811="NEW"),"",INDEX(B2810:B$2,-1+SUMPRODUCT(MAX(ROW(E2810:E$2)*(E2811=E2810:E$2)))))</f>
        <v> </v>
      </c>
      <c r="J2811" s="26" t="str">
        <f>IF(OR(E2811="",E2811="!!!",F2811="NEW"),"",COUNTBLANK(OFFSET(A$1,,,SUMPRODUCT(MAX(ROW(E$2:E2811)*(E2811=E$2:E2811)))))-COUNTBLANK(OFFSET(A$1,,,SUMPRODUCT(MAX(ROW(E$1:E2810)*(E2=E$1:E2810))))))</f>
        <v> </v>
      </c>
      <c r="K2811" s="26" t="str">
        <f>IF(OR(E2811="",E2811="!!!",F2811="NEW"),"",INDEX(J$1:J2810,SUMPRODUCT(MAX(ROW(E$1:E2810)*(E2811=E$1:E2810)))))</f>
        <v> </v>
      </c>
      <c r="L2811" s="27"/>
    </row>
    <row r="2812" spans="1:12">
      <c r="A2812" s="20" t="s">
        <v>786</v>
      </c>
      <c r="B2812" s="21" t="s">
        <v>645</v>
      </c>
      <c r="C2812" s="21" t="s">
        <v>787</v>
      </c>
      <c r="D2812" s="21" t="s">
        <v>587</v>
      </c>
      <c r="E2812" s="22">
        <f>IF(D2812="?OLD","!!!","")</f>
        <v/>
      </c>
      <c r="F2812" s="23" t="str">
        <f>IF(OR(E2812="",E2812="!!!"),"",IF(NOT(ISNA(VLOOKUP(E2812,E$1:E2811,1,FALSE()))),"OLD",IF(AND(E2812&lt;&gt;"",E2812&lt;&gt;"!!!"),"NEW","")))</f>
        <v> </v>
      </c>
      <c r="G2812" s="24" t="str">
        <f>IF(OR(E2812="",E2812="!!!"),"",IF(OR(J2812=0,AND(J2812=1,K2812=1),AND(J2812=1,I2812="SBJ"),AND(J2812=1,I2812=0)),"?IN_FOCUS",IF(J2812&lt;=2,"?ACTIVATED",IF(J2812&lt;&gt;"","?FAMILIAR",IF(F2812="NEW",IF(ISNA(VLOOKUP(E2812,#REF!,1,FALSE())),"?TYPE_IDENTIFIABLE","?REFERENTIAL"),"_")))))</f>
        <v> </v>
      </c>
      <c r="H2812" s="25" t="str">
        <f>IF(J2812&lt;&gt;1,"",IF(I2812="SBJ","CB","?"))</f>
        <v> </v>
      </c>
      <c r="I2812" s="26" t="str">
        <f>IF(OR(E2812="",E2812="!!!",F2812="NEW"),"",INDEX(B2811:B$2,-1+SUMPRODUCT(MAX(ROW(E2811:E$2)*(E2812=E2811:E$2)))))</f>
        <v> </v>
      </c>
      <c r="J2812" s="26" t="str">
        <f>IF(OR(E2812="",E2812="!!!",F2812="NEW"),"",COUNTBLANK(OFFSET(A$1,,,SUMPRODUCT(MAX(ROW(E$2:E2812)*(E2812=E$2:E2812)))))-COUNTBLANK(OFFSET(A$1,,,SUMPRODUCT(MAX(ROW(E$1:E2811)*(E2=E$1:E2811))))))</f>
        <v> </v>
      </c>
      <c r="K2812" s="26" t="str">
        <f>IF(OR(E2812="",E2812="!!!",F2812="NEW"),"",INDEX(J$1:J2811,SUMPRODUCT(MAX(ROW(E$1:E2811)*(E2812=E$1:E2811)))))</f>
        <v> </v>
      </c>
      <c r="L2812" s="27"/>
    </row>
    <row r="2813" spans="1:12">
      <c r="A2813" s="20" t="s">
        <v>1717</v>
      </c>
      <c r="B2813" s="21" t="s">
        <v>892</v>
      </c>
      <c r="E2813" s="22">
        <f>IF(D2813="?OLD","!!!","")</f>
        <v/>
      </c>
      <c r="F2813" s="23" t="str">
        <f>IF(OR(E2813="",E2813="!!!"),"",IF(NOT(ISNA(VLOOKUP(E2813,E$1:E2812,1,FALSE()))),"OLD",IF(AND(E2813&lt;&gt;"",E2813&lt;&gt;"!!!"),"NEW","")))</f>
        <v> </v>
      </c>
      <c r="G2813" s="24" t="str">
        <f>IF(OR(E2813="",E2813="!!!"),"",IF(OR(J2813=0,AND(J2813=1,K2813=1),AND(J2813=1,I2813="SBJ"),AND(J2813=1,I2813=0)),"?IN_FOCUS",IF(J2813&lt;=2,"?ACTIVATED",IF(J2813&lt;&gt;"","?FAMILIAR",IF(F2813="NEW",IF(ISNA(VLOOKUP(E2813,#REF!,1,FALSE())),"?TYPE_IDENTIFIABLE","?REFERENTIAL"),"_")))))</f>
        <v> </v>
      </c>
      <c r="H2813" s="25" t="str">
        <f>IF(J2813&lt;&gt;1,"",IF(I2813="SBJ","CB","?"))</f>
        <v> </v>
      </c>
      <c r="I2813" s="26" t="str">
        <f>IF(OR(E2813="",E2813="!!!",F2813="NEW"),"",INDEX(B2812:B$2,-1+SUMPRODUCT(MAX(ROW(E2812:E$2)*(E2813=E2812:E$2)))))</f>
        <v> </v>
      </c>
      <c r="J2813" s="26" t="str">
        <f>IF(OR(E2813="",E2813="!!!",F2813="NEW"),"",COUNTBLANK(OFFSET(A$1,,,SUMPRODUCT(MAX(ROW(E$2:E2813)*(E2813=E$2:E2813)))))-COUNTBLANK(OFFSET(A$1,,,SUMPRODUCT(MAX(ROW(E$1:E2812)*(E2=E$1:E2812))))))</f>
        <v> </v>
      </c>
      <c r="K2813" s="26" t="str">
        <f>IF(OR(E2813="",E2813="!!!",F2813="NEW"),"",INDEX(J$1:J2812,SUMPRODUCT(MAX(ROW(E$1:E2812)*(E2813=E$1:E2812)))))</f>
        <v> </v>
      </c>
      <c r="L2813" s="27"/>
    </row>
    <row r="2814" spans="1:12">
      <c r="A2814" s="20" t="s">
        <v>592</v>
      </c>
      <c r="E2814" s="22">
        <f>IF(D2814="?OLD","!!!","")</f>
        <v/>
      </c>
      <c r="F2814" s="23" t="str">
        <f>IF(OR(E2814="",E2814="!!!"),"",IF(NOT(ISNA(VLOOKUP(E2814,E$1:E2813,1,FALSE()))),"OLD",IF(AND(E2814&lt;&gt;"",E2814&lt;&gt;"!!!"),"NEW","")))</f>
        <v> </v>
      </c>
      <c r="G2814" s="24" t="str">
        <f>IF(OR(E2814="",E2814="!!!"),"",IF(OR(J2814=0,AND(J2814=1,K2814=1),AND(J2814=1,I2814="SBJ"),AND(J2814=1,I2814=0)),"?IN_FOCUS",IF(J2814&lt;=2,"?ACTIVATED",IF(J2814&lt;&gt;"","?FAMILIAR",IF(F2814="NEW",IF(ISNA(VLOOKUP(E2814,#REF!,1,FALSE())),"?TYPE_IDENTIFIABLE","?REFERENTIAL"),"_")))))</f>
        <v> </v>
      </c>
      <c r="H2814" s="25" t="str">
        <f>IF(J2814&lt;&gt;1,"",IF(I2814="SBJ","CB","?"))</f>
        <v> </v>
      </c>
      <c r="I2814" s="26" t="str">
        <f>IF(OR(E2814="",E2814="!!!",F2814="NEW"),"",INDEX(B2813:B$2,-1+SUMPRODUCT(MAX(ROW(E2813:E$2)*(E2814=E2813:E$2)))))</f>
        <v> </v>
      </c>
      <c r="J2814" s="26" t="str">
        <f>IF(OR(E2814="",E2814="!!!",F2814="NEW"),"",COUNTBLANK(OFFSET(A$1,,,SUMPRODUCT(MAX(ROW(E$2:E2814)*(E2814=E$2:E2814)))))-COUNTBLANK(OFFSET(A$1,,,SUMPRODUCT(MAX(ROW(E$1:E2813)*(E2=E$1:E2813))))))</f>
        <v> </v>
      </c>
      <c r="K2814" s="26" t="str">
        <f>IF(OR(E2814="",E2814="!!!",F2814="NEW"),"",INDEX(J$1:J2813,SUMPRODUCT(MAX(ROW(E$1:E2813)*(E2814=E$1:E2813)))))</f>
        <v> </v>
      </c>
      <c r="L2814" s="27"/>
    </row>
    <row r="2815" spans="1:12">
      <c r="A2815" s="20"/>
    </row>
    <row r="2816" spans="1:12">
      <c r="A2816" s="20" t="s">
        <v>1810</v>
      </c>
    </row>
    <row r="2817" spans="1:12">
      <c r="A2817" s="20" t="s">
        <v>1811</v>
      </c>
      <c r="E2817" s="22">
        <f>IF(D2817="?OLD","!!!","")</f>
        <v/>
      </c>
      <c r="F2817" s="23" t="str">
        <f>IF(OR(E2817="",E2817="!!!"),"",IF(NOT(ISNA(VLOOKUP(E2817,E$1:E2816,1,FALSE()))),"OLD",IF(AND(E2817&lt;&gt;"",E2817&lt;&gt;"!!!"),"NEW","")))</f>
        <v> </v>
      </c>
      <c r="G2817" s="24" t="str">
        <f>IF(OR(E2817="",E2817="!!!"),"",IF(OR(J2817=0,AND(J2817=1,K2817=1),AND(J2817=1,I2817="SBJ"),AND(J2817=1,I2817=0)),"?IN_FOCUS",IF(J2817&lt;=2,"?ACTIVATED",IF(J2817&lt;&gt;"","?FAMILIAR",IF(F2817="NEW",IF(ISNA(VLOOKUP(E2817,#REF!,1,FALSE())),"?TYPE_IDENTIFIABLE","?REFERENTIAL"),"_")))))</f>
        <v> </v>
      </c>
      <c r="H2817" s="25" t="str">
        <f>IF(J2817&lt;&gt;1,"",IF(I2817="SBJ","CB","?"))</f>
        <v> </v>
      </c>
      <c r="I2817" s="26" t="str">
        <f>IF(OR(E2817="",E2817="!!!",F2817="NEW"),"",INDEX(B2816:B$2,-1+SUMPRODUCT(MAX(ROW(E2816:E$2)*(E2817=E2816:E$2)))))</f>
        <v> </v>
      </c>
      <c r="J2817" s="26" t="str">
        <f>IF(OR(E2817="",E2817="!!!",F2817="NEW"),"",COUNTBLANK(OFFSET(A$1,,,SUMPRODUCT(MAX(ROW(E$2:E2817)*(E2817=E$2:E2817)))))-COUNTBLANK(OFFSET(A$1,,,SUMPRODUCT(MAX(ROW(E$1:E2816)*(E2=E$1:E2816))))))</f>
        <v> </v>
      </c>
      <c r="K2817" s="26" t="str">
        <f>IF(OR(E2817="",E2817="!!!",F2817="NEW"),"",INDEX(J$1:J2816,SUMPRODUCT(MAX(ROW(E$1:E2816)*(E2817=E$1:E2816)))))</f>
        <v> </v>
      </c>
      <c r="L2817" s="27"/>
    </row>
    <row r="2818" spans="1:12">
      <c r="A2818" s="20" t="s">
        <v>1070</v>
      </c>
      <c r="B2818" s="21" t="s">
        <v>578</v>
      </c>
      <c r="E2818" s="22">
        <f>IF(D2818="?OLD","!!!","")</f>
        <v/>
      </c>
      <c r="F2818" s="23" t="str">
        <f>IF(OR(E2818="",E2818="!!!"),"",IF(NOT(ISNA(VLOOKUP(E2818,E$1:E2817,1,FALSE()))),"OLD",IF(AND(E2818&lt;&gt;"",E2818&lt;&gt;"!!!"),"NEW","")))</f>
        <v> </v>
      </c>
      <c r="G2818" s="24" t="str">
        <f>IF(OR(E2818="",E2818="!!!"),"",IF(OR(J2818=0,AND(J2818=1,K2818=1),AND(J2818=1,I2818="SBJ"),AND(J2818=1,I2818=0)),"?IN_FOCUS",IF(J2818&lt;=2,"?ACTIVATED",IF(J2818&lt;&gt;"","?FAMILIAR",IF(F2818="NEW",IF(ISNA(VLOOKUP(E2818,#REF!,1,FALSE())),"?TYPE_IDENTIFIABLE","?REFERENTIAL"),"_")))))</f>
        <v> </v>
      </c>
      <c r="H2818" s="25" t="str">
        <f>IF(J2818&lt;&gt;1,"",IF(I2818="SBJ","CB","?"))</f>
        <v> </v>
      </c>
      <c r="I2818" s="26" t="str">
        <f>IF(OR(E2818="",E2818="!!!",F2818="NEW"),"",INDEX(B2817:B$2,-1+SUMPRODUCT(MAX(ROW(E2817:E$2)*(E2818=E2817:E$2)))))</f>
        <v> </v>
      </c>
      <c r="J2818" s="26" t="str">
        <f>IF(OR(E2818="",E2818="!!!",F2818="NEW"),"",COUNTBLANK(OFFSET(A$1,,,SUMPRODUCT(MAX(ROW(E$2:E2818)*(E2818=E$2:E2818)))))-COUNTBLANK(OFFSET(A$1,,,SUMPRODUCT(MAX(ROW(E$1:E2817)*(E2=E$1:E2817))))))</f>
        <v> </v>
      </c>
      <c r="K2818" s="26" t="str">
        <f>IF(OR(E2818="",E2818="!!!",F2818="NEW"),"",INDEX(J$1:J2817,SUMPRODUCT(MAX(ROW(E$1:E2817)*(E2818=E$1:E2817)))))</f>
        <v> </v>
      </c>
      <c r="L2818" s="27"/>
    </row>
    <row r="2819" spans="1:12">
      <c r="A2819" s="20" t="s">
        <v>580</v>
      </c>
      <c r="E2819" s="22">
        <f>IF(D2819="?OLD","!!!","")</f>
        <v/>
      </c>
      <c r="F2819" s="23" t="str">
        <f>IF(OR(E2819="",E2819="!!!"),"",IF(NOT(ISNA(VLOOKUP(E2819,E$1:E2818,1,FALSE()))),"OLD",IF(AND(E2819&lt;&gt;"",E2819&lt;&gt;"!!!"),"NEW","")))</f>
        <v> </v>
      </c>
      <c r="G2819" s="24" t="str">
        <f>IF(OR(E2819="",E2819="!!!"),"",IF(OR(J2819=0,AND(J2819=1,K2819=1),AND(J2819=1,I2819="SBJ"),AND(J2819=1,I2819=0)),"?IN_FOCUS",IF(J2819&lt;=2,"?ACTIVATED",IF(J2819&lt;&gt;"","?FAMILIAR",IF(F2819="NEW",IF(ISNA(VLOOKUP(E2819,#REF!,1,FALSE())),"?TYPE_IDENTIFIABLE","?REFERENTIAL"),"_")))))</f>
        <v> </v>
      </c>
      <c r="H2819" s="25" t="str">
        <f>IF(J2819&lt;&gt;1,"",IF(I2819="SBJ","CB","?"))</f>
        <v> </v>
      </c>
      <c r="I2819" s="26" t="str">
        <f>IF(OR(E2819="",E2819="!!!",F2819="NEW"),"",INDEX(B2818:B$2,-1+SUMPRODUCT(MAX(ROW(E2818:E$2)*(E2819=E2818:E$2)))))</f>
        <v> </v>
      </c>
      <c r="J2819" s="26" t="str">
        <f>IF(OR(E2819="",E2819="!!!",F2819="NEW"),"",COUNTBLANK(OFFSET(A$1,,,SUMPRODUCT(MAX(ROW(E$2:E2819)*(E2819=E$2:E2819)))))-COUNTBLANK(OFFSET(A$1,,,SUMPRODUCT(MAX(ROW(E$1:E2818)*(E2=E$1:E2818))))))</f>
        <v> </v>
      </c>
      <c r="K2819" s="26" t="str">
        <f>IF(OR(E2819="",E2819="!!!",F2819="NEW"),"",INDEX(J$1:J2818,SUMPRODUCT(MAX(ROW(E$1:E2818)*(E2819=E$1:E2818)))))</f>
        <v> </v>
      </c>
      <c r="L2819" s="27"/>
    </row>
    <row r="2820" spans="1:12">
      <c r="A2820" s="20" t="s">
        <v>719</v>
      </c>
      <c r="B2820" s="21" t="s">
        <v>651</v>
      </c>
      <c r="C2820" s="21" t="s">
        <v>586</v>
      </c>
      <c r="D2820" s="21" t="s">
        <v>587</v>
      </c>
      <c r="E2820" s="22">
        <f>IF(D2820="?OLD","!!!","")</f>
        <v/>
      </c>
      <c r="F2820" s="23" t="str">
        <f>IF(OR(E2820="",E2820="!!!"),"",IF(NOT(ISNA(VLOOKUP(E2820,E$1:E2819,1,FALSE()))),"OLD",IF(AND(E2820&lt;&gt;"",E2820&lt;&gt;"!!!"),"NEW","")))</f>
        <v> </v>
      </c>
      <c r="G2820" s="24" t="str">
        <f>IF(OR(E2820="",E2820="!!!"),"",IF(OR(J2820=0,AND(J2820=1,K2820=1),AND(J2820=1,I2820="SBJ"),AND(J2820=1,I2820=0)),"?IN_FOCUS",IF(J2820&lt;=2,"?ACTIVATED",IF(J2820&lt;&gt;"","?FAMILIAR",IF(F2820="NEW",IF(ISNA(VLOOKUP(E2820,#REF!,1,FALSE())),"?TYPE_IDENTIFIABLE","?REFERENTIAL"),"_")))))</f>
        <v> </v>
      </c>
      <c r="H2820" s="25" t="str">
        <f>IF(J2820&lt;&gt;1,"",IF(I2820="SBJ","CB","?"))</f>
        <v> </v>
      </c>
      <c r="I2820" s="26" t="str">
        <f>IF(OR(E2820="",E2820="!!!",F2820="NEW"),"",INDEX(B2819:B$2,-1+SUMPRODUCT(MAX(ROW(E2819:E$2)*(E2820=E2819:E$2)))))</f>
        <v> </v>
      </c>
      <c r="J2820" s="26" t="str">
        <f>IF(OR(E2820="",E2820="!!!",F2820="NEW"),"",COUNTBLANK(OFFSET(A$1,,,SUMPRODUCT(MAX(ROW(E$2:E2820)*(E2820=E$2:E2820)))))-COUNTBLANK(OFFSET(A$1,,,SUMPRODUCT(MAX(ROW(E$1:E2819)*(E2=E$1:E2819))))))</f>
        <v> </v>
      </c>
      <c r="K2820" s="26" t="str">
        <f>IF(OR(E2820="",E2820="!!!",F2820="NEW"),"",INDEX(J$1:J2819,SUMPRODUCT(MAX(ROW(E$1:E2819)*(E2820=E$1:E2819)))))</f>
        <v> </v>
      </c>
      <c r="L2820" s="27"/>
    </row>
    <row r="2821" spans="1:12">
      <c r="A2821" s="20" t="s">
        <v>583</v>
      </c>
      <c r="E2821" s="22">
        <f>IF(D2821="?OLD","!!!","")</f>
        <v/>
      </c>
      <c r="F2821" s="23" t="str">
        <f>IF(OR(E2821="",E2821="!!!"),"",IF(NOT(ISNA(VLOOKUP(E2821,E$1:E2820,1,FALSE()))),"OLD",IF(AND(E2821&lt;&gt;"",E2821&lt;&gt;"!!!"),"NEW","")))</f>
        <v> </v>
      </c>
      <c r="G2821" s="24" t="str">
        <f>IF(OR(E2821="",E2821="!!!"),"",IF(OR(J2821=0,AND(J2821=1,K2821=1),AND(J2821=1,I2821="SBJ"),AND(J2821=1,I2821=0)),"?IN_FOCUS",IF(J2821&lt;=2,"?ACTIVATED",IF(J2821&lt;&gt;"","?FAMILIAR",IF(F2821="NEW",IF(ISNA(VLOOKUP(E2821,#REF!,1,FALSE())),"?TYPE_IDENTIFIABLE","?REFERENTIAL"),"_")))))</f>
        <v> </v>
      </c>
      <c r="H2821" s="25" t="str">
        <f>IF(J2821&lt;&gt;1,"",IF(I2821="SBJ","CB","?"))</f>
        <v> </v>
      </c>
      <c r="I2821" s="26" t="str">
        <f>IF(OR(E2821="",E2821="!!!",F2821="NEW"),"",INDEX(B2820:B$2,-1+SUMPRODUCT(MAX(ROW(E2820:E$2)*(E2821=E2820:E$2)))))</f>
        <v> </v>
      </c>
      <c r="J2821" s="26" t="str">
        <f>IF(OR(E2821="",E2821="!!!",F2821="NEW"),"",COUNTBLANK(OFFSET(A$1,,,SUMPRODUCT(MAX(ROW(E$2:E2821)*(E2821=E$2:E2821)))))-COUNTBLANK(OFFSET(A$1,,,SUMPRODUCT(MAX(ROW(E$1:E2820)*(E2=E$1:E2820))))))</f>
        <v> </v>
      </c>
      <c r="K2821" s="26" t="str">
        <f>IF(OR(E2821="",E2821="!!!",F2821="NEW"),"",INDEX(J$1:J2820,SUMPRODUCT(MAX(ROW(E$1:E2820)*(E2821=E$1:E2820)))))</f>
        <v> </v>
      </c>
      <c r="L2821" s="27"/>
    </row>
    <row r="2822" spans="1:12">
      <c r="A2822" s="20" t="s">
        <v>1812</v>
      </c>
      <c r="E2822" s="22">
        <f>IF(D2822="?OLD","!!!","")</f>
        <v/>
      </c>
      <c r="F2822" s="23" t="str">
        <f>IF(OR(E2822="",E2822="!!!"),"",IF(NOT(ISNA(VLOOKUP(E2822,E$1:E2821,1,FALSE()))),"OLD",IF(AND(E2822&lt;&gt;"",E2822&lt;&gt;"!!!"),"NEW","")))</f>
        <v> </v>
      </c>
      <c r="G2822" s="24" t="str">
        <f>IF(OR(E2822="",E2822="!!!"),"",IF(OR(J2822=0,AND(J2822=1,K2822=1),AND(J2822=1,I2822="SBJ"),AND(J2822=1,I2822=0)),"?IN_FOCUS",IF(J2822&lt;=2,"?ACTIVATED",IF(J2822&lt;&gt;"","?FAMILIAR",IF(F2822="NEW",IF(ISNA(VLOOKUP(E2822,#REF!,1,FALSE())),"?TYPE_IDENTIFIABLE","?REFERENTIAL"),"_")))))</f>
        <v> </v>
      </c>
      <c r="H2822" s="25" t="str">
        <f>IF(J2822&lt;&gt;1,"",IF(I2822="SBJ","CB","?"))</f>
        <v> </v>
      </c>
      <c r="I2822" s="26" t="str">
        <f>IF(OR(E2822="",E2822="!!!",F2822="NEW"),"",INDEX(B2821:B$2,-1+SUMPRODUCT(MAX(ROW(E2821:E$2)*(E2822=E2821:E$2)))))</f>
        <v> </v>
      </c>
      <c r="J2822" s="26" t="str">
        <f>IF(OR(E2822="",E2822="!!!",F2822="NEW"),"",COUNTBLANK(OFFSET(A$1,,,SUMPRODUCT(MAX(ROW(E$2:E2822)*(E2822=E$2:E2822)))))-COUNTBLANK(OFFSET(A$1,,,SUMPRODUCT(MAX(ROW(E$1:E2821)*(E2=E$1:E2821))))))</f>
        <v> </v>
      </c>
      <c r="K2822" s="26" t="str">
        <f>IF(OR(E2822="",E2822="!!!",F2822="NEW"),"",INDEX(J$1:J2821,SUMPRODUCT(MAX(ROW(E$1:E2821)*(E2822=E$1:E2821)))))</f>
        <v> </v>
      </c>
      <c r="L2822" s="27"/>
    </row>
    <row r="2823" spans="1:12">
      <c r="A2823" s="20" t="s">
        <v>1434</v>
      </c>
      <c r="E2823" s="22">
        <f>IF(D2823="?OLD","!!!","")</f>
        <v/>
      </c>
      <c r="F2823" s="23" t="str">
        <f>IF(OR(E2823="",E2823="!!!"),"",IF(NOT(ISNA(VLOOKUP(E2823,E$1:E2822,1,FALSE()))),"OLD",IF(AND(E2823&lt;&gt;"",E2823&lt;&gt;"!!!"),"NEW","")))</f>
        <v> </v>
      </c>
      <c r="G2823" s="24" t="str">
        <f>IF(OR(E2823="",E2823="!!!"),"",IF(OR(J2823=0,AND(J2823=1,K2823=1),AND(J2823=1,I2823="SBJ"),AND(J2823=1,I2823=0)),"?IN_FOCUS",IF(J2823&lt;=2,"?ACTIVATED",IF(J2823&lt;&gt;"","?FAMILIAR",IF(F2823="NEW",IF(ISNA(VLOOKUP(E2823,#REF!,1,FALSE())),"?TYPE_IDENTIFIABLE","?REFERENTIAL"),"_")))))</f>
        <v> </v>
      </c>
      <c r="H2823" s="25" t="str">
        <f>IF(J2823&lt;&gt;1,"",IF(I2823="SBJ","CB","?"))</f>
        <v> </v>
      </c>
      <c r="I2823" s="26" t="str">
        <f>IF(OR(E2823="",E2823="!!!",F2823="NEW"),"",INDEX(B2822:B$2,-1+SUMPRODUCT(MAX(ROW(E2822:E$2)*(E2823=E2822:E$2)))))</f>
        <v> </v>
      </c>
      <c r="J2823" s="26" t="str">
        <f>IF(OR(E2823="",E2823="!!!",F2823="NEW"),"",COUNTBLANK(OFFSET(A$1,,,SUMPRODUCT(MAX(ROW(E$2:E2823)*(E2823=E$2:E2823)))))-COUNTBLANK(OFFSET(A$1,,,SUMPRODUCT(MAX(ROW(E$1:E2822)*(E2=E$1:E2822))))))</f>
        <v> </v>
      </c>
      <c r="K2823" s="26" t="str">
        <f>IF(OR(E2823="",E2823="!!!",F2823="NEW"),"",INDEX(J$1:J2822,SUMPRODUCT(MAX(ROW(E$1:E2822)*(E2823=E$1:E2822)))))</f>
        <v> </v>
      </c>
      <c r="L2823" s="27"/>
    </row>
    <row r="2824" spans="1:12">
      <c r="A2824" s="20" t="s">
        <v>1110</v>
      </c>
      <c r="B2824" s="21" t="s">
        <v>590</v>
      </c>
      <c r="C2824" s="21" t="s">
        <v>613</v>
      </c>
      <c r="D2824" s="21" t="s">
        <v>587</v>
      </c>
      <c r="E2824" s="22">
        <f>IF(D2824="?OLD","!!!","")</f>
        <v/>
      </c>
      <c r="F2824" s="23" t="str">
        <f>IF(OR(E2824="",E2824="!!!"),"",IF(NOT(ISNA(VLOOKUP(E2824,E$1:E2823,1,FALSE()))),"OLD",IF(AND(E2824&lt;&gt;"",E2824&lt;&gt;"!!!"),"NEW","")))</f>
        <v> </v>
      </c>
      <c r="G2824" s="24" t="str">
        <f>IF(OR(E2824="",E2824="!!!"),"",IF(OR(J2824=0,AND(J2824=1,K2824=1),AND(J2824=1,I2824="SBJ"),AND(J2824=1,I2824=0)),"?IN_FOCUS",IF(J2824&lt;=2,"?ACTIVATED",IF(J2824&lt;&gt;"","?FAMILIAR",IF(F2824="NEW",IF(ISNA(VLOOKUP(E2824,#REF!,1,FALSE())),"?TYPE_IDENTIFIABLE","?REFERENTIAL"),"_")))))</f>
        <v> </v>
      </c>
      <c r="H2824" s="25" t="str">
        <f>IF(J2824&lt;&gt;1,"",IF(I2824="SBJ","CB","?"))</f>
        <v> </v>
      </c>
      <c r="I2824" s="26" t="str">
        <f>IF(OR(E2824="",E2824="!!!",F2824="NEW"),"",INDEX(B2823:B$2,-1+SUMPRODUCT(MAX(ROW(E2823:E$2)*(E2824=E2823:E$2)))))</f>
        <v> </v>
      </c>
      <c r="J2824" s="26" t="str">
        <f>IF(OR(E2824="",E2824="!!!",F2824="NEW"),"",COUNTBLANK(OFFSET(A$1,,,SUMPRODUCT(MAX(ROW(E$2:E2824)*(E2824=E$2:E2824)))))-COUNTBLANK(OFFSET(A$1,,,SUMPRODUCT(MAX(ROW(E$1:E2823)*(E2=E$1:E2823))))))</f>
        <v> </v>
      </c>
      <c r="K2824" s="26" t="str">
        <f>IF(OR(E2824="",E2824="!!!",F2824="NEW"),"",INDEX(J$1:J2823,SUMPRODUCT(MAX(ROW(E$1:E2823)*(E2824=E$1:E2823)))))</f>
        <v> </v>
      </c>
      <c r="L2824" s="27"/>
    </row>
    <row r="2825" spans="1:12">
      <c r="A2825" s="20" t="s">
        <v>1081</v>
      </c>
      <c r="E2825" s="22">
        <f>IF(D2825="?OLD","!!!","")</f>
        <v/>
      </c>
      <c r="F2825" s="23" t="str">
        <f>IF(OR(E2825="",E2825="!!!"),"",IF(NOT(ISNA(VLOOKUP(E2825,E$1:E2824,1,FALSE()))),"OLD",IF(AND(E2825&lt;&gt;"",E2825&lt;&gt;"!!!"),"NEW","")))</f>
        <v> </v>
      </c>
      <c r="G2825" s="24" t="str">
        <f>IF(OR(E2825="",E2825="!!!"),"",IF(OR(J2825=0,AND(J2825=1,K2825=1),AND(J2825=1,I2825="SBJ"),AND(J2825=1,I2825=0)),"?IN_FOCUS",IF(J2825&lt;=2,"?ACTIVATED",IF(J2825&lt;&gt;"","?FAMILIAR",IF(F2825="NEW",IF(ISNA(VLOOKUP(E2825,#REF!,1,FALSE())),"?TYPE_IDENTIFIABLE","?REFERENTIAL"),"_")))))</f>
        <v> </v>
      </c>
      <c r="H2825" s="25" t="str">
        <f>IF(J2825&lt;&gt;1,"",IF(I2825="SBJ","CB","?"))</f>
        <v> </v>
      </c>
      <c r="I2825" s="26" t="str">
        <f>IF(OR(E2825="",E2825="!!!",F2825="NEW"),"",INDEX(B2824:B$2,-1+SUMPRODUCT(MAX(ROW(E2824:E$2)*(E2825=E2824:E$2)))))</f>
        <v> </v>
      </c>
      <c r="J2825" s="26" t="str">
        <f>IF(OR(E2825="",E2825="!!!",F2825="NEW"),"",COUNTBLANK(OFFSET(A$1,,,SUMPRODUCT(MAX(ROW(E$2:E2825)*(E2825=E$2:E2825)))))-COUNTBLANK(OFFSET(A$1,,,SUMPRODUCT(MAX(ROW(E$1:E2824)*(E2=E$1:E2824))))))</f>
        <v> </v>
      </c>
      <c r="K2825" s="26" t="str">
        <f>IF(OR(E2825="",E2825="!!!",F2825="NEW"),"",INDEX(J$1:J2824,SUMPRODUCT(MAX(ROW(E$1:E2824)*(E2825=E$1:E2824)))))</f>
        <v> </v>
      </c>
      <c r="L2825" s="27"/>
    </row>
    <row r="2826" spans="1:12">
      <c r="A2826" s="20"/>
    </row>
    <row r="2827" spans="1:12">
      <c r="A2827" s="20" t="s">
        <v>1813</v>
      </c>
    </row>
    <row r="2828" spans="1:12">
      <c r="A2828" s="20" t="s">
        <v>1814</v>
      </c>
      <c r="E2828" s="22">
        <f>IF(D2828="?OLD","!!!","")</f>
        <v/>
      </c>
      <c r="F2828" s="23" t="str">
        <f>IF(OR(E2828="",E2828="!!!"),"",IF(NOT(ISNA(VLOOKUP(E2828,E$1:E2827,1,FALSE()))),"OLD",IF(AND(E2828&lt;&gt;"",E2828&lt;&gt;"!!!"),"NEW","")))</f>
        <v> </v>
      </c>
      <c r="G2828" s="24" t="str">
        <f>IF(OR(E2828="",E2828="!!!"),"",IF(OR(J2828=0,AND(J2828=1,K2828=1),AND(J2828=1,I2828="SBJ"),AND(J2828=1,I2828=0)),"?IN_FOCUS",IF(J2828&lt;=2,"?ACTIVATED",IF(J2828&lt;&gt;"","?FAMILIAR",IF(F2828="NEW",IF(ISNA(VLOOKUP(E2828,#REF!,1,FALSE())),"?TYPE_IDENTIFIABLE","?REFERENTIAL"),"_")))))</f>
        <v> </v>
      </c>
      <c r="H2828" s="25" t="str">
        <f>IF(J2828&lt;&gt;1,"",IF(I2828="SBJ","CB","?"))</f>
        <v> </v>
      </c>
      <c r="I2828" s="26" t="str">
        <f>IF(OR(E2828="",E2828="!!!",F2828="NEW"),"",INDEX(B2827:B$2,-1+SUMPRODUCT(MAX(ROW(E2827:E$2)*(E2828=E2827:E$2)))))</f>
        <v> </v>
      </c>
      <c r="J2828" s="26" t="str">
        <f>IF(OR(E2828="",E2828="!!!",F2828="NEW"),"",COUNTBLANK(OFFSET(A$1,,,SUMPRODUCT(MAX(ROW(E$2:E2828)*(E2828=E$2:E2828)))))-COUNTBLANK(OFFSET(A$1,,,SUMPRODUCT(MAX(ROW(E$1:E2827)*(E2=E$1:E2827))))))</f>
        <v> </v>
      </c>
      <c r="K2828" s="26" t="str">
        <f>IF(OR(E2828="",E2828="!!!",F2828="NEW"),"",INDEX(J$1:J2827,SUMPRODUCT(MAX(ROW(E$1:E2827)*(E2828=E$1:E2827)))))</f>
        <v> </v>
      </c>
      <c r="L2828" s="27"/>
    </row>
    <row r="2829" spans="1:12">
      <c r="A2829" s="20" t="s">
        <v>1105</v>
      </c>
      <c r="B2829" s="21" t="s">
        <v>615</v>
      </c>
      <c r="C2829" s="21" t="s">
        <v>613</v>
      </c>
      <c r="D2829" s="21" t="s">
        <v>587</v>
      </c>
      <c r="E2829" s="22">
        <f>IF(D2829="?OLD","!!!","")</f>
        <v/>
      </c>
      <c r="F2829" s="23" t="str">
        <f>IF(OR(E2829="",E2829="!!!"),"",IF(NOT(ISNA(VLOOKUP(E2829,E$1:E2828,1,FALSE()))),"OLD",IF(AND(E2829&lt;&gt;"",E2829&lt;&gt;"!!!"),"NEW","")))</f>
        <v> </v>
      </c>
      <c r="G2829" s="24" t="str">
        <f>IF(OR(E2829="",E2829="!!!"),"",IF(OR(J2829=0,AND(J2829=1,K2829=1),AND(J2829=1,I2829="SBJ"),AND(J2829=1,I2829=0)),"?IN_FOCUS",IF(J2829&lt;=2,"?ACTIVATED",IF(J2829&lt;&gt;"","?FAMILIAR",IF(F2829="NEW",IF(ISNA(VLOOKUP(E2829,#REF!,1,FALSE())),"?TYPE_IDENTIFIABLE","?REFERENTIAL"),"_")))))</f>
        <v> </v>
      </c>
      <c r="H2829" s="25" t="str">
        <f>IF(J2829&lt;&gt;1,"",IF(I2829="SBJ","CB","?"))</f>
        <v> </v>
      </c>
      <c r="I2829" s="26" t="str">
        <f>IF(OR(E2829="",E2829="!!!",F2829="NEW"),"",INDEX(B2828:B$2,-1+SUMPRODUCT(MAX(ROW(E2828:E$2)*(E2829=E2828:E$2)))))</f>
        <v> </v>
      </c>
      <c r="J2829" s="26" t="str">
        <f>IF(OR(E2829="",E2829="!!!",F2829="NEW"),"",COUNTBLANK(OFFSET(A$1,,,SUMPRODUCT(MAX(ROW(E$2:E2829)*(E2829=E$2:E2829)))))-COUNTBLANK(OFFSET(A$1,,,SUMPRODUCT(MAX(ROW(E$1:E2828)*(E2=E$1:E2828))))))</f>
        <v> </v>
      </c>
      <c r="K2829" s="26" t="str">
        <f>IF(OR(E2829="",E2829="!!!",F2829="NEW"),"",INDEX(J$1:J2828,SUMPRODUCT(MAX(ROW(E$1:E2828)*(E2829=E$1:E2828)))))</f>
        <v> </v>
      </c>
      <c r="L2829" s="27"/>
    </row>
    <row r="2830" spans="1:12">
      <c r="A2830" s="20" t="s">
        <v>1616</v>
      </c>
      <c r="E2830" s="22">
        <f>IF(D2830="?OLD","!!!","")</f>
        <v/>
      </c>
      <c r="F2830" s="23" t="str">
        <f>IF(OR(E2830="",E2830="!!!"),"",IF(NOT(ISNA(VLOOKUP(E2830,E$1:E2829,1,FALSE()))),"OLD",IF(AND(E2830&lt;&gt;"",E2830&lt;&gt;"!!!"),"NEW","")))</f>
        <v> </v>
      </c>
      <c r="G2830" s="24" t="str">
        <f>IF(OR(E2830="",E2830="!!!"),"",IF(OR(J2830=0,AND(J2830=1,K2830=1),AND(J2830=1,I2830="SBJ"),AND(J2830=1,I2830=0)),"?IN_FOCUS",IF(J2830&lt;=2,"?ACTIVATED",IF(J2830&lt;&gt;"","?FAMILIAR",IF(F2830="NEW",IF(ISNA(VLOOKUP(E2830,#REF!,1,FALSE())),"?TYPE_IDENTIFIABLE","?REFERENTIAL"),"_")))))</f>
        <v> </v>
      </c>
      <c r="H2830" s="25" t="str">
        <f>IF(J2830&lt;&gt;1,"",IF(I2830="SBJ","CB","?"))</f>
        <v> </v>
      </c>
      <c r="I2830" s="26" t="str">
        <f>IF(OR(E2830="",E2830="!!!",F2830="NEW"),"",INDEX(B2829:B$2,-1+SUMPRODUCT(MAX(ROW(E2829:E$2)*(E2830=E2829:E$2)))))</f>
        <v> </v>
      </c>
      <c r="J2830" s="26" t="str">
        <f>IF(OR(E2830="",E2830="!!!",F2830="NEW"),"",COUNTBLANK(OFFSET(A$1,,,SUMPRODUCT(MAX(ROW(E$2:E2830)*(E2830=E$2:E2830)))))-COUNTBLANK(OFFSET(A$1,,,SUMPRODUCT(MAX(ROW(E$1:E2829)*(E2=E$1:E2829))))))</f>
        <v> </v>
      </c>
      <c r="K2830" s="26" t="str">
        <f>IF(OR(E2830="",E2830="!!!",F2830="NEW"),"",INDEX(J$1:J2829,SUMPRODUCT(MAX(ROW(E$1:E2829)*(E2830=E$1:E2829)))))</f>
        <v> </v>
      </c>
      <c r="L2830" s="27"/>
    </row>
    <row r="2831" spans="1:12">
      <c r="A2831" s="20" t="s">
        <v>583</v>
      </c>
      <c r="E2831" s="22">
        <f>IF(D2831="?OLD","!!!","")</f>
        <v/>
      </c>
      <c r="F2831" s="23" t="str">
        <f>IF(OR(E2831="",E2831="!!!"),"",IF(NOT(ISNA(VLOOKUP(E2831,E$1:E2830,1,FALSE()))),"OLD",IF(AND(E2831&lt;&gt;"",E2831&lt;&gt;"!!!"),"NEW","")))</f>
        <v> </v>
      </c>
      <c r="G2831" s="24" t="str">
        <f>IF(OR(E2831="",E2831="!!!"),"",IF(OR(J2831=0,AND(J2831=1,K2831=1),AND(J2831=1,I2831="SBJ"),AND(J2831=1,I2831=0)),"?IN_FOCUS",IF(J2831&lt;=2,"?ACTIVATED",IF(J2831&lt;&gt;"","?FAMILIAR",IF(F2831="NEW",IF(ISNA(VLOOKUP(E2831,#REF!,1,FALSE())),"?TYPE_IDENTIFIABLE","?REFERENTIAL"),"_")))))</f>
        <v> </v>
      </c>
      <c r="H2831" s="25" t="str">
        <f>IF(J2831&lt;&gt;1,"",IF(I2831="SBJ","CB","?"))</f>
        <v> </v>
      </c>
      <c r="I2831" s="26" t="str">
        <f>IF(OR(E2831="",E2831="!!!",F2831="NEW"),"",INDEX(B2830:B$2,-1+SUMPRODUCT(MAX(ROW(E2830:E$2)*(E2831=E2830:E$2)))))</f>
        <v> </v>
      </c>
      <c r="J2831" s="26" t="str">
        <f>IF(OR(E2831="",E2831="!!!",F2831="NEW"),"",COUNTBLANK(OFFSET(A$1,,,SUMPRODUCT(MAX(ROW(E$2:E2831)*(E2831=E$2:E2831)))))-COUNTBLANK(OFFSET(A$1,,,SUMPRODUCT(MAX(ROW(E$1:E2830)*(E2=E$1:E2830))))))</f>
        <v> </v>
      </c>
      <c r="K2831" s="26" t="str">
        <f>IF(OR(E2831="",E2831="!!!",F2831="NEW"),"",INDEX(J$1:J2830,SUMPRODUCT(MAX(ROW(E$1:E2830)*(E2831=E$1:E2830)))))</f>
        <v> </v>
      </c>
      <c r="L2831" s="27"/>
    </row>
    <row r="2832" spans="1:12">
      <c r="A2832" s="20" t="s">
        <v>1815</v>
      </c>
      <c r="B2832" s="21" t="s">
        <v>585</v>
      </c>
      <c r="C2832" s="21" t="s">
        <v>787</v>
      </c>
      <c r="D2832" s="21" t="s">
        <v>587</v>
      </c>
      <c r="E2832" s="22">
        <f>IF(D2832="?OLD","!!!","")</f>
        <v/>
      </c>
      <c r="F2832" s="23" t="str">
        <f>IF(OR(E2832="",E2832="!!!"),"",IF(NOT(ISNA(VLOOKUP(E2832,E$1:E2831,1,FALSE()))),"OLD",IF(AND(E2832&lt;&gt;"",E2832&lt;&gt;"!!!"),"NEW","")))</f>
        <v> </v>
      </c>
      <c r="G2832" s="24" t="str">
        <f>IF(OR(E2832="",E2832="!!!"),"",IF(OR(J2832=0,AND(J2832=1,K2832=1),AND(J2832=1,I2832="SBJ"),AND(J2832=1,I2832=0)),"?IN_FOCUS",IF(J2832&lt;=2,"?ACTIVATED",IF(J2832&lt;&gt;"","?FAMILIAR",IF(F2832="NEW",IF(ISNA(VLOOKUP(E2832,#REF!,1,FALSE())),"?TYPE_IDENTIFIABLE","?REFERENTIAL"),"_")))))</f>
        <v> </v>
      </c>
      <c r="H2832" s="25" t="str">
        <f>IF(J2832&lt;&gt;1,"",IF(I2832="SBJ","CB","?"))</f>
        <v> </v>
      </c>
      <c r="I2832" s="26" t="str">
        <f>IF(OR(E2832="",E2832="!!!",F2832="NEW"),"",INDEX(B2831:B$2,-1+SUMPRODUCT(MAX(ROW(E2831:E$2)*(E2832=E2831:E$2)))))</f>
        <v> </v>
      </c>
      <c r="J2832" s="26" t="str">
        <f>IF(OR(E2832="",E2832="!!!",F2832="NEW"),"",COUNTBLANK(OFFSET(A$1,,,SUMPRODUCT(MAX(ROW(E$2:E2832)*(E2832=E$2:E2832)))))-COUNTBLANK(OFFSET(A$1,,,SUMPRODUCT(MAX(ROW(E$1:E2831)*(E2=E$1:E2831))))))</f>
        <v> </v>
      </c>
      <c r="K2832" s="26" t="str">
        <f>IF(OR(E2832="",E2832="!!!",F2832="NEW"),"",INDEX(J$1:J2831,SUMPRODUCT(MAX(ROW(E$1:E2831)*(E2832=E$1:E2831)))))</f>
        <v> </v>
      </c>
      <c r="L2832" s="27"/>
    </row>
    <row r="2833" spans="1:12">
      <c r="A2833" s="20" t="s">
        <v>1816</v>
      </c>
      <c r="E2833" s="22">
        <f>IF(D2833="?OLD","!!!","")</f>
        <v/>
      </c>
      <c r="F2833" s="23" t="str">
        <f>IF(OR(E2833="",E2833="!!!"),"",IF(NOT(ISNA(VLOOKUP(E2833,E$1:E2832,1,FALSE()))),"OLD",IF(AND(E2833&lt;&gt;"",E2833&lt;&gt;"!!!"),"NEW","")))</f>
        <v> </v>
      </c>
      <c r="G2833" s="24" t="str">
        <f>IF(OR(E2833="",E2833="!!!"),"",IF(OR(J2833=0,AND(J2833=1,K2833=1),AND(J2833=1,I2833="SBJ"),AND(J2833=1,I2833=0)),"?IN_FOCUS",IF(J2833&lt;=2,"?ACTIVATED",IF(J2833&lt;&gt;"","?FAMILIAR",IF(F2833="NEW",IF(ISNA(VLOOKUP(E2833,#REF!,1,FALSE())),"?TYPE_IDENTIFIABLE","?REFERENTIAL"),"_")))))</f>
        <v> </v>
      </c>
      <c r="H2833" s="25" t="str">
        <f>IF(J2833&lt;&gt;1,"",IF(I2833="SBJ","CB","?"))</f>
        <v> </v>
      </c>
      <c r="I2833" s="26" t="str">
        <f>IF(OR(E2833="",E2833="!!!",F2833="NEW"),"",INDEX(B2832:B$2,-1+SUMPRODUCT(MAX(ROW(E2832:E$2)*(E2833=E2832:E$2)))))</f>
        <v> </v>
      </c>
      <c r="J2833" s="26" t="str">
        <f>IF(OR(E2833="",E2833="!!!",F2833="NEW"),"",COUNTBLANK(OFFSET(A$1,,,SUMPRODUCT(MAX(ROW(E$2:E2833)*(E2833=E$2:E2833)))))-COUNTBLANK(OFFSET(A$1,,,SUMPRODUCT(MAX(ROW(E$1:E2832)*(E2=E$1:E2832))))))</f>
        <v> </v>
      </c>
      <c r="K2833" s="26" t="str">
        <f>IF(OR(E2833="",E2833="!!!",F2833="NEW"),"",INDEX(J$1:J2832,SUMPRODUCT(MAX(ROW(E$1:E2832)*(E2833=E$1:E2832)))))</f>
        <v> </v>
      </c>
      <c r="L2833" s="27"/>
    </row>
    <row r="2834" spans="1:12">
      <c r="A2834" s="20" t="s">
        <v>592</v>
      </c>
      <c r="E2834" s="22">
        <f>IF(D2834="?OLD","!!!","")</f>
        <v/>
      </c>
      <c r="F2834" s="23" t="str">
        <f>IF(OR(E2834="",E2834="!!!"),"",IF(NOT(ISNA(VLOOKUP(E2834,E$1:E2833,1,FALSE()))),"OLD",IF(AND(E2834&lt;&gt;"",E2834&lt;&gt;"!!!"),"NEW","")))</f>
        <v> </v>
      </c>
      <c r="G2834" s="24" t="str">
        <f>IF(OR(E2834="",E2834="!!!"),"",IF(OR(J2834=0,AND(J2834=1,K2834=1),AND(J2834=1,I2834="SBJ"),AND(J2834=1,I2834=0)),"?IN_FOCUS",IF(J2834&lt;=2,"?ACTIVATED",IF(J2834&lt;&gt;"","?FAMILIAR",IF(F2834="NEW",IF(ISNA(VLOOKUP(E2834,#REF!,1,FALSE())),"?TYPE_IDENTIFIABLE","?REFERENTIAL"),"_")))))</f>
        <v> </v>
      </c>
      <c r="H2834" s="25" t="str">
        <f>IF(J2834&lt;&gt;1,"",IF(I2834="SBJ","CB","?"))</f>
        <v> </v>
      </c>
      <c r="I2834" s="26" t="str">
        <f>IF(OR(E2834="",E2834="!!!",F2834="NEW"),"",INDEX(B2833:B$2,-1+SUMPRODUCT(MAX(ROW(E2833:E$2)*(E2834=E2833:E$2)))))</f>
        <v> </v>
      </c>
      <c r="J2834" s="26" t="str">
        <f>IF(OR(E2834="",E2834="!!!",F2834="NEW"),"",COUNTBLANK(OFFSET(A$1,,,SUMPRODUCT(MAX(ROW(E$2:E2834)*(E2834=E$2:E2834)))))-COUNTBLANK(OFFSET(A$1,,,SUMPRODUCT(MAX(ROW(E$1:E2833)*(E2=E$1:E2833))))))</f>
        <v> </v>
      </c>
      <c r="K2834" s="26" t="str">
        <f>IF(OR(E2834="",E2834="!!!",F2834="NEW"),"",INDEX(J$1:J2833,SUMPRODUCT(MAX(ROW(E$1:E2833)*(E2834=E$1:E2833)))))</f>
        <v> </v>
      </c>
      <c r="L2834" s="27"/>
    </row>
    <row r="2835" spans="1:12">
      <c r="A2835" s="20"/>
    </row>
    <row r="2836" spans="1:12">
      <c r="A2836" s="20" t="s">
        <v>1817</v>
      </c>
    </row>
    <row r="2837" spans="1:12">
      <c r="A2837" s="20" t="s">
        <v>1814</v>
      </c>
      <c r="E2837" s="22">
        <f>IF(D2837="?OLD","!!!","")</f>
        <v/>
      </c>
      <c r="F2837" s="23" t="str">
        <f>IF(OR(E2837="",E2837="!!!"),"",IF(NOT(ISNA(VLOOKUP(E2837,E$1:E2836,1,FALSE()))),"OLD",IF(AND(E2837&lt;&gt;"",E2837&lt;&gt;"!!!"),"NEW","")))</f>
        <v> </v>
      </c>
      <c r="G2837" s="24" t="str">
        <f>IF(OR(E2837="",E2837="!!!"),"",IF(OR(J2837=0,AND(J2837=1,K2837=1),AND(J2837=1,I2837="SBJ"),AND(J2837=1,I2837=0)),"?IN_FOCUS",IF(J2837&lt;=2,"?ACTIVATED",IF(J2837&lt;&gt;"","?FAMILIAR",IF(F2837="NEW",IF(ISNA(VLOOKUP(E2837,#REF!,1,FALSE())),"?TYPE_IDENTIFIABLE","?REFERENTIAL"),"_")))))</f>
        <v> </v>
      </c>
      <c r="H2837" s="25" t="str">
        <f>IF(J2837&lt;&gt;1,"",IF(I2837="SBJ","CB","?"))</f>
        <v> </v>
      </c>
      <c r="I2837" s="26" t="str">
        <f>IF(OR(E2837="",E2837="!!!",F2837="NEW"),"",INDEX(B2836:B$2,-1+SUMPRODUCT(MAX(ROW(E2836:E$2)*(E2837=E2836:E$2)))))</f>
        <v> </v>
      </c>
      <c r="J2837" s="26" t="str">
        <f>IF(OR(E2837="",E2837="!!!",F2837="NEW"),"",COUNTBLANK(OFFSET(A$1,,,SUMPRODUCT(MAX(ROW(E$2:E2837)*(E2837=E$2:E2837)))))-COUNTBLANK(OFFSET(A$1,,,SUMPRODUCT(MAX(ROW(E$1:E2836)*(E2=E$1:E2836))))))</f>
        <v> </v>
      </c>
      <c r="K2837" s="26" t="str">
        <f>IF(OR(E2837="",E2837="!!!",F2837="NEW"),"",INDEX(J$1:J2836,SUMPRODUCT(MAX(ROW(E$1:E2836)*(E2837=E$1:E2836)))))</f>
        <v> </v>
      </c>
      <c r="L2837" s="27"/>
    </row>
    <row r="2838" spans="1:12">
      <c r="A2838" s="20" t="s">
        <v>592</v>
      </c>
      <c r="E2838" s="22">
        <f>IF(D2838="?OLD","!!!","")</f>
        <v/>
      </c>
      <c r="F2838" s="23" t="str">
        <f>IF(OR(E2838="",E2838="!!!"),"",IF(NOT(ISNA(VLOOKUP(E2838,E$1:E2837,1,FALSE()))),"OLD",IF(AND(E2838&lt;&gt;"",E2838&lt;&gt;"!!!"),"NEW","")))</f>
        <v> </v>
      </c>
      <c r="G2838" s="24" t="str">
        <f>IF(OR(E2838="",E2838="!!!"),"",IF(OR(J2838=0,AND(J2838=1,K2838=1),AND(J2838=1,I2838="SBJ"),AND(J2838=1,I2838=0)),"?IN_FOCUS",IF(J2838&lt;=2,"?ACTIVATED",IF(J2838&lt;&gt;"","?FAMILIAR",IF(F2838="NEW",IF(ISNA(VLOOKUP(E2838,#REF!,1,FALSE())),"?TYPE_IDENTIFIABLE","?REFERENTIAL"),"_")))))</f>
        <v> </v>
      </c>
      <c r="H2838" s="25" t="str">
        <f>IF(J2838&lt;&gt;1,"",IF(I2838="SBJ","CB","?"))</f>
        <v> </v>
      </c>
      <c r="I2838" s="26" t="str">
        <f>IF(OR(E2838="",E2838="!!!",F2838="NEW"),"",INDEX(B2837:B$2,-1+SUMPRODUCT(MAX(ROW(E2837:E$2)*(E2838=E2837:E$2)))))</f>
        <v> </v>
      </c>
      <c r="J2838" s="26" t="str">
        <f>IF(OR(E2838="",E2838="!!!",F2838="NEW"),"",COUNTBLANK(OFFSET(A$1,,,SUMPRODUCT(MAX(ROW(E$2:E2838)*(E2838=E$2:E2838)))))-COUNTBLANK(OFFSET(A$1,,,SUMPRODUCT(MAX(ROW(E$1:E2837)*(E2=E$1:E2837))))))</f>
        <v> </v>
      </c>
      <c r="K2838" s="26" t="str">
        <f>IF(OR(E2838="",E2838="!!!",F2838="NEW"),"",INDEX(J$1:J2837,SUMPRODUCT(MAX(ROW(E$1:E2837)*(E2838=E$1:E2837)))))</f>
        <v> </v>
      </c>
      <c r="L2838" s="27"/>
    </row>
    <row r="2839" spans="1:12">
      <c r="A2839" s="20"/>
    </row>
    <row r="2840" spans="1:12">
      <c r="A2840" s="20" t="s">
        <v>1818</v>
      </c>
    </row>
    <row r="2841" spans="1:12">
      <c r="A2841" s="20" t="s">
        <v>815</v>
      </c>
      <c r="E2841" s="22">
        <f>IF(D2841="?OLD","!!!","")</f>
        <v/>
      </c>
      <c r="F2841" s="23" t="str">
        <f>IF(OR(E2841="",E2841="!!!"),"",IF(NOT(ISNA(VLOOKUP(E2841,E$1:E2840,1,FALSE()))),"OLD",IF(AND(E2841&lt;&gt;"",E2841&lt;&gt;"!!!"),"NEW","")))</f>
        <v> </v>
      </c>
      <c r="G2841" s="24" t="str">
        <f>IF(OR(E2841="",E2841="!!!"),"",IF(OR(J2841=0,AND(J2841=1,K2841=1),AND(J2841=1,I2841="SBJ"),AND(J2841=1,I2841=0)),"?IN_FOCUS",IF(J2841&lt;=2,"?ACTIVATED",IF(J2841&lt;&gt;"","?FAMILIAR",IF(F2841="NEW",IF(ISNA(VLOOKUP(E2841,#REF!,1,FALSE())),"?TYPE_IDENTIFIABLE","?REFERENTIAL"),"_")))))</f>
        <v> </v>
      </c>
      <c r="H2841" s="25" t="str">
        <f>IF(J2841&lt;&gt;1,"",IF(I2841="SBJ","CB","?"))</f>
        <v> </v>
      </c>
      <c r="I2841" s="26" t="str">
        <f>IF(OR(E2841="",E2841="!!!",F2841="NEW"),"",INDEX(B2840:B$2,-1+SUMPRODUCT(MAX(ROW(E2840:E$2)*(E2841=E2840:E$2)))))</f>
        <v> </v>
      </c>
      <c r="J2841" s="26" t="str">
        <f>IF(OR(E2841="",E2841="!!!",F2841="NEW"),"",COUNTBLANK(OFFSET(A$1,,,SUMPRODUCT(MAX(ROW(E$2:E2841)*(E2841=E$2:E2841)))))-COUNTBLANK(OFFSET(A$1,,,SUMPRODUCT(MAX(ROW(E$1:E2840)*(E2=E$1:E2840))))))</f>
        <v> </v>
      </c>
      <c r="K2841" s="26" t="str">
        <f>IF(OR(E2841="",E2841="!!!",F2841="NEW"),"",INDEX(J$1:J2840,SUMPRODUCT(MAX(ROW(E$1:E2840)*(E2841=E$1:E2840)))))</f>
        <v> </v>
      </c>
      <c r="L2841" s="27"/>
    </row>
    <row r="2842" spans="1:12">
      <c r="A2842" s="20" t="s">
        <v>816</v>
      </c>
      <c r="E2842" s="22">
        <f>IF(D2842="?OLD","!!!","")</f>
        <v/>
      </c>
      <c r="F2842" s="23" t="str">
        <f>IF(OR(E2842="",E2842="!!!"),"",IF(NOT(ISNA(VLOOKUP(E2842,E$1:E2841,1,FALSE()))),"OLD",IF(AND(E2842&lt;&gt;"",E2842&lt;&gt;"!!!"),"NEW","")))</f>
        <v> </v>
      </c>
      <c r="G2842" s="24" t="str">
        <f>IF(OR(E2842="",E2842="!!!"),"",IF(OR(J2842=0,AND(J2842=1,K2842=1),AND(J2842=1,I2842="SBJ"),AND(J2842=1,I2842=0)),"?IN_FOCUS",IF(J2842&lt;=2,"?ACTIVATED",IF(J2842&lt;&gt;"","?FAMILIAR",IF(F2842="NEW",IF(ISNA(VLOOKUP(E2842,#REF!,1,FALSE())),"?TYPE_IDENTIFIABLE","?REFERENTIAL"),"_")))))</f>
        <v> </v>
      </c>
      <c r="H2842" s="25" t="str">
        <f>IF(J2842&lt;&gt;1,"",IF(I2842="SBJ","CB","?"))</f>
        <v> </v>
      </c>
      <c r="I2842" s="26" t="str">
        <f>IF(OR(E2842="",E2842="!!!",F2842="NEW"),"",INDEX(B2841:B$2,-1+SUMPRODUCT(MAX(ROW(E2841:E$2)*(E2842=E2841:E$2)))))</f>
        <v> </v>
      </c>
      <c r="J2842" s="26" t="str">
        <f>IF(OR(E2842="",E2842="!!!",F2842="NEW"),"",COUNTBLANK(OFFSET(A$1,,,SUMPRODUCT(MAX(ROW(E$2:E2842)*(E2842=E$2:E2842)))))-COUNTBLANK(OFFSET(A$1,,,SUMPRODUCT(MAX(ROW(E$1:E2841)*(E2=E$1:E2841))))))</f>
        <v> </v>
      </c>
      <c r="K2842" s="26" t="str">
        <f>IF(OR(E2842="",E2842="!!!",F2842="NEW"),"",INDEX(J$1:J2841,SUMPRODUCT(MAX(ROW(E$1:E2841)*(E2842=E$1:E2841)))))</f>
        <v> </v>
      </c>
      <c r="L2842" s="27"/>
    </row>
    <row r="2843" spans="1:12">
      <c r="A2843" s="20" t="s">
        <v>817</v>
      </c>
      <c r="E2843" s="22">
        <f>IF(D2843="?OLD","!!!","")</f>
        <v/>
      </c>
      <c r="F2843" s="23" t="str">
        <f>IF(OR(E2843="",E2843="!!!"),"",IF(NOT(ISNA(VLOOKUP(E2843,E$1:E2842,1,FALSE()))),"OLD",IF(AND(E2843&lt;&gt;"",E2843&lt;&gt;"!!!"),"NEW","")))</f>
        <v> </v>
      </c>
      <c r="G2843" s="24" t="str">
        <f>IF(OR(E2843="",E2843="!!!"),"",IF(OR(J2843=0,AND(J2843=1,K2843=1),AND(J2843=1,I2843="SBJ"),AND(J2843=1,I2843=0)),"?IN_FOCUS",IF(J2843&lt;=2,"?ACTIVATED",IF(J2843&lt;&gt;"","?FAMILIAR",IF(F2843="NEW",IF(ISNA(VLOOKUP(E2843,#REF!,1,FALSE())),"?TYPE_IDENTIFIABLE","?REFERENTIAL"),"_")))))</f>
        <v> </v>
      </c>
      <c r="H2843" s="25" t="str">
        <f>IF(J2843&lt;&gt;1,"",IF(I2843="SBJ","CB","?"))</f>
        <v> </v>
      </c>
      <c r="I2843" s="26" t="str">
        <f>IF(OR(E2843="",E2843="!!!",F2843="NEW"),"",INDEX(B2842:B$2,-1+SUMPRODUCT(MAX(ROW(E2842:E$2)*(E2843=E2842:E$2)))))</f>
        <v> </v>
      </c>
      <c r="J2843" s="26" t="str">
        <f>IF(OR(E2843="",E2843="!!!",F2843="NEW"),"",COUNTBLANK(OFFSET(A$1,,,SUMPRODUCT(MAX(ROW(E$2:E2843)*(E2843=E$2:E2843)))))-COUNTBLANK(OFFSET(A$1,,,SUMPRODUCT(MAX(ROW(E$1:E2842)*(E2=E$1:E2842))))))</f>
        <v> </v>
      </c>
      <c r="K2843" s="26" t="str">
        <f>IF(OR(E2843="",E2843="!!!",F2843="NEW"),"",INDEX(J$1:J2842,SUMPRODUCT(MAX(ROW(E$1:E2842)*(E2843=E$1:E2842)))))</f>
        <v> </v>
      </c>
      <c r="L2843" s="27"/>
    </row>
    <row r="2844" spans="1:12">
      <c r="A2844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2024-07-05T04:32:57Z</dcterms:created>
  <dcterms:modified xsi:type="dcterms:W3CDTF">2024-07-05T04:32:57Z</dcterms:modified>
</cp:coreProperties>
</file>