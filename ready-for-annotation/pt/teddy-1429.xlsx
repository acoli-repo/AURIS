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<sst xmlns="http://schemas.openxmlformats.org/spreadsheetml/2006/main" count="3109" uniqueCount="951">
  <si>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</si>
  <si>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</si>
  <si>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</si>
  <si>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</si>
  <si>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</si>
  <si>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</si>
  <si>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</si>
  <si>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</si>
  <si>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</si>
  <si>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</si>
  <si>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</si>
  <si>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12</t>
  </si>
  <si>
    <t>_</t>
  </si>
  <si>
    <t>apresentar</t>
  </si>
  <si>
    <t>Há uns anos , aqui no em o TED , Peter Skillman apresentou um desafio de projecto chamado &amp;quot; desafio do de o marshmallow &amp;quot; .</t>
  </si>
  <si>
    <t>file://conllu/pt/teddy-1429.conllu#s1_0</t>
  </si>
  <si>
    <t>2</t>
  </si>
  <si>
    <t>3</t>
  </si>
  <si>
    <t>ser (ser simples)</t>
  </si>
  <si>
    <t>A ideia é muito simples .</t>
  </si>
  <si>
    <t>file://conllu/pt/teddy-1429.conllu#s2_0</t>
  </si>
  <si>
    <t>6</t>
  </si>
  <si>
    <t>construir</t>
  </si>
  <si>
    <t>Equipas de quatro têm que construir a estrutura mais alta e estável , a partir de 20 barras de esparguete , um metro de fita cola , um metro de cordel e um &amp;quot; marshmallow &amp;quot; .</t>
  </si>
  <si>
    <t>file://conllu/pt/teddy-1429.conllu#s3_0</t>
  </si>
  <si>
    <t>4</t>
  </si>
  <si>
    <t>5</t>
  </si>
  <si>
    <t>ter</t>
  </si>
  <si>
    <t>&amp;quot; marshmallow &amp;quot; tem que ficar no em o topo da de a torre .</t>
  </si>
  <si>
    <t>file://conllu/pt/teddy-1429.conllu#s4_0</t>
  </si>
  <si>
    <t>parecer</t>
  </si>
  <si>
    <t>desafio parece simples , mas é mesmo muito difícil , porque força as pessoas a colaborar rapidamente .</t>
  </si>
  <si>
    <t>file://conllu/pt/teddy-1429.conllu#s5_0</t>
  </si>
  <si>
    <t>pensar</t>
  </si>
  <si>
    <t>Eu pensei que seria uma ideia interessante e incorporei-a incorporei a num em um &amp;quot; workshop &amp;quot; sobre projecto .</t>
  </si>
  <si>
    <t>file://conllu/pt/teddy-1429.conllu#s6_0</t>
  </si>
  <si>
    <t>7</t>
  </si>
  <si>
    <t>ser (ser sucesso)</t>
  </si>
  <si>
    <t>Foi um enorme sucesso .</t>
  </si>
  <si>
    <t>file://conllu/pt/teddy-1429.conllu#s7_0</t>
  </si>
  <si>
    <t>8</t>
  </si>
  <si>
    <t>vir</t>
  </si>
  <si>
    <t>Desde então , tenho vindo a fazer cerca de 70 &amp;quot;workshops &amp;quot; destes de estes no em o mundo inteiro , com estudantes , projectistas e arquitectos , e até com gestores da de a lista Fortune 50 .</t>
  </si>
  <si>
    <t>file://conllu/pt/teddy-1429.conllu#s8_0</t>
  </si>
  <si>
    <t>9</t>
  </si>
  <si>
    <t>haver</t>
  </si>
  <si>
    <t>Há algo neste em este exercício que proporciona lições muito profundas sobre a natureza da de a colaboração , e eu gostaria de partilhar algumas destas de estas lições convosco com vós .</t>
  </si>
  <si>
    <t>file://conllu/pt/teddy-1429.conllu#s9_0</t>
  </si>
  <si>
    <t>10</t>
  </si>
  <si>
    <t>começar</t>
  </si>
  <si>
    <t>Normalmente a maior parte das de as pessoas começa por se prepararem para a tarefa em jogo .</t>
  </si>
  <si>
    <t>file://conllu/pt/teddy-1429.conllu#s10_0</t>
  </si>
  <si>
    <t>11</t>
  </si>
  <si>
    <t>Conversar</t>
  </si>
  <si>
    <t>Conversam sobre o desafio , imaginam como será o aspecto da de a torre , lutam pelo por o poder dentro da de a equipa .</t>
  </si>
  <si>
    <t>file://conllu/pt/teddy-1429.conllu#s11_0</t>
  </si>
  <si>
    <t>gastar</t>
  </si>
  <si>
    <t>Depois gastam algum tempo a planear e a organizar .</t>
  </si>
  <si>
    <t>file://conllu/pt/teddy-1429.conllu#s12_0</t>
  </si>
  <si>
    <t>13</t>
  </si>
  <si>
    <t>crer</t>
  </si>
  <si>
    <t>Criam esboços da de a estrutura e espalham o esparguete .</t>
  </si>
  <si>
    <t>file://conllu/pt/teddy-1429.conllu#s13_0</t>
  </si>
  <si>
    <t>14</t>
  </si>
  <si>
    <t>32</t>
  </si>
  <si>
    <t>pegar</t>
  </si>
  <si>
    <t>Passam a maior parte do de o tempo a juntar as barras de esparguete em estruturas sempre mais altas e por fim , mesmo no em o final do de o tempo , alguém pega no em o &amp;quot; marshmallow &amp;quot; , e coloca-o coloca o cautelosamente</t>
  </si>
  <si>
    <t>file://conllu/pt/teddy-1429.conllu#s14_0</t>
  </si>
  <si>
    <t>15</t>
  </si>
  <si>
    <t>relaxar</t>
  </si>
  <si>
    <t>Depois as pessoas relaxam , e — ta-da ! — a admirar o seu trabalho .</t>
  </si>
  <si>
    <t>file://conllu/pt/teddy-1429.conllu#s15_0</t>
  </si>
  <si>
    <t>16</t>
  </si>
  <si>
    <t>ser</t>
  </si>
  <si>
    <t>Mas o que acontece , na em a maior parte das de as vezes , é que o momento &amp;quot; ta-da &amp;quot; transformas-se transformas se em &amp;quot;oh &amp;quot; , porque o peso do de o &amp;quot; marshmallow &amp;quot; faz com que toda a estrutura se encurve e colapse .</t>
  </si>
  <si>
    <t>file://conllu/pt/teddy-1429.conllu#s16_0</t>
  </si>
  <si>
    <t>17</t>
  </si>
  <si>
    <t>Há grupos de pessoas que têm muitos mais momentos &amp;quot;oh &amp;quot; do de o que outros .</t>
  </si>
  <si>
    <t>file://conllu/pt/teddy-1429.conllu#s17_0</t>
  </si>
  <si>
    <t>18</t>
  </si>
  <si>
    <t>estar (estar recém-licenciado)</t>
  </si>
  <si>
    <t>Entre os piores estão os recém-licenciados das de as escolas de gestão .</t>
  </si>
  <si>
    <t>file://conllu/pt/teddy-1429.conllu#s18_0</t>
  </si>
  <si>
    <t>19</t>
  </si>
  <si>
    <t>riso</t>
  </si>
  <si>
    <t>( Risos )</t>
  </si>
  <si>
    <t>file://conllu/pt/teddy-1429.conllu#s19_0</t>
  </si>
  <si>
    <t>20</t>
  </si>
  <si>
    <t>mentir</t>
  </si>
  <si>
    <t>Eles mentem , ele fazem batota , eles distraem-se distraem se , e criam estruturas muito fracas .</t>
  </si>
  <si>
    <t>file://conllu/pt/teddy-1429.conllu#s20_0</t>
  </si>
  <si>
    <t>21</t>
  </si>
  <si>
    <t>claro</t>
  </si>
  <si>
    <t>Claro que , por outro lado , há equipas com muito mais estruturas &amp;quot; ta-da &amp;quot; .</t>
  </si>
  <si>
    <t>file://conllu/pt/teddy-1429.conllu#s21_0</t>
  </si>
  <si>
    <t>22</t>
  </si>
  <si>
    <t>Entre as melhores , estão os recém-licenciados dos de os infantários .</t>
  </si>
  <si>
    <t>file://conllu/pt/teddy-1429.conllu#s22_0</t>
  </si>
  <si>
    <t>23</t>
  </si>
  <si>
    <t>ser (ser fascinante)</t>
  </si>
  <si>
    <t>Isso é mesmo fascinante .</t>
  </si>
  <si>
    <t>file://conllu/pt/teddy-1429.conllu#s23_0</t>
  </si>
  <si>
    <t>24</t>
  </si>
  <si>
    <t>criar</t>
  </si>
  <si>
    <t>Como Peter nos em os diz , não só criam as estruturas mais altas , como criam as estruturas mais interessantes de todas .</t>
  </si>
  <si>
    <t>file://conllu/pt/teddy-1429.conllu#s24_0</t>
  </si>
  <si>
    <t>25</t>
  </si>
  <si>
    <t>pergunta</t>
  </si>
  <si>
    <t>A pergunta que vocês devem querer fazer é :</t>
  </si>
  <si>
    <t>file://conllu/pt/teddy-1429.conllu#s25_0</t>
  </si>
  <si>
    <t>26</t>
  </si>
  <si>
    <t>ser (ser possível)</t>
  </si>
  <si>
    <t>&amp;quot; Como é possível ?</t>
  </si>
  <si>
    <t>file://conllu/pt/teddy-1429.conllu#s26_0</t>
  </si>
  <si>
    <t>27</t>
  </si>
  <si>
    <t>Porquê?</t>
  </si>
  <si>
    <t>porquê</t>
  </si>
  <si>
    <t>Porquê ?</t>
  </si>
  <si>
    <t>file://conllu/pt/teddy-1429.conllu#s27_0</t>
  </si>
  <si>
    <t>28</t>
  </si>
  <si>
    <t>gostar</t>
  </si>
  <si>
    <t>que eles têm de especial ? &amp;quot; Peter gosta de afirmar que : &amp;quot; Nenhuma das de as crianças gasta o tempo disponível a tentar ser o director da de a Esparguete Lda . &amp;quot; Não gastam tempo a lutar pelo por o poder .</t>
  </si>
  <si>
    <t>file://conllu/pt/teddy-1429.conllu#s28_0</t>
  </si>
  <si>
    <t>29</t>
  </si>
  <si>
    <t>Mas há ainda outra razão .</t>
  </si>
  <si>
    <t>file://conllu/pt/teddy-1429.conllu#s29_0</t>
  </si>
  <si>
    <t>30</t>
  </si>
  <si>
    <t>treinado</t>
  </si>
  <si>
    <t>É que os estudantes de gestão são treinados para encontrarem a estratégia correcta e depois executam-na executam na .</t>
  </si>
  <si>
    <t>file://conllu/pt/teddy-1429.conllu#s30_0</t>
  </si>
  <si>
    <t>31</t>
  </si>
  <si>
    <t>colocar</t>
  </si>
  <si>
    <t>Quando eles colocam o &amp;quot; marshmallow &amp;quot; no em o topo da de a estrutura , já estão sem tempo de sobra , e então o que acontece ?</t>
  </si>
  <si>
    <t>file://conllu/pt/teddy-1429.conllu#s31_0</t>
  </si>
  <si>
    <t>ser (ser crise)</t>
  </si>
  <si>
    <t>É uma crise !</t>
  </si>
  <si>
    <t>file://conllu/pt/teddy-1429.conllu#s32_0</t>
  </si>
  <si>
    <t>34</t>
  </si>
  <si>
    <t>Parece .</t>
  </si>
  <si>
    <t>file://conllu/pt/teddy-1429.conllu#s34_0</t>
  </si>
  <si>
    <t>35</t>
  </si>
  <si>
    <t>fazer</t>
  </si>
  <si>
    <t>As crianças dos de os infantários fazem de forma diferente .</t>
  </si>
  <si>
    <t>file://conllu/pt/teddy-1429.conllu#s35_0</t>
  </si>
  <si>
    <t>36</t>
  </si>
  <si>
    <t>Começam com o &amp;quot; marshmallow &amp;quot; na em a estrutura , depois vão construindo protótipos sucessivos , sempre a tentar manter o &amp;quot; marshmallow &amp;quot; no em o topo .</t>
  </si>
  <si>
    <t>file://conllu/pt/teddy-1429.conllu#s36_0</t>
  </si>
  <si>
    <t>37</t>
  </si>
  <si>
    <t>Portanto têm mais tempo para corrigir os protótipos durante o desafio .</t>
  </si>
  <si>
    <t>file://conllu/pt/teddy-1429.conllu#s37_0</t>
  </si>
  <si>
    <t>38</t>
  </si>
  <si>
    <t>reconhecer</t>
  </si>
  <si>
    <t>Os projectistas reconhecem esse tipo de colaboração como a essência do de o processo iterativo .</t>
  </si>
  <si>
    <t>file://conllu/pt/teddy-1429.conllu#s38_0</t>
  </si>
  <si>
    <t>39</t>
  </si>
  <si>
    <t>obter</t>
  </si>
  <si>
    <t>Com cada versão criada , as crianças obtêm um retorno instantâneo sobre o que funciona e o que não funciona .</t>
  </si>
  <si>
    <t>file://conllu/pt/teddy-1429.conllu#s39_0</t>
  </si>
  <si>
    <t>40</t>
  </si>
  <si>
    <t>ser (ser essencial)</t>
  </si>
  <si>
    <t>A capacidade para criar protótipos intermédios é essencial , mas olhemos agora para a forma como as diferentes equipas funcionam .</t>
  </si>
  <si>
    <t>file://conllu/pt/teddy-1429.conllu#s40_0</t>
  </si>
  <si>
    <t>41</t>
  </si>
  <si>
    <t>rondar</t>
  </si>
  <si>
    <t>A média de altura para a maior parte das de as pessoas ronda os 50 cm .</t>
  </si>
  <si>
    <t>file://conllu/pt/teddy-1429.conllu#s41_0</t>
  </si>
  <si>
    <t>42</t>
  </si>
  <si>
    <t>estudante</t>
  </si>
  <si>
    <t>Para estudantes de gestão , cerca de metade desse de esse valor .</t>
  </si>
  <si>
    <t>file://conllu/pt/teddy-1429.conllu#s42_0</t>
  </si>
  <si>
    <t>43</t>
  </si>
  <si>
    <t>advogado</t>
  </si>
  <si>
    <t>Advogados , um pouco melhor , mas não muito melhor que isso .</t>
  </si>
  <si>
    <t>file://conllu/pt/teddy-1429.conllu#s43_0</t>
  </si>
  <si>
    <t>44</t>
  </si>
  <si>
    <t>criança</t>
  </si>
  <si>
    <t>As crianças em idade pré-escolar , melhor que a maior parte dos de os adultos .</t>
  </si>
  <si>
    <t>file://conllu/pt/teddy-1429.conllu#s44_0</t>
  </si>
  <si>
    <t>45</t>
  </si>
  <si>
    <t>Quem?</t>
  </si>
  <si>
    <t>sair</t>
  </si>
  <si>
    <t>Quem se sai melhor no em o desafio ?</t>
  </si>
  <si>
    <t>file://conllu/pt/teddy-1429.conllu#s45_0</t>
  </si>
  <si>
    <t>46</t>
  </si>
  <si>
    <t>arquiteto</t>
  </si>
  <si>
    <t>Arquitectos e engenheiros , felizmente .</t>
  </si>
  <si>
    <t>file://conllu/pt/teddy-1429.conllu#s46_0</t>
  </si>
  <si>
    <t>47</t>
  </si>
  <si>
    <t>estrutura</t>
  </si>
  <si>
    <t>A estrutura mais alta que eu já vi media 1 metro .</t>
  </si>
  <si>
    <t>file://conllu/pt/teddy-1429.conllu#s47_0</t>
  </si>
  <si>
    <t>48</t>
  </si>
  <si>
    <t>atingir</t>
  </si>
  <si>
    <t>Como atingiram esse valor ?</t>
  </si>
  <si>
    <t>file://conllu/pt/teddy-1429.conllu#s48_0</t>
  </si>
  <si>
    <t>49</t>
  </si>
  <si>
    <t>saber</t>
  </si>
  <si>
    <t>Porque sabiam que os triângulos e os padrões geométricos que favorecem a rigidez são a chave para a construção de estruturas estáveis .</t>
  </si>
  <si>
    <t>file://conllu/pt/teddy-1429.conllu#s49_0</t>
  </si>
  <si>
    <t>51</t>
  </si>
  <si>
    <t>tornar</t>
  </si>
  <si>
    <t>Se juntarmos um director executivo à a a equipa , esta torna-se torna se muito melhor .</t>
  </si>
  <si>
    <t>file://conllu/pt/teddy-1429.conllu#s51_0</t>
  </si>
  <si>
    <t>52</t>
  </si>
  <si>
    <t>ser (ser incrível)</t>
  </si>
  <si>
    <t>É incrível .</t>
  </si>
  <si>
    <t>file://conllu/pt/teddy-1429.conllu#s52_0</t>
  </si>
  <si>
    <t>53</t>
  </si>
  <si>
    <t>vencer</t>
  </si>
  <si>
    <t>Olhamos em volta e &amp;quot;Oh , aquela equipa vai vencer . &amp;quot; Conseguimos mesmo prever .</t>
  </si>
  <si>
    <t>file://conllu/pt/teddy-1429.conllu#s53_0</t>
  </si>
  <si>
    <t>54</t>
  </si>
  <si>
    <t>file://conllu/pt/teddy-1429.conllu#s54_0</t>
  </si>
  <si>
    <t>55</t>
  </si>
  <si>
    <t>Porque eles têm talentos especiais enquanto facilitadores .</t>
  </si>
  <si>
    <t>file://conllu/pt/teddy-1429.conllu#s55_0</t>
  </si>
  <si>
    <t>56</t>
  </si>
  <si>
    <t>compreender</t>
  </si>
  <si>
    <t>Gerem o processo , compreendem o processo .</t>
  </si>
  <si>
    <t>file://conllu/pt/teddy-1429.conllu#s56_0</t>
  </si>
  <si>
    <t>57</t>
  </si>
  <si>
    <t>melhorar</t>
  </si>
  <si>
    <t>Qualquer equipa que gere e presta uma atenção especial ao a o trabalho irá melhorar significativamente o desempenho da de a equipa .</t>
  </si>
  <si>
    <t>file://conllu/pt/teddy-1429.conllu#s57_0</t>
  </si>
  <si>
    <t>58</t>
  </si>
  <si>
    <t>ser (ser combinação)</t>
  </si>
  <si>
    <t>Capacidade de especialização e de facilitação são a combinação que conduz a um grande sucesso .</t>
  </si>
  <si>
    <t>file://conllu/pt/teddy-1429.conllu#s58_0</t>
  </si>
  <si>
    <t>59</t>
  </si>
  <si>
    <t>Se tivermos 10 equipas teremos talvez umas seis que construirão estruturas estáveis .</t>
  </si>
  <si>
    <t>file://conllu/pt/teddy-1429.conllu#s59_0</t>
  </si>
  <si>
    <t>60</t>
  </si>
  <si>
    <t>tentar</t>
  </si>
  <si>
    <t>Eu tentei algo interessante .</t>
  </si>
  <si>
    <t>file://conllu/pt/teddy-1429.conllu#s60_0</t>
  </si>
  <si>
    <t>61</t>
  </si>
  <si>
    <t>aumentar</t>
  </si>
  <si>
    <t>Pensei , vamos aumentar o prémio para os vencedores .</t>
  </si>
  <si>
    <t>file://conllu/pt/teddy-1429.conllu#s61_0</t>
  </si>
  <si>
    <t>62</t>
  </si>
  <si>
    <t>Oferecer</t>
  </si>
  <si>
    <t>Ofereci um prémio de 10 000 dólares em &amp;quot; software &amp;quot; à a a equipa vencedora .</t>
  </si>
  <si>
    <t>file://conllu/pt/teddy-1429.conllu#s62_0</t>
  </si>
  <si>
    <t>63</t>
  </si>
  <si>
    <t>achar</t>
  </si>
  <si>
    <t>que é que acham que aconteceu aos a os estudantes ?</t>
  </si>
  <si>
    <t>file://conllu/pt/teddy-1429.conllu#s63_0</t>
  </si>
  <si>
    <t>64</t>
  </si>
  <si>
    <t>ser (ser resultado)</t>
  </si>
  <si>
    <t>Qual terá sido o resultado ?</t>
  </si>
  <si>
    <t>file://conllu/pt/teddy-1429.conllu#s64_0</t>
  </si>
  <si>
    <t>65</t>
  </si>
  <si>
    <t>ser (ser isto)</t>
  </si>
  <si>
    <t>Foi isto que aconteceu .</t>
  </si>
  <si>
    <t>file://conllu/pt/teddy-1429.conllu#s65_0</t>
  </si>
  <si>
    <t>66</t>
  </si>
  <si>
    <t>conseguir</t>
  </si>
  <si>
    <t>Nenhuma equipa conseguiu construir uma estrutura estável .</t>
  </si>
  <si>
    <t>file://conllu/pt/teddy-1429.conllu#s66_0</t>
  </si>
  <si>
    <t>67</t>
  </si>
  <si>
    <t>Se alguém tivesse construído uma estrutura com 2 cm de altura , podia ter ficado com o prémio .</t>
  </si>
  <si>
    <t>file://conllu/pt/teddy-1429.conllu#s67_0</t>
  </si>
  <si>
    <t>68</t>
  </si>
  <si>
    <t>ser (ser interessante)</t>
  </si>
  <si>
    <t>Não é interessante ?</t>
  </si>
  <si>
    <t>file://conllu/pt/teddy-1429.conllu#s68_0</t>
  </si>
  <si>
    <t>69</t>
  </si>
  <si>
    <t>Colocar a fasquia alta tem um grande impacto .</t>
  </si>
  <si>
    <t>file://conllu/pt/teddy-1429.conllu#s69_0</t>
  </si>
  <si>
    <t>70</t>
  </si>
  <si>
    <t>Repetir</t>
  </si>
  <si>
    <t>Repetimos o exercício com os mesmos estudantes .</t>
  </si>
  <si>
    <t>file://conllu/pt/teddy-1429.conllu#s70_0</t>
  </si>
  <si>
    <t>71</t>
  </si>
  <si>
    <t>o</t>
  </si>
  <si>
    <t>que acham que aconteceu ?</t>
  </si>
  <si>
    <t>file://conllu/pt/teddy-1429.conllu#s71_0</t>
  </si>
  <si>
    <t>72</t>
  </si>
  <si>
    <t>perceber</t>
  </si>
  <si>
    <t>Eles já tinham percebido o valor de criar protótipos .</t>
  </si>
  <si>
    <t>file://conllu/pt/teddy-1429.conllu#s72_0</t>
  </si>
  <si>
    <t>73</t>
  </si>
  <si>
    <t>deixar</t>
  </si>
  <si>
    <t>Então a mesma equipa deixou de ser a pior para ser uma das de as melhores .</t>
  </si>
  <si>
    <t>file://conllu/pt/teddy-1429.conllu#s73_0</t>
  </si>
  <si>
    <t>74</t>
  </si>
  <si>
    <t>Criaram as estruturas mais altas no em o menor espaço de tempo .</t>
  </si>
  <si>
    <t>file://conllu/pt/teddy-1429.conllu#s74_0</t>
  </si>
  <si>
    <t>75</t>
  </si>
  <si>
    <t>existir</t>
  </si>
  <si>
    <t>Portanto , existem lições profundas para nós sobre a natureza dos de os incentivos e do de o sucesso .</t>
  </si>
  <si>
    <t>file://conllu/pt/teddy-1429.conllu#s75_0</t>
  </si>
  <si>
    <t>76</t>
  </si>
  <si>
    <t>poder</t>
  </si>
  <si>
    <t>Vocês podem perguntar :</t>
  </si>
  <si>
    <t>file://conllu/pt/teddy-1429.conllu#s76_0</t>
  </si>
  <si>
    <t>77</t>
  </si>
  <si>
    <t>Porque é que?</t>
  </si>
  <si>
    <t>Porque é que se gasta tempo a escrever um desafio &amp;quot; marshmallow &amp;quot; ?</t>
  </si>
  <si>
    <t>file://conllu/pt/teddy-1429.conllu#s77_0</t>
  </si>
  <si>
    <t>78</t>
  </si>
  <si>
    <t>ser (ser ajudar)</t>
  </si>
  <si>
    <t>A razão é que eu ajudei a criar ferramentas digitais e processos para auxiliar equipas a construir carros , jogos de computador e efeitos visuais .</t>
  </si>
  <si>
    <t>file://conllu/pt/teddy-1429.conllu#s78_0</t>
  </si>
  <si>
    <t>79</t>
  </si>
  <si>
    <t>ajudar</t>
  </si>
  <si>
    <t>desafio &amp;quot; marshmallow &amp;quot; ajuda as equipas a identificar as hipóteses escondidas .</t>
  </si>
  <si>
    <t>file://conllu/pt/teddy-1429.conllu#s79_0</t>
  </si>
  <si>
    <t>80</t>
  </si>
  <si>
    <t>ser (ser ter)</t>
  </si>
  <si>
    <t>Porque , francamente , todos os projectos têm o seu &amp;quot; marshmallow &amp;quot; , não é ?</t>
  </si>
  <si>
    <t>file://conllu/pt/teddy-1429.conllu#s80_0</t>
  </si>
  <si>
    <t>81</t>
  </si>
  <si>
    <t>proporcionar</t>
  </si>
  <si>
    <t>desafio proporciona uma experiência partilhada , uma linguagem comum , um objectivo comum de construir o protótipo certo .</t>
  </si>
  <si>
    <t>file://conllu/pt/teddy-1429.conllu#s81_0</t>
  </si>
  <si>
    <t>82</t>
  </si>
  <si>
    <t>ser (ser valor)</t>
  </si>
  <si>
    <t>Portanto , este é o valor da de a experiência , deste de este exercício tão simples .</t>
  </si>
  <si>
    <t>file://conllu/pt/teddy-1429.conllu#s82_0</t>
  </si>
  <si>
    <t>83</t>
  </si>
  <si>
    <t>você</t>
  </si>
  <si>
    <t>Vocês , que estão interessados , podem visitar o site marshmallowchallenge.com .</t>
  </si>
  <si>
    <t>file://conllu/pt/teddy-1429.conllu#s83_0</t>
  </si>
  <si>
    <t>84</t>
  </si>
  <si>
    <t>ser (ser blogue)</t>
  </si>
  <si>
    <t>É um blogue onde podem ver como construir os &amp;quot; marshmallows &amp;quot; .</t>
  </si>
  <si>
    <t>file://conllu/pt/teddy-1429.conllu#s84_0</t>
  </si>
  <si>
    <t>85</t>
  </si>
  <si>
    <t>Há instruções passo-a-passo para isso .</t>
  </si>
  <si>
    <t>file://conllu/pt/teddy-1429.conllu#s85_0</t>
  </si>
  <si>
    <t>86</t>
  </si>
  <si>
    <t>modificar</t>
  </si>
  <si>
    <t>Há experiências loucas do de o mundo inteiro de como as pessoas modificaram e ajustaram o sistema .</t>
  </si>
  <si>
    <t>file://conllu/pt/teddy-1429.conllu#s86_0</t>
  </si>
  <si>
    <t>87</t>
  </si>
  <si>
    <t>estar (estar lá)</t>
  </si>
  <si>
    <t>E estão lá também os recordes mundiais .</t>
  </si>
  <si>
    <t>file://conllu/pt/teddy-1429.conllu#s87_0</t>
  </si>
  <si>
    <t>88</t>
  </si>
  <si>
    <t>ensinamento fundamental , na em a minha opinião , é que o projecto pode ser realmente um desporto de contacto .</t>
  </si>
  <si>
    <t>file://conllu/pt/teddy-1429.conllu#s88_0</t>
  </si>
  <si>
    <t>89</t>
  </si>
  <si>
    <t>utilizar (utilizar exigir)</t>
  </si>
  <si>
    <t>Exige que nós apliquemos todos os nossos sentidos à a a tarefa , e que utilizemos o nosso melhor poder de raciocínio , o nosso sentimento e o nosso saber fazer à a a tarefa que temos em mãos .</t>
  </si>
  <si>
    <t>file://conllu/pt/teddy-1429.conllu#s89_0</t>
  </si>
  <si>
    <t>90</t>
  </si>
  <si>
    <t>bastar</t>
  </si>
  <si>
    <t>Algumas vezes , um pequeno protótipo desta de esta experiência basta para nos em os transformar de um momento &amp;quot;oh &amp;quot; para um momento &amp;quot; ta-da &amp;quot; .</t>
  </si>
  <si>
    <t>file://conllu/pt/teddy-1429.conllu#s90_0</t>
  </si>
  <si>
    <t>91</t>
  </si>
  <si>
    <t>Isso pode fazer uma grande diferença .</t>
  </si>
  <si>
    <t>file://conllu/pt/teddy-1429.conllu#s91_0</t>
  </si>
  <si>
    <t>92</t>
  </si>
  <si>
    <t>obrigado</t>
  </si>
  <si>
    <t>Muito obrigado .</t>
  </si>
  <si>
    <t>file://conllu/pt/teddy-1429.conllu#s92_0</t>
  </si>
  <si>
    <t>93</t>
  </si>
  <si>
    <t>aplauso</t>
  </si>
  <si>
    <t>( Aplausos )</t>
  </si>
  <si>
    <t>file://conllu/pt/teddy-1429.conllu#s93_0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</si>
  <si>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</si>
  <si>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</si>
  <si>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</si>
  <si>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</si>
  <si>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</si>
  <si>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</si>
  <si>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</si>
  <si>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</si>
  <si>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</si>
  <si>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</si>
  <si>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</si>
  <si>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Há uns anos, aqui no TED, Peter Skillman apresentou um desafio de projecto chamado "O desafio do marshmallow".</t>
  </si>
  <si>
    <t>Há</t>
  </si>
  <si>
    <t>uns</t>
  </si>
  <si>
    <t>anos</t>
  </si>
  <si>
    <t>OBJ_2</t>
  </si>
  <si>
    <t>indef-np</t>
  </si>
  <si>
    <t>,</t>
  </si>
  <si>
    <t>aqui</t>
  </si>
  <si>
    <t>em</t>
  </si>
  <si>
    <t>TED</t>
  </si>
  <si>
    <t>other</t>
  </si>
  <si>
    <t>ne</t>
  </si>
  <si>
    <t>?OLD</t>
  </si>
  <si>
    <t>Peter</t>
  </si>
  <si>
    <t>SBJ</t>
  </si>
  <si>
    <t>Skillman</t>
  </si>
  <si>
    <t>other_2</t>
  </si>
  <si>
    <t>apresentou</t>
  </si>
  <si>
    <t>um</t>
  </si>
  <si>
    <t>desafio</t>
  </si>
  <si>
    <t>OBJ</t>
  </si>
  <si>
    <t>def-np.poss</t>
  </si>
  <si>
    <t>de</t>
  </si>
  <si>
    <t>projecto</t>
  </si>
  <si>
    <t>indef-np.bare</t>
  </si>
  <si>
    <t>chamado</t>
  </si>
  <si>
    <t>&amp;quot;</t>
  </si>
  <si>
    <t>OBJ_4</t>
  </si>
  <si>
    <t>marshmallow</t>
  </si>
  <si>
    <t>other_5</t>
  </si>
  <si>
    <t>def-np.the</t>
  </si>
  <si>
    <t>.</t>
  </si>
  <si>
    <t># text = A ideia é muito simples.</t>
  </si>
  <si>
    <t>A</t>
  </si>
  <si>
    <t>ideia</t>
  </si>
  <si>
    <t>é</t>
  </si>
  <si>
    <t>muito</t>
  </si>
  <si>
    <t>simples</t>
  </si>
  <si>
    <t>--</t>
  </si>
  <si>
    <t># text = Equipas de quatro têm que construir a estrutura mais alta e estável, a partir de 20 barras de esparguete, um metro de fita cola, um metro de cordel e um "marshmallow".</t>
  </si>
  <si>
    <t>Equipas</t>
  </si>
  <si>
    <t>quatro</t>
  </si>
  <si>
    <t>têm</t>
  </si>
  <si>
    <t>que</t>
  </si>
  <si>
    <t>a</t>
  </si>
  <si>
    <t>mais</t>
  </si>
  <si>
    <t>alta</t>
  </si>
  <si>
    <t>e</t>
  </si>
  <si>
    <t>estável</t>
  </si>
  <si>
    <t>partir</t>
  </si>
  <si>
    <t>other_3</t>
  </si>
  <si>
    <t>barras</t>
  </si>
  <si>
    <t>esparguete</t>
  </si>
  <si>
    <t>metro</t>
  </si>
  <si>
    <t>fita</t>
  </si>
  <si>
    <t>cola</t>
  </si>
  <si>
    <t>cordel</t>
  </si>
  <si>
    <t>indef-np.a</t>
  </si>
  <si>
    <t># text = O \"marshmallow\" tem que ficar no topo da torre.</t>
  </si>
  <si>
    <t>SBJ_2</t>
  </si>
  <si>
    <t>tem</t>
  </si>
  <si>
    <t>ficar</t>
  </si>
  <si>
    <t>topo</t>
  </si>
  <si>
    <t>torre</t>
  </si>
  <si>
    <t># text = O desafio parece simples, mas é mesmo muito difícil, porque força as pessoas a colaborar rapidamente.</t>
  </si>
  <si>
    <t>parece</t>
  </si>
  <si>
    <t>mas</t>
  </si>
  <si>
    <t>mesmo</t>
  </si>
  <si>
    <t>difícil</t>
  </si>
  <si>
    <t>porque</t>
  </si>
  <si>
    <t>força</t>
  </si>
  <si>
    <t>as</t>
  </si>
  <si>
    <t>pessoas</t>
  </si>
  <si>
    <t>colaborar</t>
  </si>
  <si>
    <t>rapidamente</t>
  </si>
  <si>
    <t># text = Eu pensei que seria uma ideia interessante e incorporei-a num "workshop" sobre projecto.</t>
  </si>
  <si>
    <t>Eu</t>
  </si>
  <si>
    <t>pron.pper</t>
  </si>
  <si>
    <t>pensei</t>
  </si>
  <si>
    <t>seria</t>
  </si>
  <si>
    <t>uma</t>
  </si>
  <si>
    <t>interessante</t>
  </si>
  <si>
    <t>incorporei</t>
  </si>
  <si>
    <t>OBJ_3</t>
  </si>
  <si>
    <t>workshop</t>
  </si>
  <si>
    <t>sobre</t>
  </si>
  <si>
    <t>other_4</t>
  </si>
  <si>
    <t># text = Foi um enorme sucesso.</t>
  </si>
  <si>
    <t>Foi</t>
  </si>
  <si>
    <t>enorme</t>
  </si>
  <si>
    <t>sucesso</t>
  </si>
  <si>
    <t># text = Desde então, tenho vindo a fazer cerca de 70 "workshops" destes no mundo inteiro, com estudantes, projectistas e arquitectos, e até com gestores da lista Fortune 50.</t>
  </si>
  <si>
    <t>Desde</t>
  </si>
  <si>
    <t>então</t>
  </si>
  <si>
    <t>tenho</t>
  </si>
  <si>
    <t>vindo</t>
  </si>
  <si>
    <t>cerca</t>
  </si>
  <si>
    <t>&amp;quot;workshops</t>
  </si>
  <si>
    <t>indef-np.quant</t>
  </si>
  <si>
    <t>estes</t>
  </si>
  <si>
    <t>pron.pds</t>
  </si>
  <si>
    <t>mundo</t>
  </si>
  <si>
    <t>inteiro</t>
  </si>
  <si>
    <t>com</t>
  </si>
  <si>
    <t>estudantes</t>
  </si>
  <si>
    <t>projectistas</t>
  </si>
  <si>
    <t>arquitectos</t>
  </si>
  <si>
    <t>até</t>
  </si>
  <si>
    <t>gestores</t>
  </si>
  <si>
    <t>lista</t>
  </si>
  <si>
    <t>def-np.quant</t>
  </si>
  <si>
    <t>Fortune</t>
  </si>
  <si>
    <t>50</t>
  </si>
  <si>
    <t># text = Há algo neste exercício que proporciona lições muito profundas sobre a natureza da colaboração, e eu gostaria de partilhar algumas destas lições convosco.</t>
  </si>
  <si>
    <t>algo</t>
  </si>
  <si>
    <t>pron.pind</t>
  </si>
  <si>
    <t>este</t>
  </si>
  <si>
    <t>exercício</t>
  </si>
  <si>
    <t>def-np.dem</t>
  </si>
  <si>
    <t>SBJ_3</t>
  </si>
  <si>
    <t>proporciona</t>
  </si>
  <si>
    <t>lições</t>
  </si>
  <si>
    <t>profundas</t>
  </si>
  <si>
    <t>natureza</t>
  </si>
  <si>
    <t>colaboração</t>
  </si>
  <si>
    <t>eu</t>
  </si>
  <si>
    <t>gostaria</t>
  </si>
  <si>
    <t>partilhar</t>
  </si>
  <si>
    <t>algumas</t>
  </si>
  <si>
    <t>estas</t>
  </si>
  <si>
    <t>vós</t>
  </si>
  <si>
    <t># text = Normalmente a maior parte das pessoas começa por se prepararem para a tarefa em jogo.</t>
  </si>
  <si>
    <t>Normalmente</t>
  </si>
  <si>
    <t>maior</t>
  </si>
  <si>
    <t>parte</t>
  </si>
  <si>
    <t>começa</t>
  </si>
  <si>
    <t>por</t>
  </si>
  <si>
    <t>se</t>
  </si>
  <si>
    <t>prepararem</t>
  </si>
  <si>
    <t>para</t>
  </si>
  <si>
    <t>tarefa</t>
  </si>
  <si>
    <t>jogo</t>
  </si>
  <si>
    <t># text = Conversam sobre o desafio, imaginam como será o aspecto da torre, lutam pelo poder dentro da equipa.</t>
  </si>
  <si>
    <t>Conversam</t>
  </si>
  <si>
    <t>imaginam</t>
  </si>
  <si>
    <t>como</t>
  </si>
  <si>
    <t>será</t>
  </si>
  <si>
    <t>aspecto</t>
  </si>
  <si>
    <t>lutam</t>
  </si>
  <si>
    <t>dentro</t>
  </si>
  <si>
    <t>equipa</t>
  </si>
  <si>
    <t># text = Depois gastam algum tempo a planear e a organizar.</t>
  </si>
  <si>
    <t>Depois</t>
  </si>
  <si>
    <t>gastam</t>
  </si>
  <si>
    <t>algum</t>
  </si>
  <si>
    <t>tempo</t>
  </si>
  <si>
    <t>planear</t>
  </si>
  <si>
    <t>organizar</t>
  </si>
  <si>
    <t># text = Criam esboços da estrutura e espalham o esparguete.</t>
  </si>
  <si>
    <t>Criam</t>
  </si>
  <si>
    <t>esboços</t>
  </si>
  <si>
    <t>espalham</t>
  </si>
  <si>
    <t># text = Passam a maior parte do tempo a juntar as barras de esparguete em estruturas sempre mais altas e por fim, mesmo no final do tempo, alguém pega no "marshmallow", e coloca-o cautelosamente</t>
  </si>
  <si>
    <t>Passam</t>
  </si>
  <si>
    <t>juntar</t>
  </si>
  <si>
    <t>OBJ_5</t>
  </si>
  <si>
    <t>other_6</t>
  </si>
  <si>
    <t>estruturas</t>
  </si>
  <si>
    <t>sempre</t>
  </si>
  <si>
    <t>altas</t>
  </si>
  <si>
    <t>fim</t>
  </si>
  <si>
    <t>final</t>
  </si>
  <si>
    <t>alguém</t>
  </si>
  <si>
    <t>pega</t>
  </si>
  <si>
    <t>coloca</t>
  </si>
  <si>
    <t>cautelosamente</t>
  </si>
  <si>
    <t># text = Depois as pessoas relaxam, e — ta-da! — a admirar o seu trabalho.</t>
  </si>
  <si>
    <t>relaxam</t>
  </si>
  <si>
    <t>—</t>
  </si>
  <si>
    <t>ta-da</t>
  </si>
  <si>
    <t>!</t>
  </si>
  <si>
    <t>admirar</t>
  </si>
  <si>
    <t>seu</t>
  </si>
  <si>
    <t>pron.ppos</t>
  </si>
  <si>
    <t>trabalho</t>
  </si>
  <si>
    <t># text = Mas o que acontece, na maior parte das vezes, é que o momento \"ta-da\" transformas-se em \"oh\", porque o peso do \"marshmallow\" faz com que toda a estrutura se encurve e colapse.</t>
  </si>
  <si>
    <t>Mas</t>
  </si>
  <si>
    <t>acontece</t>
  </si>
  <si>
    <t>vezes</t>
  </si>
  <si>
    <t>momento</t>
  </si>
  <si>
    <t>transformas</t>
  </si>
  <si>
    <t>&amp;quot;oh</t>
  </si>
  <si>
    <t>peso</t>
  </si>
  <si>
    <t>faz</t>
  </si>
  <si>
    <t>toda</t>
  </si>
  <si>
    <t>SBJ_4</t>
  </si>
  <si>
    <t>encurve</t>
  </si>
  <si>
    <t>colapse</t>
  </si>
  <si>
    <t># text = Há grupos de pessoas que têm muitos mais momentos "oh" do que outros.</t>
  </si>
  <si>
    <t>grupos</t>
  </si>
  <si>
    <t>muitos</t>
  </si>
  <si>
    <t>momentos</t>
  </si>
  <si>
    <t>other_7</t>
  </si>
  <si>
    <t>outros</t>
  </si>
  <si>
    <t># text = Entre os piores estão os recém-licenciados das escolas de gestão.</t>
  </si>
  <si>
    <t>Entre</t>
  </si>
  <si>
    <t>os</t>
  </si>
  <si>
    <t>piores</t>
  </si>
  <si>
    <t>estão</t>
  </si>
  <si>
    <t>recém-licenciados</t>
  </si>
  <si>
    <t>escolas</t>
  </si>
  <si>
    <t>gestão</t>
  </si>
  <si>
    <t># text = (Risos)</t>
  </si>
  <si>
    <t>(</t>
  </si>
  <si>
    <t>Risos</t>
  </si>
  <si>
    <t>)</t>
  </si>
  <si>
    <t># text = Eles mentem, ele fazem batota, eles distraem-se, e criam estruturas muito fracas.</t>
  </si>
  <si>
    <t>Eles</t>
  </si>
  <si>
    <t>mentem</t>
  </si>
  <si>
    <t>ele</t>
  </si>
  <si>
    <t>fazem</t>
  </si>
  <si>
    <t>batota</t>
  </si>
  <si>
    <t>eles</t>
  </si>
  <si>
    <t>distraem</t>
  </si>
  <si>
    <t>criam</t>
  </si>
  <si>
    <t>fracas</t>
  </si>
  <si>
    <t># text = Claro que, por outro lado, há equipas com muito mais estruturas \"ta-da\".</t>
  </si>
  <si>
    <t>Claro</t>
  </si>
  <si>
    <t>outro</t>
  </si>
  <si>
    <t>lado</t>
  </si>
  <si>
    <t>há</t>
  </si>
  <si>
    <t>equipas</t>
  </si>
  <si>
    <t># text = Entre as melhores, estão os recém-licenciados dos infantários.</t>
  </si>
  <si>
    <t>melhores</t>
  </si>
  <si>
    <t>infantários</t>
  </si>
  <si>
    <t># text = Isso é mesmo fascinante.</t>
  </si>
  <si>
    <t>Isso</t>
  </si>
  <si>
    <t>fascinante</t>
  </si>
  <si>
    <t># text = Como Peter nos diz, não só criam as estruturas mais altas, como criam as estruturas mais interessantes de todas.</t>
  </si>
  <si>
    <t>Como</t>
  </si>
  <si>
    <t>diz</t>
  </si>
  <si>
    <t>não</t>
  </si>
  <si>
    <t>só</t>
  </si>
  <si>
    <t>interessantes</t>
  </si>
  <si>
    <t>todas</t>
  </si>
  <si>
    <t># text = A pergunta que vocês devem querer fazer é:</t>
  </si>
  <si>
    <t>vocês</t>
  </si>
  <si>
    <t>devem</t>
  </si>
  <si>
    <t>querer</t>
  </si>
  <si>
    <t>:</t>
  </si>
  <si>
    <t># text = "Como é possível?</t>
  </si>
  <si>
    <t>possível</t>
  </si>
  <si>
    <t>?</t>
  </si>
  <si>
    <t># text = Porquê?</t>
  </si>
  <si>
    <t>Porquê</t>
  </si>
  <si>
    <t># text = O que eles têm de especial?" Peter gosta de afirmar que: "Nenhuma das crianças gasta o tempo disponível a tentar ser o director da Esparguete Lda." Não gastam tempo a lutar pelo poder.</t>
  </si>
  <si>
    <t>especial</t>
  </si>
  <si>
    <t>gosta</t>
  </si>
  <si>
    <t>afirmar</t>
  </si>
  <si>
    <t>Nenhuma</t>
  </si>
  <si>
    <t>crianças</t>
  </si>
  <si>
    <t>gasta</t>
  </si>
  <si>
    <t>disponível</t>
  </si>
  <si>
    <t>director</t>
  </si>
  <si>
    <t>Esparguete</t>
  </si>
  <si>
    <t>Lda</t>
  </si>
  <si>
    <t>Não</t>
  </si>
  <si>
    <t>lutar</t>
  </si>
  <si>
    <t># text = Mas há ainda outra razão.</t>
  </si>
  <si>
    <t>ainda</t>
  </si>
  <si>
    <t>outra</t>
  </si>
  <si>
    <t>razão</t>
  </si>
  <si>
    <t># text = É que os estudantes de gestão são treinados para encontrarem a estratégia correcta e depois executam-na.</t>
  </si>
  <si>
    <t>É</t>
  </si>
  <si>
    <t>são</t>
  </si>
  <si>
    <t>treinados</t>
  </si>
  <si>
    <t>encontrarem</t>
  </si>
  <si>
    <t>estratégia</t>
  </si>
  <si>
    <t>correcta</t>
  </si>
  <si>
    <t>depois</t>
  </si>
  <si>
    <t>executam</t>
  </si>
  <si>
    <t>na</t>
  </si>
  <si>
    <t># text = Quando eles colocam o \"marshmallow\" no topo da estrutura, já estão sem tempo de sobra, e então o que acontece?</t>
  </si>
  <si>
    <t>Quando</t>
  </si>
  <si>
    <t>colocam</t>
  </si>
  <si>
    <t>já</t>
  </si>
  <si>
    <t>sem</t>
  </si>
  <si>
    <t>sobra</t>
  </si>
  <si>
    <t># text = É uma crise!</t>
  </si>
  <si>
    <t>crise</t>
  </si>
  <si>
    <t># text = Parece-vos familiar?</t>
  </si>
  <si>
    <t>Parece</t>
  </si>
  <si>
    <t>vos</t>
  </si>
  <si>
    <t>familiar</t>
  </si>
  <si>
    <t># text = Parece.</t>
  </si>
  <si>
    <t># text = As crianças dos infantários fazem de forma diferente.</t>
  </si>
  <si>
    <t>As</t>
  </si>
  <si>
    <t>forma</t>
  </si>
  <si>
    <t>diferente</t>
  </si>
  <si>
    <t># text = Começam com o \"marshmallow\" na estrutura, depois vão construindo protótipos sucessivos, sempre a tentar manter o \"marshmallow\" no topo.</t>
  </si>
  <si>
    <t>Começam</t>
  </si>
  <si>
    <t>vão</t>
  </si>
  <si>
    <t>construindo</t>
  </si>
  <si>
    <t>protótipos</t>
  </si>
  <si>
    <t>sucessivos</t>
  </si>
  <si>
    <t>manter</t>
  </si>
  <si>
    <t># text = Portanto têm mais tempo para corrigir os protótipos durante o desafio.</t>
  </si>
  <si>
    <t>Portanto</t>
  </si>
  <si>
    <t>corrigir</t>
  </si>
  <si>
    <t>durante</t>
  </si>
  <si>
    <t># text = Os projectistas reconhecem esse tipo de colaboração como a essência do processo iterativo.</t>
  </si>
  <si>
    <t>Os</t>
  </si>
  <si>
    <t>reconhecem</t>
  </si>
  <si>
    <t>esse</t>
  </si>
  <si>
    <t>tipo</t>
  </si>
  <si>
    <t>essência</t>
  </si>
  <si>
    <t>processo</t>
  </si>
  <si>
    <t>iterativo</t>
  </si>
  <si>
    <t># text = Com cada versão criada, as crianças obtêm um retorno instantâneo sobre o que funciona e o que não funciona.</t>
  </si>
  <si>
    <t>Com</t>
  </si>
  <si>
    <t>cada</t>
  </si>
  <si>
    <t>versão</t>
  </si>
  <si>
    <t>criada</t>
  </si>
  <si>
    <t>obtêm</t>
  </si>
  <si>
    <t>retorno</t>
  </si>
  <si>
    <t>instantâneo</t>
  </si>
  <si>
    <t>funciona</t>
  </si>
  <si>
    <t>SBJ_6</t>
  </si>
  <si>
    <t># text = A capacidade para criar protótipos intermédios é essencial, mas olhemos agora para a forma como as diferentes equipas funcionam.</t>
  </si>
  <si>
    <t>capacidade</t>
  </si>
  <si>
    <t>intermédios</t>
  </si>
  <si>
    <t>essencial</t>
  </si>
  <si>
    <t>olhemos</t>
  </si>
  <si>
    <t>agora</t>
  </si>
  <si>
    <t>diferentes</t>
  </si>
  <si>
    <t>funcionam</t>
  </si>
  <si>
    <t># text = A média de altura para a maior parte das pessoas ronda os 50 cm.</t>
  </si>
  <si>
    <t>média</t>
  </si>
  <si>
    <t>altura</t>
  </si>
  <si>
    <t>ronda</t>
  </si>
  <si>
    <t>cm</t>
  </si>
  <si>
    <t># text = Para estudantes de gestão, cerca de metade desse valor.</t>
  </si>
  <si>
    <t>Para</t>
  </si>
  <si>
    <t>metade</t>
  </si>
  <si>
    <t>valor</t>
  </si>
  <si>
    <t># text = Advogados, um pouco melhor, mas não muito melhor que isso.</t>
  </si>
  <si>
    <t>Advogados</t>
  </si>
  <si>
    <t>pouco</t>
  </si>
  <si>
    <t>melhor</t>
  </si>
  <si>
    <t>isso</t>
  </si>
  <si>
    <t># text = As crianças em idade pré-escolar, melhor que a maior parte dos adultos.</t>
  </si>
  <si>
    <t>idade</t>
  </si>
  <si>
    <t>pré-escolar</t>
  </si>
  <si>
    <t>adultos</t>
  </si>
  <si>
    <t># text = Quem se sai melhor no desafio?</t>
  </si>
  <si>
    <t>Quem</t>
  </si>
  <si>
    <t>pron.pint</t>
  </si>
  <si>
    <t>sai</t>
  </si>
  <si>
    <t># text = Arquitectos e engenheiros, felizmente.</t>
  </si>
  <si>
    <t>Arquitectos</t>
  </si>
  <si>
    <t>engenheiros</t>
  </si>
  <si>
    <t>felizmente</t>
  </si>
  <si>
    <t># text = A estrutura mais alta que eu já vi media 1 metro.</t>
  </si>
  <si>
    <t>vi</t>
  </si>
  <si>
    <t>media</t>
  </si>
  <si>
    <t># text = Como atingiram esse valor?</t>
  </si>
  <si>
    <t>atingiram</t>
  </si>
  <si>
    <t># text = Porque sabiam que os triângulos e os padrões geométricos que favorecem a rigidez são a chave para a construção de estruturas estáveis.</t>
  </si>
  <si>
    <t>Porque</t>
  </si>
  <si>
    <t>sabiam</t>
  </si>
  <si>
    <t>triângulos</t>
  </si>
  <si>
    <t>padrões</t>
  </si>
  <si>
    <t>geométricos</t>
  </si>
  <si>
    <t>SBJ_5</t>
  </si>
  <si>
    <t>favorecem</t>
  </si>
  <si>
    <t>rigidez</t>
  </si>
  <si>
    <t>chave</t>
  </si>
  <si>
    <t>construção</t>
  </si>
  <si>
    <t>estáveis</t>
  </si>
  <si>
    <t># text = Do mesmo modo, os diretores, um pouco melhores que a média, mas aqui as coisas tornam-se interessantes.</t>
  </si>
  <si>
    <t>De</t>
  </si>
  <si>
    <t>modo</t>
  </si>
  <si>
    <t>diretores</t>
  </si>
  <si>
    <t>coisas</t>
  </si>
  <si>
    <t>tornam</t>
  </si>
  <si>
    <t># text = Se juntarmos um director executivo à equipa, esta torna-se muito melhor.</t>
  </si>
  <si>
    <t>Se</t>
  </si>
  <si>
    <t>juntarmos</t>
  </si>
  <si>
    <t>executivo</t>
  </si>
  <si>
    <t>esta</t>
  </si>
  <si>
    <t>torna</t>
  </si>
  <si>
    <t># text = É incrível.</t>
  </si>
  <si>
    <t>incrível</t>
  </si>
  <si>
    <t># text = Olhamos em volta e "Oh, aquela equipa vai vencer." Conseguimos mesmo prever.</t>
  </si>
  <si>
    <t>Olhamos</t>
  </si>
  <si>
    <t>volta</t>
  </si>
  <si>
    <t>&amp;quot;Oh</t>
  </si>
  <si>
    <t>aquela</t>
  </si>
  <si>
    <t>vai</t>
  </si>
  <si>
    <t>Conseguimos</t>
  </si>
  <si>
    <t>prever</t>
  </si>
  <si>
    <t># text = Porque eles têm talentos especiais enquanto facilitadores.</t>
  </si>
  <si>
    <t>talentos</t>
  </si>
  <si>
    <t>especiais</t>
  </si>
  <si>
    <t>enquanto</t>
  </si>
  <si>
    <t>facilitadores</t>
  </si>
  <si>
    <t># text = Gerem o processo, compreendem o processo.</t>
  </si>
  <si>
    <t>Gerem</t>
  </si>
  <si>
    <t>compreendem</t>
  </si>
  <si>
    <t># text = Qualquer equipa que gere e presta uma atenção especial ao trabalho irá melhorar significativamente o desempenho da equipa.</t>
  </si>
  <si>
    <t>Qualquer</t>
  </si>
  <si>
    <t>gere</t>
  </si>
  <si>
    <t>presta</t>
  </si>
  <si>
    <t>atenção</t>
  </si>
  <si>
    <t>irá</t>
  </si>
  <si>
    <t>significativamente</t>
  </si>
  <si>
    <t>desempenho</t>
  </si>
  <si>
    <t># text = Capacidade de especialização e de facilitação são a combinação que conduz a um grande sucesso.</t>
  </si>
  <si>
    <t>Capacidade</t>
  </si>
  <si>
    <t>especialização</t>
  </si>
  <si>
    <t>facilitação</t>
  </si>
  <si>
    <t>combinação</t>
  </si>
  <si>
    <t>conduz</t>
  </si>
  <si>
    <t>grande</t>
  </si>
  <si>
    <t># text = Se tivermos 10 equipas teremos talvez umas seis que construirão estruturas estáveis.</t>
  </si>
  <si>
    <t>tivermos</t>
  </si>
  <si>
    <t>teremos</t>
  </si>
  <si>
    <t>talvez</t>
  </si>
  <si>
    <t>umas</t>
  </si>
  <si>
    <t>seis</t>
  </si>
  <si>
    <t>construirão</t>
  </si>
  <si>
    <t># text = Eu tentei algo interessante.</t>
  </si>
  <si>
    <t>tentei</t>
  </si>
  <si>
    <t># text = Pensei, vamos aumentar o prémio para os vencedores.</t>
  </si>
  <si>
    <t>Pensei</t>
  </si>
  <si>
    <t>vamos</t>
  </si>
  <si>
    <t>prémio</t>
  </si>
  <si>
    <t>vencedores</t>
  </si>
  <si>
    <t># text = Ofereci um prémio de 10 000 dólares em \"software\" à equipa vencedora.</t>
  </si>
  <si>
    <t>Ofereci</t>
  </si>
  <si>
    <t>000</t>
  </si>
  <si>
    <t>dólares</t>
  </si>
  <si>
    <t>software</t>
  </si>
  <si>
    <t>vencedora</t>
  </si>
  <si>
    <t># text = O que é que acham que aconteceu aos estudantes?</t>
  </si>
  <si>
    <t>acham</t>
  </si>
  <si>
    <t>aconteceu</t>
  </si>
  <si>
    <t># text = Qual terá sido o resultado?</t>
  </si>
  <si>
    <t>Qual</t>
  </si>
  <si>
    <t>terá</t>
  </si>
  <si>
    <t>sido</t>
  </si>
  <si>
    <t>resultado</t>
  </si>
  <si>
    <t># text = Foi isto que aconteceu.</t>
  </si>
  <si>
    <t>isto</t>
  </si>
  <si>
    <t># text = Nenhuma equipa conseguiu construir uma estrutura estável.</t>
  </si>
  <si>
    <t>conseguiu</t>
  </si>
  <si>
    <t># text = Se alguém tivesse construído uma estrutura com 2 cm de altura, podia ter ficado com o prémio.</t>
  </si>
  <si>
    <t>tivesse</t>
  </si>
  <si>
    <t>construído</t>
  </si>
  <si>
    <t>podia</t>
  </si>
  <si>
    <t>ficado</t>
  </si>
  <si>
    <t># text = Não é interessante?</t>
  </si>
  <si>
    <t># text = Colocar a fasquia alta tem um grande impacto.</t>
  </si>
  <si>
    <t>Colocar</t>
  </si>
  <si>
    <t>fasquia</t>
  </si>
  <si>
    <t>impacto</t>
  </si>
  <si>
    <t># text = Repetimos o exercício com os mesmos estudantes.</t>
  </si>
  <si>
    <t>Repetimos</t>
  </si>
  <si>
    <t>mesmos</t>
  </si>
  <si>
    <t># text = O que acham que aconteceu?</t>
  </si>
  <si>
    <t># text = Eles já tinham percebido o valor de criar protótipos.</t>
  </si>
  <si>
    <t>tinham</t>
  </si>
  <si>
    <t>percebido</t>
  </si>
  <si>
    <t># text = Então a mesma equipa deixou de ser a pior para ser uma das melhores.</t>
  </si>
  <si>
    <t>Então</t>
  </si>
  <si>
    <t>mesma</t>
  </si>
  <si>
    <t>deixou</t>
  </si>
  <si>
    <t>pior</t>
  </si>
  <si>
    <t># text = Criaram as estruturas mais altas no menor espaço de tempo.</t>
  </si>
  <si>
    <t>Criaram</t>
  </si>
  <si>
    <t>menor</t>
  </si>
  <si>
    <t>espaço</t>
  </si>
  <si>
    <t># text = Portanto, existem lições profundas para nós sobre a natureza dos incentivos e do sucesso.</t>
  </si>
  <si>
    <t>existem</t>
  </si>
  <si>
    <t>nós</t>
  </si>
  <si>
    <t>incentivos</t>
  </si>
  <si>
    <t># text = Vocês podem perguntar:</t>
  </si>
  <si>
    <t>Vocês</t>
  </si>
  <si>
    <t>podem</t>
  </si>
  <si>
    <t>perguntar</t>
  </si>
  <si>
    <t># text = Porque é que se gasta tempo a escrever um desafio \"marshmallow\"?</t>
  </si>
  <si>
    <t>escrever</t>
  </si>
  <si>
    <t># text = A razão é que eu ajudei a criar ferramentas digitais e processos para auxiliar equipas a construir carros, jogos de computador e efeitos visuais.</t>
  </si>
  <si>
    <t>ajudei</t>
  </si>
  <si>
    <t>ferramentas</t>
  </si>
  <si>
    <t>digitais</t>
  </si>
  <si>
    <t>processos</t>
  </si>
  <si>
    <t>auxiliar</t>
  </si>
  <si>
    <t>carros</t>
  </si>
  <si>
    <t>jogos</t>
  </si>
  <si>
    <t>computador</t>
  </si>
  <si>
    <t>efeitos</t>
  </si>
  <si>
    <t>visuais</t>
  </si>
  <si>
    <t># text = O desafio "marshmallow" ajuda as equipas a identificar as hipóteses escondidas.</t>
  </si>
  <si>
    <t>ajuda</t>
  </si>
  <si>
    <t>identificar</t>
  </si>
  <si>
    <t>hipóteses</t>
  </si>
  <si>
    <t>escondidas</t>
  </si>
  <si>
    <t># text = Porque, francamente, todos os projectos têm o seu "marshmallow", não é?</t>
  </si>
  <si>
    <t>francamente</t>
  </si>
  <si>
    <t>todos</t>
  </si>
  <si>
    <t>projectos</t>
  </si>
  <si>
    <t># text = O desafio proporciona uma experiência partilhada, uma linguagem comum, um objectivo comum de construir o protótipo certo.</t>
  </si>
  <si>
    <t>experiência</t>
  </si>
  <si>
    <t>partilhada</t>
  </si>
  <si>
    <t>linguagem</t>
  </si>
  <si>
    <t>comum</t>
  </si>
  <si>
    <t>objectivo</t>
  </si>
  <si>
    <t>protótipo</t>
  </si>
  <si>
    <t>certo</t>
  </si>
  <si>
    <t># text = Portanto, este é o valor da experiência, deste exercício tão simples.</t>
  </si>
  <si>
    <t>tão</t>
  </si>
  <si>
    <t># text = Vocês, que estão interessados, podem visitar o site marshmallowchallenge.com.</t>
  </si>
  <si>
    <t>interessados</t>
  </si>
  <si>
    <t>visitar</t>
  </si>
  <si>
    <t>site</t>
  </si>
  <si>
    <t>marshmallowchallenge.com</t>
  </si>
  <si>
    <t># text = É um blogue onde podem ver como construir os \"marshmallows\".</t>
  </si>
  <si>
    <t>blogue</t>
  </si>
  <si>
    <t>onde</t>
  </si>
  <si>
    <t>ver</t>
  </si>
  <si>
    <t>marshmallows</t>
  </si>
  <si>
    <t># text = Há instruções passo-a-passo para isso.</t>
  </si>
  <si>
    <t>instruções</t>
  </si>
  <si>
    <t>passo-a-passo</t>
  </si>
  <si>
    <t># text = Há experiências loucas do mundo inteiro de como as pessoas modificaram e ajustaram o sistema.</t>
  </si>
  <si>
    <t>experiências</t>
  </si>
  <si>
    <t>loucas</t>
  </si>
  <si>
    <t>modificaram</t>
  </si>
  <si>
    <t>ajustaram</t>
  </si>
  <si>
    <t>sistema</t>
  </si>
  <si>
    <t># text = E estão lá também os recordes mundiais.</t>
  </si>
  <si>
    <t>E</t>
  </si>
  <si>
    <t>lá</t>
  </si>
  <si>
    <t>também</t>
  </si>
  <si>
    <t>recordes</t>
  </si>
  <si>
    <t>mundiais</t>
  </si>
  <si>
    <t># text = O ensinamento fundamental, na minha opinião, é que o projecto pode ser realmente um desporto de contacto.</t>
  </si>
  <si>
    <t>ensinamento</t>
  </si>
  <si>
    <t>fundamental</t>
  </si>
  <si>
    <t>minha</t>
  </si>
  <si>
    <t>opinião</t>
  </si>
  <si>
    <t>pode</t>
  </si>
  <si>
    <t>realmente</t>
  </si>
  <si>
    <t>desporto</t>
  </si>
  <si>
    <t>contacto</t>
  </si>
  <si>
    <t># text = Exige que nós apliquemos todos os nossos sentidos à tarefa, e que utilizemos o nosso melhor poder de raciocínio, o nosso sentimento e o nosso saber fazer à tarefa que temos em mãos.</t>
  </si>
  <si>
    <t>Exige</t>
  </si>
  <si>
    <t>apliquemos</t>
  </si>
  <si>
    <t>nossos</t>
  </si>
  <si>
    <t>sentidos</t>
  </si>
  <si>
    <t>utilizemos</t>
  </si>
  <si>
    <t>nosso</t>
  </si>
  <si>
    <t>raciocínio</t>
  </si>
  <si>
    <t>sentimento</t>
  </si>
  <si>
    <t>SBJ_7</t>
  </si>
  <si>
    <t>temos</t>
  </si>
  <si>
    <t>mãos</t>
  </si>
  <si>
    <t># text = Algumas vezes, um pequeno protótipo desta experiência basta para nos transformar de um momento "oh" para um momento "ta-da".</t>
  </si>
  <si>
    <t>Algumas</t>
  </si>
  <si>
    <t>pequeno</t>
  </si>
  <si>
    <t>basta</t>
  </si>
  <si>
    <t>transformar</t>
  </si>
  <si>
    <t># text = Isso pode fazer uma grande diferença.</t>
  </si>
  <si>
    <t>diferença</t>
  </si>
  <si>
    <t># text = Muito obrigado.</t>
  </si>
  <si>
    <t>Muito</t>
  </si>
  <si>
    <t># text = (Aplausos)</t>
  </si>
  <si>
    <t>Aplausos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</si>
</sst>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2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17</v>
      </c>
      <c r="B4" s="6" t="s">
        <v>21</v>
      </c>
      <c r="C4" s="6" t="s">
        <v>12</v>
      </c>
      <c r="D4" s="7" t="s">
        <v>22</v>
      </c>
      <c r="E4" s="8" t="s">
        <v>23</v>
      </c>
      <c r="F4" s="6" t="s">
        <v>24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25</v>
      </c>
      <c r="B5" s="6" t="s">
        <v>26</v>
      </c>
      <c r="C5" s="6" t="s">
        <v>12</v>
      </c>
      <c r="D5" s="7" t="s">
        <v>27</v>
      </c>
      <c r="E5" s="8" t="s">
        <v>28</v>
      </c>
      <c r="F5" s="6" t="s">
        <v>29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26</v>
      </c>
      <c r="B6" s="6" t="s">
        <v>17</v>
      </c>
      <c r="C6" s="6" t="s">
        <v>12</v>
      </c>
      <c r="D6" s="7" t="s">
        <v>30</v>
      </c>
      <c r="E6" s="8" t="s">
        <v>31</v>
      </c>
      <c r="F6" s="6" t="s">
        <v>32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21</v>
      </c>
      <c r="B7" s="6" t="s">
        <v>16</v>
      </c>
      <c r="C7" s="6" t="s">
        <v>12</v>
      </c>
      <c r="D7" s="7" t="s">
        <v>33</v>
      </c>
      <c r="E7" s="8" t="s">
        <v>34</v>
      </c>
      <c r="F7" s="6" t="s">
        <v>35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36</v>
      </c>
      <c r="B8" s="6" t="s">
        <v>10</v>
      </c>
      <c r="C8" s="6" t="s">
        <v>12</v>
      </c>
      <c r="D8" s="7" t="s">
        <v>37</v>
      </c>
      <c r="E8" s="8" t="s">
        <v>38</v>
      </c>
      <c r="F8" s="6" t="s">
        <v>39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40</v>
      </c>
      <c r="B9" s="6" t="s">
        <v>26</v>
      </c>
      <c r="C9" s="6" t="s">
        <v>12</v>
      </c>
      <c r="D9" s="7" t="s">
        <v>41</v>
      </c>
      <c r="E9" s="8" t="s">
        <v>42</v>
      </c>
      <c r="F9" s="6" t="s">
        <v>43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44</v>
      </c>
      <c r="B10" s="6" t="s">
        <v>10</v>
      </c>
      <c r="C10" s="6" t="s">
        <v>12</v>
      </c>
      <c r="D10" s="7" t="s">
        <v>45</v>
      </c>
      <c r="E10" s="8" t="s">
        <v>46</v>
      </c>
      <c r="F10" s="6" t="s">
        <v>47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48</v>
      </c>
      <c r="B11" s="6" t="s">
        <v>40</v>
      </c>
      <c r="C11" s="6" t="s">
        <v>12</v>
      </c>
      <c r="D11" s="7" t="s">
        <v>49</v>
      </c>
      <c r="E11" s="8" t="s">
        <v>50</v>
      </c>
      <c r="F11" s="6" t="s">
        <v>51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52</v>
      </c>
      <c r="B12" s="6" t="s">
        <v>10</v>
      </c>
      <c r="C12" s="6" t="s">
        <v>12</v>
      </c>
      <c r="D12" s="7" t="s">
        <v>53</v>
      </c>
      <c r="E12" s="8" t="s">
        <v>54</v>
      </c>
      <c r="F12" s="6" t="s">
        <v>55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11</v>
      </c>
      <c r="B13" s="6" t="s">
        <v>16</v>
      </c>
      <c r="C13" s="6" t="s">
        <v>12</v>
      </c>
      <c r="D13" s="7" t="s">
        <v>56</v>
      </c>
      <c r="E13" s="8" t="s">
        <v>57</v>
      </c>
      <c r="F13" s="6" t="s">
        <v>58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59</v>
      </c>
      <c r="B14" s="6" t="s">
        <v>10</v>
      </c>
      <c r="C14" s="6" t="s">
        <v>12</v>
      </c>
      <c r="D14" s="7" t="s">
        <v>60</v>
      </c>
      <c r="E14" s="8" t="s">
        <v>61</v>
      </c>
      <c r="F14" s="6" t="s">
        <v>62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63</v>
      </c>
      <c r="B15" s="6" t="s">
        <v>64</v>
      </c>
      <c r="C15" s="6" t="s">
        <v>12</v>
      </c>
      <c r="D15" s="7" t="s">
        <v>65</v>
      </c>
      <c r="E15" s="8" t="s">
        <v>66</v>
      </c>
      <c r="F15" s="6" t="s">
        <v>67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68</v>
      </c>
      <c r="B16" s="6" t="s">
        <v>25</v>
      </c>
      <c r="C16" s="6" t="s">
        <v>12</v>
      </c>
      <c r="D16" s="7" t="s">
        <v>69</v>
      </c>
      <c r="E16" s="8" t="s">
        <v>70</v>
      </c>
      <c r="F16" s="6" t="s">
        <v>71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72</v>
      </c>
      <c r="B17" s="6" t="s">
        <v>63</v>
      </c>
      <c r="C17" s="6" t="s">
        <v>12</v>
      </c>
      <c r="D17" s="7" t="s">
        <v>73</v>
      </c>
      <c r="E17" s="8" t="s">
        <v>74</v>
      </c>
      <c r="F17" s="6" t="s">
        <v>75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76</v>
      </c>
      <c r="B18" s="6" t="s">
        <v>10</v>
      </c>
      <c r="C18" s="6" t="s">
        <v>12</v>
      </c>
      <c r="D18" s="7" t="s">
        <v>45</v>
      </c>
      <c r="E18" s="8" t="s">
        <v>77</v>
      </c>
      <c r="F18" s="6" t="s">
        <v>78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79</v>
      </c>
      <c r="B19" s="6" t="s">
        <v>25</v>
      </c>
      <c r="C19" s="6" t="s">
        <v>12</v>
      </c>
      <c r="D19" s="7" t="s">
        <v>80</v>
      </c>
      <c r="E19" s="8" t="s">
        <v>81</v>
      </c>
      <c r="F19" s="6" t="s">
        <v>82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83</v>
      </c>
      <c r="B20" s="6" t="s">
        <v>16</v>
      </c>
      <c r="C20" s="6" t="s">
        <v>12</v>
      </c>
      <c r="D20" s="7" t="s">
        <v>84</v>
      </c>
      <c r="E20" s="8" t="s">
        <v>85</v>
      </c>
      <c r="F20" s="6" t="s">
        <v>86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87</v>
      </c>
      <c r="B21" s="6" t="s">
        <v>16</v>
      </c>
      <c r="C21" s="6" t="s">
        <v>12</v>
      </c>
      <c r="D21" s="7" t="s">
        <v>88</v>
      </c>
      <c r="E21" s="8" t="s">
        <v>89</v>
      </c>
      <c r="F21" s="6" t="s">
        <v>90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91</v>
      </c>
      <c r="B22" s="6" t="s">
        <v>10</v>
      </c>
      <c r="C22" s="6" t="s">
        <v>12</v>
      </c>
      <c r="D22" s="7" t="s">
        <v>92</v>
      </c>
      <c r="E22" s="8" t="s">
        <v>93</v>
      </c>
      <c r="F22" s="6" t="s">
        <v>94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95</v>
      </c>
      <c r="B23" s="6" t="s">
        <v>26</v>
      </c>
      <c r="C23" s="6" t="s">
        <v>12</v>
      </c>
      <c r="D23" s="7" t="s">
        <v>80</v>
      </c>
      <c r="E23" s="8" t="s">
        <v>96</v>
      </c>
      <c r="F23" s="6" t="s">
        <v>97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98</v>
      </c>
      <c r="B24" s="6" t="s">
        <v>16</v>
      </c>
      <c r="C24" s="6" t="s">
        <v>12</v>
      </c>
      <c r="D24" s="7" t="s">
        <v>99</v>
      </c>
      <c r="E24" s="8" t="s">
        <v>100</v>
      </c>
      <c r="F24" s="6" t="s">
        <v>101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102</v>
      </c>
      <c r="B25" s="6" t="s">
        <v>44</v>
      </c>
      <c r="C25" s="6" t="s">
        <v>12</v>
      </c>
      <c r="D25" s="7" t="s">
        <v>103</v>
      </c>
      <c r="E25" s="8" t="s">
        <v>104</v>
      </c>
      <c r="F25" s="6" t="s">
        <v>105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106</v>
      </c>
      <c r="B26" s="6" t="s">
        <v>16</v>
      </c>
      <c r="C26" s="6" t="s">
        <v>12</v>
      </c>
      <c r="D26" s="7" t="s">
        <v>107</v>
      </c>
      <c r="E26" s="8" t="s">
        <v>108</v>
      </c>
      <c r="F26" s="6" t="s">
        <v>109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110</v>
      </c>
      <c r="B27" s="6" t="s">
        <v>17</v>
      </c>
      <c r="C27" s="6" t="s">
        <v>12</v>
      </c>
      <c r="D27" s="7" t="s">
        <v>111</v>
      </c>
      <c r="E27" s="8" t="s">
        <v>112</v>
      </c>
      <c r="F27" s="6" t="s">
        <v>113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114</v>
      </c>
      <c r="B28" s="6" t="s">
        <v>10</v>
      </c>
      <c r="C28" s="6" t="s">
        <v>115</v>
      </c>
      <c r="D28" s="7" t="s">
        <v>116</v>
      </c>
      <c r="E28" s="8" t="s">
        <v>117</v>
      </c>
      <c r="F28" s="6" t="s">
        <v>118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119</v>
      </c>
      <c r="B29" s="6" t="s">
        <v>48</v>
      </c>
      <c r="C29" s="6" t="s">
        <v>12</v>
      </c>
      <c r="D29" s="7" t="s">
        <v>120</v>
      </c>
      <c r="E29" s="8" t="s">
        <v>121</v>
      </c>
      <c r="F29" s="6" t="s">
        <v>122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123</v>
      </c>
      <c r="B30" s="6" t="s">
        <v>16</v>
      </c>
      <c r="C30" s="6" t="s">
        <v>12</v>
      </c>
      <c r="D30" s="7" t="s">
        <v>45</v>
      </c>
      <c r="E30" s="8" t="s">
        <v>124</v>
      </c>
      <c r="F30" s="6" t="s">
        <v>125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126</v>
      </c>
      <c r="B31" s="6" t="s">
        <v>40</v>
      </c>
      <c r="C31" s="6" t="s">
        <v>12</v>
      </c>
      <c r="D31" s="7" t="s">
        <v>127</v>
      </c>
      <c r="E31" s="8" t="s">
        <v>128</v>
      </c>
      <c r="F31" s="6" t="s">
        <v>129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130</v>
      </c>
      <c r="B32" s="6" t="s">
        <v>17</v>
      </c>
      <c r="C32" s="6" t="s">
        <v>12</v>
      </c>
      <c r="D32" s="7" t="s">
        <v>131</v>
      </c>
      <c r="E32" s="8" t="s">
        <v>132</v>
      </c>
      <c r="F32" s="6" t="s">
        <v>133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64</v>
      </c>
      <c r="B33" s="6" t="s">
        <v>10</v>
      </c>
      <c r="C33" s="6" t="s">
        <v>12</v>
      </c>
      <c r="D33" s="7" t="s">
        <v>134</v>
      </c>
      <c r="E33" s="8" t="s">
        <v>135</v>
      </c>
      <c r="F33" s="6" t="s">
        <v>136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137</v>
      </c>
      <c r="B34" s="6" t="s">
        <v>10</v>
      </c>
      <c r="C34" s="6" t="s">
        <v>12</v>
      </c>
      <c r="D34" s="7" t="s">
        <v>30</v>
      </c>
      <c r="E34" s="8" t="s">
        <v>138</v>
      </c>
      <c r="F34" s="6" t="s">
        <v>139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140</v>
      </c>
      <c r="B35" s="6" t="s">
        <v>21</v>
      </c>
      <c r="C35" s="6" t="s">
        <v>12</v>
      </c>
      <c r="D35" s="7" t="s">
        <v>141</v>
      </c>
      <c r="E35" s="8" t="s">
        <v>142</v>
      </c>
      <c r="F35" s="6" t="s">
        <v>143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144</v>
      </c>
      <c r="B36" s="6" t="s">
        <v>10</v>
      </c>
      <c r="C36" s="6" t="s">
        <v>12</v>
      </c>
      <c r="D36" s="7" t="s">
        <v>49</v>
      </c>
      <c r="E36" s="8" t="s">
        <v>145</v>
      </c>
      <c r="F36" s="6" t="s">
        <v>146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147</v>
      </c>
      <c r="B37" s="6" t="s">
        <v>16</v>
      </c>
      <c r="C37" s="6" t="s">
        <v>12</v>
      </c>
      <c r="D37" s="7" t="s">
        <v>27</v>
      </c>
      <c r="E37" s="8" t="s">
        <v>148</v>
      </c>
      <c r="F37" s="6" t="s">
        <v>149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150</v>
      </c>
      <c r="B38" s="6" t="s">
        <v>17</v>
      </c>
      <c r="C38" s="6" t="s">
        <v>12</v>
      </c>
      <c r="D38" s="7" t="s">
        <v>151</v>
      </c>
      <c r="E38" s="8" t="s">
        <v>152</v>
      </c>
      <c r="F38" s="6" t="s">
        <v>153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154</v>
      </c>
      <c r="B39" s="6" t="s">
        <v>40</v>
      </c>
      <c r="C39" s="6" t="s">
        <v>12</v>
      </c>
      <c r="D39" s="7" t="s">
        <v>155</v>
      </c>
      <c r="E39" s="8" t="s">
        <v>156</v>
      </c>
      <c r="F39" s="6" t="s">
        <v>157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158</v>
      </c>
      <c r="B40" s="6" t="s">
        <v>36</v>
      </c>
      <c r="C40" s="6" t="s">
        <v>12</v>
      </c>
      <c r="D40" s="7" t="s">
        <v>159</v>
      </c>
      <c r="E40" s="8" t="s">
        <v>160</v>
      </c>
      <c r="F40" s="6" t="s">
        <v>161</v>
      </c>
      <c r="G40" s="9">
        <f>IF(A40=1,"_",IF(C40="_","???",C40))</f>
        <v/>
      </c>
      <c r="H40" s="10" t="s">
        <v>12</v>
      </c>
      <c r="I40" s="11" t="s">
        <v>12</v>
      </c>
      <c r="J40" s="12"/>
    </row>
    <row r="41" spans="1:10" ht="60" customHeight="1">
      <c r="A41" s="6" t="s">
        <v>162</v>
      </c>
      <c r="B41" s="6" t="s">
        <v>11</v>
      </c>
      <c r="C41" s="6" t="s">
        <v>12</v>
      </c>
      <c r="D41" s="7" t="s">
        <v>163</v>
      </c>
      <c r="E41" s="8" t="s">
        <v>164</v>
      </c>
      <c r="F41" s="6" t="s">
        <v>165</v>
      </c>
      <c r="G41" s="9">
        <f>IF(A41=1,"_",IF(C41="_","???",C41))</f>
        <v/>
      </c>
      <c r="H41" s="10" t="s">
        <v>12</v>
      </c>
      <c r="I41" s="11" t="s">
        <v>12</v>
      </c>
      <c r="J41" s="12"/>
    </row>
    <row r="42" spans="1:10" ht="60" customHeight="1">
      <c r="A42" s="6" t="s">
        <v>166</v>
      </c>
      <c r="B42" s="6" t="s">
        <v>16</v>
      </c>
      <c r="C42" s="6" t="s">
        <v>12</v>
      </c>
      <c r="D42" s="7" t="s">
        <v>167</v>
      </c>
      <c r="E42" s="8" t="s">
        <v>168</v>
      </c>
      <c r="F42" s="6" t="s">
        <v>169</v>
      </c>
      <c r="G42" s="9">
        <f>IF(A42=1,"_",IF(C42="_","???",C42))</f>
        <v/>
      </c>
      <c r="H42" s="10" t="s">
        <v>12</v>
      </c>
      <c r="I42" s="11" t="s">
        <v>12</v>
      </c>
      <c r="J42" s="12"/>
    </row>
    <row r="43" spans="1:10" ht="60" customHeight="1">
      <c r="A43" s="6" t="s">
        <v>170</v>
      </c>
      <c r="B43" s="6" t="s">
        <v>10</v>
      </c>
      <c r="C43" s="6" t="s">
        <v>12</v>
      </c>
      <c r="D43" s="7" t="s">
        <v>171</v>
      </c>
      <c r="E43" s="8" t="s">
        <v>172</v>
      </c>
      <c r="F43" s="6" t="s">
        <v>173</v>
      </c>
      <c r="G43" s="9">
        <f>IF(A43=1,"_",IF(C43="_","???",C43))</f>
        <v/>
      </c>
      <c r="H43" s="10" t="s">
        <v>12</v>
      </c>
      <c r="I43" s="11" t="s">
        <v>12</v>
      </c>
      <c r="J43" s="12"/>
    </row>
    <row r="44" spans="1:10" ht="60" customHeight="1">
      <c r="A44" s="6" t="s">
        <v>174</v>
      </c>
      <c r="B44" s="6" t="s">
        <v>16</v>
      </c>
      <c r="C44" s="6" t="s">
        <v>12</v>
      </c>
      <c r="D44" s="7" t="s">
        <v>175</v>
      </c>
      <c r="E44" s="8" t="s">
        <v>176</v>
      </c>
      <c r="F44" s="6" t="s">
        <v>177</v>
      </c>
      <c r="G44" s="9">
        <f>IF(A44=1,"_",IF(C44="_","???",C44))</f>
        <v/>
      </c>
      <c r="H44" s="10" t="s">
        <v>12</v>
      </c>
      <c r="I44" s="11" t="s">
        <v>12</v>
      </c>
      <c r="J44" s="12"/>
    </row>
    <row r="45" spans="1:10" ht="60" customHeight="1">
      <c r="A45" s="6" t="s">
        <v>178</v>
      </c>
      <c r="B45" s="6" t="s">
        <v>17</v>
      </c>
      <c r="C45" s="6" t="s">
        <v>179</v>
      </c>
      <c r="D45" s="7" t="s">
        <v>180</v>
      </c>
      <c r="E45" s="8" t="s">
        <v>181</v>
      </c>
      <c r="F45" s="6" t="s">
        <v>182</v>
      </c>
      <c r="G45" s="9">
        <f>IF(A45=1,"_",IF(C45="_","???",C45))</f>
        <v/>
      </c>
      <c r="H45" s="10" t="s">
        <v>12</v>
      </c>
      <c r="I45" s="11" t="s">
        <v>12</v>
      </c>
      <c r="J45" s="12"/>
    </row>
    <row r="46" spans="1:10" ht="60" customHeight="1">
      <c r="A46" s="6" t="s">
        <v>183</v>
      </c>
      <c r="B46" s="6" t="s">
        <v>10</v>
      </c>
      <c r="C46" s="6" t="s">
        <v>12</v>
      </c>
      <c r="D46" s="7" t="s">
        <v>184</v>
      </c>
      <c r="E46" s="8" t="s">
        <v>185</v>
      </c>
      <c r="F46" s="6" t="s">
        <v>186</v>
      </c>
      <c r="G46" s="9">
        <f>IF(A46=1,"_",IF(C46="_","???",C46))</f>
        <v/>
      </c>
      <c r="H46" s="10" t="s">
        <v>12</v>
      </c>
      <c r="I46" s="11" t="s">
        <v>12</v>
      </c>
      <c r="J46" s="12"/>
    </row>
    <row r="47" spans="1:10" ht="60" customHeight="1">
      <c r="A47" s="6" t="s">
        <v>187</v>
      </c>
      <c r="B47" s="6" t="s">
        <v>16</v>
      </c>
      <c r="C47" s="6" t="s">
        <v>12</v>
      </c>
      <c r="D47" s="7" t="s">
        <v>188</v>
      </c>
      <c r="E47" s="8" t="s">
        <v>189</v>
      </c>
      <c r="F47" s="6" t="s">
        <v>190</v>
      </c>
      <c r="G47" s="9">
        <f>IF(A47=1,"_",IF(C47="_","???",C47))</f>
        <v/>
      </c>
      <c r="H47" s="10" t="s">
        <v>12</v>
      </c>
      <c r="I47" s="11" t="s">
        <v>12</v>
      </c>
      <c r="J47" s="12"/>
    </row>
    <row r="48" spans="1:10" ht="60" customHeight="1">
      <c r="A48" s="6" t="s">
        <v>191</v>
      </c>
      <c r="B48" s="6" t="s">
        <v>16</v>
      </c>
      <c r="C48" s="6" t="s">
        <v>12</v>
      </c>
      <c r="D48" s="7" t="s">
        <v>192</v>
      </c>
      <c r="E48" s="8" t="s">
        <v>193</v>
      </c>
      <c r="F48" s="6" t="s">
        <v>194</v>
      </c>
      <c r="G48" s="9">
        <f>IF(A48=1,"_",IF(C48="_","???",C48))</f>
        <v/>
      </c>
      <c r="H48" s="10" t="s">
        <v>12</v>
      </c>
      <c r="I48" s="11" t="s">
        <v>12</v>
      </c>
      <c r="J48" s="12"/>
    </row>
    <row r="49" spans="1:10" ht="60" customHeight="1">
      <c r="A49" s="6" t="s">
        <v>195</v>
      </c>
      <c r="B49" s="6" t="s">
        <v>16</v>
      </c>
      <c r="C49" s="6" t="s">
        <v>12</v>
      </c>
      <c r="D49" s="7" t="s">
        <v>196</v>
      </c>
      <c r="E49" s="8" t="s">
        <v>197</v>
      </c>
      <c r="F49" s="6" t="s">
        <v>198</v>
      </c>
      <c r="G49" s="9">
        <f>IF(A49=1,"_",IF(C49="_","???",C49))</f>
        <v/>
      </c>
      <c r="H49" s="10" t="s">
        <v>12</v>
      </c>
      <c r="I49" s="11" t="s">
        <v>12</v>
      </c>
      <c r="J49" s="12"/>
    </row>
    <row r="50" spans="1:10" ht="60" customHeight="1">
      <c r="A50" s="6" t="s">
        <v>199</v>
      </c>
      <c r="B50" s="6" t="s">
        <v>52</v>
      </c>
      <c r="C50" s="6" t="s">
        <v>12</v>
      </c>
      <c r="D50" s="7" t="s">
        <v>200</v>
      </c>
      <c r="E50" s="8" t="s">
        <v>201</v>
      </c>
      <c r="F50" s="6" t="s">
        <v>202</v>
      </c>
      <c r="G50" s="9">
        <f>IF(A50=1,"_",IF(C50="_","???",C50))</f>
        <v/>
      </c>
      <c r="H50" s="10" t="s">
        <v>12</v>
      </c>
      <c r="I50" s="11" t="s">
        <v>12</v>
      </c>
      <c r="J50" s="12"/>
    </row>
    <row r="51" spans="1:10" ht="60" customHeight="1">
      <c r="A51" s="6" t="s">
        <v>203</v>
      </c>
      <c r="B51" s="6" t="s">
        <v>10</v>
      </c>
      <c r="C51" s="6" t="s">
        <v>12</v>
      </c>
      <c r="D51" s="7" t="s">
        <v>204</v>
      </c>
      <c r="E51" s="8" t="s">
        <v>205</v>
      </c>
      <c r="F51" s="6" t="s">
        <v>206</v>
      </c>
      <c r="G51" s="9">
        <f>IF(A51=1,"_",IF(C51="_","???",C51))</f>
        <v/>
      </c>
      <c r="H51" s="10" t="s">
        <v>12</v>
      </c>
      <c r="I51" s="11" t="s">
        <v>12</v>
      </c>
      <c r="J51" s="12"/>
    </row>
    <row r="52" spans="1:10" ht="60" customHeight="1">
      <c r="A52" s="6" t="s">
        <v>207</v>
      </c>
      <c r="B52" s="6" t="s">
        <v>48</v>
      </c>
      <c r="C52" s="6" t="s">
        <v>12</v>
      </c>
      <c r="D52" s="7" t="s">
        <v>208</v>
      </c>
      <c r="E52" s="8" t="s">
        <v>209</v>
      </c>
      <c r="F52" s="6" t="s">
        <v>210</v>
      </c>
      <c r="G52" s="9">
        <f>IF(A52=1,"_",IF(C52="_","???",C52))</f>
        <v/>
      </c>
      <c r="H52" s="10" t="s">
        <v>12</v>
      </c>
      <c r="I52" s="11" t="s">
        <v>12</v>
      </c>
      <c r="J52" s="12"/>
    </row>
    <row r="53" spans="1:10" ht="60" customHeight="1">
      <c r="A53" s="6" t="s">
        <v>211</v>
      </c>
      <c r="B53" s="6" t="s">
        <v>10</v>
      </c>
      <c r="C53" s="6" t="s">
        <v>115</v>
      </c>
      <c r="D53" s="7" t="s">
        <v>116</v>
      </c>
      <c r="E53" s="8" t="s">
        <v>117</v>
      </c>
      <c r="F53" s="6" t="s">
        <v>212</v>
      </c>
      <c r="G53" s="9">
        <f>IF(A53=1,"_",IF(C53="_","???",C53))</f>
        <v/>
      </c>
      <c r="H53" s="10" t="s">
        <v>12</v>
      </c>
      <c r="I53" s="11" t="s">
        <v>12</v>
      </c>
      <c r="J53" s="12"/>
    </row>
    <row r="54" spans="1:10" ht="60" customHeight="1">
      <c r="A54" s="6" t="s">
        <v>213</v>
      </c>
      <c r="B54" s="6" t="s">
        <v>17</v>
      </c>
      <c r="C54" s="6" t="s">
        <v>12</v>
      </c>
      <c r="D54" s="7" t="s">
        <v>27</v>
      </c>
      <c r="E54" s="8" t="s">
        <v>214</v>
      </c>
      <c r="F54" s="6" t="s">
        <v>215</v>
      </c>
      <c r="G54" s="9">
        <f>IF(A54=1,"_",IF(C54="_","???",C54))</f>
        <v/>
      </c>
      <c r="H54" s="10" t="s">
        <v>12</v>
      </c>
      <c r="I54" s="11" t="s">
        <v>12</v>
      </c>
      <c r="J54" s="12"/>
    </row>
    <row r="55" spans="1:10" ht="60" customHeight="1">
      <c r="A55" s="6" t="s">
        <v>216</v>
      </c>
      <c r="B55" s="6" t="s">
        <v>26</v>
      </c>
      <c r="C55" s="6" t="s">
        <v>12</v>
      </c>
      <c r="D55" s="7" t="s">
        <v>217</v>
      </c>
      <c r="E55" s="8" t="s">
        <v>218</v>
      </c>
      <c r="F55" s="6" t="s">
        <v>219</v>
      </c>
      <c r="G55" s="9">
        <f>IF(A55=1,"_",IF(C55="_","???",C55))</f>
        <v/>
      </c>
      <c r="H55" s="10" t="s">
        <v>12</v>
      </c>
      <c r="I55" s="11" t="s">
        <v>12</v>
      </c>
      <c r="J55" s="12"/>
    </row>
    <row r="56" spans="1:10" ht="60" customHeight="1">
      <c r="A56" s="6" t="s">
        <v>220</v>
      </c>
      <c r="B56" s="6" t="s">
        <v>63</v>
      </c>
      <c r="C56" s="6" t="s">
        <v>12</v>
      </c>
      <c r="D56" s="7" t="s">
        <v>221</v>
      </c>
      <c r="E56" s="8" t="s">
        <v>222</v>
      </c>
      <c r="F56" s="6" t="s">
        <v>223</v>
      </c>
      <c r="G56" s="9">
        <f>IF(A56=1,"_",IF(C56="_","???",C56))</f>
        <v/>
      </c>
      <c r="H56" s="10" t="s">
        <v>12</v>
      </c>
      <c r="I56" s="11" t="s">
        <v>12</v>
      </c>
      <c r="J56" s="12"/>
    </row>
    <row r="57" spans="1:10" ht="60" customHeight="1">
      <c r="A57" s="6" t="s">
        <v>224</v>
      </c>
      <c r="B57" s="6" t="s">
        <v>36</v>
      </c>
      <c r="C57" s="6" t="s">
        <v>12</v>
      </c>
      <c r="D57" s="7" t="s">
        <v>225</v>
      </c>
      <c r="E57" s="8" t="s">
        <v>226</v>
      </c>
      <c r="F57" s="6" t="s">
        <v>227</v>
      </c>
      <c r="G57" s="9">
        <f>IF(A57=1,"_",IF(C57="_","???",C57))</f>
        <v/>
      </c>
      <c r="H57" s="10" t="s">
        <v>12</v>
      </c>
      <c r="I57" s="11" t="s">
        <v>12</v>
      </c>
      <c r="J57" s="12"/>
    </row>
    <row r="58" spans="1:10" ht="60" customHeight="1">
      <c r="A58" s="6" t="s">
        <v>228</v>
      </c>
      <c r="B58" s="6" t="s">
        <v>26</v>
      </c>
      <c r="C58" s="6" t="s">
        <v>12</v>
      </c>
      <c r="D58" s="7" t="s">
        <v>27</v>
      </c>
      <c r="E58" s="8" t="s">
        <v>229</v>
      </c>
      <c r="F58" s="6" t="s">
        <v>230</v>
      </c>
      <c r="G58" s="9">
        <f>IF(A58=1,"_",IF(C58="_","???",C58))</f>
        <v/>
      </c>
      <c r="H58" s="10" t="s">
        <v>12</v>
      </c>
      <c r="I58" s="11" t="s">
        <v>12</v>
      </c>
      <c r="J58" s="12"/>
    </row>
    <row r="59" spans="1:10" ht="60" customHeight="1">
      <c r="A59" s="6" t="s">
        <v>231</v>
      </c>
      <c r="B59" s="6" t="s">
        <v>16</v>
      </c>
      <c r="C59" s="6" t="s">
        <v>12</v>
      </c>
      <c r="D59" s="7" t="s">
        <v>232</v>
      </c>
      <c r="E59" s="8" t="s">
        <v>233</v>
      </c>
      <c r="F59" s="6" t="s">
        <v>234</v>
      </c>
      <c r="G59" s="9">
        <f>IF(A59=1,"_",IF(C59="_","???",C59))</f>
        <v/>
      </c>
      <c r="H59" s="10" t="s">
        <v>12</v>
      </c>
      <c r="I59" s="11" t="s">
        <v>12</v>
      </c>
      <c r="J59" s="12"/>
    </row>
    <row r="60" spans="1:10" ht="60" customHeight="1">
      <c r="A60" s="6" t="s">
        <v>235</v>
      </c>
      <c r="B60" s="6" t="s">
        <v>25</v>
      </c>
      <c r="C60" s="6" t="s">
        <v>12</v>
      </c>
      <c r="D60" s="7" t="s">
        <v>236</v>
      </c>
      <c r="E60" s="8" t="s">
        <v>237</v>
      </c>
      <c r="F60" s="6" t="s">
        <v>238</v>
      </c>
      <c r="G60" s="9">
        <f>IF(A60=1,"_",IF(C60="_","???",C60))</f>
        <v/>
      </c>
      <c r="H60" s="10" t="s">
        <v>12</v>
      </c>
      <c r="I60" s="11" t="s">
        <v>12</v>
      </c>
      <c r="J60" s="12"/>
    </row>
    <row r="61" spans="1:10" ht="60" customHeight="1">
      <c r="A61" s="6" t="s">
        <v>239</v>
      </c>
      <c r="B61" s="6" t="s">
        <v>10</v>
      </c>
      <c r="C61" s="6" t="s">
        <v>12</v>
      </c>
      <c r="D61" s="7" t="s">
        <v>240</v>
      </c>
      <c r="E61" s="8" t="s">
        <v>241</v>
      </c>
      <c r="F61" s="6" t="s">
        <v>242</v>
      </c>
      <c r="G61" s="9">
        <f>IF(A61=1,"_",IF(C61="_","???",C61))</f>
        <v/>
      </c>
      <c r="H61" s="10" t="s">
        <v>12</v>
      </c>
      <c r="I61" s="11" t="s">
        <v>12</v>
      </c>
      <c r="J61" s="12"/>
    </row>
    <row r="62" spans="1:10" ht="60" customHeight="1">
      <c r="A62" s="6" t="s">
        <v>243</v>
      </c>
      <c r="B62" s="6" t="s">
        <v>26</v>
      </c>
      <c r="C62" s="6" t="s">
        <v>12</v>
      </c>
      <c r="D62" s="7" t="s">
        <v>244</v>
      </c>
      <c r="E62" s="8" t="s">
        <v>245</v>
      </c>
      <c r="F62" s="6" t="s">
        <v>246</v>
      </c>
      <c r="G62" s="9">
        <f>IF(A62=1,"_",IF(C62="_","???",C62))</f>
        <v/>
      </c>
      <c r="H62" s="10" t="s">
        <v>12</v>
      </c>
      <c r="I62" s="11" t="s">
        <v>12</v>
      </c>
      <c r="J62" s="12"/>
    </row>
    <row r="63" spans="1:10" ht="60" customHeight="1">
      <c r="A63" s="6" t="s">
        <v>247</v>
      </c>
      <c r="B63" s="6" t="s">
        <v>17</v>
      </c>
      <c r="C63" s="6" t="s">
        <v>12</v>
      </c>
      <c r="D63" s="7" t="s">
        <v>248</v>
      </c>
      <c r="E63" s="8" t="s">
        <v>249</v>
      </c>
      <c r="F63" s="6" t="s">
        <v>250</v>
      </c>
      <c r="G63" s="9">
        <f>IF(A63=1,"_",IF(C63="_","???",C63))</f>
        <v/>
      </c>
      <c r="H63" s="10" t="s">
        <v>12</v>
      </c>
      <c r="I63" s="11" t="s">
        <v>12</v>
      </c>
      <c r="J63" s="12"/>
    </row>
    <row r="64" spans="1:10" ht="60" customHeight="1">
      <c r="A64" s="6" t="s">
        <v>251</v>
      </c>
      <c r="B64" s="6" t="s">
        <v>10</v>
      </c>
      <c r="C64" s="6" t="s">
        <v>12</v>
      </c>
      <c r="D64" s="7" t="s">
        <v>252</v>
      </c>
      <c r="E64" s="8" t="s">
        <v>253</v>
      </c>
      <c r="F64" s="6" t="s">
        <v>254</v>
      </c>
      <c r="G64" s="9">
        <f>IF(A64=1,"_",IF(C64="_","???",C64))</f>
        <v/>
      </c>
      <c r="H64" s="10" t="s">
        <v>12</v>
      </c>
      <c r="I64" s="11" t="s">
        <v>12</v>
      </c>
      <c r="J64" s="12"/>
    </row>
    <row r="65" spans="1:10" ht="60" customHeight="1">
      <c r="A65" s="6" t="s">
        <v>255</v>
      </c>
      <c r="B65" s="6" t="s">
        <v>17</v>
      </c>
      <c r="C65" s="6" t="s">
        <v>12</v>
      </c>
      <c r="D65" s="7" t="s">
        <v>256</v>
      </c>
      <c r="E65" s="8" t="s">
        <v>257</v>
      </c>
      <c r="F65" s="6" t="s">
        <v>258</v>
      </c>
      <c r="G65" s="9">
        <f>IF(A65=1,"_",IF(C65="_","???",C65))</f>
        <v/>
      </c>
      <c r="H65" s="10" t="s">
        <v>12</v>
      </c>
      <c r="I65" s="11" t="s">
        <v>12</v>
      </c>
      <c r="J65" s="12"/>
    </row>
    <row r="66" spans="1:10" ht="60" customHeight="1">
      <c r="A66" s="6" t="s">
        <v>259</v>
      </c>
      <c r="B66" s="6" t="s">
        <v>25</v>
      </c>
      <c r="C66" s="6" t="s">
        <v>12</v>
      </c>
      <c r="D66" s="7" t="s">
        <v>22</v>
      </c>
      <c r="E66" s="8" t="s">
        <v>260</v>
      </c>
      <c r="F66" s="6" t="s">
        <v>261</v>
      </c>
      <c r="G66" s="9">
        <f>IF(A66=1,"_",IF(C66="_","???",C66))</f>
        <v/>
      </c>
      <c r="H66" s="10" t="s">
        <v>12</v>
      </c>
      <c r="I66" s="11" t="s">
        <v>12</v>
      </c>
      <c r="J66" s="12"/>
    </row>
    <row r="67" spans="1:10" ht="60" customHeight="1">
      <c r="A67" s="6" t="s">
        <v>262</v>
      </c>
      <c r="B67" s="6" t="s">
        <v>16</v>
      </c>
      <c r="C67" s="6" t="s">
        <v>12</v>
      </c>
      <c r="D67" s="7" t="s">
        <v>263</v>
      </c>
      <c r="E67" s="8" t="s">
        <v>264</v>
      </c>
      <c r="F67" s="6" t="s">
        <v>265</v>
      </c>
      <c r="G67" s="9">
        <f>IF(A67=1,"_",IF(C67="_","???",C67))</f>
        <v/>
      </c>
      <c r="H67" s="10" t="s">
        <v>12</v>
      </c>
      <c r="I67" s="11" t="s">
        <v>12</v>
      </c>
      <c r="J67" s="12"/>
    </row>
    <row r="68" spans="1:10" ht="60" customHeight="1">
      <c r="A68" s="6" t="s">
        <v>266</v>
      </c>
      <c r="B68" s="6" t="s">
        <v>26</v>
      </c>
      <c r="C68" s="6" t="s">
        <v>12</v>
      </c>
      <c r="D68" s="7" t="s">
        <v>27</v>
      </c>
      <c r="E68" s="8" t="s">
        <v>267</v>
      </c>
      <c r="F68" s="6" t="s">
        <v>268</v>
      </c>
      <c r="G68" s="9">
        <f>IF(A68=1,"_",IF(C68="_","???",C68))</f>
        <v/>
      </c>
      <c r="H68" s="10" t="s">
        <v>12</v>
      </c>
      <c r="I68" s="11" t="s">
        <v>12</v>
      </c>
      <c r="J68" s="12"/>
    </row>
    <row r="69" spans="1:10" ht="60" customHeight="1">
      <c r="A69" s="6" t="s">
        <v>269</v>
      </c>
      <c r="B69" s="6" t="s">
        <v>10</v>
      </c>
      <c r="C69" s="6" t="s">
        <v>12</v>
      </c>
      <c r="D69" s="7" t="s">
        <v>270</v>
      </c>
      <c r="E69" s="8" t="s">
        <v>271</v>
      </c>
      <c r="F69" s="6" t="s">
        <v>272</v>
      </c>
      <c r="G69" s="9">
        <f>IF(A69=1,"_",IF(C69="_","???",C69))</f>
        <v/>
      </c>
      <c r="H69" s="10" t="s">
        <v>12</v>
      </c>
      <c r="I69" s="11" t="s">
        <v>12</v>
      </c>
      <c r="J69" s="12"/>
    </row>
    <row r="70" spans="1:10" ht="60" customHeight="1">
      <c r="A70" s="6" t="s">
        <v>273</v>
      </c>
      <c r="B70" s="6" t="s">
        <v>10</v>
      </c>
      <c r="C70" s="6" t="s">
        <v>12</v>
      </c>
      <c r="D70" s="7" t="s">
        <v>274</v>
      </c>
      <c r="E70" s="8" t="s">
        <v>275</v>
      </c>
      <c r="F70" s="6" t="s">
        <v>276</v>
      </c>
      <c r="G70" s="9">
        <f>IF(A70=1,"_",IF(C70="_","???",C70))</f>
        <v/>
      </c>
      <c r="H70" s="10" t="s">
        <v>12</v>
      </c>
      <c r="I70" s="11" t="s">
        <v>12</v>
      </c>
      <c r="J70" s="12"/>
    </row>
    <row r="71" spans="1:10" ht="60" customHeight="1">
      <c r="A71" s="6" t="s">
        <v>277</v>
      </c>
      <c r="B71" s="6" t="s">
        <v>25</v>
      </c>
      <c r="C71" s="6" t="s">
        <v>12</v>
      </c>
      <c r="D71" s="7" t="s">
        <v>278</v>
      </c>
      <c r="E71" s="8" t="s">
        <v>279</v>
      </c>
      <c r="F71" s="6" t="s">
        <v>280</v>
      </c>
      <c r="G71" s="9">
        <f>IF(A71=1,"_",IF(C71="_","???",C71))</f>
        <v/>
      </c>
      <c r="H71" s="10" t="s">
        <v>12</v>
      </c>
      <c r="I71" s="11" t="s">
        <v>12</v>
      </c>
      <c r="J71" s="12"/>
    </row>
    <row r="72" spans="1:10" ht="60" customHeight="1">
      <c r="A72" s="6" t="s">
        <v>281</v>
      </c>
      <c r="B72" s="6" t="s">
        <v>26</v>
      </c>
      <c r="C72" s="6" t="s">
        <v>12</v>
      </c>
      <c r="D72" s="7" t="s">
        <v>282</v>
      </c>
      <c r="E72" s="8" t="s">
        <v>283</v>
      </c>
      <c r="F72" s="6" t="s">
        <v>284</v>
      </c>
      <c r="G72" s="9">
        <f>IF(A72=1,"_",IF(C72="_","???",C72))</f>
        <v/>
      </c>
      <c r="H72" s="10" t="s">
        <v>12</v>
      </c>
      <c r="I72" s="11" t="s">
        <v>12</v>
      </c>
      <c r="J72" s="12"/>
    </row>
    <row r="73" spans="1:10" ht="60" customHeight="1">
      <c r="A73" s="6" t="s">
        <v>285</v>
      </c>
      <c r="B73" s="6" t="s">
        <v>10</v>
      </c>
      <c r="C73" s="6" t="s">
        <v>12</v>
      </c>
      <c r="D73" s="7" t="s">
        <v>103</v>
      </c>
      <c r="E73" s="8" t="s">
        <v>286</v>
      </c>
      <c r="F73" s="6" t="s">
        <v>287</v>
      </c>
      <c r="G73" s="9">
        <f>IF(A73=1,"_",IF(C73="_","???",C73))</f>
        <v/>
      </c>
      <c r="H73" s="10" t="s">
        <v>12</v>
      </c>
      <c r="I73" s="11" t="s">
        <v>12</v>
      </c>
      <c r="J73" s="12"/>
    </row>
    <row r="74" spans="1:10" ht="60" customHeight="1">
      <c r="A74" s="6" t="s">
        <v>288</v>
      </c>
      <c r="B74" s="6" t="s">
        <v>17</v>
      </c>
      <c r="C74" s="6" t="s">
        <v>12</v>
      </c>
      <c r="D74" s="7" t="s">
        <v>289</v>
      </c>
      <c r="E74" s="8" t="s">
        <v>290</v>
      </c>
      <c r="F74" s="6" t="s">
        <v>291</v>
      </c>
      <c r="G74" s="9">
        <f>IF(A74=1,"_",IF(C74="_","???",C74))</f>
        <v/>
      </c>
      <c r="H74" s="10" t="s">
        <v>12</v>
      </c>
      <c r="I74" s="11" t="s">
        <v>12</v>
      </c>
      <c r="J74" s="12"/>
    </row>
    <row r="75" spans="1:10" ht="60" customHeight="1">
      <c r="A75" s="6" t="s">
        <v>292</v>
      </c>
      <c r="B75" s="6" t="s">
        <v>16</v>
      </c>
      <c r="C75" s="6" t="s">
        <v>12</v>
      </c>
      <c r="D75" s="7" t="s">
        <v>293</v>
      </c>
      <c r="E75" s="8" t="s">
        <v>294</v>
      </c>
      <c r="F75" s="6" t="s">
        <v>295</v>
      </c>
      <c r="G75" s="9">
        <f>IF(A75=1,"_",IF(C75="_","???",C75))</f>
        <v/>
      </c>
      <c r="H75" s="10" t="s">
        <v>12</v>
      </c>
      <c r="I75" s="11" t="s">
        <v>12</v>
      </c>
      <c r="J75" s="12"/>
    </row>
    <row r="76" spans="1:10" ht="60" customHeight="1">
      <c r="A76" s="6" t="s">
        <v>296</v>
      </c>
      <c r="B76" s="6" t="s">
        <v>26</v>
      </c>
      <c r="C76" s="6" t="s">
        <v>297</v>
      </c>
      <c r="D76" s="7" t="s">
        <v>56</v>
      </c>
      <c r="E76" s="8" t="s">
        <v>298</v>
      </c>
      <c r="F76" s="6" t="s">
        <v>299</v>
      </c>
      <c r="G76" s="9">
        <f>IF(A76=1,"_",IF(C76="_","???",C76))</f>
        <v/>
      </c>
      <c r="H76" s="10" t="s">
        <v>12</v>
      </c>
      <c r="I76" s="11" t="s">
        <v>12</v>
      </c>
      <c r="J76" s="12"/>
    </row>
    <row r="77" spans="1:10" ht="60" customHeight="1">
      <c r="A77" s="6" t="s">
        <v>300</v>
      </c>
      <c r="B77" s="6" t="s">
        <v>17</v>
      </c>
      <c r="C77" s="6" t="s">
        <v>12</v>
      </c>
      <c r="D77" s="7" t="s">
        <v>301</v>
      </c>
      <c r="E77" s="8" t="s">
        <v>302</v>
      </c>
      <c r="F77" s="6" t="s">
        <v>303</v>
      </c>
      <c r="G77" s="9">
        <f>IF(A77=1,"_",IF(C77="_","???",C77))</f>
        <v/>
      </c>
      <c r="H77" s="10" t="s">
        <v>12</v>
      </c>
      <c r="I77" s="11" t="s">
        <v>12</v>
      </c>
      <c r="J77" s="12"/>
    </row>
    <row r="78" spans="1:10" ht="60" customHeight="1">
      <c r="A78" s="6" t="s">
        <v>304</v>
      </c>
      <c r="B78" s="6" t="s">
        <v>21</v>
      </c>
      <c r="C78" s="6" t="s">
        <v>12</v>
      </c>
      <c r="D78" s="7" t="s">
        <v>305</v>
      </c>
      <c r="E78" s="8" t="s">
        <v>306</v>
      </c>
      <c r="F78" s="6" t="s">
        <v>307</v>
      </c>
      <c r="G78" s="9">
        <f>IF(A78=1,"_",IF(C78="_","???",C78))</f>
        <v/>
      </c>
      <c r="H78" s="10" t="s">
        <v>12</v>
      </c>
      <c r="I78" s="11" t="s">
        <v>12</v>
      </c>
      <c r="J78" s="12"/>
    </row>
    <row r="79" spans="1:10" ht="60" customHeight="1">
      <c r="A79" s="6" t="s">
        <v>308</v>
      </c>
      <c r="B79" s="6" t="s">
        <v>72</v>
      </c>
      <c r="C79" s="6" t="s">
        <v>12</v>
      </c>
      <c r="D79" s="7" t="s">
        <v>309</v>
      </c>
      <c r="E79" s="8" t="s">
        <v>310</v>
      </c>
      <c r="F79" s="6" t="s">
        <v>311</v>
      </c>
      <c r="G79" s="9">
        <f>IF(A79=1,"_",IF(C79="_","???",C79))</f>
        <v/>
      </c>
      <c r="H79" s="10" t="s">
        <v>12</v>
      </c>
      <c r="I79" s="11" t="s">
        <v>12</v>
      </c>
      <c r="J79" s="12"/>
    </row>
    <row r="80" spans="1:10" ht="60" customHeight="1">
      <c r="A80" s="6" t="s">
        <v>312</v>
      </c>
      <c r="B80" s="6" t="s">
        <v>17</v>
      </c>
      <c r="C80" s="6" t="s">
        <v>12</v>
      </c>
      <c r="D80" s="7" t="s">
        <v>313</v>
      </c>
      <c r="E80" s="8" t="s">
        <v>314</v>
      </c>
      <c r="F80" s="6" t="s">
        <v>315</v>
      </c>
      <c r="G80" s="9">
        <f>IF(A80=1,"_",IF(C80="_","???",C80))</f>
        <v/>
      </c>
      <c r="H80" s="10" t="s">
        <v>12</v>
      </c>
      <c r="I80" s="11" t="s">
        <v>12</v>
      </c>
      <c r="J80" s="12"/>
    </row>
    <row r="81" spans="1:10" ht="60" customHeight="1">
      <c r="A81" s="6" t="s">
        <v>316</v>
      </c>
      <c r="B81" s="6" t="s">
        <v>25</v>
      </c>
      <c r="C81" s="6" t="s">
        <v>12</v>
      </c>
      <c r="D81" s="7" t="s">
        <v>317</v>
      </c>
      <c r="E81" s="8" t="s">
        <v>318</v>
      </c>
      <c r="F81" s="6" t="s">
        <v>319</v>
      </c>
      <c r="G81" s="9">
        <f>IF(A81=1,"_",IF(C81="_","???",C81))</f>
        <v/>
      </c>
      <c r="H81" s="10" t="s">
        <v>12</v>
      </c>
      <c r="I81" s="11" t="s">
        <v>12</v>
      </c>
      <c r="J81" s="12"/>
    </row>
    <row r="82" spans="1:10" ht="60" customHeight="1">
      <c r="A82" s="6" t="s">
        <v>320</v>
      </c>
      <c r="B82" s="6" t="s">
        <v>10</v>
      </c>
      <c r="C82" s="6" t="s">
        <v>12</v>
      </c>
      <c r="D82" s="7" t="s">
        <v>321</v>
      </c>
      <c r="E82" s="8" t="s">
        <v>322</v>
      </c>
      <c r="F82" s="6" t="s">
        <v>323</v>
      </c>
      <c r="G82" s="9">
        <f>IF(A82=1,"_",IF(C82="_","???",C82))</f>
        <v/>
      </c>
      <c r="H82" s="10" t="s">
        <v>12</v>
      </c>
      <c r="I82" s="11" t="s">
        <v>12</v>
      </c>
      <c r="J82" s="12"/>
    </row>
    <row r="83" spans="1:10" ht="60" customHeight="1">
      <c r="A83" s="6" t="s">
        <v>324</v>
      </c>
      <c r="B83" s="6" t="s">
        <v>10</v>
      </c>
      <c r="C83" s="6" t="s">
        <v>12</v>
      </c>
      <c r="D83" s="7" t="s">
        <v>325</v>
      </c>
      <c r="E83" s="8" t="s">
        <v>326</v>
      </c>
      <c r="F83" s="6" t="s">
        <v>327</v>
      </c>
      <c r="G83" s="9">
        <f>IF(A83=1,"_",IF(C83="_","???",C83))</f>
        <v/>
      </c>
      <c r="H83" s="10" t="s">
        <v>12</v>
      </c>
      <c r="I83" s="11" t="s">
        <v>12</v>
      </c>
      <c r="J83" s="12"/>
    </row>
    <row r="84" spans="1:10" ht="60" customHeight="1">
      <c r="A84" s="6" t="s">
        <v>328</v>
      </c>
      <c r="B84" s="6" t="s">
        <v>10</v>
      </c>
      <c r="C84" s="6" t="s">
        <v>12</v>
      </c>
      <c r="D84" s="7" t="s">
        <v>45</v>
      </c>
      <c r="E84" s="8" t="s">
        <v>329</v>
      </c>
      <c r="F84" s="6" t="s">
        <v>330</v>
      </c>
      <c r="G84" s="9">
        <f>IF(A84=1,"_",IF(C84="_","???",C84))</f>
        <v/>
      </c>
      <c r="H84" s="10" t="s">
        <v>12</v>
      </c>
      <c r="I84" s="11" t="s">
        <v>12</v>
      </c>
      <c r="J84" s="12"/>
    </row>
    <row r="85" spans="1:10" ht="60" customHeight="1">
      <c r="A85" s="6" t="s">
        <v>331</v>
      </c>
      <c r="B85" s="6" t="s">
        <v>11</v>
      </c>
      <c r="C85" s="6" t="s">
        <v>12</v>
      </c>
      <c r="D85" s="7" t="s">
        <v>332</v>
      </c>
      <c r="E85" s="8" t="s">
        <v>333</v>
      </c>
      <c r="F85" s="6" t="s">
        <v>334</v>
      </c>
      <c r="G85" s="9">
        <f>IF(A85=1,"_",IF(C85="_","???",C85))</f>
        <v/>
      </c>
      <c r="H85" s="10" t="s">
        <v>12</v>
      </c>
      <c r="I85" s="11" t="s">
        <v>12</v>
      </c>
      <c r="J85" s="12"/>
    </row>
    <row r="86" spans="1:10" ht="60" customHeight="1">
      <c r="A86" s="6" t="s">
        <v>335</v>
      </c>
      <c r="B86" s="6" t="s">
        <v>16</v>
      </c>
      <c r="C86" s="6" t="s">
        <v>12</v>
      </c>
      <c r="D86" s="7" t="s">
        <v>336</v>
      </c>
      <c r="E86" s="8" t="s">
        <v>337</v>
      </c>
      <c r="F86" s="6" t="s">
        <v>338</v>
      </c>
      <c r="G86" s="9">
        <f>IF(A86=1,"_",IF(C86="_","???",C86))</f>
        <v/>
      </c>
      <c r="H86" s="10" t="s">
        <v>12</v>
      </c>
      <c r="I86" s="11" t="s">
        <v>12</v>
      </c>
      <c r="J86" s="12"/>
    </row>
    <row r="87" spans="1:10" ht="60" customHeight="1">
      <c r="A87" s="6" t="s">
        <v>339</v>
      </c>
      <c r="B87" s="6" t="s">
        <v>48</v>
      </c>
      <c r="C87" s="6" t="s">
        <v>12</v>
      </c>
      <c r="D87" s="7" t="s">
        <v>73</v>
      </c>
      <c r="E87" s="8" t="s">
        <v>340</v>
      </c>
      <c r="F87" s="6" t="s">
        <v>341</v>
      </c>
      <c r="G87" s="9">
        <f>IF(A87=1,"_",IF(C87="_","???",C87))</f>
        <v/>
      </c>
      <c r="H87" s="10" t="s">
        <v>12</v>
      </c>
      <c r="I87" s="11" t="s">
        <v>12</v>
      </c>
      <c r="J87" s="12"/>
    </row>
    <row r="88" spans="1:10" ht="60" customHeight="1">
      <c r="A88" s="6" t="s">
        <v>342</v>
      </c>
      <c r="B88" s="6" t="s">
        <v>68</v>
      </c>
      <c r="C88" s="6" t="s">
        <v>12</v>
      </c>
      <c r="D88" s="7" t="s">
        <v>343</v>
      </c>
      <c r="E88" s="8" t="s">
        <v>344</v>
      </c>
      <c r="F88" s="6" t="s">
        <v>345</v>
      </c>
      <c r="G88" s="9">
        <f>IF(A88=1,"_",IF(C88="_","???",C88))</f>
        <v/>
      </c>
      <c r="H88" s="10" t="s">
        <v>12</v>
      </c>
      <c r="I88" s="11" t="s">
        <v>12</v>
      </c>
      <c r="J88" s="12"/>
    </row>
    <row r="89" spans="1:10" ht="60" customHeight="1">
      <c r="A89" s="6" t="s">
        <v>346</v>
      </c>
      <c r="B89" s="6" t="s">
        <v>48</v>
      </c>
      <c r="C89" s="6" t="s">
        <v>12</v>
      </c>
      <c r="D89" s="7" t="s">
        <v>347</v>
      </c>
      <c r="E89" s="8" t="s">
        <v>348</v>
      </c>
      <c r="F89" s="6" t="s">
        <v>349</v>
      </c>
      <c r="G89" s="9">
        <f>IF(A89=1,"_",IF(C89="_","???",C89))</f>
        <v/>
      </c>
      <c r="H89" s="10" t="s">
        <v>12</v>
      </c>
      <c r="I89" s="11" t="s">
        <v>12</v>
      </c>
      <c r="J89" s="12"/>
    </row>
    <row r="90" spans="1:10" ht="60" customHeight="1">
      <c r="A90" s="6" t="s">
        <v>350</v>
      </c>
      <c r="B90" s="6" t="s">
        <v>16</v>
      </c>
      <c r="C90" s="6" t="s">
        <v>12</v>
      </c>
      <c r="D90" s="7" t="s">
        <v>293</v>
      </c>
      <c r="E90" s="8" t="s">
        <v>351</v>
      </c>
      <c r="F90" s="6" t="s">
        <v>352</v>
      </c>
      <c r="G90" s="9">
        <f>IF(A90=1,"_",IF(C90="_","???",C90))</f>
        <v/>
      </c>
      <c r="H90" s="10" t="s">
        <v>12</v>
      </c>
      <c r="I90" s="11" t="s">
        <v>12</v>
      </c>
      <c r="J90" s="12"/>
    </row>
    <row r="91" spans="1:10" ht="60" customHeight="1">
      <c r="A91" s="6" t="s">
        <v>353</v>
      </c>
      <c r="B91" s="6" t="s">
        <v>16</v>
      </c>
      <c r="C91" s="6" t="s">
        <v>12</v>
      </c>
      <c r="D91" s="7" t="s">
        <v>354</v>
      </c>
      <c r="E91" s="8" t="s">
        <v>355</v>
      </c>
      <c r="F91" s="6" t="s">
        <v>356</v>
      </c>
      <c r="G91" s="9">
        <f>IF(A91=1,"_",IF(C91="_","???",C91))</f>
        <v/>
      </c>
      <c r="H91" s="10" t="s">
        <v>12</v>
      </c>
      <c r="I91" s="11" t="s">
        <v>12</v>
      </c>
      <c r="J91" s="12"/>
    </row>
    <row r="92" spans="1:10" ht="60" customHeight="1">
      <c r="A92" s="6" t="s">
        <v>357</v>
      </c>
      <c r="B92" s="6" t="s">
        <v>16</v>
      </c>
      <c r="C92" s="6" t="s">
        <v>12</v>
      </c>
      <c r="D92" s="7" t="s">
        <v>358</v>
      </c>
      <c r="E92" s="8" t="s">
        <v>359</v>
      </c>
      <c r="F92" s="6" t="s">
        <v>360</v>
      </c>
      <c r="G92" s="9">
        <f>IF(A92=1,"_",IF(C92="_","???",C92))</f>
        <v/>
      </c>
      <c r="H92" s="10" t="s">
        <v>12</v>
      </c>
      <c r="I92" s="11" t="s">
        <v>12</v>
      </c>
      <c r="J92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5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361</v>
      </c>
      <c r="B1" s="13" t="s">
        <v>362</v>
      </c>
      <c r="C1" s="13" t="s">
        <v>363</v>
      </c>
      <c r="D1" s="13" t="s">
        <v>364</v>
      </c>
      <c r="E1" s="14" t="s">
        <v>365</v>
      </c>
      <c r="F1" s="15" t="s">
        <v>366</v>
      </c>
      <c r="G1" s="16" t="s">
        <v>367</v>
      </c>
      <c r="H1" s="17" t="s">
        <v>368</v>
      </c>
      <c r="I1" s="18" t="s">
        <v>369</v>
      </c>
      <c r="J1" s="18" t="s">
        <v>370</v>
      </c>
      <c r="K1" s="18" t="s">
        <v>371</v>
      </c>
      <c r="L1" s="19" t="s">
        <v>9</v>
      </c>
    </row>
    <row r="2" spans="1:12">
      <c r="A2" s="20" t="s">
        <v>372</v>
      </c>
    </row>
    <row r="3" spans="1:12">
      <c r="A3" s="20" t="s">
        <v>373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374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375</v>
      </c>
      <c r="B5" s="27" t="s">
        <v>376</v>
      </c>
      <c r="C5" s="27" t="s">
        <v>377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378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379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380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274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381</v>
      </c>
      <c r="B10" s="27" t="s">
        <v>382</v>
      </c>
      <c r="C10" s="27" t="s">
        <v>383</v>
      </c>
      <c r="D10" s="27" t="s">
        <v>384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378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385</v>
      </c>
      <c r="B12" s="27" t="s">
        <v>386</v>
      </c>
      <c r="C12" s="27" t="s">
        <v>383</v>
      </c>
      <c r="D12" s="27" t="s">
        <v>384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387</v>
      </c>
      <c r="B13" s="27" t="s">
        <v>388</v>
      </c>
      <c r="C13" s="27" t="s">
        <v>383</v>
      </c>
      <c r="D13" s="27" t="s">
        <v>384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389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390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391</v>
      </c>
      <c r="B16" s="27" t="s">
        <v>392</v>
      </c>
      <c r="C16" s="27" t="s">
        <v>393</v>
      </c>
      <c r="D16" s="27" t="s">
        <v>384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394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395</v>
      </c>
      <c r="B18" s="27" t="s">
        <v>388</v>
      </c>
      <c r="C18" s="27" t="s">
        <v>396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397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398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12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391</v>
      </c>
      <c r="B22" s="27" t="s">
        <v>399</v>
      </c>
      <c r="C22" s="27" t="s">
        <v>393</v>
      </c>
      <c r="D22" s="27" t="s">
        <v>384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394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274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400</v>
      </c>
      <c r="B25" s="27" t="s">
        <v>401</v>
      </c>
      <c r="C25" s="27" t="s">
        <v>402</v>
      </c>
      <c r="D25" s="27" t="s">
        <v>384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398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403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/>
    </row>
    <row r="29" spans="1:12">
      <c r="A29" s="20" t="s">
        <v>404</v>
      </c>
    </row>
    <row r="30" spans="1:12">
      <c r="A30" s="20" t="s">
        <v>405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406</v>
      </c>
      <c r="B31" s="27" t="s">
        <v>386</v>
      </c>
      <c r="C31" s="27" t="s">
        <v>402</v>
      </c>
      <c r="D31" s="27" t="s">
        <v>384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407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408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409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403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/>
    </row>
    <row r="37" spans="1:12">
      <c r="A37" s="20" t="s">
        <v>410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411</v>
      </c>
    </row>
    <row r="39" spans="1:12">
      <c r="A39" s="20" t="s">
        <v>412</v>
      </c>
      <c r="B39" s="27" t="s">
        <v>386</v>
      </c>
      <c r="C39" s="27" t="s">
        <v>393</v>
      </c>
      <c r="D39" s="27" t="s">
        <v>384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394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413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414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415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22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416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188</v>
      </c>
      <c r="B46" s="27" t="s">
        <v>392</v>
      </c>
      <c r="C46" s="27" t="s">
        <v>402</v>
      </c>
      <c r="D46" s="27" t="s">
        <v>384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417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418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419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420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378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416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421</v>
      </c>
      <c r="B53" s="27" t="s">
        <v>422</v>
      </c>
      <c r="C53" s="27" t="s">
        <v>396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394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87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423</v>
      </c>
      <c r="B56" s="27" t="s">
        <v>382</v>
      </c>
      <c r="C56" s="27" t="s">
        <v>393</v>
      </c>
      <c r="D56" s="27" t="s">
        <v>384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394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424</v>
      </c>
      <c r="B58" s="27" t="s">
        <v>388</v>
      </c>
      <c r="C58" s="27" t="s">
        <v>396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378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390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425</v>
      </c>
      <c r="B61" s="27" t="s">
        <v>392</v>
      </c>
      <c r="C61" s="27" t="s">
        <v>393</v>
      </c>
      <c r="D61" s="27" t="s">
        <v>384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394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426</v>
      </c>
      <c r="B63" s="27" t="s">
        <v>388</v>
      </c>
      <c r="C63" s="27" t="s">
        <v>396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427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378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390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425</v>
      </c>
      <c r="B67" s="27" t="s">
        <v>388</v>
      </c>
      <c r="C67" s="27" t="s">
        <v>393</v>
      </c>
      <c r="D67" s="27" t="s">
        <v>384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394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428</v>
      </c>
      <c r="B69" s="27" t="s">
        <v>422</v>
      </c>
      <c r="C69" s="27" t="s">
        <v>396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419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390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398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400</v>
      </c>
      <c r="B73" s="27" t="s">
        <v>388</v>
      </c>
      <c r="C73" s="27" t="s">
        <v>429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398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403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/>
    </row>
    <row r="77" spans="1:12">
      <c r="A77" s="20" t="s">
        <v>410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430</v>
      </c>
    </row>
    <row r="79" spans="1:12">
      <c r="A79" s="20" t="s">
        <v>12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398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400</v>
      </c>
      <c r="B81" s="27" t="s">
        <v>431</v>
      </c>
      <c r="C81" s="27" t="s">
        <v>402</v>
      </c>
      <c r="D81" s="27" t="s">
        <v>384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398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432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415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433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380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274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434</v>
      </c>
      <c r="B88" s="27" t="s">
        <v>388</v>
      </c>
      <c r="C88" s="27" t="s">
        <v>393</v>
      </c>
      <c r="D88" s="27" t="s">
        <v>384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394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416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435</v>
      </c>
      <c r="B91" s="27" t="s">
        <v>422</v>
      </c>
      <c r="C91" s="27" t="s">
        <v>402</v>
      </c>
      <c r="D91" s="27" t="s">
        <v>384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403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/>
    </row>
    <row r="94" spans="1:12">
      <c r="A94" s="20" t="s">
        <v>436</v>
      </c>
    </row>
    <row r="95" spans="1:12">
      <c r="A95" s="20" t="s">
        <v>12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391</v>
      </c>
      <c r="B96" s="27" t="s">
        <v>386</v>
      </c>
      <c r="C96" s="27" t="s">
        <v>402</v>
      </c>
      <c r="D96" s="27" t="s">
        <v>384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437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409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378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438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407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439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408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440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378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441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442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443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444</v>
      </c>
      <c r="B109" s="27" t="s">
        <v>376</v>
      </c>
      <c r="C109" s="27" t="s">
        <v>402</v>
      </c>
      <c r="D109" s="27" t="s">
        <v>384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416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445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446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403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/>
    </row>
    <row r="115" spans="1:12">
      <c r="A115" s="20" t="s">
        <v>410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447</v>
      </c>
    </row>
    <row r="117" spans="1:12">
      <c r="A117" s="20" t="s">
        <v>448</v>
      </c>
      <c r="B117" s="27" t="s">
        <v>386</v>
      </c>
      <c r="C117" s="27" t="s">
        <v>449</v>
      </c>
      <c r="D117" s="27" t="s">
        <v>384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450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415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451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452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406</v>
      </c>
      <c r="B122" s="27" t="s">
        <v>382</v>
      </c>
      <c r="C122" s="27" t="s">
        <v>429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453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419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454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416</v>
      </c>
      <c r="B126" s="27" t="s">
        <v>455</v>
      </c>
      <c r="C126" s="27" t="s">
        <v>449</v>
      </c>
      <c r="D126" s="27" t="s">
        <v>384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380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390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398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456</v>
      </c>
      <c r="B130" s="27" t="s">
        <v>422</v>
      </c>
      <c r="C130" s="27" t="s">
        <v>393</v>
      </c>
      <c r="D130" s="27" t="s">
        <v>384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398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457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395</v>
      </c>
      <c r="B133" s="27" t="s">
        <v>458</v>
      </c>
      <c r="C133" s="27" t="s">
        <v>396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403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/>
    </row>
    <row r="136" spans="1:12">
      <c r="A136" s="20" t="s">
        <v>459</v>
      </c>
    </row>
    <row r="137" spans="1:12">
      <c r="A137" s="20" t="s">
        <v>460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390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461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462</v>
      </c>
      <c r="B140" s="27" t="s">
        <v>382</v>
      </c>
      <c r="C140" s="27" t="s">
        <v>429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403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/>
    </row>
    <row r="143" spans="1:12">
      <c r="A143" s="20" t="s">
        <v>410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463</v>
      </c>
    </row>
    <row r="145" spans="1:12">
      <c r="A145" s="20" t="s">
        <v>464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465</v>
      </c>
      <c r="B146" s="27" t="s">
        <v>431</v>
      </c>
      <c r="C146" s="27" t="s">
        <v>396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378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466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467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416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141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468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394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269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469</v>
      </c>
      <c r="B155" s="27" t="s">
        <v>376</v>
      </c>
      <c r="C155" s="27" t="s">
        <v>470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398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394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471</v>
      </c>
      <c r="B158" s="27" t="s">
        <v>458</v>
      </c>
      <c r="C158" s="27" t="s">
        <v>472</v>
      </c>
      <c r="D158" s="27" t="s">
        <v>384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380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274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473</v>
      </c>
      <c r="B161" s="27" t="s">
        <v>422</v>
      </c>
      <c r="C161" s="27" t="s">
        <v>393</v>
      </c>
      <c r="D161" s="27" t="s">
        <v>384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474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378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475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476</v>
      </c>
      <c r="B165" s="27" t="s">
        <v>422</v>
      </c>
      <c r="C165" s="27" t="s">
        <v>396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378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477</v>
      </c>
      <c r="B167" s="27" t="s">
        <v>458</v>
      </c>
      <c r="C167" s="27" t="s">
        <v>396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419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478</v>
      </c>
      <c r="B169" s="27" t="s">
        <v>458</v>
      </c>
      <c r="C169" s="27" t="s">
        <v>396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378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419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479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475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480</v>
      </c>
      <c r="B174" s="27" t="s">
        <v>422</v>
      </c>
      <c r="C174" s="27" t="s">
        <v>393</v>
      </c>
      <c r="D174" s="27" t="s">
        <v>384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394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416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481</v>
      </c>
      <c r="B177" s="27" t="s">
        <v>458</v>
      </c>
      <c r="C177" s="27" t="s">
        <v>482</v>
      </c>
      <c r="D177" s="27" t="s">
        <v>384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483</v>
      </c>
      <c r="B178" s="27" t="s">
        <v>401</v>
      </c>
      <c r="C178" s="27" t="s">
        <v>383</v>
      </c>
      <c r="D178" s="27" t="s">
        <v>384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484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403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/>
    </row>
    <row r="182" spans="1:12">
      <c r="A182" s="20" t="s">
        <v>485</v>
      </c>
    </row>
    <row r="183" spans="1:12">
      <c r="A183" s="20" t="s">
        <v>373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486</v>
      </c>
      <c r="B184" s="27" t="s">
        <v>392</v>
      </c>
      <c r="C184" s="27" t="s">
        <v>487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380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488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489</v>
      </c>
      <c r="B187" s="27" t="s">
        <v>382</v>
      </c>
      <c r="C187" s="27" t="s">
        <v>490</v>
      </c>
      <c r="D187" s="27" t="s">
        <v>384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415</v>
      </c>
      <c r="B188" s="27" t="s">
        <v>491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492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493</v>
      </c>
      <c r="B190" s="27" t="s">
        <v>455</v>
      </c>
      <c r="C190" s="27" t="s">
        <v>393</v>
      </c>
      <c r="D190" s="27" t="s">
        <v>384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408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494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457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416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495</v>
      </c>
      <c r="B195" s="27" t="s">
        <v>458</v>
      </c>
      <c r="C195" s="27" t="s">
        <v>393</v>
      </c>
      <c r="D195" s="27" t="s">
        <v>384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394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416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496</v>
      </c>
      <c r="B198" s="27" t="s">
        <v>401</v>
      </c>
      <c r="C198" s="27" t="s">
        <v>402</v>
      </c>
      <c r="D198" s="27" t="s">
        <v>384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378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419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497</v>
      </c>
      <c r="B201" s="27" t="s">
        <v>431</v>
      </c>
      <c r="C201" s="27" t="s">
        <v>449</v>
      </c>
      <c r="D201" s="27" t="s">
        <v>384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498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394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499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500</v>
      </c>
      <c r="B205" s="27" t="s">
        <v>455</v>
      </c>
      <c r="C205" s="27" t="s">
        <v>487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394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501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493</v>
      </c>
      <c r="B208" s="27" t="s">
        <v>458</v>
      </c>
      <c r="C208" s="27" t="s">
        <v>490</v>
      </c>
      <c r="D208" s="27" t="s">
        <v>384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475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502</v>
      </c>
      <c r="B210" s="27" t="s">
        <v>401</v>
      </c>
      <c r="C210" s="27" t="s">
        <v>449</v>
      </c>
      <c r="D210" s="27" t="s">
        <v>384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403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/>
    </row>
    <row r="213" spans="1:12">
      <c r="A213" s="20" t="s">
        <v>503</v>
      </c>
    </row>
    <row r="214" spans="1:12">
      <c r="A214" s="20" t="s">
        <v>504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416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505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506</v>
      </c>
      <c r="B217" s="27" t="s">
        <v>431</v>
      </c>
      <c r="C217" s="27" t="s">
        <v>393</v>
      </c>
      <c r="D217" s="27" t="s">
        <v>384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394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443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444</v>
      </c>
      <c r="B220" s="27" t="s">
        <v>422</v>
      </c>
      <c r="C220" s="27" t="s">
        <v>402</v>
      </c>
      <c r="D220" s="27" t="s">
        <v>384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507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508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509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510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511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416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512</v>
      </c>
      <c r="B227" s="27" t="s">
        <v>376</v>
      </c>
      <c r="C227" s="27" t="s">
        <v>393</v>
      </c>
      <c r="D227" s="27" t="s">
        <v>384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380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513</v>
      </c>
      <c r="B229" s="27" t="s">
        <v>422</v>
      </c>
      <c r="C229" s="27" t="s">
        <v>396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403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/>
    </row>
    <row r="232" spans="1:12">
      <c r="A232" s="20" t="s">
        <v>514</v>
      </c>
    </row>
    <row r="233" spans="1:12">
      <c r="A233" s="20" t="s">
        <v>515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457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274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391</v>
      </c>
      <c r="B236" s="27" t="s">
        <v>382</v>
      </c>
      <c r="C236" s="27" t="s">
        <v>402</v>
      </c>
      <c r="D236" s="27" t="s">
        <v>384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378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516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517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518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274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519</v>
      </c>
      <c r="B242" s="27" t="s">
        <v>388</v>
      </c>
      <c r="C242" s="27" t="s">
        <v>393</v>
      </c>
      <c r="D242" s="27" t="s">
        <v>384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394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416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435</v>
      </c>
      <c r="B245" s="27" t="s">
        <v>422</v>
      </c>
      <c r="C245" s="27" t="s">
        <v>402</v>
      </c>
      <c r="D245" s="27" t="s">
        <v>384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378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520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508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274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293</v>
      </c>
      <c r="B250" s="27" t="s">
        <v>455</v>
      </c>
      <c r="C250" s="27" t="s">
        <v>402</v>
      </c>
      <c r="D250" s="27" t="s">
        <v>384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521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394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416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522</v>
      </c>
      <c r="B254" s="27" t="s">
        <v>401</v>
      </c>
      <c r="C254" s="27" t="s">
        <v>402</v>
      </c>
      <c r="D254" s="27" t="s">
        <v>384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403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/>
    </row>
    <row r="257" spans="1:12">
      <c r="A257" s="20" t="s">
        <v>523</v>
      </c>
    </row>
    <row r="258" spans="1:12">
      <c r="A258" s="20" t="s">
        <v>524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525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526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527</v>
      </c>
      <c r="B261" s="27" t="s">
        <v>392</v>
      </c>
      <c r="C261" s="27" t="s">
        <v>377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416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528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419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416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529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403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/>
    </row>
    <row r="269" spans="1:12">
      <c r="A269" s="20" t="s">
        <v>530</v>
      </c>
    </row>
    <row r="270" spans="1:12">
      <c r="A270" s="20" t="s">
        <v>531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532</v>
      </c>
      <c r="B271" s="27" t="s">
        <v>392</v>
      </c>
      <c r="C271" s="27" t="s">
        <v>393</v>
      </c>
      <c r="D271" s="27" t="s">
        <v>384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394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416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188</v>
      </c>
      <c r="B274" s="27" t="s">
        <v>388</v>
      </c>
      <c r="C274" s="27" t="s">
        <v>402</v>
      </c>
      <c r="D274" s="27" t="s">
        <v>384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419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533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274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424</v>
      </c>
      <c r="B278" s="27" t="s">
        <v>376</v>
      </c>
      <c r="C278" s="27" t="s">
        <v>402</v>
      </c>
      <c r="D278" s="27" t="s">
        <v>384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403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/>
    </row>
    <row r="281" spans="1:12">
      <c r="A281" s="20" t="s">
        <v>410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534</v>
      </c>
    </row>
    <row r="283" spans="1:12">
      <c r="A283" s="20" t="s">
        <v>535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416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505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506</v>
      </c>
      <c r="B286" s="27" t="s">
        <v>376</v>
      </c>
      <c r="C286" s="27" t="s">
        <v>393</v>
      </c>
      <c r="D286" s="27" t="s">
        <v>384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394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274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527</v>
      </c>
      <c r="B289" s="27" t="s">
        <v>422</v>
      </c>
      <c r="C289" s="27" t="s">
        <v>402</v>
      </c>
      <c r="D289" s="27" t="s">
        <v>384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416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536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443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423</v>
      </c>
      <c r="B293" s="27" t="s">
        <v>537</v>
      </c>
      <c r="C293" s="27" t="s">
        <v>393</v>
      </c>
      <c r="D293" s="27" t="s">
        <v>384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394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424</v>
      </c>
      <c r="B295" s="27" t="s">
        <v>538</v>
      </c>
      <c r="C295" s="27" t="s">
        <v>396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380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539</v>
      </c>
      <c r="B297" s="27" t="s">
        <v>401</v>
      </c>
      <c r="C297" s="27" t="s">
        <v>396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540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417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541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419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508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542</v>
      </c>
      <c r="B303" s="27" t="s">
        <v>538</v>
      </c>
      <c r="C303" s="27" t="s">
        <v>396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378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439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380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274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543</v>
      </c>
      <c r="B308" s="27" t="s">
        <v>382</v>
      </c>
      <c r="C308" s="27" t="s">
        <v>393</v>
      </c>
      <c r="D308" s="27" t="s">
        <v>384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394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274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527</v>
      </c>
      <c r="B311" s="27" t="s">
        <v>388</v>
      </c>
      <c r="C311" s="27" t="s">
        <v>402</v>
      </c>
      <c r="D311" s="27" t="s">
        <v>384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378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544</v>
      </c>
      <c r="B313" s="27" t="s">
        <v>386</v>
      </c>
      <c r="C313" s="27" t="s">
        <v>487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545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380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274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398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400</v>
      </c>
      <c r="B318" s="27" t="s">
        <v>382</v>
      </c>
      <c r="C318" s="27" t="s">
        <v>402</v>
      </c>
      <c r="D318" s="27" t="s">
        <v>384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398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378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419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546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274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547</v>
      </c>
      <c r="B324" s="27" t="s">
        <v>455</v>
      </c>
      <c r="C324" s="27" t="s">
        <v>402</v>
      </c>
      <c r="D324" s="27" t="s">
        <v>384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/>
    </row>
    <row r="326" spans="1:12">
      <c r="A326" s="20" t="s">
        <v>548</v>
      </c>
    </row>
    <row r="327" spans="1:12">
      <c r="A327" s="20" t="s">
        <v>524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443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444</v>
      </c>
      <c r="B329" s="27" t="s">
        <v>386</v>
      </c>
      <c r="C329" s="27" t="s">
        <v>402</v>
      </c>
      <c r="D329" s="27" t="s">
        <v>384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549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378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419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550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551</v>
      </c>
      <c r="B334" s="27" t="s">
        <v>382</v>
      </c>
      <c r="C334" s="27" t="s">
        <v>396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552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550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416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553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274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554</v>
      </c>
      <c r="B340" s="27" t="s">
        <v>422</v>
      </c>
      <c r="C340" s="27" t="s">
        <v>555</v>
      </c>
      <c r="D340" s="27" t="s">
        <v>384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556</v>
      </c>
      <c r="B341" s="27" t="s">
        <v>376</v>
      </c>
      <c r="C341" s="27" t="s">
        <v>402</v>
      </c>
      <c r="D341" s="27" t="s">
        <v>384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403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/>
    </row>
    <row r="344" spans="1:12">
      <c r="A344" s="20" t="s">
        <v>410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557</v>
      </c>
    </row>
    <row r="346" spans="1:12">
      <c r="A346" s="20" t="s">
        <v>558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274</v>
      </c>
      <c r="B347" s="27" t="s">
        <v>386</v>
      </c>
      <c r="C347" s="27" t="s">
        <v>472</v>
      </c>
      <c r="D347" s="27" t="s">
        <v>384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415</v>
      </c>
      <c r="B348" s="27" t="s">
        <v>491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559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378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380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416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505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506</v>
      </c>
      <c r="B354" s="27" t="s">
        <v>422</v>
      </c>
      <c r="C354" s="27" t="s">
        <v>393</v>
      </c>
      <c r="D354" s="27" t="s">
        <v>384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394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443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560</v>
      </c>
      <c r="B357" s="27" t="s">
        <v>458</v>
      </c>
      <c r="C357" s="27" t="s">
        <v>402</v>
      </c>
      <c r="D357" s="27" t="s">
        <v>384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378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407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415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274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561</v>
      </c>
      <c r="B362" s="27" t="s">
        <v>382</v>
      </c>
      <c r="C362" s="27" t="s">
        <v>402</v>
      </c>
      <c r="D362" s="27" t="s">
        <v>384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398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551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398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562</v>
      </c>
      <c r="B366" s="27" t="s">
        <v>491</v>
      </c>
      <c r="C366" s="27" t="s">
        <v>396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509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380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563</v>
      </c>
      <c r="B369" s="27" t="s">
        <v>422</v>
      </c>
      <c r="C369" s="27" t="s">
        <v>396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398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378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441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274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564</v>
      </c>
      <c r="B374" s="27" t="s">
        <v>491</v>
      </c>
      <c r="C374" s="27" t="s">
        <v>393</v>
      </c>
      <c r="D374" s="27" t="s">
        <v>384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394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274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398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400</v>
      </c>
      <c r="B378" s="27" t="s">
        <v>458</v>
      </c>
      <c r="C378" s="27" t="s">
        <v>402</v>
      </c>
      <c r="D378" s="27" t="s">
        <v>384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398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565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475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415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566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416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188</v>
      </c>
      <c r="B385" s="27" t="s">
        <v>567</v>
      </c>
      <c r="C385" s="27" t="s">
        <v>402</v>
      </c>
      <c r="D385" s="27" t="s">
        <v>384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509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568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419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569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403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/>
    </row>
    <row r="392" spans="1:12">
      <c r="A392" s="20" t="s">
        <v>410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570</v>
      </c>
    </row>
    <row r="394" spans="1:12">
      <c r="A394" s="20" t="s">
        <v>373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571</v>
      </c>
      <c r="B395" s="27" t="s">
        <v>392</v>
      </c>
      <c r="C395" s="27" t="s">
        <v>393</v>
      </c>
      <c r="D395" s="27" t="s">
        <v>384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394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444</v>
      </c>
      <c r="B397" s="27" t="s">
        <v>388</v>
      </c>
      <c r="C397" s="27" t="s">
        <v>396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415</v>
      </c>
      <c r="B398" s="27" t="s">
        <v>567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414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572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417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573</v>
      </c>
      <c r="B402" s="27" t="s">
        <v>399</v>
      </c>
      <c r="C402" s="27" t="s">
        <v>393</v>
      </c>
      <c r="D402" s="27" t="s">
        <v>384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563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398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394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274</v>
      </c>
      <c r="B406" s="27" t="s">
        <v>574</v>
      </c>
      <c r="C406" s="27" t="s">
        <v>472</v>
      </c>
      <c r="D406" s="27" t="s">
        <v>384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415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575</v>
      </c>
      <c r="B408" s="27" t="s">
        <v>401</v>
      </c>
      <c r="C408" s="27" t="s">
        <v>487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403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/>
    </row>
    <row r="411" spans="1:12">
      <c r="A411" s="20" t="s">
        <v>576</v>
      </c>
    </row>
    <row r="412" spans="1:12">
      <c r="A412" s="20" t="s">
        <v>577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578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579</v>
      </c>
      <c r="B414" s="27" t="s">
        <v>382</v>
      </c>
      <c r="C414" s="27" t="s">
        <v>402</v>
      </c>
      <c r="D414" s="27" t="s">
        <v>384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580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578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581</v>
      </c>
      <c r="B417" s="27" t="s">
        <v>382</v>
      </c>
      <c r="C417" s="27" t="s">
        <v>393</v>
      </c>
      <c r="D417" s="27" t="s">
        <v>384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394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443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582</v>
      </c>
      <c r="B420" s="27" t="s">
        <v>382</v>
      </c>
      <c r="C420" s="27" t="s">
        <v>393</v>
      </c>
      <c r="D420" s="27" t="s">
        <v>384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394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583</v>
      </c>
      <c r="B422" s="27" t="s">
        <v>388</v>
      </c>
      <c r="C422" s="27" t="s">
        <v>396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403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/>
    </row>
    <row r="425" spans="1:12">
      <c r="A425" s="20" t="s">
        <v>584</v>
      </c>
    </row>
    <row r="426" spans="1:12">
      <c r="A426" s="20" t="s">
        <v>585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586</v>
      </c>
      <c r="B427" s="27" t="s">
        <v>382</v>
      </c>
      <c r="C427" s="27" t="s">
        <v>396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587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/>
    </row>
    <row r="430" spans="1:12">
      <c r="A430" s="20" t="s">
        <v>588</v>
      </c>
    </row>
    <row r="431" spans="1:12">
      <c r="A431" s="20" t="s">
        <v>589</v>
      </c>
      <c r="B431" s="27" t="s">
        <v>386</v>
      </c>
      <c r="C431" s="27" t="s">
        <v>449</v>
      </c>
      <c r="D431" s="27" t="s">
        <v>384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590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378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591</v>
      </c>
      <c r="B434" s="27" t="s">
        <v>431</v>
      </c>
      <c r="C434" s="27" t="s">
        <v>449</v>
      </c>
      <c r="D434" s="27" t="s">
        <v>384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592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593</v>
      </c>
      <c r="B436" s="27" t="s">
        <v>376</v>
      </c>
      <c r="C436" s="27" t="s">
        <v>396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378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594</v>
      </c>
      <c r="B438" s="27" t="s">
        <v>431</v>
      </c>
      <c r="C438" s="27" t="s">
        <v>449</v>
      </c>
      <c r="D438" s="27" t="s">
        <v>384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595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509</v>
      </c>
      <c r="B440" s="27" t="s">
        <v>376</v>
      </c>
      <c r="C440" s="27" t="s">
        <v>449</v>
      </c>
      <c r="D440" s="27" t="s">
        <v>384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378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419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596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539</v>
      </c>
      <c r="B444" s="27" t="s">
        <v>376</v>
      </c>
      <c r="C444" s="27" t="s">
        <v>396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408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597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403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/>
    </row>
    <row r="449" spans="1:12">
      <c r="A449" s="20" t="s">
        <v>410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598</v>
      </c>
    </row>
    <row r="451" spans="1:12">
      <c r="A451" s="20" t="s">
        <v>599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415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378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508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600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601</v>
      </c>
      <c r="B456" s="27" t="s">
        <v>422</v>
      </c>
      <c r="C456" s="27" t="s">
        <v>396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378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602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603</v>
      </c>
      <c r="B459" s="27" t="s">
        <v>376</v>
      </c>
      <c r="C459" s="27" t="s">
        <v>396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475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408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417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539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398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551</v>
      </c>
      <c r="B465" s="27" t="s">
        <v>458</v>
      </c>
      <c r="C465" s="27" t="s">
        <v>396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398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403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/>
    </row>
    <row r="469" spans="1:12">
      <c r="A469" s="20" t="s">
        <v>604</v>
      </c>
    </row>
    <row r="470" spans="1:12">
      <c r="A470" s="20" t="s">
        <v>577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443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605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378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580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578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581</v>
      </c>
      <c r="B476" s="27" t="s">
        <v>382</v>
      </c>
      <c r="C476" s="27" t="s">
        <v>393</v>
      </c>
      <c r="D476" s="27" t="s">
        <v>384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394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578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606</v>
      </c>
      <c r="B479" s="27" t="s">
        <v>382</v>
      </c>
      <c r="C479" s="27" t="s">
        <v>402</v>
      </c>
      <c r="D479" s="27" t="s">
        <v>384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403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/>
    </row>
    <row r="482" spans="1:12">
      <c r="A482" s="20" t="s">
        <v>607</v>
      </c>
    </row>
    <row r="483" spans="1:12">
      <c r="A483" s="20" t="s">
        <v>608</v>
      </c>
      <c r="B483" s="27" t="s">
        <v>386</v>
      </c>
      <c r="C483" s="27" t="s">
        <v>472</v>
      </c>
      <c r="D483" s="27" t="s">
        <v>384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407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439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609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403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/>
    </row>
    <row r="489" spans="1:12">
      <c r="A489" s="20" t="s">
        <v>610</v>
      </c>
    </row>
    <row r="490" spans="1:12">
      <c r="A490" s="20" t="s">
        <v>611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385</v>
      </c>
      <c r="B491" s="27" t="s">
        <v>431</v>
      </c>
      <c r="C491" s="27" t="s">
        <v>383</v>
      </c>
      <c r="D491" s="27" t="s">
        <v>384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380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578</v>
      </c>
      <c r="B493" s="27" t="s">
        <v>388</v>
      </c>
      <c r="C493" s="27" t="s">
        <v>472</v>
      </c>
      <c r="D493" s="27" t="s">
        <v>384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612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378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613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614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596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443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539</v>
      </c>
      <c r="B500" s="27" t="s">
        <v>392</v>
      </c>
      <c r="C500" s="27" t="s">
        <v>402</v>
      </c>
      <c r="D500" s="27" t="s">
        <v>384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417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541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378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517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596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443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539</v>
      </c>
      <c r="B507" s="27" t="s">
        <v>431</v>
      </c>
      <c r="C507" s="27" t="s">
        <v>393</v>
      </c>
      <c r="D507" s="27" t="s">
        <v>384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417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615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394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616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403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/>
    </row>
    <row r="514" spans="1:12">
      <c r="A514" s="20" t="s">
        <v>617</v>
      </c>
    </row>
    <row r="515" spans="1:12">
      <c r="A515" s="20" t="s">
        <v>405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107</v>
      </c>
      <c r="B516" s="27" t="s">
        <v>382</v>
      </c>
      <c r="C516" s="27" t="s">
        <v>402</v>
      </c>
      <c r="D516" s="27" t="s">
        <v>384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415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618</v>
      </c>
      <c r="B518" s="27" t="s">
        <v>491</v>
      </c>
      <c r="C518" s="27" t="s">
        <v>449</v>
      </c>
      <c r="D518" s="27" t="s">
        <v>384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619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620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141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407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621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/>
    </row>
    <row r="525" spans="1:12">
      <c r="A525" s="20" t="s">
        <v>410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622</v>
      </c>
    </row>
    <row r="527" spans="1:12">
      <c r="A527" s="20" t="s">
        <v>398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611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407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623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624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/>
    </row>
    <row r="533" spans="1:12">
      <c r="A533" s="20" t="s">
        <v>625</v>
      </c>
    </row>
    <row r="534" spans="1:12">
      <c r="A534" s="20" t="s">
        <v>626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624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/>
    </row>
    <row r="537" spans="1:12">
      <c r="A537" s="20" t="s">
        <v>410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627</v>
      </c>
    </row>
    <row r="539" spans="1:12">
      <c r="A539" s="20" t="s">
        <v>12</v>
      </c>
      <c r="B539" s="27" t="s">
        <v>431</v>
      </c>
      <c r="C539" s="27" t="s">
        <v>472</v>
      </c>
      <c r="D539" s="27" t="s">
        <v>384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415</v>
      </c>
      <c r="B540" s="27" t="s">
        <v>399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594</v>
      </c>
      <c r="B541" s="27" t="s">
        <v>567</v>
      </c>
      <c r="C541" s="27" t="s">
        <v>449</v>
      </c>
      <c r="D541" s="27" t="s">
        <v>384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414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394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628</v>
      </c>
      <c r="B544" s="27" t="s">
        <v>458</v>
      </c>
      <c r="C544" s="27" t="s">
        <v>396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624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398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385</v>
      </c>
      <c r="B547" s="27" t="s">
        <v>386</v>
      </c>
      <c r="C547" s="27" t="s">
        <v>383</v>
      </c>
      <c r="D547" s="27" t="s">
        <v>384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629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394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630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415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621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398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631</v>
      </c>
      <c r="B554" s="27" t="s">
        <v>491</v>
      </c>
      <c r="C554" s="27" t="s">
        <v>487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394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443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632</v>
      </c>
      <c r="B557" s="27" t="s">
        <v>458</v>
      </c>
      <c r="C557" s="27" t="s">
        <v>402</v>
      </c>
      <c r="D557" s="27" t="s">
        <v>384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633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274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527</v>
      </c>
      <c r="B560" s="27" t="s">
        <v>455</v>
      </c>
      <c r="C560" s="27" t="s">
        <v>402</v>
      </c>
      <c r="D560" s="27" t="s">
        <v>384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634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416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232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73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274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635</v>
      </c>
      <c r="B566" s="27" t="s">
        <v>399</v>
      </c>
      <c r="C566" s="27" t="s">
        <v>393</v>
      </c>
      <c r="D566" s="27" t="s">
        <v>384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394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416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636</v>
      </c>
      <c r="B569" s="27" t="s">
        <v>401</v>
      </c>
      <c r="C569" s="27" t="s">
        <v>383</v>
      </c>
      <c r="D569" s="27" t="s">
        <v>384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637</v>
      </c>
      <c r="B570" s="27" t="s">
        <v>538</v>
      </c>
      <c r="C570" s="27" t="s">
        <v>383</v>
      </c>
      <c r="D570" s="27" t="s">
        <v>384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403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398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638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525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527</v>
      </c>
      <c r="B575" s="27" t="s">
        <v>455</v>
      </c>
      <c r="C575" s="27" t="s">
        <v>396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416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639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508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274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293</v>
      </c>
      <c r="B580" s="27" t="s">
        <v>401</v>
      </c>
      <c r="C580" s="27" t="s">
        <v>402</v>
      </c>
      <c r="D580" s="27" t="s">
        <v>384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403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/>
    </row>
    <row r="583" spans="1:12">
      <c r="A583" s="20" t="s">
        <v>640</v>
      </c>
    </row>
    <row r="584" spans="1:12">
      <c r="A584" s="20" t="s">
        <v>558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602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641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642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643</v>
      </c>
      <c r="B588" s="27" t="s">
        <v>392</v>
      </c>
      <c r="C588" s="27" t="s">
        <v>377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403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/>
    </row>
    <row r="591" spans="1:12">
      <c r="A591" s="20" t="s">
        <v>644</v>
      </c>
    </row>
    <row r="592" spans="1:12">
      <c r="A592" s="20" t="s">
        <v>645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415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578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476</v>
      </c>
      <c r="B595" s="27" t="s">
        <v>386</v>
      </c>
      <c r="C595" s="27" t="s">
        <v>393</v>
      </c>
      <c r="D595" s="27" t="s">
        <v>384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394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583</v>
      </c>
      <c r="B597" s="27" t="s">
        <v>388</v>
      </c>
      <c r="C597" s="27" t="s">
        <v>396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646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647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511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648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416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649</v>
      </c>
      <c r="B603" s="27" t="s">
        <v>376</v>
      </c>
      <c r="C603" s="27" t="s">
        <v>402</v>
      </c>
      <c r="D603" s="27" t="s">
        <v>384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650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419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651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652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653</v>
      </c>
      <c r="B608" s="27" t="s">
        <v>376</v>
      </c>
      <c r="C608" s="27" t="s">
        <v>449</v>
      </c>
      <c r="D608" s="27" t="s">
        <v>384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403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/>
    </row>
    <row r="611" spans="1:12">
      <c r="A611" s="20" t="s">
        <v>410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654</v>
      </c>
    </row>
    <row r="613" spans="1:12">
      <c r="A613" s="20" t="s">
        <v>655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594</v>
      </c>
      <c r="B614" s="27" t="s">
        <v>386</v>
      </c>
      <c r="C614" s="27" t="s">
        <v>449</v>
      </c>
      <c r="D614" s="27" t="s">
        <v>384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656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274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398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400</v>
      </c>
      <c r="B618" s="27" t="s">
        <v>392</v>
      </c>
      <c r="C618" s="27" t="s">
        <v>393</v>
      </c>
      <c r="D618" s="27" t="s">
        <v>384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398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380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274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434</v>
      </c>
      <c r="B622" s="27" t="s">
        <v>388</v>
      </c>
      <c r="C622" s="27" t="s">
        <v>393</v>
      </c>
      <c r="D622" s="27" t="s">
        <v>384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394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416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188</v>
      </c>
      <c r="B625" s="27" t="s">
        <v>422</v>
      </c>
      <c r="C625" s="27" t="s">
        <v>402</v>
      </c>
      <c r="D625" s="27" t="s">
        <v>384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378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657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580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658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527</v>
      </c>
      <c r="B630" s="27" t="s">
        <v>382</v>
      </c>
      <c r="C630" s="27" t="s">
        <v>393</v>
      </c>
      <c r="D630" s="27" t="s">
        <v>384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394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659</v>
      </c>
      <c r="B632" s="27" t="s">
        <v>388</v>
      </c>
      <c r="C632" s="27" t="s">
        <v>396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378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419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465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274</v>
      </c>
      <c r="B636" s="27" t="s">
        <v>382</v>
      </c>
      <c r="C636" s="27" t="s">
        <v>472</v>
      </c>
      <c r="D636" s="27" t="s">
        <v>384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415</v>
      </c>
      <c r="B637" s="27" t="s">
        <v>491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559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624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/>
    </row>
    <row r="641" spans="1:12">
      <c r="A641" s="20" t="s">
        <v>660</v>
      </c>
    </row>
    <row r="642" spans="1:12">
      <c r="A642" s="20" t="s">
        <v>645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452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661</v>
      </c>
      <c r="B644" s="27" t="s">
        <v>382</v>
      </c>
      <c r="C644" s="27" t="s">
        <v>429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552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/>
    </row>
    <row r="647" spans="1:12">
      <c r="A647" s="20" t="s">
        <v>662</v>
      </c>
    </row>
    <row r="648" spans="1:12">
      <c r="A648" s="20" t="s">
        <v>663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664</v>
      </c>
      <c r="B649" s="27" t="s">
        <v>386</v>
      </c>
      <c r="C649" s="27" t="s">
        <v>449</v>
      </c>
      <c r="D649" s="27" t="s">
        <v>384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665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624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/>
    </row>
    <row r="653" spans="1:12">
      <c r="A653" s="20" t="s">
        <v>666</v>
      </c>
    </row>
    <row r="654" spans="1:12">
      <c r="A654" s="20" t="s">
        <v>663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403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/>
    </row>
    <row r="657" spans="1:12">
      <c r="A657" s="20" t="s">
        <v>667</v>
      </c>
    </row>
    <row r="658" spans="1:12">
      <c r="A658" s="20" t="s">
        <v>668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632</v>
      </c>
      <c r="B659" s="27" t="s">
        <v>386</v>
      </c>
      <c r="C659" s="27" t="s">
        <v>393</v>
      </c>
      <c r="D659" s="27" t="s">
        <v>384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394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578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606</v>
      </c>
      <c r="B662" s="27" t="s">
        <v>388</v>
      </c>
      <c r="C662" s="27" t="s">
        <v>402</v>
      </c>
      <c r="D662" s="27" t="s">
        <v>384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592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394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669</v>
      </c>
      <c r="B665" s="27" t="s">
        <v>382</v>
      </c>
      <c r="C665" s="27" t="s">
        <v>396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670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403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/>
    </row>
    <row r="669" spans="1:12">
      <c r="A669" s="20" t="s">
        <v>410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671</v>
      </c>
    </row>
    <row r="671" spans="1:12">
      <c r="A671" s="20" t="s">
        <v>672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475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274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398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400</v>
      </c>
      <c r="B675" s="27" t="s">
        <v>431</v>
      </c>
      <c r="C675" s="27" t="s">
        <v>393</v>
      </c>
      <c r="D675" s="27" t="s">
        <v>384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398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380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416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188</v>
      </c>
      <c r="B679" s="27" t="s">
        <v>422</v>
      </c>
      <c r="C679" s="27" t="s">
        <v>402</v>
      </c>
      <c r="D679" s="27" t="s">
        <v>384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378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651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673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674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675</v>
      </c>
      <c r="B684" s="27" t="s">
        <v>376</v>
      </c>
      <c r="C684" s="27" t="s">
        <v>396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676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378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540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416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232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677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274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398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400</v>
      </c>
      <c r="B693" s="27" t="s">
        <v>399</v>
      </c>
      <c r="C693" s="27" t="s">
        <v>393</v>
      </c>
      <c r="D693" s="27" t="s">
        <v>384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398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380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274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434</v>
      </c>
      <c r="B697" s="27" t="s">
        <v>401</v>
      </c>
      <c r="C697" s="27" t="s">
        <v>402</v>
      </c>
      <c r="D697" s="27" t="s">
        <v>384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403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/>
    </row>
    <row r="700" spans="1:12">
      <c r="A700" s="20" t="s">
        <v>678</v>
      </c>
    </row>
    <row r="701" spans="1:12">
      <c r="A701" s="20" t="s">
        <v>679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414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417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527</v>
      </c>
      <c r="B704" s="27" t="s">
        <v>392</v>
      </c>
      <c r="C704" s="27" t="s">
        <v>377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511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680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578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675</v>
      </c>
      <c r="B708" s="27" t="s">
        <v>455</v>
      </c>
      <c r="C708" s="27" t="s">
        <v>402</v>
      </c>
      <c r="D708" s="27" t="s">
        <v>384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681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274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391</v>
      </c>
      <c r="B711" s="27" t="s">
        <v>422</v>
      </c>
      <c r="C711" s="27" t="s">
        <v>402</v>
      </c>
      <c r="D711" s="27" t="s">
        <v>384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403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/>
    </row>
    <row r="714" spans="1:12">
      <c r="A714" s="20" t="s">
        <v>682</v>
      </c>
    </row>
    <row r="715" spans="1:12">
      <c r="A715" s="20" t="s">
        <v>683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477</v>
      </c>
      <c r="B716" s="27" t="s">
        <v>386</v>
      </c>
      <c r="C716" s="27" t="s">
        <v>402</v>
      </c>
      <c r="D716" s="27" t="s">
        <v>384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684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685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686</v>
      </c>
      <c r="B719" s="27" t="s">
        <v>392</v>
      </c>
      <c r="C719" s="27" t="s">
        <v>490</v>
      </c>
      <c r="D719" s="27" t="s">
        <v>384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394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496</v>
      </c>
      <c r="B721" s="27" t="s">
        <v>388</v>
      </c>
      <c r="C721" s="27" t="s">
        <v>393</v>
      </c>
      <c r="D721" s="27" t="s">
        <v>384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517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416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687</v>
      </c>
      <c r="B724" s="27" t="s">
        <v>422</v>
      </c>
      <c r="C724" s="27" t="s">
        <v>393</v>
      </c>
      <c r="D724" s="27" t="s">
        <v>384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394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274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688</v>
      </c>
      <c r="B727" s="27" t="s">
        <v>458</v>
      </c>
      <c r="C727" s="27" t="s">
        <v>402</v>
      </c>
      <c r="D727" s="27" t="s">
        <v>384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689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403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/>
    </row>
    <row r="731" spans="1:12">
      <c r="A731" s="20" t="s">
        <v>690</v>
      </c>
    </row>
    <row r="732" spans="1:12">
      <c r="A732" s="20" t="s">
        <v>691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692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693</v>
      </c>
      <c r="B734" s="27" t="s">
        <v>382</v>
      </c>
      <c r="C734" s="27" t="s">
        <v>470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694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378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443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632</v>
      </c>
      <c r="B738" s="27" t="s">
        <v>386</v>
      </c>
      <c r="C738" s="27" t="s">
        <v>402</v>
      </c>
      <c r="D738" s="27" t="s">
        <v>384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695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390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696</v>
      </c>
      <c r="B741" s="27" t="s">
        <v>392</v>
      </c>
      <c r="C741" s="27" t="s">
        <v>393</v>
      </c>
      <c r="D741" s="27" t="s">
        <v>384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697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457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274</v>
      </c>
      <c r="B744" s="27" t="s">
        <v>388</v>
      </c>
      <c r="C744" s="27" t="s">
        <v>472</v>
      </c>
      <c r="D744" s="27" t="s">
        <v>384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415</v>
      </c>
      <c r="B745" s="27" t="s">
        <v>567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698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419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274</v>
      </c>
      <c r="B748" s="27" t="s">
        <v>399</v>
      </c>
      <c r="C748" s="27" t="s">
        <v>472</v>
      </c>
      <c r="D748" s="27" t="s">
        <v>384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415</v>
      </c>
      <c r="B749" s="27" t="s">
        <v>699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613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698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403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/>
    </row>
    <row r="754" spans="1:12">
      <c r="A754" s="20" t="s">
        <v>700</v>
      </c>
    </row>
    <row r="755" spans="1:12">
      <c r="A755" s="20" t="s">
        <v>405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701</v>
      </c>
      <c r="B756" s="27" t="s">
        <v>386</v>
      </c>
      <c r="C756" s="27" t="s">
        <v>402</v>
      </c>
      <c r="D756" s="27" t="s">
        <v>384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511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103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675</v>
      </c>
      <c r="B759" s="27" t="s">
        <v>455</v>
      </c>
      <c r="C759" s="27" t="s">
        <v>396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702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407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703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378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438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704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705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511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416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669</v>
      </c>
      <c r="B769" s="27" t="s">
        <v>388</v>
      </c>
      <c r="C769" s="27" t="s">
        <v>402</v>
      </c>
      <c r="D769" s="27" t="s">
        <v>384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517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443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706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603</v>
      </c>
      <c r="B773" s="27" t="s">
        <v>491</v>
      </c>
      <c r="C773" s="27" t="s">
        <v>402</v>
      </c>
      <c r="D773" s="27" t="s">
        <v>384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707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403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/>
    </row>
    <row r="777" spans="1:12">
      <c r="A777" s="20" t="s">
        <v>708</v>
      </c>
    </row>
    <row r="778" spans="1:12">
      <c r="A778" s="20" t="s">
        <v>405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709</v>
      </c>
      <c r="B779" s="27" t="s">
        <v>386</v>
      </c>
      <c r="C779" s="27" t="s">
        <v>393</v>
      </c>
      <c r="D779" s="27" t="s">
        <v>384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394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710</v>
      </c>
      <c r="B781" s="27" t="s">
        <v>388</v>
      </c>
      <c r="C781" s="27" t="s">
        <v>393</v>
      </c>
      <c r="D781" s="27" t="s">
        <v>384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511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416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505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506</v>
      </c>
      <c r="B785" s="27" t="s">
        <v>422</v>
      </c>
      <c r="C785" s="27" t="s">
        <v>393</v>
      </c>
      <c r="D785" s="27" t="s">
        <v>384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394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443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444</v>
      </c>
      <c r="B788" s="27" t="s">
        <v>458</v>
      </c>
      <c r="C788" s="27" t="s">
        <v>402</v>
      </c>
      <c r="D788" s="27" t="s">
        <v>384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711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578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484</v>
      </c>
      <c r="B791" s="27" t="s">
        <v>431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712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403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/>
    </row>
    <row r="795" spans="1:12">
      <c r="A795" s="20" t="s">
        <v>713</v>
      </c>
    </row>
    <row r="796" spans="1:12">
      <c r="A796" s="20" t="s">
        <v>714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476</v>
      </c>
      <c r="B797" s="27" t="s">
        <v>382</v>
      </c>
      <c r="C797" s="27" t="s">
        <v>393</v>
      </c>
      <c r="D797" s="27" t="s">
        <v>384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394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583</v>
      </c>
      <c r="B799" s="27" t="s">
        <v>382</v>
      </c>
      <c r="C799" s="27" t="s">
        <v>396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378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468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394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715</v>
      </c>
      <c r="B803" s="27" t="s">
        <v>382</v>
      </c>
      <c r="C803" s="27" t="s">
        <v>393</v>
      </c>
      <c r="D803" s="27" t="s">
        <v>384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394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685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716</v>
      </c>
      <c r="B806" s="27" t="s">
        <v>388</v>
      </c>
      <c r="C806" s="27" t="s">
        <v>490</v>
      </c>
      <c r="D806" s="27" t="s">
        <v>384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403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/>
    </row>
    <row r="809" spans="1:12">
      <c r="A809" s="20" t="s">
        <v>717</v>
      </c>
    </row>
    <row r="810" spans="1:12">
      <c r="A810" s="20" t="s">
        <v>718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378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390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719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720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378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438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613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408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720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415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721</v>
      </c>
      <c r="B821" s="27" t="s">
        <v>388</v>
      </c>
      <c r="C821" s="27" t="s">
        <v>472</v>
      </c>
      <c r="D821" s="27" t="s">
        <v>384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403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/>
    </row>
    <row r="824" spans="1:12">
      <c r="A824" s="20" t="s">
        <v>722</v>
      </c>
    </row>
    <row r="825" spans="1:12">
      <c r="A825" s="20" t="s">
        <v>668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632</v>
      </c>
      <c r="B826" s="27" t="s">
        <v>382</v>
      </c>
      <c r="C826" s="27" t="s">
        <v>393</v>
      </c>
      <c r="D826" s="27" t="s">
        <v>384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380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723</v>
      </c>
      <c r="B828" s="27" t="s">
        <v>382</v>
      </c>
      <c r="C828" s="27" t="s">
        <v>396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724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378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720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415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416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505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506</v>
      </c>
      <c r="B835" s="27" t="s">
        <v>388</v>
      </c>
      <c r="C835" s="27" t="s">
        <v>393</v>
      </c>
      <c r="D835" s="27" t="s">
        <v>384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394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578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725</v>
      </c>
      <c r="B838" s="27" t="s">
        <v>422</v>
      </c>
      <c r="C838" s="27" t="s">
        <v>402</v>
      </c>
      <c r="D838" s="27" t="s">
        <v>384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403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/>
    </row>
    <row r="841" spans="1:12">
      <c r="A841" s="20" t="s">
        <v>726</v>
      </c>
    </row>
    <row r="842" spans="1:12">
      <c r="A842" s="20" t="s">
        <v>727</v>
      </c>
      <c r="B842" s="27" t="s">
        <v>392</v>
      </c>
      <c r="C842" s="27" t="s">
        <v>728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509</v>
      </c>
      <c r="B843" s="27" t="s">
        <v>386</v>
      </c>
      <c r="C843" s="27" t="s">
        <v>449</v>
      </c>
      <c r="D843" s="27" t="s">
        <v>384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729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720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380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274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391</v>
      </c>
      <c r="B848" s="27" t="s">
        <v>382</v>
      </c>
      <c r="C848" s="27" t="s">
        <v>402</v>
      </c>
      <c r="D848" s="27" t="s">
        <v>384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624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/>
    </row>
    <row r="851" spans="1:12">
      <c r="A851" s="20" t="s">
        <v>730</v>
      </c>
    </row>
    <row r="852" spans="1:12">
      <c r="A852" s="20" t="s">
        <v>731</v>
      </c>
      <c r="B852" s="27" t="s">
        <v>382</v>
      </c>
      <c r="C852" s="27" t="s">
        <v>396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419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732</v>
      </c>
      <c r="B854" s="27" t="s">
        <v>382</v>
      </c>
      <c r="C854" s="27" t="s">
        <v>396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378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733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403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/>
    </row>
    <row r="859" spans="1:12">
      <c r="A859" s="20" t="s">
        <v>734</v>
      </c>
    </row>
    <row r="860" spans="1:12">
      <c r="A860" s="20" t="s">
        <v>405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188</v>
      </c>
      <c r="B861" s="27" t="s">
        <v>382</v>
      </c>
      <c r="C861" s="27" t="s">
        <v>402</v>
      </c>
      <c r="D861" s="27" t="s">
        <v>384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417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418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415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497</v>
      </c>
      <c r="B865" s="27" t="s">
        <v>431</v>
      </c>
      <c r="C865" s="27" t="s">
        <v>449</v>
      </c>
      <c r="D865" s="27" t="s">
        <v>384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657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735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736</v>
      </c>
      <c r="B868" s="27" t="s">
        <v>376</v>
      </c>
      <c r="C868" s="27" t="s">
        <v>393</v>
      </c>
      <c r="D868" s="27" t="s">
        <v>384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10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425</v>
      </c>
      <c r="B870" s="27" t="s">
        <v>422</v>
      </c>
      <c r="C870" s="27" t="s">
        <v>470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403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/>
    </row>
    <row r="873" spans="1:12">
      <c r="A873" s="20" t="s">
        <v>737</v>
      </c>
    </row>
    <row r="874" spans="1:12">
      <c r="A874" s="20" t="s">
        <v>611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738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685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716</v>
      </c>
      <c r="B877" s="27" t="s">
        <v>392</v>
      </c>
      <c r="C877" s="27" t="s">
        <v>490</v>
      </c>
      <c r="D877" s="27" t="s">
        <v>384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624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/>
    </row>
    <row r="880" spans="1:12">
      <c r="A880" s="20" t="s">
        <v>739</v>
      </c>
    </row>
    <row r="881" spans="1:12">
      <c r="A881" s="20" t="s">
        <v>740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741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415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578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742</v>
      </c>
      <c r="B885" s="27" t="s">
        <v>431</v>
      </c>
      <c r="C885" s="27" t="s">
        <v>402</v>
      </c>
      <c r="D885" s="27" t="s">
        <v>384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419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578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743</v>
      </c>
      <c r="B888" s="27" t="s">
        <v>422</v>
      </c>
      <c r="C888" s="27" t="s">
        <v>402</v>
      </c>
      <c r="D888" s="27" t="s">
        <v>384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744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415</v>
      </c>
      <c r="B890" s="27" t="s">
        <v>745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746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416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747</v>
      </c>
      <c r="B893" s="27" t="s">
        <v>537</v>
      </c>
      <c r="C893" s="27" t="s">
        <v>402</v>
      </c>
      <c r="D893" s="27" t="s">
        <v>384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646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416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748</v>
      </c>
      <c r="B896" s="27" t="s">
        <v>376</v>
      </c>
      <c r="C896" s="27" t="s">
        <v>393</v>
      </c>
      <c r="D896" s="27" t="s">
        <v>384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511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416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749</v>
      </c>
      <c r="B899" s="27" t="s">
        <v>422</v>
      </c>
      <c r="C899" s="27" t="s">
        <v>393</v>
      </c>
      <c r="D899" s="27" t="s">
        <v>384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394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539</v>
      </c>
      <c r="B901" s="27" t="s">
        <v>458</v>
      </c>
      <c r="C901" s="27" t="s">
        <v>396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750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403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/>
    </row>
    <row r="905" spans="1:12">
      <c r="A905" s="20" t="s">
        <v>751</v>
      </c>
    </row>
    <row r="906" spans="1:12">
      <c r="A906" s="20" t="s">
        <v>752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274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439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753</v>
      </c>
      <c r="B909" s="27" t="s">
        <v>382</v>
      </c>
      <c r="C909" s="27" t="s">
        <v>402</v>
      </c>
      <c r="D909" s="27" t="s">
        <v>384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378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578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754</v>
      </c>
      <c r="B912" s="27" t="s">
        <v>382</v>
      </c>
      <c r="C912" s="27" t="s">
        <v>402</v>
      </c>
      <c r="D912" s="27" t="s">
        <v>384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378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390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719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605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415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416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709</v>
      </c>
      <c r="B919" s="27" t="s">
        <v>422</v>
      </c>
      <c r="C919" s="27" t="s">
        <v>402</v>
      </c>
      <c r="D919" s="27" t="s">
        <v>384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378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438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379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443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755</v>
      </c>
      <c r="B924" s="27" t="s">
        <v>567</v>
      </c>
      <c r="C924" s="27" t="s">
        <v>402</v>
      </c>
      <c r="D924" s="27" t="s">
        <v>384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756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509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615</v>
      </c>
      <c r="B927" s="27" t="s">
        <v>399</v>
      </c>
      <c r="C927" s="27" t="s">
        <v>396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403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/>
    </row>
    <row r="930" spans="1:12">
      <c r="A930" s="20" t="s">
        <v>757</v>
      </c>
    </row>
    <row r="931" spans="1:12">
      <c r="A931" s="20" t="s">
        <v>758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759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390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635</v>
      </c>
      <c r="B934" s="27" t="s">
        <v>376</v>
      </c>
      <c r="C934" s="27" t="s">
        <v>429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760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416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416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522</v>
      </c>
      <c r="B938" s="27" t="s">
        <v>376</v>
      </c>
      <c r="C938" s="27" t="s">
        <v>402</v>
      </c>
      <c r="D938" s="27" t="s">
        <v>384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378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761</v>
      </c>
      <c r="B940" s="27" t="s">
        <v>386</v>
      </c>
      <c r="C940" s="27" t="s">
        <v>472</v>
      </c>
      <c r="D940" s="27" t="s">
        <v>384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762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509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408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720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403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/>
    </row>
    <row r="947" spans="1:12">
      <c r="A947" s="20" t="s">
        <v>763</v>
      </c>
    </row>
    <row r="948" spans="1:12">
      <c r="A948" s="20" t="s">
        <v>645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764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403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/>
    </row>
    <row r="952" spans="1:12">
      <c r="A952" s="20" t="s">
        <v>410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765</v>
      </c>
    </row>
    <row r="954" spans="1:12">
      <c r="A954" s="20" t="s">
        <v>766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380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767</v>
      </c>
      <c r="B956" s="27" t="s">
        <v>388</v>
      </c>
      <c r="C956" s="27" t="s">
        <v>396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419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768</v>
      </c>
      <c r="B958" s="27" t="s">
        <v>422</v>
      </c>
      <c r="C958" s="27" t="s">
        <v>383</v>
      </c>
      <c r="D958" s="27" t="s">
        <v>384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378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769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522</v>
      </c>
      <c r="B961" s="27" t="s">
        <v>386</v>
      </c>
      <c r="C961" s="27" t="s">
        <v>490</v>
      </c>
      <c r="D961" s="27" t="s">
        <v>384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770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208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403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398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771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439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772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403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/>
    </row>
    <row r="971" spans="1:12">
      <c r="A971" s="20" t="s">
        <v>625</v>
      </c>
    </row>
    <row r="972" spans="1:12">
      <c r="A972" s="20" t="s">
        <v>626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624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/>
    </row>
    <row r="975" spans="1:12">
      <c r="A975" s="20" t="s">
        <v>773</v>
      </c>
    </row>
    <row r="976" spans="1:12">
      <c r="A976" s="20" t="s">
        <v>740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594</v>
      </c>
      <c r="B977" s="27" t="s">
        <v>386</v>
      </c>
      <c r="C977" s="27" t="s">
        <v>449</v>
      </c>
      <c r="D977" s="27" t="s">
        <v>384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414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774</v>
      </c>
      <c r="B979" s="27" t="s">
        <v>392</v>
      </c>
      <c r="C979" s="27" t="s">
        <v>396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775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776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777</v>
      </c>
      <c r="B982" s="27" t="s">
        <v>382</v>
      </c>
      <c r="C982" s="27" t="s">
        <v>396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403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/>
    </row>
    <row r="985" spans="1:12">
      <c r="A985" s="20" t="s">
        <v>778</v>
      </c>
    </row>
    <row r="986" spans="1:12">
      <c r="A986" s="20" t="s">
        <v>779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274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688</v>
      </c>
      <c r="B988" s="27" t="s">
        <v>376</v>
      </c>
      <c r="C988" s="27" t="s">
        <v>402</v>
      </c>
      <c r="D988" s="27" t="s">
        <v>384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378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780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274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688</v>
      </c>
      <c r="B992" s="27" t="s">
        <v>392</v>
      </c>
      <c r="C992" s="27" t="s">
        <v>402</v>
      </c>
      <c r="D992" s="27" t="s">
        <v>384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403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/>
    </row>
    <row r="995" spans="1:12">
      <c r="A995" s="20" t="s">
        <v>781</v>
      </c>
    </row>
    <row r="996" spans="1:12">
      <c r="A996" s="20" t="s">
        <v>782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522</v>
      </c>
      <c r="B997" s="27" t="s">
        <v>386</v>
      </c>
      <c r="C997" s="27" t="s">
        <v>377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415</v>
      </c>
      <c r="B998" s="27" t="s">
        <v>491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783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419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784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452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785</v>
      </c>
      <c r="B1003" s="27" t="s">
        <v>399</v>
      </c>
      <c r="C1003" s="27" t="s">
        <v>429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628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416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274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556</v>
      </c>
      <c r="B1007" s="27" t="s">
        <v>399</v>
      </c>
      <c r="C1007" s="27" t="s">
        <v>402</v>
      </c>
      <c r="D1007" s="27" t="s">
        <v>384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786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221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787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274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788</v>
      </c>
      <c r="B1012" s="27" t="s">
        <v>392</v>
      </c>
      <c r="C1012" s="27" t="s">
        <v>393</v>
      </c>
      <c r="D1012" s="27" t="s">
        <v>384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394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416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522</v>
      </c>
      <c r="B1015" s="27" t="s">
        <v>388</v>
      </c>
      <c r="C1015" s="27" t="s">
        <v>402</v>
      </c>
      <c r="D1015" s="27" t="s">
        <v>384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403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/>
    </row>
    <row r="1018" spans="1:12">
      <c r="A1018" s="20" t="s">
        <v>789</v>
      </c>
    </row>
    <row r="1019" spans="1:12">
      <c r="A1019" s="20" t="s">
        <v>790</v>
      </c>
      <c r="B1019" s="27" t="s">
        <v>386</v>
      </c>
      <c r="C1019" s="27" t="s">
        <v>393</v>
      </c>
      <c r="D1019" s="27" t="s">
        <v>384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394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791</v>
      </c>
      <c r="B1021" s="27" t="s">
        <v>388</v>
      </c>
      <c r="C1021" s="27" t="s">
        <v>396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419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394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792</v>
      </c>
      <c r="B1024" s="27" t="s">
        <v>422</v>
      </c>
      <c r="C1024" s="27" t="s">
        <v>396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646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416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793</v>
      </c>
      <c r="B1027" s="27" t="s">
        <v>382</v>
      </c>
      <c r="C1027" s="27" t="s">
        <v>402</v>
      </c>
      <c r="D1027" s="27" t="s">
        <v>384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415</v>
      </c>
      <c r="B1028" s="27" t="s">
        <v>431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794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416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390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795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462</v>
      </c>
      <c r="B1033" s="27" t="s">
        <v>376</v>
      </c>
      <c r="C1033" s="27" t="s">
        <v>429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403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/>
    </row>
    <row r="1036" spans="1:12">
      <c r="A1036" s="20" t="s">
        <v>796</v>
      </c>
    </row>
    <row r="1037" spans="1:12">
      <c r="A1037" s="20" t="s">
        <v>758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797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48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603</v>
      </c>
      <c r="B1040" s="27" t="s">
        <v>376</v>
      </c>
      <c r="C1040" s="27" t="s">
        <v>470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798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799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800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801</v>
      </c>
      <c r="B1044" s="27" t="s">
        <v>392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415</v>
      </c>
      <c r="B1045" s="27" t="s">
        <v>491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802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539</v>
      </c>
      <c r="B1047" s="27" t="s">
        <v>455</v>
      </c>
      <c r="C1047" s="27" t="s">
        <v>396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750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403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/>
    </row>
    <row r="1051" spans="1:12">
      <c r="A1051" s="20" t="s">
        <v>803</v>
      </c>
    </row>
    <row r="1052" spans="1:12">
      <c r="A1052" s="20" t="s">
        <v>448</v>
      </c>
      <c r="B1052" s="27" t="s">
        <v>386</v>
      </c>
      <c r="C1052" s="27" t="s">
        <v>449</v>
      </c>
      <c r="D1052" s="27" t="s">
        <v>384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804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486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453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403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/>
    </row>
    <row r="1058" spans="1:12">
      <c r="A1058" s="20" t="s">
        <v>805</v>
      </c>
    </row>
    <row r="1059" spans="1:12">
      <c r="A1059" s="20" t="s">
        <v>806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378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807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236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274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808</v>
      </c>
      <c r="B1064" s="27" t="s">
        <v>392</v>
      </c>
      <c r="C1064" s="27" t="s">
        <v>393</v>
      </c>
      <c r="D1064" s="27" t="s">
        <v>384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511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578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809</v>
      </c>
      <c r="B1067" s="27" t="s">
        <v>388</v>
      </c>
      <c r="C1067" s="27" t="s">
        <v>402</v>
      </c>
      <c r="D1067" s="27" t="s">
        <v>384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403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/>
    </row>
    <row r="1070" spans="1:12">
      <c r="A1070" s="20" t="s">
        <v>410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810</v>
      </c>
    </row>
    <row r="1072" spans="1:12">
      <c r="A1072" s="20" t="s">
        <v>811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390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808</v>
      </c>
      <c r="B1074" s="27" t="s">
        <v>392</v>
      </c>
      <c r="C1074" s="27" t="s">
        <v>393</v>
      </c>
      <c r="D1074" s="27" t="s">
        <v>384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394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48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812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813</v>
      </c>
      <c r="B1078" s="27" t="s">
        <v>388</v>
      </c>
      <c r="C1078" s="27" t="s">
        <v>393</v>
      </c>
      <c r="D1078" s="27" t="s">
        <v>384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380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398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814</v>
      </c>
      <c r="B1081" s="27" t="s">
        <v>422</v>
      </c>
      <c r="C1081" s="27" t="s">
        <v>393</v>
      </c>
      <c r="D1081" s="27" t="s">
        <v>384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398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416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416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522</v>
      </c>
      <c r="B1085" s="27" t="s">
        <v>458</v>
      </c>
      <c r="C1085" s="27" t="s">
        <v>402</v>
      </c>
      <c r="D1085" s="27" t="s">
        <v>384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815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403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/>
    </row>
    <row r="1089" spans="1:12">
      <c r="A1089" s="20" t="s">
        <v>816</v>
      </c>
    </row>
    <row r="1090" spans="1:12">
      <c r="A1090" s="20" t="s">
        <v>12</v>
      </c>
      <c r="B1090" s="27" t="s">
        <v>422</v>
      </c>
      <c r="C1090" s="27" t="s">
        <v>472</v>
      </c>
      <c r="D1090" s="27" t="s">
        <v>384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415</v>
      </c>
      <c r="B1091" s="27" t="s">
        <v>376</v>
      </c>
      <c r="C1091" s="27" t="s">
        <v>728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407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415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817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415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818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416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578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476</v>
      </c>
      <c r="B1099" s="27" t="s">
        <v>388</v>
      </c>
      <c r="C1099" s="27" t="s">
        <v>402</v>
      </c>
      <c r="D1099" s="27" t="s">
        <v>384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624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/>
    </row>
    <row r="1102" spans="1:12">
      <c r="A1102" s="20" t="s">
        <v>819</v>
      </c>
    </row>
    <row r="1103" spans="1:12">
      <c r="A1103" s="20" t="s">
        <v>820</v>
      </c>
      <c r="B1103" s="27" t="s">
        <v>386</v>
      </c>
      <c r="C1103" s="27" t="s">
        <v>728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821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822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274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823</v>
      </c>
      <c r="B1107" s="27" t="s">
        <v>382</v>
      </c>
      <c r="C1107" s="27" t="s">
        <v>402</v>
      </c>
      <c r="D1107" s="27" t="s">
        <v>384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624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/>
    </row>
    <row r="1110" spans="1:12">
      <c r="A1110" s="20" t="s">
        <v>824</v>
      </c>
    </row>
    <row r="1111" spans="1:12">
      <c r="A1111" s="20" t="s">
        <v>460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825</v>
      </c>
      <c r="B1112" s="27" t="s">
        <v>382</v>
      </c>
      <c r="C1112" s="27" t="s">
        <v>472</v>
      </c>
      <c r="D1112" s="27" t="s">
        <v>384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415</v>
      </c>
      <c r="B1113" s="27" t="s">
        <v>431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818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403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/>
    </row>
    <row r="1117" spans="1:12">
      <c r="A1117" s="20" t="s">
        <v>826</v>
      </c>
    </row>
    <row r="1118" spans="1:12">
      <c r="A1118" s="20" t="s">
        <v>631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522</v>
      </c>
      <c r="B1119" s="27" t="s">
        <v>386</v>
      </c>
      <c r="C1119" s="27" t="s">
        <v>470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827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22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452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188</v>
      </c>
      <c r="B1123" s="27" t="s">
        <v>376</v>
      </c>
      <c r="C1123" s="27" t="s">
        <v>429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420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403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/>
    </row>
    <row r="1127" spans="1:12">
      <c r="A1127" s="20" t="s">
        <v>828</v>
      </c>
    </row>
    <row r="1128" spans="1:12">
      <c r="A1128" s="20" t="s">
        <v>758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544</v>
      </c>
      <c r="B1129" s="27" t="s">
        <v>386</v>
      </c>
      <c r="C1129" s="27" t="s">
        <v>487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829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830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452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188</v>
      </c>
      <c r="B1133" s="27" t="s">
        <v>392</v>
      </c>
      <c r="C1133" s="27" t="s">
        <v>393</v>
      </c>
      <c r="D1133" s="27" t="s">
        <v>384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475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16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712</v>
      </c>
      <c r="B1136" s="27" t="s">
        <v>388</v>
      </c>
      <c r="C1136" s="27" t="s">
        <v>393</v>
      </c>
      <c r="D1136" s="27" t="s">
        <v>384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394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710</v>
      </c>
      <c r="B1138" s="27" t="s">
        <v>422</v>
      </c>
      <c r="C1138" s="27" t="s">
        <v>396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378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831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27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832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475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274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808</v>
      </c>
      <c r="B1145" s="27" t="s">
        <v>422</v>
      </c>
      <c r="C1145" s="27" t="s">
        <v>402</v>
      </c>
      <c r="D1145" s="27" t="s">
        <v>384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403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/>
    </row>
    <row r="1148" spans="1:12">
      <c r="A1148" s="20" t="s">
        <v>833</v>
      </c>
    </row>
    <row r="1149" spans="1:12">
      <c r="A1149" s="20" t="s">
        <v>638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407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453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624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/>
    </row>
    <row r="1154" spans="1:12">
      <c r="A1154" s="20" t="s">
        <v>834</v>
      </c>
    </row>
    <row r="1155" spans="1:12">
      <c r="A1155" s="20" t="s">
        <v>835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416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836</v>
      </c>
      <c r="B1157" s="27" t="s">
        <v>376</v>
      </c>
      <c r="C1157" s="27" t="s">
        <v>402</v>
      </c>
      <c r="D1157" s="27" t="s">
        <v>384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418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432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390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795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837</v>
      </c>
      <c r="B1162" s="27" t="s">
        <v>392</v>
      </c>
      <c r="C1162" s="27" t="s">
        <v>429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403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/>
    </row>
    <row r="1165" spans="1:12">
      <c r="A1165" s="20" t="s">
        <v>838</v>
      </c>
    </row>
    <row r="1166" spans="1:12">
      <c r="A1166" s="20" t="s">
        <v>839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274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489</v>
      </c>
      <c r="B1168" s="27" t="s">
        <v>392</v>
      </c>
      <c r="C1168" s="27" t="s">
        <v>402</v>
      </c>
      <c r="D1168" s="27" t="s">
        <v>384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475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578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840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476</v>
      </c>
      <c r="B1172" s="27" t="s">
        <v>382</v>
      </c>
      <c r="C1172" s="27" t="s">
        <v>402</v>
      </c>
      <c r="D1172" s="27" t="s">
        <v>384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403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/>
    </row>
    <row r="1175" spans="1:12">
      <c r="A1175" s="20" t="s">
        <v>841</v>
      </c>
    </row>
    <row r="1176" spans="1:12">
      <c r="A1176" s="20" t="s">
        <v>12</v>
      </c>
      <c r="B1176" s="27" t="s">
        <v>382</v>
      </c>
      <c r="C1176" s="27" t="s">
        <v>472</v>
      </c>
      <c r="D1176" s="27" t="s">
        <v>384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415</v>
      </c>
      <c r="B1177" s="27" t="s">
        <v>431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817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415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818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624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/>
    </row>
    <row r="1183" spans="1:12">
      <c r="A1183" s="20" t="s">
        <v>842</v>
      </c>
    </row>
    <row r="1184" spans="1:12">
      <c r="A1184" s="20" t="s">
        <v>589</v>
      </c>
      <c r="B1184" s="27" t="s">
        <v>386</v>
      </c>
      <c r="C1184" s="27" t="s">
        <v>449</v>
      </c>
      <c r="D1184" s="27" t="s">
        <v>384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657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843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844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274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716</v>
      </c>
      <c r="B1189" s="27" t="s">
        <v>392</v>
      </c>
      <c r="C1189" s="27" t="s">
        <v>402</v>
      </c>
      <c r="D1189" s="27" t="s">
        <v>384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394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103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675</v>
      </c>
      <c r="B1192" s="27" t="s">
        <v>455</v>
      </c>
      <c r="C1192" s="27" t="s">
        <v>396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403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/>
    </row>
    <row r="1195" spans="1:12">
      <c r="A1195" s="20" t="s">
        <v>845</v>
      </c>
    </row>
    <row r="1196" spans="1:12">
      <c r="A1196" s="20" t="s">
        <v>846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416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847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522</v>
      </c>
      <c r="B1199" s="27" t="s">
        <v>431</v>
      </c>
      <c r="C1199" s="27" t="s">
        <v>402</v>
      </c>
      <c r="D1199" s="27" t="s">
        <v>384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848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394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73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416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849</v>
      </c>
      <c r="B1204" s="27" t="s">
        <v>382</v>
      </c>
      <c r="C1204" s="27" t="s">
        <v>470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511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73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452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394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443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605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403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/>
    </row>
    <row r="1213" spans="1:12">
      <c r="A1213" s="20" t="s">
        <v>850</v>
      </c>
    </row>
    <row r="1214" spans="1:12">
      <c r="A1214" s="20" t="s">
        <v>851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443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539</v>
      </c>
      <c r="B1216" s="27" t="s">
        <v>392</v>
      </c>
      <c r="C1216" s="27" t="s">
        <v>402</v>
      </c>
      <c r="D1216" s="27" t="s">
        <v>384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417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541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380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274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852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853</v>
      </c>
      <c r="B1222" s="27" t="s">
        <v>382</v>
      </c>
      <c r="C1222" s="27" t="s">
        <v>393</v>
      </c>
      <c r="D1222" s="27" t="s">
        <v>384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394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527</v>
      </c>
      <c r="B1224" s="27" t="s">
        <v>388</v>
      </c>
      <c r="C1224" s="27" t="s">
        <v>396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403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/>
    </row>
    <row r="1227" spans="1:12">
      <c r="A1227" s="20" t="s">
        <v>854</v>
      </c>
    </row>
    <row r="1228" spans="1:12">
      <c r="A1228" s="20" t="s">
        <v>679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378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855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493</v>
      </c>
      <c r="B1231" s="27" t="s">
        <v>386</v>
      </c>
      <c r="C1231" s="27" t="s">
        <v>393</v>
      </c>
      <c r="D1231" s="27" t="s">
        <v>384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494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511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856</v>
      </c>
      <c r="B1234" s="27" t="s">
        <v>388</v>
      </c>
      <c r="C1234" s="27" t="s">
        <v>449</v>
      </c>
      <c r="D1234" s="27" t="s">
        <v>384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457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416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495</v>
      </c>
      <c r="B1237" s="27" t="s">
        <v>422</v>
      </c>
      <c r="C1237" s="27" t="s">
        <v>393</v>
      </c>
      <c r="D1237" s="27" t="s">
        <v>384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394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578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857</v>
      </c>
      <c r="B1240" s="27" t="s">
        <v>458</v>
      </c>
      <c r="C1240" s="27" t="s">
        <v>402</v>
      </c>
      <c r="D1240" s="27" t="s">
        <v>384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419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394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274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462</v>
      </c>
      <c r="B1244" s="27" t="s">
        <v>401</v>
      </c>
      <c r="C1244" s="27" t="s">
        <v>402</v>
      </c>
      <c r="D1244" s="27" t="s">
        <v>384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403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/>
    </row>
    <row r="1247" spans="1:12">
      <c r="A1247" s="20" t="s">
        <v>858</v>
      </c>
    </row>
    <row r="1248" spans="1:12">
      <c r="A1248" s="20" t="s">
        <v>859</v>
      </c>
      <c r="B1248" s="27" t="s">
        <v>431</v>
      </c>
      <c r="C1248" s="27" t="s">
        <v>449</v>
      </c>
      <c r="D1248" s="27" t="s">
        <v>384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860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 t="s">
        <v>861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621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/>
    </row>
    <row r="1253" spans="1:12">
      <c r="A1253" s="20" t="s">
        <v>410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 t="s">
        <v>862</v>
      </c>
    </row>
    <row r="1255" spans="1:12">
      <c r="A1255" s="20" t="s">
        <v>740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407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415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509</v>
      </c>
      <c r="B1258" s="27" t="s">
        <v>386</v>
      </c>
      <c r="C1258" s="27" t="s">
        <v>449</v>
      </c>
      <c r="D1258" s="27" t="s">
        <v>384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633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527</v>
      </c>
      <c r="B1260" s="27" t="s">
        <v>392</v>
      </c>
      <c r="C1260" s="27" t="s">
        <v>396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416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863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390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 t="s">
        <v>391</v>
      </c>
      <c r="B1264" s="27" t="s">
        <v>376</v>
      </c>
      <c r="C1264" s="27" t="s">
        <v>429</v>
      </c>
      <c r="E1264" s="21">
        <f>IF(D1264="?OLD","!!!","")</f>
        <v/>
      </c>
      <c r="F1264" s="22" t="str">
        <f>IF(OR(E1264="",E1264="!!!"),"",IF(NOT(ISNA(VLOOKUP(E1264,E$1:E1263,1,FALSE()))),"OLD",IF(AND(E1264&lt;&gt;"",E1264&lt;&gt;"!!!"),"NEW","")))</f>
        <v> </v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4" t="str">
        <f>IF(J1264&lt;&gt;1,"",IF(I1264="SBJ","CB","?"))</f>
        <v> </v>
      </c>
      <c r="I1264" s="25" t="str">
        <f>IF(OR(E1264="",E1264="!!!",F1264="NEW"),"",INDEX(B1263:B$2,-1+SUMPRODUCT(MAX(ROW(E1263:E$2)*(E1264=E1263:E$2)))))</f>
        <v> </v>
      </c>
      <c r="J1264" s="25" t="str">
        <f>IF(OR(E1264="",E1264="!!!",F1264="NEW"),"",COUNTBLANK(OFFSET(A$1,,,SUMPRODUCT(MAX(ROW(E$2:E1264)*(E1264=E$2:E1264)))))-COUNTBLANK(OFFSET(A$1,,,SUMPRODUCT(MAX(ROW(E$1:E1263)*(E2=E$1:E1263))))))</f>
        <v> </v>
      </c>
      <c r="K1264" s="25" t="str">
        <f>IF(OR(E1264="",E1264="!!!",F1264="NEW"),"",INDEX(J$1:J1263,SUMPRODUCT(MAX(ROW(E$1:E1263)*(E1264=E$1:E1263)))))</f>
        <v> </v>
      </c>
      <c r="L1264" s="26"/>
    </row>
    <row r="1265" spans="1:12">
      <c r="A1265" s="20" t="s">
        <v>398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400</v>
      </c>
      <c r="B1266" s="27" t="s">
        <v>422</v>
      </c>
      <c r="C1266" s="27" t="s">
        <v>396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398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 t="s">
        <v>624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/>
    </row>
    <row r="1270" spans="1:12">
      <c r="A1270" s="20" t="s">
        <v>864</v>
      </c>
    </row>
    <row r="1271" spans="1:12">
      <c r="A1271" s="20" t="s">
        <v>405</v>
      </c>
      <c r="E1271" s="21">
        <f>IF(D1271="?OLD","!!!","")</f>
        <v/>
      </c>
      <c r="F1271" s="22" t="str">
        <f>IF(OR(E1271="",E1271="!!!"),"",IF(NOT(ISNA(VLOOKUP(E1271,E$1:E1270,1,FALSE()))),"OLD",IF(AND(E1271&lt;&gt;"",E1271&lt;&gt;"!!!"),"NEW","")))</f>
        <v> </v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4" t="str">
        <f>IF(J1271&lt;&gt;1,"",IF(I1271="SBJ","CB","?"))</f>
        <v> </v>
      </c>
      <c r="I1271" s="25" t="str">
        <f>IF(OR(E1271="",E1271="!!!",F1271="NEW"),"",INDEX(B1270:B$2,-1+SUMPRODUCT(MAX(ROW(E1270:E$2)*(E1271=E1270:E$2)))))</f>
        <v> </v>
      </c>
      <c r="J1271" s="25" t="str">
        <f>IF(OR(E1271="",E1271="!!!",F1271="NEW"),"",COUNTBLANK(OFFSET(A$1,,,SUMPRODUCT(MAX(ROW(E$2:E1271)*(E1271=E$2:E1271)))))-COUNTBLANK(OFFSET(A$1,,,SUMPRODUCT(MAX(ROW(E$1:E1270)*(E2=E$1:E1270))))))</f>
        <v> </v>
      </c>
      <c r="K1271" s="25" t="str">
        <f>IF(OR(E1271="",E1271="!!!",F1271="NEW"),"",INDEX(J$1:J1270,SUMPRODUCT(MAX(ROW(E$1:E1270)*(E1271=E$1:E1270)))))</f>
        <v> </v>
      </c>
      <c r="L1271" s="26"/>
    </row>
    <row r="1272" spans="1:12">
      <c r="A1272" s="20" t="s">
        <v>643</v>
      </c>
      <c r="B1272" s="27" t="s">
        <v>386</v>
      </c>
      <c r="C1272" s="27" t="s">
        <v>402</v>
      </c>
      <c r="D1272" s="27" t="s">
        <v>384</v>
      </c>
      <c r="E1272" s="21">
        <f>IF(D1272="?OLD","!!!","")</f>
        <v/>
      </c>
      <c r="F1272" s="22" t="str">
        <f>IF(OR(E1272="",E1272="!!!"),"",IF(NOT(ISNA(VLOOKUP(E1272,E$1:E1271,1,FALSE()))),"OLD",IF(AND(E1272&lt;&gt;"",E1272&lt;&gt;"!!!"),"NEW","")))</f>
        <v> </v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4" t="str">
        <f>IF(J1272&lt;&gt;1,"",IF(I1272="SBJ","CB","?"))</f>
        <v> </v>
      </c>
      <c r="I1272" s="25" t="str">
        <f>IF(OR(E1272="",E1272="!!!",F1272="NEW"),"",INDEX(B1271:B$2,-1+SUMPRODUCT(MAX(ROW(E1271:E$2)*(E1272=E1271:E$2)))))</f>
        <v> </v>
      </c>
      <c r="J1272" s="25" t="str">
        <f>IF(OR(E1272="",E1272="!!!",F1272="NEW"),"",COUNTBLANK(OFFSET(A$1,,,SUMPRODUCT(MAX(ROW(E$2:E1272)*(E1272=E$2:E1272)))))-COUNTBLANK(OFFSET(A$1,,,SUMPRODUCT(MAX(ROW(E$1:E1271)*(E2=E$1:E1271))))))</f>
        <v> </v>
      </c>
      <c r="K1272" s="25" t="str">
        <f>IF(OR(E1272="",E1272="!!!",F1272="NEW"),"",INDEX(J$1:J1271,SUMPRODUCT(MAX(ROW(E$1:E1271)*(E1272=E$1:E1271)))))</f>
        <v> </v>
      </c>
      <c r="L1272" s="26"/>
    </row>
    <row r="1273" spans="1:12">
      <c r="A1273" s="20" t="s">
        <v>407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415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497</v>
      </c>
      <c r="B1275" s="27" t="s">
        <v>431</v>
      </c>
      <c r="C1275" s="27" t="s">
        <v>449</v>
      </c>
      <c r="D1275" s="27" t="s">
        <v>384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865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 t="s">
        <v>416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 t="s">
        <v>103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 t="s">
        <v>866</v>
      </c>
      <c r="B1279" s="27" t="s">
        <v>376</v>
      </c>
      <c r="C1279" s="27" t="s">
        <v>396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 t="s">
        <v>867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419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868</v>
      </c>
      <c r="B1282" s="27" t="s">
        <v>422</v>
      </c>
      <c r="C1282" s="27" t="s">
        <v>396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511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869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603</v>
      </c>
      <c r="B1285" s="27" t="s">
        <v>455</v>
      </c>
      <c r="C1285" s="27" t="s">
        <v>396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 t="s">
        <v>416</v>
      </c>
      <c r="E1286" s="21">
        <f>IF(D1286="?OLD","!!!","")</f>
        <v/>
      </c>
      <c r="F1286" s="22" t="str">
        <f>IF(OR(E1286="",E1286="!!!"),"",IF(NOT(ISNA(VLOOKUP(E1286,E$1:E1285,1,FALSE()))),"OLD",IF(AND(E1286&lt;&gt;"",E1286&lt;&gt;"!!!"),"NEW","")))</f>
        <v> </v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4" t="str">
        <f>IF(J1286&lt;&gt;1,"",IF(I1286="SBJ","CB","?"))</f>
        <v> </v>
      </c>
      <c r="I1286" s="25" t="str">
        <f>IF(OR(E1286="",E1286="!!!",F1286="NEW"),"",INDEX(B1285:B$2,-1+SUMPRODUCT(MAX(ROW(E1285:E$2)*(E1286=E1285:E$2)))))</f>
        <v> </v>
      </c>
      <c r="J1286" s="25" t="str">
        <f>IF(OR(E1286="",E1286="!!!",F1286="NEW"),"",COUNTBLANK(OFFSET(A$1,,,SUMPRODUCT(MAX(ROW(E$2:E1286)*(E1286=E$2:E1286)))))-COUNTBLANK(OFFSET(A$1,,,SUMPRODUCT(MAX(ROW(E$1:E1285)*(E2=E$1:E1285))))))</f>
        <v> </v>
      </c>
      <c r="K1286" s="25" t="str">
        <f>IF(OR(E1286="",E1286="!!!",F1286="NEW"),"",INDEX(J$1:J1285,SUMPRODUCT(MAX(ROW(E$1:E1285)*(E1286=E$1:E1285)))))</f>
        <v> </v>
      </c>
      <c r="L1286" s="26"/>
    </row>
    <row r="1287" spans="1:12">
      <c r="A1287" s="20" t="s">
        <v>22</v>
      </c>
      <c r="E1287" s="21">
        <f>IF(D1287="?OLD","!!!","")</f>
        <v/>
      </c>
      <c r="F1287" s="22" t="str">
        <f>IF(OR(E1287="",E1287="!!!"),"",IF(NOT(ISNA(VLOOKUP(E1287,E$1:E1286,1,FALSE()))),"OLD",IF(AND(E1287&lt;&gt;"",E1287&lt;&gt;"!!!"),"NEW","")))</f>
        <v> </v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4" t="str">
        <f>IF(J1287&lt;&gt;1,"",IF(I1287="SBJ","CB","?"))</f>
        <v> </v>
      </c>
      <c r="I1287" s="25" t="str">
        <f>IF(OR(E1287="",E1287="!!!",F1287="NEW"),"",INDEX(B1286:B$2,-1+SUMPRODUCT(MAX(ROW(E1286:E$2)*(E1287=E1286:E$2)))))</f>
        <v> </v>
      </c>
      <c r="J1287" s="25" t="str">
        <f>IF(OR(E1287="",E1287="!!!",F1287="NEW"),"",COUNTBLANK(OFFSET(A$1,,,SUMPRODUCT(MAX(ROW(E$2:E1287)*(E1287=E$2:E1287)))))-COUNTBLANK(OFFSET(A$1,,,SUMPRODUCT(MAX(ROW(E$1:E1286)*(E2=E$1:E1286))))))</f>
        <v> </v>
      </c>
      <c r="K1287" s="25" t="str">
        <f>IF(OR(E1287="",E1287="!!!",F1287="NEW"),"",INDEX(J$1:J1286,SUMPRODUCT(MAX(ROW(E$1:E1286)*(E1287=E$1:E1286)))))</f>
        <v> </v>
      </c>
      <c r="L1287" s="26"/>
    </row>
    <row r="1288" spans="1:12">
      <c r="A1288" s="20" t="s">
        <v>870</v>
      </c>
      <c r="B1288" s="27" t="s">
        <v>399</v>
      </c>
      <c r="C1288" s="27" t="s">
        <v>396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378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871</v>
      </c>
      <c r="B1290" s="27" t="s">
        <v>401</v>
      </c>
      <c r="C1290" s="27" t="s">
        <v>393</v>
      </c>
      <c r="D1290" s="27" t="s">
        <v>384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394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 t="s">
        <v>872</v>
      </c>
      <c r="B1292" s="27" t="s">
        <v>538</v>
      </c>
      <c r="C1292" s="27" t="s">
        <v>396</v>
      </c>
      <c r="E1292" s="21">
        <f>IF(D1292="?OLD","!!!","")</f>
        <v/>
      </c>
      <c r="F1292" s="22" t="str">
        <f>IF(OR(E1292="",E1292="!!!"),"",IF(NOT(ISNA(VLOOKUP(E1292,E$1:E1291,1,FALSE()))),"OLD",IF(AND(E1292&lt;&gt;"",E1292&lt;&gt;"!!!"),"NEW","")))</f>
        <v> </v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4" t="str">
        <f>IF(J1292&lt;&gt;1,"",IF(I1292="SBJ","CB","?"))</f>
        <v> </v>
      </c>
      <c r="I1292" s="25" t="str">
        <f>IF(OR(E1292="",E1292="!!!",F1292="NEW"),"",INDEX(B1291:B$2,-1+SUMPRODUCT(MAX(ROW(E1291:E$2)*(E1292=E1291:E$2)))))</f>
        <v> </v>
      </c>
      <c r="J1292" s="25" t="str">
        <f>IF(OR(E1292="",E1292="!!!",F1292="NEW"),"",COUNTBLANK(OFFSET(A$1,,,SUMPRODUCT(MAX(ROW(E$2:E1292)*(E1292=E$2:E1292)))))-COUNTBLANK(OFFSET(A$1,,,SUMPRODUCT(MAX(ROW(E$1:E1291)*(E2=E$1:E1291))))))</f>
        <v> </v>
      </c>
      <c r="K1292" s="25" t="str">
        <f>IF(OR(E1292="",E1292="!!!",F1292="NEW"),"",INDEX(J$1:J1291,SUMPRODUCT(MAX(ROW(E$1:E1291)*(E1292=E$1:E1291)))))</f>
        <v> </v>
      </c>
      <c r="L1292" s="26"/>
    </row>
    <row r="1293" spans="1:12">
      <c r="A1293" s="20" t="s">
        <v>419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 t="s">
        <v>873</v>
      </c>
      <c r="B1294" s="27" t="s">
        <v>401</v>
      </c>
      <c r="C1294" s="27" t="s">
        <v>396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 t="s">
        <v>874</v>
      </c>
      <c r="E1295" s="21">
        <f>IF(D1295="?OLD","!!!","")</f>
        <v/>
      </c>
      <c r="F1295" s="22" t="str">
        <f>IF(OR(E1295="",E1295="!!!"),"",IF(NOT(ISNA(VLOOKUP(E1295,E$1:E1294,1,FALSE()))),"OLD",IF(AND(E1295&lt;&gt;"",E1295&lt;&gt;"!!!"),"NEW","")))</f>
        <v> </v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4" t="str">
        <f>IF(J1295&lt;&gt;1,"",IF(I1295="SBJ","CB","?"))</f>
        <v> </v>
      </c>
      <c r="I1295" s="25" t="str">
        <f>IF(OR(E1295="",E1295="!!!",F1295="NEW"),"",INDEX(B1294:B$2,-1+SUMPRODUCT(MAX(ROW(E1294:E$2)*(E1295=E1294:E$2)))))</f>
        <v> </v>
      </c>
      <c r="J1295" s="25" t="str">
        <f>IF(OR(E1295="",E1295="!!!",F1295="NEW"),"",COUNTBLANK(OFFSET(A$1,,,SUMPRODUCT(MAX(ROW(E$2:E1295)*(E1295=E$2:E1295)))))-COUNTBLANK(OFFSET(A$1,,,SUMPRODUCT(MAX(ROW(E$1:E1294)*(E2=E$1:E1294))))))</f>
        <v> </v>
      </c>
      <c r="K1295" s="25" t="str">
        <f>IF(OR(E1295="",E1295="!!!",F1295="NEW"),"",INDEX(J$1:J1294,SUMPRODUCT(MAX(ROW(E$1:E1294)*(E1295=E$1:E1294)))))</f>
        <v> </v>
      </c>
      <c r="L1295" s="26"/>
    </row>
    <row r="1296" spans="1:12">
      <c r="A1296" s="20" t="s">
        <v>403</v>
      </c>
      <c r="E1296" s="21">
        <f>IF(D1296="?OLD","!!!","")</f>
        <v/>
      </c>
      <c r="F1296" s="22" t="str">
        <f>IF(OR(E1296="",E1296="!!!"),"",IF(NOT(ISNA(VLOOKUP(E1296,E$1:E1295,1,FALSE()))),"OLD",IF(AND(E1296&lt;&gt;"",E1296&lt;&gt;"!!!"),"NEW","")))</f>
        <v> </v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4" t="str">
        <f>IF(J1296&lt;&gt;1,"",IF(I1296="SBJ","CB","?"))</f>
        <v> </v>
      </c>
      <c r="I1296" s="25" t="str">
        <f>IF(OR(E1296="",E1296="!!!",F1296="NEW"),"",INDEX(B1295:B$2,-1+SUMPRODUCT(MAX(ROW(E1295:E$2)*(E1296=E1295:E$2)))))</f>
        <v> </v>
      </c>
      <c r="J1296" s="25" t="str">
        <f>IF(OR(E1296="",E1296="!!!",F1296="NEW"),"",COUNTBLANK(OFFSET(A$1,,,SUMPRODUCT(MAX(ROW(E$2:E1296)*(E1296=E$2:E1296)))))-COUNTBLANK(OFFSET(A$1,,,SUMPRODUCT(MAX(ROW(E$1:E1295)*(E2=E$1:E1295))))))</f>
        <v> </v>
      </c>
      <c r="K1296" s="25" t="str">
        <f>IF(OR(E1296="",E1296="!!!",F1296="NEW"),"",INDEX(J$1:J1295,SUMPRODUCT(MAX(ROW(E$1:E1295)*(E1296=E$1:E1295)))))</f>
        <v> </v>
      </c>
      <c r="L1296" s="26"/>
    </row>
    <row r="1297" spans="1:12">
      <c r="A1297" s="20"/>
    </row>
    <row r="1298" spans="1:12">
      <c r="A1298" s="20" t="s">
        <v>410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 t="s">
        <v>875</v>
      </c>
    </row>
    <row r="1300" spans="1:12">
      <c r="A1300" s="20" t="s">
        <v>12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391</v>
      </c>
      <c r="B1301" s="27" t="s">
        <v>386</v>
      </c>
      <c r="C1301" s="27" t="s">
        <v>402</v>
      </c>
      <c r="D1301" s="27" t="s">
        <v>384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398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400</v>
      </c>
      <c r="B1303" s="27" t="s">
        <v>386</v>
      </c>
      <c r="C1303" s="27" t="s">
        <v>396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398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876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443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 t="s">
        <v>603</v>
      </c>
      <c r="B1307" s="27" t="s">
        <v>392</v>
      </c>
      <c r="C1307" s="27" t="s">
        <v>402</v>
      </c>
      <c r="D1307" s="27" t="s">
        <v>384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 t="s">
        <v>416</v>
      </c>
      <c r="E1308" s="21">
        <f>IF(D1308="?OLD","!!!","")</f>
        <v/>
      </c>
      <c r="F1308" s="22" t="str">
        <f>IF(OR(E1308="",E1308="!!!"),"",IF(NOT(ISNA(VLOOKUP(E1308,E$1:E1307,1,FALSE()))),"OLD",IF(AND(E1308&lt;&gt;"",E1308&lt;&gt;"!!!"),"NEW","")))</f>
        <v> </v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4" t="str">
        <f>IF(J1308&lt;&gt;1,"",IF(I1308="SBJ","CB","?"))</f>
        <v> </v>
      </c>
      <c r="I1308" s="25" t="str">
        <f>IF(OR(E1308="",E1308="!!!",F1308="NEW"),"",INDEX(B1307:B$2,-1+SUMPRODUCT(MAX(ROW(E1307:E$2)*(E1308=E1307:E$2)))))</f>
        <v> </v>
      </c>
      <c r="J1308" s="25" t="str">
        <f>IF(OR(E1308="",E1308="!!!",F1308="NEW"),"",COUNTBLANK(OFFSET(A$1,,,SUMPRODUCT(MAX(ROW(E$2:E1308)*(E1308=E$2:E1308)))))-COUNTBLANK(OFFSET(A$1,,,SUMPRODUCT(MAX(ROW(E$1:E1307)*(E2=E$1:E1307))))))</f>
        <v> </v>
      </c>
      <c r="K1308" s="25" t="str">
        <f>IF(OR(E1308="",E1308="!!!",F1308="NEW"),"",INDEX(J$1:J1307,SUMPRODUCT(MAX(ROW(E$1:E1307)*(E1308=E$1:E1307)))))</f>
        <v> </v>
      </c>
      <c r="L1308" s="26"/>
    </row>
    <row r="1309" spans="1:12">
      <c r="A1309" s="20" t="s">
        <v>877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443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 t="s">
        <v>878</v>
      </c>
      <c r="B1311" s="27" t="s">
        <v>376</v>
      </c>
      <c r="C1311" s="27" t="s">
        <v>402</v>
      </c>
      <c r="D1311" s="27" t="s">
        <v>384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879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403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/>
    </row>
    <row r="1315" spans="1:12">
      <c r="A1315" s="20" t="s">
        <v>410</v>
      </c>
      <c r="E1315" s="21">
        <f>IF(D1315="?OLD","!!!","")</f>
        <v/>
      </c>
      <c r="F1315" s="22" t="str">
        <f>IF(OR(E1315="",E1315="!!!"),"",IF(NOT(ISNA(VLOOKUP(E1315,E$1:E1314,1,FALSE()))),"OLD",IF(AND(E1315&lt;&gt;"",E1315&lt;&gt;"!!!"),"NEW","")))</f>
        <v> </v>
      </c>
      <c r="G1315" s="23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4" t="str">
        <f>IF(J1315&lt;&gt;1,"",IF(I1315="SBJ","CB","?"))</f>
        <v> </v>
      </c>
      <c r="I1315" s="25" t="str">
        <f>IF(OR(E1315="",E1315="!!!",F1315="NEW"),"",INDEX(B1314:B$2,-1+SUMPRODUCT(MAX(ROW(E1314:E$2)*(E1315=E1314:E$2)))))</f>
        <v> </v>
      </c>
      <c r="J1315" s="25" t="str">
        <f>IF(OR(E1315="",E1315="!!!",F1315="NEW"),"",COUNTBLANK(OFFSET(A$1,,,SUMPRODUCT(MAX(ROW(E$2:E1315)*(E1315=E$2:E1315)))))-COUNTBLANK(OFFSET(A$1,,,SUMPRODUCT(MAX(ROW(E$1:E1314)*(E2=E$1:E1314))))))</f>
        <v> </v>
      </c>
      <c r="K1315" s="25" t="str">
        <f>IF(OR(E1315="",E1315="!!!",F1315="NEW"),"",INDEX(J$1:J1314,SUMPRODUCT(MAX(ROW(E$1:E1314)*(E1315=E$1:E1314)))))</f>
        <v> </v>
      </c>
      <c r="L1315" s="26"/>
    </row>
    <row r="1316" spans="1:12">
      <c r="A1316" s="20" t="s">
        <v>880</v>
      </c>
    </row>
    <row r="1317" spans="1:12">
      <c r="A1317" s="20" t="s">
        <v>740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 t="s">
        <v>378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 t="s">
        <v>881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378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882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578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 t="s">
        <v>883</v>
      </c>
      <c r="B1323" s="27" t="s">
        <v>386</v>
      </c>
      <c r="C1323" s="27" t="s">
        <v>470</v>
      </c>
      <c r="E1323" s="21">
        <f>IF(D1323="?OLD","!!!","")</f>
        <v/>
      </c>
      <c r="F1323" s="22" t="str">
        <f>IF(OR(E1323="",E1323="!!!"),"",IF(NOT(ISNA(VLOOKUP(E1323,E$1:E1322,1,FALSE()))),"OLD",IF(AND(E1323&lt;&gt;"",E1323&lt;&gt;"!!!"),"NEW","")))</f>
        <v> </v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4" t="str">
        <f>IF(J1323&lt;&gt;1,"",IF(I1323="SBJ","CB","?"))</f>
        <v> </v>
      </c>
      <c r="I1323" s="25" t="str">
        <f>IF(OR(E1323="",E1323="!!!",F1323="NEW"),"",INDEX(B1322:B$2,-1+SUMPRODUCT(MAX(ROW(E1322:E$2)*(E1323=E1322:E$2)))))</f>
        <v> </v>
      </c>
      <c r="J1323" s="25" t="str">
        <f>IF(OR(E1323="",E1323="!!!",F1323="NEW"),"",COUNTBLANK(OFFSET(A$1,,,SUMPRODUCT(MAX(ROW(E$2:E1323)*(E1323=E$2:E1323)))))-COUNTBLANK(OFFSET(A$1,,,SUMPRODUCT(MAX(ROW(E$1:E1322)*(E2=E$1:E1322))))))</f>
        <v> </v>
      </c>
      <c r="K1323" s="25" t="str">
        <f>IF(OR(E1323="",E1323="!!!",F1323="NEW"),"",INDEX(J$1:J1322,SUMPRODUCT(MAX(ROW(E$1:E1322)*(E1323=E$1:E1322)))))</f>
        <v> </v>
      </c>
      <c r="L1323" s="26"/>
    </row>
    <row r="1324" spans="1:12">
      <c r="A1324" s="20" t="s">
        <v>414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274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554</v>
      </c>
      <c r="B1326" s="27" t="s">
        <v>388</v>
      </c>
      <c r="C1326" s="27" t="s">
        <v>555</v>
      </c>
      <c r="D1326" s="27" t="s">
        <v>384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 t="s">
        <v>398</v>
      </c>
      <c r="E1327" s="21">
        <f>IF(D1327="?OLD","!!!","")</f>
        <v/>
      </c>
      <c r="F1327" s="22" t="str">
        <f>IF(OR(E1327="",E1327="!!!"),"",IF(NOT(ISNA(VLOOKUP(E1327,E$1:E1326,1,FALSE()))),"OLD",IF(AND(E1327&lt;&gt;"",E1327&lt;&gt;"!!!"),"NEW","")))</f>
        <v> </v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4" t="str">
        <f>IF(J1327&lt;&gt;1,"",IF(I1327="SBJ","CB","?"))</f>
        <v> </v>
      </c>
      <c r="I1327" s="25" t="str">
        <f>IF(OR(E1327="",E1327="!!!",F1327="NEW"),"",INDEX(B1326:B$2,-1+SUMPRODUCT(MAX(ROW(E1326:E$2)*(E1327=E1326:E$2)))))</f>
        <v> </v>
      </c>
      <c r="J1327" s="25" t="str">
        <f>IF(OR(E1327="",E1327="!!!",F1327="NEW"),"",COUNTBLANK(OFFSET(A$1,,,SUMPRODUCT(MAX(ROW(E$2:E1327)*(E1327=E$2:E1327)))))-COUNTBLANK(OFFSET(A$1,,,SUMPRODUCT(MAX(ROW(E$1:E1326)*(E2=E$1:E1326))))))</f>
        <v> </v>
      </c>
      <c r="K1327" s="25" t="str">
        <f>IF(OR(E1327="",E1327="!!!",F1327="NEW"),"",INDEX(J$1:J1326,SUMPRODUCT(MAX(ROW(E$1:E1326)*(E1327=E$1:E1326)))))</f>
        <v> </v>
      </c>
      <c r="L1327" s="26"/>
    </row>
    <row r="1328" spans="1:12">
      <c r="A1328" s="20" t="s">
        <v>400</v>
      </c>
      <c r="B1328" s="27" t="s">
        <v>392</v>
      </c>
      <c r="C1328" s="27" t="s">
        <v>402</v>
      </c>
      <c r="D1328" s="27" t="s">
        <v>384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 t="s">
        <v>398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378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 t="s">
        <v>613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 t="s">
        <v>407</v>
      </c>
      <c r="E1332" s="21">
        <f>IF(D1332="?OLD","!!!","")</f>
        <v/>
      </c>
      <c r="F1332" s="22" t="str">
        <f>IF(OR(E1332="",E1332="!!!"),"",IF(NOT(ISNA(VLOOKUP(E1332,E$1:E1331,1,FALSE()))),"OLD",IF(AND(E1332&lt;&gt;"",E1332&lt;&gt;"!!!"),"NEW","")))</f>
        <v> </v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4" t="str">
        <f>IF(J1332&lt;&gt;1,"",IF(I1332="SBJ","CB","?"))</f>
        <v> </v>
      </c>
      <c r="I1332" s="25" t="str">
        <f>IF(OR(E1332="",E1332="!!!",F1332="NEW"),"",INDEX(B1331:B$2,-1+SUMPRODUCT(MAX(ROW(E1331:E$2)*(E1332=E1331:E$2)))))</f>
        <v> </v>
      </c>
      <c r="J1332" s="25" t="str">
        <f>IF(OR(E1332="",E1332="!!!",F1332="NEW"),"",COUNTBLANK(OFFSET(A$1,,,SUMPRODUCT(MAX(ROW(E$2:E1332)*(E1332=E$2:E1332)))))-COUNTBLANK(OFFSET(A$1,,,SUMPRODUCT(MAX(ROW(E$1:E1331)*(E2=E$1:E1331))))))</f>
        <v> </v>
      </c>
      <c r="K1332" s="25" t="str">
        <f>IF(OR(E1332="",E1332="!!!",F1332="NEW"),"",INDEX(J$1:J1331,SUMPRODUCT(MAX(ROW(E$1:E1331)*(E1332=E$1:E1331)))))</f>
        <v> </v>
      </c>
      <c r="L1332" s="26"/>
    </row>
    <row r="1333" spans="1:12">
      <c r="A1333" s="20" t="s">
        <v>624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/>
    </row>
    <row r="1335" spans="1:12">
      <c r="A1335" s="20" t="s">
        <v>884</v>
      </c>
    </row>
    <row r="1336" spans="1:12">
      <c r="A1336" s="20" t="s">
        <v>12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391</v>
      </c>
      <c r="B1337" s="27" t="s">
        <v>386</v>
      </c>
      <c r="C1337" s="27" t="s">
        <v>402</v>
      </c>
      <c r="D1337" s="27" t="s">
        <v>384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492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 t="s">
        <v>452</v>
      </c>
      <c r="E1339" s="21">
        <f>IF(D1339="?OLD","!!!","")</f>
        <v/>
      </c>
      <c r="F1339" s="22" t="str">
        <f>IF(OR(E1339="",E1339="!!!"),"",IF(NOT(ISNA(VLOOKUP(E1339,E$1:E1338,1,FALSE()))),"OLD",IF(AND(E1339&lt;&gt;"",E1339&lt;&gt;"!!!"),"NEW","")))</f>
        <v> </v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4" t="str">
        <f>IF(J1339&lt;&gt;1,"",IF(I1339="SBJ","CB","?"))</f>
        <v> </v>
      </c>
      <c r="I1339" s="25" t="str">
        <f>IF(OR(E1339="",E1339="!!!",F1339="NEW"),"",INDEX(B1338:B$2,-1+SUMPRODUCT(MAX(ROW(E1338:E$2)*(E1339=E1338:E$2)))))</f>
        <v> </v>
      </c>
      <c r="J1339" s="25" t="str">
        <f>IF(OR(E1339="",E1339="!!!",F1339="NEW"),"",COUNTBLANK(OFFSET(A$1,,,SUMPRODUCT(MAX(ROW(E$2:E1339)*(E1339=E$2:E1339)))))-COUNTBLANK(OFFSET(A$1,,,SUMPRODUCT(MAX(ROW(E$1:E1338)*(E2=E$1:E1338))))))</f>
        <v> </v>
      </c>
      <c r="K1339" s="25" t="str">
        <f>IF(OR(E1339="",E1339="!!!",F1339="NEW"),"",INDEX(J$1:J1338,SUMPRODUCT(MAX(ROW(E$1:E1338)*(E1339=E$1:E1338)))))</f>
        <v> </v>
      </c>
      <c r="L1339" s="26"/>
    </row>
    <row r="1340" spans="1:12">
      <c r="A1340" s="20" t="s">
        <v>885</v>
      </c>
      <c r="B1340" s="27" t="s">
        <v>392</v>
      </c>
      <c r="C1340" s="27" t="s">
        <v>429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886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 t="s">
        <v>378</v>
      </c>
      <c r="E1342" s="21">
        <f>IF(D1342="?OLD","!!!","")</f>
        <v/>
      </c>
      <c r="F1342" s="22" t="str">
        <f>IF(OR(E1342="",E1342="!!!"),"",IF(NOT(ISNA(VLOOKUP(E1342,E$1:E1341,1,FALSE()))),"OLD",IF(AND(E1342&lt;&gt;"",E1342&lt;&gt;"!!!"),"NEW","")))</f>
        <v> </v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4" t="str">
        <f>IF(J1342&lt;&gt;1,"",IF(I1342="SBJ","CB","?"))</f>
        <v> </v>
      </c>
      <c r="I1342" s="25" t="str">
        <f>IF(OR(E1342="",E1342="!!!",F1342="NEW"),"",INDEX(B1341:B$2,-1+SUMPRODUCT(MAX(ROW(E1341:E$2)*(E1342=E1341:E$2)))))</f>
        <v> </v>
      </c>
      <c r="J1342" s="25" t="str">
        <f>IF(OR(E1342="",E1342="!!!",F1342="NEW"),"",COUNTBLANK(OFFSET(A$1,,,SUMPRODUCT(MAX(ROW(E$2:E1342)*(E1342=E$2:E1342)))))-COUNTBLANK(OFFSET(A$1,,,SUMPRODUCT(MAX(ROW(E$1:E1341)*(E2=E$1:E1341))))))</f>
        <v> </v>
      </c>
      <c r="K1342" s="25" t="str">
        <f>IF(OR(E1342="",E1342="!!!",F1342="NEW"),"",INDEX(J$1:J1341,SUMPRODUCT(MAX(ROW(E$1:E1341)*(E1342=E$1:E1341)))))</f>
        <v> </v>
      </c>
      <c r="L1342" s="26"/>
    </row>
    <row r="1343" spans="1:12">
      <c r="A1343" s="20" t="s">
        <v>452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887</v>
      </c>
      <c r="B1344" s="27" t="s">
        <v>388</v>
      </c>
      <c r="C1344" s="27" t="s">
        <v>429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888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378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390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889</v>
      </c>
      <c r="B1348" s="27" t="s">
        <v>388</v>
      </c>
      <c r="C1348" s="27" t="s">
        <v>429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888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394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22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274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890</v>
      </c>
      <c r="B1353" s="27" t="s">
        <v>399</v>
      </c>
      <c r="C1353" s="27" t="s">
        <v>402</v>
      </c>
      <c r="D1353" s="27" t="s">
        <v>384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891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 t="s">
        <v>403</v>
      </c>
      <c r="E1355" s="21">
        <f>IF(D1355="?OLD","!!!","")</f>
        <v/>
      </c>
      <c r="F1355" s="22" t="str">
        <f>IF(OR(E1355="",E1355="!!!"),"",IF(NOT(ISNA(VLOOKUP(E1355,E$1:E1354,1,FALSE()))),"OLD",IF(AND(E1355&lt;&gt;"",E1355&lt;&gt;"!!!"),"NEW","")))</f>
        <v> </v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4" t="str">
        <f>IF(J1355&lt;&gt;1,"",IF(I1355="SBJ","CB","?"))</f>
        <v> </v>
      </c>
      <c r="I1355" s="25" t="str">
        <f>IF(OR(E1355="",E1355="!!!",F1355="NEW"),"",INDEX(B1354:B$2,-1+SUMPRODUCT(MAX(ROW(E1354:E$2)*(E1355=E1354:E$2)))))</f>
        <v> </v>
      </c>
      <c r="J1355" s="25" t="str">
        <f>IF(OR(E1355="",E1355="!!!",F1355="NEW"),"",COUNTBLANK(OFFSET(A$1,,,SUMPRODUCT(MAX(ROW(E$2:E1355)*(E1355=E$2:E1355)))))-COUNTBLANK(OFFSET(A$1,,,SUMPRODUCT(MAX(ROW(E$1:E1354)*(E2=E$1:E1354))))))</f>
        <v> </v>
      </c>
      <c r="K1355" s="25" t="str">
        <f>IF(OR(E1355="",E1355="!!!",F1355="NEW"),"",INDEX(J$1:J1354,SUMPRODUCT(MAX(ROW(E$1:E1354)*(E1355=E$1:E1354)))))</f>
        <v> </v>
      </c>
      <c r="L1355" s="26"/>
    </row>
    <row r="1356" spans="1:12">
      <c r="A1356" s="20"/>
    </row>
    <row r="1357" spans="1:12">
      <c r="A1357" s="20" t="s">
        <v>892</v>
      </c>
    </row>
    <row r="1358" spans="1:12">
      <c r="A1358" s="20" t="s">
        <v>679</v>
      </c>
      <c r="E1358" s="21">
        <f>IF(D1358="?OLD","!!!","")</f>
        <v/>
      </c>
      <c r="F1358" s="22" t="str">
        <f>IF(OR(E1358="",E1358="!!!"),"",IF(NOT(ISNA(VLOOKUP(E1358,E$1:E1357,1,FALSE()))),"OLD",IF(AND(E1358&lt;&gt;"",E1358&lt;&gt;"!!!"),"NEW","")))</f>
        <v> </v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4" t="str">
        <f>IF(J1358&lt;&gt;1,"",IF(I1358="SBJ","CB","?"))</f>
        <v> </v>
      </c>
      <c r="I1358" s="25" t="str">
        <f>IF(OR(E1358="",E1358="!!!",F1358="NEW"),"",INDEX(B1357:B$2,-1+SUMPRODUCT(MAX(ROW(E1357:E$2)*(E1358=E1357:E$2)))))</f>
        <v> </v>
      </c>
      <c r="J1358" s="25" t="str">
        <f>IF(OR(E1358="",E1358="!!!",F1358="NEW"),"",COUNTBLANK(OFFSET(A$1,,,SUMPRODUCT(MAX(ROW(E$2:E1358)*(E1358=E$2:E1358)))))-COUNTBLANK(OFFSET(A$1,,,SUMPRODUCT(MAX(ROW(E$1:E1357)*(E2=E$1:E1357))))))</f>
        <v> </v>
      </c>
      <c r="K1358" s="25" t="str">
        <f>IF(OR(E1358="",E1358="!!!",F1358="NEW"),"",INDEX(J$1:J1357,SUMPRODUCT(MAX(ROW(E$1:E1357)*(E1358=E$1:E1357)))))</f>
        <v> </v>
      </c>
      <c r="L1358" s="26"/>
    </row>
    <row r="1359" spans="1:12">
      <c r="A1359" s="20" t="s">
        <v>378</v>
      </c>
      <c r="E1359" s="21">
        <f>IF(D1359="?OLD","!!!","")</f>
        <v/>
      </c>
      <c r="F1359" s="22" t="str">
        <f>IF(OR(E1359="",E1359="!!!"),"",IF(NOT(ISNA(VLOOKUP(E1359,E$1:E1358,1,FALSE()))),"OLD",IF(AND(E1359&lt;&gt;"",E1359&lt;&gt;"!!!"),"NEW","")))</f>
        <v> </v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4" t="str">
        <f>IF(J1359&lt;&gt;1,"",IF(I1359="SBJ","CB","?"))</f>
        <v> </v>
      </c>
      <c r="I1359" s="25" t="str">
        <f>IF(OR(E1359="",E1359="!!!",F1359="NEW"),"",INDEX(B1358:B$2,-1+SUMPRODUCT(MAX(ROW(E1358:E$2)*(E1359=E1358:E$2)))))</f>
        <v> </v>
      </c>
      <c r="J1359" s="25" t="str">
        <f>IF(OR(E1359="",E1359="!!!",F1359="NEW"),"",COUNTBLANK(OFFSET(A$1,,,SUMPRODUCT(MAX(ROW(E$2:E1359)*(E1359=E$2:E1359)))))-COUNTBLANK(OFFSET(A$1,,,SUMPRODUCT(MAX(ROW(E$1:E1358)*(E2=E$1:E1358))))))</f>
        <v> </v>
      </c>
      <c r="K1359" s="25" t="str">
        <f>IF(OR(E1359="",E1359="!!!",F1359="NEW"),"",INDEX(J$1:J1358,SUMPRODUCT(MAX(ROW(E$1:E1358)*(E1359=E$1:E1358)))))</f>
        <v> </v>
      </c>
      <c r="L1359" s="26"/>
    </row>
    <row r="1360" spans="1:12">
      <c r="A1360" s="20" t="s">
        <v>488</v>
      </c>
      <c r="B1360" s="27" t="s">
        <v>386</v>
      </c>
      <c r="C1360" s="27" t="s">
        <v>472</v>
      </c>
      <c r="D1360" s="27" t="s">
        <v>384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407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 t="s">
        <v>274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716</v>
      </c>
      <c r="B1363" s="27" t="s">
        <v>382</v>
      </c>
      <c r="C1363" s="27" t="s">
        <v>393</v>
      </c>
      <c r="D1363" s="27" t="s">
        <v>384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 t="s">
        <v>394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 t="s">
        <v>416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885</v>
      </c>
      <c r="B1366" s="27" t="s">
        <v>382</v>
      </c>
      <c r="C1366" s="27" t="s">
        <v>402</v>
      </c>
      <c r="D1366" s="27" t="s">
        <v>384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378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394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 t="s">
        <v>488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489</v>
      </c>
      <c r="B1370" s="27" t="s">
        <v>382</v>
      </c>
      <c r="C1370" s="27" t="s">
        <v>490</v>
      </c>
      <c r="D1370" s="27" t="s">
        <v>384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893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409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403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/>
    </row>
    <row r="1375" spans="1:12">
      <c r="A1375" s="20" t="s">
        <v>894</v>
      </c>
    </row>
    <row r="1376" spans="1:12">
      <c r="A1376" s="20" t="s">
        <v>859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378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415</v>
      </c>
      <c r="B1378" s="27" t="s">
        <v>431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 t="s">
        <v>580</v>
      </c>
      <c r="E1379" s="21">
        <f>IF(D1379="?OLD","!!!","")</f>
        <v/>
      </c>
      <c r="F1379" s="22" t="str">
        <f>IF(OR(E1379="",E1379="!!!"),"",IF(NOT(ISNA(VLOOKUP(E1379,E$1:E1378,1,FALSE()))),"OLD",IF(AND(E1379&lt;&gt;"",E1379&lt;&gt;"!!!"),"NEW","")))</f>
        <v> </v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4" t="str">
        <f>IF(J1379&lt;&gt;1,"",IF(I1379="SBJ","CB","?"))</f>
        <v> </v>
      </c>
      <c r="I1379" s="25" t="str">
        <f>IF(OR(E1379="",E1379="!!!",F1379="NEW"),"",INDEX(B1378:B$2,-1+SUMPRODUCT(MAX(ROW(E1378:E$2)*(E1379=E1378:E$2)))))</f>
        <v> </v>
      </c>
      <c r="J1379" s="25" t="str">
        <f>IF(OR(E1379="",E1379="!!!",F1379="NEW"),"",COUNTBLANK(OFFSET(A$1,,,SUMPRODUCT(MAX(ROW(E$2:E1379)*(E1379=E$2:E1379)))))-COUNTBLANK(OFFSET(A$1,,,SUMPRODUCT(MAX(ROW(E$1:E1378)*(E2=E$1:E1378))))))</f>
        <v> </v>
      </c>
      <c r="K1379" s="25" t="str">
        <f>IF(OR(E1379="",E1379="!!!",F1379="NEW"),"",INDEX(J$1:J1378,SUMPRODUCT(MAX(ROW(E$1:E1378)*(E1379=E$1:E1378)))))</f>
        <v> </v>
      </c>
      <c r="L1379" s="26"/>
    </row>
    <row r="1380" spans="1:12">
      <c r="A1380" s="20" t="s">
        <v>895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 t="s">
        <v>378</v>
      </c>
      <c r="E1381" s="21">
        <f>IF(D1381="?OLD","!!!","")</f>
        <v/>
      </c>
      <c r="F1381" s="22" t="str">
        <f>IF(OR(E1381="",E1381="!!!"),"",IF(NOT(ISNA(VLOOKUP(E1381,E$1:E1380,1,FALSE()))),"OLD",IF(AND(E1381&lt;&gt;"",E1381&lt;&gt;"!!!"),"NEW","")))</f>
        <v> </v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4" t="str">
        <f>IF(J1381&lt;&gt;1,"",IF(I1381="SBJ","CB","?"))</f>
        <v> </v>
      </c>
      <c r="I1381" s="25" t="str">
        <f>IF(OR(E1381="",E1381="!!!",F1381="NEW"),"",INDEX(B1380:B$2,-1+SUMPRODUCT(MAX(ROW(E1380:E$2)*(E1381=E1380:E$2)))))</f>
        <v> </v>
      </c>
      <c r="J1381" s="25" t="str">
        <f>IF(OR(E1381="",E1381="!!!",F1381="NEW"),"",COUNTBLANK(OFFSET(A$1,,,SUMPRODUCT(MAX(ROW(E$2:E1381)*(E1381=E$2:E1381)))))-COUNTBLANK(OFFSET(A$1,,,SUMPRODUCT(MAX(ROW(E$1:E1380)*(E2=E$1:E1380))))))</f>
        <v> </v>
      </c>
      <c r="K1381" s="25" t="str">
        <f>IF(OR(E1381="",E1381="!!!",F1381="NEW"),"",INDEX(J$1:J1380,SUMPRODUCT(MAX(ROW(E$1:E1380)*(E1381=E$1:E1380)))))</f>
        <v> </v>
      </c>
      <c r="L1381" s="26"/>
    </row>
    <row r="1382" spans="1:12">
      <c r="A1382" s="20" t="s">
        <v>860</v>
      </c>
      <c r="E1382" s="21">
        <f>IF(D1382="?OLD","!!!","")</f>
        <v/>
      </c>
      <c r="F1382" s="22" t="str">
        <f>IF(OR(E1382="",E1382="!!!"),"",IF(NOT(ISNA(VLOOKUP(E1382,E$1:E1381,1,FALSE()))),"OLD",IF(AND(E1382&lt;&gt;"",E1382&lt;&gt;"!!!"),"NEW","")))</f>
        <v> </v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4" t="str">
        <f>IF(J1382&lt;&gt;1,"",IF(I1382="SBJ","CB","?"))</f>
        <v> </v>
      </c>
      <c r="I1382" s="25" t="str">
        <f>IF(OR(E1382="",E1382="!!!",F1382="NEW"),"",INDEX(B1381:B$2,-1+SUMPRODUCT(MAX(ROW(E1381:E$2)*(E1382=E1381:E$2)))))</f>
        <v> </v>
      </c>
      <c r="J1382" s="25" t="str">
        <f>IF(OR(E1382="",E1382="!!!",F1382="NEW"),"",COUNTBLANK(OFFSET(A$1,,,SUMPRODUCT(MAX(ROW(E$2:E1382)*(E1382=E$2:E1382)))))-COUNTBLANK(OFFSET(A$1,,,SUMPRODUCT(MAX(ROW(E$1:E1381)*(E2=E$1:E1381))))))</f>
        <v> </v>
      </c>
      <c r="K1382" s="25" t="str">
        <f>IF(OR(E1382="",E1382="!!!",F1382="NEW"),"",INDEX(J$1:J1381,SUMPRODUCT(MAX(ROW(E$1:E1381)*(E1382=E$1:E1381)))))</f>
        <v> </v>
      </c>
      <c r="L1382" s="26"/>
    </row>
    <row r="1383" spans="1:12">
      <c r="A1383" s="20" t="s">
        <v>896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 t="s">
        <v>274</v>
      </c>
      <c r="E1384" s="21">
        <f>IF(D1384="?OLD","!!!","")</f>
        <v/>
      </c>
      <c r="F1384" s="22" t="str">
        <f>IF(OR(E1384="",E1384="!!!"),"",IF(NOT(ISNA(VLOOKUP(E1384,E$1:E1383,1,FALSE()))),"OLD",IF(AND(E1384&lt;&gt;"",E1384&lt;&gt;"!!!"),"NEW","")))</f>
        <v> </v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4" t="str">
        <f>IF(J1384&lt;&gt;1,"",IF(I1384="SBJ","CB","?"))</f>
        <v> </v>
      </c>
      <c r="I1384" s="25" t="str">
        <f>IF(OR(E1384="",E1384="!!!",F1384="NEW"),"",INDEX(B1383:B$2,-1+SUMPRODUCT(MAX(ROW(E1383:E$2)*(E1384=E1383:E$2)))))</f>
        <v> </v>
      </c>
      <c r="J1384" s="25" t="str">
        <f>IF(OR(E1384="",E1384="!!!",F1384="NEW"),"",COUNTBLANK(OFFSET(A$1,,,SUMPRODUCT(MAX(ROW(E$2:E1384)*(E1384=E$2:E1384)))))-COUNTBLANK(OFFSET(A$1,,,SUMPRODUCT(MAX(ROW(E$1:E1383)*(E2=E$1:E1383))))))</f>
        <v> </v>
      </c>
      <c r="K1384" s="25" t="str">
        <f>IF(OR(E1384="",E1384="!!!",F1384="NEW"),"",INDEX(J$1:J1383,SUMPRODUCT(MAX(ROW(E$1:E1383)*(E1384=E$1:E1383)))))</f>
        <v> </v>
      </c>
      <c r="L1384" s="26"/>
    </row>
    <row r="1385" spans="1:12">
      <c r="A1385" s="20" t="s">
        <v>897</v>
      </c>
      <c r="B1385" s="27" t="s">
        <v>455</v>
      </c>
      <c r="C1385" s="27" t="s">
        <v>402</v>
      </c>
      <c r="D1385" s="27" t="s">
        <v>384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 t="s">
        <v>898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 t="s">
        <v>403</v>
      </c>
      <c r="E1387" s="21">
        <f>IF(D1387="?OLD","!!!","")</f>
        <v/>
      </c>
      <c r="F1387" s="22" t="str">
        <f>IF(OR(E1387="",E1387="!!!"),"",IF(NOT(ISNA(VLOOKUP(E1387,E$1:E1386,1,FALSE()))),"OLD",IF(AND(E1387&lt;&gt;"",E1387&lt;&gt;"!!!"),"NEW","")))</f>
        <v> </v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4" t="str">
        <f>IF(J1387&lt;&gt;1,"",IF(I1387="SBJ","CB","?"))</f>
        <v> </v>
      </c>
      <c r="I1387" s="25" t="str">
        <f>IF(OR(E1387="",E1387="!!!",F1387="NEW"),"",INDEX(B1386:B$2,-1+SUMPRODUCT(MAX(ROW(E1386:E$2)*(E1387=E1386:E$2)))))</f>
        <v> </v>
      </c>
      <c r="J1387" s="25" t="str">
        <f>IF(OR(E1387="",E1387="!!!",F1387="NEW"),"",COUNTBLANK(OFFSET(A$1,,,SUMPRODUCT(MAX(ROW(E$2:E1387)*(E1387=E$2:E1387)))))-COUNTBLANK(OFFSET(A$1,,,SUMPRODUCT(MAX(ROW(E$1:E1386)*(E2=E$1:E1386))))))</f>
        <v> </v>
      </c>
      <c r="K1387" s="25" t="str">
        <f>IF(OR(E1387="",E1387="!!!",F1387="NEW"),"",INDEX(J$1:J1386,SUMPRODUCT(MAX(ROW(E$1:E1386)*(E1387=E$1:E1386)))))</f>
        <v> </v>
      </c>
      <c r="L1387" s="26"/>
    </row>
    <row r="1388" spans="1:12">
      <c r="A1388" s="20"/>
    </row>
    <row r="1389" spans="1:12">
      <c r="A1389" s="20" t="s">
        <v>410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899</v>
      </c>
    </row>
    <row r="1391" spans="1:12">
      <c r="A1391" s="20" t="s">
        <v>645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390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 t="s">
        <v>900</v>
      </c>
      <c r="B1393" s="27" t="s">
        <v>382</v>
      </c>
      <c r="C1393" s="27" t="s">
        <v>429</v>
      </c>
      <c r="E1393" s="21">
        <f>IF(D1393="?OLD","!!!","")</f>
        <v/>
      </c>
      <c r="F1393" s="22" t="str">
        <f>IF(OR(E1393="",E1393="!!!"),"",IF(NOT(ISNA(VLOOKUP(E1393,E$1:E1392,1,FALSE()))),"OLD",IF(AND(E1393&lt;&gt;"",E1393&lt;&gt;"!!!"),"NEW","")))</f>
        <v> </v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4" t="str">
        <f>IF(J1393&lt;&gt;1,"",IF(I1393="SBJ","CB","?"))</f>
        <v> </v>
      </c>
      <c r="I1393" s="25" t="str">
        <f>IF(OR(E1393="",E1393="!!!",F1393="NEW"),"",INDEX(B1392:B$2,-1+SUMPRODUCT(MAX(ROW(E1392:E$2)*(E1393=E1392:E$2)))))</f>
        <v> </v>
      </c>
      <c r="J1393" s="25" t="str">
        <f>IF(OR(E1393="",E1393="!!!",F1393="NEW"),"",COUNTBLANK(OFFSET(A$1,,,SUMPRODUCT(MAX(ROW(E$2:E1393)*(E1393=E$2:E1393)))))-COUNTBLANK(OFFSET(A$1,,,SUMPRODUCT(MAX(ROW(E$1:E1392)*(E2=E$1:E1392))))))</f>
        <v> </v>
      </c>
      <c r="K1393" s="25" t="str">
        <f>IF(OR(E1393="",E1393="!!!",F1393="NEW"),"",INDEX(J$1:J1392,SUMPRODUCT(MAX(ROW(E$1:E1392)*(E1393=E$1:E1392)))))</f>
        <v> </v>
      </c>
      <c r="L1393" s="26"/>
    </row>
    <row r="1394" spans="1:12">
      <c r="A1394" s="20" t="s">
        <v>901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 t="s">
        <v>860</v>
      </c>
      <c r="E1395" s="21">
        <f>IF(D1395="?OLD","!!!","")</f>
        <v/>
      </c>
      <c r="F1395" s="22" t="str">
        <f>IF(OR(E1395="",E1395="!!!"),"",IF(NOT(ISNA(VLOOKUP(E1395,E$1:E1394,1,FALSE()))),"OLD",IF(AND(E1395&lt;&gt;"",E1395&lt;&gt;"!!!"),"NEW","")))</f>
        <v> </v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4" t="str">
        <f>IF(J1395&lt;&gt;1,"",IF(I1395="SBJ","CB","?"))</f>
        <v> </v>
      </c>
      <c r="I1395" s="25" t="str">
        <f>IF(OR(E1395="",E1395="!!!",F1395="NEW"),"",INDEX(B1394:B$2,-1+SUMPRODUCT(MAX(ROW(E1394:E$2)*(E1395=E1394:E$2)))))</f>
        <v> </v>
      </c>
      <c r="J1395" s="25" t="str">
        <f>IF(OR(E1395="",E1395="!!!",F1395="NEW"),"",COUNTBLANK(OFFSET(A$1,,,SUMPRODUCT(MAX(ROW(E$2:E1395)*(E1395=E$2:E1395)))))-COUNTBLANK(OFFSET(A$1,,,SUMPRODUCT(MAX(ROW(E$1:E1394)*(E2=E$1:E1394))))))</f>
        <v> </v>
      </c>
      <c r="K1395" s="25" t="str">
        <f>IF(OR(E1395="",E1395="!!!",F1395="NEW"),"",INDEX(J$1:J1394,SUMPRODUCT(MAX(ROW(E$1:E1394)*(E1395=E$1:E1394)))))</f>
        <v> </v>
      </c>
      <c r="L1395" s="26"/>
    </row>
    <row r="1396" spans="1:12">
      <c r="A1396" s="20" t="s">
        <v>902</v>
      </c>
      <c r="E1396" s="21">
        <f>IF(D1396="?OLD","!!!","")</f>
        <v/>
      </c>
      <c r="F1396" s="22" t="str">
        <f>IF(OR(E1396="",E1396="!!!"),"",IF(NOT(ISNA(VLOOKUP(E1396,E$1:E1395,1,FALSE()))),"OLD",IF(AND(E1396&lt;&gt;"",E1396&lt;&gt;"!!!"),"NEW","")))</f>
        <v> </v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4" t="str">
        <f>IF(J1396&lt;&gt;1,"",IF(I1396="SBJ","CB","?"))</f>
        <v> </v>
      </c>
      <c r="I1396" s="25" t="str">
        <f>IF(OR(E1396="",E1396="!!!",F1396="NEW"),"",INDEX(B1395:B$2,-1+SUMPRODUCT(MAX(ROW(E1395:E$2)*(E1396=E1395:E$2)))))</f>
        <v> </v>
      </c>
      <c r="J1396" s="25" t="str">
        <f>IF(OR(E1396="",E1396="!!!",F1396="NEW"),"",COUNTBLANK(OFFSET(A$1,,,SUMPRODUCT(MAX(ROW(E$2:E1396)*(E1396=E$2:E1396)))))-COUNTBLANK(OFFSET(A$1,,,SUMPRODUCT(MAX(ROW(E$1:E1395)*(E2=E$1:E1395))))))</f>
        <v> </v>
      </c>
      <c r="K1396" s="25" t="str">
        <f>IF(OR(E1396="",E1396="!!!",F1396="NEW"),"",INDEX(J$1:J1395,SUMPRODUCT(MAX(ROW(E$1:E1395)*(E1396=E$1:E1395)))))</f>
        <v> </v>
      </c>
      <c r="L1396" s="26"/>
    </row>
    <row r="1397" spans="1:12">
      <c r="A1397" s="20" t="s">
        <v>517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22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578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 t="s">
        <v>398</v>
      </c>
      <c r="E1400" s="21">
        <f>IF(D1400="?OLD","!!!","")</f>
        <v/>
      </c>
      <c r="F1400" s="22" t="str">
        <f>IF(OR(E1400="",E1400="!!!"),"",IF(NOT(ISNA(VLOOKUP(E1400,E$1:E1399,1,FALSE()))),"OLD",IF(AND(E1400&lt;&gt;"",E1400&lt;&gt;"!!!"),"NEW","")))</f>
        <v> </v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4" t="str">
        <f>IF(J1400&lt;&gt;1,"",IF(I1400="SBJ","CB","?"))</f>
        <v> </v>
      </c>
      <c r="I1400" s="25" t="str">
        <f>IF(OR(E1400="",E1400="!!!",F1400="NEW"),"",INDEX(B1399:B$2,-1+SUMPRODUCT(MAX(ROW(E1399:E$2)*(E1400=E1399:E$2)))))</f>
        <v> </v>
      </c>
      <c r="J1400" s="25" t="str">
        <f>IF(OR(E1400="",E1400="!!!",F1400="NEW"),"",COUNTBLANK(OFFSET(A$1,,,SUMPRODUCT(MAX(ROW(E$2:E1400)*(E1400=E$2:E1400)))))-COUNTBLANK(OFFSET(A$1,,,SUMPRODUCT(MAX(ROW(E$1:E1399)*(E2=E$1:E1399))))))</f>
        <v> </v>
      </c>
      <c r="K1400" s="25" t="str">
        <f>IF(OR(E1400="",E1400="!!!",F1400="NEW"),"",INDEX(J$1:J1399,SUMPRODUCT(MAX(ROW(E$1:E1399)*(E1400=E$1:E1399)))))</f>
        <v> </v>
      </c>
      <c r="L1400" s="26"/>
    </row>
    <row r="1401" spans="1:12">
      <c r="A1401" s="20" t="s">
        <v>903</v>
      </c>
      <c r="B1401" s="27" t="s">
        <v>399</v>
      </c>
      <c r="C1401" s="27" t="s">
        <v>402</v>
      </c>
      <c r="D1401" s="27" t="s">
        <v>384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 t="s">
        <v>398</v>
      </c>
      <c r="E1402" s="21">
        <f>IF(D1402="?OLD","!!!","")</f>
        <v/>
      </c>
      <c r="F1402" s="22" t="str">
        <f>IF(OR(E1402="",E1402="!!!"),"",IF(NOT(ISNA(VLOOKUP(E1402,E$1:E1401,1,FALSE()))),"OLD",IF(AND(E1402&lt;&gt;"",E1402&lt;&gt;"!!!"),"NEW","")))</f>
        <v> </v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4" t="str">
        <f>IF(J1402&lt;&gt;1,"",IF(I1402="SBJ","CB","?"))</f>
        <v> </v>
      </c>
      <c r="I1402" s="25" t="str">
        <f>IF(OR(E1402="",E1402="!!!",F1402="NEW"),"",INDEX(B1401:B$2,-1+SUMPRODUCT(MAX(ROW(E1401:E$2)*(E1402=E1401:E$2)))))</f>
        <v> </v>
      </c>
      <c r="J1402" s="25" t="str">
        <f>IF(OR(E1402="",E1402="!!!",F1402="NEW"),"",COUNTBLANK(OFFSET(A$1,,,SUMPRODUCT(MAX(ROW(E$2:E1402)*(E1402=E$2:E1402)))))-COUNTBLANK(OFFSET(A$1,,,SUMPRODUCT(MAX(ROW(E$1:E1401)*(E2=E$1:E1401))))))</f>
        <v> </v>
      </c>
      <c r="K1402" s="25" t="str">
        <f>IF(OR(E1402="",E1402="!!!",F1402="NEW"),"",INDEX(J$1:J1401,SUMPRODUCT(MAX(ROW(E$1:E1401)*(E1402=E$1:E1401)))))</f>
        <v> </v>
      </c>
      <c r="L1402" s="26"/>
    </row>
    <row r="1403" spans="1:12">
      <c r="A1403" s="20" t="s">
        <v>403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/>
    </row>
    <row r="1405" spans="1:12">
      <c r="A1405" s="20" t="s">
        <v>904</v>
      </c>
    </row>
    <row r="1406" spans="1:12">
      <c r="A1406" s="20" t="s">
        <v>373</v>
      </c>
      <c r="E1406" s="21">
        <f>IF(D1406="?OLD","!!!","")</f>
        <v/>
      </c>
      <c r="F1406" s="22" t="str">
        <f>IF(OR(E1406="",E1406="!!!"),"",IF(NOT(ISNA(VLOOKUP(E1406,E$1:E1405,1,FALSE()))),"OLD",IF(AND(E1406&lt;&gt;"",E1406&lt;&gt;"!!!"),"NEW","")))</f>
        <v> </v>
      </c>
      <c r="G1406" s="23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4" t="str">
        <f>IF(J1406&lt;&gt;1,"",IF(I1406="SBJ","CB","?"))</f>
        <v> </v>
      </c>
      <c r="I1406" s="25" t="str">
        <f>IF(OR(E1406="",E1406="!!!",F1406="NEW"),"",INDEX(B1405:B$2,-1+SUMPRODUCT(MAX(ROW(E1405:E$2)*(E1406=E1405:E$2)))))</f>
        <v> </v>
      </c>
      <c r="J1406" s="25" t="str">
        <f>IF(OR(E1406="",E1406="!!!",F1406="NEW"),"",COUNTBLANK(OFFSET(A$1,,,SUMPRODUCT(MAX(ROW(E$2:E1406)*(E1406=E$2:E1406)))))-COUNTBLANK(OFFSET(A$1,,,SUMPRODUCT(MAX(ROW(E$1:E1405)*(E2=E$1:E1405))))))</f>
        <v> </v>
      </c>
      <c r="K1406" s="25" t="str">
        <f>IF(OR(E1406="",E1406="!!!",F1406="NEW"),"",INDEX(J$1:J1405,SUMPRODUCT(MAX(ROW(E$1:E1405)*(E1406=E$1:E1405)))))</f>
        <v> </v>
      </c>
      <c r="L1406" s="26"/>
    </row>
    <row r="1407" spans="1:12">
      <c r="A1407" s="20" t="s">
        <v>905</v>
      </c>
      <c r="B1407" s="27" t="s">
        <v>392</v>
      </c>
      <c r="C1407" s="27" t="s">
        <v>396</v>
      </c>
      <c r="E1407" s="21">
        <f>IF(D1407="?OLD","!!!","")</f>
        <v/>
      </c>
      <c r="F1407" s="22" t="str">
        <f>IF(OR(E1407="",E1407="!!!"),"",IF(NOT(ISNA(VLOOKUP(E1407,E$1:E1406,1,FALSE()))),"OLD",IF(AND(E1407&lt;&gt;"",E1407&lt;&gt;"!!!"),"NEW","")))</f>
        <v> </v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4" t="str">
        <f>IF(J1407&lt;&gt;1,"",IF(I1407="SBJ","CB","?"))</f>
        <v> </v>
      </c>
      <c r="I1407" s="25" t="str">
        <f>IF(OR(E1407="",E1407="!!!",F1407="NEW"),"",INDEX(B1406:B$2,-1+SUMPRODUCT(MAX(ROW(E1406:E$2)*(E1407=E1406:E$2)))))</f>
        <v> </v>
      </c>
      <c r="J1407" s="25" t="str">
        <f>IF(OR(E1407="",E1407="!!!",F1407="NEW"),"",COUNTBLANK(OFFSET(A$1,,,SUMPRODUCT(MAX(ROW(E$2:E1407)*(E1407=E$2:E1407)))))-COUNTBLANK(OFFSET(A$1,,,SUMPRODUCT(MAX(ROW(E$1:E1406)*(E2=E$1:E1406))))))</f>
        <v> </v>
      </c>
      <c r="K1407" s="25" t="str">
        <f>IF(OR(E1407="",E1407="!!!",F1407="NEW"),"",INDEX(J$1:J1406,SUMPRODUCT(MAX(ROW(E$1:E1406)*(E1407=E$1:E1406)))))</f>
        <v> </v>
      </c>
      <c r="L1407" s="26"/>
    </row>
    <row r="1408" spans="1:12">
      <c r="A1408" s="20" t="s">
        <v>906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511</v>
      </c>
      <c r="E1409" s="21">
        <f>IF(D1409="?OLD","!!!","")</f>
        <v/>
      </c>
      <c r="F1409" s="22" t="str">
        <f>IF(OR(E1409="",E1409="!!!"),"",IF(NOT(ISNA(VLOOKUP(E1409,E$1:E1408,1,FALSE()))),"OLD",IF(AND(E1409&lt;&gt;"",E1409&lt;&gt;"!!!"),"NEW","")))</f>
        <v> </v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4" t="str">
        <f>IF(J1409&lt;&gt;1,"",IF(I1409="SBJ","CB","?"))</f>
        <v> </v>
      </c>
      <c r="I1409" s="25" t="str">
        <f>IF(OR(E1409="",E1409="!!!",F1409="NEW"),"",INDEX(B1408:B$2,-1+SUMPRODUCT(MAX(ROW(E1408:E$2)*(E1409=E1408:E$2)))))</f>
        <v> </v>
      </c>
      <c r="J1409" s="25" t="str">
        <f>IF(OR(E1409="",E1409="!!!",F1409="NEW"),"",COUNTBLANK(OFFSET(A$1,,,SUMPRODUCT(MAX(ROW(E$2:E1409)*(E1409=E$2:E1409)))))-COUNTBLANK(OFFSET(A$1,,,SUMPRODUCT(MAX(ROW(E$1:E1408)*(E2=E$1:E1408))))))</f>
        <v> </v>
      </c>
      <c r="K1409" s="25" t="str">
        <f>IF(OR(E1409="",E1409="!!!",F1409="NEW"),"",INDEX(J$1:J1408,SUMPRODUCT(MAX(ROW(E$1:E1408)*(E1409=E$1:E1408)))))</f>
        <v> </v>
      </c>
      <c r="L1409" s="26"/>
    </row>
    <row r="1410" spans="1:12">
      <c r="A1410" s="20" t="s">
        <v>721</v>
      </c>
      <c r="B1410" s="27" t="s">
        <v>382</v>
      </c>
      <c r="C1410" s="27" t="s">
        <v>472</v>
      </c>
      <c r="D1410" s="27" t="s">
        <v>384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403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/>
    </row>
    <row r="1413" spans="1:12">
      <c r="A1413" s="20" t="s">
        <v>907</v>
      </c>
    </row>
    <row r="1414" spans="1:12">
      <c r="A1414" s="20" t="s">
        <v>373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 t="s">
        <v>908</v>
      </c>
      <c r="B1415" s="27" t="s">
        <v>376</v>
      </c>
      <c r="C1415" s="27" t="s">
        <v>393</v>
      </c>
      <c r="D1415" s="27" t="s">
        <v>384</v>
      </c>
      <c r="E1415" s="21">
        <f>IF(D1415="?OLD","!!!","")</f>
        <v/>
      </c>
      <c r="F1415" s="22" t="str">
        <f>IF(OR(E1415="",E1415="!!!"),"",IF(NOT(ISNA(VLOOKUP(E1415,E$1:E1414,1,FALSE()))),"OLD",IF(AND(E1415&lt;&gt;"",E1415&lt;&gt;"!!!"),"NEW","")))</f>
        <v> </v>
      </c>
      <c r="G1415" s="23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4" t="str">
        <f>IF(J1415&lt;&gt;1,"",IF(I1415="SBJ","CB","?"))</f>
        <v> </v>
      </c>
      <c r="I1415" s="25" t="str">
        <f>IF(OR(E1415="",E1415="!!!",F1415="NEW"),"",INDEX(B1414:B$2,-1+SUMPRODUCT(MAX(ROW(E1414:E$2)*(E1415=E1414:E$2)))))</f>
        <v> </v>
      </c>
      <c r="J1415" s="25" t="str">
        <f>IF(OR(E1415="",E1415="!!!",F1415="NEW"),"",COUNTBLANK(OFFSET(A$1,,,SUMPRODUCT(MAX(ROW(E$2:E1415)*(E1415=E$2:E1415)))))-COUNTBLANK(OFFSET(A$1,,,SUMPRODUCT(MAX(ROW(E$1:E1414)*(E2=E$1:E1414))))))</f>
        <v> </v>
      </c>
      <c r="K1415" s="25" t="str">
        <f>IF(OR(E1415="",E1415="!!!",F1415="NEW"),"",INDEX(J$1:J1414,SUMPRODUCT(MAX(ROW(E$1:E1414)*(E1415=E$1:E1414)))))</f>
        <v> </v>
      </c>
      <c r="L1415" s="26"/>
    </row>
    <row r="1416" spans="1:12">
      <c r="A1416" s="20" t="s">
        <v>909</v>
      </c>
      <c r="E1416" s="21">
        <f>IF(D1416="?OLD","!!!","")</f>
        <v/>
      </c>
      <c r="F1416" s="22" t="str">
        <f>IF(OR(E1416="",E1416="!!!"),"",IF(NOT(ISNA(VLOOKUP(E1416,E$1:E1415,1,FALSE()))),"OLD",IF(AND(E1416&lt;&gt;"",E1416&lt;&gt;"!!!"),"NEW","")))</f>
        <v> </v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4" t="str">
        <f>IF(J1416&lt;&gt;1,"",IF(I1416="SBJ","CB","?"))</f>
        <v> </v>
      </c>
      <c r="I1416" s="25" t="str">
        <f>IF(OR(E1416="",E1416="!!!",F1416="NEW"),"",INDEX(B1415:B$2,-1+SUMPRODUCT(MAX(ROW(E1415:E$2)*(E1416=E1415:E$2)))))</f>
        <v> </v>
      </c>
      <c r="J1416" s="25" t="str">
        <f>IF(OR(E1416="",E1416="!!!",F1416="NEW"),"",COUNTBLANK(OFFSET(A$1,,,SUMPRODUCT(MAX(ROW(E$2:E1416)*(E1416=E$2:E1416)))))-COUNTBLANK(OFFSET(A$1,,,SUMPRODUCT(MAX(ROW(E$1:E1415)*(E2=E$1:E1415))))))</f>
        <v> </v>
      </c>
      <c r="K1416" s="25" t="str">
        <f>IF(OR(E1416="",E1416="!!!",F1416="NEW"),"",INDEX(J$1:J1415,SUMPRODUCT(MAX(ROW(E$1:E1415)*(E1416=E$1:E1415)))))</f>
        <v> </v>
      </c>
      <c r="L1416" s="26"/>
    </row>
    <row r="1417" spans="1:12">
      <c r="A1417" s="20" t="s">
        <v>394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 t="s">
        <v>274</v>
      </c>
      <c r="E1418" s="21">
        <f>IF(D1418="?OLD","!!!","")</f>
        <v/>
      </c>
      <c r="F1418" s="22" t="str">
        <f>IF(OR(E1418="",E1418="!!!"),"",IF(NOT(ISNA(VLOOKUP(E1418,E$1:E1417,1,FALSE()))),"OLD",IF(AND(E1418&lt;&gt;"",E1418&lt;&gt;"!!!"),"NEW","")))</f>
        <v> </v>
      </c>
      <c r="G1418" s="23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4" t="str">
        <f>IF(J1418&lt;&gt;1,"",IF(I1418="SBJ","CB","?"))</f>
        <v> </v>
      </c>
      <c r="I1418" s="25" t="str">
        <f>IF(OR(E1418="",E1418="!!!",F1418="NEW"),"",INDEX(B1417:B$2,-1+SUMPRODUCT(MAX(ROW(E1417:E$2)*(E1418=E1417:E$2)))))</f>
        <v> </v>
      </c>
      <c r="J1418" s="25" t="str">
        <f>IF(OR(E1418="",E1418="!!!",F1418="NEW"),"",COUNTBLANK(OFFSET(A$1,,,SUMPRODUCT(MAX(ROW(E$2:E1418)*(E1418=E$2:E1418)))))-COUNTBLANK(OFFSET(A$1,,,SUMPRODUCT(MAX(ROW(E$1:E1417)*(E2=E$1:E1417))))))</f>
        <v> </v>
      </c>
      <c r="K1418" s="25" t="str">
        <f>IF(OR(E1418="",E1418="!!!",F1418="NEW"),"",INDEX(J$1:J1417,SUMPRODUCT(MAX(ROW(E$1:E1417)*(E1418=E$1:E1417)))))</f>
        <v> </v>
      </c>
      <c r="L1418" s="26"/>
    </row>
    <row r="1419" spans="1:12">
      <c r="A1419" s="20" t="s">
        <v>473</v>
      </c>
      <c r="B1419" s="27" t="s">
        <v>422</v>
      </c>
      <c r="C1419" s="27" t="s">
        <v>393</v>
      </c>
      <c r="D1419" s="27" t="s">
        <v>384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474</v>
      </c>
      <c r="E1420" s="21">
        <f>IF(D1420="?OLD","!!!","")</f>
        <v/>
      </c>
      <c r="F1420" s="22" t="str">
        <f>IF(OR(E1420="",E1420="!!!"),"",IF(NOT(ISNA(VLOOKUP(E1420,E$1:E1419,1,FALSE()))),"OLD",IF(AND(E1420&lt;&gt;"",E1420&lt;&gt;"!!!"),"NEW","")))</f>
        <v> </v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4" t="str">
        <f>IF(J1420&lt;&gt;1,"",IF(I1420="SBJ","CB","?"))</f>
        <v> </v>
      </c>
      <c r="I1420" s="25" t="str">
        <f>IF(OR(E1420="",E1420="!!!",F1420="NEW"),"",INDEX(B1419:B$2,-1+SUMPRODUCT(MAX(ROW(E1419:E$2)*(E1420=E1419:E$2)))))</f>
        <v> </v>
      </c>
      <c r="J1420" s="25" t="str">
        <f>IF(OR(E1420="",E1420="!!!",F1420="NEW"),"",COUNTBLANK(OFFSET(A$1,,,SUMPRODUCT(MAX(ROW(E$2:E1420)*(E1420=E$2:E1420)))))-COUNTBLANK(OFFSET(A$1,,,SUMPRODUCT(MAX(ROW(E$1:E1419)*(E2=E$1:E1419))))))</f>
        <v> </v>
      </c>
      <c r="K1420" s="25" t="str">
        <f>IF(OR(E1420="",E1420="!!!",F1420="NEW"),"",INDEX(J$1:J1419,SUMPRODUCT(MAX(ROW(E$1:E1419)*(E1420=E$1:E1419)))))</f>
        <v> </v>
      </c>
      <c r="L1420" s="26"/>
    </row>
    <row r="1421" spans="1:12">
      <c r="A1421" s="20" t="s">
        <v>394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517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443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444</v>
      </c>
      <c r="B1424" s="27" t="s">
        <v>458</v>
      </c>
      <c r="C1424" s="27" t="s">
        <v>402</v>
      </c>
      <c r="D1424" s="27" t="s">
        <v>384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 t="s">
        <v>910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419</v>
      </c>
      <c r="E1426" s="21">
        <f>IF(D1426="?OLD","!!!","")</f>
        <v/>
      </c>
      <c r="F1426" s="22" t="str">
        <f>IF(OR(E1426="",E1426="!!!"),"",IF(NOT(ISNA(VLOOKUP(E1426,E$1:E1425,1,FALSE()))),"OLD",IF(AND(E1426&lt;&gt;"",E1426&lt;&gt;"!!!"),"NEW","")))</f>
        <v> </v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4" t="str">
        <f>IF(J1426&lt;&gt;1,"",IF(I1426="SBJ","CB","?"))</f>
        <v> </v>
      </c>
      <c r="I1426" s="25" t="str">
        <f>IF(OR(E1426="",E1426="!!!",F1426="NEW"),"",INDEX(B1425:B$2,-1+SUMPRODUCT(MAX(ROW(E1425:E$2)*(E1426=E1425:E$2)))))</f>
        <v> </v>
      </c>
      <c r="J1426" s="25" t="str">
        <f>IF(OR(E1426="",E1426="!!!",F1426="NEW"),"",COUNTBLANK(OFFSET(A$1,,,SUMPRODUCT(MAX(ROW(E$2:E1426)*(E1426=E$2:E1426)))))-COUNTBLANK(OFFSET(A$1,,,SUMPRODUCT(MAX(ROW(E$1:E1425)*(E2=E$1:E1425))))))</f>
        <v> </v>
      </c>
      <c r="K1426" s="25" t="str">
        <f>IF(OR(E1426="",E1426="!!!",F1426="NEW"),"",INDEX(J$1:J1425,SUMPRODUCT(MAX(ROW(E$1:E1425)*(E1426=E$1:E1425)))))</f>
        <v> </v>
      </c>
      <c r="L1426" s="26"/>
    </row>
    <row r="1427" spans="1:12">
      <c r="A1427" s="20" t="s">
        <v>911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 t="s">
        <v>274</v>
      </c>
      <c r="E1428" s="21">
        <f>IF(D1428="?OLD","!!!","")</f>
        <v/>
      </c>
      <c r="F1428" s="22" t="str">
        <f>IF(OR(E1428="",E1428="!!!"),"",IF(NOT(ISNA(VLOOKUP(E1428,E$1:E1427,1,FALSE()))),"OLD",IF(AND(E1428&lt;&gt;"",E1428&lt;&gt;"!!!"),"NEW","")))</f>
        <v> </v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4" t="str">
        <f>IF(J1428&lt;&gt;1,"",IF(I1428="SBJ","CB","?"))</f>
        <v> </v>
      </c>
      <c r="I1428" s="25" t="str">
        <f>IF(OR(E1428="",E1428="!!!",F1428="NEW"),"",INDEX(B1427:B$2,-1+SUMPRODUCT(MAX(ROW(E1427:E$2)*(E1428=E1427:E$2)))))</f>
        <v> </v>
      </c>
      <c r="J1428" s="25" t="str">
        <f>IF(OR(E1428="",E1428="!!!",F1428="NEW"),"",COUNTBLANK(OFFSET(A$1,,,SUMPRODUCT(MAX(ROW(E$2:E1428)*(E1428=E$2:E1428)))))-COUNTBLANK(OFFSET(A$1,,,SUMPRODUCT(MAX(ROW(E$1:E1427)*(E2=E$1:E1427))))))</f>
        <v> </v>
      </c>
      <c r="K1428" s="25" t="str">
        <f>IF(OR(E1428="",E1428="!!!",F1428="NEW"),"",INDEX(J$1:J1427,SUMPRODUCT(MAX(ROW(E$1:E1427)*(E1428=E$1:E1427)))))</f>
        <v> </v>
      </c>
      <c r="L1428" s="26"/>
    </row>
    <row r="1429" spans="1:12">
      <c r="A1429" s="20" t="s">
        <v>912</v>
      </c>
      <c r="B1429" s="27" t="s">
        <v>376</v>
      </c>
      <c r="C1429" s="27" t="s">
        <v>402</v>
      </c>
      <c r="D1429" s="27" t="s">
        <v>384</v>
      </c>
      <c r="E1429" s="21">
        <f>IF(D1429="?OLD","!!!","")</f>
        <v/>
      </c>
      <c r="F1429" s="22" t="str">
        <f>IF(OR(E1429="",E1429="!!!"),"",IF(NOT(ISNA(VLOOKUP(E1429,E$1:E1428,1,FALSE()))),"OLD",IF(AND(E1429&lt;&gt;"",E1429&lt;&gt;"!!!"),"NEW","")))</f>
        <v> </v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4" t="str">
        <f>IF(J1429&lt;&gt;1,"",IF(I1429="SBJ","CB","?"))</f>
        <v> </v>
      </c>
      <c r="I1429" s="25" t="str">
        <f>IF(OR(E1429="",E1429="!!!",F1429="NEW"),"",INDEX(B1428:B$2,-1+SUMPRODUCT(MAX(ROW(E1428:E$2)*(E1429=E1428:E$2)))))</f>
        <v> </v>
      </c>
      <c r="J1429" s="25" t="str">
        <f>IF(OR(E1429="",E1429="!!!",F1429="NEW"),"",COUNTBLANK(OFFSET(A$1,,,SUMPRODUCT(MAX(ROW(E$2:E1429)*(E1429=E$2:E1429)))))-COUNTBLANK(OFFSET(A$1,,,SUMPRODUCT(MAX(ROW(E$1:E1428)*(E2=E$1:E1428))))))</f>
        <v> </v>
      </c>
      <c r="K1429" s="25" t="str">
        <f>IF(OR(E1429="",E1429="!!!",F1429="NEW"),"",INDEX(J$1:J1428,SUMPRODUCT(MAX(ROW(E$1:E1428)*(E1429=E$1:E1428)))))</f>
        <v> </v>
      </c>
      <c r="L1429" s="26"/>
    </row>
    <row r="1430" spans="1:12">
      <c r="A1430" s="20" t="s">
        <v>403</v>
      </c>
      <c r="E1430" s="21">
        <f>IF(D1430="?OLD","!!!","")</f>
        <v/>
      </c>
      <c r="F1430" s="22" t="str">
        <f>IF(OR(E1430="",E1430="!!!"),"",IF(NOT(ISNA(VLOOKUP(E1430,E$1:E1429,1,FALSE()))),"OLD",IF(AND(E1430&lt;&gt;"",E1430&lt;&gt;"!!!"),"NEW","")))</f>
        <v> </v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4" t="str">
        <f>IF(J1430&lt;&gt;1,"",IF(I1430="SBJ","CB","?"))</f>
        <v> </v>
      </c>
      <c r="I1430" s="25" t="str">
        <f>IF(OR(E1430="",E1430="!!!",F1430="NEW"),"",INDEX(B1429:B$2,-1+SUMPRODUCT(MAX(ROW(E1429:E$2)*(E1430=E1429:E$2)))))</f>
        <v> </v>
      </c>
      <c r="J1430" s="25" t="str">
        <f>IF(OR(E1430="",E1430="!!!",F1430="NEW"),"",COUNTBLANK(OFFSET(A$1,,,SUMPRODUCT(MAX(ROW(E$2:E1430)*(E1430=E$2:E1430)))))-COUNTBLANK(OFFSET(A$1,,,SUMPRODUCT(MAX(ROW(E$1:E1429)*(E2=E$1:E1429))))))</f>
        <v> </v>
      </c>
      <c r="K1430" s="25" t="str">
        <f>IF(OR(E1430="",E1430="!!!",F1430="NEW"),"",INDEX(J$1:J1429,SUMPRODUCT(MAX(ROW(E$1:E1429)*(E1430=E$1:E1429)))))</f>
        <v> </v>
      </c>
      <c r="L1430" s="26"/>
    </row>
    <row r="1431" spans="1:12">
      <c r="A1431" s="20"/>
    </row>
    <row r="1432" spans="1:12">
      <c r="A1432" s="20" t="s">
        <v>913</v>
      </c>
    </row>
    <row r="1433" spans="1:12">
      <c r="A1433" s="20" t="s">
        <v>914</v>
      </c>
      <c r="E1433" s="21">
        <f>IF(D1433="?OLD","!!!","")</f>
        <v/>
      </c>
      <c r="F1433" s="22" t="str">
        <f>IF(OR(E1433="",E1433="!!!"),"",IF(NOT(ISNA(VLOOKUP(E1433,E$1:E1432,1,FALSE()))),"OLD",IF(AND(E1433&lt;&gt;"",E1433&lt;&gt;"!!!"),"NEW","")))</f>
        <v> </v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4" t="str">
        <f>IF(J1433&lt;&gt;1,"",IF(I1433="SBJ","CB","?"))</f>
        <v> </v>
      </c>
      <c r="I1433" s="25" t="str">
        <f>IF(OR(E1433="",E1433="!!!",F1433="NEW"),"",INDEX(B1432:B$2,-1+SUMPRODUCT(MAX(ROW(E1432:E$2)*(E1433=E1432:E$2)))))</f>
        <v> </v>
      </c>
      <c r="J1433" s="25" t="str">
        <f>IF(OR(E1433="",E1433="!!!",F1433="NEW"),"",COUNTBLANK(OFFSET(A$1,,,SUMPRODUCT(MAX(ROW(E$2:E1433)*(E1433=E$2:E1433)))))-COUNTBLANK(OFFSET(A$1,,,SUMPRODUCT(MAX(ROW(E$1:E1432)*(E2=E$1:E1432))))))</f>
        <v> </v>
      </c>
      <c r="K1433" s="25" t="str">
        <f>IF(OR(E1433="",E1433="!!!",F1433="NEW"),"",INDEX(J$1:J1432,SUMPRODUCT(MAX(ROW(E$1:E1432)*(E1433=E$1:E1432)))))</f>
        <v> </v>
      </c>
      <c r="L1433" s="26"/>
    </row>
    <row r="1434" spans="1:12">
      <c r="A1434" s="20" t="s">
        <v>580</v>
      </c>
      <c r="E1434" s="21">
        <f>IF(D1434="?OLD","!!!","")</f>
        <v/>
      </c>
      <c r="F1434" s="22" t="str">
        <f>IF(OR(E1434="",E1434="!!!"),"",IF(NOT(ISNA(VLOOKUP(E1434,E$1:E1433,1,FALSE()))),"OLD",IF(AND(E1434&lt;&gt;"",E1434&lt;&gt;"!!!"),"NEW","")))</f>
        <v> 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4" t="str">
        <f>IF(J1434&lt;&gt;1,"",IF(I1434="SBJ","CB","?"))</f>
        <v> </v>
      </c>
      <c r="I1434" s="25" t="str">
        <f>IF(OR(E1434="",E1434="!!!",F1434="NEW"),"",INDEX(B1433:B$2,-1+SUMPRODUCT(MAX(ROW(E1433:E$2)*(E1434=E1433:E$2)))))</f>
        <v> </v>
      </c>
      <c r="J1434" s="25" t="str">
        <f>IF(OR(E1434="",E1434="!!!",F1434="NEW"),"",COUNTBLANK(OFFSET(A$1,,,SUMPRODUCT(MAX(ROW(E$2:E1434)*(E1434=E$2:E1434)))))-COUNTBLANK(OFFSET(A$1,,,SUMPRODUCT(MAX(ROW(E$1:E1433)*(E2=E$1:E1433))))))</f>
        <v> </v>
      </c>
      <c r="K1434" s="25" t="str">
        <f>IF(OR(E1434="",E1434="!!!",F1434="NEW"),"",INDEX(J$1:J1433,SUMPRODUCT(MAX(ROW(E$1:E1433)*(E1434=E$1:E1433)))))</f>
        <v> </v>
      </c>
      <c r="L1434" s="26"/>
    </row>
    <row r="1435" spans="1:12">
      <c r="A1435" s="20" t="s">
        <v>915</v>
      </c>
      <c r="E1435" s="21">
        <f>IF(D1435="?OLD","!!!","")</f>
        <v/>
      </c>
      <c r="F1435" s="22" t="str">
        <f>IF(OR(E1435="",E1435="!!!"),"",IF(NOT(ISNA(VLOOKUP(E1435,E$1:E1434,1,FALSE()))),"OLD",IF(AND(E1435&lt;&gt;"",E1435&lt;&gt;"!!!"),"NEW","")))</f>
        <v> </v>
      </c>
      <c r="G1435" s="23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4" t="str">
        <f>IF(J1435&lt;&gt;1,"",IF(I1435="SBJ","CB","?"))</f>
        <v> </v>
      </c>
      <c r="I1435" s="25" t="str">
        <f>IF(OR(E1435="",E1435="!!!",F1435="NEW"),"",INDEX(B1434:B$2,-1+SUMPRODUCT(MAX(ROW(E1434:E$2)*(E1435=E1434:E$2)))))</f>
        <v> </v>
      </c>
      <c r="J1435" s="25" t="str">
        <f>IF(OR(E1435="",E1435="!!!",F1435="NEW"),"",COUNTBLANK(OFFSET(A$1,,,SUMPRODUCT(MAX(ROW(E$2:E1435)*(E1435=E$2:E1435)))))-COUNTBLANK(OFFSET(A$1,,,SUMPRODUCT(MAX(ROW(E$1:E1434)*(E2=E$1:E1434))))))</f>
        <v> </v>
      </c>
      <c r="K1435" s="25" t="str">
        <f>IF(OR(E1435="",E1435="!!!",F1435="NEW"),"",INDEX(J$1:J1434,SUMPRODUCT(MAX(ROW(E$1:E1434)*(E1435=E$1:E1434)))))</f>
        <v> </v>
      </c>
      <c r="L1435" s="26"/>
    </row>
    <row r="1436" spans="1:12">
      <c r="A1436" s="20" t="s">
        <v>916</v>
      </c>
      <c r="E1436" s="21">
        <f>IF(D1436="?OLD","!!!","")</f>
        <v/>
      </c>
      <c r="F1436" s="22" t="str">
        <f>IF(OR(E1436="",E1436="!!!"),"",IF(NOT(ISNA(VLOOKUP(E1436,E$1:E1435,1,FALSE()))),"OLD",IF(AND(E1436&lt;&gt;"",E1436&lt;&gt;"!!!"),"NEW","")))</f>
        <v> </v>
      </c>
      <c r="G1436" s="23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4" t="str">
        <f>IF(J1436&lt;&gt;1,"",IF(I1436="SBJ","CB","?"))</f>
        <v> </v>
      </c>
      <c r="I1436" s="25" t="str">
        <f>IF(OR(E1436="",E1436="!!!",F1436="NEW"),"",INDEX(B1435:B$2,-1+SUMPRODUCT(MAX(ROW(E1435:E$2)*(E1436=E1435:E$2)))))</f>
        <v> </v>
      </c>
      <c r="J1436" s="25" t="str">
        <f>IF(OR(E1436="",E1436="!!!",F1436="NEW"),"",COUNTBLANK(OFFSET(A$1,,,SUMPRODUCT(MAX(ROW(E$2:E1436)*(E1436=E$2:E1436)))))-COUNTBLANK(OFFSET(A$1,,,SUMPRODUCT(MAX(ROW(E$1:E1435)*(E2=E$1:E1435))))))</f>
        <v> </v>
      </c>
      <c r="K1436" s="25" t="str">
        <f>IF(OR(E1436="",E1436="!!!",F1436="NEW"),"",INDEX(J$1:J1435,SUMPRODUCT(MAX(ROW(E$1:E1435)*(E1436=E$1:E1435)))))</f>
        <v> </v>
      </c>
      <c r="L1436" s="26"/>
    </row>
    <row r="1437" spans="1:12">
      <c r="A1437" s="20" t="s">
        <v>578</v>
      </c>
      <c r="E1437" s="21">
        <f>IF(D1437="?OLD","!!!","")</f>
        <v/>
      </c>
      <c r="F1437" s="22" t="str">
        <f>IF(OR(E1437="",E1437="!!!"),"",IF(NOT(ISNA(VLOOKUP(E1437,E$1:E1436,1,FALSE()))),"OLD",IF(AND(E1437&lt;&gt;"",E1437&lt;&gt;"!!!"),"NEW","")))</f>
        <v> </v>
      </c>
      <c r="G1437" s="23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4" t="str">
        <f>IF(J1437&lt;&gt;1,"",IF(I1437="SBJ","CB","?"))</f>
        <v> </v>
      </c>
      <c r="I1437" s="25" t="str">
        <f>IF(OR(E1437="",E1437="!!!",F1437="NEW"),"",INDEX(B1436:B$2,-1+SUMPRODUCT(MAX(ROW(E1436:E$2)*(E1437=E1436:E$2)))))</f>
        <v> </v>
      </c>
      <c r="J1437" s="25" t="str">
        <f>IF(OR(E1437="",E1437="!!!",F1437="NEW"),"",COUNTBLANK(OFFSET(A$1,,,SUMPRODUCT(MAX(ROW(E$2:E1437)*(E1437=E$2:E1437)))))-COUNTBLANK(OFFSET(A$1,,,SUMPRODUCT(MAX(ROW(E$1:E1436)*(E2=E$1:E1436))))))</f>
        <v> </v>
      </c>
      <c r="K1437" s="25" t="str">
        <f>IF(OR(E1437="",E1437="!!!",F1437="NEW"),"",INDEX(J$1:J1436,SUMPRODUCT(MAX(ROW(E$1:E1436)*(E1437=E$1:E1436)))))</f>
        <v> </v>
      </c>
      <c r="L1437" s="26"/>
    </row>
    <row r="1438" spans="1:12">
      <c r="A1438" s="20" t="s">
        <v>917</v>
      </c>
      <c r="B1438" s="27" t="s">
        <v>386</v>
      </c>
      <c r="C1438" s="27" t="s">
        <v>402</v>
      </c>
      <c r="D1438" s="27" t="s">
        <v>384</v>
      </c>
      <c r="E1438" s="21">
        <f>IF(D1438="?OLD","!!!","")</f>
        <v/>
      </c>
      <c r="F1438" s="22" t="str">
        <f>IF(OR(E1438="",E1438="!!!"),"",IF(NOT(ISNA(VLOOKUP(E1438,E$1:E1437,1,FALSE()))),"OLD",IF(AND(E1438&lt;&gt;"",E1438&lt;&gt;"!!!"),"NEW","")))</f>
        <v> </v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4" t="str">
        <f>IF(J1438&lt;&gt;1,"",IF(I1438="SBJ","CB","?"))</f>
        <v> </v>
      </c>
      <c r="I1438" s="25" t="str">
        <f>IF(OR(E1438="",E1438="!!!",F1438="NEW"),"",INDEX(B1437:B$2,-1+SUMPRODUCT(MAX(ROW(E1437:E$2)*(E1438=E1437:E$2)))))</f>
        <v> </v>
      </c>
      <c r="J1438" s="25" t="str">
        <f>IF(OR(E1438="",E1438="!!!",F1438="NEW"),"",COUNTBLANK(OFFSET(A$1,,,SUMPRODUCT(MAX(ROW(E$2:E1438)*(E1438=E$2:E1438)))))-COUNTBLANK(OFFSET(A$1,,,SUMPRODUCT(MAX(ROW(E$1:E1437)*(E2=E$1:E1437))))))</f>
        <v> </v>
      </c>
      <c r="K1438" s="25" t="str">
        <f>IF(OR(E1438="",E1438="!!!",F1438="NEW"),"",INDEX(J$1:J1437,SUMPRODUCT(MAX(ROW(E$1:E1437)*(E1438=E$1:E1437)))))</f>
        <v> </v>
      </c>
      <c r="L1438" s="26"/>
    </row>
    <row r="1439" spans="1:12">
      <c r="A1439" s="20" t="s">
        <v>918</v>
      </c>
      <c r="E1439" s="21">
        <f>IF(D1439="?OLD","!!!","")</f>
        <v/>
      </c>
      <c r="F1439" s="22" t="str">
        <f>IF(OR(E1439="",E1439="!!!"),"",IF(NOT(ISNA(VLOOKUP(E1439,E$1:E1438,1,FALSE()))),"OLD",IF(AND(E1439&lt;&gt;"",E1439&lt;&gt;"!!!"),"NEW","")))</f>
        <v> </v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4" t="str">
        <f>IF(J1439&lt;&gt;1,"",IF(I1439="SBJ","CB","?"))</f>
        <v> </v>
      </c>
      <c r="I1439" s="25" t="str">
        <f>IF(OR(E1439="",E1439="!!!",F1439="NEW"),"",INDEX(B1438:B$2,-1+SUMPRODUCT(MAX(ROW(E1438:E$2)*(E1439=E1438:E$2)))))</f>
        <v> </v>
      </c>
      <c r="J1439" s="25" t="str">
        <f>IF(OR(E1439="",E1439="!!!",F1439="NEW"),"",COUNTBLANK(OFFSET(A$1,,,SUMPRODUCT(MAX(ROW(E$2:E1439)*(E1439=E$2:E1439)))))-COUNTBLANK(OFFSET(A$1,,,SUMPRODUCT(MAX(ROW(E$1:E1438)*(E2=E$1:E1438))))))</f>
        <v> </v>
      </c>
      <c r="K1439" s="25" t="str">
        <f>IF(OR(E1439="",E1439="!!!",F1439="NEW"),"",INDEX(J$1:J1438,SUMPRODUCT(MAX(ROW(E$1:E1438)*(E1439=E$1:E1438)))))</f>
        <v> </v>
      </c>
      <c r="L1439" s="26"/>
    </row>
    <row r="1440" spans="1:12">
      <c r="A1440" s="20" t="s">
        <v>403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/>
    </row>
    <row r="1442" spans="1:12">
      <c r="A1442" s="20" t="s">
        <v>919</v>
      </c>
    </row>
    <row r="1443" spans="1:12">
      <c r="A1443" s="20" t="s">
        <v>12</v>
      </c>
      <c r="E1443" s="21">
        <f>IF(D1443="?OLD","!!!","")</f>
        <v/>
      </c>
      <c r="F1443" s="22" t="str">
        <f>IF(OR(E1443="",E1443="!!!"),"",IF(NOT(ISNA(VLOOKUP(E1443,E$1:E1442,1,FALSE()))),"OLD",IF(AND(E1443&lt;&gt;"",E1443&lt;&gt;"!!!"),"NEW","")))</f>
        <v> </v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4" t="str">
        <f>IF(J1443&lt;&gt;1,"",IF(I1443="SBJ","CB","?"))</f>
        <v> </v>
      </c>
      <c r="I1443" s="25" t="str">
        <f>IF(OR(E1443="",E1443="!!!",F1443="NEW"),"",INDEX(B1442:B$2,-1+SUMPRODUCT(MAX(ROW(E1442:E$2)*(E1443=E1442:E$2)))))</f>
        <v> </v>
      </c>
      <c r="J1443" s="25" t="str">
        <f>IF(OR(E1443="",E1443="!!!",F1443="NEW"),"",COUNTBLANK(OFFSET(A$1,,,SUMPRODUCT(MAX(ROW(E$2:E1443)*(E1443=E$2:E1443)))))-COUNTBLANK(OFFSET(A$1,,,SUMPRODUCT(MAX(ROW(E$1:E1442)*(E2=E$1:E1442))))))</f>
        <v> </v>
      </c>
      <c r="K1443" s="25" t="str">
        <f>IF(OR(E1443="",E1443="!!!",F1443="NEW"),"",INDEX(J$1:J1442,SUMPRODUCT(MAX(ROW(E$1:E1442)*(E1443=E$1:E1442)))))</f>
        <v> </v>
      </c>
      <c r="L1443" s="26"/>
    </row>
    <row r="1444" spans="1:12">
      <c r="A1444" s="20" t="s">
        <v>920</v>
      </c>
      <c r="B1444" s="27" t="s">
        <v>386</v>
      </c>
      <c r="C1444" s="27" t="s">
        <v>402</v>
      </c>
      <c r="D1444" s="27" t="s">
        <v>384</v>
      </c>
      <c r="E1444" s="21">
        <f>IF(D1444="?OLD","!!!","")</f>
        <v/>
      </c>
      <c r="F1444" s="22" t="str">
        <f>IF(OR(E1444="",E1444="!!!"),"",IF(NOT(ISNA(VLOOKUP(E1444,E$1:E1443,1,FALSE()))),"OLD",IF(AND(E1444&lt;&gt;"",E1444&lt;&gt;"!!!"),"NEW","")))</f>
        <v> </v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4" t="str">
        <f>IF(J1444&lt;&gt;1,"",IF(I1444="SBJ","CB","?"))</f>
        <v> </v>
      </c>
      <c r="I1444" s="25" t="str">
        <f>IF(OR(E1444="",E1444="!!!",F1444="NEW"),"",INDEX(B1443:B$2,-1+SUMPRODUCT(MAX(ROW(E1443:E$2)*(E1444=E1443:E$2)))))</f>
        <v> </v>
      </c>
      <c r="J1444" s="25" t="str">
        <f>IF(OR(E1444="",E1444="!!!",F1444="NEW"),"",COUNTBLANK(OFFSET(A$1,,,SUMPRODUCT(MAX(ROW(E$2:E1444)*(E1444=E$2:E1444)))))-COUNTBLANK(OFFSET(A$1,,,SUMPRODUCT(MAX(ROW(E$1:E1443)*(E2=E$1:E1443))))))</f>
        <v> </v>
      </c>
      <c r="K1444" s="25" t="str">
        <f>IF(OR(E1444="",E1444="!!!",F1444="NEW"),"",INDEX(J$1:J1443,SUMPRODUCT(MAX(ROW(E$1:E1443)*(E1444=E$1:E1443)))))</f>
        <v> </v>
      </c>
      <c r="L1444" s="26"/>
    </row>
    <row r="1445" spans="1:12">
      <c r="A1445" s="20" t="s">
        <v>921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 t="s">
        <v>378</v>
      </c>
      <c r="E1446" s="21">
        <f>IF(D1446="?OLD","!!!","")</f>
        <v/>
      </c>
      <c r="F1446" s="22" t="str">
        <f>IF(OR(E1446="",E1446="!!!"),"",IF(NOT(ISNA(VLOOKUP(E1446,E$1:E1445,1,FALSE()))),"OLD",IF(AND(E1446&lt;&gt;"",E1446&lt;&gt;"!!!"),"NEW","")))</f>
        <v> </v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4" t="str">
        <f>IF(J1446&lt;&gt;1,"",IF(I1446="SBJ","CB","?"))</f>
        <v> </v>
      </c>
      <c r="I1446" s="25" t="str">
        <f>IF(OR(E1446="",E1446="!!!",F1446="NEW"),"",INDEX(B1445:B$2,-1+SUMPRODUCT(MAX(ROW(E1445:E$2)*(E1446=E1445:E$2)))))</f>
        <v> </v>
      </c>
      <c r="J1446" s="25" t="str">
        <f>IF(OR(E1446="",E1446="!!!",F1446="NEW"),"",COUNTBLANK(OFFSET(A$1,,,SUMPRODUCT(MAX(ROW(E$2:E1446)*(E1446=E$2:E1446)))))-COUNTBLANK(OFFSET(A$1,,,SUMPRODUCT(MAX(ROW(E$1:E1445)*(E2=E$1:E1445))))))</f>
        <v> </v>
      </c>
      <c r="K1446" s="25" t="str">
        <f>IF(OR(E1446="",E1446="!!!",F1446="NEW"),"",INDEX(J$1:J1445,SUMPRODUCT(MAX(ROW(E$1:E1445)*(E1446=E$1:E1445)))))</f>
        <v> </v>
      </c>
      <c r="L1446" s="26"/>
    </row>
    <row r="1447" spans="1:12">
      <c r="A1447" s="20" t="s">
        <v>380</v>
      </c>
      <c r="E1447" s="21">
        <f>IF(D1447="?OLD","!!!","")</f>
        <v/>
      </c>
      <c r="F1447" s="22" t="str">
        <f>IF(OR(E1447="",E1447="!!!"),"",IF(NOT(ISNA(VLOOKUP(E1447,E$1:E1446,1,FALSE()))),"OLD",IF(AND(E1447&lt;&gt;"",E1447&lt;&gt;"!!!"),"NEW","")))</f>
        <v> </v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4" t="str">
        <f>IF(J1447&lt;&gt;1,"",IF(I1447="SBJ","CB","?"))</f>
        <v> </v>
      </c>
      <c r="I1447" s="25" t="str">
        <f>IF(OR(E1447="",E1447="!!!",F1447="NEW"),"",INDEX(B1446:B$2,-1+SUMPRODUCT(MAX(ROW(E1446:E$2)*(E1447=E1446:E$2)))))</f>
        <v> </v>
      </c>
      <c r="J1447" s="25" t="str">
        <f>IF(OR(E1447="",E1447="!!!",F1447="NEW"),"",COUNTBLANK(OFFSET(A$1,,,SUMPRODUCT(MAX(ROW(E$2:E1447)*(E1447=E$2:E1447)))))-COUNTBLANK(OFFSET(A$1,,,SUMPRODUCT(MAX(ROW(E$1:E1446)*(E2=E$1:E1446))))))</f>
        <v> </v>
      </c>
      <c r="K1447" s="25" t="str">
        <f>IF(OR(E1447="",E1447="!!!",F1447="NEW"),"",INDEX(J$1:J1446,SUMPRODUCT(MAX(ROW(E$1:E1446)*(E1447=E$1:E1446)))))</f>
        <v> </v>
      </c>
      <c r="L1447" s="26"/>
    </row>
    <row r="1448" spans="1:12">
      <c r="A1448" s="20" t="s">
        <v>416</v>
      </c>
      <c r="E1448" s="21">
        <f>IF(D1448="?OLD","!!!","")</f>
        <v/>
      </c>
      <c r="F1448" s="22" t="str">
        <f>IF(OR(E1448="",E1448="!!!"),"",IF(NOT(ISNA(VLOOKUP(E1448,E$1:E1447,1,FALSE()))),"OLD",IF(AND(E1448&lt;&gt;"",E1448&lt;&gt;"!!!"),"NEW","")))</f>
        <v> </v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4" t="str">
        <f>IF(J1448&lt;&gt;1,"",IF(I1448="SBJ","CB","?"))</f>
        <v> </v>
      </c>
      <c r="I1448" s="25" t="str">
        <f>IF(OR(E1448="",E1448="!!!",F1448="NEW"),"",INDEX(B1447:B$2,-1+SUMPRODUCT(MAX(ROW(E1447:E$2)*(E1448=E1447:E$2)))))</f>
        <v> </v>
      </c>
      <c r="J1448" s="25" t="str">
        <f>IF(OR(E1448="",E1448="!!!",F1448="NEW"),"",COUNTBLANK(OFFSET(A$1,,,SUMPRODUCT(MAX(ROW(E$2:E1448)*(E1448=E$2:E1448)))))-COUNTBLANK(OFFSET(A$1,,,SUMPRODUCT(MAX(ROW(E$1:E1447)*(E2=E$1:E1447))))))</f>
        <v> </v>
      </c>
      <c r="K1448" s="25" t="str">
        <f>IF(OR(E1448="",E1448="!!!",F1448="NEW"),"",INDEX(J$1:J1447,SUMPRODUCT(MAX(ROW(E$1:E1447)*(E1448=E$1:E1447)))))</f>
        <v> </v>
      </c>
      <c r="L1448" s="26"/>
    </row>
    <row r="1449" spans="1:12">
      <c r="A1449" s="20" t="s">
        <v>922</v>
      </c>
      <c r="B1449" s="27" t="s">
        <v>388</v>
      </c>
      <c r="C1449" s="27" t="s">
        <v>555</v>
      </c>
      <c r="D1449" s="27" t="s">
        <v>384</v>
      </c>
      <c r="E1449" s="21">
        <f>IF(D1449="?OLD","!!!","")</f>
        <v/>
      </c>
      <c r="F1449" s="22" t="str">
        <f>IF(OR(E1449="",E1449="!!!"),"",IF(NOT(ISNA(VLOOKUP(E1449,E$1:E1448,1,FALSE()))),"OLD",IF(AND(E1449&lt;&gt;"",E1449&lt;&gt;"!!!"),"NEW","")))</f>
        <v> </v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4" t="str">
        <f>IF(J1449&lt;&gt;1,"",IF(I1449="SBJ","CB","?"))</f>
        <v> </v>
      </c>
      <c r="I1449" s="25" t="str">
        <f>IF(OR(E1449="",E1449="!!!",F1449="NEW"),"",INDEX(B1448:B$2,-1+SUMPRODUCT(MAX(ROW(E1448:E$2)*(E1449=E1448:E$2)))))</f>
        <v> </v>
      </c>
      <c r="J1449" s="25" t="str">
        <f>IF(OR(E1449="",E1449="!!!",F1449="NEW"),"",COUNTBLANK(OFFSET(A$1,,,SUMPRODUCT(MAX(ROW(E$2:E1449)*(E1449=E$2:E1449)))))-COUNTBLANK(OFFSET(A$1,,,SUMPRODUCT(MAX(ROW(E$1:E1448)*(E2=E$1:E1448))))))</f>
        <v> </v>
      </c>
      <c r="K1449" s="25" t="str">
        <f>IF(OR(E1449="",E1449="!!!",F1449="NEW"),"",INDEX(J$1:J1448,SUMPRODUCT(MAX(ROW(E$1:E1448)*(E1449=E$1:E1448)))))</f>
        <v> </v>
      </c>
      <c r="L1449" s="26"/>
    </row>
    <row r="1450" spans="1:12">
      <c r="A1450" s="20" t="s">
        <v>923</v>
      </c>
      <c r="B1450" s="27" t="s">
        <v>382</v>
      </c>
      <c r="C1450" s="27" t="s">
        <v>402</v>
      </c>
      <c r="D1450" s="27" t="s">
        <v>384</v>
      </c>
      <c r="E1450" s="21">
        <f>IF(D1450="?OLD","!!!","")</f>
        <v/>
      </c>
      <c r="F1450" s="22" t="str">
        <f>IF(OR(E1450="",E1450="!!!"),"",IF(NOT(ISNA(VLOOKUP(E1450,E$1:E1449,1,FALSE()))),"OLD",IF(AND(E1450&lt;&gt;"",E1450&lt;&gt;"!!!"),"NEW","")))</f>
        <v> </v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4" t="str">
        <f>IF(J1450&lt;&gt;1,"",IF(I1450="SBJ","CB","?"))</f>
        <v> </v>
      </c>
      <c r="I1450" s="25" t="str">
        <f>IF(OR(E1450="",E1450="!!!",F1450="NEW"),"",INDEX(B1449:B$2,-1+SUMPRODUCT(MAX(ROW(E1449:E$2)*(E1450=E1449:E$2)))))</f>
        <v> </v>
      </c>
      <c r="J1450" s="25" t="str">
        <f>IF(OR(E1450="",E1450="!!!",F1450="NEW"),"",COUNTBLANK(OFFSET(A$1,,,SUMPRODUCT(MAX(ROW(E$2:E1450)*(E1450=E$2:E1450)))))-COUNTBLANK(OFFSET(A$1,,,SUMPRODUCT(MAX(ROW(E$1:E1449)*(E2=E$1:E1449))))))</f>
        <v> </v>
      </c>
      <c r="K1450" s="25" t="str">
        <f>IF(OR(E1450="",E1450="!!!",F1450="NEW"),"",INDEX(J$1:J1449,SUMPRODUCT(MAX(ROW(E$1:E1449)*(E1450=E$1:E1449)))))</f>
        <v> </v>
      </c>
      <c r="L1450" s="26"/>
    </row>
    <row r="1451" spans="1:12">
      <c r="A1451" s="20" t="s">
        <v>378</v>
      </c>
      <c r="E1451" s="21">
        <f>IF(D1451="?OLD","!!!","")</f>
        <v/>
      </c>
      <c r="F1451" s="22" t="str">
        <f>IF(OR(E1451="",E1451="!!!"),"",IF(NOT(ISNA(VLOOKUP(E1451,E$1:E1450,1,FALSE()))),"OLD",IF(AND(E1451&lt;&gt;"",E1451&lt;&gt;"!!!"),"NEW","")))</f>
        <v> </v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4" t="str">
        <f>IF(J1451&lt;&gt;1,"",IF(I1451="SBJ","CB","?"))</f>
        <v> </v>
      </c>
      <c r="I1451" s="25" t="str">
        <f>IF(OR(E1451="",E1451="!!!",F1451="NEW"),"",INDEX(B1450:B$2,-1+SUMPRODUCT(MAX(ROW(E1450:E$2)*(E1451=E1450:E$2)))))</f>
        <v> </v>
      </c>
      <c r="J1451" s="25" t="str">
        <f>IF(OR(E1451="",E1451="!!!",F1451="NEW"),"",COUNTBLANK(OFFSET(A$1,,,SUMPRODUCT(MAX(ROW(E$2:E1451)*(E1451=E$2:E1451)))))-COUNTBLANK(OFFSET(A$1,,,SUMPRODUCT(MAX(ROW(E$1:E1450)*(E2=E$1:E1450))))))</f>
        <v> </v>
      </c>
      <c r="K1451" s="25" t="str">
        <f>IF(OR(E1451="",E1451="!!!",F1451="NEW"),"",INDEX(J$1:J1450,SUMPRODUCT(MAX(ROW(E$1:E1450)*(E1451=E$1:E1450)))))</f>
        <v> </v>
      </c>
      <c r="L1451" s="26"/>
    </row>
    <row r="1452" spans="1:12">
      <c r="A1452" s="20" t="s">
        <v>407</v>
      </c>
      <c r="E1452" s="21">
        <f>IF(D1452="?OLD","!!!","")</f>
        <v/>
      </c>
      <c r="F1452" s="22" t="str">
        <f>IF(OR(E1452="",E1452="!!!"),"",IF(NOT(ISNA(VLOOKUP(E1452,E$1:E1451,1,FALSE()))),"OLD",IF(AND(E1452&lt;&gt;"",E1452&lt;&gt;"!!!"),"NEW","")))</f>
        <v> </v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4" t="str">
        <f>IF(J1452&lt;&gt;1,"",IF(I1452="SBJ","CB","?"))</f>
        <v> </v>
      </c>
      <c r="I1452" s="25" t="str">
        <f>IF(OR(E1452="",E1452="!!!",F1452="NEW"),"",INDEX(B1451:B$2,-1+SUMPRODUCT(MAX(ROW(E1451:E$2)*(E1452=E1451:E$2)))))</f>
        <v> </v>
      </c>
      <c r="J1452" s="25" t="str">
        <f>IF(OR(E1452="",E1452="!!!",F1452="NEW"),"",COUNTBLANK(OFFSET(A$1,,,SUMPRODUCT(MAX(ROW(E$2:E1452)*(E1452=E$2:E1452)))))-COUNTBLANK(OFFSET(A$1,,,SUMPRODUCT(MAX(ROW(E$1:E1451)*(E2=E$1:E1451))))))</f>
        <v> </v>
      </c>
      <c r="K1452" s="25" t="str">
        <f>IF(OR(E1452="",E1452="!!!",F1452="NEW"),"",INDEX(J$1:J1451,SUMPRODUCT(MAX(ROW(E$1:E1451)*(E1452=E$1:E1451)))))</f>
        <v> </v>
      </c>
      <c r="L1452" s="26"/>
    </row>
    <row r="1453" spans="1:12">
      <c r="A1453" s="20" t="s">
        <v>415</v>
      </c>
      <c r="E1453" s="21">
        <f>IF(D1453="?OLD","!!!","")</f>
        <v/>
      </c>
      <c r="F1453" s="22" t="str">
        <f>IF(OR(E1453="",E1453="!!!"),"",IF(NOT(ISNA(VLOOKUP(E1453,E$1:E1452,1,FALSE()))),"OLD",IF(AND(E1453&lt;&gt;"",E1453&lt;&gt;"!!!"),"NEW","")))</f>
        <v> </v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4" t="str">
        <f>IF(J1453&lt;&gt;1,"",IF(I1453="SBJ","CB","?"))</f>
        <v> </v>
      </c>
      <c r="I1453" s="25" t="str">
        <f>IF(OR(E1453="",E1453="!!!",F1453="NEW"),"",INDEX(B1452:B$2,-1+SUMPRODUCT(MAX(ROW(E1452:E$2)*(E1453=E1452:E$2)))))</f>
        <v> </v>
      </c>
      <c r="J1453" s="25" t="str">
        <f>IF(OR(E1453="",E1453="!!!",F1453="NEW"),"",COUNTBLANK(OFFSET(A$1,,,SUMPRODUCT(MAX(ROW(E$2:E1453)*(E1453=E$2:E1453)))))-COUNTBLANK(OFFSET(A$1,,,SUMPRODUCT(MAX(ROW(E$1:E1452)*(E2=E$1:E1452))))))</f>
        <v> </v>
      </c>
      <c r="K1453" s="25" t="str">
        <f>IF(OR(E1453="",E1453="!!!",F1453="NEW"),"",INDEX(J$1:J1452,SUMPRODUCT(MAX(ROW(E$1:E1452)*(E1453=E$1:E1452)))))</f>
        <v> </v>
      </c>
      <c r="L1453" s="26"/>
    </row>
    <row r="1454" spans="1:12">
      <c r="A1454" s="20" t="s">
        <v>274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 t="s">
        <v>395</v>
      </c>
      <c r="B1455" s="27" t="s">
        <v>431</v>
      </c>
      <c r="C1455" s="27" t="s">
        <v>402</v>
      </c>
      <c r="D1455" s="27" t="s">
        <v>384</v>
      </c>
      <c r="E1455" s="21">
        <f>IF(D1455="?OLD","!!!","")</f>
        <v/>
      </c>
      <c r="F1455" s="22" t="str">
        <f>IF(OR(E1455="",E1455="!!!"),"",IF(NOT(ISNA(VLOOKUP(E1455,E$1:E1454,1,FALSE()))),"OLD",IF(AND(E1455&lt;&gt;"",E1455&lt;&gt;"!!!"),"NEW","")))</f>
        <v> </v>
      </c>
      <c r="G1455" s="23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4" t="str">
        <f>IF(J1455&lt;&gt;1,"",IF(I1455="SBJ","CB","?"))</f>
        <v> </v>
      </c>
      <c r="I1455" s="25" t="str">
        <f>IF(OR(E1455="",E1455="!!!",F1455="NEW"),"",INDEX(B1454:B$2,-1+SUMPRODUCT(MAX(ROW(E1454:E$2)*(E1455=E1454:E$2)))))</f>
        <v> </v>
      </c>
      <c r="J1455" s="25" t="str">
        <f>IF(OR(E1455="",E1455="!!!",F1455="NEW"),"",COUNTBLANK(OFFSET(A$1,,,SUMPRODUCT(MAX(ROW(E$2:E1455)*(E1455=E$2:E1455)))))-COUNTBLANK(OFFSET(A$1,,,SUMPRODUCT(MAX(ROW(E$1:E1454)*(E2=E$1:E1454))))))</f>
        <v> </v>
      </c>
      <c r="K1455" s="25" t="str">
        <f>IF(OR(E1455="",E1455="!!!",F1455="NEW"),"",INDEX(J$1:J1454,SUMPRODUCT(MAX(ROW(E$1:E1454)*(E1455=E$1:E1454)))))</f>
        <v> </v>
      </c>
      <c r="L1455" s="26"/>
    </row>
    <row r="1456" spans="1:12">
      <c r="A1456" s="20" t="s">
        <v>924</v>
      </c>
      <c r="E1456" s="21">
        <f>IF(D1456="?OLD","!!!","")</f>
        <v/>
      </c>
      <c r="F1456" s="22" t="str">
        <f>IF(OR(E1456="",E1456="!!!"),"",IF(NOT(ISNA(VLOOKUP(E1456,E$1:E1455,1,FALSE()))),"OLD",IF(AND(E1456&lt;&gt;"",E1456&lt;&gt;"!!!"),"NEW","")))</f>
        <v> </v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4" t="str">
        <f>IF(J1456&lt;&gt;1,"",IF(I1456="SBJ","CB","?"))</f>
        <v> </v>
      </c>
      <c r="I1456" s="25" t="str">
        <f>IF(OR(E1456="",E1456="!!!",F1456="NEW"),"",INDEX(B1455:B$2,-1+SUMPRODUCT(MAX(ROW(E1455:E$2)*(E1456=E1455:E$2)))))</f>
        <v> </v>
      </c>
      <c r="J1456" s="25" t="str">
        <f>IF(OR(E1456="",E1456="!!!",F1456="NEW"),"",COUNTBLANK(OFFSET(A$1,,,SUMPRODUCT(MAX(ROW(E$2:E1456)*(E1456=E$2:E1456)))))-COUNTBLANK(OFFSET(A$1,,,SUMPRODUCT(MAX(ROW(E$1:E1455)*(E2=E$1:E1455))))))</f>
        <v> </v>
      </c>
      <c r="K1456" s="25" t="str">
        <f>IF(OR(E1456="",E1456="!!!",F1456="NEW"),"",INDEX(J$1:J1455,SUMPRODUCT(MAX(ROW(E$1:E1455)*(E1456=E$1:E1455)))))</f>
        <v> </v>
      </c>
      <c r="L1456" s="26"/>
    </row>
    <row r="1457" spans="1:12">
      <c r="A1457" s="20" t="s">
        <v>73</v>
      </c>
      <c r="E1457" s="21">
        <f>IF(D1457="?OLD","!!!","")</f>
        <v/>
      </c>
      <c r="F1457" s="22" t="str">
        <f>IF(OR(E1457="",E1457="!!!"),"",IF(NOT(ISNA(VLOOKUP(E1457,E$1:E1456,1,FALSE()))),"OLD",IF(AND(E1457&lt;&gt;"",E1457&lt;&gt;"!!!"),"NEW","")))</f>
        <v> </v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4" t="str">
        <f>IF(J1457&lt;&gt;1,"",IF(I1457="SBJ","CB","?"))</f>
        <v> </v>
      </c>
      <c r="I1457" s="25" t="str">
        <f>IF(OR(E1457="",E1457="!!!",F1457="NEW"),"",INDEX(B1456:B$2,-1+SUMPRODUCT(MAX(ROW(E1456:E$2)*(E1457=E1456:E$2)))))</f>
        <v> </v>
      </c>
      <c r="J1457" s="25" t="str">
        <f>IF(OR(E1457="",E1457="!!!",F1457="NEW"),"",COUNTBLANK(OFFSET(A$1,,,SUMPRODUCT(MAX(ROW(E$2:E1457)*(E1457=E$2:E1457)))))-COUNTBLANK(OFFSET(A$1,,,SUMPRODUCT(MAX(ROW(E$1:E1456)*(E2=E$1:E1456))))))</f>
        <v> </v>
      </c>
      <c r="K1457" s="25" t="str">
        <f>IF(OR(E1457="",E1457="!!!",F1457="NEW"),"",INDEX(J$1:J1456,SUMPRODUCT(MAX(ROW(E$1:E1456)*(E1457=E$1:E1456)))))</f>
        <v> </v>
      </c>
      <c r="L1457" s="26"/>
    </row>
    <row r="1458" spans="1:12">
      <c r="A1458" s="20" t="s">
        <v>925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390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926</v>
      </c>
      <c r="B1460" s="27" t="s">
        <v>388</v>
      </c>
      <c r="C1460" s="27" t="s">
        <v>393</v>
      </c>
      <c r="D1460" s="27" t="s">
        <v>384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 t="s">
        <v>394</v>
      </c>
      <c r="E1461" s="21">
        <f>IF(D1461="?OLD","!!!","")</f>
        <v/>
      </c>
      <c r="F1461" s="22" t="str">
        <f>IF(OR(E1461="",E1461="!!!"),"",IF(NOT(ISNA(VLOOKUP(E1461,E$1:E1460,1,FALSE()))),"OLD",IF(AND(E1461&lt;&gt;"",E1461&lt;&gt;"!!!"),"NEW","")))</f>
        <v> </v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4" t="str">
        <f>IF(J1461&lt;&gt;1,"",IF(I1461="SBJ","CB","?"))</f>
        <v> </v>
      </c>
      <c r="I1461" s="25" t="str">
        <f>IF(OR(E1461="",E1461="!!!",F1461="NEW"),"",INDEX(B1460:B$2,-1+SUMPRODUCT(MAX(ROW(E1460:E$2)*(E1461=E1460:E$2)))))</f>
        <v> </v>
      </c>
      <c r="J1461" s="25" t="str">
        <f>IF(OR(E1461="",E1461="!!!",F1461="NEW"),"",COUNTBLANK(OFFSET(A$1,,,SUMPRODUCT(MAX(ROW(E$2:E1461)*(E1461=E$2:E1461)))))-COUNTBLANK(OFFSET(A$1,,,SUMPRODUCT(MAX(ROW(E$1:E1460)*(E2=E$1:E1460))))))</f>
        <v> </v>
      </c>
      <c r="K1461" s="25" t="str">
        <f>IF(OR(E1461="",E1461="!!!",F1461="NEW"),"",INDEX(J$1:J1460,SUMPRODUCT(MAX(ROW(E$1:E1460)*(E1461=E$1:E1460)))))</f>
        <v> </v>
      </c>
      <c r="L1461" s="26"/>
    </row>
    <row r="1462" spans="1:12">
      <c r="A1462" s="20" t="s">
        <v>927</v>
      </c>
      <c r="B1462" s="27" t="s">
        <v>422</v>
      </c>
      <c r="C1462" s="27" t="s">
        <v>396</v>
      </c>
      <c r="E1462" s="21">
        <f>IF(D1462="?OLD","!!!","")</f>
        <v/>
      </c>
      <c r="F1462" s="22" t="str">
        <f>IF(OR(E1462="",E1462="!!!"),"",IF(NOT(ISNA(VLOOKUP(E1462,E$1:E1461,1,FALSE()))),"OLD",IF(AND(E1462&lt;&gt;"",E1462&lt;&gt;"!!!"),"NEW","")))</f>
        <v> </v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4" t="str">
        <f>IF(J1462&lt;&gt;1,"",IF(I1462="SBJ","CB","?"))</f>
        <v> </v>
      </c>
      <c r="I1462" s="25" t="str">
        <f>IF(OR(E1462="",E1462="!!!",F1462="NEW"),"",INDEX(B1461:B$2,-1+SUMPRODUCT(MAX(ROW(E1461:E$2)*(E1462=E1461:E$2)))))</f>
        <v> </v>
      </c>
      <c r="J1462" s="25" t="str">
        <f>IF(OR(E1462="",E1462="!!!",F1462="NEW"),"",COUNTBLANK(OFFSET(A$1,,,SUMPRODUCT(MAX(ROW(E$2:E1462)*(E1462=E$2:E1462)))))-COUNTBLANK(OFFSET(A$1,,,SUMPRODUCT(MAX(ROW(E$1:E1461)*(E2=E$1:E1461))))))</f>
        <v> </v>
      </c>
      <c r="K1462" s="25" t="str">
        <f>IF(OR(E1462="",E1462="!!!",F1462="NEW"),"",INDEX(J$1:J1461,SUMPRODUCT(MAX(ROW(E$1:E1461)*(E1462=E$1:E1461)))))</f>
        <v> </v>
      </c>
      <c r="L1462" s="26"/>
    </row>
    <row r="1463" spans="1:12">
      <c r="A1463" s="20" t="s">
        <v>403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/>
    </row>
    <row r="1465" spans="1:12">
      <c r="A1465" s="20" t="s">
        <v>928</v>
      </c>
    </row>
    <row r="1466" spans="1:12">
      <c r="A1466" s="20" t="s">
        <v>929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 t="s">
        <v>415</v>
      </c>
      <c r="E1467" s="21">
        <f>IF(D1467="?OLD","!!!","")</f>
        <v/>
      </c>
      <c r="F1467" s="22" t="str">
        <f>IF(OR(E1467="",E1467="!!!"),"",IF(NOT(ISNA(VLOOKUP(E1467,E$1:E1466,1,FALSE()))),"OLD",IF(AND(E1467&lt;&gt;"",E1467&lt;&gt;"!!!"),"NEW","")))</f>
        <v> </v>
      </c>
      <c r="G1467" s="23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4" t="str">
        <f>IF(J1467&lt;&gt;1,"",IF(I1467="SBJ","CB","?"))</f>
        <v> </v>
      </c>
      <c r="I1467" s="25" t="str">
        <f>IF(OR(E1467="",E1467="!!!",F1467="NEW"),"",INDEX(B1466:B$2,-1+SUMPRODUCT(MAX(ROW(E1466:E$2)*(E1467=E1466:E$2)))))</f>
        <v> </v>
      </c>
      <c r="J1467" s="25" t="str">
        <f>IF(OR(E1467="",E1467="!!!",F1467="NEW"),"",COUNTBLANK(OFFSET(A$1,,,SUMPRODUCT(MAX(ROW(E$2:E1467)*(E1467=E$2:E1467)))))-COUNTBLANK(OFFSET(A$1,,,SUMPRODUCT(MAX(ROW(E$1:E1466)*(E2=E$1:E1466))))))</f>
        <v> </v>
      </c>
      <c r="K1467" s="25" t="str">
        <f>IF(OR(E1467="",E1467="!!!",F1467="NEW"),"",INDEX(J$1:J1466,SUMPRODUCT(MAX(ROW(E$1:E1466)*(E1467=E$1:E1466)))))</f>
        <v> </v>
      </c>
      <c r="L1467" s="26"/>
    </row>
    <row r="1468" spans="1:12">
      <c r="A1468" s="20" t="s">
        <v>856</v>
      </c>
      <c r="B1468" s="27" t="s">
        <v>431</v>
      </c>
      <c r="C1468" s="27" t="s">
        <v>449</v>
      </c>
      <c r="D1468" s="27" t="s">
        <v>384</v>
      </c>
      <c r="E1468" s="21">
        <f>IF(D1468="?OLD","!!!","")</f>
        <v/>
      </c>
      <c r="F1468" s="22" t="str">
        <f>IF(OR(E1468="",E1468="!!!"),"",IF(NOT(ISNA(VLOOKUP(E1468,E$1:E1467,1,FALSE()))),"OLD",IF(AND(E1468&lt;&gt;"",E1468&lt;&gt;"!!!"),"NEW","")))</f>
        <v> </v>
      </c>
      <c r="G1468" s="23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4" t="str">
        <f>IF(J1468&lt;&gt;1,"",IF(I1468="SBJ","CB","?"))</f>
        <v> </v>
      </c>
      <c r="I1468" s="25" t="str">
        <f>IF(OR(E1468="",E1468="!!!",F1468="NEW"),"",INDEX(B1467:B$2,-1+SUMPRODUCT(MAX(ROW(E1467:E$2)*(E1468=E1467:E$2)))))</f>
        <v> </v>
      </c>
      <c r="J1468" s="25" t="str">
        <f>IF(OR(E1468="",E1468="!!!",F1468="NEW"),"",COUNTBLANK(OFFSET(A$1,,,SUMPRODUCT(MAX(ROW(E$2:E1468)*(E1468=E$2:E1468)))))-COUNTBLANK(OFFSET(A$1,,,SUMPRODUCT(MAX(ROW(E$1:E1467)*(E2=E$1:E1467))))))</f>
        <v> </v>
      </c>
      <c r="K1468" s="25" t="str">
        <f>IF(OR(E1468="",E1468="!!!",F1468="NEW"),"",INDEX(J$1:J1467,SUMPRODUCT(MAX(ROW(E$1:E1467)*(E1468=E$1:E1467)))))</f>
        <v> </v>
      </c>
      <c r="L1468" s="26"/>
    </row>
    <row r="1469" spans="1:12">
      <c r="A1469" s="20" t="s">
        <v>930</v>
      </c>
      <c r="E1469" s="21">
        <f>IF(D1469="?OLD","!!!","")</f>
        <v/>
      </c>
      <c r="F1469" s="22" t="str">
        <f>IF(OR(E1469="",E1469="!!!"),"",IF(NOT(ISNA(VLOOKUP(E1469,E$1:E1468,1,FALSE()))),"OLD",IF(AND(E1469&lt;&gt;"",E1469&lt;&gt;"!!!"),"NEW","")))</f>
        <v> </v>
      </c>
      <c r="G1469" s="23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4" t="str">
        <f>IF(J1469&lt;&gt;1,"",IF(I1469="SBJ","CB","?"))</f>
        <v> </v>
      </c>
      <c r="I1469" s="25" t="str">
        <f>IF(OR(E1469="",E1469="!!!",F1469="NEW"),"",INDEX(B1468:B$2,-1+SUMPRODUCT(MAX(ROW(E1468:E$2)*(E1469=E1468:E$2)))))</f>
        <v> </v>
      </c>
      <c r="J1469" s="25" t="str">
        <f>IF(OR(E1469="",E1469="!!!",F1469="NEW"),"",COUNTBLANK(OFFSET(A$1,,,SUMPRODUCT(MAX(ROW(E$2:E1469)*(E1469=E$2:E1469)))))-COUNTBLANK(OFFSET(A$1,,,SUMPRODUCT(MAX(ROW(E$1:E1468)*(E2=E$1:E1468))))))</f>
        <v> </v>
      </c>
      <c r="K1469" s="25" t="str">
        <f>IF(OR(E1469="",E1469="!!!",F1469="NEW"),"",INDEX(J$1:J1468,SUMPRODUCT(MAX(ROW(E$1:E1468)*(E1469=E$1:E1468)))))</f>
        <v> </v>
      </c>
      <c r="L1469" s="26"/>
    </row>
    <row r="1470" spans="1:12">
      <c r="A1470" s="20" t="s">
        <v>882</v>
      </c>
      <c r="E1470" s="21">
        <f>IF(D1470="?OLD","!!!","")</f>
        <v/>
      </c>
      <c r="F1470" s="22" t="str">
        <f>IF(OR(E1470="",E1470="!!!"),"",IF(NOT(ISNA(VLOOKUP(E1470,E$1:E1469,1,FALSE()))),"OLD",IF(AND(E1470&lt;&gt;"",E1470&lt;&gt;"!!!"),"NEW","")))</f>
        <v> </v>
      </c>
      <c r="G1470" s="23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4" t="str">
        <f>IF(J1470&lt;&gt;1,"",IF(I1470="SBJ","CB","?"))</f>
        <v> </v>
      </c>
      <c r="I1470" s="25" t="str">
        <f>IF(OR(E1470="",E1470="!!!",F1470="NEW"),"",INDEX(B1469:B$2,-1+SUMPRODUCT(MAX(ROW(E1469:E$2)*(E1470=E1469:E$2)))))</f>
        <v> </v>
      </c>
      <c r="J1470" s="25" t="str">
        <f>IF(OR(E1470="",E1470="!!!",F1470="NEW"),"",COUNTBLANK(OFFSET(A$1,,,SUMPRODUCT(MAX(ROW(E$2:E1470)*(E1470=E$2:E1470)))))-COUNTBLANK(OFFSET(A$1,,,SUMPRODUCT(MAX(ROW(E$1:E1469)*(E2=E$1:E1469))))))</f>
        <v> </v>
      </c>
      <c r="K1470" s="25" t="str">
        <f>IF(OR(E1470="",E1470="!!!",F1470="NEW"),"",INDEX(J$1:J1469,SUMPRODUCT(MAX(ROW(E$1:E1469)*(E1470=E$1:E1469)))))</f>
        <v> </v>
      </c>
      <c r="L1470" s="26"/>
    </row>
    <row r="1471" spans="1:12">
      <c r="A1471" s="20" t="s">
        <v>578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 t="s">
        <v>931</v>
      </c>
      <c r="B1472" s="27" t="s">
        <v>376</v>
      </c>
      <c r="C1472" s="27" t="s">
        <v>449</v>
      </c>
      <c r="D1472" s="27" t="s">
        <v>384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932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 t="s">
        <v>416</v>
      </c>
      <c r="E1474" s="21">
        <f>IF(D1474="?OLD","!!!","")</f>
        <v/>
      </c>
      <c r="F1474" s="22" t="str">
        <f>IF(OR(E1474="",E1474="!!!"),"",IF(NOT(ISNA(VLOOKUP(E1474,E$1:E1473,1,FALSE()))),"OLD",IF(AND(E1474&lt;&gt;"",E1474&lt;&gt;"!!!"),"NEW","")))</f>
        <v> </v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4" t="str">
        <f>IF(J1474&lt;&gt;1,"",IF(I1474="SBJ","CB","?"))</f>
        <v> </v>
      </c>
      <c r="I1474" s="25" t="str">
        <f>IF(OR(E1474="",E1474="!!!",F1474="NEW"),"",INDEX(B1473:B$2,-1+SUMPRODUCT(MAX(ROW(E1473:E$2)*(E1474=E1473:E$2)))))</f>
        <v> </v>
      </c>
      <c r="J1474" s="25" t="str">
        <f>IF(OR(E1474="",E1474="!!!",F1474="NEW"),"",COUNTBLANK(OFFSET(A$1,,,SUMPRODUCT(MAX(ROW(E$2:E1474)*(E1474=E$2:E1474)))))-COUNTBLANK(OFFSET(A$1,,,SUMPRODUCT(MAX(ROW(E$1:E1473)*(E2=E$1:E1473))))))</f>
        <v> </v>
      </c>
      <c r="K1474" s="25" t="str">
        <f>IF(OR(E1474="",E1474="!!!",F1474="NEW"),"",INDEX(J$1:J1473,SUMPRODUCT(MAX(ROW(E$1:E1473)*(E1474=E$1:E1473)))))</f>
        <v> </v>
      </c>
      <c r="L1474" s="26"/>
    </row>
    <row r="1475" spans="1:12">
      <c r="A1475" s="20" t="s">
        <v>416</v>
      </c>
      <c r="E1475" s="21">
        <f>IF(D1475="?OLD","!!!","")</f>
        <v/>
      </c>
      <c r="F1475" s="22" t="str">
        <f>IF(OR(E1475="",E1475="!!!"),"",IF(NOT(ISNA(VLOOKUP(E1475,E$1:E1474,1,FALSE()))),"OLD",IF(AND(E1475&lt;&gt;"",E1475&lt;&gt;"!!!"),"NEW","")))</f>
        <v> </v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4" t="str">
        <f>IF(J1475&lt;&gt;1,"",IF(I1475="SBJ","CB","?"))</f>
        <v> </v>
      </c>
      <c r="I1475" s="25" t="str">
        <f>IF(OR(E1475="",E1475="!!!",F1475="NEW"),"",INDEX(B1474:B$2,-1+SUMPRODUCT(MAX(ROW(E1474:E$2)*(E1475=E1474:E$2)))))</f>
        <v> </v>
      </c>
      <c r="J1475" s="25" t="str">
        <f>IF(OR(E1475="",E1475="!!!",F1475="NEW"),"",COUNTBLANK(OFFSET(A$1,,,SUMPRODUCT(MAX(ROW(E$2:E1475)*(E1475=E$2:E1475)))))-COUNTBLANK(OFFSET(A$1,,,SUMPRODUCT(MAX(ROW(E$1:E1474)*(E2=E$1:E1474))))))</f>
        <v> </v>
      </c>
      <c r="K1475" s="25" t="str">
        <f>IF(OR(E1475="",E1475="!!!",F1475="NEW"),"",INDEX(J$1:J1474,SUMPRODUCT(MAX(ROW(E$1:E1474)*(E1475=E$1:E1474)))))</f>
        <v> </v>
      </c>
      <c r="L1475" s="26"/>
    </row>
    <row r="1476" spans="1:12">
      <c r="A1476" s="20" t="s">
        <v>512</v>
      </c>
      <c r="B1476" s="27" t="s">
        <v>399</v>
      </c>
      <c r="C1476" s="27" t="s">
        <v>402</v>
      </c>
      <c r="D1476" s="27" t="s">
        <v>384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378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419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 t="s">
        <v>415</v>
      </c>
      <c r="E1479" s="21">
        <f>IF(D1479="?OLD","!!!","")</f>
        <v/>
      </c>
      <c r="F1479" s="22" t="str">
        <f>IF(OR(E1479="",E1479="!!!"),"",IF(NOT(ISNA(VLOOKUP(E1479,E$1:E1478,1,FALSE()))),"OLD",IF(AND(E1479&lt;&gt;"",E1479&lt;&gt;"!!!"),"NEW","")))</f>
        <v> </v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4" t="str">
        <f>IF(J1479&lt;&gt;1,"",IF(I1479="SBJ","CB","?"))</f>
        <v> </v>
      </c>
      <c r="I1479" s="25" t="str">
        <f>IF(OR(E1479="",E1479="!!!",F1479="NEW"),"",INDEX(B1478:B$2,-1+SUMPRODUCT(MAX(ROW(E1478:E$2)*(E1479=E1478:E$2)))))</f>
        <v> </v>
      </c>
      <c r="J1479" s="25" t="str">
        <f>IF(OR(E1479="",E1479="!!!",F1479="NEW"),"",COUNTBLANK(OFFSET(A$1,,,SUMPRODUCT(MAX(ROW(E$2:E1479)*(E1479=E$2:E1479)))))-COUNTBLANK(OFFSET(A$1,,,SUMPRODUCT(MAX(ROW(E$1:E1478)*(E2=E$1:E1478))))))</f>
        <v> </v>
      </c>
      <c r="K1479" s="25" t="str">
        <f>IF(OR(E1479="",E1479="!!!",F1479="NEW"),"",INDEX(J$1:J1478,SUMPRODUCT(MAX(ROW(E$1:E1478)*(E1479=E$1:E1478)))))</f>
        <v> </v>
      </c>
      <c r="L1479" s="26"/>
    </row>
    <row r="1480" spans="1:12">
      <c r="A1480" s="20" t="s">
        <v>933</v>
      </c>
      <c r="E1480" s="21">
        <f>IF(D1480="?OLD","!!!","")</f>
        <v/>
      </c>
      <c r="F1480" s="22" t="str">
        <f>IF(OR(E1480="",E1480="!!!"),"",IF(NOT(ISNA(VLOOKUP(E1480,E$1:E1479,1,FALSE()))),"OLD",IF(AND(E1480&lt;&gt;"",E1480&lt;&gt;"!!!"),"NEW","")))</f>
        <v> </v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4" t="str">
        <f>IF(J1480&lt;&gt;1,"",IF(I1480="SBJ","CB","?"))</f>
        <v> </v>
      </c>
      <c r="I1480" s="25" t="str">
        <f>IF(OR(E1480="",E1480="!!!",F1480="NEW"),"",INDEX(B1479:B$2,-1+SUMPRODUCT(MAX(ROW(E1479:E$2)*(E1480=E1479:E$2)))))</f>
        <v> </v>
      </c>
      <c r="J1480" s="25" t="str">
        <f>IF(OR(E1480="",E1480="!!!",F1480="NEW"),"",COUNTBLANK(OFFSET(A$1,,,SUMPRODUCT(MAX(ROW(E$2:E1480)*(E1480=E$2:E1480)))))-COUNTBLANK(OFFSET(A$1,,,SUMPRODUCT(MAX(ROW(E$1:E1479)*(E2=E$1:E1479))))))</f>
        <v> </v>
      </c>
      <c r="K1480" s="25" t="str">
        <f>IF(OR(E1480="",E1480="!!!",F1480="NEW"),"",INDEX(J$1:J1479,SUMPRODUCT(MAX(ROW(E$1:E1479)*(E1480=E$1:E1479)))))</f>
        <v> </v>
      </c>
      <c r="L1480" s="26"/>
    </row>
    <row r="1481" spans="1:12">
      <c r="A1481" s="20" t="s">
        <v>274</v>
      </c>
      <c r="E1481" s="21">
        <f>IF(D1481="?OLD","!!!","")</f>
        <v/>
      </c>
      <c r="F1481" s="22" t="str">
        <f>IF(OR(E1481="",E1481="!!!"),"",IF(NOT(ISNA(VLOOKUP(E1481,E$1:E1480,1,FALSE()))),"OLD",IF(AND(E1481&lt;&gt;"",E1481&lt;&gt;"!!!"),"NEW","")))</f>
        <v> </v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4" t="str">
        <f>IF(J1481&lt;&gt;1,"",IF(I1481="SBJ","CB","?"))</f>
        <v> </v>
      </c>
      <c r="I1481" s="25" t="str">
        <f>IF(OR(E1481="",E1481="!!!",F1481="NEW"),"",INDEX(B1480:B$2,-1+SUMPRODUCT(MAX(ROW(E1480:E$2)*(E1481=E1480:E$2)))))</f>
        <v> </v>
      </c>
      <c r="J1481" s="25" t="str">
        <f>IF(OR(E1481="",E1481="!!!",F1481="NEW"),"",COUNTBLANK(OFFSET(A$1,,,SUMPRODUCT(MAX(ROW(E$2:E1481)*(E1481=E$2:E1481)))))-COUNTBLANK(OFFSET(A$1,,,SUMPRODUCT(MAX(ROW(E$1:E1480)*(E2=E$1:E1480))))))</f>
        <v> </v>
      </c>
      <c r="K1481" s="25" t="str">
        <f>IF(OR(E1481="",E1481="!!!",F1481="NEW"),"",INDEX(J$1:J1480,SUMPRODUCT(MAX(ROW(E$1:E1480)*(E1481=E$1:E1480)))))</f>
        <v> </v>
      </c>
      <c r="L1481" s="26"/>
    </row>
    <row r="1482" spans="1:12">
      <c r="A1482" s="20" t="s">
        <v>934</v>
      </c>
      <c r="B1482" s="27" t="s">
        <v>422</v>
      </c>
      <c r="C1482" s="27" t="s">
        <v>555</v>
      </c>
      <c r="D1482" s="27" t="s">
        <v>384</v>
      </c>
      <c r="E1482" s="21">
        <f>IF(D1482="?OLD","!!!","")</f>
        <v/>
      </c>
      <c r="F1482" s="22" t="str">
        <f>IF(OR(E1482="",E1482="!!!"),"",IF(NOT(ISNA(VLOOKUP(E1482,E$1:E1481,1,FALSE()))),"OLD",IF(AND(E1482&lt;&gt;"",E1482&lt;&gt;"!!!"),"NEW","")))</f>
        <v> </v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4" t="str">
        <f>IF(J1482&lt;&gt;1,"",IF(I1482="SBJ","CB","?"))</f>
        <v> </v>
      </c>
      <c r="I1482" s="25" t="str">
        <f>IF(OR(E1482="",E1482="!!!",F1482="NEW"),"",INDEX(B1481:B$2,-1+SUMPRODUCT(MAX(ROW(E1481:E$2)*(E1482=E1481:E$2)))))</f>
        <v> </v>
      </c>
      <c r="J1482" s="25" t="str">
        <f>IF(OR(E1482="",E1482="!!!",F1482="NEW"),"",COUNTBLANK(OFFSET(A$1,,,SUMPRODUCT(MAX(ROW(E$2:E1482)*(E1482=E$2:E1482)))))-COUNTBLANK(OFFSET(A$1,,,SUMPRODUCT(MAX(ROW(E$1:E1481)*(E2=E$1:E1481))))))</f>
        <v> </v>
      </c>
      <c r="K1482" s="25" t="str">
        <f>IF(OR(E1482="",E1482="!!!",F1482="NEW"),"",INDEX(J$1:J1481,SUMPRODUCT(MAX(ROW(E$1:E1481)*(E1482=E$1:E1481)))))</f>
        <v> </v>
      </c>
      <c r="L1482" s="26"/>
    </row>
    <row r="1483" spans="1:12">
      <c r="A1483" s="20" t="s">
        <v>720</v>
      </c>
      <c r="E1483" s="21">
        <f>IF(D1483="?OLD","!!!","")</f>
        <v/>
      </c>
      <c r="F1483" s="22" t="str">
        <f>IF(OR(E1483="",E1483="!!!"),"",IF(NOT(ISNA(VLOOKUP(E1483,E$1:E1482,1,FALSE()))),"OLD",IF(AND(E1483&lt;&gt;"",E1483&lt;&gt;"!!!"),"NEW","")))</f>
        <v> </v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4" t="str">
        <f>IF(J1483&lt;&gt;1,"",IF(I1483="SBJ","CB","?"))</f>
        <v> </v>
      </c>
      <c r="I1483" s="25" t="str">
        <f>IF(OR(E1483="",E1483="!!!",F1483="NEW"),"",INDEX(B1482:B$2,-1+SUMPRODUCT(MAX(ROW(E1482:E$2)*(E1483=E1482:E$2)))))</f>
        <v> </v>
      </c>
      <c r="J1483" s="25" t="str">
        <f>IF(OR(E1483="",E1483="!!!",F1483="NEW"),"",COUNTBLANK(OFFSET(A$1,,,SUMPRODUCT(MAX(ROW(E$2:E1483)*(E1483=E$2:E1483)))))-COUNTBLANK(OFFSET(A$1,,,SUMPRODUCT(MAX(ROW(E$1:E1482)*(E2=E$1:E1482))))))</f>
        <v> </v>
      </c>
      <c r="K1483" s="25" t="str">
        <f>IF(OR(E1483="",E1483="!!!",F1483="NEW"),"",INDEX(J$1:J1482,SUMPRODUCT(MAX(ROW(E$1:E1482)*(E1483=E$1:E1482)))))</f>
        <v> </v>
      </c>
      <c r="L1483" s="26"/>
    </row>
    <row r="1484" spans="1:12">
      <c r="A1484" s="20" t="s">
        <v>293</v>
      </c>
      <c r="B1484" s="27" t="s">
        <v>376</v>
      </c>
      <c r="C1484" s="27" t="s">
        <v>393</v>
      </c>
      <c r="D1484" s="27" t="s">
        <v>384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 t="s">
        <v>394</v>
      </c>
      <c r="E1485" s="21">
        <f>IF(D1485="?OLD","!!!","")</f>
        <v/>
      </c>
      <c r="F1485" s="22" t="str">
        <f>IF(OR(E1485="",E1485="!!!"),"",IF(NOT(ISNA(VLOOKUP(E1485,E$1:E1484,1,FALSE()))),"OLD",IF(AND(E1485&lt;&gt;"",E1485&lt;&gt;"!!!"),"NEW","")))</f>
        <v> </v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4" t="str">
        <f>IF(J1485&lt;&gt;1,"",IF(I1485="SBJ","CB","?"))</f>
        <v> </v>
      </c>
      <c r="I1485" s="25" t="str">
        <f>IF(OR(E1485="",E1485="!!!",F1485="NEW"),"",INDEX(B1484:B$2,-1+SUMPRODUCT(MAX(ROW(E1484:E$2)*(E1485=E1484:E$2)))))</f>
        <v> </v>
      </c>
      <c r="J1485" s="25" t="str">
        <f>IF(OR(E1485="",E1485="!!!",F1485="NEW"),"",COUNTBLANK(OFFSET(A$1,,,SUMPRODUCT(MAX(ROW(E$2:E1485)*(E1485=E$2:E1485)))))-COUNTBLANK(OFFSET(A$1,,,SUMPRODUCT(MAX(ROW(E$1:E1484)*(E2=E$1:E1484))))))</f>
        <v> </v>
      </c>
      <c r="K1485" s="25" t="str">
        <f>IF(OR(E1485="",E1485="!!!",F1485="NEW"),"",INDEX(J$1:J1484,SUMPRODUCT(MAX(ROW(E$1:E1484)*(E1485=E$1:E1484)))))</f>
        <v> </v>
      </c>
      <c r="L1485" s="26"/>
    </row>
    <row r="1486" spans="1:12">
      <c r="A1486" s="20" t="s">
        <v>935</v>
      </c>
      <c r="B1486" s="27" t="s">
        <v>422</v>
      </c>
      <c r="C1486" s="27" t="s">
        <v>396</v>
      </c>
      <c r="E1486" s="21">
        <f>IF(D1486="?OLD","!!!","")</f>
        <v/>
      </c>
      <c r="F1486" s="22" t="str">
        <f>IF(OR(E1486="",E1486="!!!"),"",IF(NOT(ISNA(VLOOKUP(E1486,E$1:E1485,1,FALSE()))),"OLD",IF(AND(E1486&lt;&gt;"",E1486&lt;&gt;"!!!"),"NEW","")))</f>
        <v> </v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4" t="str">
        <f>IF(J1486&lt;&gt;1,"",IF(I1486="SBJ","CB","?"))</f>
        <v> </v>
      </c>
      <c r="I1486" s="25" t="str">
        <f>IF(OR(E1486="",E1486="!!!",F1486="NEW"),"",INDEX(B1485:B$2,-1+SUMPRODUCT(MAX(ROW(E1485:E$2)*(E1486=E1485:E$2)))))</f>
        <v> </v>
      </c>
      <c r="J1486" s="25" t="str">
        <f>IF(OR(E1486="",E1486="!!!",F1486="NEW"),"",COUNTBLANK(OFFSET(A$1,,,SUMPRODUCT(MAX(ROW(E$2:E1486)*(E1486=E$2:E1486)))))-COUNTBLANK(OFFSET(A$1,,,SUMPRODUCT(MAX(ROW(E$1:E1485)*(E2=E$1:E1485))))))</f>
        <v> </v>
      </c>
      <c r="K1486" s="25" t="str">
        <f>IF(OR(E1486="",E1486="!!!",F1486="NEW"),"",INDEX(J$1:J1485,SUMPRODUCT(MAX(ROW(E$1:E1485)*(E1486=E$1:E1485)))))</f>
        <v> </v>
      </c>
      <c r="L1486" s="26"/>
    </row>
    <row r="1487" spans="1:12">
      <c r="A1487" s="20" t="s">
        <v>378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 t="s">
        <v>274</v>
      </c>
      <c r="E1488" s="21">
        <f>IF(D1488="?OLD","!!!","")</f>
        <v/>
      </c>
      <c r="F1488" s="22" t="str">
        <f>IF(OR(E1488="",E1488="!!!"),"",IF(NOT(ISNA(VLOOKUP(E1488,E$1:E1487,1,FALSE()))),"OLD",IF(AND(E1488&lt;&gt;"",E1488&lt;&gt;"!!!"),"NEW","")))</f>
        <v> </v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4" t="str">
        <f>IF(J1488&lt;&gt;1,"",IF(I1488="SBJ","CB","?"))</f>
        <v> </v>
      </c>
      <c r="I1488" s="25" t="str">
        <f>IF(OR(E1488="",E1488="!!!",F1488="NEW"),"",INDEX(B1487:B$2,-1+SUMPRODUCT(MAX(ROW(E1487:E$2)*(E1488=E1487:E$2)))))</f>
        <v> </v>
      </c>
      <c r="J1488" s="25" t="str">
        <f>IF(OR(E1488="",E1488="!!!",F1488="NEW"),"",COUNTBLANK(OFFSET(A$1,,,SUMPRODUCT(MAX(ROW(E$2:E1488)*(E1488=E$2:E1488)))))-COUNTBLANK(OFFSET(A$1,,,SUMPRODUCT(MAX(ROW(E$1:E1487)*(E2=E$1:E1487))))))</f>
        <v> </v>
      </c>
      <c r="K1488" s="25" t="str">
        <f>IF(OR(E1488="",E1488="!!!",F1488="NEW"),"",INDEX(J$1:J1487,SUMPRODUCT(MAX(ROW(E$1:E1487)*(E1488=E$1:E1487)))))</f>
        <v> </v>
      </c>
      <c r="L1488" s="26"/>
    </row>
    <row r="1489" spans="1:12">
      <c r="A1489" s="20" t="s">
        <v>934</v>
      </c>
      <c r="B1489" s="27" t="s">
        <v>422</v>
      </c>
      <c r="C1489" s="27" t="s">
        <v>555</v>
      </c>
      <c r="D1489" s="27" t="s">
        <v>384</v>
      </c>
      <c r="E1489" s="21">
        <f>IF(D1489="?OLD","!!!","")</f>
        <v/>
      </c>
      <c r="F1489" s="22" t="str">
        <f>IF(OR(E1489="",E1489="!!!"),"",IF(NOT(ISNA(VLOOKUP(E1489,E$1:E1488,1,FALSE()))),"OLD",IF(AND(E1489&lt;&gt;"",E1489&lt;&gt;"!!!"),"NEW","")))</f>
        <v> </v>
      </c>
      <c r="G1489" s="23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4" t="str">
        <f>IF(J1489&lt;&gt;1,"",IF(I1489="SBJ","CB","?"))</f>
        <v> </v>
      </c>
      <c r="I1489" s="25" t="str">
        <f>IF(OR(E1489="",E1489="!!!",F1489="NEW"),"",INDEX(B1488:B$2,-1+SUMPRODUCT(MAX(ROW(E1488:E$2)*(E1489=E1488:E$2)))))</f>
        <v> </v>
      </c>
      <c r="J1489" s="25" t="str">
        <f>IF(OR(E1489="",E1489="!!!",F1489="NEW"),"",COUNTBLANK(OFFSET(A$1,,,SUMPRODUCT(MAX(ROW(E$2:E1489)*(E1489=E$2:E1489)))))-COUNTBLANK(OFFSET(A$1,,,SUMPRODUCT(MAX(ROW(E$1:E1488)*(E2=E$1:E1488))))))</f>
        <v> </v>
      </c>
      <c r="K1489" s="25" t="str">
        <f>IF(OR(E1489="",E1489="!!!",F1489="NEW"),"",INDEX(J$1:J1488,SUMPRODUCT(MAX(ROW(E$1:E1488)*(E1489=E$1:E1488)))))</f>
        <v> </v>
      </c>
      <c r="L1489" s="26"/>
    </row>
    <row r="1490" spans="1:12">
      <c r="A1490" s="20" t="s">
        <v>936</v>
      </c>
      <c r="B1490" s="27" t="s">
        <v>376</v>
      </c>
      <c r="C1490" s="27" t="s">
        <v>402</v>
      </c>
      <c r="D1490" s="27" t="s">
        <v>384</v>
      </c>
      <c r="E1490" s="21">
        <f>IF(D1490="?OLD","!!!","")</f>
        <v/>
      </c>
      <c r="F1490" s="22" t="str">
        <f>IF(OR(E1490="",E1490="!!!"),"",IF(NOT(ISNA(VLOOKUP(E1490,E$1:E1489,1,FALSE()))),"OLD",IF(AND(E1490&lt;&gt;"",E1490&lt;&gt;"!!!"),"NEW","")))</f>
        <v> </v>
      </c>
      <c r="G1490" s="23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4" t="str">
        <f>IF(J1490&lt;&gt;1,"",IF(I1490="SBJ","CB","?"))</f>
        <v> </v>
      </c>
      <c r="I1490" s="25" t="str">
        <f>IF(OR(E1490="",E1490="!!!",F1490="NEW"),"",INDEX(B1489:B$2,-1+SUMPRODUCT(MAX(ROW(E1489:E$2)*(E1490=E1489:E$2)))))</f>
        <v> </v>
      </c>
      <c r="J1490" s="25" t="str">
        <f>IF(OR(E1490="",E1490="!!!",F1490="NEW"),"",COUNTBLANK(OFFSET(A$1,,,SUMPRODUCT(MAX(ROW(E$2:E1490)*(E1490=E$2:E1490)))))-COUNTBLANK(OFFSET(A$1,,,SUMPRODUCT(MAX(ROW(E$1:E1489)*(E2=E$1:E1489))))))</f>
        <v> </v>
      </c>
      <c r="K1490" s="25" t="str">
        <f>IF(OR(E1490="",E1490="!!!",F1490="NEW"),"",INDEX(J$1:J1489,SUMPRODUCT(MAX(ROW(E$1:E1489)*(E1490=E$1:E1489)))))</f>
        <v> </v>
      </c>
      <c r="L1490" s="26"/>
    </row>
    <row r="1491" spans="1:12">
      <c r="A1491" s="20" t="s">
        <v>419</v>
      </c>
      <c r="E1491" s="21">
        <f>IF(D1491="?OLD","!!!","")</f>
        <v/>
      </c>
      <c r="F1491" s="22" t="str">
        <f>IF(OR(E1491="",E1491="!!!"),"",IF(NOT(ISNA(VLOOKUP(E1491,E$1:E1490,1,FALSE()))),"OLD",IF(AND(E1491&lt;&gt;"",E1491&lt;&gt;"!!!"),"NEW","")))</f>
        <v> </v>
      </c>
      <c r="G1491" s="23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4" t="str">
        <f>IF(J1491&lt;&gt;1,"",IF(I1491="SBJ","CB","?"))</f>
        <v> </v>
      </c>
      <c r="I1491" s="25" t="str">
        <f>IF(OR(E1491="",E1491="!!!",F1491="NEW"),"",INDEX(B1490:B$2,-1+SUMPRODUCT(MAX(ROW(E1490:E$2)*(E1491=E1490:E$2)))))</f>
        <v> </v>
      </c>
      <c r="J1491" s="25" t="str">
        <f>IF(OR(E1491="",E1491="!!!",F1491="NEW"),"",COUNTBLANK(OFFSET(A$1,,,SUMPRODUCT(MAX(ROW(E$2:E1491)*(E1491=E$2:E1491)))))-COUNTBLANK(OFFSET(A$1,,,SUMPRODUCT(MAX(ROW(E$1:E1490)*(E2=E$1:E1490))))))</f>
        <v> </v>
      </c>
      <c r="K1491" s="25" t="str">
        <f>IF(OR(E1491="",E1491="!!!",F1491="NEW"),"",INDEX(J$1:J1490,SUMPRODUCT(MAX(ROW(E$1:E1490)*(E1491=E$1:E1490)))))</f>
        <v> </v>
      </c>
      <c r="L1491" s="26"/>
    </row>
    <row r="1492" spans="1:12">
      <c r="A1492" s="20" t="s">
        <v>274</v>
      </c>
      <c r="E1492" s="21">
        <f>IF(D1492="?OLD","!!!","")</f>
        <v/>
      </c>
      <c r="F1492" s="22" t="str">
        <f>IF(OR(E1492="",E1492="!!!"),"",IF(NOT(ISNA(VLOOKUP(E1492,E$1:E1491,1,FALSE()))),"OLD",IF(AND(E1492&lt;&gt;"",E1492&lt;&gt;"!!!"),"NEW","")))</f>
        <v> </v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4" t="str">
        <f>IF(J1492&lt;&gt;1,"",IF(I1492="SBJ","CB","?"))</f>
        <v> </v>
      </c>
      <c r="I1492" s="25" t="str">
        <f>IF(OR(E1492="",E1492="!!!",F1492="NEW"),"",INDEX(B1491:B$2,-1+SUMPRODUCT(MAX(ROW(E1491:E$2)*(E1492=E1491:E$2)))))</f>
        <v> </v>
      </c>
      <c r="J1492" s="25" t="str">
        <f>IF(OR(E1492="",E1492="!!!",F1492="NEW"),"",COUNTBLANK(OFFSET(A$1,,,SUMPRODUCT(MAX(ROW(E$2:E1492)*(E1492=E$2:E1492)))))-COUNTBLANK(OFFSET(A$1,,,SUMPRODUCT(MAX(ROW(E$1:E1491)*(E2=E$1:E1491))))))</f>
        <v> </v>
      </c>
      <c r="K1492" s="25" t="str">
        <f>IF(OR(E1492="",E1492="!!!",F1492="NEW"),"",INDEX(J$1:J1491,SUMPRODUCT(MAX(ROW(E$1:E1491)*(E1492=E$1:E1491)))))</f>
        <v> </v>
      </c>
      <c r="L1492" s="26"/>
    </row>
    <row r="1493" spans="1:12">
      <c r="A1493" s="20" t="s">
        <v>934</v>
      </c>
      <c r="B1493" s="27" t="s">
        <v>458</v>
      </c>
      <c r="C1493" s="27" t="s">
        <v>555</v>
      </c>
      <c r="D1493" s="27" t="s">
        <v>384</v>
      </c>
      <c r="E1493" s="21">
        <f>IF(D1493="?OLD","!!!","")</f>
        <v/>
      </c>
      <c r="F1493" s="22" t="str">
        <f>IF(OR(E1493="",E1493="!!!"),"",IF(NOT(ISNA(VLOOKUP(E1493,E$1:E1492,1,FALSE()))),"OLD",IF(AND(E1493&lt;&gt;"",E1493&lt;&gt;"!!!"),"NEW","")))</f>
        <v> </v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4" t="str">
        <f>IF(J1493&lt;&gt;1,"",IF(I1493="SBJ","CB","?"))</f>
        <v> </v>
      </c>
      <c r="I1493" s="25" t="str">
        <f>IF(OR(E1493="",E1493="!!!",F1493="NEW"),"",INDEX(B1492:B$2,-1+SUMPRODUCT(MAX(ROW(E1492:E$2)*(E1493=E1492:E$2)))))</f>
        <v> </v>
      </c>
      <c r="J1493" s="25" t="str">
        <f>IF(OR(E1493="",E1493="!!!",F1493="NEW"),"",COUNTBLANK(OFFSET(A$1,,,SUMPRODUCT(MAX(ROW(E$2:E1493)*(E1493=E$2:E1493)))))-COUNTBLANK(OFFSET(A$1,,,SUMPRODUCT(MAX(ROW(E$1:E1492)*(E2=E$1:E1492))))))</f>
        <v> </v>
      </c>
      <c r="K1493" s="25" t="str">
        <f>IF(OR(E1493="",E1493="!!!",F1493="NEW"),"",INDEX(J$1:J1492,SUMPRODUCT(MAX(ROW(E$1:E1492)*(E1493=E$1:E1492)))))</f>
        <v> </v>
      </c>
      <c r="L1493" s="26"/>
    </row>
    <row r="1494" spans="1:12">
      <c r="A1494" s="20" t="s">
        <v>196</v>
      </c>
      <c r="B1494" s="27" t="s">
        <v>422</v>
      </c>
      <c r="C1494" s="27" t="s">
        <v>402</v>
      </c>
      <c r="D1494" s="27" t="s">
        <v>384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 t="s">
        <v>141</v>
      </c>
      <c r="E1495" s="21">
        <f>IF(D1495="?OLD","!!!","")</f>
        <v/>
      </c>
      <c r="F1495" s="22" t="str">
        <f>IF(OR(E1495="",E1495="!!!"),"",IF(NOT(ISNA(VLOOKUP(E1495,E$1:E1494,1,FALSE()))),"OLD",IF(AND(E1495&lt;&gt;"",E1495&lt;&gt;"!!!"),"NEW","")))</f>
        <v> </v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4" t="str">
        <f>IF(J1495&lt;&gt;1,"",IF(I1495="SBJ","CB","?"))</f>
        <v> </v>
      </c>
      <c r="I1495" s="25" t="str">
        <f>IF(OR(E1495="",E1495="!!!",F1495="NEW"),"",INDEX(B1494:B$2,-1+SUMPRODUCT(MAX(ROW(E1494:E$2)*(E1495=E1494:E$2)))))</f>
        <v> </v>
      </c>
      <c r="J1495" s="25" t="str">
        <f>IF(OR(E1495="",E1495="!!!",F1495="NEW"),"",COUNTBLANK(OFFSET(A$1,,,SUMPRODUCT(MAX(ROW(E$2:E1495)*(E1495=E$2:E1495)))))-COUNTBLANK(OFFSET(A$1,,,SUMPRODUCT(MAX(ROW(E$1:E1494)*(E2=E$1:E1494))))))</f>
        <v> </v>
      </c>
      <c r="K1495" s="25" t="str">
        <f>IF(OR(E1495="",E1495="!!!",F1495="NEW"),"",INDEX(J$1:J1494,SUMPRODUCT(MAX(ROW(E$1:E1494)*(E1495=E$1:E1494)))))</f>
        <v> </v>
      </c>
      <c r="L1495" s="26"/>
    </row>
    <row r="1496" spans="1:12">
      <c r="A1496" s="20" t="s">
        <v>416</v>
      </c>
      <c r="E1496" s="21">
        <f>IF(D1496="?OLD","!!!","")</f>
        <v/>
      </c>
      <c r="F1496" s="22" t="str">
        <f>IF(OR(E1496="",E1496="!!!"),"",IF(NOT(ISNA(VLOOKUP(E1496,E$1:E1495,1,FALSE()))),"OLD",IF(AND(E1496&lt;&gt;"",E1496&lt;&gt;"!!!"),"NEW","")))</f>
        <v> </v>
      </c>
      <c r="G1496" s="23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4" t="str">
        <f>IF(J1496&lt;&gt;1,"",IF(I1496="SBJ","CB","?"))</f>
        <v> </v>
      </c>
      <c r="I1496" s="25" t="str">
        <f>IF(OR(E1496="",E1496="!!!",F1496="NEW"),"",INDEX(B1495:B$2,-1+SUMPRODUCT(MAX(ROW(E1495:E$2)*(E1496=E1495:E$2)))))</f>
        <v> </v>
      </c>
      <c r="J1496" s="25" t="str">
        <f>IF(OR(E1496="",E1496="!!!",F1496="NEW"),"",COUNTBLANK(OFFSET(A$1,,,SUMPRODUCT(MAX(ROW(E$2:E1496)*(E1496=E$2:E1496)))))-COUNTBLANK(OFFSET(A$1,,,SUMPRODUCT(MAX(ROW(E$1:E1495)*(E2=E$1:E1495))))))</f>
        <v> </v>
      </c>
      <c r="K1496" s="25" t="str">
        <f>IF(OR(E1496="",E1496="!!!",F1496="NEW"),"",INDEX(J$1:J1495,SUMPRODUCT(MAX(ROW(E$1:E1495)*(E1496=E$1:E1495)))))</f>
        <v> </v>
      </c>
      <c r="L1496" s="26"/>
    </row>
    <row r="1497" spans="1:12">
      <c r="A1497" s="20" t="s">
        <v>416</v>
      </c>
      <c r="E1497" s="21">
        <f>IF(D1497="?OLD","!!!","")</f>
        <v/>
      </c>
      <c r="F1497" s="22" t="str">
        <f>IF(OR(E1497="",E1497="!!!"),"",IF(NOT(ISNA(VLOOKUP(E1497,E$1:E1496,1,FALSE()))),"OLD",IF(AND(E1497&lt;&gt;"",E1497&lt;&gt;"!!!"),"NEW","")))</f>
        <v> </v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4" t="str">
        <f>IF(J1497&lt;&gt;1,"",IF(I1497="SBJ","CB","?"))</f>
        <v> </v>
      </c>
      <c r="I1497" s="25" t="str">
        <f>IF(OR(E1497="",E1497="!!!",F1497="NEW"),"",INDEX(B1496:B$2,-1+SUMPRODUCT(MAX(ROW(E1496:E$2)*(E1497=E1496:E$2)))))</f>
        <v> </v>
      </c>
      <c r="J1497" s="25" t="str">
        <f>IF(OR(E1497="",E1497="!!!",F1497="NEW"),"",COUNTBLANK(OFFSET(A$1,,,SUMPRODUCT(MAX(ROW(E$2:E1497)*(E1497=E$2:E1497)))))-COUNTBLANK(OFFSET(A$1,,,SUMPRODUCT(MAX(ROW(E$1:E1496)*(E2=E$1:E1496))))))</f>
        <v> </v>
      </c>
      <c r="K1497" s="25" t="str">
        <f>IF(OR(E1497="",E1497="!!!",F1497="NEW"),"",INDEX(J$1:J1496,SUMPRODUCT(MAX(ROW(E$1:E1496)*(E1497=E$1:E1496)))))</f>
        <v> </v>
      </c>
      <c r="L1497" s="26"/>
    </row>
    <row r="1498" spans="1:12">
      <c r="A1498" s="20" t="s">
        <v>512</v>
      </c>
      <c r="B1498" s="27" t="s">
        <v>537</v>
      </c>
      <c r="C1498" s="27" t="s">
        <v>393</v>
      </c>
      <c r="D1498" s="27" t="s">
        <v>384</v>
      </c>
      <c r="E1498" s="21">
        <f>IF(D1498="?OLD","!!!","")</f>
        <v/>
      </c>
      <c r="F1498" s="22" t="str">
        <f>IF(OR(E1498="",E1498="!!!"),"",IF(NOT(ISNA(VLOOKUP(E1498,E$1:E1497,1,FALSE()))),"OLD",IF(AND(E1498&lt;&gt;"",E1498&lt;&gt;"!!!"),"NEW","")))</f>
        <v> </v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4" t="str">
        <f>IF(J1498&lt;&gt;1,"",IF(I1498="SBJ","CB","?"))</f>
        <v> </v>
      </c>
      <c r="I1498" s="25" t="str">
        <f>IF(OR(E1498="",E1498="!!!",F1498="NEW"),"",INDEX(B1497:B$2,-1+SUMPRODUCT(MAX(ROW(E1497:E$2)*(E1498=E1497:E$2)))))</f>
        <v> </v>
      </c>
      <c r="J1498" s="25" t="str">
        <f>IF(OR(E1498="",E1498="!!!",F1498="NEW"),"",COUNTBLANK(OFFSET(A$1,,,SUMPRODUCT(MAX(ROW(E$2:E1498)*(E1498=E$2:E1498)))))-COUNTBLANK(OFFSET(A$1,,,SUMPRODUCT(MAX(ROW(E$1:E1497)*(E2=E$1:E1497))))))</f>
        <v> </v>
      </c>
      <c r="K1498" s="25" t="str">
        <f>IF(OR(E1498="",E1498="!!!",F1498="NEW"),"",INDEX(J$1:J1497,SUMPRODUCT(MAX(ROW(E$1:E1497)*(E1498=E$1:E1497)))))</f>
        <v> </v>
      </c>
      <c r="L1498" s="26"/>
    </row>
    <row r="1499" spans="1:12">
      <c r="A1499" s="20" t="s">
        <v>415</v>
      </c>
      <c r="B1499" s="27" t="s">
        <v>937</v>
      </c>
      <c r="E1499" s="21">
        <f>IF(D1499="?OLD","!!!","")</f>
        <v/>
      </c>
      <c r="F1499" s="22" t="str">
        <f>IF(OR(E1499="",E1499="!!!"),"",IF(NOT(ISNA(VLOOKUP(E1499,E$1:E1498,1,FALSE()))),"OLD",IF(AND(E1499&lt;&gt;"",E1499&lt;&gt;"!!!"),"NEW","")))</f>
        <v> </v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4" t="str">
        <f>IF(J1499&lt;&gt;1,"",IF(I1499="SBJ","CB","?"))</f>
        <v> </v>
      </c>
      <c r="I1499" s="25" t="str">
        <f>IF(OR(E1499="",E1499="!!!",F1499="NEW"),"",INDEX(B1498:B$2,-1+SUMPRODUCT(MAX(ROW(E1498:E$2)*(E1499=E1498:E$2)))))</f>
        <v> </v>
      </c>
      <c r="J1499" s="25" t="str">
        <f>IF(OR(E1499="",E1499="!!!",F1499="NEW"),"",COUNTBLANK(OFFSET(A$1,,,SUMPRODUCT(MAX(ROW(E$2:E1499)*(E1499=E$2:E1499)))))-COUNTBLANK(OFFSET(A$1,,,SUMPRODUCT(MAX(ROW(E$1:E1498)*(E2=E$1:E1498))))))</f>
        <v> </v>
      </c>
      <c r="K1499" s="25" t="str">
        <f>IF(OR(E1499="",E1499="!!!",F1499="NEW"),"",INDEX(J$1:J1498,SUMPRODUCT(MAX(ROW(E$1:E1498)*(E1499=E$1:E1498)))))</f>
        <v> </v>
      </c>
      <c r="L1499" s="26"/>
    </row>
    <row r="1500" spans="1:12">
      <c r="A1500" s="20" t="s">
        <v>938</v>
      </c>
      <c r="E1500" s="21">
        <f>IF(D1500="?OLD","!!!","")</f>
        <v/>
      </c>
      <c r="F1500" s="22" t="str">
        <f>IF(OR(E1500="",E1500="!!!"),"",IF(NOT(ISNA(VLOOKUP(E1500,E$1:E1499,1,FALSE()))),"OLD",IF(AND(E1500&lt;&gt;"",E1500&lt;&gt;"!!!"),"NEW","")))</f>
        <v> </v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4" t="str">
        <f>IF(J1500&lt;&gt;1,"",IF(I1500="SBJ","CB","?"))</f>
        <v> </v>
      </c>
      <c r="I1500" s="25" t="str">
        <f>IF(OR(E1500="",E1500="!!!",F1500="NEW"),"",INDEX(B1499:B$2,-1+SUMPRODUCT(MAX(ROW(E1499:E$2)*(E1500=E1499:E$2)))))</f>
        <v> </v>
      </c>
      <c r="J1500" s="25" t="str">
        <f>IF(OR(E1500="",E1500="!!!",F1500="NEW"),"",COUNTBLANK(OFFSET(A$1,,,SUMPRODUCT(MAX(ROW(E$2:E1500)*(E1500=E$2:E1500)))))-COUNTBLANK(OFFSET(A$1,,,SUMPRODUCT(MAX(ROW(E$1:E1499)*(E2=E$1:E1499))))))</f>
        <v> </v>
      </c>
      <c r="K1500" s="25" t="str">
        <f>IF(OR(E1500="",E1500="!!!",F1500="NEW"),"",INDEX(J$1:J1499,SUMPRODUCT(MAX(ROW(E$1:E1499)*(E1500=E$1:E1499)))))</f>
        <v> </v>
      </c>
      <c r="L1500" s="26"/>
    </row>
    <row r="1501" spans="1:12">
      <c r="A1501" s="20" t="s">
        <v>380</v>
      </c>
      <c r="E1501" s="21">
        <f>IF(D1501="?OLD","!!!","")</f>
        <v/>
      </c>
      <c r="F1501" s="22" t="str">
        <f>IF(OR(E1501="",E1501="!!!"),"",IF(NOT(ISNA(VLOOKUP(E1501,E$1:E1500,1,FALSE()))),"OLD",IF(AND(E1501&lt;&gt;"",E1501&lt;&gt;"!!!"),"NEW","")))</f>
        <v> </v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4" t="str">
        <f>IF(J1501&lt;&gt;1,"",IF(I1501="SBJ","CB","?"))</f>
        <v> </v>
      </c>
      <c r="I1501" s="25" t="str">
        <f>IF(OR(E1501="",E1501="!!!",F1501="NEW"),"",INDEX(B1500:B$2,-1+SUMPRODUCT(MAX(ROW(E1500:E$2)*(E1501=E1500:E$2)))))</f>
        <v> </v>
      </c>
      <c r="J1501" s="25" t="str">
        <f>IF(OR(E1501="",E1501="!!!",F1501="NEW"),"",COUNTBLANK(OFFSET(A$1,,,SUMPRODUCT(MAX(ROW(E$2:E1501)*(E1501=E$2:E1501)))))-COUNTBLANK(OFFSET(A$1,,,SUMPRODUCT(MAX(ROW(E$1:E1500)*(E2=E$1:E1500))))))</f>
        <v> </v>
      </c>
      <c r="K1501" s="25" t="str">
        <f>IF(OR(E1501="",E1501="!!!",F1501="NEW"),"",INDEX(J$1:J1500,SUMPRODUCT(MAX(ROW(E$1:E1500)*(E1501=E$1:E1500)))))</f>
        <v> </v>
      </c>
      <c r="L1501" s="26"/>
    </row>
    <row r="1502" spans="1:12">
      <c r="A1502" s="20" t="s">
        <v>939</v>
      </c>
      <c r="B1502" s="27" t="s">
        <v>538</v>
      </c>
      <c r="C1502" s="27" t="s">
        <v>396</v>
      </c>
      <c r="E1502" s="21">
        <f>IF(D1502="?OLD","!!!","")</f>
        <v/>
      </c>
      <c r="F1502" s="22" t="str">
        <f>IF(OR(E1502="",E1502="!!!"),"",IF(NOT(ISNA(VLOOKUP(E1502,E$1:E1501,1,FALSE()))),"OLD",IF(AND(E1502&lt;&gt;"",E1502&lt;&gt;"!!!"),"NEW","")))</f>
        <v> </v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4" t="str">
        <f>IF(J1502&lt;&gt;1,"",IF(I1502="SBJ","CB","?"))</f>
        <v> </v>
      </c>
      <c r="I1502" s="25" t="str">
        <f>IF(OR(E1502="",E1502="!!!",F1502="NEW"),"",INDEX(B1501:B$2,-1+SUMPRODUCT(MAX(ROW(E1501:E$2)*(E1502=E1501:E$2)))))</f>
        <v> </v>
      </c>
      <c r="J1502" s="25" t="str">
        <f>IF(OR(E1502="",E1502="!!!",F1502="NEW"),"",COUNTBLANK(OFFSET(A$1,,,SUMPRODUCT(MAX(ROW(E$2:E1502)*(E1502=E$2:E1502)))))-COUNTBLANK(OFFSET(A$1,,,SUMPRODUCT(MAX(ROW(E$1:E1501)*(E2=E$1:E1501))))))</f>
        <v> </v>
      </c>
      <c r="K1502" s="25" t="str">
        <f>IF(OR(E1502="",E1502="!!!",F1502="NEW"),"",INDEX(J$1:J1501,SUMPRODUCT(MAX(ROW(E$1:E1501)*(E1502=E$1:E1501)))))</f>
        <v> </v>
      </c>
      <c r="L1502" s="26"/>
    </row>
    <row r="1503" spans="1:12">
      <c r="A1503" s="20" t="s">
        <v>403</v>
      </c>
      <c r="E1503" s="21">
        <f>IF(D1503="?OLD","!!!","")</f>
        <v/>
      </c>
      <c r="F1503" s="22" t="str">
        <f>IF(OR(E1503="",E1503="!!!"),"",IF(NOT(ISNA(VLOOKUP(E1503,E$1:E1502,1,FALSE()))),"OLD",IF(AND(E1503&lt;&gt;"",E1503&lt;&gt;"!!!"),"NEW","")))</f>
        <v> </v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4" t="str">
        <f>IF(J1503&lt;&gt;1,"",IF(I1503="SBJ","CB","?"))</f>
        <v> </v>
      </c>
      <c r="I1503" s="25" t="str">
        <f>IF(OR(E1503="",E1503="!!!",F1503="NEW"),"",INDEX(B1502:B$2,-1+SUMPRODUCT(MAX(ROW(E1502:E$2)*(E1503=E1502:E$2)))))</f>
        <v> </v>
      </c>
      <c r="J1503" s="25" t="str">
        <f>IF(OR(E1503="",E1503="!!!",F1503="NEW"),"",COUNTBLANK(OFFSET(A$1,,,SUMPRODUCT(MAX(ROW(E$2:E1503)*(E1503=E$2:E1503)))))-COUNTBLANK(OFFSET(A$1,,,SUMPRODUCT(MAX(ROW(E$1:E1502)*(E2=E$1:E1502))))))</f>
        <v> </v>
      </c>
      <c r="K1503" s="25" t="str">
        <f>IF(OR(E1503="",E1503="!!!",F1503="NEW"),"",INDEX(J$1:J1502,SUMPRODUCT(MAX(ROW(E$1:E1502)*(E1503=E$1:E1502)))))</f>
        <v> </v>
      </c>
      <c r="L1503" s="26"/>
    </row>
    <row r="1504" spans="1:12">
      <c r="A1504" s="20"/>
    </row>
    <row r="1505" spans="1:12">
      <c r="A1505" s="20" t="s">
        <v>410</v>
      </c>
      <c r="E1505" s="21">
        <f>IF(D1505="?OLD","!!!","")</f>
        <v/>
      </c>
      <c r="F1505" s="22" t="str">
        <f>IF(OR(E1505="",E1505="!!!"),"",IF(NOT(ISNA(VLOOKUP(E1505,E$1:E1504,1,FALSE()))),"OLD",IF(AND(E1505&lt;&gt;"",E1505&lt;&gt;"!!!"),"NEW","")))</f>
        <v> </v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4" t="str">
        <f>IF(J1505&lt;&gt;1,"",IF(I1505="SBJ","CB","?"))</f>
        <v> </v>
      </c>
      <c r="I1505" s="25" t="str">
        <f>IF(OR(E1505="",E1505="!!!",F1505="NEW"),"",INDEX(B1504:B$2,-1+SUMPRODUCT(MAX(ROW(E1504:E$2)*(E1505=E1504:E$2)))))</f>
        <v> </v>
      </c>
      <c r="J1505" s="25" t="str">
        <f>IF(OR(E1505="",E1505="!!!",F1505="NEW"),"",COUNTBLANK(OFFSET(A$1,,,SUMPRODUCT(MAX(ROW(E$2:E1505)*(E1505=E$2:E1505)))))-COUNTBLANK(OFFSET(A$1,,,SUMPRODUCT(MAX(ROW(E$1:E1504)*(E2=E$1:E1504))))))</f>
        <v> </v>
      </c>
      <c r="K1505" s="25" t="str">
        <f>IF(OR(E1505="",E1505="!!!",F1505="NEW"),"",INDEX(J$1:J1504,SUMPRODUCT(MAX(ROW(E$1:E1504)*(E1505=E$1:E1504)))))</f>
        <v> </v>
      </c>
      <c r="L1505" s="26"/>
    </row>
    <row r="1506" spans="1:12">
      <c r="A1506" s="20" t="s">
        <v>940</v>
      </c>
    </row>
    <row r="1507" spans="1:12">
      <c r="A1507" s="20" t="s">
        <v>941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 t="s">
        <v>560</v>
      </c>
      <c r="B1508" s="27" t="s">
        <v>382</v>
      </c>
      <c r="C1508" s="27" t="s">
        <v>377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 t="s">
        <v>378</v>
      </c>
      <c r="E1509" s="21">
        <f>IF(D1509="?OLD","!!!","")</f>
        <v/>
      </c>
      <c r="F1509" s="22" t="str">
        <f>IF(OR(E1509="",E1509="!!!"),"",IF(NOT(ISNA(VLOOKUP(E1509,E$1:E1508,1,FALSE()))),"OLD",IF(AND(E1509&lt;&gt;"",E1509&lt;&gt;"!!!"),"NEW","")))</f>
        <v> </v>
      </c>
      <c r="G1509" s="23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4" t="str">
        <f>IF(J1509&lt;&gt;1,"",IF(I1509="SBJ","CB","?"))</f>
        <v> </v>
      </c>
      <c r="I1509" s="25" t="str">
        <f>IF(OR(E1509="",E1509="!!!",F1509="NEW"),"",INDEX(B1508:B$2,-1+SUMPRODUCT(MAX(ROW(E1508:E$2)*(E1509=E1508:E$2)))))</f>
        <v> </v>
      </c>
      <c r="J1509" s="25" t="str">
        <f>IF(OR(E1509="",E1509="!!!",F1509="NEW"),"",COUNTBLANK(OFFSET(A$1,,,SUMPRODUCT(MAX(ROW(E$2:E1509)*(E1509=E$2:E1509)))))-COUNTBLANK(OFFSET(A$1,,,SUMPRODUCT(MAX(ROW(E$1:E1508)*(E2=E$1:E1508))))))</f>
        <v> </v>
      </c>
      <c r="K1509" s="25" t="str">
        <f>IF(OR(E1509="",E1509="!!!",F1509="NEW"),"",INDEX(J$1:J1508,SUMPRODUCT(MAX(ROW(E$1:E1508)*(E1509=E$1:E1508)))))</f>
        <v> </v>
      </c>
      <c r="L1509" s="26"/>
    </row>
    <row r="1510" spans="1:12">
      <c r="A1510" s="20" t="s">
        <v>390</v>
      </c>
      <c r="E1510" s="21">
        <f>IF(D1510="?OLD","!!!","")</f>
        <v/>
      </c>
      <c r="F1510" s="22" t="str">
        <f>IF(OR(E1510="",E1510="!!!"),"",IF(NOT(ISNA(VLOOKUP(E1510,E$1:E1509,1,FALSE()))),"OLD",IF(AND(E1510&lt;&gt;"",E1510&lt;&gt;"!!!"),"NEW","")))</f>
        <v> </v>
      </c>
      <c r="G1510" s="23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4" t="str">
        <f>IF(J1510&lt;&gt;1,"",IF(I1510="SBJ","CB","?"))</f>
        <v> </v>
      </c>
      <c r="I1510" s="25" t="str">
        <f>IF(OR(E1510="",E1510="!!!",F1510="NEW"),"",INDEX(B1509:B$2,-1+SUMPRODUCT(MAX(ROW(E1509:E$2)*(E1510=E1509:E$2)))))</f>
        <v> </v>
      </c>
      <c r="J1510" s="25" t="str">
        <f>IF(OR(E1510="",E1510="!!!",F1510="NEW"),"",COUNTBLANK(OFFSET(A$1,,,SUMPRODUCT(MAX(ROW(E$2:E1510)*(E1510=E$2:E1510)))))-COUNTBLANK(OFFSET(A$1,,,SUMPRODUCT(MAX(ROW(E$1:E1509)*(E2=E$1:E1509))))))</f>
        <v> </v>
      </c>
      <c r="K1510" s="25" t="str">
        <f>IF(OR(E1510="",E1510="!!!",F1510="NEW"),"",INDEX(J$1:J1509,SUMPRODUCT(MAX(ROW(E$1:E1509)*(E1510=E$1:E1509)))))</f>
        <v> </v>
      </c>
      <c r="L1510" s="26"/>
    </row>
    <row r="1511" spans="1:12">
      <c r="A1511" s="20" t="s">
        <v>942</v>
      </c>
      <c r="E1511" s="21">
        <f>IF(D1511="?OLD","!!!","")</f>
        <v/>
      </c>
      <c r="F1511" s="22" t="str">
        <f>IF(OR(E1511="",E1511="!!!"),"",IF(NOT(ISNA(VLOOKUP(E1511,E$1:E1510,1,FALSE()))),"OLD",IF(AND(E1511&lt;&gt;"",E1511&lt;&gt;"!!!"),"NEW","")))</f>
        <v> </v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4" t="str">
        <f>IF(J1511&lt;&gt;1,"",IF(I1511="SBJ","CB","?"))</f>
        <v> </v>
      </c>
      <c r="I1511" s="25" t="str">
        <f>IF(OR(E1511="",E1511="!!!",F1511="NEW"),"",INDEX(B1510:B$2,-1+SUMPRODUCT(MAX(ROW(E1510:E$2)*(E1511=E1510:E$2)))))</f>
        <v> </v>
      </c>
      <c r="J1511" s="25" t="str">
        <f>IF(OR(E1511="",E1511="!!!",F1511="NEW"),"",COUNTBLANK(OFFSET(A$1,,,SUMPRODUCT(MAX(ROW(E$2:E1511)*(E1511=E$2:E1511)))))-COUNTBLANK(OFFSET(A$1,,,SUMPRODUCT(MAX(ROW(E$1:E1510)*(E2=E$1:E1510))))))</f>
        <v> </v>
      </c>
      <c r="K1511" s="25" t="str">
        <f>IF(OR(E1511="",E1511="!!!",F1511="NEW"),"",INDEX(J$1:J1510,SUMPRODUCT(MAX(ROW(E$1:E1510)*(E1511=E$1:E1510)))))</f>
        <v> </v>
      </c>
      <c r="L1511" s="26"/>
    </row>
    <row r="1512" spans="1:12">
      <c r="A1512" s="20" t="s">
        <v>890</v>
      </c>
      <c r="B1512" s="27" t="s">
        <v>386</v>
      </c>
      <c r="C1512" s="27" t="s">
        <v>393</v>
      </c>
      <c r="D1512" s="27" t="s">
        <v>384</v>
      </c>
      <c r="E1512" s="21">
        <f>IF(D1512="?OLD","!!!","")</f>
        <v/>
      </c>
      <c r="F1512" s="22" t="str">
        <f>IF(OR(E1512="",E1512="!!!"),"",IF(NOT(ISNA(VLOOKUP(E1512,E$1:E1511,1,FALSE()))),"OLD",IF(AND(E1512&lt;&gt;"",E1512&lt;&gt;"!!!"),"NEW","")))</f>
        <v> </v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4" t="str">
        <f>IF(J1512&lt;&gt;1,"",IF(I1512="SBJ","CB","?"))</f>
        <v> </v>
      </c>
      <c r="I1512" s="25" t="str">
        <f>IF(OR(E1512="",E1512="!!!",F1512="NEW"),"",INDEX(B1511:B$2,-1+SUMPRODUCT(MAX(ROW(E1511:E$2)*(E1512=E1511:E$2)))))</f>
        <v> </v>
      </c>
      <c r="J1512" s="25" t="str">
        <f>IF(OR(E1512="",E1512="!!!",F1512="NEW"),"",COUNTBLANK(OFFSET(A$1,,,SUMPRODUCT(MAX(ROW(E$2:E1512)*(E1512=E$2:E1512)))))-COUNTBLANK(OFFSET(A$1,,,SUMPRODUCT(MAX(ROW(E$1:E1511)*(E2=E$1:E1511))))))</f>
        <v> </v>
      </c>
      <c r="K1512" s="25" t="str">
        <f>IF(OR(E1512="",E1512="!!!",F1512="NEW"),"",INDEX(J$1:J1511,SUMPRODUCT(MAX(ROW(E$1:E1511)*(E1512=E$1:E1511)))))</f>
        <v> </v>
      </c>
      <c r="L1512" s="26"/>
    </row>
    <row r="1513" spans="1:12">
      <c r="A1513" s="20" t="s">
        <v>394</v>
      </c>
      <c r="E1513" s="21">
        <f>IF(D1513="?OLD","!!!","")</f>
        <v/>
      </c>
      <c r="F1513" s="22" t="str">
        <f>IF(OR(E1513="",E1513="!!!"),"",IF(NOT(ISNA(VLOOKUP(E1513,E$1:E1512,1,FALSE()))),"OLD",IF(AND(E1513&lt;&gt;"",E1513&lt;&gt;"!!!"),"NEW","")))</f>
        <v> </v>
      </c>
      <c r="G1513" s="23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4" t="str">
        <f>IF(J1513&lt;&gt;1,"",IF(I1513="SBJ","CB","?"))</f>
        <v> </v>
      </c>
      <c r="I1513" s="25" t="str">
        <f>IF(OR(E1513="",E1513="!!!",F1513="NEW"),"",INDEX(B1512:B$2,-1+SUMPRODUCT(MAX(ROW(E1512:E$2)*(E1513=E1512:E$2)))))</f>
        <v> </v>
      </c>
      <c r="J1513" s="25" t="str">
        <f>IF(OR(E1513="",E1513="!!!",F1513="NEW"),"",COUNTBLANK(OFFSET(A$1,,,SUMPRODUCT(MAX(ROW(E$2:E1513)*(E1513=E$2:E1513)))))-COUNTBLANK(OFFSET(A$1,,,SUMPRODUCT(MAX(ROW(E$1:E1512)*(E2=E$1:E1512))))))</f>
        <v> </v>
      </c>
      <c r="K1513" s="25" t="str">
        <f>IF(OR(E1513="",E1513="!!!",F1513="NEW"),"",INDEX(J$1:J1512,SUMPRODUCT(MAX(ROW(E$1:E1512)*(E1513=E$1:E1512)))))</f>
        <v> </v>
      </c>
      <c r="L1513" s="26"/>
    </row>
    <row r="1514" spans="1:12">
      <c r="A1514" s="20" t="s">
        <v>761</v>
      </c>
      <c r="E1514" s="21">
        <f>IF(D1514="?OLD","!!!","")</f>
        <v/>
      </c>
      <c r="F1514" s="22" t="str">
        <f>IF(OR(E1514="",E1514="!!!"),"",IF(NOT(ISNA(VLOOKUP(E1514,E$1:E1513,1,FALSE()))),"OLD",IF(AND(E1514&lt;&gt;"",E1514&lt;&gt;"!!!"),"NEW","")))</f>
        <v> </v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4" t="str">
        <f>IF(J1514&lt;&gt;1,"",IF(I1514="SBJ","CB","?"))</f>
        <v> </v>
      </c>
      <c r="I1514" s="25" t="str">
        <f>IF(OR(E1514="",E1514="!!!",F1514="NEW"),"",INDEX(B1513:B$2,-1+SUMPRODUCT(MAX(ROW(E1513:E$2)*(E1514=E1513:E$2)))))</f>
        <v> </v>
      </c>
      <c r="J1514" s="25" t="str">
        <f>IF(OR(E1514="",E1514="!!!",F1514="NEW"),"",COUNTBLANK(OFFSET(A$1,,,SUMPRODUCT(MAX(ROW(E$2:E1514)*(E1514=E$2:E1514)))))-COUNTBLANK(OFFSET(A$1,,,SUMPRODUCT(MAX(ROW(E$1:E1513)*(E2=E$1:E1513))))))</f>
        <v> </v>
      </c>
      <c r="K1514" s="25" t="str">
        <f>IF(OR(E1514="",E1514="!!!",F1514="NEW"),"",INDEX(J$1:J1513,SUMPRODUCT(MAX(ROW(E$1:E1513)*(E1514=E$1:E1513)))))</f>
        <v> </v>
      </c>
      <c r="L1514" s="26"/>
    </row>
    <row r="1515" spans="1:12">
      <c r="A1515" s="20" t="s">
        <v>885</v>
      </c>
      <c r="B1515" s="27" t="s">
        <v>388</v>
      </c>
      <c r="C1515" s="27" t="s">
        <v>490</v>
      </c>
      <c r="D1515" s="27" t="s">
        <v>384</v>
      </c>
      <c r="E1515" s="21">
        <f>IF(D1515="?OLD","!!!","")</f>
        <v/>
      </c>
      <c r="F1515" s="22" t="str">
        <f>IF(OR(E1515="",E1515="!!!"),"",IF(NOT(ISNA(VLOOKUP(E1515,E$1:E1514,1,FALSE()))),"OLD",IF(AND(E1515&lt;&gt;"",E1515&lt;&gt;"!!!"),"NEW","")))</f>
        <v> </v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4" t="str">
        <f>IF(J1515&lt;&gt;1,"",IF(I1515="SBJ","CB","?"))</f>
        <v> </v>
      </c>
      <c r="I1515" s="25" t="str">
        <f>IF(OR(E1515="",E1515="!!!",F1515="NEW"),"",INDEX(B1514:B$2,-1+SUMPRODUCT(MAX(ROW(E1514:E$2)*(E1515=E1514:E$2)))))</f>
        <v> </v>
      </c>
      <c r="J1515" s="25" t="str">
        <f>IF(OR(E1515="",E1515="!!!",F1515="NEW"),"",COUNTBLANK(OFFSET(A$1,,,SUMPRODUCT(MAX(ROW(E$2:E1515)*(E1515=E$2:E1515)))))-COUNTBLANK(OFFSET(A$1,,,SUMPRODUCT(MAX(ROW(E$1:E1514)*(E2=E$1:E1514))))))</f>
        <v> </v>
      </c>
      <c r="K1515" s="25" t="str">
        <f>IF(OR(E1515="",E1515="!!!",F1515="NEW"),"",INDEX(J$1:J1514,SUMPRODUCT(MAX(ROW(E$1:E1514)*(E1515=E$1:E1514)))))</f>
        <v> </v>
      </c>
      <c r="L1515" s="26"/>
    </row>
    <row r="1516" spans="1:12">
      <c r="A1516" s="20" t="s">
        <v>943</v>
      </c>
      <c r="E1516" s="21">
        <f>IF(D1516="?OLD","!!!","")</f>
        <v/>
      </c>
      <c r="F1516" s="22" t="str">
        <f>IF(OR(E1516="",E1516="!!!"),"",IF(NOT(ISNA(VLOOKUP(E1516,E$1:E1515,1,FALSE()))),"OLD",IF(AND(E1516&lt;&gt;"",E1516&lt;&gt;"!!!"),"NEW","")))</f>
        <v> </v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4" t="str">
        <f>IF(J1516&lt;&gt;1,"",IF(I1516="SBJ","CB","?"))</f>
        <v> </v>
      </c>
      <c r="I1516" s="25" t="str">
        <f>IF(OR(E1516="",E1516="!!!",F1516="NEW"),"",INDEX(B1515:B$2,-1+SUMPRODUCT(MAX(ROW(E1515:E$2)*(E1516=E1515:E$2)))))</f>
        <v> </v>
      </c>
      <c r="J1516" s="25" t="str">
        <f>IF(OR(E1516="",E1516="!!!",F1516="NEW"),"",COUNTBLANK(OFFSET(A$1,,,SUMPRODUCT(MAX(ROW(E$2:E1516)*(E1516=E$2:E1516)))))-COUNTBLANK(OFFSET(A$1,,,SUMPRODUCT(MAX(ROW(E$1:E1515)*(E2=E$1:E1515))))))</f>
        <v> </v>
      </c>
      <c r="K1516" s="25" t="str">
        <f>IF(OR(E1516="",E1516="!!!",F1516="NEW"),"",INDEX(J$1:J1515,SUMPRODUCT(MAX(ROW(E$1:E1515)*(E1516=E$1:E1515)))))</f>
        <v> </v>
      </c>
      <c r="L1516" s="26"/>
    </row>
    <row r="1517" spans="1:12">
      <c r="A1517" s="20" t="s">
        <v>511</v>
      </c>
      <c r="E1517" s="21">
        <f>IF(D1517="?OLD","!!!","")</f>
        <v/>
      </c>
      <c r="F1517" s="22" t="str">
        <f>IF(OR(E1517="",E1517="!!!"),"",IF(NOT(ISNA(VLOOKUP(E1517,E$1:E1516,1,FALSE()))),"OLD",IF(AND(E1517&lt;&gt;"",E1517&lt;&gt;"!!!"),"NEW","")))</f>
        <v> </v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4" t="str">
        <f>IF(J1517&lt;&gt;1,"",IF(I1517="SBJ","CB","?"))</f>
        <v> </v>
      </c>
      <c r="I1517" s="25" t="str">
        <f>IF(OR(E1517="",E1517="!!!",F1517="NEW"),"",INDEX(B1516:B$2,-1+SUMPRODUCT(MAX(ROW(E1516:E$2)*(E1517=E1516:E$2)))))</f>
        <v> </v>
      </c>
      <c r="J1517" s="25" t="str">
        <f>IF(OR(E1517="",E1517="!!!",F1517="NEW"),"",COUNTBLANK(OFFSET(A$1,,,SUMPRODUCT(MAX(ROW(E$2:E1517)*(E1517=E$2:E1517)))))-COUNTBLANK(OFFSET(A$1,,,SUMPRODUCT(MAX(ROW(E$1:E1516)*(E2=E$1:E1516))))))</f>
        <v> </v>
      </c>
      <c r="K1517" s="25" t="str">
        <f>IF(OR(E1517="",E1517="!!!",F1517="NEW"),"",INDEX(J$1:J1516,SUMPRODUCT(MAX(ROW(E$1:E1516)*(E1517=E$1:E1516)))))</f>
        <v> </v>
      </c>
      <c r="L1517" s="26"/>
    </row>
    <row r="1518" spans="1:12">
      <c r="A1518" s="20" t="s">
        <v>380</v>
      </c>
      <c r="E1518" s="21">
        <f>IF(D1518="?OLD","!!!","")</f>
        <v/>
      </c>
      <c r="F1518" s="22" t="str">
        <f>IF(OR(E1518="",E1518="!!!"),"",IF(NOT(ISNA(VLOOKUP(E1518,E$1:E1517,1,FALSE()))),"OLD",IF(AND(E1518&lt;&gt;"",E1518&lt;&gt;"!!!"),"NEW","")))</f>
        <v> </v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4" t="str">
        <f>IF(J1518&lt;&gt;1,"",IF(I1518="SBJ","CB","?"))</f>
        <v> </v>
      </c>
      <c r="I1518" s="25" t="str">
        <f>IF(OR(E1518="",E1518="!!!",F1518="NEW"),"",INDEX(B1517:B$2,-1+SUMPRODUCT(MAX(ROW(E1517:E$2)*(E1518=E1517:E$2)))))</f>
        <v> </v>
      </c>
      <c r="J1518" s="25" t="str">
        <f>IF(OR(E1518="",E1518="!!!",F1518="NEW"),"",COUNTBLANK(OFFSET(A$1,,,SUMPRODUCT(MAX(ROW(E$2:E1518)*(E1518=E$2:E1518)))))-COUNTBLANK(OFFSET(A$1,,,SUMPRODUCT(MAX(ROW(E$1:E1517)*(E2=E$1:E1517))))))</f>
        <v> </v>
      </c>
      <c r="K1518" s="25" t="str">
        <f>IF(OR(E1518="",E1518="!!!",F1518="NEW"),"",INDEX(J$1:J1517,SUMPRODUCT(MAX(ROW(E$1:E1517)*(E1518=E$1:E1517)))))</f>
        <v> </v>
      </c>
      <c r="L1518" s="26"/>
    </row>
    <row r="1519" spans="1:12">
      <c r="A1519" s="20" t="s">
        <v>578</v>
      </c>
      <c r="B1519" s="27" t="s">
        <v>431</v>
      </c>
      <c r="C1519" s="27" t="s">
        <v>472</v>
      </c>
      <c r="D1519" s="27" t="s">
        <v>384</v>
      </c>
      <c r="E1519" s="21">
        <f>IF(D1519="?OLD","!!!","")</f>
        <v/>
      </c>
      <c r="F1519" s="22" t="str">
        <f>IF(OR(E1519="",E1519="!!!"),"",IF(NOT(ISNA(VLOOKUP(E1519,E$1:E1518,1,FALSE()))),"OLD",IF(AND(E1519&lt;&gt;"",E1519&lt;&gt;"!!!"),"NEW","")))</f>
        <v> </v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4" t="str">
        <f>IF(J1519&lt;&gt;1,"",IF(I1519="SBJ","CB","?"))</f>
        <v> </v>
      </c>
      <c r="I1519" s="25" t="str">
        <f>IF(OR(E1519="",E1519="!!!",F1519="NEW"),"",INDEX(B1518:B$2,-1+SUMPRODUCT(MAX(ROW(E1518:E$2)*(E1519=E1518:E$2)))))</f>
        <v> </v>
      </c>
      <c r="J1519" s="25" t="str">
        <f>IF(OR(E1519="",E1519="!!!",F1519="NEW"),"",COUNTBLANK(OFFSET(A$1,,,SUMPRODUCT(MAX(ROW(E$2:E1519)*(E1519=E$2:E1519)))))-COUNTBLANK(OFFSET(A$1,,,SUMPRODUCT(MAX(ROW(E$1:E1518)*(E2=E$1:E1518))))))</f>
        <v> </v>
      </c>
      <c r="K1519" s="25" t="str">
        <f>IF(OR(E1519="",E1519="!!!",F1519="NEW"),"",INDEX(J$1:J1518,SUMPRODUCT(MAX(ROW(E$1:E1518)*(E1519=E$1:E1518)))))</f>
        <v> </v>
      </c>
      <c r="L1519" s="26"/>
    </row>
    <row r="1520" spans="1:12">
      <c r="A1520" s="20" t="s">
        <v>944</v>
      </c>
      <c r="E1520" s="21">
        <f>IF(D1520="?OLD","!!!","")</f>
        <v/>
      </c>
      <c r="F1520" s="22" t="str">
        <f>IF(OR(E1520="",E1520="!!!"),"",IF(NOT(ISNA(VLOOKUP(E1520,E$1:E1519,1,FALSE()))),"OLD",IF(AND(E1520&lt;&gt;"",E1520&lt;&gt;"!!!"),"NEW","")))</f>
        <v> </v>
      </c>
      <c r="G1520" s="23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4" t="str">
        <f>IF(J1520&lt;&gt;1,"",IF(I1520="SBJ","CB","?"))</f>
        <v> </v>
      </c>
      <c r="I1520" s="25" t="str">
        <f>IF(OR(E1520="",E1520="!!!",F1520="NEW"),"",INDEX(B1519:B$2,-1+SUMPRODUCT(MAX(ROW(E1519:E$2)*(E1520=E1519:E$2)))))</f>
        <v> </v>
      </c>
      <c r="J1520" s="25" t="str">
        <f>IF(OR(E1520="",E1520="!!!",F1520="NEW"),"",COUNTBLANK(OFFSET(A$1,,,SUMPRODUCT(MAX(ROW(E$2:E1520)*(E1520=E$2:E1520)))))-COUNTBLANK(OFFSET(A$1,,,SUMPRODUCT(MAX(ROW(E$1:E1519)*(E2=E$1:E1519))))))</f>
        <v> </v>
      </c>
      <c r="K1520" s="25" t="str">
        <f>IF(OR(E1520="",E1520="!!!",F1520="NEW"),"",INDEX(J$1:J1519,SUMPRODUCT(MAX(ROW(E$1:E1519)*(E1520=E$1:E1519)))))</f>
        <v> </v>
      </c>
      <c r="L1520" s="26"/>
    </row>
    <row r="1521" spans="1:12">
      <c r="A1521" s="20" t="s">
        <v>394</v>
      </c>
      <c r="E1521" s="21">
        <f>IF(D1521="?OLD","!!!","")</f>
        <v/>
      </c>
      <c r="F1521" s="22" t="str">
        <f>IF(OR(E1521="",E1521="!!!"),"",IF(NOT(ISNA(VLOOKUP(E1521,E$1:E1520,1,FALSE()))),"OLD",IF(AND(E1521&lt;&gt;"",E1521&lt;&gt;"!!!"),"NEW","")))</f>
        <v> </v>
      </c>
      <c r="G1521" s="23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4" t="str">
        <f>IF(J1521&lt;&gt;1,"",IF(I1521="SBJ","CB","?"))</f>
        <v> </v>
      </c>
      <c r="I1521" s="25" t="str">
        <f>IF(OR(E1521="",E1521="!!!",F1521="NEW"),"",INDEX(B1520:B$2,-1+SUMPRODUCT(MAX(ROW(E1520:E$2)*(E1521=E1520:E$2)))))</f>
        <v> </v>
      </c>
      <c r="J1521" s="25" t="str">
        <f>IF(OR(E1521="",E1521="!!!",F1521="NEW"),"",COUNTBLANK(OFFSET(A$1,,,SUMPRODUCT(MAX(ROW(E$2:E1521)*(E1521=E$2:E1521)))))-COUNTBLANK(OFFSET(A$1,,,SUMPRODUCT(MAX(ROW(E$1:E1520)*(E2=E$1:E1520))))))</f>
        <v> </v>
      </c>
      <c r="K1521" s="25" t="str">
        <f>IF(OR(E1521="",E1521="!!!",F1521="NEW"),"",INDEX(J$1:J1520,SUMPRODUCT(MAX(ROW(E$1:E1520)*(E1521=E$1:E1520)))))</f>
        <v> </v>
      </c>
      <c r="L1521" s="26"/>
    </row>
    <row r="1522" spans="1:12">
      <c r="A1522" s="20" t="s">
        <v>390</v>
      </c>
      <c r="E1522" s="21">
        <f>IF(D1522="?OLD","!!!","")</f>
        <v/>
      </c>
      <c r="F1522" s="22" t="str">
        <f>IF(OR(E1522="",E1522="!!!"),"",IF(NOT(ISNA(VLOOKUP(E1522,E$1:E1521,1,FALSE()))),"OLD",IF(AND(E1522&lt;&gt;"",E1522&lt;&gt;"!!!"),"NEW","")))</f>
        <v> </v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4" t="str">
        <f>IF(J1522&lt;&gt;1,"",IF(I1522="SBJ","CB","?"))</f>
        <v> </v>
      </c>
      <c r="I1522" s="25" t="str">
        <f>IF(OR(E1522="",E1522="!!!",F1522="NEW"),"",INDEX(B1521:B$2,-1+SUMPRODUCT(MAX(ROW(E1521:E$2)*(E1522=E1521:E$2)))))</f>
        <v> </v>
      </c>
      <c r="J1522" s="25" t="str">
        <f>IF(OR(E1522="",E1522="!!!",F1522="NEW"),"",COUNTBLANK(OFFSET(A$1,,,SUMPRODUCT(MAX(ROW(E$2:E1522)*(E1522=E$2:E1522)))))-COUNTBLANK(OFFSET(A$1,,,SUMPRODUCT(MAX(ROW(E$1:E1521)*(E2=E$1:E1521))))))</f>
        <v> </v>
      </c>
      <c r="K1522" s="25" t="str">
        <f>IF(OR(E1522="",E1522="!!!",F1522="NEW"),"",INDEX(J$1:J1521,SUMPRODUCT(MAX(ROW(E$1:E1521)*(E1522=E$1:E1521)))))</f>
        <v> </v>
      </c>
      <c r="L1522" s="26"/>
    </row>
    <row r="1523" spans="1:12">
      <c r="A1523" s="20" t="s">
        <v>561</v>
      </c>
      <c r="B1523" s="27" t="s">
        <v>388</v>
      </c>
      <c r="C1523" s="27" t="s">
        <v>393</v>
      </c>
      <c r="D1523" s="27" t="s">
        <v>384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563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398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 t="s">
        <v>511</v>
      </c>
      <c r="E1526" s="21">
        <f>IF(D1526="?OLD","!!!","")</f>
        <v/>
      </c>
      <c r="F1526" s="22" t="str">
        <f>IF(OR(E1526="",E1526="!!!"),"",IF(NOT(ISNA(VLOOKUP(E1526,E$1:E1525,1,FALSE()))),"OLD",IF(AND(E1526&lt;&gt;"",E1526&lt;&gt;"!!!"),"NEW","")))</f>
        <v> </v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4" t="str">
        <f>IF(J1526&lt;&gt;1,"",IF(I1526="SBJ","CB","?"))</f>
        <v> </v>
      </c>
      <c r="I1526" s="25" t="str">
        <f>IF(OR(E1526="",E1526="!!!",F1526="NEW"),"",INDEX(B1525:B$2,-1+SUMPRODUCT(MAX(ROW(E1525:E$2)*(E1526=E1525:E$2)))))</f>
        <v> </v>
      </c>
      <c r="J1526" s="25" t="str">
        <f>IF(OR(E1526="",E1526="!!!",F1526="NEW"),"",COUNTBLANK(OFFSET(A$1,,,SUMPRODUCT(MAX(ROW(E$2:E1526)*(E1526=E$2:E1526)))))-COUNTBLANK(OFFSET(A$1,,,SUMPRODUCT(MAX(ROW(E$1:E1525)*(E2=E$1:E1525))))))</f>
        <v> </v>
      </c>
      <c r="K1526" s="25" t="str">
        <f>IF(OR(E1526="",E1526="!!!",F1526="NEW"),"",INDEX(J$1:J1525,SUMPRODUCT(MAX(ROW(E$1:E1525)*(E1526=E$1:E1525)))))</f>
        <v> </v>
      </c>
      <c r="L1526" s="26"/>
    </row>
    <row r="1527" spans="1:12">
      <c r="A1527" s="20" t="s">
        <v>390</v>
      </c>
      <c r="E1527" s="21">
        <f>IF(D1527="?OLD","!!!","")</f>
        <v/>
      </c>
      <c r="F1527" s="22" t="str">
        <f>IF(OR(E1527="",E1527="!!!"),"",IF(NOT(ISNA(VLOOKUP(E1527,E$1:E1526,1,FALSE()))),"OLD",IF(AND(E1527&lt;&gt;"",E1527&lt;&gt;"!!!"),"NEW","")))</f>
        <v> </v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4" t="str">
        <f>IF(J1527&lt;&gt;1,"",IF(I1527="SBJ","CB","?"))</f>
        <v> </v>
      </c>
      <c r="I1527" s="25" t="str">
        <f>IF(OR(E1527="",E1527="!!!",F1527="NEW"),"",INDEX(B1526:B$2,-1+SUMPRODUCT(MAX(ROW(E1526:E$2)*(E1527=E1526:E$2)))))</f>
        <v> </v>
      </c>
      <c r="J1527" s="25" t="str">
        <f>IF(OR(E1527="",E1527="!!!",F1527="NEW"),"",COUNTBLANK(OFFSET(A$1,,,SUMPRODUCT(MAX(ROW(E$2:E1527)*(E1527=E$2:E1527)))))-COUNTBLANK(OFFSET(A$1,,,SUMPRODUCT(MAX(ROW(E$1:E1526)*(E2=E$1:E1526))))))</f>
        <v> </v>
      </c>
      <c r="K1527" s="25" t="str">
        <f>IF(OR(E1527="",E1527="!!!",F1527="NEW"),"",INDEX(J$1:J1526,SUMPRODUCT(MAX(ROW(E$1:E1526)*(E1527=E$1:E1526)))))</f>
        <v> </v>
      </c>
      <c r="L1527" s="26"/>
    </row>
    <row r="1528" spans="1:12">
      <c r="A1528" s="20" t="s">
        <v>561</v>
      </c>
      <c r="B1528" s="27" t="s">
        <v>422</v>
      </c>
      <c r="C1528" s="27" t="s">
        <v>429</v>
      </c>
      <c r="E1528" s="21">
        <f>IF(D1528="?OLD","!!!","")</f>
        <v/>
      </c>
      <c r="F1528" s="22" t="str">
        <f>IF(OR(E1528="",E1528="!!!"),"",IF(NOT(ISNA(VLOOKUP(E1528,E$1:E1527,1,FALSE()))),"OLD",IF(AND(E1528&lt;&gt;"",E1528&lt;&gt;"!!!"),"NEW","")))</f>
        <v> </v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4" t="str">
        <f>IF(J1528&lt;&gt;1,"",IF(I1528="SBJ","CB","?"))</f>
        <v> </v>
      </c>
      <c r="I1528" s="25" t="str">
        <f>IF(OR(E1528="",E1528="!!!",F1528="NEW"),"",INDEX(B1527:B$2,-1+SUMPRODUCT(MAX(ROW(E1527:E$2)*(E1528=E1527:E$2)))))</f>
        <v> </v>
      </c>
      <c r="J1528" s="25" t="str">
        <f>IF(OR(E1528="",E1528="!!!",F1528="NEW"),"",COUNTBLANK(OFFSET(A$1,,,SUMPRODUCT(MAX(ROW(E$2:E1528)*(E1528=E$2:E1528)))))-COUNTBLANK(OFFSET(A$1,,,SUMPRODUCT(MAX(ROW(E$1:E1527)*(E2=E$1:E1527))))))</f>
        <v> </v>
      </c>
      <c r="K1528" s="25" t="str">
        <f>IF(OR(E1528="",E1528="!!!",F1528="NEW"),"",INDEX(J$1:J1527,SUMPRODUCT(MAX(ROW(E$1:E1527)*(E1528=E$1:E1527)))))</f>
        <v> </v>
      </c>
      <c r="L1528" s="26"/>
    </row>
    <row r="1529" spans="1:12">
      <c r="A1529" s="20" t="s">
        <v>398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 t="s">
        <v>551</v>
      </c>
      <c r="B1530" s="27" t="s">
        <v>458</v>
      </c>
      <c r="C1530" s="27" t="s">
        <v>396</v>
      </c>
      <c r="E1530" s="21">
        <f>IF(D1530="?OLD","!!!","")</f>
        <v/>
      </c>
      <c r="F1530" s="22" t="str">
        <f>IF(OR(E1530="",E1530="!!!"),"",IF(NOT(ISNA(VLOOKUP(E1530,E$1:E1529,1,FALSE()))),"OLD",IF(AND(E1530&lt;&gt;"",E1530&lt;&gt;"!!!"),"NEW","")))</f>
        <v> </v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4" t="str">
        <f>IF(J1530&lt;&gt;1,"",IF(I1530="SBJ","CB","?"))</f>
        <v> </v>
      </c>
      <c r="I1530" s="25" t="str">
        <f>IF(OR(E1530="",E1530="!!!",F1530="NEW"),"",INDEX(B1529:B$2,-1+SUMPRODUCT(MAX(ROW(E1529:E$2)*(E1530=E1529:E$2)))))</f>
        <v> </v>
      </c>
      <c r="J1530" s="25" t="str">
        <f>IF(OR(E1530="",E1530="!!!",F1530="NEW"),"",COUNTBLANK(OFFSET(A$1,,,SUMPRODUCT(MAX(ROW(E$2:E1530)*(E1530=E$2:E1530)))))-COUNTBLANK(OFFSET(A$1,,,SUMPRODUCT(MAX(ROW(E$1:E1529)*(E2=E$1:E1529))))))</f>
        <v> </v>
      </c>
      <c r="K1530" s="25" t="str">
        <f>IF(OR(E1530="",E1530="!!!",F1530="NEW"),"",INDEX(J$1:J1529,SUMPRODUCT(MAX(ROW(E$1:E1529)*(E1530=E$1:E1529)))))</f>
        <v> </v>
      </c>
      <c r="L1530" s="26"/>
    </row>
    <row r="1531" spans="1:12">
      <c r="A1531" s="20" t="s">
        <v>398</v>
      </c>
      <c r="E1531" s="21">
        <f>IF(D1531="?OLD","!!!","")</f>
        <v/>
      </c>
      <c r="F1531" s="22" t="str">
        <f>IF(OR(E1531="",E1531="!!!"),"",IF(NOT(ISNA(VLOOKUP(E1531,E$1:E1530,1,FALSE()))),"OLD",IF(AND(E1531&lt;&gt;"",E1531&lt;&gt;"!!!"),"NEW","")))</f>
        <v> </v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4" t="str">
        <f>IF(J1531&lt;&gt;1,"",IF(I1531="SBJ","CB","?"))</f>
        <v> </v>
      </c>
      <c r="I1531" s="25" t="str">
        <f>IF(OR(E1531="",E1531="!!!",F1531="NEW"),"",INDEX(B1530:B$2,-1+SUMPRODUCT(MAX(ROW(E1530:E$2)*(E1531=E1530:E$2)))))</f>
        <v> </v>
      </c>
      <c r="J1531" s="25" t="str">
        <f>IF(OR(E1531="",E1531="!!!",F1531="NEW"),"",COUNTBLANK(OFFSET(A$1,,,SUMPRODUCT(MAX(ROW(E$2:E1531)*(E1531=E$2:E1531)))))-COUNTBLANK(OFFSET(A$1,,,SUMPRODUCT(MAX(ROW(E$1:E1530)*(E2=E$1:E1530))))))</f>
        <v> </v>
      </c>
      <c r="K1531" s="25" t="str">
        <f>IF(OR(E1531="",E1531="!!!",F1531="NEW"),"",INDEX(J$1:J1530,SUMPRODUCT(MAX(ROW(E$1:E1530)*(E1531=E$1:E1530)))))</f>
        <v> </v>
      </c>
      <c r="L1531" s="26"/>
    </row>
    <row r="1532" spans="1:12">
      <c r="A1532" s="20" t="s">
        <v>403</v>
      </c>
      <c r="E1532" s="21">
        <f>IF(D1532="?OLD","!!!","")</f>
        <v/>
      </c>
      <c r="F1532" s="22" t="str">
        <f>IF(OR(E1532="",E1532="!!!"),"",IF(NOT(ISNA(VLOOKUP(E1532,E$1:E1531,1,FALSE()))),"OLD",IF(AND(E1532&lt;&gt;"",E1532&lt;&gt;"!!!"),"NEW","")))</f>
        <v> </v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4" t="str">
        <f>IF(J1532&lt;&gt;1,"",IF(I1532="SBJ","CB","?"))</f>
        <v> </v>
      </c>
      <c r="I1532" s="25" t="str">
        <f>IF(OR(E1532="",E1532="!!!",F1532="NEW"),"",INDEX(B1531:B$2,-1+SUMPRODUCT(MAX(ROW(E1531:E$2)*(E1532=E1531:E$2)))))</f>
        <v> </v>
      </c>
      <c r="J1532" s="25" t="str">
        <f>IF(OR(E1532="",E1532="!!!",F1532="NEW"),"",COUNTBLANK(OFFSET(A$1,,,SUMPRODUCT(MAX(ROW(E$2:E1532)*(E1532=E$2:E1532)))))-COUNTBLANK(OFFSET(A$1,,,SUMPRODUCT(MAX(ROW(E$1:E1531)*(E2=E$1:E1531))))))</f>
        <v> </v>
      </c>
      <c r="K1532" s="25" t="str">
        <f>IF(OR(E1532="",E1532="!!!",F1532="NEW"),"",INDEX(J$1:J1531,SUMPRODUCT(MAX(ROW(E$1:E1531)*(E1532=E$1:E1531)))))</f>
        <v> </v>
      </c>
      <c r="L1532" s="26"/>
    </row>
    <row r="1533" spans="1:12">
      <c r="A1533" s="20"/>
    </row>
    <row r="1534" spans="1:12">
      <c r="A1534" s="20" t="s">
        <v>945</v>
      </c>
    </row>
    <row r="1535" spans="1:12">
      <c r="A1535" s="20" t="s">
        <v>608</v>
      </c>
      <c r="B1535" s="27" t="s">
        <v>431</v>
      </c>
      <c r="C1535" s="27" t="s">
        <v>472</v>
      </c>
      <c r="D1535" s="27" t="s">
        <v>384</v>
      </c>
      <c r="E1535" s="21">
        <f>IF(D1535="?OLD","!!!","")</f>
        <v/>
      </c>
      <c r="F1535" s="22" t="str">
        <f>IF(OR(E1535="",E1535="!!!"),"",IF(NOT(ISNA(VLOOKUP(E1535,E$1:E1534,1,FALSE()))),"OLD",IF(AND(E1535&lt;&gt;"",E1535&lt;&gt;"!!!"),"NEW","")))</f>
        <v> </v>
      </c>
      <c r="G1535" s="23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4" t="str">
        <f>IF(J1535&lt;&gt;1,"",IF(I1535="SBJ","CB","?"))</f>
        <v> </v>
      </c>
      <c r="I1535" s="25" t="str">
        <f>IF(OR(E1535="",E1535="!!!",F1535="NEW"),"",INDEX(B1534:B$2,-1+SUMPRODUCT(MAX(ROW(E1534:E$2)*(E1535=E1534:E$2)))))</f>
        <v> </v>
      </c>
      <c r="J1535" s="25" t="str">
        <f>IF(OR(E1535="",E1535="!!!",F1535="NEW"),"",COUNTBLANK(OFFSET(A$1,,,SUMPRODUCT(MAX(ROW(E$2:E1535)*(E1535=E$2:E1535)))))-COUNTBLANK(OFFSET(A$1,,,SUMPRODUCT(MAX(ROW(E$1:E1534)*(E2=E$1:E1534))))))</f>
        <v> </v>
      </c>
      <c r="K1535" s="25" t="str">
        <f>IF(OR(E1535="",E1535="!!!",F1535="NEW"),"",INDEX(J$1:J1534,SUMPRODUCT(MAX(ROW(E$1:E1534)*(E1535=E$1:E1534)))))</f>
        <v> </v>
      </c>
      <c r="L1535" s="26"/>
    </row>
    <row r="1536" spans="1:12">
      <c r="A1536" s="20" t="s">
        <v>924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 t="s">
        <v>141</v>
      </c>
      <c r="E1537" s="21">
        <f>IF(D1537="?OLD","!!!","")</f>
        <v/>
      </c>
      <c r="F1537" s="22" t="str">
        <f>IF(OR(E1537="",E1537="!!!"),"",IF(NOT(ISNA(VLOOKUP(E1537,E$1:E1536,1,FALSE()))),"OLD",IF(AND(E1537&lt;&gt;"",E1537&lt;&gt;"!!!"),"NEW","")))</f>
        <v> </v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4" t="str">
        <f>IF(J1537&lt;&gt;1,"",IF(I1537="SBJ","CB","?"))</f>
        <v> </v>
      </c>
      <c r="I1537" s="25" t="str">
        <f>IF(OR(E1537="",E1537="!!!",F1537="NEW"),"",INDEX(B1536:B$2,-1+SUMPRODUCT(MAX(ROW(E1536:E$2)*(E1537=E1536:E$2)))))</f>
        <v> </v>
      </c>
      <c r="J1537" s="25" t="str">
        <f>IF(OR(E1537="",E1537="!!!",F1537="NEW"),"",COUNTBLANK(OFFSET(A$1,,,SUMPRODUCT(MAX(ROW(E$2:E1537)*(E1537=E$2:E1537)))))-COUNTBLANK(OFFSET(A$1,,,SUMPRODUCT(MAX(ROW(E$1:E1536)*(E2=E$1:E1536))))))</f>
        <v> </v>
      </c>
      <c r="K1537" s="25" t="str">
        <f>IF(OR(E1537="",E1537="!!!",F1537="NEW"),"",INDEX(J$1:J1536,SUMPRODUCT(MAX(ROW(E$1:E1536)*(E1537=E$1:E1536)))))</f>
        <v> </v>
      </c>
      <c r="L1537" s="26"/>
    </row>
    <row r="1538" spans="1:12">
      <c r="A1538" s="20" t="s">
        <v>452</v>
      </c>
      <c r="E1538" s="21">
        <f>IF(D1538="?OLD","!!!","")</f>
        <v/>
      </c>
      <c r="F1538" s="22" t="str">
        <f>IF(OR(E1538="",E1538="!!!"),"",IF(NOT(ISNA(VLOOKUP(E1538,E$1:E1537,1,FALSE()))),"OLD",IF(AND(E1538&lt;&gt;"",E1538&lt;&gt;"!!!"),"NEW","")))</f>
        <v> </v>
      </c>
      <c r="G1538" s="23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4" t="str">
        <f>IF(J1538&lt;&gt;1,"",IF(I1538="SBJ","CB","?"))</f>
        <v> </v>
      </c>
      <c r="I1538" s="25" t="str">
        <f>IF(OR(E1538="",E1538="!!!",F1538="NEW"),"",INDEX(B1537:B$2,-1+SUMPRODUCT(MAX(ROW(E1537:E$2)*(E1538=E1537:E$2)))))</f>
        <v> </v>
      </c>
      <c r="J1538" s="25" t="str">
        <f>IF(OR(E1538="",E1538="!!!",F1538="NEW"),"",COUNTBLANK(OFFSET(A$1,,,SUMPRODUCT(MAX(ROW(E$2:E1538)*(E1538=E$2:E1538)))))-COUNTBLANK(OFFSET(A$1,,,SUMPRODUCT(MAX(ROW(E$1:E1537)*(E2=E$1:E1537))))))</f>
        <v> </v>
      </c>
      <c r="K1538" s="25" t="str">
        <f>IF(OR(E1538="",E1538="!!!",F1538="NEW"),"",INDEX(J$1:J1537,SUMPRODUCT(MAX(ROW(E$1:E1537)*(E1538=E$1:E1537)))))</f>
        <v> </v>
      </c>
      <c r="L1538" s="26"/>
    </row>
    <row r="1539" spans="1:12">
      <c r="A1539" s="20" t="s">
        <v>795</v>
      </c>
      <c r="E1539" s="21">
        <f>IF(D1539="?OLD","!!!","")</f>
        <v/>
      </c>
      <c r="F1539" s="22" t="str">
        <f>IF(OR(E1539="",E1539="!!!"),"",IF(NOT(ISNA(VLOOKUP(E1539,E$1:E1538,1,FALSE()))),"OLD",IF(AND(E1539&lt;&gt;"",E1539&lt;&gt;"!!!"),"NEW","")))</f>
        <v> </v>
      </c>
      <c r="G1539" s="23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4" t="str">
        <f>IF(J1539&lt;&gt;1,"",IF(I1539="SBJ","CB","?"))</f>
        <v> </v>
      </c>
      <c r="I1539" s="25" t="str">
        <f>IF(OR(E1539="",E1539="!!!",F1539="NEW"),"",INDEX(B1538:B$2,-1+SUMPRODUCT(MAX(ROW(E1538:E$2)*(E1539=E1538:E$2)))))</f>
        <v> </v>
      </c>
      <c r="J1539" s="25" t="str">
        <f>IF(OR(E1539="",E1539="!!!",F1539="NEW"),"",COUNTBLANK(OFFSET(A$1,,,SUMPRODUCT(MAX(ROW(E$2:E1539)*(E1539=E$2:E1539)))))-COUNTBLANK(OFFSET(A$1,,,SUMPRODUCT(MAX(ROW(E$1:E1538)*(E2=E$1:E1538))))))</f>
        <v> </v>
      </c>
      <c r="K1539" s="25" t="str">
        <f>IF(OR(E1539="",E1539="!!!",F1539="NEW"),"",INDEX(J$1:J1538,SUMPRODUCT(MAX(ROW(E$1:E1538)*(E1539=E$1:E1538)))))</f>
        <v> </v>
      </c>
      <c r="L1539" s="26"/>
    </row>
    <row r="1540" spans="1:12">
      <c r="A1540" s="20" t="s">
        <v>946</v>
      </c>
      <c r="B1540" s="27" t="s">
        <v>376</v>
      </c>
      <c r="C1540" s="27" t="s">
        <v>429</v>
      </c>
      <c r="E1540" s="21">
        <f>IF(D1540="?OLD","!!!","")</f>
        <v/>
      </c>
      <c r="F1540" s="22" t="str">
        <f>IF(OR(E1540="",E1540="!!!"),"",IF(NOT(ISNA(VLOOKUP(E1540,E$1:E1539,1,FALSE()))),"OLD",IF(AND(E1540&lt;&gt;"",E1540&lt;&gt;"!!!"),"NEW","")))</f>
        <v> </v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4" t="str">
        <f>IF(J1540&lt;&gt;1,"",IF(I1540="SBJ","CB","?"))</f>
        <v> </v>
      </c>
      <c r="I1540" s="25" t="str">
        <f>IF(OR(E1540="",E1540="!!!",F1540="NEW"),"",INDEX(B1539:B$2,-1+SUMPRODUCT(MAX(ROW(E1539:E$2)*(E1540=E1539:E$2)))))</f>
        <v> </v>
      </c>
      <c r="J1540" s="25" t="str">
        <f>IF(OR(E1540="",E1540="!!!",F1540="NEW"),"",COUNTBLANK(OFFSET(A$1,,,SUMPRODUCT(MAX(ROW(E$2:E1540)*(E1540=E$2:E1540)))))-COUNTBLANK(OFFSET(A$1,,,SUMPRODUCT(MAX(ROW(E$1:E1539)*(E2=E$1:E1539))))))</f>
        <v> </v>
      </c>
      <c r="K1540" s="25" t="str">
        <f>IF(OR(E1540="",E1540="!!!",F1540="NEW"),"",INDEX(J$1:J1539,SUMPRODUCT(MAX(ROW(E$1:E1539)*(E1540=E$1:E1539)))))</f>
        <v> </v>
      </c>
      <c r="L1540" s="26"/>
    </row>
    <row r="1541" spans="1:12">
      <c r="A1541" s="20" t="s">
        <v>403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/>
    </row>
    <row r="1543" spans="1:12">
      <c r="A1543" s="20" t="s">
        <v>947</v>
      </c>
    </row>
    <row r="1544" spans="1:12">
      <c r="A1544" s="20" t="s">
        <v>948</v>
      </c>
      <c r="E1544" s="21">
        <f>IF(D1544="?OLD","!!!","")</f>
        <v/>
      </c>
      <c r="F1544" s="22" t="str">
        <f>IF(OR(E1544="",E1544="!!!"),"",IF(NOT(ISNA(VLOOKUP(E1544,E$1:E1543,1,FALSE()))),"OLD",IF(AND(E1544&lt;&gt;"",E1544&lt;&gt;"!!!"),"NEW","")))</f>
        <v> </v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4" t="str">
        <f>IF(J1544&lt;&gt;1,"",IF(I1544="SBJ","CB","?"))</f>
        <v> </v>
      </c>
      <c r="I1544" s="25" t="str">
        <f>IF(OR(E1544="",E1544="!!!",F1544="NEW"),"",INDEX(B1543:B$2,-1+SUMPRODUCT(MAX(ROW(E1543:E$2)*(E1544=E1543:E$2)))))</f>
        <v> </v>
      </c>
      <c r="J1544" s="25" t="str">
        <f>IF(OR(E1544="",E1544="!!!",F1544="NEW"),"",COUNTBLANK(OFFSET(A$1,,,SUMPRODUCT(MAX(ROW(E$2:E1544)*(E1544=E$2:E1544)))))-COUNTBLANK(OFFSET(A$1,,,SUMPRODUCT(MAX(ROW(E$1:E1543)*(E2=E$1:E1543))))))</f>
        <v> </v>
      </c>
      <c r="K1544" s="25" t="str">
        <f>IF(OR(E1544="",E1544="!!!",F1544="NEW"),"",INDEX(J$1:J1543,SUMPRODUCT(MAX(ROW(E$1:E1543)*(E1544=E$1:E1543)))))</f>
        <v> </v>
      </c>
      <c r="L1544" s="26"/>
    </row>
    <row r="1545" spans="1:12">
      <c r="A1545" s="20" t="s">
        <v>354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 t="s">
        <v>403</v>
      </c>
      <c r="E1546" s="21">
        <f>IF(D1546="?OLD","!!!","")</f>
        <v/>
      </c>
      <c r="F1546" s="22" t="str">
        <f>IF(OR(E1546="",E1546="!!!"),"",IF(NOT(ISNA(VLOOKUP(E1546,E$1:E1545,1,FALSE()))),"OLD",IF(AND(E1546&lt;&gt;"",E1546&lt;&gt;"!!!"),"NEW","")))</f>
        <v> </v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4" t="str">
        <f>IF(J1546&lt;&gt;1,"",IF(I1546="SBJ","CB","?"))</f>
        <v> </v>
      </c>
      <c r="I1546" s="25" t="str">
        <f>IF(OR(E1546="",E1546="!!!",F1546="NEW"),"",INDEX(B1545:B$2,-1+SUMPRODUCT(MAX(ROW(E1545:E$2)*(E1546=E1545:E$2)))))</f>
        <v> </v>
      </c>
      <c r="J1546" s="25" t="str">
        <f>IF(OR(E1546="",E1546="!!!",F1546="NEW"),"",COUNTBLANK(OFFSET(A$1,,,SUMPRODUCT(MAX(ROW(E$2:E1546)*(E1546=E$2:E1546)))))-COUNTBLANK(OFFSET(A$1,,,SUMPRODUCT(MAX(ROW(E$1:E1545)*(E2=E$1:E1545))))))</f>
        <v> </v>
      </c>
      <c r="K1546" s="25" t="str">
        <f>IF(OR(E1546="",E1546="!!!",F1546="NEW"),"",INDEX(J$1:J1545,SUMPRODUCT(MAX(ROW(E$1:E1545)*(E1546=E$1:E1545)))))</f>
        <v> </v>
      </c>
      <c r="L1546" s="26"/>
    </row>
    <row r="1547" spans="1:12">
      <c r="A1547" s="20"/>
    </row>
    <row r="1548" spans="1:12">
      <c r="A1548" s="20" t="s">
        <v>949</v>
      </c>
    </row>
    <row r="1549" spans="1:12">
      <c r="A1549" s="20" t="s">
        <v>585</v>
      </c>
      <c r="E1549" s="21">
        <f>IF(D1549="?OLD","!!!","")</f>
        <v/>
      </c>
      <c r="F1549" s="22" t="str">
        <f>IF(OR(E1549="",E1549="!!!"),"",IF(NOT(ISNA(VLOOKUP(E1549,E$1:E1548,1,FALSE()))),"OLD",IF(AND(E1549&lt;&gt;"",E1549&lt;&gt;"!!!"),"NEW","")))</f>
        <v> </v>
      </c>
      <c r="G1549" s="23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4" t="str">
        <f>IF(J1549&lt;&gt;1,"",IF(I1549="SBJ","CB","?"))</f>
        <v> </v>
      </c>
      <c r="I1549" s="25" t="str">
        <f>IF(OR(E1549="",E1549="!!!",F1549="NEW"),"",INDEX(B1548:B$2,-1+SUMPRODUCT(MAX(ROW(E1548:E$2)*(E1549=E1548:E$2)))))</f>
        <v> </v>
      </c>
      <c r="J1549" s="25" t="str">
        <f>IF(OR(E1549="",E1549="!!!",F1549="NEW"),"",COUNTBLANK(OFFSET(A$1,,,SUMPRODUCT(MAX(ROW(E$2:E1549)*(E1549=E$2:E1549)))))-COUNTBLANK(OFFSET(A$1,,,SUMPRODUCT(MAX(ROW(E$1:E1548)*(E2=E$1:E1548))))))</f>
        <v> </v>
      </c>
      <c r="K1549" s="25" t="str">
        <f>IF(OR(E1549="",E1549="!!!",F1549="NEW"),"",INDEX(J$1:J1548,SUMPRODUCT(MAX(ROW(E$1:E1548)*(E1549=E$1:E1548)))))</f>
        <v> </v>
      </c>
      <c r="L1549" s="26"/>
    </row>
    <row r="1550" spans="1:12">
      <c r="A1550" s="20" t="s">
        <v>950</v>
      </c>
      <c r="B1550" s="27" t="s">
        <v>382</v>
      </c>
      <c r="C1550" s="27" t="s">
        <v>396</v>
      </c>
      <c r="E1550" s="21">
        <f>IF(D1550="?OLD","!!!","")</f>
        <v/>
      </c>
      <c r="F1550" s="22" t="str">
        <f>IF(OR(E1550="",E1550="!!!"),"",IF(NOT(ISNA(VLOOKUP(E1550,E$1:E1549,1,FALSE()))),"OLD",IF(AND(E1550&lt;&gt;"",E1550&lt;&gt;"!!!"),"NEW","")))</f>
        <v> </v>
      </c>
      <c r="G1550" s="23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4" t="str">
        <f>IF(J1550&lt;&gt;1,"",IF(I1550="SBJ","CB","?"))</f>
        <v> </v>
      </c>
      <c r="I1550" s="25" t="str">
        <f>IF(OR(E1550="",E1550="!!!",F1550="NEW"),"",INDEX(B1549:B$2,-1+SUMPRODUCT(MAX(ROW(E1549:E$2)*(E1550=E1549:E$2)))))</f>
        <v> </v>
      </c>
      <c r="J1550" s="25" t="str">
        <f>IF(OR(E1550="",E1550="!!!",F1550="NEW"),"",COUNTBLANK(OFFSET(A$1,,,SUMPRODUCT(MAX(ROW(E$2:E1550)*(E1550=E$2:E1550)))))-COUNTBLANK(OFFSET(A$1,,,SUMPRODUCT(MAX(ROW(E$1:E1549)*(E2=E$1:E1549))))))</f>
        <v> </v>
      </c>
      <c r="K1550" s="25" t="str">
        <f>IF(OR(E1550="",E1550="!!!",F1550="NEW"),"",INDEX(J$1:J1549,SUMPRODUCT(MAX(ROW(E$1:E1549)*(E1550=E$1:E1549)))))</f>
        <v> </v>
      </c>
      <c r="L1550" s="26"/>
    </row>
    <row r="1551" spans="1:12">
      <c r="A1551" s="20" t="s">
        <v>587</v>
      </c>
      <c r="E1551" s="21">
        <f>IF(D1551="?OLD","!!!","")</f>
        <v/>
      </c>
      <c r="F1551" s="22" t="str">
        <f>IF(OR(E1551="",E1551="!!!"),"",IF(NOT(ISNA(VLOOKUP(E1551,E$1:E1550,1,FALSE()))),"OLD",IF(AND(E1551&lt;&gt;"",E1551&lt;&gt;"!!!"),"NEW","")))</f>
        <v> </v>
      </c>
      <c r="G1551" s="23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4" t="str">
        <f>IF(J1551&lt;&gt;1,"",IF(I1551="SBJ","CB","?"))</f>
        <v> </v>
      </c>
      <c r="I1551" s="25" t="str">
        <f>IF(OR(E1551="",E1551="!!!",F1551="NEW"),"",INDEX(B1550:B$2,-1+SUMPRODUCT(MAX(ROW(E1550:E$2)*(E1551=E1550:E$2)))))</f>
        <v> </v>
      </c>
      <c r="J1551" s="25" t="str">
        <f>IF(OR(E1551="",E1551="!!!",F1551="NEW"),"",COUNTBLANK(OFFSET(A$1,,,SUMPRODUCT(MAX(ROW(E$2:E1551)*(E1551=E$2:E1551)))))-COUNTBLANK(OFFSET(A$1,,,SUMPRODUCT(MAX(ROW(E$1:E1550)*(E2=E$1:E1550))))))</f>
        <v> </v>
      </c>
      <c r="K1551" s="25" t="str">
        <f>IF(OR(E1551="",E1551="!!!",F1551="NEW"),"",INDEX(J$1:J1550,SUMPRODUCT(MAX(ROW(E$1:E1550)*(E1551=E$1:E1550)))))</f>
        <v> </v>
      </c>
      <c r="L1551" s="26"/>
    </row>
    <row r="1552" spans="1:12">
      <c r="A1552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2025-07-10T18:08:41Z</dcterms:created>
  <dcterms:modified xsi:type="dcterms:W3CDTF">2025-07-10T18:08:41Z</dcterms:modified>
</cp:coreProperties>
</file>