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<sst xmlns="http://schemas.openxmlformats.org/spreadsheetml/2006/main" count="7136" uniqueCount="1714">
  <si>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</si>
  <si>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</si>
  <si>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</si>
  <si>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</si>
  <si>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</si>
  <si>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</si>
  <si>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</si>
  <si>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</si>
  <si>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</si>
  <si>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</si>
  <si>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</si>
  <si>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</si>
  <si>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gostar</t>
  </si>
  <si>
    <t>Gostava de partilhar convosco com vós uma descoberta que fiz há uns meses enquanto escrevia um artigo para a revista italiana Wired .</t>
  </si>
  <si>
    <t>file://conllu/pt/teddy-1154.conllu#s1_0</t>
  </si>
  <si>
    <t>2</t>
  </si>
  <si>
    <t>estar</t>
  </si>
  <si>
    <t>Quando estou a escrever algo tenho sempre por perto um dicionário de sinónimos , mas já tinha acabado de editar o texto , quando percebi que nunca na em a vida tinha procurado a palavra &amp;quot; deficiente &amp;quot; para ver o que encontrava .</t>
  </si>
  <si>
    <t>file://conllu/pt/teddy-1154.conllu#s2_0</t>
  </si>
  <si>
    <t>3</t>
  </si>
  <si>
    <t>ler (ler ver)</t>
  </si>
  <si>
    <t>Vou ler o que encontrei .</t>
  </si>
  <si>
    <t>file://conllu/pt/teddy-1154.conllu#s3_0</t>
  </si>
  <si>
    <t>4</t>
  </si>
  <si>
    <t>Deficiente</t>
  </si>
  <si>
    <t>&amp;quot; Deficiente , &amp;quot; adjetivo : &amp;quot; aleijado , sem-solução , inútil , destruído , &amp;quot; parado , desfigurado , ferido , massacrado , imobilizado , mutilado , &amp;quot; degradado , gasto , enfraquecido , impotente , &amp;quot; castrado , paralisado , limitado , &amp;quot; senil , decrépito , tramado , acabado , cansado &amp;quot; doente mental , insignificante ; &amp;quot; ver também ferido , inútil e fraco .</t>
  </si>
  <si>
    <t>file://conllu/pt/teddy-1154.conllu#s4_0</t>
  </si>
  <si>
    <t>5</t>
  </si>
  <si>
    <t>Antónimo</t>
  </si>
  <si>
    <t>&amp;quot; Antónimos : saudável , forte , capaz . &amp;quot; Eu estava a ler esta lista em voz alta a um amigo e a princípio estava a rir-me rir me , era tão ridículo , mas quando passei por &amp;quot; massacrado &amp;quot; , falhou-me falhou me a voz , e tive que parar para me recompor do de o choque emocional e do de o impacto que estas palavras me estavam a causar .</t>
  </si>
  <si>
    <t>file://conllu/pt/teddy-1154.conllu#s5_0</t>
  </si>
  <si>
    <t>6</t>
  </si>
  <si>
    <t>claro</t>
  </si>
  <si>
    <t>Claro que isto era o meu velho dicionário de sinónimos .</t>
  </si>
  <si>
    <t>file://conllu/pt/teddy-1154.conllu#s6_0</t>
  </si>
  <si>
    <t>7</t>
  </si>
  <si>
    <t>pensar</t>
  </si>
  <si>
    <t>Pensei que seria uma edição antiga .</t>
  </si>
  <si>
    <t>file://conllu/pt/teddy-1154.conllu#s7_0</t>
  </si>
  <si>
    <t>8</t>
  </si>
  <si>
    <t>11</t>
  </si>
  <si>
    <t>ser (ser início)</t>
  </si>
  <si>
    <t>Mas , de facto , a data da de a edição era do de o início dos de os anos 80 , quando eu estava a começar a escola primária e a formar o conhecimento de mim mesma , fora do de o seio familiar , e a relacionar-me relacionar me com outros miúdos e com o mundo à a a minha volta .</t>
  </si>
  <si>
    <t>file://conllu/pt/teddy-1154.conllu#s8_0</t>
  </si>
  <si>
    <t>9</t>
  </si>
  <si>
    <t>14</t>
  </si>
  <si>
    <t>usar (usar dizer)</t>
  </si>
  <si>
    <t>Escusado será dizer que , graças a Deus , na em a altura não usava um dicionário de sinónimos .</t>
  </si>
  <si>
    <t>file://conllu/pt/teddy-1154.conllu#s9_0</t>
  </si>
  <si>
    <t>10</t>
  </si>
  <si>
    <t>parecer (parecer dizer querer)</t>
  </si>
  <si>
    <t>Quer dizer , partindo destes de estes sinónimos , parecia que eu tinha nascido num em um mundo que encarava uma pessoa como eu como alguém que não tinha nada a seu favor , quando , na em a realidade , hoje sou conhecida pelas por as oportunidades e aventuras que consegui realizar na em a vida .</t>
  </si>
  <si>
    <t>file://conllu/pt/teddy-1154.conllu#s10_0</t>
  </si>
  <si>
    <t>online</t>
  </si>
  <si>
    <t>Então , fui imediatamente procurar a edição online de 2009 , na em a expetativa de encontrar uma revisão digna de nota .</t>
  </si>
  <si>
    <t>file://conllu/pt/teddy-1154.conllu#s11_0</t>
  </si>
  <si>
    <t>12</t>
  </si>
  <si>
    <t>ser (ser versão)</t>
  </si>
  <si>
    <t>Esta é a versão atualizada desta de esta entrada no em o dicionário .</t>
  </si>
  <si>
    <t>file://conllu/pt/teddy-1154.conllu#s12_0</t>
  </si>
  <si>
    <t>13</t>
  </si>
  <si>
    <t>ser (ser bom)</t>
  </si>
  <si>
    <t>Infelizmente , não é muito melhor .</t>
  </si>
  <si>
    <t>file://conllu/pt/teddy-1154.conllu#s13_0</t>
  </si>
  <si>
    <t>achar</t>
  </si>
  <si>
    <t>Acho que as duas últimas palavras para antónimos são particularmente perturbadoras : &amp;quot; completo &amp;quot; e &amp;quot; integral &amp;quot; .</t>
  </si>
  <si>
    <t>file://conllu/pt/teddy-1154.conllu#s14_0</t>
  </si>
  <si>
    <t>15</t>
  </si>
  <si>
    <t>ter</t>
  </si>
  <si>
    <t>Portanto , isto não tem só que ver com as palavras .</t>
  </si>
  <si>
    <t>file://conllu/pt/teddy-1154.conllu#s15_0</t>
  </si>
  <si>
    <t>16</t>
  </si>
  <si>
    <t>ser (ser o)</t>
  </si>
  <si>
    <t>É o que nós acreditamos que as pessoas são quando as classificamos com estas palavras .</t>
  </si>
  <si>
    <t>file://conllu/pt/teddy-1154.conllu#s16_0</t>
  </si>
  <si>
    <t>17</t>
  </si>
  <si>
    <t>ser (ser valor)</t>
  </si>
  <si>
    <t>São os valores por detrás das de as palavras , e como construímos esses valores .</t>
  </si>
  <si>
    <t>file://conllu/pt/teddy-1154.conllu#s17_0</t>
  </si>
  <si>
    <t>18</t>
  </si>
  <si>
    <t>afetar</t>
  </si>
  <si>
    <t>A nossa linguagem afeta a nossa maneira de pensar e o modo como vemos o mundo e como vemos as outras pessoas .</t>
  </si>
  <si>
    <t>file://conllu/pt/teddy-1154.conllu#s18_0</t>
  </si>
  <si>
    <t>19</t>
  </si>
  <si>
    <t>23</t>
  </si>
  <si>
    <t>dizer (dizer acreditar)</t>
  </si>
  <si>
    <t>Muitas sociedades antigas , incluindo os gregos e os romanos , acreditavam que verbalizar ofensas era uma coisa muito poderosa , porque dizer algo em voz alta torná-lo-ia realidade .</t>
  </si>
  <si>
    <t>file://conllu/pt/teddy-1154.conllu#s19_0</t>
  </si>
  <si>
    <t>20</t>
  </si>
  <si>
    <t>querer</t>
  </si>
  <si>
    <t>Será que queremos tornar realidade uma pessoa que é limitada ou uma pessoa que tem potencial ?</t>
  </si>
  <si>
    <t>file://conllu/pt/teddy-1154.conllu#s20_0</t>
  </si>
  <si>
    <t>22</t>
  </si>
  <si>
    <t>abrir (abrir querer)</t>
  </si>
  <si>
    <t>Não quereremos antes abrir-lhes abrir lhes portas ?</t>
  </si>
  <si>
    <t>file://conllu/pt/teddy-1154.conllu#s22_0</t>
  </si>
  <si>
    <t>ser (ser médico)</t>
  </si>
  <si>
    <t>Uma destas de estas pessoas , que me abriu portas , foi o meu médico de infância no em o Instituto A.I .</t>
  </si>
  <si>
    <t>file://conllu/pt/teddy-1154.conllu#s23_0</t>
  </si>
  <si>
    <t>24</t>
  </si>
  <si>
    <t>Dupond</t>
  </si>
  <si>
    <t>Dupond , em Wilmington , Delaware .</t>
  </si>
  <si>
    <t>file://conllu/pt/teddy-1154.conllu#s24_0</t>
  </si>
  <si>
    <t>26</t>
  </si>
  <si>
    <t>Pizzutillo</t>
  </si>
  <si>
    <t>Pizzutillo .</t>
  </si>
  <si>
    <t>file://conllu/pt/teddy-1154.conllu#s26_0</t>
  </si>
  <si>
    <t>27</t>
  </si>
  <si>
    <t>chamar</t>
  </si>
  <si>
    <t>um italo-americano cujo nome , aparentemente , era demasiado difícil de pronunciar pela por a maioria dos de os americanos , por isso chamavam-lhe chamavam lhe Dr . P. Dr. P usava sempre uns laços muito coloridos e estava sempre com a disposição ideal para trabalhar com crianças</t>
  </si>
  <si>
    <t>file://conllu/pt/teddy-1154.conllu#s27_0</t>
  </si>
  <si>
    <t>28</t>
  </si>
  <si>
    <t>adorar</t>
  </si>
  <si>
    <t>Eu adorava quase tudo o que se passava no em o tempo que estava neste em este hospital , com exceção das de as minhas sessões de fisioterapia .</t>
  </si>
  <si>
    <t>file://conllu/pt/teddy-1154.conllu#s28_0</t>
  </si>
  <si>
    <t>29</t>
  </si>
  <si>
    <t>Tinha que repetir os exercícios vezes sem fim usando uns elásticos grossos , de cores diferentes , para ajudar a desenvolver os músculos das de as pernas .</t>
  </si>
  <si>
    <t>file://conllu/pt/teddy-1154.conllu#s29_0</t>
  </si>
  <si>
    <t>30</t>
  </si>
  <si>
    <t>odiar</t>
  </si>
  <si>
    <t>Eu odiava aqueles elásticos mais do de o que tudo .</t>
  </si>
  <si>
    <t>file://conllu/pt/teddy-1154.conllu#s30_0</t>
  </si>
  <si>
    <t>33</t>
  </si>
  <si>
    <t>pedinchar</t>
  </si>
  <si>
    <t>Eu já pedinchava ao a o Dr.</t>
  </si>
  <si>
    <t>file://conllu/pt/teddy-1154.conllu#s33_0</t>
  </si>
  <si>
    <t>34</t>
  </si>
  <si>
    <t>P</t>
  </si>
  <si>
    <t>P como uma criança de cinco anos , para não ter que fazer estes exercícios , sem sucesso , claro .</t>
  </si>
  <si>
    <t>file://conllu/pt/teddy-1154.conllu#s34_0</t>
  </si>
  <si>
    <t>35</t>
  </si>
  <si>
    <t>entrar</t>
  </si>
  <si>
    <t>Um dia , ele entrou na em a minha sessão — exaustivas e impiedosas aquelas sessões — e disse-me disse me : &amp;quot; Uau .</t>
  </si>
  <si>
    <t>file://conllu/pt/teddy-1154.conllu#s35_0</t>
  </si>
  <si>
    <t>36</t>
  </si>
  <si>
    <t>est</t>
  </si>
  <si>
    <t>Aimee , estás uma rapariga mesmo forte , &amp;quot; Acho que ainda vais rebentar uma dessas de essas bandas .</t>
  </si>
  <si>
    <t>file://conllu/pt/teddy-1154.conllu#s36_0</t>
  </si>
  <si>
    <t>37</t>
  </si>
  <si>
    <t>rebentar</t>
  </si>
  <si>
    <t>&amp;quot; Quando a rebentares eu vou dar-te dar te 100 dólares . &amp;quot; Claro que isto era um plano do de o Dr. P para conseguir que eu fizesse os exercícios que não queria fazer , mais do de o que a perspetiva de me tornar na em a miúda de 5 anos mais rica da de a ala do de o segundo piso , mas o que ele conseguiu fazer foi dar-me dar me uma nova perspetiva para um acontecimento diário terrível , transformando-o transformando o numa em uma experiência promissora .</t>
  </si>
  <si>
    <t>file://conllu/pt/teddy-1154.conllu#s37_0</t>
  </si>
  <si>
    <t>38</t>
  </si>
  <si>
    <t>E hoje tenho que pensar até que ponto é que a visão dele de ele , e a sua afirmação de eu ser uma miúda forte , formou a minha visão de mim própria para o futuro como uma pessoa inerentemente forte e atlética .</t>
  </si>
  <si>
    <t>file://conllu/pt/teddy-1154.conllu#s38_0</t>
  </si>
  <si>
    <t>39</t>
  </si>
  <si>
    <t>poder</t>
  </si>
  <si>
    <t>Este é um exemplo de como adultos , em posições de força , podem despertar o potencial de uma criança .</t>
  </si>
  <si>
    <t>file://conllu/pt/teddy-1154.conllu#s39_0</t>
  </si>
  <si>
    <t>40</t>
  </si>
  <si>
    <t>nir</t>
  </si>
  <si>
    <t>Porém , naquelas ne aquelas entradas anteriores no em o dicionário de sinónimos , a nossa língua não nos em os deixa evoluir para a realidade que todos desejamos , para a possibilidade de um indivíduo se ver a si próprio como capaz .</t>
  </si>
  <si>
    <t>file://conllu/pt/teddy-1154.conllu#s40_0</t>
  </si>
  <si>
    <t>41</t>
  </si>
  <si>
    <t>acompanhar</t>
  </si>
  <si>
    <t>A nossa linguagem não acompanhou as mudanças da de a nossa sociedade , muitas delas de elas fruto da de a tecnologia .</t>
  </si>
  <si>
    <t>file://conllu/pt/teddy-1154.conllu#s41_0</t>
  </si>
  <si>
    <t>42</t>
  </si>
  <si>
    <t>69</t>
  </si>
  <si>
    <t>permitir</t>
  </si>
  <si>
    <t>Claro que , do de o ponto de vista médico , as minhas pernas , a cirurgia laser para corrigir problemas de visão , próteses de anca e de joelho em titânio , que ajudam as pessoas a adaptarem-se adaptarem se melhor às a as suas capacidades , e a ultrapassar os limites que a Natureza lhes impôs , já para não falar nas em as redes sociais na em a Internet , permitem às a as pessoas autoidentificarem-se autoidentificarem se e criarem as descrições de si próprias de maneira a lhes permitir associarem-se associarem se globalmente aos a os grupos que escolherem .</t>
  </si>
  <si>
    <t>file://conllu/pt/teddy-1154.conllu#s42_0</t>
  </si>
  <si>
    <t>43</t>
  </si>
  <si>
    <t>tecnologia</t>
  </si>
  <si>
    <t>Talvez a tecnologia nos em os revele , de forma mais clara aquilo que sempre foi verdade , que toda gente tem qualquer coisa rara e poderosa a oferecer à a a sociedade , e que a capacidade humana para se adaptar é o nosso maior recurso .</t>
  </si>
  <si>
    <t>file://conllu/pt/teddy-1154.conllu#s43_0</t>
  </si>
  <si>
    <t>44</t>
  </si>
  <si>
    <t>ser (ser coisa)</t>
  </si>
  <si>
    <t>A nossa capacidade de adaptação é uma coisa muito interessante , porque toda a gente vem falar comigo com mim sobre como ultrapassar a adversidade , e eu vou ter que confessar uma coisa .</t>
  </si>
  <si>
    <t>file://conllu/pt/teddy-1154.conllu#s44_0</t>
  </si>
  <si>
    <t>45</t>
  </si>
  <si>
    <t>assentar</t>
  </si>
  <si>
    <t>Esta frase nunca me assentou muito bem .</t>
  </si>
  <si>
    <t>file://conllu/pt/teddy-1154.conllu#s45_0</t>
  </si>
  <si>
    <t>46</t>
  </si>
  <si>
    <t>responder (responder tentar sentir)</t>
  </si>
  <si>
    <t>Sempre me senti pouco à a a vontade a tentar responder a esta pergunta e acho que começo a perceber porquê .</t>
  </si>
  <si>
    <t>file://conllu/pt/teddy-1154.conllu#s46_0</t>
  </si>
  <si>
    <t>48</t>
  </si>
  <si>
    <t>mudar</t>
  </si>
  <si>
    <t>Mas de facto nós mudamos .</t>
  </si>
  <si>
    <t>file://conllu/pt/teddy-1154.conllu#s48_0</t>
  </si>
  <si>
    <t>49</t>
  </si>
  <si>
    <t>ficar</t>
  </si>
  <si>
    <t>Claro que ficamos marcados por um desafio , físico , emocional ou ambos .</t>
  </si>
  <si>
    <t>file://conllu/pt/teddy-1154.conllu#s49_0</t>
  </si>
  <si>
    <t>50</t>
  </si>
  <si>
    <t>Até?</t>
  </si>
  <si>
    <t>sugerir</t>
  </si>
  <si>
    <t>Eu até vou sugerir que isso é bom .</t>
  </si>
  <si>
    <t>file://conllu/pt/teddy-1154.conllu#s50_0</t>
  </si>
  <si>
    <t>51</t>
  </si>
  <si>
    <t>ser (ser obstáculo)</t>
  </si>
  <si>
    <t>A adversidade não é um obstáculo que precisamos de contornar para poder continuar a viver a nossa vida .</t>
  </si>
  <si>
    <t>file://conllu/pt/teddy-1154.conllu#s51_0</t>
  </si>
  <si>
    <t>52</t>
  </si>
  <si>
    <t>fazer</t>
  </si>
  <si>
    <t>Faz parte da de a nossa vida .</t>
  </si>
  <si>
    <t>file://conllu/pt/teddy-1154.conllu#s52_0</t>
  </si>
  <si>
    <t>53</t>
  </si>
  <si>
    <t>Eu gosto de pensar nisso em isso como a minha sombra .</t>
  </si>
  <si>
    <t>file://conllu/pt/teddy-1154.conllu#s53_0</t>
  </si>
  <si>
    <t>55</t>
  </si>
  <si>
    <t>Claro , eu não estou a tentar minimizar o impacto , o peso da de a luta pessoal .</t>
  </si>
  <si>
    <t>file://conllu/pt/teddy-1154.conllu#s55_0</t>
  </si>
  <si>
    <t>56</t>
  </si>
  <si>
    <t>A vida tem desafios e adversidade , e isso é muito real e específico de cada pessoa , mas a questão não é se vamos ou não enfrentar a adversidade , mas como é que a vamos enfrentar .</t>
  </si>
  <si>
    <t>file://conllu/pt/teddy-1154.conllu#s56_0</t>
  </si>
  <si>
    <t>57</t>
  </si>
  <si>
    <t>ser (ser proteger)</t>
  </si>
  <si>
    <t>A nossa responsabilidade não é só proteger da de a adversidade aqueles de quem gostamos , mas prepará-los prepará los para a enfrentarem bem .</t>
  </si>
  <si>
    <t>file://conllu/pt/teddy-1154.conllu#s57_0</t>
  </si>
  <si>
    <t>59</t>
  </si>
  <si>
    <t>haver</t>
  </si>
  <si>
    <t>Há uma diferença e uma distinção importante entre o facto médico objetivo da de a minha condição de amputada e a opinião social objetiva de eu ser ou não deficiente .</t>
  </si>
  <si>
    <t>file://conllu/pt/teddy-1154.conllu#s59_0</t>
  </si>
  <si>
    <t>62</t>
  </si>
  <si>
    <t>ser (ser incapacitador)</t>
  </si>
  <si>
    <t>modelo que temos de só reparar no em o que está mal em nós e de como é que o resolvemos , é talvez mais incapacitador do de o que a patologia propriamente dita .</t>
  </si>
  <si>
    <t>file://conllu/pt/teddy-1154.conllu#s62_0</t>
  </si>
  <si>
    <t>63</t>
  </si>
  <si>
    <t>Quando não tratamos a pessoa como um todo , quando não reconhecemos o seu potencial , estamos a criar mais um obstáculo numa em uma luta natural que já possam ter .</t>
  </si>
  <si>
    <t>file://conllu/pt/teddy-1154.conllu#s63_0</t>
  </si>
  <si>
    <t>64</t>
  </si>
  <si>
    <t>Estamos efetivamente a classificar o potencial de alguém na em a nossa comunidade .</t>
  </si>
  <si>
    <t>file://conllu/pt/teddy-1154.conllu#s64_0</t>
  </si>
  <si>
    <t>65</t>
  </si>
  <si>
    <t>Portanto temos que olhar para lá da de a patologia e para a gama da de a capacidade humana .</t>
  </si>
  <si>
    <t>file://conllu/pt/teddy-1154.conllu#s65_0</t>
  </si>
  <si>
    <t>66</t>
  </si>
  <si>
    <t>ser</t>
  </si>
  <si>
    <t>mais importante de tudo , é que existe uma ligação entre essas aparentes deficiências e as nossas maiores capacidades criativas .</t>
  </si>
  <si>
    <t>file://conllu/pt/teddy-1154.conllu#s66_0</t>
  </si>
  <si>
    <t>67</t>
  </si>
  <si>
    <t>tratar</t>
  </si>
  <si>
    <t>Não se trata de desvalorizar ou negar , estes tempos como uma coisa que queremos evitar ou varrer para debaixo do de o tapete mas sim encontrar as oportunidades escondidas na em a adversidade .</t>
  </si>
  <si>
    <t>file://conllu/pt/teddy-1154.conllu#s67_0</t>
  </si>
  <si>
    <t>68</t>
  </si>
  <si>
    <t>assumir</t>
  </si>
  <si>
    <t>Talvez a ideia que eu quero fazer passar , não seja tanto como ultrapassar a adversidade , mas sobretudo como abrirmo-nos abrirmo nos a ela , assumi-la assumi la , engancharmo-nos engancharmo nos nela em ela — para usar um termo de &amp;quot;wrestling &amp;quot; — ou talvez mesmo dançar com ela .</t>
  </si>
  <si>
    <t>file://conllu/pt/teddy-1154.conllu#s68_0</t>
  </si>
  <si>
    <t>consigar</t>
  </si>
  <si>
    <t>E talvez , se conseguirmos ver a adversidade como natural , consistente e útil , consigamos sentir menos o peso da de a sua presença .</t>
  </si>
  <si>
    <t>file://conllu/pt/teddy-1154.conllu#s69_0</t>
  </si>
  <si>
    <t>70</t>
  </si>
  <si>
    <t>celebrar</t>
  </si>
  <si>
    <t>Este ano celebram-se celebram se os 200 anos do de o nascimento de Charles Darwin , e foi há 150 anos , quando escrevia sobre a evolução , que Darwin ilustrou , acho eu , a verdade sobre o carácter humano .</t>
  </si>
  <si>
    <t>file://conllu/pt/teddy-1154.conllu#s70_0</t>
  </si>
  <si>
    <t>71</t>
  </si>
  <si>
    <t>ser (ser espécie)</t>
  </si>
  <si>
    <t>Parafraseando , não é a espécie mais forte que sobrevive , nem sequer a mais inteligente que sobrevive , mas sim aquela que mais facilmente se adapta à a a mudança .</t>
  </si>
  <si>
    <t>file://conllu/pt/teddy-1154.conllu#s71_0</t>
  </si>
  <si>
    <t>72</t>
  </si>
  <si>
    <t>ser (ser génese)</t>
  </si>
  <si>
    <t>conflito é a génese da de a criação .</t>
  </si>
  <si>
    <t>file://conllu/pt/teddy-1154.conllu#s72_0</t>
  </si>
  <si>
    <t>73</t>
  </si>
  <si>
    <t>A partir do de o trabalho de Darwin , entre outros , podemos reconhecer que a capacidade humana para sobreviver e florescer tem que ver com a luta do de o espírito humano através dos de os conflitos , transformando-se transformando se .</t>
  </si>
  <si>
    <t>file://conllu/pt/teddy-1154.conllu#s73_0</t>
  </si>
  <si>
    <t>74</t>
  </si>
  <si>
    <t>ser (ser grande)</t>
  </si>
  <si>
    <t>De novo , a capacidade de transformação , de adaptação , é a maior das de as capacidades humanas .</t>
  </si>
  <si>
    <t>file://conllu/pt/teddy-1154.conllu#s74_0</t>
  </si>
  <si>
    <t>75</t>
  </si>
  <si>
    <t>saber</t>
  </si>
  <si>
    <t>E talvez , enquanto não formos testados , não sabemos bem de que somos feitos .</t>
  </si>
  <si>
    <t>file://conllu/pt/teddy-1154.conllu#s75_0</t>
  </si>
  <si>
    <t>76</t>
  </si>
  <si>
    <t>ser (ser isso)</t>
  </si>
  <si>
    <t>Talvez seja isso que a adversidade nos em os dá , um sentido de nós próprios , um sentido do de o nosso potencial .</t>
  </si>
  <si>
    <t>file://conllu/pt/teddy-1154.conllu#s76_0</t>
  </si>
  <si>
    <t>77</t>
  </si>
  <si>
    <t>Então , podemos dar uma prenda a nós próprios .</t>
  </si>
  <si>
    <t>file://conllu/pt/teddy-1154.conllu#s77_0</t>
  </si>
  <si>
    <t>78</t>
  </si>
  <si>
    <t>Podemos re-imaginar a adversidade como algo mais do de o que maus bocados .</t>
  </si>
  <si>
    <t>file://conllu/pt/teddy-1154.conllu#s78_0</t>
  </si>
  <si>
    <t>79</t>
  </si>
  <si>
    <t>possar</t>
  </si>
  <si>
    <t>Talvez possamos vê-la vê la como mudança .</t>
  </si>
  <si>
    <t>file://conllu/pt/teddy-1154.conllu#s79_0</t>
  </si>
  <si>
    <t>80</t>
  </si>
  <si>
    <t>ser (ser mudancer)</t>
  </si>
  <si>
    <t>A adversidade é mudança à a a qual ainda não nos em os adaptámos .</t>
  </si>
  <si>
    <t>file://conllu/pt/teddy-1154.conllu#s80_0</t>
  </si>
  <si>
    <t>81</t>
  </si>
  <si>
    <t>Eu acho que a maior adversidade que criámos para nós próprios é a ideia de normalidade .</t>
  </si>
  <si>
    <t>file://conllu/pt/teddy-1154.conllu#s81_0</t>
  </si>
  <si>
    <t>82</t>
  </si>
  <si>
    <t>Quem?</t>
  </si>
  <si>
    <t>ser (ser normal)</t>
  </si>
  <si>
    <t>Quem é que é normal ?</t>
  </si>
  <si>
    <t>file://conllu/pt/teddy-1154.conllu#s82_0</t>
  </si>
  <si>
    <t>83</t>
  </si>
  <si>
    <t>Normal é uma coisa que não existe .</t>
  </si>
  <si>
    <t>file://conllu/pt/teddy-1154.conllu#s83_0</t>
  </si>
  <si>
    <t>84</t>
  </si>
  <si>
    <t>existir</t>
  </si>
  <si>
    <t>Existe comum .</t>
  </si>
  <si>
    <t>file://conllu/pt/teddy-1154.conllu#s84_0</t>
  </si>
  <si>
    <t>85</t>
  </si>
  <si>
    <t>Existe típico .</t>
  </si>
  <si>
    <t>file://conllu/pt/teddy-1154.conllu#s85_0</t>
  </si>
  <si>
    <t>86</t>
  </si>
  <si>
    <t>Não existe normal .</t>
  </si>
  <si>
    <t>file://conllu/pt/teddy-1154.conllu#s86_0</t>
  </si>
  <si>
    <t>87</t>
  </si>
  <si>
    <t>Se essa pessoa cinzenta existisse , gostariam de a conhecer ?</t>
  </si>
  <si>
    <t>file://conllu/pt/teddy-1154.conllu#s87_0</t>
  </si>
  <si>
    <t>88</t>
  </si>
  <si>
    <t>riso</t>
  </si>
  <si>
    <t>( Risos )</t>
  </si>
  <si>
    <t>file://conllu/pt/teddy-1154.conllu#s88_0</t>
  </si>
  <si>
    <t>89</t>
  </si>
  <si>
    <t>parecer</t>
  </si>
  <si>
    <t>Não me parece .</t>
  </si>
  <si>
    <t>file://conllu/pt/teddy-1154.conllu#s89_0</t>
  </si>
  <si>
    <t>90</t>
  </si>
  <si>
    <t>conseguir</t>
  </si>
  <si>
    <t>Se conseguirmos mudar este paradigma de procura da de a normalidade para possibilidade , potencial , mesmo à a a custa de maior perigo , conseguimos libertar o potencial de tantas crianças mais , convidando-as convidando as a contribuírem com as suas raras e válidas capacidades para a comunidade .</t>
  </si>
  <si>
    <t>file://conllu/pt/teddy-1154.conllu#s90_0</t>
  </si>
  <si>
    <t>91</t>
  </si>
  <si>
    <t>dizer</t>
  </si>
  <si>
    <t>Os antropólogos dizem-nos dizem nos que uma coisa que nós , como seres humanos , sempre exigimos da de a nossa comunidade é ser útil , ser capaz de contribuir .</t>
  </si>
  <si>
    <t>file://conllu/pt/teddy-1154.conllu#s91_0</t>
  </si>
  <si>
    <t>92</t>
  </si>
  <si>
    <t>Há provas de que o Homem de Neandertal , há cerca de 60 mil anos , carregava os seus idosos e aqueles que tinham ferimentos graves , e talvez , dado que a experiência de sobrevivência desses de esses povos era muito útil para a comunidade , eles não olhassem para essas pessoas como defeituosos e inúteis ; eram vistos como raros e valiosos .</t>
  </si>
  <si>
    <t>file://conllu/pt/teddy-1154.conllu#s92_0</t>
  </si>
  <si>
    <t>93</t>
  </si>
  <si>
    <t>Há uns anos , eu estava no em o mercado na em a cidade onde cresci naquela em aquela zona vermelha no em o nordeste da de a Pensilvânia , e estava a olhar para uma caixa de tomates .</t>
  </si>
  <si>
    <t>file://conllu/pt/teddy-1154.conllu#s93_0</t>
  </si>
  <si>
    <t>94</t>
  </si>
  <si>
    <t>ver</t>
  </si>
  <si>
    <t>Era verão .</t>
  </si>
  <si>
    <t>file://conllu/pt/teddy-1154.conllu#s94_0</t>
  </si>
  <si>
    <t>95</t>
  </si>
  <si>
    <t>estar (estar calção)</t>
  </si>
  <si>
    <t>Eu estava de calções .</t>
  </si>
  <si>
    <t>file://conllu/pt/teddy-1154.conllu#s95_0</t>
  </si>
  <si>
    <t>96</t>
  </si>
  <si>
    <t>ouvir</t>
  </si>
  <si>
    <t>Ouvi uma pessoa , uma voz por trás de mim dizer : &amp;quot; Ora vejam , se não é a Aimee Mullins . &amp;quot;</t>
  </si>
  <si>
    <t>file://conllu/pt/teddy-1154.conllu#s96_0</t>
  </si>
  <si>
    <t>97</t>
  </si>
  <si>
    <t>vir</t>
  </si>
  <si>
    <t>Eu virei-me virei me e era um senhor de idade .</t>
  </si>
  <si>
    <t>file://conllu/pt/teddy-1154.conllu#s97_0</t>
  </si>
  <si>
    <t>98</t>
  </si>
  <si>
    <t>Eu não fazia a mínima ideia de quem era .</t>
  </si>
  <si>
    <t>file://conllu/pt/teddy-1154.conllu#s98_0</t>
  </si>
  <si>
    <t>99</t>
  </si>
  <si>
    <t>E eu disse :</t>
  </si>
  <si>
    <t>file://conllu/pt/teddy-1154.conllu#s99_0</t>
  </si>
  <si>
    <t>100</t>
  </si>
  <si>
    <t>Desculpe</t>
  </si>
  <si>
    <t>&amp;quot; Desculpe , conheço-o conheço o ?</t>
  </si>
  <si>
    <t>file://conllu/pt/teddy-1154.conllu#s100_0</t>
  </si>
  <si>
    <t>101</t>
  </si>
  <si>
    <t>eu</t>
  </si>
  <si>
    <t>Não me lembro de si . &amp;quot;</t>
  </si>
  <si>
    <t>file://conllu/pt/teddy-1154.conllu#s101_0</t>
  </si>
  <si>
    <t>102</t>
  </si>
  <si>
    <t>Ele disse :</t>
  </si>
  <si>
    <t>file://conllu/pt/teddy-1154.conllu#s102_0</t>
  </si>
  <si>
    <t>103</t>
  </si>
  <si>
    <t>lembrar</t>
  </si>
  <si>
    <t>&amp;quot; Tu não podes lembrar-te lembrar te de mim .</t>
  </si>
  <si>
    <t>file://conllu/pt/teddy-1154.conllu#s103_0</t>
  </si>
  <si>
    <t>104</t>
  </si>
  <si>
    <t>&amp;quot; Quando nos em os conhecemos eu estava a ajudar a tua mãe a dar-te dar te à a a luz. &amp;quot; Ah , aquele tipo .</t>
  </si>
  <si>
    <t>file://conllu/pt/teddy-1154.conllu#s104_0</t>
  </si>
  <si>
    <t>105</t>
  </si>
  <si>
    <t>perceber</t>
  </si>
  <si>
    <t>E , claro , aí eu percebi quem era .</t>
  </si>
  <si>
    <t>file://conllu/pt/teddy-1154.conllu#s105_0</t>
  </si>
  <si>
    <t>106</t>
  </si>
  <si>
    <t>ser (ser dr.)</t>
  </si>
  <si>
    <t>Aquele homem era o Dr. Kean , um homem que eu só conhecia pelas por as histórias que a minha mãe contava do de o dia do de o meu nascimento , porque eu cheguei duas semanas atrasada ao a o meu nascimento .</t>
  </si>
  <si>
    <t>file://conllu/pt/teddy-1154.conllu#s106_0</t>
  </si>
  <si>
    <t>107</t>
  </si>
  <si>
    <t>ir</t>
  </si>
  <si>
    <t>Por isso , o obstetra da de a minha mãe tinha ido de férias , e o tipo que ajudou no em o meu parto era um completo estranho para os meus pais .</t>
  </si>
  <si>
    <t>file://conllu/pt/teddy-1154.conllu#s107_0</t>
  </si>
  <si>
    <t>108</t>
  </si>
  <si>
    <t>31</t>
  </si>
  <si>
    <t>estranho</t>
  </si>
  <si>
    <t>Como eu nasci sem os ossos do de o perónio , tinha os pés virados para dentro , uns dedos neste em este pé , e outros naquele em aquele , foi este estranho que teve que dar as más notícias .</t>
  </si>
  <si>
    <t>file://conllu/pt/teddy-1154.conllu#s108_0</t>
  </si>
  <si>
    <t>109</t>
  </si>
  <si>
    <t>E disse-me disse me : &amp;quot; Tive que fazer o prognóstico aos a os seus pais , &amp;quot;dizer-lhes &amp;quot;dizer lhes que tu nunca irias andar , &amp;quot; que nunca irias ter a mesma mobilidade que os outros miúdos têm &amp;quot; que nunca serias independente , &amp;quot; e desde então tens feito de mim um mentiroso . &amp;quot; ( Aplausos )</t>
  </si>
  <si>
    <t>file://conllu/pt/teddy-1154.conllu#s109_0</t>
  </si>
  <si>
    <t>110</t>
  </si>
  <si>
    <t>ser (ser extraordinário)</t>
  </si>
  <si>
    <t>mais extraordinário é que ele disse que tinha guardado recortes de jornal de toda a minha infância , fosse eu a ganhar o concurso de soletrar , no em o segundo ano , a marchar com os escoteiros , no em o desfile do de o dia das de as bruxas , a ganhar uma bolsa de estudos , ou qualquer das de as minhas vitórias no em o desporto , e usava esses recortes para ensinar alunos internos , estudantes de medicina das de as escolas de medicina de Hahnemann e de Hershey .</t>
  </si>
  <si>
    <t>file://conllu/pt/teddy-1154.conllu#s110_0</t>
  </si>
  <si>
    <t>111</t>
  </si>
  <si>
    <t>Ele chamava a esta parte do de o curso o Factor X , o potencial da de a vontade humana .</t>
  </si>
  <si>
    <t>file://conllu/pt/teddy-1154.conllu#s111_0</t>
  </si>
  <si>
    <t>112</t>
  </si>
  <si>
    <t>considerar</t>
  </si>
  <si>
    <t>Nenhum prognóstico considera o potencial disto de isto como determinante para a qualidade de vida de cada um de nós .</t>
  </si>
  <si>
    <t>file://conllu/pt/teddy-1154.conllu#s112_0</t>
  </si>
  <si>
    <t>113</t>
  </si>
  <si>
    <t>Dr. Kean disse-me disse me ainda : &amp;quot; Na Em a minha experiência , a não ser que me digam insistentemente o contrário , &amp;quot; e mesmo que me deem algum tipo de apoio , &amp;quot; se for deixada ao a o seu destino , uma criança consegue superar-se superar se . &amp;quot; Como veem , o Dr. Kean mudou a sua forma de pensar .</t>
  </si>
  <si>
    <t>file://conllu/pt/teddy-1154.conllu#s113_0</t>
  </si>
  <si>
    <t>114</t>
  </si>
  <si>
    <t>Percebeu que há uma diferença entre uma situação médica e o que se pode fazer com ela .</t>
  </si>
  <si>
    <t>file://conllu/pt/teddy-1154.conllu#s114_0</t>
  </si>
  <si>
    <t>117</t>
  </si>
  <si>
    <t>Se me perguntarem hoje , já não tenho tanta certeza .</t>
  </si>
  <si>
    <t>file://conllu/pt/teddy-1154.conllu#s117_0</t>
  </si>
  <si>
    <t>118</t>
  </si>
  <si>
    <t>É por causa das de as experiências que tive com elas , não é apesar das de as experiências que tive com elas .</t>
  </si>
  <si>
    <t>file://conllu/pt/teddy-1154.conllu#s118_0</t>
  </si>
  <si>
    <t>119</t>
  </si>
  <si>
    <t>acontecer</t>
  </si>
  <si>
    <t>Talvez esta mudança na em a minha maneira de ver tenha acontecido porque eu estive exposta a mais pessoas que me abriram portas do de o que aquelas que me tapavam ou ensombravam .</t>
  </si>
  <si>
    <t>file://conllu/pt/teddy-1154.conllu#s119_0</t>
  </si>
  <si>
    <t>120</t>
  </si>
  <si>
    <t>precisar</t>
  </si>
  <si>
    <t>Nós só precisamos de alguém que nos em os mostre a epifania do de o nosso próprio potencial , e ai vamos nós .</t>
  </si>
  <si>
    <t>file://conllu/pt/teddy-1154.conllu#s120_0</t>
  </si>
  <si>
    <t>121</t>
  </si>
  <si>
    <t>Se pudermos dar a alguém a chave do de o seu próprio potencial , — o espírito humano é tão recetivo — se pudermos fazer isso e abrir a porta a alguém , num em um momento crucial , estamos a educar essa pessoa da de a melhor forma possível .</t>
  </si>
  <si>
    <t>file://conllu/pt/teddy-1154.conllu#s121_0</t>
  </si>
  <si>
    <t>122</t>
  </si>
  <si>
    <t>Estamos a ensinar essa pessoa a abrir portas a si mesma .</t>
  </si>
  <si>
    <t>file://conllu/pt/teddy-1154.conllu#s122_0</t>
  </si>
  <si>
    <t>124</t>
  </si>
  <si>
    <t>mais</t>
  </si>
  <si>
    <t>Mais uma vez , que potencial é que queremos valorizar ?</t>
  </si>
  <si>
    <t>file://conllu/pt/teddy-1154.conllu#s124_0</t>
  </si>
  <si>
    <t>125</t>
  </si>
  <si>
    <t>Em Inglaterra , houve um caso de estudo nos em os anos 60 .</t>
  </si>
  <si>
    <t>file://conllu/pt/teddy-1154.conllu#s125_0</t>
  </si>
  <si>
    <t>126</t>
  </si>
  <si>
    <t>passar</t>
  </si>
  <si>
    <t>Foi quando passavam da de a escola primária para o secundário .</t>
  </si>
  <si>
    <t>file://conllu/pt/teddy-1154.conllu#s126_0</t>
  </si>
  <si>
    <t>128</t>
  </si>
  <si>
    <t>Agrupar</t>
  </si>
  <si>
    <t>Agrupavam os alunos com A , B , C , D , etc.</t>
  </si>
  <si>
    <t>file://conllu/pt/teddy-1154.conllu#s128_0</t>
  </si>
  <si>
    <t>129</t>
  </si>
  <si>
    <t>Os alunos de As tinham os programas mais difíceis , os melhores professores , etc.</t>
  </si>
  <si>
    <t>file://conllu/pt/teddy-1154.conllu#s129_0</t>
  </si>
  <si>
    <t>130</t>
  </si>
  <si>
    <t>21</t>
  </si>
  <si>
    <t>dizer (dizer dizer)</t>
  </si>
  <si>
    <t>Agarraram nos em os alunos de nível D , durante um período de três meses , classificaram-nos classificaram nos como As , disseram-lhes disseram lhes que tinham A , disseram-lhes disseram lhes que eles eram brilhantes .</t>
  </si>
  <si>
    <t>file://conllu/pt/teddy-1154.conllu#s130_0</t>
  </si>
  <si>
    <t>132</t>
  </si>
  <si>
    <t>A que eles tinham classificação D. E foi isso que aconteceu no em o final dos de os três meses .</t>
  </si>
  <si>
    <t>file://conllu/pt/teddy-1154.conllu#s132_0</t>
  </si>
  <si>
    <t>133</t>
  </si>
  <si>
    <t>abandonarar</t>
  </si>
  <si>
    <t>Os que ainda estavam na em a escola , para além dos de os que abandonaram .</t>
  </si>
  <si>
    <t>file://conllu/pt/teddy-1154.conllu#s133_0</t>
  </si>
  <si>
    <t>134</t>
  </si>
  <si>
    <t>Uma parte essencial deste de este estudo é que os professores também foram enganados .</t>
  </si>
  <si>
    <t>file://conllu/pt/teddy-1154.conllu#s134_0</t>
  </si>
  <si>
    <t>135</t>
  </si>
  <si>
    <t>Os professores não sabiam das de as trocas de classificação .</t>
  </si>
  <si>
    <t>file://conllu/pt/teddy-1154.conllu#s135_0</t>
  </si>
  <si>
    <t>137</t>
  </si>
  <si>
    <t>Foi nestas em estas condições que os ensinaram e que os trataram .</t>
  </si>
  <si>
    <t>file://conllu/pt/teddy-1154.conllu#s137_0</t>
  </si>
  <si>
    <t>138</t>
  </si>
  <si>
    <t>Eu acho que a única deficiência é uma mente que foi esmagada .</t>
  </si>
  <si>
    <t>file://conllu/pt/teddy-1154.conllu#s138_0</t>
  </si>
  <si>
    <t>139</t>
  </si>
  <si>
    <t>Para uma mente esmagada não há esperança .</t>
  </si>
  <si>
    <t>file://conllu/pt/teddy-1154.conllu#s139_0</t>
  </si>
  <si>
    <t>140</t>
  </si>
  <si>
    <t>Não consegue ver a beleza .</t>
  </si>
  <si>
    <t>file://conllu/pt/teddy-1154.conllu#s140_0</t>
  </si>
  <si>
    <t>141</t>
  </si>
  <si>
    <t>deixar</t>
  </si>
  <si>
    <t>Deixa de ter a curiosidade natural , infantil e a nossa capacidade inata para imaginar .</t>
  </si>
  <si>
    <t>file://conllu/pt/teddy-1154.conllu#s141_0</t>
  </si>
  <si>
    <t>142</t>
  </si>
  <si>
    <t>Se , em vez disso de isso , conseguirmos convencer a nossa mente a manter a esperança , a ver a beleza em nós próprios e nos em os outros , a ser curiosa e imaginativa , então estamos a usar o nosso potencial da de a melhor forma .</t>
  </si>
  <si>
    <t>file://conllu/pt/teddy-1154.conllu#s142_0</t>
  </si>
  <si>
    <t>143</t>
  </si>
  <si>
    <t>ser (ser capaz)</t>
  </si>
  <si>
    <t>Quando uma mente tem estas qualidades somos capazes de conceber novas realidades e novas maneiras de ser .</t>
  </si>
  <si>
    <t>file://conllu/pt/teddy-1154.conllu#s143_0</t>
  </si>
  <si>
    <t>144</t>
  </si>
  <si>
    <t>Gostava de terminar com um poema dum de um poeta persa do de o século XIV , chamado Hafiz , que me ensinou o meu amigo Jacques Dembois .</t>
  </si>
  <si>
    <t>file://conllu/pt/teddy-1154.conllu#s144_0</t>
  </si>
  <si>
    <t>145</t>
  </si>
  <si>
    <t>repetir (repetir conhecer chamar)</t>
  </si>
  <si>
    <t>poema chama-se chama se &amp;quot;O Deus Que Só Sabe Três Palavras . &amp;quot; &amp;quot; Todas as crianças conheceram Deus , &amp;quot; não o Deus dos de os nomes , &amp;quot; não o Deus das de as negações , &amp;quot; mas o Deus que só sabe três palavras e as repete incessantemente , &amp;quot; dizendo : ' vem dançar comigo com mim ' .</t>
  </si>
  <si>
    <t>file://conllu/pt/teddy-1154.conllu#s145_0</t>
  </si>
  <si>
    <t>146</t>
  </si>
  <si>
    <t>Venham !</t>
  </si>
  <si>
    <t>file://conllu/pt/teddy-1154.conllu#s146_0</t>
  </si>
  <si>
    <t>147</t>
  </si>
  <si>
    <t>Dancer</t>
  </si>
  <si>
    <t>Dancem comigo com mim !</t>
  </si>
  <si>
    <t>file://conllu/pt/teddy-1154.conllu#s147_0</t>
  </si>
  <si>
    <t>148</t>
  </si>
  <si>
    <t>obrigado</t>
  </si>
  <si>
    <t>Obrigada .</t>
  </si>
  <si>
    <t>file://conllu/pt/teddy-1154.conllu#s148_0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</si>
  <si>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</si>
  <si>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</si>
  <si>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</si>
  <si>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</si>
  <si>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</si>
  <si>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</si>
  <si>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</si>
  <si>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</si>
  <si>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</si>
  <si>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</si>
  <si>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</si>
  <si>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Gostava de partilhar convosco uma descoberta que fiz há uns meses enquanto escrevia um artigo para a revista italiana Wired.</t>
  </si>
  <si>
    <t>Gostava</t>
  </si>
  <si>
    <t>de</t>
  </si>
  <si>
    <t>partilhar</t>
  </si>
  <si>
    <t>com</t>
  </si>
  <si>
    <t>vós</t>
  </si>
  <si>
    <t>OBJ_2</t>
  </si>
  <si>
    <t>pron.pper</t>
  </si>
  <si>
    <t>?OLD</t>
  </si>
  <si>
    <t>uma</t>
  </si>
  <si>
    <t>descoberta</t>
  </si>
  <si>
    <t>indef-np.a</t>
  </si>
  <si>
    <t>que</t>
  </si>
  <si>
    <t>SBJ_4</t>
  </si>
  <si>
    <t>fiz</t>
  </si>
  <si>
    <t>há</t>
  </si>
  <si>
    <t>uns</t>
  </si>
  <si>
    <t>meses</t>
  </si>
  <si>
    <t>other_4</t>
  </si>
  <si>
    <t>indef-np</t>
  </si>
  <si>
    <t>enquanto</t>
  </si>
  <si>
    <t>escrevia</t>
  </si>
  <si>
    <t>um</t>
  </si>
  <si>
    <t>artigo</t>
  </si>
  <si>
    <t>def-np.poss</t>
  </si>
  <si>
    <t>para</t>
  </si>
  <si>
    <t>a</t>
  </si>
  <si>
    <t>revista</t>
  </si>
  <si>
    <t>other_3</t>
  </si>
  <si>
    <t>def-np.the</t>
  </si>
  <si>
    <t>italiana</t>
  </si>
  <si>
    <t>Wired</t>
  </si>
  <si>
    <t>ne</t>
  </si>
  <si>
    <t>.</t>
  </si>
  <si>
    <t>--</t>
  </si>
  <si>
    <t># text = Quando estou a escrever algo tenho sempre por perto um dicionário de sinónimos, mas já tinha acabado de editar o texto, quando percebi que nunca na vida tinha procurado a palavra "deficiente" para ver o que encontrava.</t>
  </si>
  <si>
    <t>Quando</t>
  </si>
  <si>
    <t>estou</t>
  </si>
  <si>
    <t>escrever</t>
  </si>
  <si>
    <t>algo</t>
  </si>
  <si>
    <t>OBJ_3</t>
  </si>
  <si>
    <t>pron.pind</t>
  </si>
  <si>
    <t>tenho</t>
  </si>
  <si>
    <t>sempre</t>
  </si>
  <si>
    <t>por</t>
  </si>
  <si>
    <t>perto</t>
  </si>
  <si>
    <t>dicionário</t>
  </si>
  <si>
    <t>sinónimos</t>
  </si>
  <si>
    <t>indef-np.bare</t>
  </si>
  <si>
    <t>,</t>
  </si>
  <si>
    <t>mas</t>
  </si>
  <si>
    <t>já</t>
  </si>
  <si>
    <t>tinha</t>
  </si>
  <si>
    <t>acabado</t>
  </si>
  <si>
    <t>editar</t>
  </si>
  <si>
    <t>o</t>
  </si>
  <si>
    <t>texto</t>
  </si>
  <si>
    <t>OBJ_4</t>
  </si>
  <si>
    <t>quando</t>
  </si>
  <si>
    <t>percebi</t>
  </si>
  <si>
    <t>nunca</t>
  </si>
  <si>
    <t>em</t>
  </si>
  <si>
    <t>vida</t>
  </si>
  <si>
    <t>procurado</t>
  </si>
  <si>
    <t>palavra</t>
  </si>
  <si>
    <t>&amp;quot;</t>
  </si>
  <si>
    <t>deficiente</t>
  </si>
  <si>
    <t>OBJ_7</t>
  </si>
  <si>
    <t>pron.pds</t>
  </si>
  <si>
    <t>OBJ_9</t>
  </si>
  <si>
    <t>encontrava</t>
  </si>
  <si>
    <t># text = Vou ler o que encontrei.</t>
  </si>
  <si>
    <t>Vou</t>
  </si>
  <si>
    <t>ler</t>
  </si>
  <si>
    <t>encontrei</t>
  </si>
  <si>
    <t># text = \"Deficiente,\" adjetivo: \"aleijado, sem-solução, inútil, destruído, \"parado, desfigurado, ferido, massacrado, imobilizado, mutilado, \"degradado, gasto, enfraquecido, impotente, \"castrado, paralisado, limitado, \"senil, decrépito, tramado, acabado, cansado \"doente mental, insignificante; \"ver também ferido, inútil e fraco.</t>
  </si>
  <si>
    <t>other</t>
  </si>
  <si>
    <t>adjetivo</t>
  </si>
  <si>
    <t>:</t>
  </si>
  <si>
    <t>aleijado</t>
  </si>
  <si>
    <t>sem-solução</t>
  </si>
  <si>
    <t>other_2</t>
  </si>
  <si>
    <t>inútil</t>
  </si>
  <si>
    <t>destruído</t>
  </si>
  <si>
    <t>parado</t>
  </si>
  <si>
    <t>desfigurado</t>
  </si>
  <si>
    <t>ferido</t>
  </si>
  <si>
    <t>massacrado</t>
  </si>
  <si>
    <t>imobilizado</t>
  </si>
  <si>
    <t>mutilado</t>
  </si>
  <si>
    <t>degradado</t>
  </si>
  <si>
    <t>gasto</t>
  </si>
  <si>
    <t>OBJ_5</t>
  </si>
  <si>
    <t>enfraquecido</t>
  </si>
  <si>
    <t>impotente</t>
  </si>
  <si>
    <t>castrado</t>
  </si>
  <si>
    <t>paralisado</t>
  </si>
  <si>
    <t>limitado</t>
  </si>
  <si>
    <t>senil</t>
  </si>
  <si>
    <t>decrépito</t>
  </si>
  <si>
    <t>tramado</t>
  </si>
  <si>
    <t>cansado</t>
  </si>
  <si>
    <t>other_8</t>
  </si>
  <si>
    <t>doente</t>
  </si>
  <si>
    <t>mental</t>
  </si>
  <si>
    <t>insignificante</t>
  </si>
  <si>
    <t>;</t>
  </si>
  <si>
    <t>também</t>
  </si>
  <si>
    <t>OBJ_11</t>
  </si>
  <si>
    <t>e</t>
  </si>
  <si>
    <t>fraco</t>
  </si>
  <si>
    <t># text = \"Antónimos: saudável, forte, capaz.\" Eu estava a ler esta lista em voz alta a um amigo e a princípio estava a rir-me, era tão ridículo, mas quando passei por \"massacrado\", falhou-me a voz, e tive que parar para me recompor do choque emocional e do impacto que estas palavras me estavam a causar.</t>
  </si>
  <si>
    <t>Antónimos</t>
  </si>
  <si>
    <t>saudável</t>
  </si>
  <si>
    <t>forte</t>
  </si>
  <si>
    <t>capaz</t>
  </si>
  <si>
    <t>Eu</t>
  </si>
  <si>
    <t>SBJ_3</t>
  </si>
  <si>
    <t>estava</t>
  </si>
  <si>
    <t>esta</t>
  </si>
  <si>
    <t>lista</t>
  </si>
  <si>
    <t>def-np.dem</t>
  </si>
  <si>
    <t>voz</t>
  </si>
  <si>
    <t>alta</t>
  </si>
  <si>
    <t>amigo</t>
  </si>
  <si>
    <t>other_5</t>
  </si>
  <si>
    <t>princípio</t>
  </si>
  <si>
    <t>SBJ_7</t>
  </si>
  <si>
    <t>rir</t>
  </si>
  <si>
    <t>me</t>
  </si>
  <si>
    <t>era</t>
  </si>
  <si>
    <t>tão</t>
  </si>
  <si>
    <t>ridículo</t>
  </si>
  <si>
    <t>passei</t>
  </si>
  <si>
    <t>falhou</t>
  </si>
  <si>
    <t>tive</t>
  </si>
  <si>
    <t>parar</t>
  </si>
  <si>
    <t>OBJ_6</t>
  </si>
  <si>
    <t>recompor</t>
  </si>
  <si>
    <t>choque</t>
  </si>
  <si>
    <t>emocional</t>
  </si>
  <si>
    <t>impacto</t>
  </si>
  <si>
    <t>other_7</t>
  </si>
  <si>
    <t>SBJ_9</t>
  </si>
  <si>
    <t>estas</t>
  </si>
  <si>
    <t>palavras</t>
  </si>
  <si>
    <t>estavam</t>
  </si>
  <si>
    <t>causar</t>
  </si>
  <si>
    <t># text = Claro que isto era o meu velho dicionário de sinónimos.</t>
  </si>
  <si>
    <t>Claro</t>
  </si>
  <si>
    <t>isto</t>
  </si>
  <si>
    <t>SBJ_2</t>
  </si>
  <si>
    <t>meu</t>
  </si>
  <si>
    <t>pron.ppos</t>
  </si>
  <si>
    <t>velho</t>
  </si>
  <si>
    <t># text = Pensei que seria uma edição antiga.</t>
  </si>
  <si>
    <t>Pensei</t>
  </si>
  <si>
    <t>seria</t>
  </si>
  <si>
    <t>edição</t>
  </si>
  <si>
    <t>antiga</t>
  </si>
  <si>
    <t># text = Mas, de facto, a data da edição era do início dos anos 80, quando eu estava a começar a escola primária e a formar o conhecimento de mim mesma, fora do seio familiar, e a relacionar-me com outros miúdos e com o mundo à minha volta.</t>
  </si>
  <si>
    <t>Mas</t>
  </si>
  <si>
    <t>facto</t>
  </si>
  <si>
    <t>data</t>
  </si>
  <si>
    <t>SBJ</t>
  </si>
  <si>
    <t>início</t>
  </si>
  <si>
    <t>os</t>
  </si>
  <si>
    <t>anos</t>
  </si>
  <si>
    <t>def-np.quant</t>
  </si>
  <si>
    <t>começar</t>
  </si>
  <si>
    <t>escola</t>
  </si>
  <si>
    <t>primária</t>
  </si>
  <si>
    <t>formar</t>
  </si>
  <si>
    <t>conhecimento</t>
  </si>
  <si>
    <t>mim</t>
  </si>
  <si>
    <t>mesma</t>
  </si>
  <si>
    <t>fora</t>
  </si>
  <si>
    <t>seio</t>
  </si>
  <si>
    <t>familiar</t>
  </si>
  <si>
    <t>relacionar</t>
  </si>
  <si>
    <t>outros</t>
  </si>
  <si>
    <t>miúdos</t>
  </si>
  <si>
    <t>mundo</t>
  </si>
  <si>
    <t>other_6</t>
  </si>
  <si>
    <t>minha</t>
  </si>
  <si>
    <t>volta</t>
  </si>
  <si>
    <t># text = Escusado será dizer que, graças a Deus, na altura não usava um dicionário de sinónimos.</t>
  </si>
  <si>
    <t>Escusado</t>
  </si>
  <si>
    <t>será</t>
  </si>
  <si>
    <t>graças</t>
  </si>
  <si>
    <t>Deus</t>
  </si>
  <si>
    <t>altura</t>
  </si>
  <si>
    <t>não</t>
  </si>
  <si>
    <t>usava</t>
  </si>
  <si>
    <t># text = Quer dizer, partindo destes sinónimos, parecia que eu tinha nascido num mundo que encarava uma pessoa como eu como alguém que não tinha nada a seu favor, quando, na realidade, hoje sou conhecida pelas oportunidades e aventuras que consegui realizar na vida.</t>
  </si>
  <si>
    <t>Quer</t>
  </si>
  <si>
    <t>partindo</t>
  </si>
  <si>
    <t>estes</t>
  </si>
  <si>
    <t>parecia</t>
  </si>
  <si>
    <t>nascido</t>
  </si>
  <si>
    <t>SBJ_6</t>
  </si>
  <si>
    <t>encarava</t>
  </si>
  <si>
    <t>pessoa</t>
  </si>
  <si>
    <t>como</t>
  </si>
  <si>
    <t>alguém</t>
  </si>
  <si>
    <t>nada</t>
  </si>
  <si>
    <t>seu</t>
  </si>
  <si>
    <t>other_10</t>
  </si>
  <si>
    <t>favor</t>
  </si>
  <si>
    <t>realidade</t>
  </si>
  <si>
    <t>other_11</t>
  </si>
  <si>
    <t>hoje</t>
  </si>
  <si>
    <t>sou</t>
  </si>
  <si>
    <t>conhecida</t>
  </si>
  <si>
    <t>as</t>
  </si>
  <si>
    <t>oportunidades</t>
  </si>
  <si>
    <t>aventuras</t>
  </si>
  <si>
    <t>SBJ_14</t>
  </si>
  <si>
    <t>consegui</t>
  </si>
  <si>
    <t>realizar</t>
  </si>
  <si>
    <t>other_14</t>
  </si>
  <si>
    <t># text = Então, fui imediatamente procurar a edição online de 2009, na expetativa de encontrar uma revisão digna de nota.</t>
  </si>
  <si>
    <t>Então</t>
  </si>
  <si>
    <t>fui</t>
  </si>
  <si>
    <t>imediatamente</t>
  </si>
  <si>
    <t>procurar</t>
  </si>
  <si>
    <t>2009</t>
  </si>
  <si>
    <t>OBJ</t>
  </si>
  <si>
    <t>expetativa</t>
  </si>
  <si>
    <t>encontrar</t>
  </si>
  <si>
    <t>revisão</t>
  </si>
  <si>
    <t>digna</t>
  </si>
  <si>
    <t>nota</t>
  </si>
  <si>
    <t># text = Esta é a versão atualizada desta entrada no dicionário.</t>
  </si>
  <si>
    <t>Esta</t>
  </si>
  <si>
    <t>é</t>
  </si>
  <si>
    <t>versão</t>
  </si>
  <si>
    <t>atualizada</t>
  </si>
  <si>
    <t>entrada</t>
  </si>
  <si>
    <t># text = Infelizmente, não é muito melhor.</t>
  </si>
  <si>
    <t>Infelizmente</t>
  </si>
  <si>
    <t>muito</t>
  </si>
  <si>
    <t>melhor</t>
  </si>
  <si>
    <t># text = Acho que as duas últimas palavras para antónimos são particularmente perturbadoras: \"completo\" e \"integral\".</t>
  </si>
  <si>
    <t>Acho</t>
  </si>
  <si>
    <t>duas</t>
  </si>
  <si>
    <t>últimas</t>
  </si>
  <si>
    <t>antónimos</t>
  </si>
  <si>
    <t>são</t>
  </si>
  <si>
    <t>particularmente</t>
  </si>
  <si>
    <t>perturbadoras</t>
  </si>
  <si>
    <t>completo</t>
  </si>
  <si>
    <t>integral</t>
  </si>
  <si>
    <t># text = Portanto, isto não tem só que ver com as palavras.</t>
  </si>
  <si>
    <t>Portanto</t>
  </si>
  <si>
    <t>tem</t>
  </si>
  <si>
    <t>só</t>
  </si>
  <si>
    <t># text = É o que nós acreditamos que as pessoas são quando as classificamos com estas palavras.</t>
  </si>
  <si>
    <t>É</t>
  </si>
  <si>
    <t>nós</t>
  </si>
  <si>
    <t>acreditamos</t>
  </si>
  <si>
    <t>pessoas</t>
  </si>
  <si>
    <t>classificamos</t>
  </si>
  <si>
    <t># text = São os valores por detrás das palavras, e como construímos esses valores.</t>
  </si>
  <si>
    <t>São</t>
  </si>
  <si>
    <t>valores</t>
  </si>
  <si>
    <t>detrás</t>
  </si>
  <si>
    <t>construímos</t>
  </si>
  <si>
    <t>esses</t>
  </si>
  <si>
    <t># text = A nossa linguagem afeta a nossa maneira de pensar e o modo como vemos o mundo e como vemos as outras pessoas.</t>
  </si>
  <si>
    <t>A</t>
  </si>
  <si>
    <t>nossa</t>
  </si>
  <si>
    <t>linguagem</t>
  </si>
  <si>
    <t>afeta</t>
  </si>
  <si>
    <t>maneira</t>
  </si>
  <si>
    <t>modo</t>
  </si>
  <si>
    <t>vemos</t>
  </si>
  <si>
    <t>outras</t>
  </si>
  <si>
    <t># text = Muitas sociedades antigas, incluindo os gregos e os romanos, acreditavam que verbalizar ofensas era uma coisa muito poderosa, porque dizer algo em voz alta torná-lo-ia realidade.</t>
  </si>
  <si>
    <t>Muitas</t>
  </si>
  <si>
    <t>sociedades</t>
  </si>
  <si>
    <t>antigas</t>
  </si>
  <si>
    <t>incluindo</t>
  </si>
  <si>
    <t>gregos</t>
  </si>
  <si>
    <t>romanos</t>
  </si>
  <si>
    <t>acreditavam</t>
  </si>
  <si>
    <t>verbalizar</t>
  </si>
  <si>
    <t>ofensas</t>
  </si>
  <si>
    <t>coisa</t>
  </si>
  <si>
    <t>poderosa</t>
  </si>
  <si>
    <t>porque</t>
  </si>
  <si>
    <t>torná-lo-ia</t>
  </si>
  <si>
    <t># text = Será que queremos tornar realidade uma pessoa que é limitada ou uma pessoa que tem potencial?</t>
  </si>
  <si>
    <t>Será</t>
  </si>
  <si>
    <t>queremos</t>
  </si>
  <si>
    <t>tornar</t>
  </si>
  <si>
    <t>limitada</t>
  </si>
  <si>
    <t>ou</t>
  </si>
  <si>
    <t>potencial</t>
  </si>
  <si>
    <t>?</t>
  </si>
  <si>
    <t># text = Ao fazer uma coisa tão simples como classificar uma pessoa, uma criança, podemos estar a obstruir e a ensombrar o seu potencial.</t>
  </si>
  <si>
    <t>simples</t>
  </si>
  <si>
    <t>classificar</t>
  </si>
  <si>
    <t>criança</t>
  </si>
  <si>
    <t>podemos</t>
  </si>
  <si>
    <t>obstruir</t>
  </si>
  <si>
    <t>ensombrar</t>
  </si>
  <si>
    <t># text = Não quereremos antes abrir-lhes portas?</t>
  </si>
  <si>
    <t>Não</t>
  </si>
  <si>
    <t>quereremos</t>
  </si>
  <si>
    <t>antes</t>
  </si>
  <si>
    <t>abrir</t>
  </si>
  <si>
    <t>lhes</t>
  </si>
  <si>
    <t>portas</t>
  </si>
  <si>
    <t># text = Uma destas pessoas, que me abriu portas, foi o meu médico de infância no Instituto A.I.</t>
  </si>
  <si>
    <t>Uma</t>
  </si>
  <si>
    <t>abriu</t>
  </si>
  <si>
    <t>foi</t>
  </si>
  <si>
    <t>médico</t>
  </si>
  <si>
    <t>infância</t>
  </si>
  <si>
    <t>Instituto</t>
  </si>
  <si>
    <t>A.I</t>
  </si>
  <si>
    <t># text = Dupond, em Wilmington, Delaware.</t>
  </si>
  <si>
    <t>Wilmington</t>
  </si>
  <si>
    <t>Delaware</t>
  </si>
  <si>
    <t># text = Chama-se Dr.</t>
  </si>
  <si>
    <t>Chama</t>
  </si>
  <si>
    <t>se</t>
  </si>
  <si>
    <t>Dr.</t>
  </si>
  <si>
    <t># text = Pizzutillo.</t>
  </si>
  <si>
    <t># text = um italo-americano cujo nome, aparentemente, era demasiado difícil de pronunciar pela maioria dos americanos, por isso chamavam-lhe Dr. P. O Dr. P usava sempre uns laços muito coloridos e estava sempre com a disposição ideal para trabalhar com crianças</t>
  </si>
  <si>
    <t>italo-americano</t>
  </si>
  <si>
    <t>cujo</t>
  </si>
  <si>
    <t>nome</t>
  </si>
  <si>
    <t>aparentemente</t>
  </si>
  <si>
    <t>demasiado</t>
  </si>
  <si>
    <t>difícil</t>
  </si>
  <si>
    <t>pronunciar</t>
  </si>
  <si>
    <t>maioria</t>
  </si>
  <si>
    <t>americanos</t>
  </si>
  <si>
    <t>isso</t>
  </si>
  <si>
    <t>chamavam</t>
  </si>
  <si>
    <t>lhe</t>
  </si>
  <si>
    <t>Dr</t>
  </si>
  <si>
    <t>P.</t>
  </si>
  <si>
    <t>laços</t>
  </si>
  <si>
    <t>coloridos</t>
  </si>
  <si>
    <t>disposição</t>
  </si>
  <si>
    <t>ideal</t>
  </si>
  <si>
    <t>trabalhar</t>
  </si>
  <si>
    <t>crianças</t>
  </si>
  <si>
    <t># text = Eu adorava quase tudo o que se passava no tempo que estava neste hospital, com exceção das minhas sessões de fisioterapia.</t>
  </si>
  <si>
    <t>adorava</t>
  </si>
  <si>
    <t>quase</t>
  </si>
  <si>
    <t>tudo</t>
  </si>
  <si>
    <t>passava</t>
  </si>
  <si>
    <t>tempo</t>
  </si>
  <si>
    <t>SBJ_5</t>
  </si>
  <si>
    <t>este</t>
  </si>
  <si>
    <t>hospital</t>
  </si>
  <si>
    <t>exceção</t>
  </si>
  <si>
    <t>minhas</t>
  </si>
  <si>
    <t>sessões</t>
  </si>
  <si>
    <t>fisioterapia</t>
  </si>
  <si>
    <t># text = Tinha que repetir os exercícios vezes sem fim usando uns elásticos grossos, de cores diferentes, para ajudar a desenvolver os músculos das pernas.</t>
  </si>
  <si>
    <t>Tinha</t>
  </si>
  <si>
    <t>repetir</t>
  </si>
  <si>
    <t>exercícios</t>
  </si>
  <si>
    <t>vezes</t>
  </si>
  <si>
    <t>sem</t>
  </si>
  <si>
    <t>fim</t>
  </si>
  <si>
    <t>usando</t>
  </si>
  <si>
    <t>elásticos</t>
  </si>
  <si>
    <t>grossos</t>
  </si>
  <si>
    <t>cores</t>
  </si>
  <si>
    <t>diferentes</t>
  </si>
  <si>
    <t>ajudar</t>
  </si>
  <si>
    <t>desenvolver</t>
  </si>
  <si>
    <t>músculos</t>
  </si>
  <si>
    <t>pernas</t>
  </si>
  <si>
    <t># text = Eu odiava aqueles elásticos mais do que tudo.</t>
  </si>
  <si>
    <t>odiava</t>
  </si>
  <si>
    <t>aqueles</t>
  </si>
  <si>
    <t># text = Odiava-os, tinha nomes para eles.</t>
  </si>
  <si>
    <t>Odiava</t>
  </si>
  <si>
    <t>nomes</t>
  </si>
  <si>
    <t>eles</t>
  </si>
  <si>
    <t># text = Odiava-os.</t>
  </si>
  <si>
    <t># text = Eu já pedinchava ao Dr.</t>
  </si>
  <si>
    <t>pedinchava</t>
  </si>
  <si>
    <t># text = P como uma criança de cinco anos, para não ter que fazer estes exercícios, sem sucesso, claro.</t>
  </si>
  <si>
    <t>cinco</t>
  </si>
  <si>
    <t>indef-np.quant</t>
  </si>
  <si>
    <t>sucesso</t>
  </si>
  <si>
    <t># text = Um dia, ele entrou na minha sessão — exaustivas e impiedosas aquelas sessões — e disse-me: \"Uau.</t>
  </si>
  <si>
    <t>Um</t>
  </si>
  <si>
    <t>dia</t>
  </si>
  <si>
    <t>ele</t>
  </si>
  <si>
    <t>entrou</t>
  </si>
  <si>
    <t>sessão</t>
  </si>
  <si>
    <t>—</t>
  </si>
  <si>
    <t>exaustivas</t>
  </si>
  <si>
    <t>impiedosas</t>
  </si>
  <si>
    <t>aquelas</t>
  </si>
  <si>
    <t>disse</t>
  </si>
  <si>
    <t>Uau</t>
  </si>
  <si>
    <t># text = Aimee, estás uma rapariga mesmo forte, "Acho que ainda vais rebentar uma dessas bandas.</t>
  </si>
  <si>
    <t>Aimee</t>
  </si>
  <si>
    <t>estás</t>
  </si>
  <si>
    <t>rapariga</t>
  </si>
  <si>
    <t>mesmo</t>
  </si>
  <si>
    <t>ainda</t>
  </si>
  <si>
    <t>vais</t>
  </si>
  <si>
    <t>essas</t>
  </si>
  <si>
    <t>bandas</t>
  </si>
  <si>
    <t># text = \"Quando a rebentares eu vou dar-te 100 dólares.\" Claro que isto era um plano do Dr. P para conseguir que eu fizesse os exercícios que não queria fazer, mais do que a perspetiva de me tornar na miúda de 5 anos mais rica da ala do segundo piso, mas o que ele conseguiu fazer foi dar-me uma nova perspetiva para um acontecimento diário terrível, transformando-o numa experiência promissora.</t>
  </si>
  <si>
    <t>rebentares</t>
  </si>
  <si>
    <t>vou</t>
  </si>
  <si>
    <t>dar</t>
  </si>
  <si>
    <t>te</t>
  </si>
  <si>
    <t>dólares</t>
  </si>
  <si>
    <t>plano</t>
  </si>
  <si>
    <t>fizesse</t>
  </si>
  <si>
    <t>queria</t>
  </si>
  <si>
    <t>OBJ_8</t>
  </si>
  <si>
    <t>SBJ_10</t>
  </si>
  <si>
    <t>perspetiva</t>
  </si>
  <si>
    <t>other_9</t>
  </si>
  <si>
    <t>miúda</t>
  </si>
  <si>
    <t>other_12</t>
  </si>
  <si>
    <t>rica</t>
  </si>
  <si>
    <t>ala</t>
  </si>
  <si>
    <t>segundo</t>
  </si>
  <si>
    <t>piso</t>
  </si>
  <si>
    <t>other_15</t>
  </si>
  <si>
    <t>OBJ_12</t>
  </si>
  <si>
    <t>SBJ_12</t>
  </si>
  <si>
    <t>conseguiu</t>
  </si>
  <si>
    <t>OBJ_14</t>
  </si>
  <si>
    <t>nova</t>
  </si>
  <si>
    <t>acontecimento</t>
  </si>
  <si>
    <t>diário</t>
  </si>
  <si>
    <t>terrível</t>
  </si>
  <si>
    <t>transformando</t>
  </si>
  <si>
    <t>OBJ_15</t>
  </si>
  <si>
    <t>experiência</t>
  </si>
  <si>
    <t>promissora</t>
  </si>
  <si>
    <t># text = E hoje tenho que pensar até que ponto é que a visão dele, e a sua afirmação de eu ser uma miúda forte, formou a minha visão de mim própria para o futuro como uma pessoa inerentemente forte e atlética.</t>
  </si>
  <si>
    <t>E</t>
  </si>
  <si>
    <t>até</t>
  </si>
  <si>
    <t>ponto</t>
  </si>
  <si>
    <t>visão</t>
  </si>
  <si>
    <t>sua</t>
  </si>
  <si>
    <t>afirmação</t>
  </si>
  <si>
    <t>formou</t>
  </si>
  <si>
    <t>própria</t>
  </si>
  <si>
    <t>futuro</t>
  </si>
  <si>
    <t>inerentemente</t>
  </si>
  <si>
    <t>atlética</t>
  </si>
  <si>
    <t># text = Este é um exemplo de como adultos, em posições de força, podem despertar o potencial de uma criança.</t>
  </si>
  <si>
    <t>Este</t>
  </si>
  <si>
    <t>exemplo</t>
  </si>
  <si>
    <t>adultos</t>
  </si>
  <si>
    <t>posições</t>
  </si>
  <si>
    <t>força</t>
  </si>
  <si>
    <t>podem</t>
  </si>
  <si>
    <t>despertar</t>
  </si>
  <si>
    <t># text = Porém, naquelas entradas anteriores no dicionário de sinónimos, a nossa língua não nos deixa evoluir para a realidade que todos desejamos, para a possibilidade de um indivíduo se ver a si próprio como capaz.</t>
  </si>
  <si>
    <t>Porém</t>
  </si>
  <si>
    <t>entradas</t>
  </si>
  <si>
    <t>anteriores</t>
  </si>
  <si>
    <t>língua</t>
  </si>
  <si>
    <t>deixa</t>
  </si>
  <si>
    <t>evoluir</t>
  </si>
  <si>
    <t>todos</t>
  </si>
  <si>
    <t>pron</t>
  </si>
  <si>
    <t>desejamos</t>
  </si>
  <si>
    <t>possibilidade</t>
  </si>
  <si>
    <t>indivíduo</t>
  </si>
  <si>
    <t>si</t>
  </si>
  <si>
    <t>próprio</t>
  </si>
  <si>
    <t># text = A nossa linguagem não acompanhou as mudanças da nossa sociedade, muitas delas fruto da tecnologia.</t>
  </si>
  <si>
    <t>acompanhou</t>
  </si>
  <si>
    <t>mudanças</t>
  </si>
  <si>
    <t>sociedade</t>
  </si>
  <si>
    <t>muitas</t>
  </si>
  <si>
    <t>elas</t>
  </si>
  <si>
    <t>fruto</t>
  </si>
  <si>
    <t># text = Claro que, do ponto de vista médico, as minhas pernas, a cirurgia laser para corrigir problemas de visão, próteses de anca e de joelho em titânio, que ajudam as pessoas a adaptarem-se melhor às suas capacidades, e a ultrapassar os limites que a Natureza lhes impôs, já para não falar nas redes sociais na Internet, permitem às pessoas autoidentificarem-se e criarem as descrições de si próprias de maneira a lhes permitir associarem-se globalmente aos grupos que escolherem.</t>
  </si>
  <si>
    <t>vista</t>
  </si>
  <si>
    <t>cirurgia</t>
  </si>
  <si>
    <t>laser</t>
  </si>
  <si>
    <t>corrigir</t>
  </si>
  <si>
    <t>problemas</t>
  </si>
  <si>
    <t>próteses</t>
  </si>
  <si>
    <t>anca</t>
  </si>
  <si>
    <t>joelho</t>
  </si>
  <si>
    <t>titânio</t>
  </si>
  <si>
    <t>ajudam</t>
  </si>
  <si>
    <t>adaptarem</t>
  </si>
  <si>
    <t>suas</t>
  </si>
  <si>
    <t>capacidades</t>
  </si>
  <si>
    <t>ultrapassar</t>
  </si>
  <si>
    <t>limites</t>
  </si>
  <si>
    <t>Natureza</t>
  </si>
  <si>
    <t>impôs</t>
  </si>
  <si>
    <t>falar</t>
  </si>
  <si>
    <t>redes</t>
  </si>
  <si>
    <t>sociais</t>
  </si>
  <si>
    <t>Internet</t>
  </si>
  <si>
    <t>permitem</t>
  </si>
  <si>
    <t>autoidentificarem</t>
  </si>
  <si>
    <t>criarem</t>
  </si>
  <si>
    <t>descrições</t>
  </si>
  <si>
    <t>próprias</t>
  </si>
  <si>
    <t>associarem</t>
  </si>
  <si>
    <t>globalmente</t>
  </si>
  <si>
    <t>grupos</t>
  </si>
  <si>
    <t>escolherem</t>
  </si>
  <si>
    <t># text = Talvez a tecnologia nos revele, de forma mais clara aquilo que sempre foi verdade, que toda gente tem qualquer coisa rara e poderosa a oferecer à sociedade, e que a capacidade humana para se adaptar é o nosso maior recurso.</t>
  </si>
  <si>
    <t>Talvez</t>
  </si>
  <si>
    <t>revele</t>
  </si>
  <si>
    <t>forma</t>
  </si>
  <si>
    <t>clara</t>
  </si>
  <si>
    <t>aquilo</t>
  </si>
  <si>
    <t>verdade</t>
  </si>
  <si>
    <t>toda</t>
  </si>
  <si>
    <t>gente</t>
  </si>
  <si>
    <t>qualquer</t>
  </si>
  <si>
    <t>rara</t>
  </si>
  <si>
    <t>oferecer</t>
  </si>
  <si>
    <t>capacidade</t>
  </si>
  <si>
    <t>humana</t>
  </si>
  <si>
    <t>adaptar</t>
  </si>
  <si>
    <t>nosso</t>
  </si>
  <si>
    <t>maior</t>
  </si>
  <si>
    <t>recurso</t>
  </si>
  <si>
    <t># text = A nossa capacidade de adaptação é uma coisa muito interessante, porque toda a gente vem falar comigo sobre como ultrapassar a adversidade, e eu vou ter que confessar uma coisa.</t>
  </si>
  <si>
    <t>adaptação</t>
  </si>
  <si>
    <t>interessante</t>
  </si>
  <si>
    <t>vem</t>
  </si>
  <si>
    <t>sobre</t>
  </si>
  <si>
    <t>adversidade</t>
  </si>
  <si>
    <t>confessar</t>
  </si>
  <si>
    <t># text = Esta frase nunca me assentou muito bem.</t>
  </si>
  <si>
    <t>frase</t>
  </si>
  <si>
    <t>assentou</t>
  </si>
  <si>
    <t>bem</t>
  </si>
  <si>
    <t># text = Sempre me senti pouco à vontade a tentar responder a esta pergunta e acho que começo a perceber porquê.</t>
  </si>
  <si>
    <t>Sempre</t>
  </si>
  <si>
    <t>senti</t>
  </si>
  <si>
    <t>pouco</t>
  </si>
  <si>
    <t>vontade</t>
  </si>
  <si>
    <t>tentar</t>
  </si>
  <si>
    <t>responder</t>
  </si>
  <si>
    <t>pergunta</t>
  </si>
  <si>
    <t>acho</t>
  </si>
  <si>
    <t>começo</t>
  </si>
  <si>
    <t>porquê</t>
  </si>
  <si>
    <t># text = Na questão de superar a adversidade está implícita a ideia de que o sucesso, ou a felicidade, está relacionada com o ultrapassar de uma experiência desafiadora não se deixando marcar pela experiência, como se os meus sucessos na vida fossem a consequência da capacidade de evitar ou contornar as rasteiras da vida com as próteses, ou o que outras pessoas entendem como a minha deficiência.</t>
  </si>
  <si>
    <t>Em</t>
  </si>
  <si>
    <t>questão</t>
  </si>
  <si>
    <t>superar</t>
  </si>
  <si>
    <t>está</t>
  </si>
  <si>
    <t>implícita</t>
  </si>
  <si>
    <t>ideia</t>
  </si>
  <si>
    <t>felicidade</t>
  </si>
  <si>
    <t>relacionada</t>
  </si>
  <si>
    <t>desafiadora</t>
  </si>
  <si>
    <t>deixando</t>
  </si>
  <si>
    <t>marcar</t>
  </si>
  <si>
    <t>meus</t>
  </si>
  <si>
    <t>sucessos</t>
  </si>
  <si>
    <t>fossem</t>
  </si>
  <si>
    <t>consequência</t>
  </si>
  <si>
    <t>evitar</t>
  </si>
  <si>
    <t>contornar</t>
  </si>
  <si>
    <t>rasteiras</t>
  </si>
  <si>
    <t>SBJ_8</t>
  </si>
  <si>
    <t>entendem</t>
  </si>
  <si>
    <t>deficiência</t>
  </si>
  <si>
    <t># text = Mas de facto nós mudamos.</t>
  </si>
  <si>
    <t>mudamos</t>
  </si>
  <si>
    <t># text = Claro que ficamos marcados por um desafio, físico, emocional ou ambos.</t>
  </si>
  <si>
    <t>ficamos</t>
  </si>
  <si>
    <t>marcados</t>
  </si>
  <si>
    <t>desafio</t>
  </si>
  <si>
    <t>físico</t>
  </si>
  <si>
    <t>ambos</t>
  </si>
  <si>
    <t># text = Eu até vou sugerir que isso é bom.</t>
  </si>
  <si>
    <t>bom</t>
  </si>
  <si>
    <t># text = A adversidade não é um obstáculo que precisamos de contornar para poder continuar a viver a nossa vida.</t>
  </si>
  <si>
    <t>obstáculo</t>
  </si>
  <si>
    <t>precisamos</t>
  </si>
  <si>
    <t>continuar</t>
  </si>
  <si>
    <t>viver</t>
  </si>
  <si>
    <t># text = Faz parte da nossa vida.</t>
  </si>
  <si>
    <t>Faz</t>
  </si>
  <si>
    <t>parte</t>
  </si>
  <si>
    <t># text = Eu gosto de pensar nisso como a minha sombra.</t>
  </si>
  <si>
    <t>gosto</t>
  </si>
  <si>
    <t>sombra</t>
  </si>
  <si>
    <t># text = Às vezes é uma sombra grande, outras vezes é muito pequena, mas anda sempre comigo.</t>
  </si>
  <si>
    <t>grande</t>
  </si>
  <si>
    <t>pequena</t>
  </si>
  <si>
    <t>anda</t>
  </si>
  <si>
    <t># text = Claro, eu não estou a tentar minimizar o impacto, o peso da luta pessoal.</t>
  </si>
  <si>
    <t>minimizar</t>
  </si>
  <si>
    <t>peso</t>
  </si>
  <si>
    <t>luta</t>
  </si>
  <si>
    <t>pessoal</t>
  </si>
  <si>
    <t># text = A vida tem desafios e adversidade, e isso é muito real e específico de cada pessoa, mas a questão não é se vamos ou não enfrentar a adversidade, mas como é que a vamos enfrentar.</t>
  </si>
  <si>
    <t>desafios</t>
  </si>
  <si>
    <t>real</t>
  </si>
  <si>
    <t>específico</t>
  </si>
  <si>
    <t>cada</t>
  </si>
  <si>
    <t>vamos</t>
  </si>
  <si>
    <t>enfrentar</t>
  </si>
  <si>
    <t># text = A nossa responsabilidade não é só proteger da adversidade aqueles de quem gostamos, mas prepará-los para a enfrentarem bem.</t>
  </si>
  <si>
    <t>responsabilidade</t>
  </si>
  <si>
    <t>proteger</t>
  </si>
  <si>
    <t>quem</t>
  </si>
  <si>
    <t>gostamos</t>
  </si>
  <si>
    <t>prepará</t>
  </si>
  <si>
    <t>los</t>
  </si>
  <si>
    <t>enfrentarem</t>
  </si>
  <si>
    <t># text = Do mesmo modo que fazemos um mau serviço aos nossos filhos quando lhes fazemos sentir que não estão preparados para se adaptarem.</t>
  </si>
  <si>
    <t>De</t>
  </si>
  <si>
    <t>fazemos</t>
  </si>
  <si>
    <t>mau</t>
  </si>
  <si>
    <t>serviço</t>
  </si>
  <si>
    <t>nossos</t>
  </si>
  <si>
    <t>filhos</t>
  </si>
  <si>
    <t>sentir</t>
  </si>
  <si>
    <t>estão</t>
  </si>
  <si>
    <t>preparados</t>
  </si>
  <si>
    <t># text = Há uma diferença e uma distinção importante entre o facto médico objetivo da minha condição de amputada e a opinião social objetiva de eu ser ou não deficiente.</t>
  </si>
  <si>
    <t>Há</t>
  </si>
  <si>
    <t>diferença</t>
  </si>
  <si>
    <t>distinção</t>
  </si>
  <si>
    <t>importante</t>
  </si>
  <si>
    <t>entre</t>
  </si>
  <si>
    <t>objetivo</t>
  </si>
  <si>
    <t>condição</t>
  </si>
  <si>
    <t>amputada</t>
  </si>
  <si>
    <t>opinião</t>
  </si>
  <si>
    <t>social</t>
  </si>
  <si>
    <t>objetiva</t>
  </si>
  <si>
    <t># text = Na verdade, a única deficiência real que eu tenho tido que enfrentar é o mundo pensar sempre que pode descrever-me com essa definição.</t>
  </si>
  <si>
    <t>única</t>
  </si>
  <si>
    <t>tido</t>
  </si>
  <si>
    <t>pode</t>
  </si>
  <si>
    <t>descrever</t>
  </si>
  <si>
    <t>essa</t>
  </si>
  <si>
    <t>definição</t>
  </si>
  <si>
    <t># text = No nosso desejo de proteger aqueles de quem gostamos transmitindo-lhes a verdade nua e crua do seu prognóstico médico, ou, na realidade, um prognóstico da antecipada qualidade da sua vida, temos que ter a certeza de não colocar na parede o primeiro tijolo que vai tornar a pessoa deficiente.</t>
  </si>
  <si>
    <t>desejo</t>
  </si>
  <si>
    <t>transmitindo</t>
  </si>
  <si>
    <t>nua</t>
  </si>
  <si>
    <t>crua</t>
  </si>
  <si>
    <t>prognóstico</t>
  </si>
  <si>
    <t>antecipada</t>
  </si>
  <si>
    <t>qualidade</t>
  </si>
  <si>
    <t>temos</t>
  </si>
  <si>
    <t>certeza</t>
  </si>
  <si>
    <t>colocar</t>
  </si>
  <si>
    <t>parede</t>
  </si>
  <si>
    <t>primeiro</t>
  </si>
  <si>
    <t>tijolo</t>
  </si>
  <si>
    <t>OBJ_10</t>
  </si>
  <si>
    <t>vai</t>
  </si>
  <si>
    <t># text = O modelo que temos de só reparar no que está mal em nós e de como é que o resolvemos, é talvez mais incapacitador do que a patologia propriamente dita.</t>
  </si>
  <si>
    <t>modelo</t>
  </si>
  <si>
    <t>reparar</t>
  </si>
  <si>
    <t>mal</t>
  </si>
  <si>
    <t>resolvemos</t>
  </si>
  <si>
    <t>talvez</t>
  </si>
  <si>
    <t>incapacitador</t>
  </si>
  <si>
    <t>patologia</t>
  </si>
  <si>
    <t>propriamente</t>
  </si>
  <si>
    <t>dita</t>
  </si>
  <si>
    <t># text = Quando não tratamos a pessoa como um todo, quando não reconhecemos o seu potencial, estamos a criar mais um obstáculo numa luta natural que já possam ter.</t>
  </si>
  <si>
    <t>tratamos</t>
  </si>
  <si>
    <t>todo</t>
  </si>
  <si>
    <t>reconhecemos</t>
  </si>
  <si>
    <t>estamos</t>
  </si>
  <si>
    <t>criar</t>
  </si>
  <si>
    <t>natural</t>
  </si>
  <si>
    <t>possam</t>
  </si>
  <si>
    <t># text = Estamos efetivamente a classificar o potencial de alguém na nossa comunidade.</t>
  </si>
  <si>
    <t>Estamos</t>
  </si>
  <si>
    <t>efetivamente</t>
  </si>
  <si>
    <t>comunidade</t>
  </si>
  <si>
    <t># text = Portanto temos que olhar para lá da patologia e para a gama da capacidade humana.</t>
  </si>
  <si>
    <t>olhar</t>
  </si>
  <si>
    <t>lá</t>
  </si>
  <si>
    <t>gama</t>
  </si>
  <si>
    <t># text = O mais importante de tudo, é que existe uma ligação entre essas aparentes deficiências e as nossas maiores capacidades criativas.</t>
  </si>
  <si>
    <t>existe</t>
  </si>
  <si>
    <t>ligação</t>
  </si>
  <si>
    <t>aparentes</t>
  </si>
  <si>
    <t>deficiências</t>
  </si>
  <si>
    <t>nossas</t>
  </si>
  <si>
    <t>maiores</t>
  </si>
  <si>
    <t>criativas</t>
  </si>
  <si>
    <t># text = Não se trata de desvalorizar ou negar, estes tempos como uma coisa que queremos evitar ou varrer para debaixo do tapete mas sim encontrar as oportunidades escondidas na adversidade.</t>
  </si>
  <si>
    <t>trata</t>
  </si>
  <si>
    <t>desvalorizar</t>
  </si>
  <si>
    <t>negar</t>
  </si>
  <si>
    <t>tempos</t>
  </si>
  <si>
    <t>varrer</t>
  </si>
  <si>
    <t>debaixo</t>
  </si>
  <si>
    <t>tapete</t>
  </si>
  <si>
    <t>sim</t>
  </si>
  <si>
    <t>escondidas</t>
  </si>
  <si>
    <t># text = Talvez a ideia que eu quero fazer passar, não seja tanto como ultrapassar a adversidade, mas sobretudo como abrirmo-nos a ela, assumi-la, engancharmo-nos nela — para usar um termo de "wrestling" — ou talvez mesmo dançar com ela.</t>
  </si>
  <si>
    <t>quero</t>
  </si>
  <si>
    <t>seja</t>
  </si>
  <si>
    <t>tanto</t>
  </si>
  <si>
    <t>sobretudo</t>
  </si>
  <si>
    <t>abrirmo</t>
  </si>
  <si>
    <t>nos</t>
  </si>
  <si>
    <t>ela</t>
  </si>
  <si>
    <t>assumi</t>
  </si>
  <si>
    <t>la</t>
  </si>
  <si>
    <t>engancharmo</t>
  </si>
  <si>
    <t>usar</t>
  </si>
  <si>
    <t>termo</t>
  </si>
  <si>
    <t>&amp;quot;wrestling</t>
  </si>
  <si>
    <t>dançar</t>
  </si>
  <si>
    <t># text = E talvez, se conseguirmos ver a adversidade como natural, consistente e útil, consigamos sentir menos o peso da sua presença.</t>
  </si>
  <si>
    <t>conseguirmos</t>
  </si>
  <si>
    <t>consistente</t>
  </si>
  <si>
    <t>útil</t>
  </si>
  <si>
    <t>consigamos</t>
  </si>
  <si>
    <t>menos</t>
  </si>
  <si>
    <t>presença</t>
  </si>
  <si>
    <t># text = Este ano celebram-se os 200 anos do nascimento de Charles Darwin, e foi há 150 anos, quando escrevia sobre a evolução, que Darwin ilustrou, acho eu, a verdade sobre o carácter humano.</t>
  </si>
  <si>
    <t>ano</t>
  </si>
  <si>
    <t>celebram</t>
  </si>
  <si>
    <t>200</t>
  </si>
  <si>
    <t>nascimento</t>
  </si>
  <si>
    <t>Charles</t>
  </si>
  <si>
    <t>Darwin</t>
  </si>
  <si>
    <t>150</t>
  </si>
  <si>
    <t>evolução</t>
  </si>
  <si>
    <t>ilustrou</t>
  </si>
  <si>
    <t>carácter</t>
  </si>
  <si>
    <t>humano</t>
  </si>
  <si>
    <t># text = Parafraseando, não é a espécie mais forte que sobrevive, nem sequer a mais inteligente que sobrevive, mas sim aquela que mais facilmente se adapta à mudança.</t>
  </si>
  <si>
    <t>Parafraseando</t>
  </si>
  <si>
    <t>espécie</t>
  </si>
  <si>
    <t>sobrevive</t>
  </si>
  <si>
    <t>nem</t>
  </si>
  <si>
    <t>sequer</t>
  </si>
  <si>
    <t>inteligente</t>
  </si>
  <si>
    <t>aquela</t>
  </si>
  <si>
    <t>facilmente</t>
  </si>
  <si>
    <t>adapta</t>
  </si>
  <si>
    <t>mudança</t>
  </si>
  <si>
    <t># text = O conflito é a génese da criação.</t>
  </si>
  <si>
    <t>conflito</t>
  </si>
  <si>
    <t>génese</t>
  </si>
  <si>
    <t>criação</t>
  </si>
  <si>
    <t># text = A partir do trabalho de Darwin, entre outros, podemos reconhecer que a capacidade humana para sobreviver e florescer tem que ver com a luta do espírito humano através dos conflitos, transformando-se.</t>
  </si>
  <si>
    <t>partir</t>
  </si>
  <si>
    <t>trabalho</t>
  </si>
  <si>
    <t>reconhecer</t>
  </si>
  <si>
    <t>sobreviver</t>
  </si>
  <si>
    <t>florescer</t>
  </si>
  <si>
    <t>espírito</t>
  </si>
  <si>
    <t>através</t>
  </si>
  <si>
    <t>conflitos</t>
  </si>
  <si>
    <t># text = De novo, a capacidade de transformação, de adaptação, é a maior das capacidades humanas.</t>
  </si>
  <si>
    <t>novo</t>
  </si>
  <si>
    <t>transformação</t>
  </si>
  <si>
    <t>humanas</t>
  </si>
  <si>
    <t># text = E talvez, enquanto não formos testados, não sabemos bem de que somos feitos.</t>
  </si>
  <si>
    <t>formos</t>
  </si>
  <si>
    <t>testados</t>
  </si>
  <si>
    <t>sabemos</t>
  </si>
  <si>
    <t>somos</t>
  </si>
  <si>
    <t>feitos</t>
  </si>
  <si>
    <t># text = Talvez seja isso que a adversidade nos dá, um sentido de nós próprios, um sentido do nosso potencial.</t>
  </si>
  <si>
    <t>dá</t>
  </si>
  <si>
    <t>sentido</t>
  </si>
  <si>
    <t>próprios</t>
  </si>
  <si>
    <t># text = Então, podemos dar uma prenda a nós próprios.</t>
  </si>
  <si>
    <t>prenda</t>
  </si>
  <si>
    <t># text = Podemos re-imaginar a adversidade como algo mais do que maus bocados.</t>
  </si>
  <si>
    <t>Podemos</t>
  </si>
  <si>
    <t>re-imaginar</t>
  </si>
  <si>
    <t>maus</t>
  </si>
  <si>
    <t>bocados</t>
  </si>
  <si>
    <t># text = Talvez possamos vê-la como mudança.</t>
  </si>
  <si>
    <t>possamos</t>
  </si>
  <si>
    <t>vê</t>
  </si>
  <si>
    <t># text = A adversidade é mudança à qual ainda não nos adaptámos.</t>
  </si>
  <si>
    <t>qual</t>
  </si>
  <si>
    <t>adaptámos</t>
  </si>
  <si>
    <t># text = Eu acho que a maior adversidade que criámos para nós próprios é a ideia de normalidade.</t>
  </si>
  <si>
    <t>criámos</t>
  </si>
  <si>
    <t>normalidade</t>
  </si>
  <si>
    <t># text = Quem é que é normal?</t>
  </si>
  <si>
    <t>Quem</t>
  </si>
  <si>
    <t>pron.pint</t>
  </si>
  <si>
    <t>normal</t>
  </si>
  <si>
    <t># text = Normal é uma coisa que não existe.</t>
  </si>
  <si>
    <t>Normal</t>
  </si>
  <si>
    <t># text = Existe comum.</t>
  </si>
  <si>
    <t>Existe</t>
  </si>
  <si>
    <t>comum</t>
  </si>
  <si>
    <t># text = Existe típico.</t>
  </si>
  <si>
    <t>típico</t>
  </si>
  <si>
    <t># text = Não existe normal.</t>
  </si>
  <si>
    <t># text = Se essa pessoa cinzenta existisse, gostariam de a conhecer?</t>
  </si>
  <si>
    <t>Se</t>
  </si>
  <si>
    <t>cinzenta</t>
  </si>
  <si>
    <t>existisse</t>
  </si>
  <si>
    <t>gostariam</t>
  </si>
  <si>
    <t>conhecer</t>
  </si>
  <si>
    <t># text = (Risos)</t>
  </si>
  <si>
    <t>(</t>
  </si>
  <si>
    <t>Risos</t>
  </si>
  <si>
    <t>)</t>
  </si>
  <si>
    <t># text = Não me parece.</t>
  </si>
  <si>
    <t>parece</t>
  </si>
  <si>
    <t># text = Se conseguirmos mudar este paradigma de procura da normalidade para possibilidade, potencial, mesmo à custa de maior perigo, conseguimos libertar o potencial de tantas crianças mais, convidando-as a contribuírem com as suas raras e válidas capacidades para a comunidade.</t>
  </si>
  <si>
    <t>paradigma</t>
  </si>
  <si>
    <t>procura</t>
  </si>
  <si>
    <t>custa</t>
  </si>
  <si>
    <t>perigo</t>
  </si>
  <si>
    <t>conseguimos</t>
  </si>
  <si>
    <t>libertar</t>
  </si>
  <si>
    <t>tantas</t>
  </si>
  <si>
    <t>convidando</t>
  </si>
  <si>
    <t>contribuírem</t>
  </si>
  <si>
    <t>raras</t>
  </si>
  <si>
    <t>válidas</t>
  </si>
  <si>
    <t># text = Os antropólogos dizem-nos que uma coisa que nós, como seres humanos, sempre exigimos da nossa comunidade é ser útil, ser capaz de contribuir.</t>
  </si>
  <si>
    <t>Os</t>
  </si>
  <si>
    <t>antropólogos</t>
  </si>
  <si>
    <t>dizem</t>
  </si>
  <si>
    <t>seres</t>
  </si>
  <si>
    <t>humanos</t>
  </si>
  <si>
    <t>exigimos</t>
  </si>
  <si>
    <t>contribuir</t>
  </si>
  <si>
    <t># text = Há provas de que o Homem de Neandertal, há cerca de 60 mil anos, carregava os seus idosos e aqueles que tinham ferimentos graves, e talvez, dado que a experiência de sobrevivência desses povos era muito útil para a comunidade, eles não olhassem para essas pessoas como defeituosos e inúteis; eram vistos como raros e valiosos.</t>
  </si>
  <si>
    <t>provas</t>
  </si>
  <si>
    <t>Homem</t>
  </si>
  <si>
    <t>Neandertal</t>
  </si>
  <si>
    <t>cerca</t>
  </si>
  <si>
    <t>60</t>
  </si>
  <si>
    <t>mil</t>
  </si>
  <si>
    <t>carregava</t>
  </si>
  <si>
    <t>seus</t>
  </si>
  <si>
    <t>idosos</t>
  </si>
  <si>
    <t>tinham</t>
  </si>
  <si>
    <t>ferimentos</t>
  </si>
  <si>
    <t>graves</t>
  </si>
  <si>
    <t>dado</t>
  </si>
  <si>
    <t>sobrevivência</t>
  </si>
  <si>
    <t>povos</t>
  </si>
  <si>
    <t>olhassem</t>
  </si>
  <si>
    <t>defeituosos</t>
  </si>
  <si>
    <t>inúteis</t>
  </si>
  <si>
    <t>eram</t>
  </si>
  <si>
    <t>vistos</t>
  </si>
  <si>
    <t>raros</t>
  </si>
  <si>
    <t>valiosos</t>
  </si>
  <si>
    <t># text = Há uns anos, eu estava no mercado na cidade onde cresci naquela zona vermelha no nordeste da Pensilvânia, e estava a olhar para uma caixa de tomates.</t>
  </si>
  <si>
    <t>mercado</t>
  </si>
  <si>
    <t>cidade</t>
  </si>
  <si>
    <t>onde</t>
  </si>
  <si>
    <t>cresci</t>
  </si>
  <si>
    <t>zona</t>
  </si>
  <si>
    <t>vermelha</t>
  </si>
  <si>
    <t>nordeste</t>
  </si>
  <si>
    <t>Pensilvânia</t>
  </si>
  <si>
    <t>caixa</t>
  </si>
  <si>
    <t>tomates</t>
  </si>
  <si>
    <t># text = Era verão.</t>
  </si>
  <si>
    <t>Era</t>
  </si>
  <si>
    <t>verão</t>
  </si>
  <si>
    <t># text = Eu estava de calções.</t>
  </si>
  <si>
    <t>calções</t>
  </si>
  <si>
    <t># text = Ouvi uma pessoa, uma voz por trás de mim dizer: \"Ora vejam, se não é a Aimee Mullins.\"</t>
  </si>
  <si>
    <t>Ouvi</t>
  </si>
  <si>
    <t>trás</t>
  </si>
  <si>
    <t>Ora</t>
  </si>
  <si>
    <t>vejam</t>
  </si>
  <si>
    <t>Mullins</t>
  </si>
  <si>
    <t># text = Eu virei-me e era um senhor de idade.</t>
  </si>
  <si>
    <t>virei</t>
  </si>
  <si>
    <t>senhor</t>
  </si>
  <si>
    <t>idade</t>
  </si>
  <si>
    <t># text = Eu não fazia a mínima ideia de quem era.</t>
  </si>
  <si>
    <t>fazia</t>
  </si>
  <si>
    <t>mínima</t>
  </si>
  <si>
    <t># text = E eu disse:</t>
  </si>
  <si>
    <t># text = "Desculpe, conheço-o?</t>
  </si>
  <si>
    <t>conheço</t>
  </si>
  <si>
    <t># text = Não me lembro de si."</t>
  </si>
  <si>
    <t>lembro</t>
  </si>
  <si>
    <t># text = Ele disse:</t>
  </si>
  <si>
    <t>Ele</t>
  </si>
  <si>
    <t># text = \"Tu não podes lembrar-te de mim.</t>
  </si>
  <si>
    <t>Tu</t>
  </si>
  <si>
    <t>podes</t>
  </si>
  <si>
    <t># text = "Quando nos conhecemos eu estava a ajudar a tua mãe a dar-te à luz." Ah, aquele tipo.</t>
  </si>
  <si>
    <t>conhecemos</t>
  </si>
  <si>
    <t>tua</t>
  </si>
  <si>
    <t>mãe</t>
  </si>
  <si>
    <t>luz.</t>
  </si>
  <si>
    <t>Ah</t>
  </si>
  <si>
    <t>aquele</t>
  </si>
  <si>
    <t>tipo</t>
  </si>
  <si>
    <t># text = E, claro, aí eu percebi quem era.</t>
  </si>
  <si>
    <t>aí</t>
  </si>
  <si>
    <t># text = Aquele homem era o Dr. Kean, um homem que eu só conhecia pelas histórias que a minha mãe contava do dia do meu nascimento, porque eu cheguei duas semanas atrasada ao meu nascimento.</t>
  </si>
  <si>
    <t>Aquele</t>
  </si>
  <si>
    <t>homem</t>
  </si>
  <si>
    <t>Kean</t>
  </si>
  <si>
    <t>conhecia</t>
  </si>
  <si>
    <t>histórias</t>
  </si>
  <si>
    <t>contava</t>
  </si>
  <si>
    <t>cheguei</t>
  </si>
  <si>
    <t>semanas</t>
  </si>
  <si>
    <t>atrasada</t>
  </si>
  <si>
    <t># text = Por isso, o obstetra da minha mãe tinha ido de férias, e o tipo que ajudou no meu parto era um completo estranho para os meus pais.</t>
  </si>
  <si>
    <t>Por</t>
  </si>
  <si>
    <t>obstetra</t>
  </si>
  <si>
    <t>ido</t>
  </si>
  <si>
    <t>férias</t>
  </si>
  <si>
    <t>ajudou</t>
  </si>
  <si>
    <t>parto</t>
  </si>
  <si>
    <t>pais</t>
  </si>
  <si>
    <t># text = Como eu nasci sem os ossos do perónio, tinha os pés virados para dentro, uns dedos neste pé, e outros naquele, foi este estranho que teve que dar as más notícias.</t>
  </si>
  <si>
    <t>Como</t>
  </si>
  <si>
    <t>nasci</t>
  </si>
  <si>
    <t>ossos</t>
  </si>
  <si>
    <t>perónio</t>
  </si>
  <si>
    <t>pés</t>
  </si>
  <si>
    <t>virados</t>
  </si>
  <si>
    <t>dentro</t>
  </si>
  <si>
    <t>dedos</t>
  </si>
  <si>
    <t>pé</t>
  </si>
  <si>
    <t>teve</t>
  </si>
  <si>
    <t>más</t>
  </si>
  <si>
    <t>notícias</t>
  </si>
  <si>
    <t># text = E disse-me: "Tive que fazer o prognóstico aos seus pais, "dizer-lhes que tu nunca irias andar, "que nunca irias ter a mesma mobilidade que os outros miúdos têm "que nunca serias independente, "e desde então tens feito de mim um mentiroso." (Aplausos)</t>
  </si>
  <si>
    <t>Tive</t>
  </si>
  <si>
    <t>&amp;quot;dizer</t>
  </si>
  <si>
    <t>tu</t>
  </si>
  <si>
    <t>irias</t>
  </si>
  <si>
    <t>andar</t>
  </si>
  <si>
    <t>mobilidade</t>
  </si>
  <si>
    <t>têm</t>
  </si>
  <si>
    <t>serias</t>
  </si>
  <si>
    <t>independente</t>
  </si>
  <si>
    <t>desde</t>
  </si>
  <si>
    <t>então</t>
  </si>
  <si>
    <t>tens</t>
  </si>
  <si>
    <t>feito</t>
  </si>
  <si>
    <t>mentiroso</t>
  </si>
  <si>
    <t>Aplausos</t>
  </si>
  <si>
    <t># text = O mais extraordinário é que ele disse que tinha guardado recortes de jornal de toda a minha infância, fosse eu a ganhar o concurso de soletrar, no segundo ano, a marchar com os escoteiros, no desfile do dia das bruxas, a ganhar uma bolsa de estudos, ou qualquer das minhas vitórias no desporto, e usava esses recortes para ensinar alunos internos, estudantes de medicina das escolas de medicina de Hahnemann e de Hershey.</t>
  </si>
  <si>
    <t>extraordinário</t>
  </si>
  <si>
    <t>guardado</t>
  </si>
  <si>
    <t>recortes</t>
  </si>
  <si>
    <t>jornal</t>
  </si>
  <si>
    <t>fosse</t>
  </si>
  <si>
    <t>ganhar</t>
  </si>
  <si>
    <t>concurso</t>
  </si>
  <si>
    <t>soletrar</t>
  </si>
  <si>
    <t>marchar</t>
  </si>
  <si>
    <t>escoteiros</t>
  </si>
  <si>
    <t>desfile</t>
  </si>
  <si>
    <t>bruxas</t>
  </si>
  <si>
    <t>bolsa</t>
  </si>
  <si>
    <t>estudos</t>
  </si>
  <si>
    <t>vitórias</t>
  </si>
  <si>
    <t>desporto</t>
  </si>
  <si>
    <t>ensinar</t>
  </si>
  <si>
    <t>alunos</t>
  </si>
  <si>
    <t>internos</t>
  </si>
  <si>
    <t>estudantes</t>
  </si>
  <si>
    <t>medicina</t>
  </si>
  <si>
    <t>other_13</t>
  </si>
  <si>
    <t>escolas</t>
  </si>
  <si>
    <t>Hahnemann</t>
  </si>
  <si>
    <t>other_16</t>
  </si>
  <si>
    <t>Hershey</t>
  </si>
  <si>
    <t>other_17</t>
  </si>
  <si>
    <t># text = Ele chamava a esta parte do curso o Factor X, o potencial da vontade humana.</t>
  </si>
  <si>
    <t>chamava</t>
  </si>
  <si>
    <t>curso</t>
  </si>
  <si>
    <t>Factor</t>
  </si>
  <si>
    <t>X</t>
  </si>
  <si>
    <t># text = Nenhum prognóstico considera o potencial disto como determinante para a qualidade de vida de cada um de nós.</t>
  </si>
  <si>
    <t>Nenhum</t>
  </si>
  <si>
    <t>considera</t>
  </si>
  <si>
    <t>determinante</t>
  </si>
  <si>
    <t># text = O Dr. Kean disse-me ainda: "Na minha experiência, a não ser que me digam insistentemente o contrário, "e mesmo que me deem algum tipo de apoio, "se for deixada ao seu destino, uma criança consegue superar-se." Como veem, o Dr. Kean mudou a sua forma de pensar.</t>
  </si>
  <si>
    <t>digam</t>
  </si>
  <si>
    <t>insistentemente</t>
  </si>
  <si>
    <t>contrário</t>
  </si>
  <si>
    <t>deem</t>
  </si>
  <si>
    <t>algum</t>
  </si>
  <si>
    <t>apoio</t>
  </si>
  <si>
    <t>for</t>
  </si>
  <si>
    <t>deixada</t>
  </si>
  <si>
    <t>destino</t>
  </si>
  <si>
    <t>consegue</t>
  </si>
  <si>
    <t>veem</t>
  </si>
  <si>
    <t>mudou</t>
  </si>
  <si>
    <t># text = Percebeu que há uma diferença entre uma situação médica e o que se pode fazer com ela.</t>
  </si>
  <si>
    <t>Percebeu</t>
  </si>
  <si>
    <t>situação</t>
  </si>
  <si>
    <t>médica</t>
  </si>
  <si>
    <t># text = Ao longo do tempo, também a minha visão tem mudado, no sentido que, se me tivessem perguntado, quando eu tinha 15 anos, se trocaria as próteses por pernas de carne e osso, eu não teria hesitado por um segundo que fosse.</t>
  </si>
  <si>
    <t>longo</t>
  </si>
  <si>
    <t>mudado</t>
  </si>
  <si>
    <t>tivessem</t>
  </si>
  <si>
    <t>perguntado</t>
  </si>
  <si>
    <t>trocaria</t>
  </si>
  <si>
    <t>carne</t>
  </si>
  <si>
    <t>osso</t>
  </si>
  <si>
    <t>teria</t>
  </si>
  <si>
    <t>hesitado</t>
  </si>
  <si>
    <t># text = Na altura eu desejava esse tipo de normalidade.</t>
  </si>
  <si>
    <t>desejava</t>
  </si>
  <si>
    <t>esse</t>
  </si>
  <si>
    <t># text = Se me perguntarem hoje, já não tenho tanta certeza.</t>
  </si>
  <si>
    <t>perguntarem</t>
  </si>
  <si>
    <t>tanta</t>
  </si>
  <si>
    <t># text = É por causa das experiências que tive com elas, não é apesar das experiências que tive com elas.</t>
  </si>
  <si>
    <t>causa</t>
  </si>
  <si>
    <t>experiências</t>
  </si>
  <si>
    <t>apesar</t>
  </si>
  <si>
    <t># text = Talvez esta mudança na minha maneira de ver tenha acontecido porque eu estive exposta a mais pessoas que me abriram portas do que aquelas que me tapavam ou ensombravam.</t>
  </si>
  <si>
    <t>tenha</t>
  </si>
  <si>
    <t>acontecido</t>
  </si>
  <si>
    <t>estive</t>
  </si>
  <si>
    <t>exposta</t>
  </si>
  <si>
    <t>abriram</t>
  </si>
  <si>
    <t>tapavam</t>
  </si>
  <si>
    <t>ensombravam</t>
  </si>
  <si>
    <t># text = Nós só precisamos de alguém que nos mostre a epifania do nosso próprio potencial, e ai vamos nós.</t>
  </si>
  <si>
    <t>Nós</t>
  </si>
  <si>
    <t>mostre</t>
  </si>
  <si>
    <t>epifania</t>
  </si>
  <si>
    <t>ai</t>
  </si>
  <si>
    <t># text = Se pudermos dar a alguém a chave do seu próprio potencial, — o espírito humano é tão recetivo — se pudermos fazer isso e abrir a porta a alguém, num momento crucial, estamos a educar essa pessoa da melhor forma possível.</t>
  </si>
  <si>
    <t>pudermos</t>
  </si>
  <si>
    <t>chave</t>
  </si>
  <si>
    <t>recetivo</t>
  </si>
  <si>
    <t>porta</t>
  </si>
  <si>
    <t>momento</t>
  </si>
  <si>
    <t>crucial</t>
  </si>
  <si>
    <t>educar</t>
  </si>
  <si>
    <t>possível</t>
  </si>
  <si>
    <t># text = Estamos a ensinar essa pessoa a abrir portas a si mesma.</t>
  </si>
  <si>
    <t># text = Na realidade, o significado exato da palavra "educar" tem raiz na palavra "educe," que significa fazer aparecer o que está escondido, extrair o potencial.</t>
  </si>
  <si>
    <t>significado</t>
  </si>
  <si>
    <t>exato</t>
  </si>
  <si>
    <t>raiz</t>
  </si>
  <si>
    <t>educe</t>
  </si>
  <si>
    <t>significa</t>
  </si>
  <si>
    <t>aparecer</t>
  </si>
  <si>
    <t>escondido</t>
  </si>
  <si>
    <t>extrair</t>
  </si>
  <si>
    <t># text = Mais uma vez, que potencial é que queremos valorizar?</t>
  </si>
  <si>
    <t>Mais</t>
  </si>
  <si>
    <t>vez</t>
  </si>
  <si>
    <t>valorizar</t>
  </si>
  <si>
    <t># text = Em Inglaterra, houve um caso de estudo nos anos 60.</t>
  </si>
  <si>
    <t>Inglaterra</t>
  </si>
  <si>
    <t>houve</t>
  </si>
  <si>
    <t>caso</t>
  </si>
  <si>
    <t>estudo</t>
  </si>
  <si>
    <t># text = Foi quando passavam da escola primária para o secundário.</t>
  </si>
  <si>
    <t>Foi</t>
  </si>
  <si>
    <t>passavam</t>
  </si>
  <si>
    <t>secundário</t>
  </si>
  <si>
    <t># text = Chamavam-se as avaliações de seriação.</t>
  </si>
  <si>
    <t>Chamavam</t>
  </si>
  <si>
    <t>avaliações</t>
  </si>
  <si>
    <t>seriação</t>
  </si>
  <si>
    <t># text = Agrupavam os alunos com A, B, C, D, etc.</t>
  </si>
  <si>
    <t>Agrupavam</t>
  </si>
  <si>
    <t>B</t>
  </si>
  <si>
    <t>C</t>
  </si>
  <si>
    <t>D</t>
  </si>
  <si>
    <t>etc.</t>
  </si>
  <si>
    <t># text = Os alunos de As tinham os programas mais difíceis, os melhores professores, etc.</t>
  </si>
  <si>
    <t>As</t>
  </si>
  <si>
    <t>programas</t>
  </si>
  <si>
    <t>difíceis</t>
  </si>
  <si>
    <t>melhores</t>
  </si>
  <si>
    <t>professores</t>
  </si>
  <si>
    <t># text = Agarraram nos alunos de nível D, durante um período de três meses, classificaram-nos como As, disseram-lhes que tinham A, disseram-lhes que eles eram brilhantes.</t>
  </si>
  <si>
    <t>Agarraram</t>
  </si>
  <si>
    <t>nível</t>
  </si>
  <si>
    <t>durante</t>
  </si>
  <si>
    <t>período</t>
  </si>
  <si>
    <t>três</t>
  </si>
  <si>
    <t>classificaram</t>
  </si>
  <si>
    <t>disseram</t>
  </si>
  <si>
    <t>brilhantes</t>
  </si>
  <si>
    <t># text = No final desse período de três meses, eles tinham resultados de nível A. E claro, do outro lado deste estudo, disseram aos alunos de nível</t>
  </si>
  <si>
    <t>final</t>
  </si>
  <si>
    <t>resultados</t>
  </si>
  <si>
    <t>outro</t>
  </si>
  <si>
    <t>lado</t>
  </si>
  <si>
    <t># text = A que eles tinham classificação D. E foi isso que aconteceu no final dos três meses.</t>
  </si>
  <si>
    <t>classificação</t>
  </si>
  <si>
    <t>D.</t>
  </si>
  <si>
    <t>aconteceu</t>
  </si>
  <si>
    <t># text = Os que ainda estavam na escola, para além dos que abandonaram.</t>
  </si>
  <si>
    <t>além</t>
  </si>
  <si>
    <t>abandonaram</t>
  </si>
  <si>
    <t># text = Uma parte essencial deste estudo é que os professores também foram enganados.</t>
  </si>
  <si>
    <t>essencial</t>
  </si>
  <si>
    <t>foram</t>
  </si>
  <si>
    <t>enganados</t>
  </si>
  <si>
    <t># text = Os professores não sabiam das trocas de classificação.</t>
  </si>
  <si>
    <t>sabiam</t>
  </si>
  <si>
    <t>trocas</t>
  </si>
  <si>
    <t># text = Disseram-lhes; \"Estes são os alunos de As e estes são os alunos de Ds\".</t>
  </si>
  <si>
    <t>Disseram</t>
  </si>
  <si>
    <t>Estes</t>
  </si>
  <si>
    <t>Ds</t>
  </si>
  <si>
    <t># text = Foi nestas condições que os ensinaram e que os trataram.</t>
  </si>
  <si>
    <t>condições</t>
  </si>
  <si>
    <t>ensinaram</t>
  </si>
  <si>
    <t>trataram</t>
  </si>
  <si>
    <t># text = Eu acho que a única deficiência é uma mente que foi esmagada.</t>
  </si>
  <si>
    <t>mente</t>
  </si>
  <si>
    <t>esmagada</t>
  </si>
  <si>
    <t># text = Para uma mente esmagada não há esperança.</t>
  </si>
  <si>
    <t>Para</t>
  </si>
  <si>
    <t>esperança</t>
  </si>
  <si>
    <t># text = Não consegue ver a beleza.</t>
  </si>
  <si>
    <t>beleza</t>
  </si>
  <si>
    <t># text = Deixa de ter a curiosidade natural, infantil e a nossa capacidade inata para imaginar.</t>
  </si>
  <si>
    <t>Deixa</t>
  </si>
  <si>
    <t>curiosidade</t>
  </si>
  <si>
    <t>infantil</t>
  </si>
  <si>
    <t>inata</t>
  </si>
  <si>
    <t>imaginar</t>
  </si>
  <si>
    <t># text = Se, em vez disso, conseguirmos convencer a nossa mente a manter a esperança, a ver a beleza em nós próprios e nos outros, a ser curiosa e imaginativa, então estamos a usar o nosso potencial da melhor forma.</t>
  </si>
  <si>
    <t>convencer</t>
  </si>
  <si>
    <t>manter</t>
  </si>
  <si>
    <t>curiosa</t>
  </si>
  <si>
    <t>imaginativa</t>
  </si>
  <si>
    <t># text = Quando uma mente tem estas qualidades somos capazes de conceber novas realidades e novas maneiras de ser.</t>
  </si>
  <si>
    <t>qualidades</t>
  </si>
  <si>
    <t>capazes</t>
  </si>
  <si>
    <t>conceber</t>
  </si>
  <si>
    <t>novas</t>
  </si>
  <si>
    <t>realidades</t>
  </si>
  <si>
    <t>maneiras</t>
  </si>
  <si>
    <t># text = Gostava de terminar com um poema dum poeta persa do século XIV, chamado Hafiz, que me ensinou o meu amigo Jacques Dembois.</t>
  </si>
  <si>
    <t>terminar</t>
  </si>
  <si>
    <t>poema</t>
  </si>
  <si>
    <t>poeta</t>
  </si>
  <si>
    <t>persa</t>
  </si>
  <si>
    <t>século</t>
  </si>
  <si>
    <t>XIV</t>
  </si>
  <si>
    <t>chamado</t>
  </si>
  <si>
    <t>Hafiz</t>
  </si>
  <si>
    <t>ensinou</t>
  </si>
  <si>
    <t>Jacques</t>
  </si>
  <si>
    <t>Dembois</t>
  </si>
  <si>
    <t># text = O poema chama-se "O Deus Que Só Sabe Três Palavras." "Todas as crianças conheceram Deus, "não o Deus dos nomes, "não o Deus das negações, "mas o Deus que só sabe três palavras e as repete incessantemente, "dizendo: 'vem dançar comigo'.</t>
  </si>
  <si>
    <t>chama</t>
  </si>
  <si>
    <t>&amp;quot;O</t>
  </si>
  <si>
    <t>Que</t>
  </si>
  <si>
    <t>Só</t>
  </si>
  <si>
    <t>Sabe</t>
  </si>
  <si>
    <t>Três</t>
  </si>
  <si>
    <t>Palavras</t>
  </si>
  <si>
    <t>Todas</t>
  </si>
  <si>
    <t>conheceram</t>
  </si>
  <si>
    <t>negações</t>
  </si>
  <si>
    <t>sabe</t>
  </si>
  <si>
    <t>repete</t>
  </si>
  <si>
    <t>incessantemente</t>
  </si>
  <si>
    <t>dizendo</t>
  </si>
  <si>
    <t>'</t>
  </si>
  <si>
    <t># text = Venham!</t>
  </si>
  <si>
    <t>Venham</t>
  </si>
  <si>
    <t>!</t>
  </si>
  <si>
    <t># text = Dancem comigo!</t>
  </si>
  <si>
    <t>Dancem</t>
  </si>
  <si>
    <t># text = Obrigada.</t>
  </si>
  <si>
    <t>Obrigada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</si>
</sst>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15</v>
      </c>
      <c r="C3" s="6" t="s">
        <v>11</v>
      </c>
      <c r="D3" s="7" t="s">
        <v>16</v>
      </c>
      <c r="E3" s="8" t="s">
        <v>17</v>
      </c>
      <c r="F3" s="6" t="s">
        <v>18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19</v>
      </c>
      <c r="B4" s="6" t="s">
        <v>15</v>
      </c>
      <c r="C4" s="6" t="s">
        <v>11</v>
      </c>
      <c r="D4" s="7" t="s">
        <v>20</v>
      </c>
      <c r="E4" s="8" t="s">
        <v>21</v>
      </c>
      <c r="F4" s="6" t="s">
        <v>22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23</v>
      </c>
      <c r="B5" s="6" t="s">
        <v>15</v>
      </c>
      <c r="C5" s="6" t="s">
        <v>11</v>
      </c>
      <c r="D5" s="7" t="s">
        <v>24</v>
      </c>
      <c r="E5" s="8" t="s">
        <v>25</v>
      </c>
      <c r="F5" s="6" t="s">
        <v>26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27</v>
      </c>
      <c r="B6" s="6" t="s">
        <v>15</v>
      </c>
      <c r="C6" s="6" t="s">
        <v>11</v>
      </c>
      <c r="D6" s="7" t="s">
        <v>28</v>
      </c>
      <c r="E6" s="8" t="s">
        <v>29</v>
      </c>
      <c r="F6" s="6" t="s">
        <v>30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31</v>
      </c>
      <c r="B7" s="6" t="s">
        <v>10</v>
      </c>
      <c r="C7" s="6" t="s">
        <v>11</v>
      </c>
      <c r="D7" s="7" t="s">
        <v>32</v>
      </c>
      <c r="E7" s="8" t="s">
        <v>33</v>
      </c>
      <c r="F7" s="6" t="s">
        <v>34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35</v>
      </c>
      <c r="B8" s="6" t="s">
        <v>10</v>
      </c>
      <c r="C8" s="6" t="s">
        <v>11</v>
      </c>
      <c r="D8" s="7" t="s">
        <v>36</v>
      </c>
      <c r="E8" s="8" t="s">
        <v>37</v>
      </c>
      <c r="F8" s="6" t="s">
        <v>38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39</v>
      </c>
      <c r="B9" s="6" t="s">
        <v>40</v>
      </c>
      <c r="C9" s="6" t="s">
        <v>11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44</v>
      </c>
      <c r="B10" s="6" t="s">
        <v>45</v>
      </c>
      <c r="C10" s="6" t="s">
        <v>11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49</v>
      </c>
      <c r="B11" s="6" t="s">
        <v>44</v>
      </c>
      <c r="C11" s="6" t="s">
        <v>11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40</v>
      </c>
      <c r="B12" s="6" t="s">
        <v>39</v>
      </c>
      <c r="C12" s="6" t="s">
        <v>11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56</v>
      </c>
      <c r="B13" s="6" t="s">
        <v>15</v>
      </c>
      <c r="C13" s="6" t="s">
        <v>11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60</v>
      </c>
      <c r="B14" s="6" t="s">
        <v>23</v>
      </c>
      <c r="C14" s="6" t="s">
        <v>11</v>
      </c>
      <c r="D14" s="7" t="s">
        <v>61</v>
      </c>
      <c r="E14" s="8" t="s">
        <v>62</v>
      </c>
      <c r="F14" s="6" t="s">
        <v>63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45</v>
      </c>
      <c r="B15" s="6" t="s">
        <v>10</v>
      </c>
      <c r="C15" s="6" t="s">
        <v>11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67</v>
      </c>
      <c r="B16" s="6" t="s">
        <v>27</v>
      </c>
      <c r="C16" s="6" t="s">
        <v>11</v>
      </c>
      <c r="D16" s="7" t="s">
        <v>68</v>
      </c>
      <c r="E16" s="8" t="s">
        <v>69</v>
      </c>
      <c r="F16" s="6" t="s">
        <v>70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71</v>
      </c>
      <c r="B17" s="6" t="s">
        <v>10</v>
      </c>
      <c r="C17" s="6" t="s">
        <v>11</v>
      </c>
      <c r="D17" s="7" t="s">
        <v>72</v>
      </c>
      <c r="E17" s="8" t="s">
        <v>73</v>
      </c>
      <c r="F17" s="6" t="s">
        <v>74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75</v>
      </c>
      <c r="B18" s="6" t="s">
        <v>10</v>
      </c>
      <c r="C18" s="6" t="s">
        <v>11</v>
      </c>
      <c r="D18" s="7" t="s">
        <v>76</v>
      </c>
      <c r="E18" s="8" t="s">
        <v>77</v>
      </c>
      <c r="F18" s="6" t="s">
        <v>78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79</v>
      </c>
      <c r="B19" s="6" t="s">
        <v>23</v>
      </c>
      <c r="C19" s="6" t="s">
        <v>11</v>
      </c>
      <c r="D19" s="7" t="s">
        <v>80</v>
      </c>
      <c r="E19" s="8" t="s">
        <v>81</v>
      </c>
      <c r="F19" s="6" t="s">
        <v>82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83</v>
      </c>
      <c r="B20" s="6" t="s">
        <v>84</v>
      </c>
      <c r="C20" s="6" t="s">
        <v>11</v>
      </c>
      <c r="D20" s="7" t="s">
        <v>85</v>
      </c>
      <c r="E20" s="8" t="s">
        <v>86</v>
      </c>
      <c r="F20" s="6" t="s">
        <v>87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88</v>
      </c>
      <c r="B21" s="6" t="s">
        <v>19</v>
      </c>
      <c r="C21" s="6" t="s">
        <v>11</v>
      </c>
      <c r="D21" s="7" t="s">
        <v>89</v>
      </c>
      <c r="E21" s="8" t="s">
        <v>90</v>
      </c>
      <c r="F21" s="6" t="s">
        <v>91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92</v>
      </c>
      <c r="B22" s="6" t="s">
        <v>23</v>
      </c>
      <c r="C22" s="6" t="s">
        <v>11</v>
      </c>
      <c r="D22" s="7" t="s">
        <v>93</v>
      </c>
      <c r="E22" s="8" t="s">
        <v>94</v>
      </c>
      <c r="F22" s="6" t="s">
        <v>95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84</v>
      </c>
      <c r="B23" s="6" t="s">
        <v>40</v>
      </c>
      <c r="C23" s="6" t="s">
        <v>11</v>
      </c>
      <c r="D23" s="7" t="s">
        <v>96</v>
      </c>
      <c r="E23" s="8" t="s">
        <v>97</v>
      </c>
      <c r="F23" s="6" t="s">
        <v>98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99</v>
      </c>
      <c r="B24" s="6" t="s">
        <v>10</v>
      </c>
      <c r="C24" s="6" t="s">
        <v>11</v>
      </c>
      <c r="D24" s="7" t="s">
        <v>100</v>
      </c>
      <c r="E24" s="8" t="s">
        <v>101</v>
      </c>
      <c r="F24" s="6" t="s">
        <v>102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103</v>
      </c>
      <c r="B25" s="6" t="s">
        <v>10</v>
      </c>
      <c r="C25" s="6" t="s">
        <v>11</v>
      </c>
      <c r="D25" s="7" t="s">
        <v>104</v>
      </c>
      <c r="E25" s="8" t="s">
        <v>105</v>
      </c>
      <c r="F25" s="6" t="s">
        <v>106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107</v>
      </c>
      <c r="B26" s="6" t="s">
        <v>92</v>
      </c>
      <c r="C26" s="6" t="s">
        <v>11</v>
      </c>
      <c r="D26" s="7" t="s">
        <v>108</v>
      </c>
      <c r="E26" s="8" t="s">
        <v>109</v>
      </c>
      <c r="F26" s="6" t="s">
        <v>110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111</v>
      </c>
      <c r="B27" s="6" t="s">
        <v>15</v>
      </c>
      <c r="C27" s="6" t="s">
        <v>11</v>
      </c>
      <c r="D27" s="7" t="s">
        <v>112</v>
      </c>
      <c r="E27" s="8" t="s">
        <v>113</v>
      </c>
      <c r="F27" s="6" t="s">
        <v>114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115</v>
      </c>
      <c r="B28" s="6" t="s">
        <v>10</v>
      </c>
      <c r="C28" s="6" t="s">
        <v>11</v>
      </c>
      <c r="D28" s="7" t="s">
        <v>68</v>
      </c>
      <c r="E28" s="8" t="s">
        <v>116</v>
      </c>
      <c r="F28" s="6" t="s">
        <v>117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118</v>
      </c>
      <c r="B29" s="6" t="s">
        <v>15</v>
      </c>
      <c r="C29" s="6" t="s">
        <v>11</v>
      </c>
      <c r="D29" s="7" t="s">
        <v>119</v>
      </c>
      <c r="E29" s="8" t="s">
        <v>120</v>
      </c>
      <c r="F29" s="6" t="s">
        <v>121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122</v>
      </c>
      <c r="B30" s="6" t="s">
        <v>19</v>
      </c>
      <c r="C30" s="6" t="s">
        <v>11</v>
      </c>
      <c r="D30" s="7" t="s">
        <v>123</v>
      </c>
      <c r="E30" s="8" t="s">
        <v>124</v>
      </c>
      <c r="F30" s="6" t="s">
        <v>125</v>
      </c>
      <c r="G30" s="9">
        <f>IF(A30=1,"_",IF(C30="_","???",C30))</f>
        <v/>
      </c>
      <c r="H30" s="10" t="s">
        <v>11</v>
      </c>
      <c r="I30" s="11" t="s">
        <v>11</v>
      </c>
      <c r="J30" s="12"/>
    </row>
    <row r="31" spans="1:10" ht="60" customHeight="1">
      <c r="A31" s="6" t="s">
        <v>126</v>
      </c>
      <c r="B31" s="6" t="s">
        <v>10</v>
      </c>
      <c r="C31" s="6" t="s">
        <v>11</v>
      </c>
      <c r="D31" s="7" t="s">
        <v>127</v>
      </c>
      <c r="E31" s="8" t="s">
        <v>128</v>
      </c>
      <c r="F31" s="6" t="s">
        <v>129</v>
      </c>
      <c r="G31" s="9">
        <f>IF(A31=1,"_",IF(C31="_","???",C31))</f>
        <v/>
      </c>
      <c r="H31" s="10" t="s">
        <v>11</v>
      </c>
      <c r="I31" s="11" t="s">
        <v>11</v>
      </c>
      <c r="J31" s="12"/>
    </row>
    <row r="32" spans="1:10" ht="60" customHeight="1">
      <c r="A32" s="6" t="s">
        <v>130</v>
      </c>
      <c r="B32" s="6" t="s">
        <v>27</v>
      </c>
      <c r="C32" s="6" t="s">
        <v>11</v>
      </c>
      <c r="D32" s="7" t="s">
        <v>131</v>
      </c>
      <c r="E32" s="8" t="s">
        <v>132</v>
      </c>
      <c r="F32" s="6" t="s">
        <v>133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134</v>
      </c>
      <c r="B33" s="6" t="s">
        <v>19</v>
      </c>
      <c r="C33" s="6" t="s">
        <v>11</v>
      </c>
      <c r="D33" s="7" t="s">
        <v>135</v>
      </c>
      <c r="E33" s="8" t="s">
        <v>136</v>
      </c>
      <c r="F33" s="6" t="s">
        <v>137</v>
      </c>
      <c r="G33" s="9">
        <f>IF(A33=1,"_",IF(C33="_","???",C33))</f>
        <v/>
      </c>
      <c r="H33" s="10" t="s">
        <v>11</v>
      </c>
      <c r="I33" s="11" t="s">
        <v>11</v>
      </c>
      <c r="J33" s="12"/>
    </row>
    <row r="34" spans="1:10" ht="60" customHeight="1">
      <c r="A34" s="6" t="s">
        <v>138</v>
      </c>
      <c r="B34" s="6" t="s">
        <v>23</v>
      </c>
      <c r="C34" s="6" t="s">
        <v>11</v>
      </c>
      <c r="D34" s="7" t="s">
        <v>139</v>
      </c>
      <c r="E34" s="8" t="s">
        <v>140</v>
      </c>
      <c r="F34" s="6" t="s">
        <v>141</v>
      </c>
      <c r="G34" s="9">
        <f>IF(A34=1,"_",IF(C34="_","???",C34))</f>
        <v/>
      </c>
      <c r="H34" s="10" t="s">
        <v>11</v>
      </c>
      <c r="I34" s="11" t="s">
        <v>11</v>
      </c>
      <c r="J34" s="12"/>
    </row>
    <row r="35" spans="1:10" ht="60" customHeight="1">
      <c r="A35" s="6" t="s">
        <v>142</v>
      </c>
      <c r="B35" s="6" t="s">
        <v>19</v>
      </c>
      <c r="C35" s="6" t="s">
        <v>11</v>
      </c>
      <c r="D35" s="7" t="s">
        <v>68</v>
      </c>
      <c r="E35" s="8" t="s">
        <v>143</v>
      </c>
      <c r="F35" s="6" t="s">
        <v>144</v>
      </c>
      <c r="G35" s="9">
        <f>IF(A35=1,"_",IF(C35="_","???",C35))</f>
        <v/>
      </c>
      <c r="H35" s="10" t="s">
        <v>11</v>
      </c>
      <c r="I35" s="11" t="s">
        <v>11</v>
      </c>
      <c r="J35" s="12"/>
    </row>
    <row r="36" spans="1:10" ht="60" customHeight="1">
      <c r="A36" s="6" t="s">
        <v>145</v>
      </c>
      <c r="B36" s="6" t="s">
        <v>45</v>
      </c>
      <c r="C36" s="6" t="s">
        <v>11</v>
      </c>
      <c r="D36" s="7" t="s">
        <v>146</v>
      </c>
      <c r="E36" s="8" t="s">
        <v>147</v>
      </c>
      <c r="F36" s="6" t="s">
        <v>148</v>
      </c>
      <c r="G36" s="9">
        <f>IF(A36=1,"_",IF(C36="_","???",C36))</f>
        <v/>
      </c>
      <c r="H36" s="10" t="s">
        <v>11</v>
      </c>
      <c r="I36" s="11" t="s">
        <v>11</v>
      </c>
      <c r="J36" s="12"/>
    </row>
    <row r="37" spans="1:10" ht="60" customHeight="1">
      <c r="A37" s="6" t="s">
        <v>149</v>
      </c>
      <c r="B37" s="6" t="s">
        <v>19</v>
      </c>
      <c r="C37" s="6" t="s">
        <v>11</v>
      </c>
      <c r="D37" s="7" t="s">
        <v>150</v>
      </c>
      <c r="E37" s="8" t="s">
        <v>151</v>
      </c>
      <c r="F37" s="6" t="s">
        <v>152</v>
      </c>
      <c r="G37" s="9">
        <f>IF(A37=1,"_",IF(C37="_","???",C37))</f>
        <v/>
      </c>
      <c r="H37" s="10" t="s">
        <v>11</v>
      </c>
      <c r="I37" s="11" t="s">
        <v>11</v>
      </c>
      <c r="J37" s="12"/>
    </row>
    <row r="38" spans="1:10" ht="60" customHeight="1">
      <c r="A38" s="6" t="s">
        <v>153</v>
      </c>
      <c r="B38" s="6" t="s">
        <v>27</v>
      </c>
      <c r="C38" s="6" t="s">
        <v>11</v>
      </c>
      <c r="D38" s="7" t="s">
        <v>154</v>
      </c>
      <c r="E38" s="8" t="s">
        <v>155</v>
      </c>
      <c r="F38" s="6" t="s">
        <v>156</v>
      </c>
      <c r="G38" s="9">
        <f>IF(A38=1,"_",IF(C38="_","???",C38))</f>
        <v/>
      </c>
      <c r="H38" s="10" t="s">
        <v>11</v>
      </c>
      <c r="I38" s="11" t="s">
        <v>11</v>
      </c>
      <c r="J38" s="12"/>
    </row>
    <row r="39" spans="1:10" ht="60" customHeight="1">
      <c r="A39" s="6" t="s">
        <v>157</v>
      </c>
      <c r="B39" s="6" t="s">
        <v>158</v>
      </c>
      <c r="C39" s="6" t="s">
        <v>11</v>
      </c>
      <c r="D39" s="7" t="s">
        <v>159</v>
      </c>
      <c r="E39" s="8" t="s">
        <v>160</v>
      </c>
      <c r="F39" s="6" t="s">
        <v>161</v>
      </c>
      <c r="G39" s="9">
        <f>IF(A39=1,"_",IF(C39="_","???",C39))</f>
        <v/>
      </c>
      <c r="H39" s="10" t="s">
        <v>11</v>
      </c>
      <c r="I39" s="11" t="s">
        <v>11</v>
      </c>
      <c r="J39" s="12"/>
    </row>
    <row r="40" spans="1:10" ht="60" customHeight="1">
      <c r="A40" s="6" t="s">
        <v>162</v>
      </c>
      <c r="B40" s="6" t="s">
        <v>19</v>
      </c>
      <c r="C40" s="6" t="s">
        <v>11</v>
      </c>
      <c r="D40" s="7" t="s">
        <v>163</v>
      </c>
      <c r="E40" s="8" t="s">
        <v>164</v>
      </c>
      <c r="F40" s="6" t="s">
        <v>165</v>
      </c>
      <c r="G40" s="9">
        <f>IF(A40=1,"_",IF(C40="_","???",C40))</f>
        <v/>
      </c>
      <c r="H40" s="10" t="s">
        <v>11</v>
      </c>
      <c r="I40" s="11" t="s">
        <v>11</v>
      </c>
      <c r="J40" s="12"/>
    </row>
    <row r="41" spans="1:10" ht="60" customHeight="1">
      <c r="A41" s="6" t="s">
        <v>166</v>
      </c>
      <c r="B41" s="6" t="s">
        <v>31</v>
      </c>
      <c r="C41" s="6" t="s">
        <v>11</v>
      </c>
      <c r="D41" s="7" t="s">
        <v>167</v>
      </c>
      <c r="E41" s="8" t="s">
        <v>168</v>
      </c>
      <c r="F41" s="6" t="s">
        <v>169</v>
      </c>
      <c r="G41" s="9">
        <f>IF(A41=1,"_",IF(C41="_","???",C41))</f>
        <v/>
      </c>
      <c r="H41" s="10" t="s">
        <v>11</v>
      </c>
      <c r="I41" s="11" t="s">
        <v>11</v>
      </c>
      <c r="J41" s="12"/>
    </row>
    <row r="42" spans="1:10" ht="60" customHeight="1">
      <c r="A42" s="6" t="s">
        <v>170</v>
      </c>
      <c r="B42" s="6" t="s">
        <v>27</v>
      </c>
      <c r="C42" s="6" t="s">
        <v>11</v>
      </c>
      <c r="D42" s="7" t="s">
        <v>171</v>
      </c>
      <c r="E42" s="8" t="s">
        <v>172</v>
      </c>
      <c r="F42" s="6" t="s">
        <v>173</v>
      </c>
      <c r="G42" s="9">
        <f>IF(A42=1,"_",IF(C42="_","???",C42))</f>
        <v/>
      </c>
      <c r="H42" s="10" t="s">
        <v>11</v>
      </c>
      <c r="I42" s="11" t="s">
        <v>11</v>
      </c>
      <c r="J42" s="12"/>
    </row>
    <row r="43" spans="1:10" ht="60" customHeight="1">
      <c r="A43" s="6" t="s">
        <v>174</v>
      </c>
      <c r="B43" s="6" t="s">
        <v>49</v>
      </c>
      <c r="C43" s="6" t="s">
        <v>11</v>
      </c>
      <c r="D43" s="7" t="s">
        <v>175</v>
      </c>
      <c r="E43" s="8" t="s">
        <v>176</v>
      </c>
      <c r="F43" s="6" t="s">
        <v>177</v>
      </c>
      <c r="G43" s="9">
        <f>IF(A43=1,"_",IF(C43="_","???",C43))</f>
        <v/>
      </c>
      <c r="H43" s="10" t="s">
        <v>11</v>
      </c>
      <c r="I43" s="11" t="s">
        <v>11</v>
      </c>
      <c r="J43" s="12"/>
    </row>
    <row r="44" spans="1:10" ht="60" customHeight="1">
      <c r="A44" s="6" t="s">
        <v>178</v>
      </c>
      <c r="B44" s="6" t="s">
        <v>27</v>
      </c>
      <c r="C44" s="6" t="s">
        <v>11</v>
      </c>
      <c r="D44" s="7" t="s">
        <v>179</v>
      </c>
      <c r="E44" s="8" t="s">
        <v>180</v>
      </c>
      <c r="F44" s="6" t="s">
        <v>181</v>
      </c>
      <c r="G44" s="9">
        <f>IF(A44=1,"_",IF(C44="_","???",C44))</f>
        <v/>
      </c>
      <c r="H44" s="10" t="s">
        <v>11</v>
      </c>
      <c r="I44" s="11" t="s">
        <v>11</v>
      </c>
      <c r="J44" s="12"/>
    </row>
    <row r="45" spans="1:10" ht="60" customHeight="1">
      <c r="A45" s="6" t="s">
        <v>182</v>
      </c>
      <c r="B45" s="6" t="s">
        <v>19</v>
      </c>
      <c r="C45" s="6" t="s">
        <v>11</v>
      </c>
      <c r="D45" s="7" t="s">
        <v>183</v>
      </c>
      <c r="E45" s="8" t="s">
        <v>184</v>
      </c>
      <c r="F45" s="6" t="s">
        <v>185</v>
      </c>
      <c r="G45" s="9">
        <f>IF(A45=1,"_",IF(C45="_","???",C45))</f>
        <v/>
      </c>
      <c r="H45" s="10" t="s">
        <v>11</v>
      </c>
      <c r="I45" s="11" t="s">
        <v>11</v>
      </c>
      <c r="J45" s="12"/>
    </row>
    <row r="46" spans="1:10" ht="60" customHeight="1">
      <c r="A46" s="6" t="s">
        <v>186</v>
      </c>
      <c r="B46" s="6" t="s">
        <v>23</v>
      </c>
      <c r="C46" s="6" t="s">
        <v>187</v>
      </c>
      <c r="D46" s="7" t="s">
        <v>188</v>
      </c>
      <c r="E46" s="8" t="s">
        <v>189</v>
      </c>
      <c r="F46" s="6" t="s">
        <v>190</v>
      </c>
      <c r="G46" s="9">
        <f>IF(A46=1,"_",IF(C46="_","???",C46))</f>
        <v/>
      </c>
      <c r="H46" s="10" t="s">
        <v>11</v>
      </c>
      <c r="I46" s="11" t="s">
        <v>11</v>
      </c>
      <c r="J46" s="12"/>
    </row>
    <row r="47" spans="1:10" ht="60" customHeight="1">
      <c r="A47" s="6" t="s">
        <v>191</v>
      </c>
      <c r="B47" s="6" t="s">
        <v>23</v>
      </c>
      <c r="C47" s="6" t="s">
        <v>11</v>
      </c>
      <c r="D47" s="7" t="s">
        <v>192</v>
      </c>
      <c r="E47" s="8" t="s">
        <v>193</v>
      </c>
      <c r="F47" s="6" t="s">
        <v>194</v>
      </c>
      <c r="G47" s="9">
        <f>IF(A47=1,"_",IF(C47="_","???",C47))</f>
        <v/>
      </c>
      <c r="H47" s="10" t="s">
        <v>11</v>
      </c>
      <c r="I47" s="11" t="s">
        <v>11</v>
      </c>
      <c r="J47" s="12"/>
    </row>
    <row r="48" spans="1:10" ht="60" customHeight="1">
      <c r="A48" s="6" t="s">
        <v>195</v>
      </c>
      <c r="B48" s="6" t="s">
        <v>10</v>
      </c>
      <c r="C48" s="6" t="s">
        <v>11</v>
      </c>
      <c r="D48" s="7" t="s">
        <v>196</v>
      </c>
      <c r="E48" s="8" t="s">
        <v>197</v>
      </c>
      <c r="F48" s="6" t="s">
        <v>198</v>
      </c>
      <c r="G48" s="9">
        <f>IF(A48=1,"_",IF(C48="_","???",C48))</f>
        <v/>
      </c>
      <c r="H48" s="10" t="s">
        <v>11</v>
      </c>
      <c r="I48" s="11" t="s">
        <v>11</v>
      </c>
      <c r="J48" s="12"/>
    </row>
    <row r="49" spans="1:10" ht="60" customHeight="1">
      <c r="A49" s="6" t="s">
        <v>199</v>
      </c>
      <c r="B49" s="6" t="s">
        <v>15</v>
      </c>
      <c r="C49" s="6" t="s">
        <v>11</v>
      </c>
      <c r="D49" s="7" t="s">
        <v>12</v>
      </c>
      <c r="E49" s="8" t="s">
        <v>200</v>
      </c>
      <c r="F49" s="6" t="s">
        <v>201</v>
      </c>
      <c r="G49" s="9">
        <f>IF(A49=1,"_",IF(C49="_","???",C49))</f>
        <v/>
      </c>
      <c r="H49" s="10" t="s">
        <v>11</v>
      </c>
      <c r="I49" s="11" t="s">
        <v>11</v>
      </c>
      <c r="J49" s="12"/>
    </row>
    <row r="50" spans="1:10" ht="60" customHeight="1">
      <c r="A50" s="6" t="s">
        <v>202</v>
      </c>
      <c r="B50" s="6" t="s">
        <v>27</v>
      </c>
      <c r="C50" s="6" t="s">
        <v>11</v>
      </c>
      <c r="D50" s="7" t="s">
        <v>16</v>
      </c>
      <c r="E50" s="8" t="s">
        <v>203</v>
      </c>
      <c r="F50" s="6" t="s">
        <v>204</v>
      </c>
      <c r="G50" s="9">
        <f>IF(A50=1,"_",IF(C50="_","???",C50))</f>
        <v/>
      </c>
      <c r="H50" s="10" t="s">
        <v>11</v>
      </c>
      <c r="I50" s="11" t="s">
        <v>11</v>
      </c>
      <c r="J50" s="12"/>
    </row>
    <row r="51" spans="1:10" ht="60" customHeight="1">
      <c r="A51" s="6" t="s">
        <v>205</v>
      </c>
      <c r="B51" s="6" t="s">
        <v>19</v>
      </c>
      <c r="C51" s="6" t="s">
        <v>11</v>
      </c>
      <c r="D51" s="7" t="s">
        <v>68</v>
      </c>
      <c r="E51" s="8" t="s">
        <v>206</v>
      </c>
      <c r="F51" s="6" t="s">
        <v>207</v>
      </c>
      <c r="G51" s="9">
        <f>IF(A51=1,"_",IF(C51="_","???",C51))</f>
        <v/>
      </c>
      <c r="H51" s="10" t="s">
        <v>11</v>
      </c>
      <c r="I51" s="11" t="s">
        <v>11</v>
      </c>
      <c r="J51" s="12"/>
    </row>
    <row r="52" spans="1:10" ht="60" customHeight="1">
      <c r="A52" s="6" t="s">
        <v>208</v>
      </c>
      <c r="B52" s="6" t="s">
        <v>27</v>
      </c>
      <c r="C52" s="6" t="s">
        <v>11</v>
      </c>
      <c r="D52" s="7" t="s">
        <v>209</v>
      </c>
      <c r="E52" s="8" t="s">
        <v>210</v>
      </c>
      <c r="F52" s="6" t="s">
        <v>211</v>
      </c>
      <c r="G52" s="9">
        <f>IF(A52=1,"_",IF(C52="_","???",C52))</f>
        <v/>
      </c>
      <c r="H52" s="10" t="s">
        <v>11</v>
      </c>
      <c r="I52" s="11" t="s">
        <v>11</v>
      </c>
      <c r="J52" s="12"/>
    </row>
    <row r="53" spans="1:10" ht="60" customHeight="1">
      <c r="A53" s="6" t="s">
        <v>212</v>
      </c>
      <c r="B53" s="6" t="s">
        <v>10</v>
      </c>
      <c r="C53" s="6" t="s">
        <v>11</v>
      </c>
      <c r="D53" s="7" t="s">
        <v>213</v>
      </c>
      <c r="E53" s="8" t="s">
        <v>214</v>
      </c>
      <c r="F53" s="6" t="s">
        <v>215</v>
      </c>
      <c r="G53" s="9">
        <f>IF(A53=1,"_",IF(C53="_","???",C53))</f>
        <v/>
      </c>
      <c r="H53" s="10" t="s">
        <v>11</v>
      </c>
      <c r="I53" s="11" t="s">
        <v>11</v>
      </c>
      <c r="J53" s="12"/>
    </row>
    <row r="54" spans="1:10" ht="60" customHeight="1">
      <c r="A54" s="6" t="s">
        <v>216</v>
      </c>
      <c r="B54" s="6" t="s">
        <v>84</v>
      </c>
      <c r="C54" s="6" t="s">
        <v>11</v>
      </c>
      <c r="D54" s="7" t="s">
        <v>217</v>
      </c>
      <c r="E54" s="8" t="s">
        <v>218</v>
      </c>
      <c r="F54" s="6" t="s">
        <v>219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220</v>
      </c>
      <c r="B55" s="6" t="s">
        <v>75</v>
      </c>
      <c r="C55" s="6" t="s">
        <v>11</v>
      </c>
      <c r="D55" s="7" t="s">
        <v>16</v>
      </c>
      <c r="E55" s="8" t="s">
        <v>221</v>
      </c>
      <c r="F55" s="6" t="s">
        <v>222</v>
      </c>
      <c r="G55" s="9">
        <f>IF(A55=1,"_",IF(C55="_","???",C55))</f>
        <v/>
      </c>
      <c r="H55" s="10" t="s">
        <v>11</v>
      </c>
      <c r="I55" s="11" t="s">
        <v>11</v>
      </c>
      <c r="J55" s="12"/>
    </row>
    <row r="56" spans="1:10" ht="60" customHeight="1">
      <c r="A56" s="6" t="s">
        <v>223</v>
      </c>
      <c r="B56" s="6" t="s">
        <v>10</v>
      </c>
      <c r="C56" s="6" t="s">
        <v>11</v>
      </c>
      <c r="D56" s="7" t="s">
        <v>16</v>
      </c>
      <c r="E56" s="8" t="s">
        <v>224</v>
      </c>
      <c r="F56" s="6" t="s">
        <v>225</v>
      </c>
      <c r="G56" s="9">
        <f>IF(A56=1,"_",IF(C56="_","???",C56))</f>
        <v/>
      </c>
      <c r="H56" s="10" t="s">
        <v>11</v>
      </c>
      <c r="I56" s="11" t="s">
        <v>11</v>
      </c>
      <c r="J56" s="12"/>
    </row>
    <row r="57" spans="1:10" ht="60" customHeight="1">
      <c r="A57" s="6" t="s">
        <v>226</v>
      </c>
      <c r="B57" s="6" t="s">
        <v>15</v>
      </c>
      <c r="C57" s="6" t="s">
        <v>11</v>
      </c>
      <c r="D57" s="7" t="s">
        <v>68</v>
      </c>
      <c r="E57" s="8" t="s">
        <v>227</v>
      </c>
      <c r="F57" s="6" t="s">
        <v>228</v>
      </c>
      <c r="G57" s="9">
        <f>IF(A57=1,"_",IF(C57="_","???",C57))</f>
        <v/>
      </c>
      <c r="H57" s="10" t="s">
        <v>11</v>
      </c>
      <c r="I57" s="11" t="s">
        <v>11</v>
      </c>
      <c r="J57" s="12"/>
    </row>
    <row r="58" spans="1:10" ht="60" customHeight="1">
      <c r="A58" s="6" t="s">
        <v>229</v>
      </c>
      <c r="B58" s="6" t="s">
        <v>35</v>
      </c>
      <c r="C58" s="6" t="s">
        <v>11</v>
      </c>
      <c r="D58" s="7" t="s">
        <v>230</v>
      </c>
      <c r="E58" s="8" t="s">
        <v>231</v>
      </c>
      <c r="F58" s="6" t="s">
        <v>232</v>
      </c>
      <c r="G58" s="9">
        <f>IF(A58=1,"_",IF(C58="_","???",C58))</f>
        <v/>
      </c>
      <c r="H58" s="10" t="s">
        <v>11</v>
      </c>
      <c r="I58" s="11" t="s">
        <v>11</v>
      </c>
      <c r="J58" s="12"/>
    </row>
    <row r="59" spans="1:10" ht="60" customHeight="1">
      <c r="A59" s="6" t="s">
        <v>233</v>
      </c>
      <c r="B59" s="6" t="s">
        <v>19</v>
      </c>
      <c r="C59" s="6" t="s">
        <v>11</v>
      </c>
      <c r="D59" s="7" t="s">
        <v>234</v>
      </c>
      <c r="E59" s="8" t="s">
        <v>235</v>
      </c>
      <c r="F59" s="6" t="s">
        <v>236</v>
      </c>
      <c r="G59" s="9">
        <f>IF(A59=1,"_",IF(C59="_","???",C59))</f>
        <v/>
      </c>
      <c r="H59" s="10" t="s">
        <v>11</v>
      </c>
      <c r="I59" s="11" t="s">
        <v>11</v>
      </c>
      <c r="J59" s="12"/>
    </row>
    <row r="60" spans="1:10" ht="60" customHeight="1">
      <c r="A60" s="6" t="s">
        <v>237</v>
      </c>
      <c r="B60" s="6" t="s">
        <v>103</v>
      </c>
      <c r="C60" s="6" t="s">
        <v>11</v>
      </c>
      <c r="D60" s="7" t="s">
        <v>238</v>
      </c>
      <c r="E60" s="8" t="s">
        <v>239</v>
      </c>
      <c r="F60" s="6" t="s">
        <v>240</v>
      </c>
      <c r="G60" s="9">
        <f>IF(A60=1,"_",IF(C60="_","???",C60))</f>
        <v/>
      </c>
      <c r="H60" s="10" t="s">
        <v>11</v>
      </c>
      <c r="I60" s="11" t="s">
        <v>11</v>
      </c>
      <c r="J60" s="12"/>
    </row>
    <row r="61" spans="1:10" ht="60" customHeight="1">
      <c r="A61" s="6" t="s">
        <v>158</v>
      </c>
      <c r="B61" s="6" t="s">
        <v>71</v>
      </c>
      <c r="C61" s="6" t="s">
        <v>11</v>
      </c>
      <c r="D61" s="7" t="s">
        <v>241</v>
      </c>
      <c r="E61" s="8" t="s">
        <v>242</v>
      </c>
      <c r="F61" s="6" t="s">
        <v>243</v>
      </c>
      <c r="G61" s="9">
        <f>IF(A61=1,"_",IF(C61="_","???",C61))</f>
        <v/>
      </c>
      <c r="H61" s="10" t="s">
        <v>11</v>
      </c>
      <c r="I61" s="11" t="s">
        <v>11</v>
      </c>
      <c r="J61" s="12"/>
    </row>
    <row r="62" spans="1:10" ht="60" customHeight="1">
      <c r="A62" s="6" t="s">
        <v>244</v>
      </c>
      <c r="B62" s="6" t="s">
        <v>19</v>
      </c>
      <c r="C62" s="6" t="s">
        <v>11</v>
      </c>
      <c r="D62" s="7" t="s">
        <v>245</v>
      </c>
      <c r="E62" s="8" t="s">
        <v>246</v>
      </c>
      <c r="F62" s="6" t="s">
        <v>247</v>
      </c>
      <c r="G62" s="9">
        <f>IF(A62=1,"_",IF(C62="_","???",C62))</f>
        <v/>
      </c>
      <c r="H62" s="10" t="s">
        <v>11</v>
      </c>
      <c r="I62" s="11" t="s">
        <v>11</v>
      </c>
      <c r="J62" s="12"/>
    </row>
    <row r="63" spans="1:10" ht="60" customHeight="1">
      <c r="A63" s="6" t="s">
        <v>248</v>
      </c>
      <c r="B63" s="6" t="s">
        <v>23</v>
      </c>
      <c r="C63" s="6" t="s">
        <v>11</v>
      </c>
      <c r="D63" s="7" t="s">
        <v>249</v>
      </c>
      <c r="E63" s="8" t="s">
        <v>250</v>
      </c>
      <c r="F63" s="6" t="s">
        <v>251</v>
      </c>
      <c r="G63" s="9">
        <f>IF(A63=1,"_",IF(C63="_","???",C63))</f>
        <v/>
      </c>
      <c r="H63" s="10" t="s">
        <v>11</v>
      </c>
      <c r="I63" s="11" t="s">
        <v>11</v>
      </c>
      <c r="J63" s="12"/>
    </row>
    <row r="64" spans="1:10" ht="60" customHeight="1">
      <c r="A64" s="6" t="s">
        <v>252</v>
      </c>
      <c r="B64" s="6" t="s">
        <v>19</v>
      </c>
      <c r="C64" s="6" t="s">
        <v>11</v>
      </c>
      <c r="D64" s="7" t="s">
        <v>253</v>
      </c>
      <c r="E64" s="8" t="s">
        <v>254</v>
      </c>
      <c r="F64" s="6" t="s">
        <v>255</v>
      </c>
      <c r="G64" s="9">
        <f>IF(A64=1,"_",IF(C64="_","???",C64))</f>
        <v/>
      </c>
      <c r="H64" s="10" t="s">
        <v>11</v>
      </c>
      <c r="I64" s="11" t="s">
        <v>11</v>
      </c>
      <c r="J64" s="12"/>
    </row>
    <row r="65" spans="1:10" ht="60" customHeight="1">
      <c r="A65" s="6" t="s">
        <v>256</v>
      </c>
      <c r="B65" s="6" t="s">
        <v>56</v>
      </c>
      <c r="C65" s="6" t="s">
        <v>11</v>
      </c>
      <c r="D65" s="7" t="s">
        <v>146</v>
      </c>
      <c r="E65" s="8" t="s">
        <v>257</v>
      </c>
      <c r="F65" s="6" t="s">
        <v>258</v>
      </c>
      <c r="G65" s="9">
        <f>IF(A65=1,"_",IF(C65="_","???",C65))</f>
        <v/>
      </c>
      <c r="H65" s="10" t="s">
        <v>11</v>
      </c>
      <c r="I65" s="11" t="s">
        <v>11</v>
      </c>
      <c r="J65" s="12"/>
    </row>
    <row r="66" spans="1:10" ht="60" customHeight="1">
      <c r="A66" s="6" t="s">
        <v>259</v>
      </c>
      <c r="B66" s="6" t="s">
        <v>56</v>
      </c>
      <c r="C66" s="6" t="s">
        <v>11</v>
      </c>
      <c r="D66" s="7" t="s">
        <v>260</v>
      </c>
      <c r="E66" s="8" t="s">
        <v>261</v>
      </c>
      <c r="F66" s="6" t="s">
        <v>262</v>
      </c>
      <c r="G66" s="9">
        <f>IF(A66=1,"_",IF(C66="_","???",C66))</f>
        <v/>
      </c>
      <c r="H66" s="10" t="s">
        <v>11</v>
      </c>
      <c r="I66" s="11" t="s">
        <v>11</v>
      </c>
      <c r="J66" s="12"/>
    </row>
    <row r="67" spans="1:10" ht="60" customHeight="1">
      <c r="A67" s="6" t="s">
        <v>263</v>
      </c>
      <c r="B67" s="6" t="s">
        <v>49</v>
      </c>
      <c r="C67" s="6" t="s">
        <v>11</v>
      </c>
      <c r="D67" s="7" t="s">
        <v>264</v>
      </c>
      <c r="E67" s="8" t="s">
        <v>265</v>
      </c>
      <c r="F67" s="6" t="s">
        <v>266</v>
      </c>
      <c r="G67" s="9">
        <f>IF(A67=1,"_",IF(C67="_","???",C67))</f>
        <v/>
      </c>
      <c r="H67" s="10" t="s">
        <v>11</v>
      </c>
      <c r="I67" s="11" t="s">
        <v>11</v>
      </c>
      <c r="J67" s="12"/>
    </row>
    <row r="68" spans="1:10" ht="60" customHeight="1">
      <c r="A68" s="6" t="s">
        <v>267</v>
      </c>
      <c r="B68" s="6" t="s">
        <v>15</v>
      </c>
      <c r="C68" s="6" t="s">
        <v>11</v>
      </c>
      <c r="D68" s="7" t="s">
        <v>268</v>
      </c>
      <c r="E68" s="8" t="s">
        <v>269</v>
      </c>
      <c r="F68" s="6" t="s">
        <v>270</v>
      </c>
      <c r="G68" s="9">
        <f>IF(A68=1,"_",IF(C68="_","???",C68))</f>
        <v/>
      </c>
      <c r="H68" s="10" t="s">
        <v>11</v>
      </c>
      <c r="I68" s="11" t="s">
        <v>11</v>
      </c>
      <c r="J68" s="12"/>
    </row>
    <row r="69" spans="1:10" ht="60" customHeight="1">
      <c r="A69" s="6" t="s">
        <v>271</v>
      </c>
      <c r="B69" s="6" t="s">
        <v>19</v>
      </c>
      <c r="C69" s="6" t="s">
        <v>11</v>
      </c>
      <c r="D69" s="7" t="s">
        <v>146</v>
      </c>
      <c r="E69" s="8" t="s">
        <v>272</v>
      </c>
      <c r="F69" s="6" t="s">
        <v>273</v>
      </c>
      <c r="G69" s="9">
        <f>IF(A69=1,"_",IF(C69="_","???",C69))</f>
        <v/>
      </c>
      <c r="H69" s="10" t="s">
        <v>11</v>
      </c>
      <c r="I69" s="11" t="s">
        <v>11</v>
      </c>
      <c r="J69" s="12"/>
    </row>
    <row r="70" spans="1:10" ht="60" customHeight="1">
      <c r="A70" s="6" t="s">
        <v>274</v>
      </c>
      <c r="B70" s="6" t="s">
        <v>10</v>
      </c>
      <c r="C70" s="6" t="s">
        <v>11</v>
      </c>
      <c r="D70" s="7" t="s">
        <v>146</v>
      </c>
      <c r="E70" s="8" t="s">
        <v>275</v>
      </c>
      <c r="F70" s="6" t="s">
        <v>276</v>
      </c>
      <c r="G70" s="9">
        <f>IF(A70=1,"_",IF(C70="_","???",C70))</f>
        <v/>
      </c>
      <c r="H70" s="10" t="s">
        <v>11</v>
      </c>
      <c r="I70" s="11" t="s">
        <v>11</v>
      </c>
      <c r="J70" s="12"/>
    </row>
    <row r="71" spans="1:10" ht="60" customHeight="1">
      <c r="A71" s="6" t="s">
        <v>277</v>
      </c>
      <c r="B71" s="6" t="s">
        <v>15</v>
      </c>
      <c r="C71" s="6" t="s">
        <v>11</v>
      </c>
      <c r="D71" s="7" t="s">
        <v>278</v>
      </c>
      <c r="E71" s="8" t="s">
        <v>279</v>
      </c>
      <c r="F71" s="6" t="s">
        <v>280</v>
      </c>
      <c r="G71" s="9">
        <f>IF(A71=1,"_",IF(C71="_","???",C71))</f>
        <v/>
      </c>
      <c r="H71" s="10" t="s">
        <v>11</v>
      </c>
      <c r="I71" s="11" t="s">
        <v>11</v>
      </c>
      <c r="J71" s="12"/>
    </row>
    <row r="72" spans="1:10" ht="60" customHeight="1">
      <c r="A72" s="6" t="s">
        <v>281</v>
      </c>
      <c r="B72" s="6" t="s">
        <v>19</v>
      </c>
      <c r="C72" s="6" t="s">
        <v>11</v>
      </c>
      <c r="D72" s="7" t="s">
        <v>282</v>
      </c>
      <c r="E72" s="8" t="s">
        <v>283</v>
      </c>
      <c r="F72" s="6" t="s">
        <v>284</v>
      </c>
      <c r="G72" s="9">
        <f>IF(A72=1,"_",IF(C72="_","???",C72))</f>
        <v/>
      </c>
      <c r="H72" s="10" t="s">
        <v>11</v>
      </c>
      <c r="I72" s="11" t="s">
        <v>11</v>
      </c>
      <c r="J72" s="12"/>
    </row>
    <row r="73" spans="1:10" ht="60" customHeight="1">
      <c r="A73" s="6" t="s">
        <v>285</v>
      </c>
      <c r="B73" s="6" t="s">
        <v>15</v>
      </c>
      <c r="C73" s="6" t="s">
        <v>11</v>
      </c>
      <c r="D73" s="7" t="s">
        <v>64</v>
      </c>
      <c r="E73" s="8" t="s">
        <v>286</v>
      </c>
      <c r="F73" s="6" t="s">
        <v>287</v>
      </c>
      <c r="G73" s="9">
        <f>IF(A73=1,"_",IF(C73="_","???",C73))</f>
        <v/>
      </c>
      <c r="H73" s="10" t="s">
        <v>11</v>
      </c>
      <c r="I73" s="11" t="s">
        <v>11</v>
      </c>
      <c r="J73" s="12"/>
    </row>
    <row r="74" spans="1:10" ht="60" customHeight="1">
      <c r="A74" s="6" t="s">
        <v>288</v>
      </c>
      <c r="B74" s="6" t="s">
        <v>23</v>
      </c>
      <c r="C74" s="6" t="s">
        <v>289</v>
      </c>
      <c r="D74" s="7" t="s">
        <v>290</v>
      </c>
      <c r="E74" s="8" t="s">
        <v>291</v>
      </c>
      <c r="F74" s="6" t="s">
        <v>292</v>
      </c>
      <c r="G74" s="9">
        <f>IF(A74=1,"_",IF(C74="_","???",C74))</f>
        <v/>
      </c>
      <c r="H74" s="10" t="s">
        <v>11</v>
      </c>
      <c r="I74" s="11" t="s">
        <v>11</v>
      </c>
      <c r="J74" s="12"/>
    </row>
    <row r="75" spans="1:10" ht="60" customHeight="1">
      <c r="A75" s="6" t="s">
        <v>293</v>
      </c>
      <c r="B75" s="6" t="s">
        <v>15</v>
      </c>
      <c r="C75" s="6" t="s">
        <v>11</v>
      </c>
      <c r="D75" s="7" t="s">
        <v>290</v>
      </c>
      <c r="E75" s="8" t="s">
        <v>294</v>
      </c>
      <c r="F75" s="6" t="s">
        <v>295</v>
      </c>
      <c r="G75" s="9">
        <f>IF(A75=1,"_",IF(C75="_","???",C75))</f>
        <v/>
      </c>
      <c r="H75" s="10" t="s">
        <v>11</v>
      </c>
      <c r="I75" s="11" t="s">
        <v>11</v>
      </c>
      <c r="J75" s="12"/>
    </row>
    <row r="76" spans="1:10" ht="60" customHeight="1">
      <c r="A76" s="6" t="s">
        <v>296</v>
      </c>
      <c r="B76" s="6" t="s">
        <v>10</v>
      </c>
      <c r="C76" s="6" t="s">
        <v>11</v>
      </c>
      <c r="D76" s="7" t="s">
        <v>297</v>
      </c>
      <c r="E76" s="8" t="s">
        <v>298</v>
      </c>
      <c r="F76" s="6" t="s">
        <v>299</v>
      </c>
      <c r="G76" s="9">
        <f>IF(A76=1,"_",IF(C76="_","???",C76))</f>
        <v/>
      </c>
      <c r="H76" s="10" t="s">
        <v>11</v>
      </c>
      <c r="I76" s="11" t="s">
        <v>11</v>
      </c>
      <c r="J76" s="12"/>
    </row>
    <row r="77" spans="1:10" ht="60" customHeight="1">
      <c r="A77" s="6" t="s">
        <v>300</v>
      </c>
      <c r="B77" s="6" t="s">
        <v>10</v>
      </c>
      <c r="C77" s="6" t="s">
        <v>11</v>
      </c>
      <c r="D77" s="7" t="s">
        <v>297</v>
      </c>
      <c r="E77" s="8" t="s">
        <v>301</v>
      </c>
      <c r="F77" s="6" t="s">
        <v>302</v>
      </c>
      <c r="G77" s="9">
        <f>IF(A77=1,"_",IF(C77="_","???",C77))</f>
        <v/>
      </c>
      <c r="H77" s="10" t="s">
        <v>11</v>
      </c>
      <c r="I77" s="11" t="s">
        <v>11</v>
      </c>
      <c r="J77" s="12"/>
    </row>
    <row r="78" spans="1:10" ht="60" customHeight="1">
      <c r="A78" s="6" t="s">
        <v>303</v>
      </c>
      <c r="B78" s="6" t="s">
        <v>15</v>
      </c>
      <c r="C78" s="6" t="s">
        <v>11</v>
      </c>
      <c r="D78" s="7" t="s">
        <v>297</v>
      </c>
      <c r="E78" s="8" t="s">
        <v>304</v>
      </c>
      <c r="F78" s="6" t="s">
        <v>305</v>
      </c>
      <c r="G78" s="9">
        <f>IF(A78=1,"_",IF(C78="_","???",C78))</f>
        <v/>
      </c>
      <c r="H78" s="10" t="s">
        <v>11</v>
      </c>
      <c r="I78" s="11" t="s">
        <v>11</v>
      </c>
      <c r="J78" s="12"/>
    </row>
    <row r="79" spans="1:10" ht="60" customHeight="1">
      <c r="A79" s="6" t="s">
        <v>306</v>
      </c>
      <c r="B79" s="6" t="s">
        <v>35</v>
      </c>
      <c r="C79" s="6" t="s">
        <v>11</v>
      </c>
      <c r="D79" s="7" t="s">
        <v>12</v>
      </c>
      <c r="E79" s="8" t="s">
        <v>307</v>
      </c>
      <c r="F79" s="6" t="s">
        <v>308</v>
      </c>
      <c r="G79" s="9">
        <f>IF(A79=1,"_",IF(C79="_","???",C79))</f>
        <v/>
      </c>
      <c r="H79" s="10" t="s">
        <v>11</v>
      </c>
      <c r="I79" s="11" t="s">
        <v>11</v>
      </c>
      <c r="J79" s="12"/>
    </row>
    <row r="80" spans="1:10" ht="60" customHeight="1">
      <c r="A80" s="6" t="s">
        <v>309</v>
      </c>
      <c r="B80" s="6" t="s">
        <v>15</v>
      </c>
      <c r="C80" s="6" t="s">
        <v>11</v>
      </c>
      <c r="D80" s="7" t="s">
        <v>310</v>
      </c>
      <c r="E80" s="8" t="s">
        <v>311</v>
      </c>
      <c r="F80" s="6" t="s">
        <v>312</v>
      </c>
      <c r="G80" s="9">
        <f>IF(A80=1,"_",IF(C80="_","???",C80))</f>
        <v/>
      </c>
      <c r="H80" s="10" t="s">
        <v>11</v>
      </c>
      <c r="I80" s="11" t="s">
        <v>11</v>
      </c>
      <c r="J80" s="12"/>
    </row>
    <row r="81" spans="1:10" ht="60" customHeight="1">
      <c r="A81" s="6" t="s">
        <v>313</v>
      </c>
      <c r="B81" s="6" t="s">
        <v>19</v>
      </c>
      <c r="C81" s="6" t="s">
        <v>11</v>
      </c>
      <c r="D81" s="7" t="s">
        <v>314</v>
      </c>
      <c r="E81" s="8" t="s">
        <v>315</v>
      </c>
      <c r="F81" s="6" t="s">
        <v>316</v>
      </c>
      <c r="G81" s="9">
        <f>IF(A81=1,"_",IF(C81="_","???",C81))</f>
        <v/>
      </c>
      <c r="H81" s="10" t="s">
        <v>11</v>
      </c>
      <c r="I81" s="11" t="s">
        <v>11</v>
      </c>
      <c r="J81" s="12"/>
    </row>
    <row r="82" spans="1:10" ht="60" customHeight="1">
      <c r="A82" s="6" t="s">
        <v>317</v>
      </c>
      <c r="B82" s="6" t="s">
        <v>99</v>
      </c>
      <c r="C82" s="6" t="s">
        <v>11</v>
      </c>
      <c r="D82" s="7" t="s">
        <v>318</v>
      </c>
      <c r="E82" s="8" t="s">
        <v>319</v>
      </c>
      <c r="F82" s="6" t="s">
        <v>320</v>
      </c>
      <c r="G82" s="9">
        <f>IF(A82=1,"_",IF(C82="_","???",C82))</f>
        <v/>
      </c>
      <c r="H82" s="10" t="s">
        <v>11</v>
      </c>
      <c r="I82" s="11" t="s">
        <v>11</v>
      </c>
      <c r="J82" s="12"/>
    </row>
    <row r="83" spans="1:10" ht="60" customHeight="1">
      <c r="A83" s="6" t="s">
        <v>321</v>
      </c>
      <c r="B83" s="6" t="s">
        <v>19</v>
      </c>
      <c r="C83" s="6" t="s">
        <v>11</v>
      </c>
      <c r="D83" s="7" t="s">
        <v>322</v>
      </c>
      <c r="E83" s="8" t="s">
        <v>323</v>
      </c>
      <c r="F83" s="6" t="s">
        <v>324</v>
      </c>
      <c r="G83" s="9">
        <f>IF(A83=1,"_",IF(C83="_","???",C83))</f>
        <v/>
      </c>
      <c r="H83" s="10" t="s">
        <v>11</v>
      </c>
      <c r="I83" s="11" t="s">
        <v>11</v>
      </c>
      <c r="J83" s="12"/>
    </row>
    <row r="84" spans="1:10" ht="60" customHeight="1">
      <c r="A84" s="6" t="s">
        <v>325</v>
      </c>
      <c r="B84" s="6" t="s">
        <v>10</v>
      </c>
      <c r="C84" s="6" t="s">
        <v>11</v>
      </c>
      <c r="D84" s="7" t="s">
        <v>213</v>
      </c>
      <c r="E84" s="8" t="s">
        <v>326</v>
      </c>
      <c r="F84" s="6" t="s">
        <v>327</v>
      </c>
      <c r="G84" s="9">
        <f>IF(A84=1,"_",IF(C84="_","???",C84))</f>
        <v/>
      </c>
      <c r="H84" s="10" t="s">
        <v>11</v>
      </c>
      <c r="I84" s="11" t="s">
        <v>11</v>
      </c>
      <c r="J84" s="12"/>
    </row>
    <row r="85" spans="1:10" ht="60" customHeight="1">
      <c r="A85" s="6" t="s">
        <v>328</v>
      </c>
      <c r="B85" s="6" t="s">
        <v>10</v>
      </c>
      <c r="C85" s="6" t="s">
        <v>11</v>
      </c>
      <c r="D85" s="7" t="s">
        <v>213</v>
      </c>
      <c r="E85" s="8" t="s">
        <v>329</v>
      </c>
      <c r="F85" s="6" t="s">
        <v>330</v>
      </c>
      <c r="G85" s="9">
        <f>IF(A85=1,"_",IF(C85="_","???",C85))</f>
        <v/>
      </c>
      <c r="H85" s="10" t="s">
        <v>11</v>
      </c>
      <c r="I85" s="11" t="s">
        <v>11</v>
      </c>
      <c r="J85" s="12"/>
    </row>
    <row r="86" spans="1:10" ht="60" customHeight="1">
      <c r="A86" s="6" t="s">
        <v>331</v>
      </c>
      <c r="B86" s="6" t="s">
        <v>15</v>
      </c>
      <c r="C86" s="6" t="s">
        <v>11</v>
      </c>
      <c r="D86" s="7" t="s">
        <v>332</v>
      </c>
      <c r="E86" s="8" t="s">
        <v>333</v>
      </c>
      <c r="F86" s="6" t="s">
        <v>334</v>
      </c>
      <c r="G86" s="9">
        <f>IF(A86=1,"_",IF(C86="_","???",C86))</f>
        <v/>
      </c>
      <c r="H86" s="10" t="s">
        <v>11</v>
      </c>
      <c r="I86" s="11" t="s">
        <v>11</v>
      </c>
      <c r="J86" s="12"/>
    </row>
    <row r="87" spans="1:10" ht="60" customHeight="1">
      <c r="A87" s="6" t="s">
        <v>335</v>
      </c>
      <c r="B87" s="6" t="s">
        <v>15</v>
      </c>
      <c r="C87" s="6" t="s">
        <v>11</v>
      </c>
      <c r="D87" s="7" t="s">
        <v>336</v>
      </c>
      <c r="E87" s="8" t="s">
        <v>337</v>
      </c>
      <c r="F87" s="6" t="s">
        <v>338</v>
      </c>
      <c r="G87" s="9">
        <f>IF(A87=1,"_",IF(C87="_","???",C87))</f>
        <v/>
      </c>
      <c r="H87" s="10" t="s">
        <v>11</v>
      </c>
      <c r="I87" s="11" t="s">
        <v>11</v>
      </c>
      <c r="J87" s="12"/>
    </row>
    <row r="88" spans="1:10" ht="60" customHeight="1">
      <c r="A88" s="6" t="s">
        <v>339</v>
      </c>
      <c r="B88" s="6" t="s">
        <v>10</v>
      </c>
      <c r="C88" s="6" t="s">
        <v>11</v>
      </c>
      <c r="D88" s="7" t="s">
        <v>340</v>
      </c>
      <c r="E88" s="8" t="s">
        <v>341</v>
      </c>
      <c r="F88" s="6" t="s">
        <v>342</v>
      </c>
      <c r="G88" s="9">
        <f>IF(A88=1,"_",IF(C88="_","???",C88))</f>
        <v/>
      </c>
      <c r="H88" s="10" t="s">
        <v>11</v>
      </c>
      <c r="I88" s="11" t="s">
        <v>11</v>
      </c>
      <c r="J88" s="12"/>
    </row>
    <row r="89" spans="1:10" ht="60" customHeight="1">
      <c r="A89" s="6" t="s">
        <v>343</v>
      </c>
      <c r="B89" s="6" t="s">
        <v>15</v>
      </c>
      <c r="C89" s="6" t="s">
        <v>11</v>
      </c>
      <c r="D89" s="7" t="s">
        <v>344</v>
      </c>
      <c r="E89" s="8" t="s">
        <v>345</v>
      </c>
      <c r="F89" s="6" t="s">
        <v>346</v>
      </c>
      <c r="G89" s="9">
        <f>IF(A89=1,"_",IF(C89="_","???",C89))</f>
        <v/>
      </c>
      <c r="H89" s="10" t="s">
        <v>11</v>
      </c>
      <c r="I89" s="11" t="s">
        <v>11</v>
      </c>
      <c r="J89" s="12"/>
    </row>
    <row r="90" spans="1:10" ht="60" customHeight="1">
      <c r="A90" s="6" t="s">
        <v>347</v>
      </c>
      <c r="B90" s="6" t="s">
        <v>19</v>
      </c>
      <c r="C90" s="6" t="s">
        <v>289</v>
      </c>
      <c r="D90" s="7" t="s">
        <v>196</v>
      </c>
      <c r="E90" s="8" t="s">
        <v>348</v>
      </c>
      <c r="F90" s="6" t="s">
        <v>349</v>
      </c>
      <c r="G90" s="9">
        <f>IF(A90=1,"_",IF(C90="_","???",C90))</f>
        <v/>
      </c>
      <c r="H90" s="10" t="s">
        <v>11</v>
      </c>
      <c r="I90" s="11" t="s">
        <v>11</v>
      </c>
      <c r="J90" s="12"/>
    </row>
    <row r="91" spans="1:10" ht="60" customHeight="1">
      <c r="A91" s="6" t="s">
        <v>350</v>
      </c>
      <c r="B91" s="6" t="s">
        <v>19</v>
      </c>
      <c r="C91" s="6" t="s">
        <v>11</v>
      </c>
      <c r="D91" s="7" t="s">
        <v>322</v>
      </c>
      <c r="E91" s="8" t="s">
        <v>351</v>
      </c>
      <c r="F91" s="6" t="s">
        <v>352</v>
      </c>
      <c r="G91" s="9">
        <f>IF(A91=1,"_",IF(C91="_","???",C91))</f>
        <v/>
      </c>
      <c r="H91" s="10" t="s">
        <v>11</v>
      </c>
      <c r="I91" s="11" t="s">
        <v>11</v>
      </c>
      <c r="J91" s="12"/>
    </row>
    <row r="92" spans="1:10" ht="60" customHeight="1">
      <c r="A92" s="6" t="s">
        <v>353</v>
      </c>
      <c r="B92" s="6" t="s">
        <v>15</v>
      </c>
      <c r="C92" s="6" t="s">
        <v>11</v>
      </c>
      <c r="D92" s="7" t="s">
        <v>354</v>
      </c>
      <c r="E92" s="8" t="s">
        <v>355</v>
      </c>
      <c r="F92" s="6" t="s">
        <v>356</v>
      </c>
      <c r="G92" s="9">
        <f>IF(A92=1,"_",IF(C92="_","???",C92))</f>
        <v/>
      </c>
      <c r="H92" s="10" t="s">
        <v>11</v>
      </c>
      <c r="I92" s="11" t="s">
        <v>11</v>
      </c>
      <c r="J92" s="12"/>
    </row>
    <row r="93" spans="1:10" ht="60" customHeight="1">
      <c r="A93" s="6" t="s">
        <v>357</v>
      </c>
      <c r="B93" s="6" t="s">
        <v>15</v>
      </c>
      <c r="C93" s="6" t="s">
        <v>11</v>
      </c>
      <c r="D93" s="7" t="s">
        <v>358</v>
      </c>
      <c r="E93" s="8" t="s">
        <v>359</v>
      </c>
      <c r="F93" s="6" t="s">
        <v>360</v>
      </c>
      <c r="G93" s="9">
        <f>IF(A93=1,"_",IF(C93="_","???",C93))</f>
        <v/>
      </c>
      <c r="H93" s="10" t="s">
        <v>11</v>
      </c>
      <c r="I93" s="11" t="s">
        <v>11</v>
      </c>
      <c r="J93" s="12"/>
    </row>
    <row r="94" spans="1:10" ht="60" customHeight="1">
      <c r="A94" s="6" t="s">
        <v>361</v>
      </c>
      <c r="B94" s="6" t="s">
        <v>15</v>
      </c>
      <c r="C94" s="6" t="s">
        <v>11</v>
      </c>
      <c r="D94" s="7" t="s">
        <v>322</v>
      </c>
      <c r="E94" s="8" t="s">
        <v>362</v>
      </c>
      <c r="F94" s="6" t="s">
        <v>363</v>
      </c>
      <c r="G94" s="9">
        <f>IF(A94=1,"_",IF(C94="_","???",C94))</f>
        <v/>
      </c>
      <c r="H94" s="10" t="s">
        <v>11</v>
      </c>
      <c r="I94" s="11" t="s">
        <v>11</v>
      </c>
      <c r="J94" s="12"/>
    </row>
    <row r="95" spans="1:10" ht="60" customHeight="1">
      <c r="A95" s="6" t="s">
        <v>364</v>
      </c>
      <c r="B95" s="6" t="s">
        <v>27</v>
      </c>
      <c r="C95" s="6" t="s">
        <v>11</v>
      </c>
      <c r="D95" s="7" t="s">
        <v>365</v>
      </c>
      <c r="E95" s="8" t="s">
        <v>366</v>
      </c>
      <c r="F95" s="6" t="s">
        <v>367</v>
      </c>
      <c r="G95" s="9">
        <f>IF(A95=1,"_",IF(C95="_","???",C95))</f>
        <v/>
      </c>
      <c r="H95" s="10" t="s">
        <v>11</v>
      </c>
      <c r="I95" s="11" t="s">
        <v>11</v>
      </c>
      <c r="J95" s="12"/>
    </row>
    <row r="96" spans="1:10" ht="60" customHeight="1">
      <c r="A96" s="6" t="s">
        <v>368</v>
      </c>
      <c r="B96" s="6" t="s">
        <v>35</v>
      </c>
      <c r="C96" s="6" t="s">
        <v>11</v>
      </c>
      <c r="D96" s="7" t="s">
        <v>16</v>
      </c>
      <c r="E96" s="8" t="s">
        <v>369</v>
      </c>
      <c r="F96" s="6" t="s">
        <v>370</v>
      </c>
      <c r="G96" s="9">
        <f>IF(A96=1,"_",IF(C96="_","???",C96))</f>
        <v/>
      </c>
      <c r="H96" s="10" t="s">
        <v>11</v>
      </c>
      <c r="I96" s="11" t="s">
        <v>11</v>
      </c>
      <c r="J96" s="12"/>
    </row>
    <row r="97" spans="1:10" ht="60" customHeight="1">
      <c r="A97" s="6" t="s">
        <v>371</v>
      </c>
      <c r="B97" s="6" t="s">
        <v>35</v>
      </c>
      <c r="C97" s="6" t="s">
        <v>289</v>
      </c>
      <c r="D97" s="7" t="s">
        <v>372</v>
      </c>
      <c r="E97" s="8" t="s">
        <v>373</v>
      </c>
      <c r="F97" s="6" t="s">
        <v>374</v>
      </c>
      <c r="G97" s="9">
        <f>IF(A97=1,"_",IF(C97="_","???",C97))</f>
        <v/>
      </c>
      <c r="H97" s="10" t="s">
        <v>11</v>
      </c>
      <c r="I97" s="11" t="s">
        <v>11</v>
      </c>
      <c r="J97" s="12"/>
    </row>
    <row r="98" spans="1:10" ht="60" customHeight="1">
      <c r="A98" s="6" t="s">
        <v>375</v>
      </c>
      <c r="B98" s="6" t="s">
        <v>19</v>
      </c>
      <c r="C98" s="6" t="s">
        <v>11</v>
      </c>
      <c r="D98" s="7" t="s">
        <v>376</v>
      </c>
      <c r="E98" s="8" t="s">
        <v>377</v>
      </c>
      <c r="F98" s="6" t="s">
        <v>378</v>
      </c>
      <c r="G98" s="9">
        <f>IF(A98=1,"_",IF(C98="_","???",C98))</f>
        <v/>
      </c>
      <c r="H98" s="10" t="s">
        <v>11</v>
      </c>
      <c r="I98" s="11" t="s">
        <v>11</v>
      </c>
      <c r="J98" s="12"/>
    </row>
    <row r="99" spans="1:10" ht="60" customHeight="1">
      <c r="A99" s="6" t="s">
        <v>379</v>
      </c>
      <c r="B99" s="6" t="s">
        <v>40</v>
      </c>
      <c r="C99" s="6" t="s">
        <v>11</v>
      </c>
      <c r="D99" s="7" t="s">
        <v>380</v>
      </c>
      <c r="E99" s="8" t="s">
        <v>381</v>
      </c>
      <c r="F99" s="6" t="s">
        <v>382</v>
      </c>
      <c r="G99" s="9">
        <f>IF(A99=1,"_",IF(C99="_","???",C99))</f>
        <v/>
      </c>
      <c r="H99" s="10" t="s">
        <v>11</v>
      </c>
      <c r="I99" s="11" t="s">
        <v>11</v>
      </c>
      <c r="J99" s="12"/>
    </row>
    <row r="100" spans="1:10" ht="60" customHeight="1">
      <c r="A100" s="6" t="s">
        <v>383</v>
      </c>
      <c r="B100" s="6" t="s">
        <v>384</v>
      </c>
      <c r="C100" s="6" t="s">
        <v>11</v>
      </c>
      <c r="D100" s="7" t="s">
        <v>385</v>
      </c>
      <c r="E100" s="8" t="s">
        <v>386</v>
      </c>
      <c r="F100" s="6" t="s">
        <v>387</v>
      </c>
      <c r="G100" s="9">
        <f>IF(A100=1,"_",IF(C100="_","???",C100))</f>
        <v/>
      </c>
      <c r="H100" s="10" t="s">
        <v>11</v>
      </c>
      <c r="I100" s="11" t="s">
        <v>11</v>
      </c>
      <c r="J100" s="12"/>
    </row>
    <row r="101" spans="1:10" ht="60" customHeight="1">
      <c r="A101" s="6" t="s">
        <v>388</v>
      </c>
      <c r="B101" s="6" t="s">
        <v>15</v>
      </c>
      <c r="C101" s="6" t="s">
        <v>11</v>
      </c>
      <c r="D101" s="7" t="s">
        <v>322</v>
      </c>
      <c r="E101" s="8" t="s">
        <v>389</v>
      </c>
      <c r="F101" s="6" t="s">
        <v>390</v>
      </c>
      <c r="G101" s="9">
        <f>IF(A101=1,"_",IF(C101="_","???",C101))</f>
        <v/>
      </c>
      <c r="H101" s="10" t="s">
        <v>11</v>
      </c>
      <c r="I101" s="11" t="s">
        <v>11</v>
      </c>
      <c r="J101" s="12"/>
    </row>
    <row r="102" spans="1:10" ht="60" customHeight="1">
      <c r="A102" s="6" t="s">
        <v>391</v>
      </c>
      <c r="B102" s="6" t="s">
        <v>23</v>
      </c>
      <c r="C102" s="6" t="s">
        <v>11</v>
      </c>
      <c r="D102" s="7" t="s">
        <v>392</v>
      </c>
      <c r="E102" s="8" t="s">
        <v>393</v>
      </c>
      <c r="F102" s="6" t="s">
        <v>394</v>
      </c>
      <c r="G102" s="9">
        <f>IF(A102=1,"_",IF(C102="_","???",C102))</f>
        <v/>
      </c>
      <c r="H102" s="10" t="s">
        <v>11</v>
      </c>
      <c r="I102" s="11" t="s">
        <v>11</v>
      </c>
      <c r="J102" s="12"/>
    </row>
    <row r="103" spans="1:10" ht="60" customHeight="1">
      <c r="A103" s="6" t="s">
        <v>395</v>
      </c>
      <c r="B103" s="6" t="s">
        <v>15</v>
      </c>
      <c r="C103" s="6" t="s">
        <v>11</v>
      </c>
      <c r="D103" s="7" t="s">
        <v>108</v>
      </c>
      <c r="E103" s="8" t="s">
        <v>396</v>
      </c>
      <c r="F103" s="6" t="s">
        <v>397</v>
      </c>
      <c r="G103" s="9">
        <f>IF(A103=1,"_",IF(C103="_","???",C103))</f>
        <v/>
      </c>
      <c r="H103" s="10" t="s">
        <v>11</v>
      </c>
      <c r="I103" s="11" t="s">
        <v>11</v>
      </c>
      <c r="J103" s="12"/>
    </row>
    <row r="104" spans="1:10" ht="60" customHeight="1">
      <c r="A104" s="6" t="s">
        <v>398</v>
      </c>
      <c r="B104" s="6" t="s">
        <v>19</v>
      </c>
      <c r="C104" s="6" t="s">
        <v>11</v>
      </c>
      <c r="D104" s="7" t="s">
        <v>399</v>
      </c>
      <c r="E104" s="8" t="s">
        <v>400</v>
      </c>
      <c r="F104" s="6" t="s">
        <v>401</v>
      </c>
      <c r="G104" s="9">
        <f>IF(A104=1,"_",IF(C104="_","???",C104))</f>
        <v/>
      </c>
      <c r="H104" s="10" t="s">
        <v>11</v>
      </c>
      <c r="I104" s="11" t="s">
        <v>11</v>
      </c>
      <c r="J104" s="12"/>
    </row>
    <row r="105" spans="1:10" ht="60" customHeight="1">
      <c r="A105" s="6" t="s">
        <v>402</v>
      </c>
      <c r="B105" s="6" t="s">
        <v>23</v>
      </c>
      <c r="C105" s="6" t="s">
        <v>11</v>
      </c>
      <c r="D105" s="7" t="s">
        <v>322</v>
      </c>
      <c r="E105" s="8" t="s">
        <v>403</v>
      </c>
      <c r="F105" s="6" t="s">
        <v>404</v>
      </c>
      <c r="G105" s="9">
        <f>IF(A105=1,"_",IF(C105="_","???",C105))</f>
        <v/>
      </c>
      <c r="H105" s="10" t="s">
        <v>11</v>
      </c>
      <c r="I105" s="11" t="s">
        <v>11</v>
      </c>
      <c r="J105" s="12"/>
    </row>
    <row r="106" spans="1:10" ht="60" customHeight="1">
      <c r="A106" s="6" t="s">
        <v>405</v>
      </c>
      <c r="B106" s="6" t="s">
        <v>10</v>
      </c>
      <c r="C106" s="6" t="s">
        <v>11</v>
      </c>
      <c r="D106" s="7" t="s">
        <v>372</v>
      </c>
      <c r="E106" s="8" t="s">
        <v>406</v>
      </c>
      <c r="F106" s="6" t="s">
        <v>407</v>
      </c>
      <c r="G106" s="9">
        <f>IF(A106=1,"_",IF(C106="_","???",C106))</f>
        <v/>
      </c>
      <c r="H106" s="10" t="s">
        <v>11</v>
      </c>
      <c r="I106" s="11" t="s">
        <v>11</v>
      </c>
      <c r="J106" s="12"/>
    </row>
    <row r="107" spans="1:10" ht="60" customHeight="1">
      <c r="A107" s="6" t="s">
        <v>408</v>
      </c>
      <c r="B107" s="6" t="s">
        <v>39</v>
      </c>
      <c r="C107" s="6" t="s">
        <v>11</v>
      </c>
      <c r="D107" s="7" t="s">
        <v>68</v>
      </c>
      <c r="E107" s="8" t="s">
        <v>409</v>
      </c>
      <c r="F107" s="6" t="s">
        <v>410</v>
      </c>
      <c r="G107" s="9">
        <f>IF(A107=1,"_",IF(C107="_","???",C107))</f>
        <v/>
      </c>
      <c r="H107" s="10" t="s">
        <v>11</v>
      </c>
      <c r="I107" s="11" t="s">
        <v>11</v>
      </c>
      <c r="J107" s="12"/>
    </row>
    <row r="108" spans="1:10" ht="60" customHeight="1">
      <c r="A108" s="6" t="s">
        <v>411</v>
      </c>
      <c r="B108" s="6" t="s">
        <v>60</v>
      </c>
      <c r="C108" s="6" t="s">
        <v>11</v>
      </c>
      <c r="D108" s="7" t="s">
        <v>230</v>
      </c>
      <c r="E108" s="8" t="s">
        <v>412</v>
      </c>
      <c r="F108" s="6" t="s">
        <v>413</v>
      </c>
      <c r="G108" s="9">
        <f>IF(A108=1,"_",IF(C108="_","???",C108))</f>
        <v/>
      </c>
      <c r="H108" s="10" t="s">
        <v>11</v>
      </c>
      <c r="I108" s="11" t="s">
        <v>11</v>
      </c>
      <c r="J108" s="12"/>
    </row>
    <row r="109" spans="1:10" ht="60" customHeight="1">
      <c r="A109" s="6" t="s">
        <v>414</v>
      </c>
      <c r="B109" s="6" t="s">
        <v>40</v>
      </c>
      <c r="C109" s="6" t="s">
        <v>11</v>
      </c>
      <c r="D109" s="7" t="s">
        <v>415</v>
      </c>
      <c r="E109" s="8" t="s">
        <v>416</v>
      </c>
      <c r="F109" s="6" t="s">
        <v>417</v>
      </c>
      <c r="G109" s="9">
        <f>IF(A109=1,"_",IF(C109="_","???",C109))</f>
        <v/>
      </c>
      <c r="H109" s="10" t="s">
        <v>11</v>
      </c>
      <c r="I109" s="11" t="s">
        <v>11</v>
      </c>
      <c r="J109" s="12"/>
    </row>
    <row r="110" spans="1:10" ht="60" customHeight="1">
      <c r="A110" s="6" t="s">
        <v>418</v>
      </c>
      <c r="B110" s="6" t="s">
        <v>19</v>
      </c>
      <c r="C110" s="6" t="s">
        <v>11</v>
      </c>
      <c r="D110" s="7" t="s">
        <v>419</v>
      </c>
      <c r="E110" s="8" t="s">
        <v>420</v>
      </c>
      <c r="F110" s="6" t="s">
        <v>421</v>
      </c>
      <c r="G110" s="9">
        <f>IF(A110=1,"_",IF(C110="_","???",C110))</f>
        <v/>
      </c>
      <c r="H110" s="10" t="s">
        <v>11</v>
      </c>
      <c r="I110" s="11" t="s">
        <v>11</v>
      </c>
      <c r="J110" s="12"/>
    </row>
    <row r="111" spans="1:10" ht="60" customHeight="1">
      <c r="A111" s="6" t="s">
        <v>422</v>
      </c>
      <c r="B111" s="6" t="s">
        <v>142</v>
      </c>
      <c r="C111" s="6" t="s">
        <v>11</v>
      </c>
      <c r="D111" s="7" t="s">
        <v>16</v>
      </c>
      <c r="E111" s="8" t="s">
        <v>423</v>
      </c>
      <c r="F111" s="6" t="s">
        <v>424</v>
      </c>
      <c r="G111" s="9">
        <f>IF(A111=1,"_",IF(C111="_","???",C111))</f>
        <v/>
      </c>
      <c r="H111" s="10" t="s">
        <v>11</v>
      </c>
      <c r="I111" s="11" t="s">
        <v>11</v>
      </c>
      <c r="J111" s="12"/>
    </row>
    <row r="112" spans="1:10" ht="60" customHeight="1">
      <c r="A112" s="6" t="s">
        <v>425</v>
      </c>
      <c r="B112" s="6" t="s">
        <v>10</v>
      </c>
      <c r="C112" s="6" t="s">
        <v>11</v>
      </c>
      <c r="D112" s="7" t="s">
        <v>16</v>
      </c>
      <c r="E112" s="8" t="s">
        <v>426</v>
      </c>
      <c r="F112" s="6" t="s">
        <v>427</v>
      </c>
      <c r="G112" s="9">
        <f>IF(A112=1,"_",IF(C112="_","???",C112))</f>
        <v/>
      </c>
      <c r="H112" s="10" t="s">
        <v>11</v>
      </c>
      <c r="I112" s="11" t="s">
        <v>11</v>
      </c>
      <c r="J112" s="12"/>
    </row>
    <row r="113" spans="1:10" ht="60" customHeight="1">
      <c r="A113" s="6" t="s">
        <v>428</v>
      </c>
      <c r="B113" s="6" t="s">
        <v>10</v>
      </c>
      <c r="C113" s="6" t="s">
        <v>11</v>
      </c>
      <c r="D113" s="7" t="s">
        <v>429</v>
      </c>
      <c r="E113" s="8" t="s">
        <v>430</v>
      </c>
      <c r="F113" s="6" t="s">
        <v>431</v>
      </c>
      <c r="G113" s="9">
        <f>IF(A113=1,"_",IF(C113="_","???",C113))</f>
        <v/>
      </c>
      <c r="H113" s="10" t="s">
        <v>11</v>
      </c>
      <c r="I113" s="11" t="s">
        <v>11</v>
      </c>
      <c r="J113" s="12"/>
    </row>
    <row r="114" spans="1:10" ht="60" customHeight="1">
      <c r="A114" s="6" t="s">
        <v>432</v>
      </c>
      <c r="B114" s="6" t="s">
        <v>23</v>
      </c>
      <c r="C114" s="6" t="s">
        <v>11</v>
      </c>
      <c r="D114" s="7" t="s">
        <v>213</v>
      </c>
      <c r="E114" s="8" t="s">
        <v>433</v>
      </c>
      <c r="F114" s="6" t="s">
        <v>434</v>
      </c>
      <c r="G114" s="9">
        <f>IF(A114=1,"_",IF(C114="_","???",C114))</f>
        <v/>
      </c>
      <c r="H114" s="10" t="s">
        <v>11</v>
      </c>
      <c r="I114" s="11" t="s">
        <v>11</v>
      </c>
      <c r="J114" s="12"/>
    </row>
    <row r="115" spans="1:10" ht="60" customHeight="1">
      <c r="A115" s="6" t="s">
        <v>435</v>
      </c>
      <c r="B115" s="6" t="s">
        <v>19</v>
      </c>
      <c r="C115" s="6" t="s">
        <v>11</v>
      </c>
      <c r="D115" s="7" t="s">
        <v>436</v>
      </c>
      <c r="E115" s="8" t="s">
        <v>437</v>
      </c>
      <c r="F115" s="6" t="s">
        <v>438</v>
      </c>
      <c r="G115" s="9">
        <f>IF(A115=1,"_",IF(C115="_","???",C115))</f>
        <v/>
      </c>
      <c r="H115" s="10" t="s">
        <v>11</v>
      </c>
      <c r="I115" s="11" t="s">
        <v>11</v>
      </c>
      <c r="J115" s="12"/>
    </row>
    <row r="116" spans="1:10" ht="60" customHeight="1">
      <c r="A116" s="6" t="s">
        <v>439</v>
      </c>
      <c r="B116" s="6" t="s">
        <v>10</v>
      </c>
      <c r="C116" s="6" t="s">
        <v>11</v>
      </c>
      <c r="D116" s="7" t="s">
        <v>440</v>
      </c>
      <c r="E116" s="8" t="s">
        <v>441</v>
      </c>
      <c r="F116" s="6" t="s">
        <v>442</v>
      </c>
      <c r="G116" s="9">
        <f>IF(A116=1,"_",IF(C116="_","???",C116))</f>
        <v/>
      </c>
      <c r="H116" s="10" t="s">
        <v>11</v>
      </c>
      <c r="I116" s="11" t="s">
        <v>11</v>
      </c>
      <c r="J116" s="12"/>
    </row>
    <row r="117" spans="1:10" ht="60" customHeight="1">
      <c r="A117" s="6" t="s">
        <v>443</v>
      </c>
      <c r="B117" s="6" t="s">
        <v>27</v>
      </c>
      <c r="C117" s="6" t="s">
        <v>11</v>
      </c>
      <c r="D117" s="7" t="s">
        <v>68</v>
      </c>
      <c r="E117" s="8" t="s">
        <v>444</v>
      </c>
      <c r="F117" s="6" t="s">
        <v>445</v>
      </c>
      <c r="G117" s="9">
        <f>IF(A117=1,"_",IF(C117="_","???",C117))</f>
        <v/>
      </c>
      <c r="H117" s="10" t="s">
        <v>11</v>
      </c>
      <c r="I117" s="11" t="s">
        <v>11</v>
      </c>
      <c r="J117" s="12"/>
    </row>
    <row r="118" spans="1:10" ht="60" customHeight="1">
      <c r="A118" s="6" t="s">
        <v>446</v>
      </c>
      <c r="B118" s="6" t="s">
        <v>447</v>
      </c>
      <c r="C118" s="6" t="s">
        <v>11</v>
      </c>
      <c r="D118" s="7" t="s">
        <v>448</v>
      </c>
      <c r="E118" s="8" t="s">
        <v>449</v>
      </c>
      <c r="F118" s="6" t="s">
        <v>450</v>
      </c>
      <c r="G118" s="9">
        <f>IF(A118=1,"_",IF(C118="_","???",C118))</f>
        <v/>
      </c>
      <c r="H118" s="10" t="s">
        <v>11</v>
      </c>
      <c r="I118" s="11" t="s">
        <v>11</v>
      </c>
      <c r="J118" s="12"/>
    </row>
    <row r="119" spans="1:10" ht="60" customHeight="1">
      <c r="A119" s="6" t="s">
        <v>451</v>
      </c>
      <c r="B119" s="6" t="s">
        <v>23</v>
      </c>
      <c r="C119" s="6" t="s">
        <v>11</v>
      </c>
      <c r="D119" s="7" t="s">
        <v>68</v>
      </c>
      <c r="E119" s="8" t="s">
        <v>452</v>
      </c>
      <c r="F119" s="6" t="s">
        <v>453</v>
      </c>
      <c r="G119" s="9">
        <f>IF(A119=1,"_",IF(C119="_","???",C119))</f>
        <v/>
      </c>
      <c r="H119" s="10" t="s">
        <v>11</v>
      </c>
      <c r="I119" s="11" t="s">
        <v>11</v>
      </c>
      <c r="J119" s="12"/>
    </row>
    <row r="120" spans="1:10" ht="60" customHeight="1">
      <c r="A120" s="6" t="s">
        <v>454</v>
      </c>
      <c r="B120" s="6" t="s">
        <v>45</v>
      </c>
      <c r="C120" s="6" t="s">
        <v>11</v>
      </c>
      <c r="D120" s="7" t="s">
        <v>455</v>
      </c>
      <c r="E120" s="8" t="s">
        <v>456</v>
      </c>
      <c r="F120" s="6" t="s">
        <v>457</v>
      </c>
      <c r="G120" s="9">
        <f>IF(A120=1,"_",IF(C120="_","???",C120))</f>
        <v/>
      </c>
      <c r="H120" s="10" t="s">
        <v>11</v>
      </c>
      <c r="I120" s="11" t="s">
        <v>11</v>
      </c>
      <c r="J120" s="12"/>
    </row>
    <row r="121" spans="1:10" ht="60" customHeight="1">
      <c r="A121" s="6" t="s">
        <v>458</v>
      </c>
      <c r="B121" s="6" t="s">
        <v>35</v>
      </c>
      <c r="C121" s="6" t="s">
        <v>11</v>
      </c>
      <c r="D121" s="7" t="s">
        <v>230</v>
      </c>
      <c r="E121" s="8" t="s">
        <v>459</v>
      </c>
      <c r="F121" s="6" t="s">
        <v>460</v>
      </c>
      <c r="G121" s="9">
        <f>IF(A121=1,"_",IF(C121="_","???",C121))</f>
        <v/>
      </c>
      <c r="H121" s="10" t="s">
        <v>11</v>
      </c>
      <c r="I121" s="11" t="s">
        <v>11</v>
      </c>
      <c r="J121" s="12"/>
    </row>
    <row r="122" spans="1:10" ht="60" customHeight="1">
      <c r="A122" s="6" t="s">
        <v>461</v>
      </c>
      <c r="B122" s="6" t="s">
        <v>23</v>
      </c>
      <c r="C122" s="6" t="s">
        <v>11</v>
      </c>
      <c r="D122" s="7" t="s">
        <v>264</v>
      </c>
      <c r="E122" s="8" t="s">
        <v>462</v>
      </c>
      <c r="F122" s="6" t="s">
        <v>463</v>
      </c>
      <c r="G122" s="9">
        <f>IF(A122=1,"_",IF(C122="_","???",C122))</f>
        <v/>
      </c>
      <c r="H122" s="10" t="s">
        <v>11</v>
      </c>
      <c r="I122" s="11" t="s">
        <v>11</v>
      </c>
      <c r="J122" s="12"/>
    </row>
    <row r="123" spans="1:10" ht="60" customHeight="1">
      <c r="A123" s="6" t="s">
        <v>464</v>
      </c>
      <c r="B123" s="6" t="s">
        <v>40</v>
      </c>
      <c r="C123" s="6" t="s">
        <v>11</v>
      </c>
      <c r="D123" s="7" t="s">
        <v>234</v>
      </c>
      <c r="E123" s="8" t="s">
        <v>465</v>
      </c>
      <c r="F123" s="6" t="s">
        <v>466</v>
      </c>
      <c r="G123" s="9">
        <f>IF(A123=1,"_",IF(C123="_","???",C123))</f>
        <v/>
      </c>
      <c r="H123" s="10" t="s">
        <v>11</v>
      </c>
      <c r="I123" s="11" t="s">
        <v>11</v>
      </c>
      <c r="J123" s="12"/>
    </row>
    <row r="124" spans="1:10" ht="60" customHeight="1">
      <c r="A124" s="6" t="s">
        <v>467</v>
      </c>
      <c r="B124" s="6" t="s">
        <v>15</v>
      </c>
      <c r="C124" s="6" t="s">
        <v>11</v>
      </c>
      <c r="D124" s="7" t="s">
        <v>64</v>
      </c>
      <c r="E124" s="8" t="s">
        <v>468</v>
      </c>
      <c r="F124" s="6" t="s">
        <v>469</v>
      </c>
      <c r="G124" s="9">
        <f>IF(A124=1,"_",IF(C124="_","???",C124))</f>
        <v/>
      </c>
      <c r="H124" s="10" t="s">
        <v>11</v>
      </c>
      <c r="I124" s="11" t="s">
        <v>11</v>
      </c>
      <c r="J124" s="12"/>
    </row>
    <row r="125" spans="1:10" ht="60" customHeight="1">
      <c r="A125" s="6" t="s">
        <v>470</v>
      </c>
      <c r="B125" s="6" t="s">
        <v>31</v>
      </c>
      <c r="C125" s="6" t="s">
        <v>11</v>
      </c>
      <c r="D125" s="7" t="s">
        <v>213</v>
      </c>
      <c r="E125" s="8" t="s">
        <v>471</v>
      </c>
      <c r="F125" s="6" t="s">
        <v>472</v>
      </c>
      <c r="G125" s="9">
        <f>IF(A125=1,"_",IF(C125="_","???",C125))</f>
        <v/>
      </c>
      <c r="H125" s="10" t="s">
        <v>11</v>
      </c>
      <c r="I125" s="11" t="s">
        <v>11</v>
      </c>
      <c r="J125" s="12"/>
    </row>
    <row r="126" spans="1:10" ht="60" customHeight="1">
      <c r="A126" s="6" t="s">
        <v>473</v>
      </c>
      <c r="B126" s="6" t="s">
        <v>15</v>
      </c>
      <c r="C126" s="6" t="s">
        <v>11</v>
      </c>
      <c r="D126" s="7" t="s">
        <v>318</v>
      </c>
      <c r="E126" s="8" t="s">
        <v>474</v>
      </c>
      <c r="F126" s="6" t="s">
        <v>475</v>
      </c>
      <c r="G126" s="9">
        <f>IF(A126=1,"_",IF(C126="_","???",C126))</f>
        <v/>
      </c>
      <c r="H126" s="10" t="s">
        <v>11</v>
      </c>
      <c r="I126" s="11" t="s">
        <v>11</v>
      </c>
      <c r="J126" s="12"/>
    </row>
    <row r="127" spans="1:10" ht="60" customHeight="1">
      <c r="A127" s="6" t="s">
        <v>476</v>
      </c>
      <c r="B127" s="6" t="s">
        <v>10</v>
      </c>
      <c r="C127" s="6" t="s">
        <v>11</v>
      </c>
      <c r="D127" s="7" t="s">
        <v>477</v>
      </c>
      <c r="E127" s="8" t="s">
        <v>478</v>
      </c>
      <c r="F127" s="6" t="s">
        <v>479</v>
      </c>
      <c r="G127" s="9">
        <f>IF(A127=1,"_",IF(C127="_","???",C127))</f>
        <v/>
      </c>
      <c r="H127" s="10" t="s">
        <v>11</v>
      </c>
      <c r="I127" s="11" t="s">
        <v>11</v>
      </c>
      <c r="J127" s="12"/>
    </row>
    <row r="128" spans="1:10" ht="60" customHeight="1">
      <c r="A128" s="6" t="s">
        <v>480</v>
      </c>
      <c r="B128" s="6" t="s">
        <v>39</v>
      </c>
      <c r="C128" s="6" t="s">
        <v>11</v>
      </c>
      <c r="D128" s="7" t="s">
        <v>318</v>
      </c>
      <c r="E128" s="8" t="s">
        <v>481</v>
      </c>
      <c r="F128" s="6" t="s">
        <v>482</v>
      </c>
      <c r="G128" s="9">
        <f>IF(A128=1,"_",IF(C128="_","???",C128))</f>
        <v/>
      </c>
      <c r="H128" s="10" t="s">
        <v>11</v>
      </c>
      <c r="I128" s="11" t="s">
        <v>11</v>
      </c>
      <c r="J128" s="12"/>
    </row>
    <row r="129" spans="1:10" ht="60" customHeight="1">
      <c r="A129" s="6" t="s">
        <v>483</v>
      </c>
      <c r="B129" s="6" t="s">
        <v>35</v>
      </c>
      <c r="C129" s="6" t="s">
        <v>11</v>
      </c>
      <c r="D129" s="7" t="s">
        <v>484</v>
      </c>
      <c r="E129" s="8" t="s">
        <v>485</v>
      </c>
      <c r="F129" s="6" t="s">
        <v>486</v>
      </c>
      <c r="G129" s="9">
        <f>IF(A129=1,"_",IF(C129="_","???",C129))</f>
        <v/>
      </c>
      <c r="H129" s="10" t="s">
        <v>11</v>
      </c>
      <c r="I129" s="11" t="s">
        <v>11</v>
      </c>
      <c r="J129" s="12"/>
    </row>
    <row r="130" spans="1:10" ht="60" customHeight="1">
      <c r="A130" s="6" t="s">
        <v>487</v>
      </c>
      <c r="B130" s="6" t="s">
        <v>10</v>
      </c>
      <c r="C130" s="6" t="s">
        <v>11</v>
      </c>
      <c r="D130" s="7" t="s">
        <v>12</v>
      </c>
      <c r="E130" s="8" t="s">
        <v>488</v>
      </c>
      <c r="F130" s="6" t="s">
        <v>489</v>
      </c>
      <c r="G130" s="9">
        <f>IF(A130=1,"_",IF(C130="_","???",C130))</f>
        <v/>
      </c>
      <c r="H130" s="10" t="s">
        <v>11</v>
      </c>
      <c r="I130" s="11" t="s">
        <v>11</v>
      </c>
      <c r="J130" s="12"/>
    </row>
    <row r="131" spans="1:10" ht="60" customHeight="1">
      <c r="A131" s="6" t="s">
        <v>490</v>
      </c>
      <c r="B131" s="6" t="s">
        <v>178</v>
      </c>
      <c r="C131" s="6" t="s">
        <v>11</v>
      </c>
      <c r="D131" s="7" t="s">
        <v>491</v>
      </c>
      <c r="E131" s="8" t="s">
        <v>492</v>
      </c>
      <c r="F131" s="6" t="s">
        <v>493</v>
      </c>
      <c r="G131" s="9">
        <f>IF(A131=1,"_",IF(C131="_","???",C131))</f>
        <v/>
      </c>
      <c r="H131" s="10" t="s">
        <v>11</v>
      </c>
      <c r="I131" s="11" t="s">
        <v>11</v>
      </c>
      <c r="J131" s="12"/>
    </row>
    <row r="132" spans="1:10" ht="60" customHeight="1">
      <c r="A132" s="6" t="s">
        <v>494</v>
      </c>
      <c r="B132" s="6" t="s">
        <v>10</v>
      </c>
      <c r="C132" s="6" t="s">
        <v>11</v>
      </c>
      <c r="D132" s="7" t="s">
        <v>344</v>
      </c>
      <c r="E132" s="8" t="s">
        <v>495</v>
      </c>
      <c r="F132" s="6" t="s">
        <v>496</v>
      </c>
      <c r="G132" s="9">
        <f>IF(A132=1,"_",IF(C132="_","???",C132))</f>
        <v/>
      </c>
      <c r="H132" s="10" t="s">
        <v>11</v>
      </c>
      <c r="I132" s="11" t="s">
        <v>11</v>
      </c>
      <c r="J132" s="12"/>
    </row>
    <row r="133" spans="1:10" ht="60" customHeight="1">
      <c r="A133" s="6" t="s">
        <v>497</v>
      </c>
      <c r="B133" s="6" t="s">
        <v>10</v>
      </c>
      <c r="C133" s="6" t="s">
        <v>11</v>
      </c>
      <c r="D133" s="7" t="s">
        <v>498</v>
      </c>
      <c r="E133" s="8" t="s">
        <v>499</v>
      </c>
      <c r="F133" s="6" t="s">
        <v>500</v>
      </c>
      <c r="G133" s="9">
        <f>IF(A133=1,"_",IF(C133="_","???",C133))</f>
        <v/>
      </c>
      <c r="H133" s="10" t="s">
        <v>11</v>
      </c>
      <c r="I133" s="11" t="s">
        <v>11</v>
      </c>
      <c r="J133" s="12"/>
    </row>
    <row r="134" spans="1:10" ht="60" customHeight="1">
      <c r="A134" s="6" t="s">
        <v>501</v>
      </c>
      <c r="B134" s="6" t="s">
        <v>10</v>
      </c>
      <c r="C134" s="6" t="s">
        <v>11</v>
      </c>
      <c r="D134" s="7" t="s">
        <v>502</v>
      </c>
      <c r="E134" s="8" t="s">
        <v>503</v>
      </c>
      <c r="F134" s="6" t="s">
        <v>504</v>
      </c>
      <c r="G134" s="9">
        <f>IF(A134=1,"_",IF(C134="_","???",C134))</f>
        <v/>
      </c>
      <c r="H134" s="10" t="s">
        <v>11</v>
      </c>
      <c r="I134" s="11" t="s">
        <v>11</v>
      </c>
      <c r="J13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7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505</v>
      </c>
      <c r="B1" s="13" t="s">
        <v>506</v>
      </c>
      <c r="C1" s="13" t="s">
        <v>507</v>
      </c>
      <c r="D1" s="13" t="s">
        <v>508</v>
      </c>
      <c r="E1" s="14" t="s">
        <v>509</v>
      </c>
      <c r="F1" s="15" t="s">
        <v>510</v>
      </c>
      <c r="G1" s="16" t="s">
        <v>511</v>
      </c>
      <c r="H1" s="17" t="s">
        <v>512</v>
      </c>
      <c r="I1" s="18" t="s">
        <v>513</v>
      </c>
      <c r="J1" s="18" t="s">
        <v>514</v>
      </c>
      <c r="K1" s="18" t="s">
        <v>515</v>
      </c>
      <c r="L1" s="19" t="s">
        <v>9</v>
      </c>
    </row>
    <row r="2" spans="1:12">
      <c r="A2" s="20" t="s">
        <v>516</v>
      </c>
    </row>
    <row r="3" spans="1:12">
      <c r="A3" s="20" t="s">
        <v>517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518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519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520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521</v>
      </c>
      <c r="B7" s="27" t="s">
        <v>522</v>
      </c>
      <c r="C7" s="27" t="s">
        <v>523</v>
      </c>
      <c r="D7" s="27" t="s">
        <v>524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525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526</v>
      </c>
      <c r="B9" s="27" t="s">
        <v>522</v>
      </c>
      <c r="C9" s="27" t="s">
        <v>527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528</v>
      </c>
      <c r="B10" s="27" t="s">
        <v>529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530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531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532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533</v>
      </c>
      <c r="B14" s="27" t="s">
        <v>534</v>
      </c>
      <c r="C14" s="27" t="s">
        <v>535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536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537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538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539</v>
      </c>
      <c r="B18" s="27" t="s">
        <v>522</v>
      </c>
      <c r="C18" s="27" t="s">
        <v>540</v>
      </c>
      <c r="D18" s="27" t="s">
        <v>524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541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542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543</v>
      </c>
      <c r="B21" s="27" t="s">
        <v>544</v>
      </c>
      <c r="C21" s="27" t="s">
        <v>545</v>
      </c>
      <c r="D21" s="27" t="s">
        <v>524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546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547</v>
      </c>
      <c r="B23" s="27" t="s">
        <v>534</v>
      </c>
      <c r="C23" s="27" t="s">
        <v>548</v>
      </c>
      <c r="D23" s="27" t="s">
        <v>524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549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/>
    </row>
    <row r="26" spans="1:12">
      <c r="A26" s="20" t="s">
        <v>550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551</v>
      </c>
    </row>
    <row r="28" spans="1:12">
      <c r="A28" s="20" t="s">
        <v>552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553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542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554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555</v>
      </c>
      <c r="B32" s="27" t="s">
        <v>556</v>
      </c>
      <c r="C32" s="27" t="s">
        <v>557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558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559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560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561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538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562</v>
      </c>
      <c r="B38" s="27" t="s">
        <v>522</v>
      </c>
      <c r="C38" s="27" t="s">
        <v>540</v>
      </c>
      <c r="D38" s="27" t="s">
        <v>524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518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563</v>
      </c>
      <c r="B40" s="27" t="s">
        <v>544</v>
      </c>
      <c r="C40" s="27" t="s">
        <v>564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565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566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567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568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569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518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570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571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572</v>
      </c>
      <c r="B49" s="27" t="s">
        <v>573</v>
      </c>
      <c r="C49" s="27" t="s">
        <v>545</v>
      </c>
      <c r="D49" s="27" t="s">
        <v>524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565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574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575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528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576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577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542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578</v>
      </c>
      <c r="B57" s="27" t="s">
        <v>534</v>
      </c>
      <c r="C57" s="27" t="s">
        <v>545</v>
      </c>
      <c r="D57" s="27" t="s">
        <v>524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568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579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542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580</v>
      </c>
      <c r="B61" s="27" t="s">
        <v>573</v>
      </c>
      <c r="C61" s="27" t="s">
        <v>545</v>
      </c>
      <c r="D61" s="27" t="s">
        <v>524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581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582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581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541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332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571</v>
      </c>
      <c r="B67" s="27" t="s">
        <v>583</v>
      </c>
      <c r="C67" s="27" t="s">
        <v>584</v>
      </c>
      <c r="D67" s="27" t="s">
        <v>524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528</v>
      </c>
      <c r="B68" s="27" t="s">
        <v>585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586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549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/>
    </row>
    <row r="72" spans="1:12">
      <c r="A72" s="20" t="s">
        <v>587</v>
      </c>
    </row>
    <row r="73" spans="1:12">
      <c r="A73" s="20" t="s">
        <v>588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589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571</v>
      </c>
      <c r="B75" s="27" t="s">
        <v>522</v>
      </c>
      <c r="C75" s="27" t="s">
        <v>584</v>
      </c>
      <c r="D75" s="27" t="s">
        <v>524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528</v>
      </c>
      <c r="B76" s="27" t="s">
        <v>573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590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549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/>
    </row>
    <row r="80" spans="1:12">
      <c r="A80" s="20" t="s">
        <v>550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591</v>
      </c>
    </row>
    <row r="82" spans="1:12">
      <c r="A82" s="20" t="s">
        <v>581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24</v>
      </c>
      <c r="B83" s="27" t="s">
        <v>592</v>
      </c>
      <c r="C83" s="27" t="s">
        <v>564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565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581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593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594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581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595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565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596</v>
      </c>
      <c r="B91" s="27" t="s">
        <v>597</v>
      </c>
      <c r="C91" s="27" t="s">
        <v>564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565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598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565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599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565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581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600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565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601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565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602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565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603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565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604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565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605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565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581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606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565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607</v>
      </c>
      <c r="B113" s="27" t="s">
        <v>608</v>
      </c>
      <c r="C113" s="27" t="s">
        <v>564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565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609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565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610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565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581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611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565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612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565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613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565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581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614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565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615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565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616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565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569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565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617</v>
      </c>
      <c r="B135" s="27" t="s">
        <v>618</v>
      </c>
      <c r="C135" s="27" t="s">
        <v>564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581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619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620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565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621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622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581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332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623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602</v>
      </c>
      <c r="B145" s="27" t="s">
        <v>624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565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598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625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626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549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/>
    </row>
    <row r="152" spans="1:12">
      <c r="A152" s="20" t="s">
        <v>550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627</v>
      </c>
    </row>
    <row r="154" spans="1:12">
      <c r="A154" s="20" t="s">
        <v>581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628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594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629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565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630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565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631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549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581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632</v>
      </c>
      <c r="B164" s="27" t="s">
        <v>633</v>
      </c>
      <c r="C164" s="27" t="s">
        <v>523</v>
      </c>
      <c r="D164" s="27" t="s">
        <v>524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634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542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589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635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636</v>
      </c>
      <c r="B169" s="27" t="s">
        <v>573</v>
      </c>
      <c r="C169" s="27" t="s">
        <v>637</v>
      </c>
      <c r="D169" s="27" t="s">
        <v>524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577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638</v>
      </c>
      <c r="B171" s="27" t="s">
        <v>534</v>
      </c>
      <c r="C171" s="27" t="s">
        <v>540</v>
      </c>
      <c r="D171" s="27" t="s">
        <v>524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639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542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538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640</v>
      </c>
      <c r="B175" s="27" t="s">
        <v>641</v>
      </c>
      <c r="C175" s="27" t="s">
        <v>527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625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542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642</v>
      </c>
      <c r="B178" s="27" t="s">
        <v>643</v>
      </c>
      <c r="C178" s="27" t="s">
        <v>564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634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542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644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645</v>
      </c>
      <c r="B182" s="27" t="s">
        <v>583</v>
      </c>
      <c r="C182" s="27" t="s">
        <v>523</v>
      </c>
      <c r="D182" s="27" t="s">
        <v>524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565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646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647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648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565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566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574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649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560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581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603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581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565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650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645</v>
      </c>
      <c r="B197" s="27" t="s">
        <v>573</v>
      </c>
      <c r="C197" s="27" t="s">
        <v>523</v>
      </c>
      <c r="D197" s="27" t="s">
        <v>524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542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638</v>
      </c>
      <c r="B199" s="27" t="s">
        <v>573</v>
      </c>
      <c r="C199" s="27" t="s">
        <v>545</v>
      </c>
      <c r="D199" s="27" t="s">
        <v>524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565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625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651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528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652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541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645</v>
      </c>
      <c r="B206" s="27" t="s">
        <v>653</v>
      </c>
      <c r="C206" s="27" t="s">
        <v>523</v>
      </c>
      <c r="D206" s="27" t="s">
        <v>524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654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518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571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655</v>
      </c>
      <c r="B210" s="27" t="s">
        <v>653</v>
      </c>
      <c r="C210" s="27" t="s">
        <v>545</v>
      </c>
      <c r="D210" s="27" t="s">
        <v>524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656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625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518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571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657</v>
      </c>
      <c r="B215" s="27" t="s">
        <v>658</v>
      </c>
      <c r="C215" s="27" t="s">
        <v>545</v>
      </c>
      <c r="D215" s="27" t="s">
        <v>524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528</v>
      </c>
      <c r="B216" s="27" t="s">
        <v>659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660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661</v>
      </c>
      <c r="B218" s="27" t="s">
        <v>659</v>
      </c>
      <c r="C218" s="27" t="s">
        <v>637</v>
      </c>
      <c r="D218" s="27" t="s">
        <v>524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645</v>
      </c>
      <c r="B219" s="27" t="s">
        <v>585</v>
      </c>
      <c r="C219" s="27" t="s">
        <v>523</v>
      </c>
      <c r="D219" s="27" t="s">
        <v>524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662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542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663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549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/>
    </row>
    <row r="225" spans="1:12">
      <c r="A225" s="20" t="s">
        <v>664</v>
      </c>
    </row>
    <row r="226" spans="1:12">
      <c r="A226" s="20" t="s">
        <v>665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528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666</v>
      </c>
      <c r="B228" s="27" t="s">
        <v>667</v>
      </c>
      <c r="C228" s="27" t="s">
        <v>584</v>
      </c>
      <c r="D228" s="27" t="s">
        <v>524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646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571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668</v>
      </c>
      <c r="B231" s="27" t="s">
        <v>597</v>
      </c>
      <c r="C231" s="27" t="s">
        <v>669</v>
      </c>
      <c r="D231" s="27" t="s">
        <v>524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670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562</v>
      </c>
      <c r="B233" s="27" t="s">
        <v>592</v>
      </c>
      <c r="C233" s="27" t="s">
        <v>540</v>
      </c>
      <c r="D233" s="27" t="s">
        <v>524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518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563</v>
      </c>
      <c r="B235" s="27" t="s">
        <v>597</v>
      </c>
      <c r="C235" s="27" t="s">
        <v>564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549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/>
    </row>
    <row r="238" spans="1:12">
      <c r="A238" s="20" t="s">
        <v>671</v>
      </c>
    </row>
    <row r="239" spans="1:12">
      <c r="A239" s="20" t="s">
        <v>672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528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673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525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674</v>
      </c>
      <c r="B243" s="27" t="s">
        <v>592</v>
      </c>
      <c r="C243" s="27" t="s">
        <v>527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675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549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/>
    </row>
    <row r="247" spans="1:12">
      <c r="A247" s="20" t="s">
        <v>676</v>
      </c>
    </row>
    <row r="248" spans="1:12">
      <c r="A248" s="20" t="s">
        <v>677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565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518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678</v>
      </c>
      <c r="B251" s="27" t="s">
        <v>592</v>
      </c>
      <c r="C251" s="27" t="s">
        <v>564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565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542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679</v>
      </c>
      <c r="B254" s="27" t="s">
        <v>680</v>
      </c>
      <c r="C254" s="27" t="s">
        <v>540</v>
      </c>
      <c r="D254" s="27" t="s">
        <v>524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518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542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674</v>
      </c>
      <c r="B257" s="27" t="s">
        <v>597</v>
      </c>
      <c r="C257" s="27" t="s">
        <v>545</v>
      </c>
      <c r="D257" s="27" t="s">
        <v>524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646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518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571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681</v>
      </c>
      <c r="B261" s="27" t="s">
        <v>592</v>
      </c>
      <c r="C261" s="27" t="s">
        <v>540</v>
      </c>
      <c r="D261" s="27" t="s">
        <v>524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518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682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683</v>
      </c>
      <c r="B264" s="27" t="s">
        <v>592</v>
      </c>
      <c r="C264" s="27" t="s">
        <v>684</v>
      </c>
      <c r="D264" s="27" t="s">
        <v>524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281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565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574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358</v>
      </c>
      <c r="B268" s="27" t="s">
        <v>633</v>
      </c>
      <c r="C268" s="27" t="s">
        <v>523</v>
      </c>
      <c r="D268" s="27" t="s">
        <v>524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634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542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685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542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686</v>
      </c>
      <c r="B273" s="27" t="s">
        <v>556</v>
      </c>
      <c r="C273" s="27" t="s">
        <v>545</v>
      </c>
      <c r="D273" s="27" t="s">
        <v>524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687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625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542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688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571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689</v>
      </c>
      <c r="B279" s="27" t="s">
        <v>573</v>
      </c>
      <c r="C279" s="27" t="s">
        <v>540</v>
      </c>
      <c r="D279" s="27" t="s">
        <v>524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518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690</v>
      </c>
      <c r="B281" s="27" t="s">
        <v>641</v>
      </c>
      <c r="C281" s="27" t="s">
        <v>523</v>
      </c>
      <c r="D281" s="27" t="s">
        <v>524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691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565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692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518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571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693</v>
      </c>
      <c r="B287" s="27" t="s">
        <v>641</v>
      </c>
      <c r="C287" s="27" t="s">
        <v>545</v>
      </c>
      <c r="D287" s="27" t="s">
        <v>524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694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565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625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542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695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645</v>
      </c>
      <c r="B293" s="27" t="s">
        <v>608</v>
      </c>
      <c r="C293" s="27" t="s">
        <v>523</v>
      </c>
      <c r="D293" s="27" t="s">
        <v>524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520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696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697</v>
      </c>
      <c r="B296" s="27" t="s">
        <v>641</v>
      </c>
      <c r="C296" s="27" t="s">
        <v>535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625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520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571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698</v>
      </c>
      <c r="B300" s="27" t="s">
        <v>699</v>
      </c>
      <c r="C300" s="27" t="s">
        <v>540</v>
      </c>
      <c r="D300" s="27" t="s">
        <v>524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542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542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700</v>
      </c>
      <c r="B303" s="27" t="s">
        <v>618</v>
      </c>
      <c r="C303" s="27" t="s">
        <v>669</v>
      </c>
      <c r="D303" s="27" t="s">
        <v>524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701</v>
      </c>
      <c r="B304" s="27" t="s">
        <v>658</v>
      </c>
      <c r="C304" s="27" t="s">
        <v>545</v>
      </c>
      <c r="D304" s="27" t="s">
        <v>524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549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/>
    </row>
    <row r="307" spans="1:12">
      <c r="A307" s="20" t="s">
        <v>702</v>
      </c>
    </row>
    <row r="308" spans="1:12">
      <c r="A308" s="20" t="s">
        <v>703</v>
      </c>
      <c r="B308" s="27" t="s">
        <v>680</v>
      </c>
      <c r="C308" s="27" t="s">
        <v>564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704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322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528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565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705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542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706</v>
      </c>
      <c r="B315" s="27" t="s">
        <v>597</v>
      </c>
      <c r="C315" s="27" t="s">
        <v>548</v>
      </c>
      <c r="D315" s="27" t="s">
        <v>524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565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577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542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707</v>
      </c>
      <c r="B319" s="27" t="s">
        <v>597</v>
      </c>
      <c r="C319" s="27" t="s">
        <v>545</v>
      </c>
      <c r="D319" s="27" t="s">
        <v>524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708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709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538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562</v>
      </c>
      <c r="B323" s="27" t="s">
        <v>522</v>
      </c>
      <c r="C323" s="27" t="s">
        <v>540</v>
      </c>
      <c r="D323" s="27" t="s">
        <v>524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518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563</v>
      </c>
      <c r="B325" s="27" t="s">
        <v>544</v>
      </c>
      <c r="C325" s="27" t="s">
        <v>564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549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/>
    </row>
    <row r="328" spans="1:12">
      <c r="A328" s="20" t="s">
        <v>710</v>
      </c>
    </row>
    <row r="329" spans="1:12">
      <c r="A329" s="20" t="s">
        <v>711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322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565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712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518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713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563</v>
      </c>
      <c r="B335" s="27" t="s">
        <v>573</v>
      </c>
      <c r="C335" s="27" t="s">
        <v>637</v>
      </c>
      <c r="D335" s="27" t="s">
        <v>524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565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714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528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358</v>
      </c>
      <c r="B339" s="27" t="s">
        <v>529</v>
      </c>
      <c r="C339" s="27" t="s">
        <v>523</v>
      </c>
      <c r="D339" s="27" t="s">
        <v>524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568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715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577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538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698</v>
      </c>
      <c r="B344" s="27" t="s">
        <v>534</v>
      </c>
      <c r="C344" s="27" t="s">
        <v>527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528</v>
      </c>
      <c r="B345" s="27" t="s">
        <v>716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717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525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718</v>
      </c>
      <c r="B348" s="27" t="s">
        <v>653</v>
      </c>
      <c r="C348" s="27" t="s">
        <v>527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719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358</v>
      </c>
      <c r="B350" s="27" t="s">
        <v>699</v>
      </c>
      <c r="C350" s="27" t="s">
        <v>523</v>
      </c>
      <c r="D350" s="27" t="s">
        <v>524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719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720</v>
      </c>
      <c r="B352" s="27" t="s">
        <v>658</v>
      </c>
      <c r="C352" s="27" t="s">
        <v>557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528</v>
      </c>
      <c r="B353" s="27" t="s">
        <v>659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708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568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721</v>
      </c>
      <c r="B356" s="27" t="s">
        <v>585</v>
      </c>
      <c r="C356" s="27" t="s">
        <v>557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542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722</v>
      </c>
      <c r="B358" s="27" t="s">
        <v>723</v>
      </c>
      <c r="C358" s="27" t="s">
        <v>669</v>
      </c>
      <c r="D358" s="27" t="s">
        <v>524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724</v>
      </c>
      <c r="B359" s="27" t="s">
        <v>585</v>
      </c>
      <c r="C359" s="27" t="s">
        <v>535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565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574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565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577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542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725</v>
      </c>
      <c r="B365" s="27" t="s">
        <v>726</v>
      </c>
      <c r="C365" s="27" t="s">
        <v>545</v>
      </c>
      <c r="D365" s="27" t="s">
        <v>524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565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727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728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729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560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730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731</v>
      </c>
      <c r="B372" s="27" t="s">
        <v>726</v>
      </c>
      <c r="C372" s="27" t="s">
        <v>545</v>
      </c>
      <c r="D372" s="27" t="s">
        <v>524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625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732</v>
      </c>
      <c r="B374" s="27" t="s">
        <v>726</v>
      </c>
      <c r="C374" s="27" t="s">
        <v>564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528</v>
      </c>
      <c r="B375" s="27" t="s">
        <v>733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734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735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577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542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578</v>
      </c>
      <c r="B380" s="27" t="s">
        <v>736</v>
      </c>
      <c r="C380" s="27" t="s">
        <v>545</v>
      </c>
      <c r="D380" s="27" t="s">
        <v>524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549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/>
    </row>
    <row r="383" spans="1:12">
      <c r="A383" s="20" t="s">
        <v>737</v>
      </c>
    </row>
    <row r="384" spans="1:12">
      <c r="A384" s="20" t="s">
        <v>738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565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739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740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741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542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674</v>
      </c>
      <c r="B390" s="27" t="s">
        <v>680</v>
      </c>
      <c r="C390" s="27" t="s">
        <v>545</v>
      </c>
      <c r="D390" s="27" t="s">
        <v>524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53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518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742</v>
      </c>
      <c r="B393" s="27" t="s">
        <v>743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565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577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542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744</v>
      </c>
      <c r="B397" s="27" t="s">
        <v>592</v>
      </c>
      <c r="C397" s="27" t="s">
        <v>545</v>
      </c>
      <c r="D397" s="27" t="s">
        <v>524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518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745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525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746</v>
      </c>
      <c r="B401" s="27" t="s">
        <v>556</v>
      </c>
      <c r="C401" s="27" t="s">
        <v>540</v>
      </c>
      <c r="D401" s="27" t="s">
        <v>524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747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518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748</v>
      </c>
      <c r="B404" s="27" t="s">
        <v>534</v>
      </c>
      <c r="C404" s="27" t="s">
        <v>564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549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/>
    </row>
    <row r="407" spans="1:12">
      <c r="A407" s="20" t="s">
        <v>749</v>
      </c>
    </row>
    <row r="408" spans="1:12">
      <c r="A408" s="20" t="s">
        <v>750</v>
      </c>
      <c r="B408" s="27" t="s">
        <v>680</v>
      </c>
      <c r="C408" s="27" t="s">
        <v>584</v>
      </c>
      <c r="D408" s="27" t="s">
        <v>524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751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542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752</v>
      </c>
      <c r="B411" s="27" t="s">
        <v>592</v>
      </c>
      <c r="C411" s="27" t="s">
        <v>545</v>
      </c>
      <c r="D411" s="27" t="s">
        <v>524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753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518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635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754</v>
      </c>
      <c r="B415" s="27" t="s">
        <v>597</v>
      </c>
      <c r="C415" s="27" t="s">
        <v>637</v>
      </c>
      <c r="D415" s="27" t="s">
        <v>524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577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571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562</v>
      </c>
      <c r="B418" s="27" t="s">
        <v>544</v>
      </c>
      <c r="C418" s="27" t="s">
        <v>545</v>
      </c>
      <c r="D418" s="27" t="s">
        <v>524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549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/>
    </row>
    <row r="421" spans="1:12">
      <c r="A421" s="20" t="s">
        <v>755</v>
      </c>
    </row>
    <row r="422" spans="1:12">
      <c r="A422" s="20" t="s">
        <v>756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565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708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751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757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758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549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/>
    </row>
    <row r="430" spans="1:12">
      <c r="A430" s="20" t="s">
        <v>550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759</v>
      </c>
    </row>
    <row r="432" spans="1:12">
      <c r="A432" s="20" t="s">
        <v>760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528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730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761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762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661</v>
      </c>
      <c r="B437" s="27" t="s">
        <v>667</v>
      </c>
      <c r="C437" s="27" t="s">
        <v>540</v>
      </c>
      <c r="D437" s="27" t="s">
        <v>524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541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763</v>
      </c>
      <c r="B439" s="27" t="s">
        <v>544</v>
      </c>
      <c r="C439" s="27" t="s">
        <v>564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764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765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766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594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581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767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581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625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581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768</v>
      </c>
      <c r="B449" s="27" t="s">
        <v>544</v>
      </c>
      <c r="C449" s="27" t="s">
        <v>564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581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549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/>
    </row>
    <row r="453" spans="1:12">
      <c r="A453" s="20" t="s">
        <v>769</v>
      </c>
    </row>
    <row r="454" spans="1:12">
      <c r="A454" s="20" t="s">
        <v>770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565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666</v>
      </c>
      <c r="B456" s="27" t="s">
        <v>680</v>
      </c>
      <c r="C456" s="27" t="s">
        <v>584</v>
      </c>
      <c r="D456" s="27" t="s">
        <v>524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708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771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772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528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332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520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730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661</v>
      </c>
      <c r="B464" s="27" t="s">
        <v>522</v>
      </c>
      <c r="C464" s="27" t="s">
        <v>545</v>
      </c>
      <c r="D464" s="27" t="s">
        <v>524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549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/>
    </row>
    <row r="467" spans="1:12">
      <c r="A467" s="20" t="s">
        <v>773</v>
      </c>
    </row>
    <row r="468" spans="1:12">
      <c r="A468" s="20" t="s">
        <v>774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571</v>
      </c>
      <c r="B469" s="27" t="s">
        <v>592</v>
      </c>
      <c r="C469" s="27" t="s">
        <v>584</v>
      </c>
      <c r="D469" s="27" t="s">
        <v>524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528</v>
      </c>
      <c r="B470" s="27" t="s">
        <v>522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775</v>
      </c>
      <c r="B471" s="27" t="s">
        <v>667</v>
      </c>
      <c r="C471" s="27" t="s">
        <v>523</v>
      </c>
      <c r="D471" s="27" t="s">
        <v>524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776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528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730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777</v>
      </c>
      <c r="B475" s="27" t="s">
        <v>633</v>
      </c>
      <c r="C475" s="27" t="s">
        <v>545</v>
      </c>
      <c r="D475" s="27" t="s">
        <v>524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764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574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730</v>
      </c>
      <c r="B478" s="27" t="s">
        <v>556</v>
      </c>
      <c r="C478" s="27" t="s">
        <v>523</v>
      </c>
      <c r="D478" s="27" t="s">
        <v>524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778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520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660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661</v>
      </c>
      <c r="B482" s="27" t="s">
        <v>544</v>
      </c>
      <c r="C482" s="27" t="s">
        <v>637</v>
      </c>
      <c r="D482" s="27" t="s">
        <v>524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549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/>
    </row>
    <row r="485" spans="1:12">
      <c r="A485" s="20" t="s">
        <v>779</v>
      </c>
    </row>
    <row r="486" spans="1:12">
      <c r="A486" s="20" t="s">
        <v>780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682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781</v>
      </c>
      <c r="B488" s="27" t="s">
        <v>592</v>
      </c>
      <c r="C488" s="27" t="s">
        <v>540</v>
      </c>
      <c r="D488" s="27" t="s">
        <v>524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560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782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518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730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661</v>
      </c>
      <c r="B493" s="27" t="s">
        <v>592</v>
      </c>
      <c r="C493" s="27" t="s">
        <v>545</v>
      </c>
      <c r="D493" s="27" t="s">
        <v>524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565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625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719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783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784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781</v>
      </c>
      <c r="B499" s="27" t="s">
        <v>522</v>
      </c>
      <c r="C499" s="27" t="s">
        <v>637</v>
      </c>
      <c r="D499" s="27" t="s">
        <v>524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549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/>
    </row>
    <row r="502" spans="1:12">
      <c r="A502" s="20" t="s">
        <v>785</v>
      </c>
    </row>
    <row r="503" spans="1:12">
      <c r="A503" s="20" t="s">
        <v>786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787</v>
      </c>
      <c r="B504" s="27" t="s">
        <v>597</v>
      </c>
      <c r="C504" s="27" t="s">
        <v>669</v>
      </c>
      <c r="D504" s="27" t="s">
        <v>524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788</v>
      </c>
      <c r="B505" s="27" t="s">
        <v>680</v>
      </c>
      <c r="C505" s="27" t="s">
        <v>545</v>
      </c>
      <c r="D505" s="27" t="s">
        <v>524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789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542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787</v>
      </c>
      <c r="B508" s="27" t="s">
        <v>597</v>
      </c>
      <c r="C508" s="27" t="s">
        <v>669</v>
      </c>
      <c r="D508" s="27" t="s">
        <v>524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790</v>
      </c>
      <c r="B509" s="27" t="s">
        <v>743</v>
      </c>
      <c r="C509" s="27" t="s">
        <v>545</v>
      </c>
      <c r="D509" s="27" t="s">
        <v>524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518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36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625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571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791</v>
      </c>
      <c r="B514" s="27" t="s">
        <v>529</v>
      </c>
      <c r="C514" s="27" t="s">
        <v>545</v>
      </c>
      <c r="D514" s="27" t="s">
        <v>524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719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792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571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698</v>
      </c>
      <c r="B518" s="27" t="s">
        <v>573</v>
      </c>
      <c r="C518" s="27" t="s">
        <v>545</v>
      </c>
      <c r="D518" s="27" t="s">
        <v>524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625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719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792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730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793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777</v>
      </c>
      <c r="B524" s="27" t="s">
        <v>667</v>
      </c>
      <c r="C524" s="27" t="s">
        <v>545</v>
      </c>
      <c r="D524" s="27" t="s">
        <v>524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549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/>
    </row>
    <row r="527" spans="1:12">
      <c r="A527" s="20" t="s">
        <v>794</v>
      </c>
    </row>
    <row r="528" spans="1:12">
      <c r="A528" s="20" t="s">
        <v>795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796</v>
      </c>
      <c r="B529" s="27" t="s">
        <v>680</v>
      </c>
      <c r="C529" s="27" t="s">
        <v>535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797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565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798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682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799</v>
      </c>
      <c r="B534" s="27" t="s">
        <v>556</v>
      </c>
      <c r="C534" s="27" t="s">
        <v>545</v>
      </c>
      <c r="D534" s="27" t="s">
        <v>524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625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682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800</v>
      </c>
      <c r="B537" s="27" t="s">
        <v>534</v>
      </c>
      <c r="C537" s="27" t="s">
        <v>545</v>
      </c>
      <c r="D537" s="27" t="s">
        <v>524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565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801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528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802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803</v>
      </c>
      <c r="B542" s="27" t="s">
        <v>556</v>
      </c>
      <c r="C542" s="27" t="s">
        <v>564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646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525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804</v>
      </c>
      <c r="B545" s="27" t="s">
        <v>592</v>
      </c>
      <c r="C545" s="27" t="s">
        <v>527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757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805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565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806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322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555</v>
      </c>
      <c r="B551" s="27" t="s">
        <v>522</v>
      </c>
      <c r="C551" s="27" t="s">
        <v>557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577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638</v>
      </c>
      <c r="B553" s="27" t="s">
        <v>597</v>
      </c>
      <c r="C553" s="27" t="s">
        <v>564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639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807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725</v>
      </c>
      <c r="B556" s="27" t="s">
        <v>544</v>
      </c>
      <c r="C556" s="27" t="s">
        <v>564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549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/>
    </row>
    <row r="559" spans="1:12">
      <c r="A559" s="20" t="s">
        <v>808</v>
      </c>
    </row>
    <row r="560" spans="1:12">
      <c r="A560" s="20" t="s">
        <v>809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528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810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811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725</v>
      </c>
      <c r="B564" s="27" t="s">
        <v>597</v>
      </c>
      <c r="C564" s="27" t="s">
        <v>564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525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718</v>
      </c>
      <c r="B566" s="27" t="s">
        <v>522</v>
      </c>
      <c r="C566" s="27" t="s">
        <v>527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528</v>
      </c>
      <c r="B567" s="27" t="s">
        <v>529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751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812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813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525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718</v>
      </c>
      <c r="B572" s="27" t="s">
        <v>534</v>
      </c>
      <c r="C572" s="27" t="s">
        <v>527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528</v>
      </c>
      <c r="B573" s="27" t="s">
        <v>716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771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814</v>
      </c>
      <c r="B575" s="27" t="s">
        <v>653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815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/>
    </row>
    <row r="578" spans="1:12">
      <c r="A578" s="20" t="s">
        <v>816</v>
      </c>
    </row>
    <row r="579" spans="1:12">
      <c r="A579" s="20" t="s">
        <v>786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571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196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525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804</v>
      </c>
      <c r="B583" s="27" t="s">
        <v>743</v>
      </c>
      <c r="C583" s="27" t="s">
        <v>527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647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817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719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818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525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718</v>
      </c>
      <c r="B589" s="27" t="s">
        <v>522</v>
      </c>
      <c r="C589" s="27" t="s">
        <v>527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565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525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819</v>
      </c>
      <c r="B592" s="27" t="s">
        <v>544</v>
      </c>
      <c r="C592" s="27" t="s">
        <v>527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565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820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16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542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821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625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542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822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571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722</v>
      </c>
      <c r="B602" s="27" t="s">
        <v>699</v>
      </c>
      <c r="C602" s="27" t="s">
        <v>669</v>
      </c>
      <c r="D602" s="27" t="s">
        <v>524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814</v>
      </c>
      <c r="B603" s="27" t="s">
        <v>608</v>
      </c>
      <c r="C603" s="27" t="s">
        <v>545</v>
      </c>
      <c r="D603" s="27" t="s">
        <v>524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549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/>
    </row>
    <row r="606" spans="1:12">
      <c r="A606" s="20" t="s">
        <v>823</v>
      </c>
    </row>
    <row r="607" spans="1:12">
      <c r="A607" s="20" t="s">
        <v>824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825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826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827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828</v>
      </c>
      <c r="B611" s="27" t="s">
        <v>522</v>
      </c>
      <c r="C611" s="27" t="s">
        <v>523</v>
      </c>
      <c r="D611" s="27" t="s">
        <v>524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829</v>
      </c>
      <c r="B612" s="27" t="s">
        <v>522</v>
      </c>
      <c r="C612" s="27" t="s">
        <v>564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815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/>
    </row>
    <row r="615" spans="1:12">
      <c r="A615" s="20" t="s">
        <v>830</v>
      </c>
    </row>
    <row r="616" spans="1:12">
      <c r="A616" s="20" t="s">
        <v>831</v>
      </c>
      <c r="B616" s="27" t="s">
        <v>680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518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660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777</v>
      </c>
      <c r="B619" s="27" t="s">
        <v>597</v>
      </c>
      <c r="C619" s="27" t="s">
        <v>637</v>
      </c>
      <c r="D619" s="27" t="s">
        <v>524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565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528</v>
      </c>
      <c r="B621" s="27" t="s">
        <v>529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645</v>
      </c>
      <c r="B622" s="27" t="s">
        <v>573</v>
      </c>
      <c r="C622" s="27" t="s">
        <v>523</v>
      </c>
      <c r="D622" s="27" t="s">
        <v>524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832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829</v>
      </c>
      <c r="B624" s="27" t="s">
        <v>573</v>
      </c>
      <c r="C624" s="27" t="s">
        <v>564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565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833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571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668</v>
      </c>
      <c r="B628" s="27" t="s">
        <v>592</v>
      </c>
      <c r="C628" s="27" t="s">
        <v>669</v>
      </c>
      <c r="D628" s="27" t="s">
        <v>524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834</v>
      </c>
      <c r="B629" s="27" t="s">
        <v>592</v>
      </c>
      <c r="C629" s="27" t="s">
        <v>540</v>
      </c>
      <c r="D629" s="27" t="s">
        <v>524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518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835</v>
      </c>
      <c r="B631" s="27" t="s">
        <v>592</v>
      </c>
      <c r="C631" s="27" t="s">
        <v>564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577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571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836</v>
      </c>
      <c r="B634" s="27" t="s">
        <v>592</v>
      </c>
      <c r="C634" s="27" t="s">
        <v>548</v>
      </c>
      <c r="D634" s="27" t="s">
        <v>524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837</v>
      </c>
      <c r="B635" s="27" t="s">
        <v>597</v>
      </c>
      <c r="C635" s="27" t="s">
        <v>548</v>
      </c>
      <c r="D635" s="27" t="s">
        <v>524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549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/>
    </row>
    <row r="638" spans="1:12">
      <c r="A638" s="20" t="s">
        <v>838</v>
      </c>
    </row>
    <row r="639" spans="1:12">
      <c r="A639" s="20" t="s">
        <v>100</v>
      </c>
      <c r="B639" s="27" t="s">
        <v>592</v>
      </c>
      <c r="C639" s="27" t="s">
        <v>548</v>
      </c>
      <c r="D639" s="27" t="s">
        <v>524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565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577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839</v>
      </c>
      <c r="B642" s="27" t="s">
        <v>592</v>
      </c>
      <c r="C642" s="27" t="s">
        <v>548</v>
      </c>
      <c r="D642" s="27" t="s">
        <v>524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565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840</v>
      </c>
      <c r="B644" s="27" t="s">
        <v>597</v>
      </c>
      <c r="C644" s="27" t="s">
        <v>548</v>
      </c>
      <c r="D644" s="27" t="s">
        <v>524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549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/>
    </row>
    <row r="647" spans="1:12">
      <c r="A647" s="20" t="s">
        <v>841</v>
      </c>
    </row>
    <row r="648" spans="1:12">
      <c r="A648" s="20" t="s">
        <v>842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843</v>
      </c>
      <c r="B649" s="27" t="s">
        <v>680</v>
      </c>
      <c r="C649" s="27" t="s">
        <v>523</v>
      </c>
      <c r="D649" s="27" t="s">
        <v>524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844</v>
      </c>
      <c r="B650" s="27" t="s">
        <v>743</v>
      </c>
      <c r="C650" s="27" t="s">
        <v>548</v>
      </c>
      <c r="D650" s="27" t="s">
        <v>524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/>
    </row>
    <row r="652" spans="1:12">
      <c r="A652" s="20" t="s">
        <v>845</v>
      </c>
    </row>
    <row r="653" spans="1:12">
      <c r="A653" s="20" t="s">
        <v>104</v>
      </c>
      <c r="B653" s="27" t="s">
        <v>592</v>
      </c>
      <c r="C653" s="27" t="s">
        <v>548</v>
      </c>
      <c r="D653" s="27" t="s">
        <v>524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549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/>
    </row>
    <row r="656" spans="1:12">
      <c r="A656" s="20" t="s">
        <v>846</v>
      </c>
    </row>
    <row r="657" spans="1:12">
      <c r="A657" s="20" t="s">
        <v>538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847</v>
      </c>
      <c r="B658" s="27" t="s">
        <v>680</v>
      </c>
      <c r="C658" s="27" t="s">
        <v>527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848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849</v>
      </c>
      <c r="B660" s="27" t="s">
        <v>633</v>
      </c>
      <c r="C660" s="27" t="s">
        <v>535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565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850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565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646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851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852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518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853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560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542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854</v>
      </c>
      <c r="B671" s="27" t="s">
        <v>573</v>
      </c>
      <c r="C671" s="27" t="s">
        <v>540</v>
      </c>
      <c r="D671" s="27" t="s">
        <v>524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518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682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855</v>
      </c>
      <c r="B674" s="27" t="s">
        <v>641</v>
      </c>
      <c r="C674" s="27" t="s">
        <v>545</v>
      </c>
      <c r="D674" s="27" t="s">
        <v>524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565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560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856</v>
      </c>
      <c r="B677" s="27" t="s">
        <v>544</v>
      </c>
      <c r="C677" s="27" t="s">
        <v>584</v>
      </c>
      <c r="D677" s="27" t="s">
        <v>524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857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858</v>
      </c>
      <c r="B679" s="27" t="s">
        <v>743</v>
      </c>
      <c r="C679" s="27" t="s">
        <v>523</v>
      </c>
      <c r="D679" s="27" t="s">
        <v>524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859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549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860</v>
      </c>
      <c r="B682" s="27" t="s">
        <v>592</v>
      </c>
      <c r="C682" s="27" t="s">
        <v>564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11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844</v>
      </c>
      <c r="B684" s="27" t="s">
        <v>633</v>
      </c>
      <c r="C684" s="27" t="s">
        <v>548</v>
      </c>
      <c r="D684" s="27" t="s">
        <v>524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127</v>
      </c>
      <c r="B685" s="27" t="s">
        <v>534</v>
      </c>
      <c r="C685" s="27" t="s">
        <v>548</v>
      </c>
      <c r="D685" s="27" t="s">
        <v>524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709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559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532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861</v>
      </c>
      <c r="B689" s="27" t="s">
        <v>556</v>
      </c>
      <c r="C689" s="27" t="s">
        <v>535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757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862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625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634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559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520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542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863</v>
      </c>
      <c r="B697" s="27" t="s">
        <v>573</v>
      </c>
      <c r="C697" s="27" t="s">
        <v>545</v>
      </c>
      <c r="D697" s="27" t="s">
        <v>524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864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541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865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520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866</v>
      </c>
      <c r="B702" s="27" t="s">
        <v>608</v>
      </c>
      <c r="C702" s="27" t="s">
        <v>564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/>
    </row>
    <row r="704" spans="1:12">
      <c r="A704" s="20" t="s">
        <v>867</v>
      </c>
    </row>
    <row r="705" spans="1:12">
      <c r="A705" s="20" t="s">
        <v>632</v>
      </c>
      <c r="B705" s="27" t="s">
        <v>680</v>
      </c>
      <c r="C705" s="27" t="s">
        <v>523</v>
      </c>
      <c r="D705" s="27" t="s">
        <v>524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868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869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870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571</v>
      </c>
      <c r="B709" s="27" t="s">
        <v>743</v>
      </c>
      <c r="C709" s="27" t="s">
        <v>584</v>
      </c>
      <c r="D709" s="27" t="s">
        <v>524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528</v>
      </c>
      <c r="B710" s="27" t="s">
        <v>633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843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871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577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571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872</v>
      </c>
      <c r="B715" s="27" t="s">
        <v>544</v>
      </c>
      <c r="C715" s="27" t="s">
        <v>545</v>
      </c>
      <c r="D715" s="27" t="s">
        <v>524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528</v>
      </c>
      <c r="B716" s="27" t="s">
        <v>873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634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577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874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875</v>
      </c>
      <c r="B720" s="27" t="s">
        <v>534</v>
      </c>
      <c r="C720" s="27" t="s">
        <v>637</v>
      </c>
      <c r="D720" s="27" t="s">
        <v>524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565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520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876</v>
      </c>
      <c r="B723" s="27" t="s">
        <v>592</v>
      </c>
      <c r="C723" s="27" t="s">
        <v>540</v>
      </c>
      <c r="D723" s="27" t="s">
        <v>524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518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730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877</v>
      </c>
      <c r="B726" s="27" t="s">
        <v>544</v>
      </c>
      <c r="C726" s="27" t="s">
        <v>669</v>
      </c>
      <c r="D726" s="27" t="s">
        <v>524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878</v>
      </c>
      <c r="B727" s="27" t="s">
        <v>597</v>
      </c>
      <c r="C727" s="27" t="s">
        <v>540</v>
      </c>
      <c r="D727" s="27" t="s">
        <v>524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518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879</v>
      </c>
      <c r="B729" s="27" t="s">
        <v>544</v>
      </c>
      <c r="C729" s="27" t="s">
        <v>564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549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/>
    </row>
    <row r="732" spans="1:12">
      <c r="A732" s="20" t="s">
        <v>880</v>
      </c>
    </row>
    <row r="733" spans="1:12">
      <c r="A733" s="20" t="s">
        <v>881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528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882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682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883</v>
      </c>
      <c r="B737" s="27" t="s">
        <v>522</v>
      </c>
      <c r="C737" s="27" t="s">
        <v>540</v>
      </c>
      <c r="D737" s="27" t="s">
        <v>524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884</v>
      </c>
      <c r="B738" s="27" t="s">
        <v>544</v>
      </c>
      <c r="C738" s="27" t="s">
        <v>564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885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886</v>
      </c>
      <c r="B740" s="27" t="s">
        <v>699</v>
      </c>
      <c r="C740" s="27" t="s">
        <v>564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887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532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888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889</v>
      </c>
      <c r="B744" s="27" t="s">
        <v>608</v>
      </c>
      <c r="C744" s="27" t="s">
        <v>540</v>
      </c>
      <c r="D744" s="27" t="s">
        <v>524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565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518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890</v>
      </c>
      <c r="B747" s="27" t="s">
        <v>699</v>
      </c>
      <c r="C747" s="27" t="s">
        <v>564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891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565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541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892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542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893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682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894</v>
      </c>
      <c r="B755" s="27" t="s">
        <v>583</v>
      </c>
      <c r="C755" s="27" t="s">
        <v>540</v>
      </c>
      <c r="D755" s="27" t="s">
        <v>524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518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730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895</v>
      </c>
      <c r="B758" s="27" t="s">
        <v>618</v>
      </c>
      <c r="C758" s="27" t="s">
        <v>545</v>
      </c>
      <c r="D758" s="27" t="s">
        <v>524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549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/>
    </row>
    <row r="761" spans="1:12">
      <c r="A761" s="20" t="s">
        <v>896</v>
      </c>
    </row>
    <row r="762" spans="1:12">
      <c r="A762" s="20" t="s">
        <v>632</v>
      </c>
      <c r="B762" s="27" t="s">
        <v>680</v>
      </c>
      <c r="C762" s="27" t="s">
        <v>523</v>
      </c>
      <c r="D762" s="27" t="s">
        <v>524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897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898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888</v>
      </c>
      <c r="B765" s="27" t="s">
        <v>743</v>
      </c>
      <c r="C765" s="27" t="s">
        <v>637</v>
      </c>
      <c r="D765" s="27" t="s">
        <v>524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429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518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571</v>
      </c>
      <c r="B768" s="27" t="s">
        <v>641</v>
      </c>
      <c r="C768" s="27" t="s">
        <v>584</v>
      </c>
      <c r="D768" s="27" t="s">
        <v>524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528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870</v>
      </c>
      <c r="B770" s="27" t="s">
        <v>544</v>
      </c>
      <c r="C770" s="27" t="s">
        <v>557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549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/>
    </row>
    <row r="773" spans="1:12">
      <c r="A773" s="20" t="s">
        <v>899</v>
      </c>
    </row>
    <row r="774" spans="1:12">
      <c r="A774" s="20" t="s">
        <v>900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682</v>
      </c>
      <c r="B775" s="27" t="s">
        <v>743</v>
      </c>
      <c r="C775" s="27" t="s">
        <v>523</v>
      </c>
      <c r="D775" s="27" t="s">
        <v>524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565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568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901</v>
      </c>
      <c r="B778" s="27" t="s">
        <v>522</v>
      </c>
      <c r="C778" s="27" t="s">
        <v>564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541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902</v>
      </c>
      <c r="B780" s="27" t="s">
        <v>597</v>
      </c>
      <c r="C780" s="27" t="s">
        <v>523</v>
      </c>
      <c r="D780" s="27" t="s">
        <v>524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549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/>
    </row>
    <row r="783" spans="1:12">
      <c r="A783" s="20" t="s">
        <v>903</v>
      </c>
    </row>
    <row r="784" spans="1:12">
      <c r="A784" s="20" t="s">
        <v>900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682</v>
      </c>
      <c r="B785" s="27" t="s">
        <v>743</v>
      </c>
      <c r="C785" s="27" t="s">
        <v>523</v>
      </c>
      <c r="D785" s="27" t="s">
        <v>524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549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/>
    </row>
    <row r="788" spans="1:12">
      <c r="A788" s="20" t="s">
        <v>904</v>
      </c>
    </row>
    <row r="789" spans="1:12">
      <c r="A789" s="20" t="s">
        <v>632</v>
      </c>
      <c r="B789" s="27" t="s">
        <v>680</v>
      </c>
      <c r="C789" s="27" t="s">
        <v>523</v>
      </c>
      <c r="D789" s="27" t="s">
        <v>524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567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905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542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571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844</v>
      </c>
      <c r="B794" s="27" t="s">
        <v>743</v>
      </c>
      <c r="C794" s="27" t="s">
        <v>548</v>
      </c>
      <c r="D794" s="27" t="s">
        <v>524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/>
    </row>
    <row r="796" spans="1:12">
      <c r="A796" s="20" t="s">
        <v>906</v>
      </c>
    </row>
    <row r="797" spans="1:12">
      <c r="A797" s="20" t="s">
        <v>127</v>
      </c>
      <c r="B797" s="27" t="s">
        <v>592</v>
      </c>
      <c r="C797" s="27" t="s">
        <v>548</v>
      </c>
      <c r="D797" s="27" t="s">
        <v>524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719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525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819</v>
      </c>
      <c r="B800" s="27" t="s">
        <v>592</v>
      </c>
      <c r="C800" s="27" t="s">
        <v>540</v>
      </c>
      <c r="D800" s="27" t="s">
        <v>524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518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907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683</v>
      </c>
      <c r="B803" s="27" t="s">
        <v>597</v>
      </c>
      <c r="C803" s="27" t="s">
        <v>908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565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541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708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68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528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196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713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883</v>
      </c>
      <c r="B811" s="27" t="s">
        <v>573</v>
      </c>
      <c r="C811" s="27" t="s">
        <v>637</v>
      </c>
      <c r="D811" s="27" t="s">
        <v>524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565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885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909</v>
      </c>
      <c r="B814" s="27" t="s">
        <v>534</v>
      </c>
      <c r="C814" s="27" t="s">
        <v>564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565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32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549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/>
    </row>
    <row r="819" spans="1:12">
      <c r="A819" s="20" t="s">
        <v>550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910</v>
      </c>
    </row>
    <row r="821" spans="1:12">
      <c r="A821" s="20" t="s">
        <v>911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912</v>
      </c>
      <c r="B822" s="27" t="s">
        <v>592</v>
      </c>
      <c r="C822" s="27" t="s">
        <v>908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565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913</v>
      </c>
      <c r="B824" s="27" t="s">
        <v>680</v>
      </c>
      <c r="C824" s="27" t="s">
        <v>523</v>
      </c>
      <c r="D824" s="27" t="s">
        <v>524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914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577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542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700</v>
      </c>
      <c r="B828" s="27" t="s">
        <v>597</v>
      </c>
      <c r="C828" s="27" t="s">
        <v>669</v>
      </c>
      <c r="D828" s="27" t="s">
        <v>524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915</v>
      </c>
      <c r="B829" s="27" t="s">
        <v>592</v>
      </c>
      <c r="C829" s="27" t="s">
        <v>545</v>
      </c>
      <c r="D829" s="27" t="s">
        <v>524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916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917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625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918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919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878</v>
      </c>
      <c r="B835" s="27" t="s">
        <v>597</v>
      </c>
      <c r="C835" s="27" t="s">
        <v>637</v>
      </c>
      <c r="D835" s="27" t="s">
        <v>524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916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625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920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645</v>
      </c>
      <c r="B839" s="27" t="s">
        <v>522</v>
      </c>
      <c r="C839" s="27" t="s">
        <v>523</v>
      </c>
      <c r="D839" s="27" t="s">
        <v>524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594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581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921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549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/>
    </row>
    <row r="845" spans="1:12">
      <c r="A845" s="20" t="s">
        <v>550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922</v>
      </c>
    </row>
    <row r="847" spans="1:12">
      <c r="A847" s="20" t="s">
        <v>923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565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924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525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925</v>
      </c>
      <c r="B851" s="27" t="s">
        <v>743</v>
      </c>
      <c r="C851" s="27" t="s">
        <v>527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926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630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565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581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760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528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927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928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139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525</v>
      </c>
      <c r="B861" s="27" t="s">
        <v>556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518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929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930</v>
      </c>
      <c r="B864" s="27" t="s">
        <v>534</v>
      </c>
      <c r="C864" s="27" t="s">
        <v>637</v>
      </c>
      <c r="D864" s="27" t="s">
        <v>524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549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/>
    </row>
    <row r="867" spans="1:12">
      <c r="A867" s="20" t="s">
        <v>550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931</v>
      </c>
    </row>
    <row r="869" spans="1:12">
      <c r="A869" s="20" t="s">
        <v>581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552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542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932</v>
      </c>
      <c r="B872" s="27" t="s">
        <v>592</v>
      </c>
      <c r="C872" s="27" t="s">
        <v>545</v>
      </c>
      <c r="D872" s="27" t="s">
        <v>524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358</v>
      </c>
      <c r="B873" s="27" t="s">
        <v>667</v>
      </c>
      <c r="C873" s="27" t="s">
        <v>523</v>
      </c>
      <c r="D873" s="27" t="s">
        <v>524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933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934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935</v>
      </c>
      <c r="B876" s="27" t="s">
        <v>522</v>
      </c>
      <c r="C876" s="27" t="s">
        <v>523</v>
      </c>
      <c r="D876" s="27" t="s">
        <v>524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353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936</v>
      </c>
      <c r="B878" s="27" t="s">
        <v>544</v>
      </c>
      <c r="C878" s="27" t="s">
        <v>908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549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581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665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528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666</v>
      </c>
      <c r="B883" s="27" t="s">
        <v>633</v>
      </c>
      <c r="C883" s="27" t="s">
        <v>584</v>
      </c>
      <c r="D883" s="27" t="s">
        <v>524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646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538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937</v>
      </c>
      <c r="B886" s="27" t="s">
        <v>597</v>
      </c>
      <c r="C886" s="27" t="s">
        <v>540</v>
      </c>
      <c r="D886" s="27" t="s">
        <v>524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518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571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844</v>
      </c>
      <c r="B889" s="27" t="s">
        <v>544</v>
      </c>
      <c r="C889" s="27" t="s">
        <v>548</v>
      </c>
      <c r="D889" s="27" t="s">
        <v>524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127</v>
      </c>
      <c r="B890" s="27" t="s">
        <v>534</v>
      </c>
      <c r="C890" s="27" t="s">
        <v>548</v>
      </c>
      <c r="D890" s="27" t="s">
        <v>524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541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318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528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358</v>
      </c>
      <c r="B894" s="27" t="s">
        <v>873</v>
      </c>
      <c r="C894" s="27" t="s">
        <v>523</v>
      </c>
      <c r="D894" s="27" t="s">
        <v>524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938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682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883</v>
      </c>
      <c r="B897" s="27" t="s">
        <v>608</v>
      </c>
      <c r="C897" s="27" t="s">
        <v>545</v>
      </c>
      <c r="D897" s="27" t="s">
        <v>524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528</v>
      </c>
      <c r="B898" s="27" t="s">
        <v>643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708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939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196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565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429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518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571</v>
      </c>
      <c r="B905" s="27" t="s">
        <v>940</v>
      </c>
      <c r="C905" s="27" t="s">
        <v>584</v>
      </c>
      <c r="D905" s="27" t="s">
        <v>524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528</v>
      </c>
      <c r="B906" s="27" t="s">
        <v>941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542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942</v>
      </c>
      <c r="B908" s="27" t="s">
        <v>943</v>
      </c>
      <c r="C908" s="27" t="s">
        <v>545</v>
      </c>
      <c r="D908" s="27" t="s">
        <v>524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518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645</v>
      </c>
      <c r="B910" s="27" t="s">
        <v>624</v>
      </c>
      <c r="C910" s="27" t="s">
        <v>523</v>
      </c>
      <c r="D910" s="27" t="s">
        <v>524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811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577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542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944</v>
      </c>
      <c r="B914" s="27" t="s">
        <v>726</v>
      </c>
      <c r="C914" s="27" t="s">
        <v>540</v>
      </c>
      <c r="D914" s="27" t="s">
        <v>524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518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27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683</v>
      </c>
      <c r="B917" s="27" t="s">
        <v>945</v>
      </c>
      <c r="C917" s="27" t="s">
        <v>908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429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946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518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542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947</v>
      </c>
      <c r="B922" s="27" t="s">
        <v>736</v>
      </c>
      <c r="C922" s="27" t="s">
        <v>540</v>
      </c>
      <c r="D922" s="27" t="s">
        <v>524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518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571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948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949</v>
      </c>
      <c r="B926" s="27" t="s">
        <v>950</v>
      </c>
      <c r="C926" s="27" t="s">
        <v>545</v>
      </c>
      <c r="D926" s="27" t="s">
        <v>524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565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566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571</v>
      </c>
      <c r="B929" s="27" t="s">
        <v>723</v>
      </c>
      <c r="C929" s="27" t="s">
        <v>584</v>
      </c>
      <c r="D929" s="27" t="s">
        <v>524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528</v>
      </c>
      <c r="B930" s="27" t="s">
        <v>951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913</v>
      </c>
      <c r="B931" s="27" t="s">
        <v>952</v>
      </c>
      <c r="C931" s="27" t="s">
        <v>523</v>
      </c>
      <c r="D931" s="27" t="s">
        <v>524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953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196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833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934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645</v>
      </c>
      <c r="B936" s="27" t="s">
        <v>954</v>
      </c>
      <c r="C936" s="27" t="s">
        <v>523</v>
      </c>
      <c r="D936" s="27" t="s">
        <v>524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525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955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942</v>
      </c>
      <c r="B939" s="27" t="s">
        <v>954</v>
      </c>
      <c r="C939" s="27" t="s">
        <v>527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541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538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956</v>
      </c>
      <c r="B942" s="27" t="s">
        <v>954</v>
      </c>
      <c r="C942" s="27" t="s">
        <v>527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957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958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565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959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571</v>
      </c>
      <c r="B947" s="27" t="s">
        <v>960</v>
      </c>
      <c r="C947" s="27" t="s">
        <v>523</v>
      </c>
      <c r="D947" s="27" t="s">
        <v>524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577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525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961</v>
      </c>
      <c r="B950" s="27" t="s">
        <v>950</v>
      </c>
      <c r="C950" s="27" t="s">
        <v>527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962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549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/>
    </row>
    <row r="954" spans="1:12">
      <c r="A954" s="20" t="s">
        <v>963</v>
      </c>
    </row>
    <row r="955" spans="1:12">
      <c r="A955" s="20" t="s">
        <v>964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727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558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528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36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965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528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966</v>
      </c>
      <c r="B962" s="27" t="s">
        <v>633</v>
      </c>
      <c r="C962" s="27" t="s">
        <v>564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751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528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542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967</v>
      </c>
      <c r="B966" s="27" t="s">
        <v>699</v>
      </c>
      <c r="C966" s="27" t="s">
        <v>540</v>
      </c>
      <c r="D966" s="27" t="s">
        <v>524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518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913</v>
      </c>
      <c r="B968" s="27" t="s">
        <v>658</v>
      </c>
      <c r="C968" s="27" t="s">
        <v>523</v>
      </c>
      <c r="D968" s="27" t="s">
        <v>524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565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625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542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968</v>
      </c>
      <c r="B972" s="27" t="s">
        <v>641</v>
      </c>
      <c r="C972" s="27" t="s">
        <v>669</v>
      </c>
      <c r="D972" s="27" t="s">
        <v>524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969</v>
      </c>
      <c r="B973" s="27" t="s">
        <v>529</v>
      </c>
      <c r="C973" s="27" t="s">
        <v>540</v>
      </c>
      <c r="D973" s="27" t="s">
        <v>524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518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358</v>
      </c>
      <c r="B975" s="27" t="s">
        <v>716</v>
      </c>
      <c r="C975" s="27" t="s">
        <v>523</v>
      </c>
      <c r="D975" s="27" t="s">
        <v>524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230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525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944</v>
      </c>
      <c r="B978" s="27" t="s">
        <v>641</v>
      </c>
      <c r="C978" s="27" t="s">
        <v>527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630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565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970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542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700</v>
      </c>
      <c r="B983" s="27" t="s">
        <v>641</v>
      </c>
      <c r="C983" s="27" t="s">
        <v>669</v>
      </c>
      <c r="D983" s="27" t="s">
        <v>524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967</v>
      </c>
      <c r="B984" s="27" t="s">
        <v>573</v>
      </c>
      <c r="C984" s="27" t="s">
        <v>540</v>
      </c>
      <c r="D984" s="27" t="s">
        <v>524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518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690</v>
      </c>
      <c r="B986" s="27" t="s">
        <v>641</v>
      </c>
      <c r="C986" s="27" t="s">
        <v>523</v>
      </c>
      <c r="D986" s="27" t="s">
        <v>524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971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541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571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972</v>
      </c>
      <c r="B990" s="27" t="s">
        <v>608</v>
      </c>
      <c r="C990" s="27" t="s">
        <v>545</v>
      </c>
      <c r="D990" s="27" t="s">
        <v>524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719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525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718</v>
      </c>
      <c r="B993" s="27" t="s">
        <v>641</v>
      </c>
      <c r="C993" s="27" t="s">
        <v>527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973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630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625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974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549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/>
    </row>
    <row r="1000" spans="1:12">
      <c r="A1000" s="20" t="s">
        <v>975</v>
      </c>
    </row>
    <row r="1001" spans="1:12">
      <c r="A1001" s="20" t="s">
        <v>976</v>
      </c>
      <c r="B1001" s="27" t="s">
        <v>633</v>
      </c>
      <c r="C1001" s="27" t="s">
        <v>584</v>
      </c>
      <c r="D1001" s="27" t="s">
        <v>524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751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538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977</v>
      </c>
      <c r="B1004" s="27" t="s">
        <v>667</v>
      </c>
      <c r="C1004" s="27" t="s">
        <v>540</v>
      </c>
      <c r="D1004" s="27" t="s">
        <v>524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518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719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978</v>
      </c>
      <c r="B1007" s="27" t="s">
        <v>544</v>
      </c>
      <c r="C1007" s="27" t="s">
        <v>564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565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577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979</v>
      </c>
      <c r="B1010" s="27" t="s">
        <v>544</v>
      </c>
      <c r="C1010" s="27" t="s">
        <v>540</v>
      </c>
      <c r="D1010" s="27" t="s">
        <v>524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518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980</v>
      </c>
      <c r="B1012" s="27" t="s">
        <v>534</v>
      </c>
      <c r="C1012" s="27" t="s">
        <v>564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565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981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982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571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814</v>
      </c>
      <c r="B1017" s="27" t="s">
        <v>522</v>
      </c>
      <c r="C1017" s="27" t="s">
        <v>540</v>
      </c>
      <c r="D1017" s="27" t="s">
        <v>524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518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525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819</v>
      </c>
      <c r="B1020" s="27" t="s">
        <v>544</v>
      </c>
      <c r="C1020" s="27" t="s">
        <v>527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549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/>
    </row>
    <row r="1023" spans="1:12">
      <c r="A1023" s="20" t="s">
        <v>983</v>
      </c>
    </row>
    <row r="1024" spans="1:12">
      <c r="A1024" s="20" t="s">
        <v>984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565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548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919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985</v>
      </c>
      <c r="B1028" s="27" t="s">
        <v>743</v>
      </c>
      <c r="C1028" s="27" t="s">
        <v>637</v>
      </c>
      <c r="D1028" s="27" t="s">
        <v>524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986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577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571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562</v>
      </c>
      <c r="B1032" s="27" t="s">
        <v>592</v>
      </c>
      <c r="C1032" s="27" t="s">
        <v>540</v>
      </c>
      <c r="D1032" s="27" t="s">
        <v>524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518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563</v>
      </c>
      <c r="B1034" s="27" t="s">
        <v>597</v>
      </c>
      <c r="C1034" s="27" t="s">
        <v>564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565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542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787</v>
      </c>
      <c r="B1037" s="27" t="s">
        <v>534</v>
      </c>
      <c r="C1037" s="27" t="s">
        <v>669</v>
      </c>
      <c r="D1037" s="27" t="s">
        <v>524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987</v>
      </c>
      <c r="B1038" s="27" t="s">
        <v>633</v>
      </c>
      <c r="C1038" s="27" t="s">
        <v>545</v>
      </c>
      <c r="D1038" s="27" t="s">
        <v>524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708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577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682</v>
      </c>
      <c r="B1041" s="27" t="s">
        <v>544</v>
      </c>
      <c r="C1041" s="27" t="s">
        <v>584</v>
      </c>
      <c r="D1041" s="27" t="s">
        <v>524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988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989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541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542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725</v>
      </c>
      <c r="B1046" s="27" t="s">
        <v>534</v>
      </c>
      <c r="C1046" s="27" t="s">
        <v>545</v>
      </c>
      <c r="D1046" s="27" t="s">
        <v>524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528</v>
      </c>
      <c r="B1047" s="27" t="s">
        <v>653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990</v>
      </c>
      <c r="B1048" s="27" t="s">
        <v>716</v>
      </c>
      <c r="C1048" s="27" t="s">
        <v>991</v>
      </c>
      <c r="D1048" s="27" t="s">
        <v>524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992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565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541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542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993</v>
      </c>
      <c r="B1053" s="27" t="s">
        <v>534</v>
      </c>
      <c r="C1053" s="27" t="s">
        <v>545</v>
      </c>
      <c r="D1053" s="27" t="s">
        <v>524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518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538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994</v>
      </c>
      <c r="B1056" s="27" t="s">
        <v>716</v>
      </c>
      <c r="C1056" s="27" t="s">
        <v>527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843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332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542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995</v>
      </c>
      <c r="B1060" s="27" t="s">
        <v>653</v>
      </c>
      <c r="C1060" s="27" t="s">
        <v>523</v>
      </c>
      <c r="D1060" s="27" t="s">
        <v>524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996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719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631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549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/>
    </row>
    <row r="1066" spans="1:12">
      <c r="A1066" s="20" t="s">
        <v>997</v>
      </c>
    </row>
    <row r="1067" spans="1:12">
      <c r="A1067" s="20" t="s">
        <v>786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787</v>
      </c>
      <c r="B1068" s="27" t="s">
        <v>597</v>
      </c>
      <c r="C1068" s="27" t="s">
        <v>669</v>
      </c>
      <c r="D1068" s="27" t="s">
        <v>524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788</v>
      </c>
      <c r="B1069" s="27" t="s">
        <v>680</v>
      </c>
      <c r="C1069" s="27" t="s">
        <v>545</v>
      </c>
      <c r="D1069" s="27" t="s">
        <v>524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708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998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730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999</v>
      </c>
      <c r="B1073" s="27" t="s">
        <v>743</v>
      </c>
      <c r="C1073" s="27" t="s">
        <v>540</v>
      </c>
      <c r="D1073" s="27" t="s">
        <v>524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518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542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787</v>
      </c>
      <c r="B1076" s="27" t="s">
        <v>544</v>
      </c>
      <c r="C1076" s="27" t="s">
        <v>669</v>
      </c>
      <c r="D1076" s="27" t="s">
        <v>524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1000</v>
      </c>
      <c r="B1077" s="27" t="s">
        <v>597</v>
      </c>
      <c r="C1077" s="27" t="s">
        <v>545</v>
      </c>
      <c r="D1077" s="27" t="s">
        <v>524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565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1001</v>
      </c>
      <c r="B1079" s="27" t="s">
        <v>534</v>
      </c>
      <c r="C1079" s="27" t="s">
        <v>557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518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1002</v>
      </c>
      <c r="B1081" s="27" t="s">
        <v>534</v>
      </c>
      <c r="C1081" s="27" t="s">
        <v>523</v>
      </c>
      <c r="D1081" s="27" t="s">
        <v>524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1003</v>
      </c>
      <c r="B1082" s="27" t="s">
        <v>544</v>
      </c>
      <c r="C1082" s="27" t="s">
        <v>540</v>
      </c>
      <c r="D1082" s="27" t="s">
        <v>524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518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542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163</v>
      </c>
      <c r="B1085" s="27" t="s">
        <v>534</v>
      </c>
      <c r="C1085" s="27" t="s">
        <v>545</v>
      </c>
      <c r="D1085" s="27" t="s">
        <v>524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549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/>
    </row>
    <row r="1088" spans="1:12">
      <c r="A1088" s="20" t="s">
        <v>1004</v>
      </c>
    </row>
    <row r="1089" spans="1:12">
      <c r="A1089" s="20" t="s">
        <v>665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528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565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518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571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966</v>
      </c>
      <c r="B1094" s="27" t="s">
        <v>592</v>
      </c>
      <c r="C1094" s="27" t="s">
        <v>540</v>
      </c>
      <c r="D1094" s="27" t="s">
        <v>524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518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1005</v>
      </c>
      <c r="B1096" s="27" t="s">
        <v>597</v>
      </c>
      <c r="C1096" s="27" t="s">
        <v>564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834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565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730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877</v>
      </c>
      <c r="B1100" s="27" t="s">
        <v>597</v>
      </c>
      <c r="C1100" s="27" t="s">
        <v>669</v>
      </c>
      <c r="D1100" s="27" t="s">
        <v>524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895</v>
      </c>
      <c r="B1101" s="27" t="s">
        <v>680</v>
      </c>
      <c r="C1101" s="27" t="s">
        <v>545</v>
      </c>
      <c r="D1101" s="27" t="s">
        <v>524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565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542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1006</v>
      </c>
      <c r="B1104" s="27" t="s">
        <v>597</v>
      </c>
      <c r="C1104" s="27" t="s">
        <v>545</v>
      </c>
      <c r="D1104" s="27" t="s">
        <v>524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1007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541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1008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1009</v>
      </c>
      <c r="B1108" s="27" t="s">
        <v>608</v>
      </c>
      <c r="C1108" s="27" t="s">
        <v>540</v>
      </c>
      <c r="D1108" s="27" t="s">
        <v>524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518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967</v>
      </c>
      <c r="B1110" s="27" t="s">
        <v>699</v>
      </c>
      <c r="C1110" s="27" t="s">
        <v>564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565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1010</v>
      </c>
      <c r="B1112" s="27" t="s">
        <v>544</v>
      </c>
      <c r="C1112" s="27" t="s">
        <v>540</v>
      </c>
      <c r="D1112" s="27" t="s">
        <v>524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518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1011</v>
      </c>
      <c r="B1114" s="27" t="s">
        <v>534</v>
      </c>
      <c r="C1114" s="27" t="s">
        <v>564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625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518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1012</v>
      </c>
      <c r="B1117" s="27" t="s">
        <v>641</v>
      </c>
      <c r="C1117" s="27" t="s">
        <v>540</v>
      </c>
      <c r="D1117" s="27" t="s">
        <v>524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577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1013</v>
      </c>
      <c r="B1119" s="27" t="s">
        <v>699</v>
      </c>
      <c r="C1119" s="27" t="s">
        <v>564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565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528</v>
      </c>
      <c r="B1121" s="27" t="s">
        <v>873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1014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730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777</v>
      </c>
      <c r="B1124" s="27" t="s">
        <v>608</v>
      </c>
      <c r="C1124" s="27" t="s">
        <v>545</v>
      </c>
      <c r="D1124" s="27" t="s">
        <v>524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542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1015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843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758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542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730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1016</v>
      </c>
      <c r="B1131" s="27" t="s">
        <v>658</v>
      </c>
      <c r="C1131" s="27" t="s">
        <v>669</v>
      </c>
      <c r="D1131" s="27" t="s">
        <v>524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1017</v>
      </c>
      <c r="B1132" s="27" t="s">
        <v>653</v>
      </c>
      <c r="C1132" s="27" t="s">
        <v>545</v>
      </c>
      <c r="D1132" s="27" t="s">
        <v>524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565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625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542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1018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682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1019</v>
      </c>
      <c r="B1138" s="27" t="s">
        <v>556</v>
      </c>
      <c r="C1138" s="27" t="s">
        <v>545</v>
      </c>
      <c r="D1138" s="27" t="s">
        <v>524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528</v>
      </c>
      <c r="B1139" s="27" t="s">
        <v>608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542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1020</v>
      </c>
      <c r="B1141" s="27" t="s">
        <v>873</v>
      </c>
      <c r="C1141" s="27" t="s">
        <v>545</v>
      </c>
      <c r="D1141" s="27" t="s">
        <v>524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828</v>
      </c>
      <c r="B1142" s="27" t="s">
        <v>608</v>
      </c>
      <c r="C1142" s="27" t="s">
        <v>523</v>
      </c>
      <c r="D1142" s="27" t="s">
        <v>524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1021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565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567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541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708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1022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577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730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1023</v>
      </c>
      <c r="B1151" s="27" t="s">
        <v>573</v>
      </c>
      <c r="C1151" s="27" t="s">
        <v>540</v>
      </c>
      <c r="D1151" s="27" t="s">
        <v>524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1024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577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542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1025</v>
      </c>
      <c r="B1155" s="27" t="s">
        <v>641</v>
      </c>
      <c r="C1155" s="27" t="s">
        <v>548</v>
      </c>
      <c r="D1155" s="27" t="s">
        <v>524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565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1026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542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730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777</v>
      </c>
      <c r="B1160" s="27" t="s">
        <v>743</v>
      </c>
      <c r="C1160" s="27" t="s">
        <v>545</v>
      </c>
      <c r="D1160" s="27" t="s">
        <v>524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1027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843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625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1028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730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1029</v>
      </c>
      <c r="B1166" s="27" t="s">
        <v>556</v>
      </c>
      <c r="C1166" s="27" t="s">
        <v>540</v>
      </c>
      <c r="D1166" s="27" t="s">
        <v>524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518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995</v>
      </c>
      <c r="B1168" s="27" t="s">
        <v>534</v>
      </c>
      <c r="C1168" s="27" t="s">
        <v>523</v>
      </c>
      <c r="D1168" s="27" t="s">
        <v>524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1030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518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790</v>
      </c>
      <c r="B1171" s="27" t="s">
        <v>641</v>
      </c>
      <c r="C1171" s="27" t="s">
        <v>564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542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828</v>
      </c>
      <c r="B1173" s="27" t="s">
        <v>556</v>
      </c>
      <c r="C1173" s="27" t="s">
        <v>523</v>
      </c>
      <c r="D1173" s="27" t="s">
        <v>524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159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1031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843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1032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542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682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1033</v>
      </c>
      <c r="B1180" s="27" t="s">
        <v>573</v>
      </c>
      <c r="C1180" s="27" t="s">
        <v>545</v>
      </c>
      <c r="D1180" s="27" t="s">
        <v>524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528</v>
      </c>
      <c r="B1181" s="27" t="s">
        <v>716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1034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549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/>
    </row>
    <row r="1185" spans="1:12">
      <c r="A1185" s="20" t="s">
        <v>1035</v>
      </c>
    </row>
    <row r="1186" spans="1:12">
      <c r="A1186" s="20" t="s">
        <v>1036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542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163</v>
      </c>
      <c r="B1188" s="27" t="s">
        <v>592</v>
      </c>
      <c r="C1188" s="27" t="s">
        <v>540</v>
      </c>
      <c r="D1188" s="27" t="s">
        <v>524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577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682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1037</v>
      </c>
      <c r="B1191" s="27" t="s">
        <v>592</v>
      </c>
      <c r="C1191" s="27" t="s">
        <v>523</v>
      </c>
      <c r="D1191" s="27" t="s">
        <v>524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565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518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1038</v>
      </c>
      <c r="B1194" s="27" t="s">
        <v>597</v>
      </c>
      <c r="C1194" s="27" t="s">
        <v>564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429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1039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1040</v>
      </c>
      <c r="B1197" s="27" t="s">
        <v>544</v>
      </c>
      <c r="C1197" s="27" t="s">
        <v>584</v>
      </c>
      <c r="D1197" s="27" t="s">
        <v>524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528</v>
      </c>
      <c r="B1198" s="27" t="s">
        <v>873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559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833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1041</v>
      </c>
      <c r="B1201" s="27" t="s">
        <v>534</v>
      </c>
      <c r="C1201" s="27" t="s">
        <v>564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565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528</v>
      </c>
      <c r="B1203" s="27" t="s">
        <v>608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1042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1043</v>
      </c>
      <c r="B1205" s="27" t="s">
        <v>873</v>
      </c>
      <c r="C1205" s="27" t="s">
        <v>908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771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1044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804</v>
      </c>
      <c r="B1208" s="27" t="s">
        <v>608</v>
      </c>
      <c r="C1208" s="27" t="s">
        <v>535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1045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625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805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542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1046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542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542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 t="s">
        <v>1000</v>
      </c>
      <c r="B1216" s="27" t="s">
        <v>653</v>
      </c>
      <c r="C1216" s="27" t="s">
        <v>545</v>
      </c>
      <c r="D1216" s="27" t="s">
        <v>524</v>
      </c>
      <c r="E1216" s="21">
        <f>IF(D1216="?OLD","!!!","")</f>
        <v/>
      </c>
      <c r="F1216" s="22" t="str">
        <f>IF(OR(E1216="",E1216="!!!"),"",IF(NOT(ISNA(VLOOKUP(E1216,E$1:E1215,1,FALSE()))),"OLD",IF(AND(E1216&lt;&gt;"",E1216&lt;&gt;"!!!"),"NEW","")))</f>
        <v> </v>
      </c>
      <c r="G1216" s="23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4" t="str">
        <f>IF(J1216&lt;&gt;1,"",IF(I1216="SBJ","CB","?"))</f>
        <v> </v>
      </c>
      <c r="I1216" s="25" t="str">
        <f>IF(OR(E1216="",E1216="!!!",F1216="NEW"),"",INDEX(B1215:B$2,-1+SUMPRODUCT(MAX(ROW(E1215:E$2)*(E1216=E1215:E$2)))))</f>
        <v> </v>
      </c>
      <c r="J1216" s="25" t="str">
        <f>IF(OR(E1216="",E1216="!!!",F1216="NEW"),"",COUNTBLANK(OFFSET(A$1,,,SUMPRODUCT(MAX(ROW(E$2:E1216)*(E1216=E$2:E1216)))))-COUNTBLANK(OFFSET(A$1,,,SUMPRODUCT(MAX(ROW(E$1:E1215)*(E2=E$1:E1215))))))</f>
        <v> </v>
      </c>
      <c r="K1216" s="25" t="str">
        <f>IF(OR(E1216="",E1216="!!!",F1216="NEW"),"",INDEX(J$1:J1215,SUMPRODUCT(MAX(ROW(E$1:E1215)*(E1216=E$1:E1215)))))</f>
        <v> </v>
      </c>
      <c r="L1216" s="26"/>
    </row>
    <row r="1217" spans="1:12">
      <c r="A1217" s="20" t="s">
        <v>565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625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528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542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1047</v>
      </c>
      <c r="B1221" s="27" t="s">
        <v>633</v>
      </c>
      <c r="C1221" s="27" t="s">
        <v>545</v>
      </c>
      <c r="D1221" s="27" t="s">
        <v>524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1048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541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843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1049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751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571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 t="s">
        <v>1050</v>
      </c>
      <c r="B1228" s="27" t="s">
        <v>544</v>
      </c>
      <c r="C1228" s="27" t="s">
        <v>669</v>
      </c>
      <c r="D1228" s="27" t="s">
        <v>524</v>
      </c>
      <c r="E1228" s="21">
        <f>IF(D1228="?OLD","!!!","")</f>
        <v/>
      </c>
      <c r="F1228" s="22" t="str">
        <f>IF(OR(E1228="",E1228="!!!"),"",IF(NOT(ISNA(VLOOKUP(E1228,E$1:E1227,1,FALSE()))),"OLD",IF(AND(E1228&lt;&gt;"",E1228&lt;&gt;"!!!"),"NEW","")))</f>
        <v> </v>
      </c>
      <c r="G1228" s="23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4" t="str">
        <f>IF(J1228&lt;&gt;1,"",IF(I1228="SBJ","CB","?"))</f>
        <v> </v>
      </c>
      <c r="I1228" s="25" t="str">
        <f>IF(OR(E1228="",E1228="!!!",F1228="NEW"),"",INDEX(B1227:B$2,-1+SUMPRODUCT(MAX(ROW(E1227:E$2)*(E1228=E1227:E$2)))))</f>
        <v> </v>
      </c>
      <c r="J1228" s="25" t="str">
        <f>IF(OR(E1228="",E1228="!!!",F1228="NEW"),"",COUNTBLANK(OFFSET(A$1,,,SUMPRODUCT(MAX(ROW(E$2:E1228)*(E1228=E$2:E1228)))))-COUNTBLANK(OFFSET(A$1,,,SUMPRODUCT(MAX(ROW(E$1:E1227)*(E2=E$1:E1227))))))</f>
        <v> </v>
      </c>
      <c r="K1228" s="25" t="str">
        <f>IF(OR(E1228="",E1228="!!!",F1228="NEW"),"",INDEX(J$1:J1227,SUMPRODUCT(MAX(ROW(E$1:E1227)*(E1228=E$1:E1227)))))</f>
        <v> </v>
      </c>
      <c r="L1228" s="26"/>
    </row>
    <row r="1229" spans="1:12">
      <c r="A1229" s="20" t="s">
        <v>1051</v>
      </c>
      <c r="E1229" s="21">
        <f>IF(D1229="?OLD","!!!","")</f>
        <v/>
      </c>
      <c r="F1229" s="22" t="str">
        <f>IF(OR(E1229="",E1229="!!!"),"",IF(NOT(ISNA(VLOOKUP(E1229,E$1:E1228,1,FALSE()))),"OLD",IF(AND(E1229&lt;&gt;"",E1229&lt;&gt;"!!!"),"NEW","")))</f>
        <v> </v>
      </c>
      <c r="G1229" s="23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4" t="str">
        <f>IF(J1229&lt;&gt;1,"",IF(I1229="SBJ","CB","?"))</f>
        <v> </v>
      </c>
      <c r="I1229" s="25" t="str">
        <f>IF(OR(E1229="",E1229="!!!",F1229="NEW"),"",INDEX(B1228:B$2,-1+SUMPRODUCT(MAX(ROW(E1228:E$2)*(E1229=E1228:E$2)))))</f>
        <v> </v>
      </c>
      <c r="J1229" s="25" t="str">
        <f>IF(OR(E1229="",E1229="!!!",F1229="NEW"),"",COUNTBLANK(OFFSET(A$1,,,SUMPRODUCT(MAX(ROW(E$2:E1229)*(E1229=E$2:E1229)))))-COUNTBLANK(OFFSET(A$1,,,SUMPRODUCT(MAX(ROW(E$1:E1228)*(E2=E$1:E1228))))))</f>
        <v> </v>
      </c>
      <c r="K1229" s="25" t="str">
        <f>IF(OR(E1229="",E1229="!!!",F1229="NEW"),"",INDEX(J$1:J1228,SUMPRODUCT(MAX(ROW(E$1:E1228)*(E1229=E$1:E1228)))))</f>
        <v> </v>
      </c>
      <c r="L1229" s="26"/>
    </row>
    <row r="1230" spans="1:12">
      <c r="A1230" s="20" t="s">
        <v>1052</v>
      </c>
      <c r="B1230" s="27" t="s">
        <v>597</v>
      </c>
      <c r="C1230" s="27" t="s">
        <v>545</v>
      </c>
      <c r="D1230" s="27" t="s">
        <v>524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549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/>
    </row>
    <row r="1233" spans="1:12">
      <c r="A1233" s="20" t="s">
        <v>1053</v>
      </c>
    </row>
    <row r="1234" spans="1:12">
      <c r="A1234" s="20" t="s">
        <v>786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787</v>
      </c>
      <c r="B1235" s="27" t="s">
        <v>597</v>
      </c>
      <c r="C1235" s="27" t="s">
        <v>669</v>
      </c>
      <c r="D1235" s="27" t="s">
        <v>524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1047</v>
      </c>
      <c r="B1236" s="27" t="s">
        <v>680</v>
      </c>
      <c r="C1236" s="27" t="s">
        <v>540</v>
      </c>
      <c r="D1236" s="27" t="s">
        <v>524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518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1054</v>
      </c>
      <c r="B1238" s="27" t="s">
        <v>597</v>
      </c>
      <c r="C1238" s="27" t="s">
        <v>564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751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525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804</v>
      </c>
      <c r="B1241" s="27" t="s">
        <v>592</v>
      </c>
      <c r="C1241" s="27" t="s">
        <v>527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757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1055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565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 t="s">
        <v>806</v>
      </c>
      <c r="E1245" s="21">
        <f>IF(D1245="?OLD","!!!","")</f>
        <v/>
      </c>
      <c r="F1245" s="22" t="str">
        <f>IF(OR(E1245="",E1245="!!!"),"",IF(NOT(ISNA(VLOOKUP(E1245,E$1:E1244,1,FALSE()))),"OLD",IF(AND(E1245&lt;&gt;"",E1245&lt;&gt;"!!!"),"NEW","")))</f>
        <v> </v>
      </c>
      <c r="G1245" s="23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4" t="str">
        <f>IF(J1245&lt;&gt;1,"",IF(I1245="SBJ","CB","?"))</f>
        <v> </v>
      </c>
      <c r="I1245" s="25" t="str">
        <f>IF(OR(E1245="",E1245="!!!",F1245="NEW"),"",INDEX(B1244:B$2,-1+SUMPRODUCT(MAX(ROW(E1244:E$2)*(E1245=E1244:E$2)))))</f>
        <v> </v>
      </c>
      <c r="J1245" s="25" t="str">
        <f>IF(OR(E1245="",E1245="!!!",F1245="NEW"),"",COUNTBLANK(OFFSET(A$1,,,SUMPRODUCT(MAX(ROW(E$2:E1245)*(E1245=E$2:E1245)))))-COUNTBLANK(OFFSET(A$1,,,SUMPRODUCT(MAX(ROW(E$1:E1244)*(E2=E$1:E1244))))))</f>
        <v> </v>
      </c>
      <c r="K1245" s="25" t="str">
        <f>IF(OR(E1245="",E1245="!!!",F1245="NEW"),"",INDEX(J$1:J1244,SUMPRODUCT(MAX(ROW(E$1:E1244)*(E1245=E$1:E1244)))))</f>
        <v> </v>
      </c>
      <c r="L1245" s="26"/>
    </row>
    <row r="1246" spans="1:12">
      <c r="A1246" s="20" t="s">
        <v>1042</v>
      </c>
      <c r="E1246" s="21">
        <f>IF(D1246="?OLD","!!!","")</f>
        <v/>
      </c>
      <c r="F1246" s="22" t="str">
        <f>IF(OR(E1246="",E1246="!!!"),"",IF(NOT(ISNA(VLOOKUP(E1246,E$1:E1245,1,FALSE()))),"OLD",IF(AND(E1246&lt;&gt;"",E1246&lt;&gt;"!!!"),"NEW","")))</f>
        <v> </v>
      </c>
      <c r="G1246" s="23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4" t="str">
        <f>IF(J1246&lt;&gt;1,"",IF(I1246="SBJ","CB","?"))</f>
        <v> </v>
      </c>
      <c r="I1246" s="25" t="str">
        <f>IF(OR(E1246="",E1246="!!!",F1246="NEW"),"",INDEX(B1245:B$2,-1+SUMPRODUCT(MAX(ROW(E1245:E$2)*(E1246=E1245:E$2)))))</f>
        <v> </v>
      </c>
      <c r="J1246" s="25" t="str">
        <f>IF(OR(E1246="",E1246="!!!",F1246="NEW"),"",COUNTBLANK(OFFSET(A$1,,,SUMPRODUCT(MAX(ROW(E$2:E1246)*(E1246=E$2:E1246)))))-COUNTBLANK(OFFSET(A$1,,,SUMPRODUCT(MAX(ROW(E$1:E1245)*(E2=E$1:E1245))))))</f>
        <v> </v>
      </c>
      <c r="K1246" s="25" t="str">
        <f>IF(OR(E1246="",E1246="!!!",F1246="NEW"),"",INDEX(J$1:J1245,SUMPRODUCT(MAX(ROW(E$1:E1245)*(E1246=E$1:E1245)))))</f>
        <v> </v>
      </c>
      <c r="L1246" s="26"/>
    </row>
    <row r="1247" spans="1:12">
      <c r="A1247" s="20" t="s">
        <v>542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1043</v>
      </c>
      <c r="B1248" s="27" t="s">
        <v>667</v>
      </c>
      <c r="C1248" s="27" t="s">
        <v>557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1056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1022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520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690</v>
      </c>
      <c r="B1252" s="27" t="s">
        <v>556</v>
      </c>
      <c r="C1252" s="27" t="s">
        <v>523</v>
      </c>
      <c r="D1252" s="27" t="s">
        <v>524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 t="s">
        <v>1057</v>
      </c>
      <c r="E1253" s="21">
        <f>IF(D1253="?OLD","!!!","")</f>
        <v/>
      </c>
      <c r="F1253" s="22" t="str">
        <f>IF(OR(E1253="",E1253="!!!"),"",IF(NOT(ISNA(VLOOKUP(E1253,E$1:E1252,1,FALSE()))),"OLD",IF(AND(E1253&lt;&gt;"",E1253&lt;&gt;"!!!"),"NEW","")))</f>
        <v> </v>
      </c>
      <c r="G1253" s="23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4" t="str">
        <f>IF(J1253&lt;&gt;1,"",IF(I1253="SBJ","CB","?"))</f>
        <v> </v>
      </c>
      <c r="I1253" s="25" t="str">
        <f>IF(OR(E1253="",E1253="!!!",F1253="NEW"),"",INDEX(B1252:B$2,-1+SUMPRODUCT(MAX(ROW(E1252:E$2)*(E1253=E1252:E$2)))))</f>
        <v> </v>
      </c>
      <c r="J1253" s="25" t="str">
        <f>IF(OR(E1253="",E1253="!!!",F1253="NEW"),"",COUNTBLANK(OFFSET(A$1,,,SUMPRODUCT(MAX(ROW(E$2:E1253)*(E1253=E$2:E1253)))))-COUNTBLANK(OFFSET(A$1,,,SUMPRODUCT(MAX(ROW(E$1:E1252)*(E2=E$1:E1252))))))</f>
        <v> </v>
      </c>
      <c r="K1253" s="25" t="str">
        <f>IF(OR(E1253="",E1253="!!!",F1253="NEW"),"",INDEX(J$1:J1252,SUMPRODUCT(MAX(ROW(E$1:E1252)*(E1253=E$1:E1252)))))</f>
        <v> </v>
      </c>
      <c r="L1253" s="26"/>
    </row>
    <row r="1254" spans="1:12">
      <c r="A1254" s="20" t="s">
        <v>719</v>
      </c>
      <c r="E1254" s="21">
        <f>IF(D1254="?OLD","!!!","")</f>
        <v/>
      </c>
      <c r="F1254" s="22" t="str">
        <f>IF(OR(E1254="",E1254="!!!"),"",IF(NOT(ISNA(VLOOKUP(E1254,E$1:E1253,1,FALSE()))),"OLD",IF(AND(E1254&lt;&gt;"",E1254&lt;&gt;"!!!"),"NEW","")))</f>
        <v> </v>
      </c>
      <c r="G1254" s="23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4" t="str">
        <f>IF(J1254&lt;&gt;1,"",IF(I1254="SBJ","CB","?"))</f>
        <v> </v>
      </c>
      <c r="I1254" s="25" t="str">
        <f>IF(OR(E1254="",E1254="!!!",F1254="NEW"),"",INDEX(B1253:B$2,-1+SUMPRODUCT(MAX(ROW(E1253:E$2)*(E1254=E1253:E$2)))))</f>
        <v> </v>
      </c>
      <c r="J1254" s="25" t="str">
        <f>IF(OR(E1254="",E1254="!!!",F1254="NEW"),"",COUNTBLANK(OFFSET(A$1,,,SUMPRODUCT(MAX(ROW(E$2:E1254)*(E1254=E$2:E1254)))))-COUNTBLANK(OFFSET(A$1,,,SUMPRODUCT(MAX(ROW(E$1:E1253)*(E2=E$1:E1253))))))</f>
        <v> </v>
      </c>
      <c r="K1254" s="25" t="str">
        <f>IF(OR(E1254="",E1254="!!!",F1254="NEW"),"",INDEX(J$1:J1253,SUMPRODUCT(MAX(ROW(E$1:E1253)*(E1254=E$1:E1253)))))</f>
        <v> </v>
      </c>
      <c r="L1254" s="26"/>
    </row>
    <row r="1255" spans="1:12">
      <c r="A1255" s="20" t="s">
        <v>1018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542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1058</v>
      </c>
      <c r="B1257" s="27" t="s">
        <v>608</v>
      </c>
      <c r="C1257" s="27" t="s">
        <v>545</v>
      </c>
      <c r="D1257" s="27" t="s">
        <v>524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565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625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358</v>
      </c>
      <c r="B1260" s="27" t="s">
        <v>643</v>
      </c>
      <c r="C1260" s="27" t="s">
        <v>523</v>
      </c>
      <c r="D1260" s="27" t="s">
        <v>524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933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68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528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1059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525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804</v>
      </c>
      <c r="B1266" s="27" t="s">
        <v>940</v>
      </c>
      <c r="C1266" s="27" t="s">
        <v>527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549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/>
    </row>
    <row r="1269" spans="1:12">
      <c r="A1269" s="20" t="s">
        <v>1060</v>
      </c>
    </row>
    <row r="1270" spans="1:12">
      <c r="A1270" s="20" t="s">
        <v>750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1061</v>
      </c>
      <c r="B1271" s="27" t="s">
        <v>680</v>
      </c>
      <c r="C1271" s="27" t="s">
        <v>637</v>
      </c>
      <c r="D1271" s="27" t="s">
        <v>524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576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645</v>
      </c>
      <c r="B1273" s="27" t="s">
        <v>743</v>
      </c>
      <c r="C1273" s="27" t="s">
        <v>523</v>
      </c>
      <c r="D1273" s="27" t="s">
        <v>524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1062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757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1063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 t="s">
        <v>549</v>
      </c>
      <c r="E1277" s="21">
        <f>IF(D1277="?OLD","!!!","")</f>
        <v/>
      </c>
      <c r="F1277" s="22" t="str">
        <f>IF(OR(E1277="",E1277="!!!"),"",IF(NOT(ISNA(VLOOKUP(E1277,E$1:E1276,1,FALSE()))),"OLD",IF(AND(E1277&lt;&gt;"",E1277&lt;&gt;"!!!"),"NEW","")))</f>
        <v> </v>
      </c>
      <c r="G1277" s="23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4" t="str">
        <f>IF(J1277&lt;&gt;1,"",IF(I1277="SBJ","CB","?"))</f>
        <v> </v>
      </c>
      <c r="I1277" s="25" t="str">
        <f>IF(OR(E1277="",E1277="!!!",F1277="NEW"),"",INDEX(B1276:B$2,-1+SUMPRODUCT(MAX(ROW(E1276:E$2)*(E1277=E1276:E$2)))))</f>
        <v> </v>
      </c>
      <c r="J1277" s="25" t="str">
        <f>IF(OR(E1277="",E1277="!!!",F1277="NEW"),"",COUNTBLANK(OFFSET(A$1,,,SUMPRODUCT(MAX(ROW(E$2:E1277)*(E1277=E$2:E1277)))))-COUNTBLANK(OFFSET(A$1,,,SUMPRODUCT(MAX(ROW(E$1:E1276)*(E2=E$1:E1276))))))</f>
        <v> </v>
      </c>
      <c r="K1277" s="25" t="str">
        <f>IF(OR(E1277="",E1277="!!!",F1277="NEW"),"",INDEX(J$1:J1276,SUMPRODUCT(MAX(ROW(E$1:E1276)*(E1277=E$1:E1276)))))</f>
        <v> </v>
      </c>
      <c r="L1277" s="26"/>
    </row>
    <row r="1278" spans="1:12">
      <c r="A1278" s="20"/>
    </row>
    <row r="1279" spans="1:12">
      <c r="A1279" s="20" t="s">
        <v>1064</v>
      </c>
    </row>
    <row r="1280" spans="1:12">
      <c r="A1280" s="20" t="s">
        <v>1065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645</v>
      </c>
      <c r="B1281" s="27" t="s">
        <v>743</v>
      </c>
      <c r="C1281" s="27" t="s">
        <v>523</v>
      </c>
      <c r="D1281" s="27" t="s">
        <v>524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1066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1067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542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542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 t="s">
        <v>1068</v>
      </c>
      <c r="B1286" s="27" t="s">
        <v>743</v>
      </c>
      <c r="C1286" s="27" t="s">
        <v>545</v>
      </c>
      <c r="D1286" s="27" t="s">
        <v>524</v>
      </c>
      <c r="E1286" s="21">
        <f>IF(D1286="?OLD","!!!","")</f>
        <v/>
      </c>
      <c r="F1286" s="22" t="str">
        <f>IF(OR(E1286="",E1286="!!!"),"",IF(NOT(ISNA(VLOOKUP(E1286,E$1:E1285,1,FALSE()))),"OLD",IF(AND(E1286&lt;&gt;"",E1286&lt;&gt;"!!!"),"NEW","")))</f>
        <v> </v>
      </c>
      <c r="G1286" s="23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4" t="str">
        <f>IF(J1286&lt;&gt;1,"",IF(I1286="SBJ","CB","?"))</f>
        <v> </v>
      </c>
      <c r="I1286" s="25" t="str">
        <f>IF(OR(E1286="",E1286="!!!",F1286="NEW"),"",INDEX(B1285:B$2,-1+SUMPRODUCT(MAX(ROW(E1285:E$2)*(E1286=E1285:E$2)))))</f>
        <v> </v>
      </c>
      <c r="J1286" s="25" t="str">
        <f>IF(OR(E1286="",E1286="!!!",F1286="NEW"),"",COUNTBLANK(OFFSET(A$1,,,SUMPRODUCT(MAX(ROW(E$2:E1286)*(E1286=E$2:E1286)))))-COUNTBLANK(OFFSET(A$1,,,SUMPRODUCT(MAX(ROW(E$1:E1285)*(E2=E$1:E1285))))))</f>
        <v> </v>
      </c>
      <c r="K1286" s="25" t="str">
        <f>IF(OR(E1286="",E1286="!!!",F1286="NEW"),"",INDEX(J$1:J1285,SUMPRODUCT(MAX(ROW(E$1:E1285)*(E1286=E$1:E1285)))))</f>
        <v> </v>
      </c>
      <c r="L1286" s="26"/>
    </row>
    <row r="1287" spans="1:12">
      <c r="A1287" s="20" t="s">
        <v>542</v>
      </c>
      <c r="E1287" s="21">
        <f>IF(D1287="?OLD","!!!","")</f>
        <v/>
      </c>
      <c r="F1287" s="22" t="str">
        <f>IF(OR(E1287="",E1287="!!!"),"",IF(NOT(ISNA(VLOOKUP(E1287,E$1:E1286,1,FALSE()))),"OLD",IF(AND(E1287&lt;&gt;"",E1287&lt;&gt;"!!!"),"NEW","")))</f>
        <v> </v>
      </c>
      <c r="G1287" s="23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4" t="str">
        <f>IF(J1287&lt;&gt;1,"",IF(I1287="SBJ","CB","?"))</f>
        <v> </v>
      </c>
      <c r="I1287" s="25" t="str">
        <f>IF(OR(E1287="",E1287="!!!",F1287="NEW"),"",INDEX(B1286:B$2,-1+SUMPRODUCT(MAX(ROW(E1286:E$2)*(E1287=E1286:E$2)))))</f>
        <v> </v>
      </c>
      <c r="J1287" s="25" t="str">
        <f>IF(OR(E1287="",E1287="!!!",F1287="NEW"),"",COUNTBLANK(OFFSET(A$1,,,SUMPRODUCT(MAX(ROW(E$2:E1287)*(E1287=E$2:E1287)))))-COUNTBLANK(OFFSET(A$1,,,SUMPRODUCT(MAX(ROW(E$1:E1286)*(E2=E$1:E1286))))))</f>
        <v> </v>
      </c>
      <c r="K1287" s="25" t="str">
        <f>IF(OR(E1287="",E1287="!!!",F1287="NEW"),"",INDEX(J$1:J1286,SUMPRODUCT(MAX(ROW(E$1:E1286)*(E1287=E$1:E1286)))))</f>
        <v> </v>
      </c>
      <c r="L1287" s="26"/>
    </row>
    <row r="1288" spans="1:12">
      <c r="A1288" s="20" t="s">
        <v>1069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1070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542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635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1071</v>
      </c>
      <c r="B1292" s="27" t="s">
        <v>544</v>
      </c>
      <c r="C1292" s="27" t="s">
        <v>637</v>
      </c>
      <c r="D1292" s="27" t="s">
        <v>524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625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1072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528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1073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542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372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1074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549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/>
    </row>
    <row r="1302" spans="1:12">
      <c r="A1302" s="20" t="s">
        <v>1075</v>
      </c>
    </row>
    <row r="1303" spans="1:12">
      <c r="A1303" s="20" t="s">
        <v>1076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542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1077</v>
      </c>
      <c r="B1305" s="27" t="s">
        <v>592</v>
      </c>
      <c r="C1305" s="27" t="s">
        <v>545</v>
      </c>
      <c r="D1305" s="27" t="s">
        <v>524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518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1078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 t="s">
        <v>542</v>
      </c>
      <c r="E1308" s="21">
        <f>IF(D1308="?OLD","!!!","")</f>
        <v/>
      </c>
      <c r="F1308" s="22" t="str">
        <f>IF(OR(E1308="",E1308="!!!"),"",IF(NOT(ISNA(VLOOKUP(E1308,E$1:E1307,1,FALSE()))),"OLD",IF(AND(E1308&lt;&gt;"",E1308&lt;&gt;"!!!"),"NEW","")))</f>
        <v> </v>
      </c>
      <c r="G1308" s="23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4" t="str">
        <f>IF(J1308&lt;&gt;1,"",IF(I1308="SBJ","CB","?"))</f>
        <v> </v>
      </c>
      <c r="I1308" s="25" t="str">
        <f>IF(OR(E1308="",E1308="!!!",F1308="NEW"),"",INDEX(B1307:B$2,-1+SUMPRODUCT(MAX(ROW(E1307:E$2)*(E1308=E1307:E$2)))))</f>
        <v> </v>
      </c>
      <c r="J1308" s="25" t="str">
        <f>IF(OR(E1308="",E1308="!!!",F1308="NEW"),"",COUNTBLANK(OFFSET(A$1,,,SUMPRODUCT(MAX(ROW(E$2:E1308)*(E1308=E$2:E1308)))))-COUNTBLANK(OFFSET(A$1,,,SUMPRODUCT(MAX(ROW(E$1:E1307)*(E2=E$1:E1307))))))</f>
        <v> </v>
      </c>
      <c r="K1308" s="25" t="str">
        <f>IF(OR(E1308="",E1308="!!!",F1308="NEW"),"",INDEX(J$1:J1307,SUMPRODUCT(MAX(ROW(E$1:E1307)*(E1308=E$1:E1307)))))</f>
        <v> </v>
      </c>
      <c r="L1308" s="26"/>
    </row>
    <row r="1309" spans="1:12">
      <c r="A1309" s="20" t="s">
        <v>1058</v>
      </c>
      <c r="B1309" s="27" t="s">
        <v>556</v>
      </c>
      <c r="C1309" s="27" t="s">
        <v>545</v>
      </c>
      <c r="D1309" s="27" t="s">
        <v>524</v>
      </c>
      <c r="E1309" s="21">
        <f>IF(D1309="?OLD","!!!","")</f>
        <v/>
      </c>
      <c r="F1309" s="22" t="str">
        <f>IF(OR(E1309="",E1309="!!!"),"",IF(NOT(ISNA(VLOOKUP(E1309,E$1:E1308,1,FALSE()))),"OLD",IF(AND(E1309&lt;&gt;"",E1309&lt;&gt;"!!!"),"NEW","")))</f>
        <v> </v>
      </c>
      <c r="G1309" s="23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4" t="str">
        <f>IF(J1309&lt;&gt;1,"",IF(I1309="SBJ","CB","?"))</f>
        <v> </v>
      </c>
      <c r="I1309" s="25" t="str">
        <f>IF(OR(E1309="",E1309="!!!",F1309="NEW"),"",INDEX(B1308:B$2,-1+SUMPRODUCT(MAX(ROW(E1308:E$2)*(E1309=E1308:E$2)))))</f>
        <v> </v>
      </c>
      <c r="J1309" s="25" t="str">
        <f>IF(OR(E1309="",E1309="!!!",F1309="NEW"),"",COUNTBLANK(OFFSET(A$1,,,SUMPRODUCT(MAX(ROW(E$2:E1309)*(E1309=E$2:E1309)))))-COUNTBLANK(OFFSET(A$1,,,SUMPRODUCT(MAX(ROW(E$1:E1308)*(E2=E$1:E1308))))))</f>
        <v> </v>
      </c>
      <c r="K1309" s="25" t="str">
        <f>IF(OR(E1309="",E1309="!!!",F1309="NEW"),"",INDEX(J$1:J1308,SUMPRODUCT(MAX(ROW(E$1:E1308)*(E1309=E$1:E1308)))))</f>
        <v> </v>
      </c>
      <c r="L1309" s="26"/>
    </row>
    <row r="1310" spans="1:12">
      <c r="A1310" s="20" t="s">
        <v>1079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1080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542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1081</v>
      </c>
      <c r="B1313" s="27" t="s">
        <v>680</v>
      </c>
      <c r="C1313" s="27" t="s">
        <v>545</v>
      </c>
      <c r="D1313" s="27" t="s">
        <v>524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518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528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571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909</v>
      </c>
      <c r="B1317" s="27" t="s">
        <v>633</v>
      </c>
      <c r="C1317" s="27" t="s">
        <v>545</v>
      </c>
      <c r="D1317" s="27" t="s">
        <v>524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565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813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542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1082</v>
      </c>
      <c r="B1321" s="27" t="s">
        <v>534</v>
      </c>
      <c r="C1321" s="27" t="s">
        <v>545</v>
      </c>
      <c r="D1321" s="27" t="s">
        <v>524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565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1079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1083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520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571</v>
      </c>
      <c r="B1326" s="27" t="s">
        <v>573</v>
      </c>
      <c r="C1326" s="27" t="s">
        <v>523</v>
      </c>
      <c r="D1326" s="27" t="s">
        <v>524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1018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518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525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961</v>
      </c>
      <c r="B1330" s="27" t="s">
        <v>573</v>
      </c>
      <c r="C1330" s="27" t="s">
        <v>527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1084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708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 t="s">
        <v>843</v>
      </c>
      <c r="E1333" s="21">
        <f>IF(D1333="?OLD","!!!","")</f>
        <v/>
      </c>
      <c r="F1333" s="22" t="str">
        <f>IF(OR(E1333="",E1333="!!!"),"",IF(NOT(ISNA(VLOOKUP(E1333,E$1:E1332,1,FALSE()))),"OLD",IF(AND(E1333&lt;&gt;"",E1333&lt;&gt;"!!!"),"NEW","")))</f>
        <v> </v>
      </c>
      <c r="G1333" s="23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4" t="str">
        <f>IF(J1333&lt;&gt;1,"",IF(I1333="SBJ","CB","?"))</f>
        <v> </v>
      </c>
      <c r="I1333" s="25" t="str">
        <f>IF(OR(E1333="",E1333="!!!",F1333="NEW"),"",INDEX(B1332:B$2,-1+SUMPRODUCT(MAX(ROW(E1332:E$2)*(E1333=E1332:E$2)))))</f>
        <v> </v>
      </c>
      <c r="J1333" s="25" t="str">
        <f>IF(OR(E1333="",E1333="!!!",F1333="NEW"),"",COUNTBLANK(OFFSET(A$1,,,SUMPRODUCT(MAX(ROW(E$2:E1333)*(E1333=E$2:E1333)))))-COUNTBLANK(OFFSET(A$1,,,SUMPRODUCT(MAX(ROW(E$1:E1332)*(E2=E$1:E1332))))))</f>
        <v> </v>
      </c>
      <c r="K1333" s="25" t="str">
        <f>IF(OR(E1333="",E1333="!!!",F1333="NEW"),"",INDEX(J$1:J1332,SUMPRODUCT(MAX(ROW(E$1:E1332)*(E1333=E$1:E1332)))))</f>
        <v> </v>
      </c>
      <c r="L1333" s="26"/>
    </row>
    <row r="1334" spans="1:12">
      <c r="A1334" s="20" t="s">
        <v>1085</v>
      </c>
      <c r="E1334" s="21">
        <f>IF(D1334="?OLD","!!!","")</f>
        <v/>
      </c>
      <c r="F1334" s="22" t="str">
        <f>IF(OR(E1334="",E1334="!!!"),"",IF(NOT(ISNA(VLOOKUP(E1334,E$1:E1333,1,FALSE()))),"OLD",IF(AND(E1334&lt;&gt;"",E1334&lt;&gt;"!!!"),"NEW","")))</f>
        <v> </v>
      </c>
      <c r="G1334" s="23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4" t="str">
        <f>IF(J1334&lt;&gt;1,"",IF(I1334="SBJ","CB","?"))</f>
        <v> </v>
      </c>
      <c r="I1334" s="25" t="str">
        <f>IF(OR(E1334="",E1334="!!!",F1334="NEW"),"",INDEX(B1333:B$2,-1+SUMPRODUCT(MAX(ROW(E1333:E$2)*(E1334=E1333:E$2)))))</f>
        <v> </v>
      </c>
      <c r="J1334" s="25" t="str">
        <f>IF(OR(E1334="",E1334="!!!",F1334="NEW"),"",COUNTBLANK(OFFSET(A$1,,,SUMPRODUCT(MAX(ROW(E$2:E1334)*(E1334=E$2:E1334)))))-COUNTBLANK(OFFSET(A$1,,,SUMPRODUCT(MAX(ROW(E$1:E1333)*(E2=E$1:E1333))))))</f>
        <v> </v>
      </c>
      <c r="K1334" s="25" t="str">
        <f>IF(OR(E1334="",E1334="!!!",F1334="NEW"),"",INDEX(J$1:J1333,SUMPRODUCT(MAX(ROW(E$1:E1333)*(E1334=E$1:E1333)))))</f>
        <v> </v>
      </c>
      <c r="L1334" s="26"/>
    </row>
    <row r="1335" spans="1:12">
      <c r="A1335" s="20" t="s">
        <v>1086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560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542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961</v>
      </c>
      <c r="B1338" s="27" t="s">
        <v>658</v>
      </c>
      <c r="C1338" s="27" t="s">
        <v>545</v>
      </c>
      <c r="D1338" s="27" t="s">
        <v>524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565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719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843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682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1087</v>
      </c>
      <c r="B1343" s="27" t="s">
        <v>618</v>
      </c>
      <c r="C1343" s="27" t="s">
        <v>669</v>
      </c>
      <c r="D1343" s="27" t="s">
        <v>524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1088</v>
      </c>
      <c r="B1344" s="27" t="s">
        <v>643</v>
      </c>
      <c r="C1344" s="27" t="s">
        <v>540</v>
      </c>
      <c r="D1344" s="27" t="s">
        <v>524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577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542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578</v>
      </c>
      <c r="B1347" s="27" t="s">
        <v>618</v>
      </c>
      <c r="C1347" s="27" t="s">
        <v>545</v>
      </c>
      <c r="D1347" s="27" t="s">
        <v>524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1089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542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1090</v>
      </c>
      <c r="B1350" s="27" t="s">
        <v>699</v>
      </c>
      <c r="C1350" s="27" t="s">
        <v>540</v>
      </c>
      <c r="D1350" s="27" t="s">
        <v>524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518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542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1047</v>
      </c>
      <c r="B1353" s="27" t="s">
        <v>658</v>
      </c>
      <c r="C1353" s="27" t="s">
        <v>545</v>
      </c>
      <c r="D1353" s="27" t="s">
        <v>524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518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1091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813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1092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730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1093</v>
      </c>
      <c r="B1359" s="27" t="s">
        <v>585</v>
      </c>
      <c r="C1359" s="27" t="s">
        <v>540</v>
      </c>
      <c r="D1359" s="27" t="s">
        <v>524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518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542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578</v>
      </c>
      <c r="B1362" s="27" t="s">
        <v>723</v>
      </c>
      <c r="C1362" s="27" t="s">
        <v>545</v>
      </c>
      <c r="D1362" s="27" t="s">
        <v>524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520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730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1010</v>
      </c>
      <c r="B1365" s="27" t="s">
        <v>943</v>
      </c>
      <c r="C1365" s="27" t="s">
        <v>545</v>
      </c>
      <c r="D1365" s="27" t="s">
        <v>524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565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813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571</v>
      </c>
      <c r="B1368" s="27" t="s">
        <v>658</v>
      </c>
      <c r="C1368" s="27" t="s">
        <v>584</v>
      </c>
      <c r="D1368" s="27" t="s">
        <v>524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528</v>
      </c>
      <c r="B1369" s="27" t="s">
        <v>940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793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777</v>
      </c>
      <c r="B1371" s="27" t="s">
        <v>1094</v>
      </c>
      <c r="C1371" s="27" t="s">
        <v>535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1095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719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542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700</v>
      </c>
      <c r="B1375" s="27" t="s">
        <v>943</v>
      </c>
      <c r="C1375" s="27" t="s">
        <v>669</v>
      </c>
      <c r="D1375" s="27" t="s">
        <v>524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1096</v>
      </c>
      <c r="B1376" s="27" t="s">
        <v>618</v>
      </c>
      <c r="C1376" s="27" t="s">
        <v>545</v>
      </c>
      <c r="D1376" s="27" t="s">
        <v>524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549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/>
    </row>
    <row r="1379" spans="1:12">
      <c r="A1379" s="20" t="s">
        <v>1097</v>
      </c>
    </row>
    <row r="1380" spans="1:12">
      <c r="A1380" s="20" t="s">
        <v>677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518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678</v>
      </c>
      <c r="B1382" s="27" t="s">
        <v>592</v>
      </c>
      <c r="C1382" s="27" t="s">
        <v>564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775</v>
      </c>
      <c r="B1383" s="27" t="s">
        <v>680</v>
      </c>
      <c r="C1383" s="27" t="s">
        <v>523</v>
      </c>
      <c r="D1383" s="27" t="s">
        <v>524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1098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549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/>
    </row>
    <row r="1387" spans="1:12">
      <c r="A1387" s="20" t="s">
        <v>1099</v>
      </c>
    </row>
    <row r="1388" spans="1:12">
      <c r="A1388" s="20" t="s">
        <v>665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528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1100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1101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560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538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1102</v>
      </c>
      <c r="B1394" s="27" t="s">
        <v>597</v>
      </c>
      <c r="C1394" s="27" t="s">
        <v>527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565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1103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565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656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813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1104</v>
      </c>
      <c r="B1400" s="27" t="s">
        <v>534</v>
      </c>
      <c r="C1400" s="27" t="s">
        <v>991</v>
      </c>
      <c r="D1400" s="27" t="s">
        <v>524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549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/>
    </row>
    <row r="1403" spans="1:12">
      <c r="A1403" s="20" t="s">
        <v>1105</v>
      </c>
    </row>
    <row r="1404" spans="1:12">
      <c r="A1404" s="20" t="s">
        <v>632</v>
      </c>
      <c r="B1404" s="27" t="s">
        <v>680</v>
      </c>
      <c r="C1404" s="27" t="s">
        <v>523</v>
      </c>
      <c r="D1404" s="27" t="s">
        <v>524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 t="s">
        <v>965</v>
      </c>
      <c r="E1405" s="21">
        <f>IF(D1405="?OLD","!!!","")</f>
        <v/>
      </c>
      <c r="F1405" s="22" t="str">
        <f>IF(OR(E1405="",E1405="!!!"),"",IF(NOT(ISNA(VLOOKUP(E1405,E$1:E1404,1,FALSE()))),"OLD",IF(AND(E1405&lt;&gt;"",E1405&lt;&gt;"!!!"),"NEW","")))</f>
        <v> </v>
      </c>
      <c r="G1405" s="23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4" t="str">
        <f>IF(J1405&lt;&gt;1,"",IF(I1405="SBJ","CB","?"))</f>
        <v> </v>
      </c>
      <c r="I1405" s="25" t="str">
        <f>IF(OR(E1405="",E1405="!!!",F1405="NEW"),"",INDEX(B1404:B$2,-1+SUMPRODUCT(MAX(ROW(E1404:E$2)*(E1405=E1404:E$2)))))</f>
        <v> </v>
      </c>
      <c r="J1405" s="25" t="str">
        <f>IF(OR(E1405="",E1405="!!!",F1405="NEW"),"",COUNTBLANK(OFFSET(A$1,,,SUMPRODUCT(MAX(ROW(E$2:E1405)*(E1405=E$2:E1405)))))-COUNTBLANK(OFFSET(A$1,,,SUMPRODUCT(MAX(ROW(E$1:E1404)*(E2=E$1:E1404))))))</f>
        <v> </v>
      </c>
      <c r="K1405" s="25" t="str">
        <f>IF(OR(E1405="",E1405="!!!",F1405="NEW"),"",INDEX(J$1:J1404,SUMPRODUCT(MAX(ROW(E$1:E1404)*(E1405=E$1:E1404)))))</f>
        <v> </v>
      </c>
      <c r="L1405" s="26"/>
    </row>
    <row r="1406" spans="1:12">
      <c r="A1406" s="20" t="s">
        <v>933</v>
      </c>
      <c r="E1406" s="21">
        <f>IF(D1406="?OLD","!!!","")</f>
        <v/>
      </c>
      <c r="F1406" s="22" t="str">
        <f>IF(OR(E1406="",E1406="!!!"),"",IF(NOT(ISNA(VLOOKUP(E1406,E$1:E1405,1,FALSE()))),"OLD",IF(AND(E1406&lt;&gt;"",E1406&lt;&gt;"!!!"),"NEW","")))</f>
        <v> </v>
      </c>
      <c r="G1406" s="23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4" t="str">
        <f>IF(J1406&lt;&gt;1,"",IF(I1406="SBJ","CB","?"))</f>
        <v> </v>
      </c>
      <c r="I1406" s="25" t="str">
        <f>IF(OR(E1406="",E1406="!!!",F1406="NEW"),"",INDEX(B1405:B$2,-1+SUMPRODUCT(MAX(ROW(E1405:E$2)*(E1406=E1405:E$2)))))</f>
        <v> </v>
      </c>
      <c r="J1406" s="25" t="str">
        <f>IF(OR(E1406="",E1406="!!!",F1406="NEW"),"",COUNTBLANK(OFFSET(A$1,,,SUMPRODUCT(MAX(ROW(E$2:E1406)*(E1406=E$2:E1406)))))-COUNTBLANK(OFFSET(A$1,,,SUMPRODUCT(MAX(ROW(E$1:E1405)*(E2=E$1:E1405))))))</f>
        <v> </v>
      </c>
      <c r="K1406" s="25" t="str">
        <f>IF(OR(E1406="",E1406="!!!",F1406="NEW"),"",INDEX(J$1:J1405,SUMPRODUCT(MAX(ROW(E$1:E1405)*(E1406=E$1:E1405)))))</f>
        <v> </v>
      </c>
      <c r="L1406" s="26"/>
    </row>
    <row r="1407" spans="1:12">
      <c r="A1407" s="20" t="s">
        <v>188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528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856</v>
      </c>
      <c r="B1409" s="27" t="s">
        <v>667</v>
      </c>
      <c r="C1409" s="27" t="s">
        <v>584</v>
      </c>
      <c r="D1409" s="27" t="s">
        <v>524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751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1106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549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/>
    </row>
    <row r="1414" spans="1:12">
      <c r="A1414" s="20" t="s">
        <v>1107</v>
      </c>
    </row>
    <row r="1415" spans="1:12">
      <c r="A1415" s="20" t="s">
        <v>786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1058</v>
      </c>
      <c r="B1416" s="27" t="s">
        <v>680</v>
      </c>
      <c r="C1416" s="27" t="s">
        <v>545</v>
      </c>
      <c r="D1416" s="27" t="s">
        <v>524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708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751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538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1108</v>
      </c>
      <c r="B1420" s="27" t="s">
        <v>592</v>
      </c>
      <c r="C1420" s="27" t="s">
        <v>527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528</v>
      </c>
      <c r="B1421" s="27" t="s">
        <v>633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1109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518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1092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541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146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1110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542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1111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542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787</v>
      </c>
      <c r="B1431" s="27" t="s">
        <v>658</v>
      </c>
      <c r="C1431" s="27" t="s">
        <v>669</v>
      </c>
      <c r="D1431" s="27" t="s">
        <v>524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578</v>
      </c>
      <c r="B1432" s="27" t="s">
        <v>653</v>
      </c>
      <c r="C1432" s="27" t="s">
        <v>545</v>
      </c>
      <c r="D1432" s="27" t="s">
        <v>524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549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/>
    </row>
    <row r="1435" spans="1:12">
      <c r="A1435" s="20" t="s">
        <v>1112</v>
      </c>
    </row>
    <row r="1436" spans="1:12">
      <c r="A1436" s="20" t="s">
        <v>1113</v>
      </c>
      <c r="E1436" s="21">
        <f>IF(D1436="?OLD","!!!","")</f>
        <v/>
      </c>
      <c r="F1436" s="22" t="str">
        <f>IF(OR(E1436="",E1436="!!!"),"",IF(NOT(ISNA(VLOOKUP(E1436,E$1:E1435,1,FALSE()))),"OLD",IF(AND(E1436&lt;&gt;"",E1436&lt;&gt;"!!!"),"NEW","")))</f>
        <v> </v>
      </c>
      <c r="G1436" s="23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4" t="str">
        <f>IF(J1436&lt;&gt;1,"",IF(I1436="SBJ","CB","?"))</f>
        <v> </v>
      </c>
      <c r="I1436" s="25" t="str">
        <f>IF(OR(E1436="",E1436="!!!",F1436="NEW"),"",INDEX(B1435:B$2,-1+SUMPRODUCT(MAX(ROW(E1435:E$2)*(E1436=E1435:E$2)))))</f>
        <v> </v>
      </c>
      <c r="J1436" s="25" t="str">
        <f>IF(OR(E1436="",E1436="!!!",F1436="NEW"),"",COUNTBLANK(OFFSET(A$1,,,SUMPRODUCT(MAX(ROW(E$2:E1436)*(E1436=E$2:E1436)))))-COUNTBLANK(OFFSET(A$1,,,SUMPRODUCT(MAX(ROW(E$1:E1435)*(E2=E$1:E1435))))))</f>
        <v> </v>
      </c>
      <c r="K1436" s="25" t="str">
        <f>IF(OR(E1436="",E1436="!!!",F1436="NEW"),"",INDEX(J$1:J1435,SUMPRODUCT(MAX(ROW(E$1:E1435)*(E1436=E$1:E1435)))))</f>
        <v> </v>
      </c>
      <c r="L1436" s="26"/>
    </row>
    <row r="1437" spans="1:12">
      <c r="A1437" s="20" t="s">
        <v>1114</v>
      </c>
      <c r="B1437" s="27" t="s">
        <v>743</v>
      </c>
      <c r="C1437" s="27" t="s">
        <v>540</v>
      </c>
      <c r="D1437" s="27" t="s">
        <v>524</v>
      </c>
      <c r="E1437" s="21">
        <f>IF(D1437="?OLD","!!!","")</f>
        <v/>
      </c>
      <c r="F1437" s="22" t="str">
        <f>IF(OR(E1437="",E1437="!!!"),"",IF(NOT(ISNA(VLOOKUP(E1437,E$1:E1436,1,FALSE()))),"OLD",IF(AND(E1437&lt;&gt;"",E1437&lt;&gt;"!!!"),"NEW","")))</f>
        <v> </v>
      </c>
      <c r="G1437" s="23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4" t="str">
        <f>IF(J1437&lt;&gt;1,"",IF(I1437="SBJ","CB","?"))</f>
        <v> </v>
      </c>
      <c r="I1437" s="25" t="str">
        <f>IF(OR(E1437="",E1437="!!!",F1437="NEW"),"",INDEX(B1436:B$2,-1+SUMPRODUCT(MAX(ROW(E1436:E$2)*(E1437=E1436:E$2)))))</f>
        <v> </v>
      </c>
      <c r="J1437" s="25" t="str">
        <f>IF(OR(E1437="",E1437="!!!",F1437="NEW"),"",COUNTBLANK(OFFSET(A$1,,,SUMPRODUCT(MAX(ROW(E$2:E1437)*(E1437=E$2:E1437)))))-COUNTBLANK(OFFSET(A$1,,,SUMPRODUCT(MAX(ROW(E$1:E1436)*(E2=E$1:E1436))))))</f>
        <v> </v>
      </c>
      <c r="K1437" s="25" t="str">
        <f>IF(OR(E1437="",E1437="!!!",F1437="NEW"),"",INDEX(J$1:J1436,SUMPRODUCT(MAX(ROW(E$1:E1436)*(E1437=E$1:E1436)))))</f>
        <v> </v>
      </c>
      <c r="L1437" s="26"/>
    </row>
    <row r="1438" spans="1:12">
      <c r="A1438" s="20" t="s">
        <v>518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542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787</v>
      </c>
      <c r="B1440" s="27" t="s">
        <v>544</v>
      </c>
      <c r="C1440" s="27" t="s">
        <v>669</v>
      </c>
      <c r="D1440" s="27" t="s">
        <v>524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578</v>
      </c>
      <c r="B1441" s="27" t="s">
        <v>597</v>
      </c>
      <c r="C1441" s="27" t="s">
        <v>545</v>
      </c>
      <c r="D1441" s="27" t="s">
        <v>524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549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/>
    </row>
    <row r="1444" spans="1:12">
      <c r="A1444" s="20" t="s">
        <v>1115</v>
      </c>
    </row>
    <row r="1445" spans="1:12">
      <c r="A1445" s="20" t="s">
        <v>632</v>
      </c>
      <c r="B1445" s="27" t="s">
        <v>680</v>
      </c>
      <c r="C1445" s="27" t="s">
        <v>523</v>
      </c>
      <c r="D1445" s="27" t="s">
        <v>524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1116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518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36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577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856</v>
      </c>
      <c r="B1450" s="27" t="s">
        <v>522</v>
      </c>
      <c r="C1450" s="27" t="s">
        <v>584</v>
      </c>
      <c r="D1450" s="27" t="s">
        <v>524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719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542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700</v>
      </c>
      <c r="B1453" s="27" t="s">
        <v>544</v>
      </c>
      <c r="C1453" s="27" t="s">
        <v>669</v>
      </c>
      <c r="D1453" s="27" t="s">
        <v>524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1117</v>
      </c>
      <c r="B1454" s="27" t="s">
        <v>597</v>
      </c>
      <c r="C1454" s="27" t="s">
        <v>545</v>
      </c>
      <c r="D1454" s="27" t="s">
        <v>524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549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/>
    </row>
    <row r="1457" spans="1:12">
      <c r="A1457" s="20" t="s">
        <v>1118</v>
      </c>
    </row>
    <row r="1458" spans="1:12">
      <c r="A1458" s="20" t="s">
        <v>786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730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884</v>
      </c>
      <c r="B1460" s="27" t="s">
        <v>597</v>
      </c>
      <c r="C1460" s="27" t="s">
        <v>564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751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525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1117</v>
      </c>
      <c r="B1463" s="27" t="s">
        <v>592</v>
      </c>
      <c r="C1463" s="27" t="s">
        <v>527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1119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565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793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 t="s">
        <v>884</v>
      </c>
      <c r="B1467" s="27" t="s">
        <v>597</v>
      </c>
      <c r="C1467" s="27" t="s">
        <v>535</v>
      </c>
      <c r="E1467" s="21">
        <f>IF(D1467="?OLD","!!!","")</f>
        <v/>
      </c>
      <c r="F1467" s="22" t="str">
        <f>IF(OR(E1467="",E1467="!!!"),"",IF(NOT(ISNA(VLOOKUP(E1467,E$1:E1466,1,FALSE()))),"OLD",IF(AND(E1467&lt;&gt;"",E1467&lt;&gt;"!!!"),"NEW","")))</f>
        <v> </v>
      </c>
      <c r="G1467" s="23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4" t="str">
        <f>IF(J1467&lt;&gt;1,"",IF(I1467="SBJ","CB","?"))</f>
        <v> </v>
      </c>
      <c r="I1467" s="25" t="str">
        <f>IF(OR(E1467="",E1467="!!!",F1467="NEW"),"",INDEX(B1466:B$2,-1+SUMPRODUCT(MAX(ROW(E1466:E$2)*(E1467=E1466:E$2)))))</f>
        <v> </v>
      </c>
      <c r="J1467" s="25" t="str">
        <f>IF(OR(E1467="",E1467="!!!",F1467="NEW"),"",COUNTBLANK(OFFSET(A$1,,,SUMPRODUCT(MAX(ROW(E$2:E1467)*(E1467=E$2:E1467)))))-COUNTBLANK(OFFSET(A$1,,,SUMPRODUCT(MAX(ROW(E$1:E1466)*(E2=E$1:E1466))))))</f>
        <v> </v>
      </c>
      <c r="K1467" s="25" t="str">
        <f>IF(OR(E1467="",E1467="!!!",F1467="NEW"),"",INDEX(J$1:J1466,SUMPRODUCT(MAX(ROW(E$1:E1466)*(E1467=E$1:E1466)))))</f>
        <v> </v>
      </c>
      <c r="L1467" s="26"/>
    </row>
    <row r="1468" spans="1:12">
      <c r="A1468" s="20" t="s">
        <v>751</v>
      </c>
      <c r="E1468" s="21">
        <f>IF(D1468="?OLD","!!!","")</f>
        <v/>
      </c>
      <c r="F1468" s="22" t="str">
        <f>IF(OR(E1468="",E1468="!!!"),"",IF(NOT(ISNA(VLOOKUP(E1468,E$1:E1467,1,FALSE()))),"OLD",IF(AND(E1468&lt;&gt;"",E1468&lt;&gt;"!!!"),"NEW","")))</f>
        <v> </v>
      </c>
      <c r="G1468" s="23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4" t="str">
        <f>IF(J1468&lt;&gt;1,"",IF(I1468="SBJ","CB","?"))</f>
        <v> </v>
      </c>
      <c r="I1468" s="25" t="str">
        <f>IF(OR(E1468="",E1468="!!!",F1468="NEW"),"",INDEX(B1467:B$2,-1+SUMPRODUCT(MAX(ROW(E1467:E$2)*(E1468=E1467:E$2)))))</f>
        <v> </v>
      </c>
      <c r="J1468" s="25" t="str">
        <f>IF(OR(E1468="",E1468="!!!",F1468="NEW"),"",COUNTBLANK(OFFSET(A$1,,,SUMPRODUCT(MAX(ROW(E$2:E1468)*(E1468=E$2:E1468)))))-COUNTBLANK(OFFSET(A$1,,,SUMPRODUCT(MAX(ROW(E$1:E1467)*(E2=E$1:E1467))))))</f>
        <v> </v>
      </c>
      <c r="K1468" s="25" t="str">
        <f>IF(OR(E1468="",E1468="!!!",F1468="NEW"),"",INDEX(J$1:J1467,SUMPRODUCT(MAX(ROW(E$1:E1467)*(E1468=E$1:E1467)))))</f>
        <v> </v>
      </c>
      <c r="L1468" s="26"/>
    </row>
    <row r="1469" spans="1:12">
      <c r="A1469" s="20" t="s">
        <v>757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1120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565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566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1121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 t="s">
        <v>559</v>
      </c>
      <c r="E1474" s="21">
        <f>IF(D1474="?OLD","!!!","")</f>
        <v/>
      </c>
      <c r="F1474" s="22" t="str">
        <f>IF(OR(E1474="",E1474="!!!"),"",IF(NOT(ISNA(VLOOKUP(E1474,E$1:E1473,1,FALSE()))),"OLD",IF(AND(E1474&lt;&gt;"",E1474&lt;&gt;"!!!"),"NEW","")))</f>
        <v> </v>
      </c>
      <c r="G1474" s="23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4" t="str">
        <f>IF(J1474&lt;&gt;1,"",IF(I1474="SBJ","CB","?"))</f>
        <v> </v>
      </c>
      <c r="I1474" s="25" t="str">
        <f>IF(OR(E1474="",E1474="!!!",F1474="NEW"),"",INDEX(B1473:B$2,-1+SUMPRODUCT(MAX(ROW(E1473:E$2)*(E1474=E1473:E$2)))))</f>
        <v> </v>
      </c>
      <c r="J1474" s="25" t="str">
        <f>IF(OR(E1474="",E1474="!!!",F1474="NEW"),"",COUNTBLANK(OFFSET(A$1,,,SUMPRODUCT(MAX(ROW(E$2:E1474)*(E1474=E$2:E1474)))))-COUNTBLANK(OFFSET(A$1,,,SUMPRODUCT(MAX(ROW(E$1:E1473)*(E2=E$1:E1473))))))</f>
        <v> </v>
      </c>
      <c r="K1474" s="25" t="str">
        <f>IF(OR(E1474="",E1474="!!!",F1474="NEW"),"",INDEX(J$1:J1473,SUMPRODUCT(MAX(ROW(E$1:E1473)*(E1474=E$1:E1473)))))</f>
        <v> </v>
      </c>
      <c r="L1474" s="26"/>
    </row>
    <row r="1475" spans="1:12">
      <c r="A1475" s="20" t="s">
        <v>520</v>
      </c>
      <c r="E1475" s="21">
        <f>IF(D1475="?OLD","!!!","")</f>
        <v/>
      </c>
      <c r="F1475" s="22" t="str">
        <f>IF(OR(E1475="",E1475="!!!"),"",IF(NOT(ISNA(VLOOKUP(E1475,E$1:E1474,1,FALSE()))),"OLD",IF(AND(E1475&lt;&gt;"",E1475&lt;&gt;"!!!"),"NEW","")))</f>
        <v> </v>
      </c>
      <c r="G1475" s="23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4" t="str">
        <f>IF(J1475&lt;&gt;1,"",IF(I1475="SBJ","CB","?"))</f>
        <v> </v>
      </c>
      <c r="I1475" s="25" t="str">
        <f>IF(OR(E1475="",E1475="!!!",F1475="NEW"),"",INDEX(B1474:B$2,-1+SUMPRODUCT(MAX(ROW(E1474:E$2)*(E1475=E1474:E$2)))))</f>
        <v> </v>
      </c>
      <c r="J1475" s="25" t="str">
        <f>IF(OR(E1475="",E1475="!!!",F1475="NEW"),"",COUNTBLANK(OFFSET(A$1,,,SUMPRODUCT(MAX(ROW(E$2:E1475)*(E1475=E$2:E1475)))))-COUNTBLANK(OFFSET(A$1,,,SUMPRODUCT(MAX(ROW(E$1:E1474)*(E2=E$1:E1474))))))</f>
        <v> </v>
      </c>
      <c r="K1475" s="25" t="str">
        <f>IF(OR(E1475="",E1475="!!!",F1475="NEW"),"",INDEX(J$1:J1474,SUMPRODUCT(MAX(ROW(E$1:E1474)*(E1475=E$1:E1474)))))</f>
        <v> </v>
      </c>
      <c r="L1475" s="26"/>
    </row>
    <row r="1476" spans="1:12">
      <c r="A1476" s="20" t="s">
        <v>690</v>
      </c>
      <c r="B1476" s="27" t="s">
        <v>522</v>
      </c>
      <c r="C1476" s="27" t="s">
        <v>523</v>
      </c>
      <c r="D1476" s="27" t="s">
        <v>524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549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/>
    </row>
    <row r="1479" spans="1:12">
      <c r="A1479" s="20" t="s">
        <v>1122</v>
      </c>
    </row>
    <row r="1480" spans="1:12">
      <c r="A1480" s="20" t="s">
        <v>665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565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358</v>
      </c>
      <c r="B1482" s="27" t="s">
        <v>667</v>
      </c>
      <c r="C1482" s="27" t="s">
        <v>523</v>
      </c>
      <c r="D1482" s="27" t="s">
        <v>524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708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553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542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1069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1123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571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657</v>
      </c>
      <c r="B1489" s="27" t="s">
        <v>556</v>
      </c>
      <c r="C1489" s="27" t="s">
        <v>545</v>
      </c>
      <c r="D1489" s="27" t="s">
        <v>524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565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571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1124</v>
      </c>
      <c r="B1492" s="27" t="s">
        <v>522</v>
      </c>
      <c r="C1492" s="27" t="s">
        <v>540</v>
      </c>
      <c r="D1492" s="27" t="s">
        <v>524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518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542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1125</v>
      </c>
      <c r="B1495" s="27" t="s">
        <v>544</v>
      </c>
      <c r="C1495" s="27" t="s">
        <v>545</v>
      </c>
      <c r="D1495" s="27" t="s">
        <v>524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1126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549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/>
    </row>
    <row r="1499" spans="1:12">
      <c r="A1499" s="20" t="s">
        <v>1127</v>
      </c>
    </row>
    <row r="1500" spans="1:12">
      <c r="A1500" s="20" t="s">
        <v>786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578</v>
      </c>
      <c r="B1501" s="27" t="s">
        <v>680</v>
      </c>
      <c r="C1501" s="27" t="s">
        <v>545</v>
      </c>
      <c r="D1501" s="27" t="s">
        <v>524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771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1128</v>
      </c>
      <c r="B1503" s="27" t="s">
        <v>743</v>
      </c>
      <c r="C1503" s="27" t="s">
        <v>564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625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 t="s">
        <v>1058</v>
      </c>
      <c r="B1505" s="27" t="s">
        <v>597</v>
      </c>
      <c r="C1505" s="27" t="s">
        <v>564</v>
      </c>
      <c r="E1505" s="21">
        <f>IF(D1505="?OLD","!!!","")</f>
        <v/>
      </c>
      <c r="F1505" s="22" t="str">
        <f>IF(OR(E1505="",E1505="!!!"),"",IF(NOT(ISNA(VLOOKUP(E1505,E$1:E1504,1,FALSE()))),"OLD",IF(AND(E1505&lt;&gt;"",E1505&lt;&gt;"!!!"),"NEW","")))</f>
        <v> </v>
      </c>
      <c r="G1505" s="23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4" t="str">
        <f>IF(J1505&lt;&gt;1,"",IF(I1505="SBJ","CB","?"))</f>
        <v> </v>
      </c>
      <c r="I1505" s="25" t="str">
        <f>IF(OR(E1505="",E1505="!!!",F1505="NEW"),"",INDEX(B1504:B$2,-1+SUMPRODUCT(MAX(ROW(E1504:E$2)*(E1505=E1504:E$2)))))</f>
        <v> </v>
      </c>
      <c r="J1505" s="25" t="str">
        <f>IF(OR(E1505="",E1505="!!!",F1505="NEW"),"",COUNTBLANK(OFFSET(A$1,,,SUMPRODUCT(MAX(ROW(E$2:E1505)*(E1505=E$2:E1505)))))-COUNTBLANK(OFFSET(A$1,,,SUMPRODUCT(MAX(ROW(E$1:E1504)*(E2=E$1:E1504))))))</f>
        <v> </v>
      </c>
      <c r="K1505" s="25" t="str">
        <f>IF(OR(E1505="",E1505="!!!",F1505="NEW"),"",INDEX(J$1:J1504,SUMPRODUCT(MAX(ROW(E$1:E1504)*(E1505=E$1:E1504)))))</f>
        <v> </v>
      </c>
      <c r="L1505" s="26"/>
    </row>
    <row r="1506" spans="1:12">
      <c r="A1506" s="20" t="s">
        <v>565</v>
      </c>
      <c r="E1506" s="21">
        <f>IF(D1506="?OLD","!!!","")</f>
        <v/>
      </c>
      <c r="F1506" s="22" t="str">
        <f>IF(OR(E1506="",E1506="!!!"),"",IF(NOT(ISNA(VLOOKUP(E1506,E$1:E1505,1,FALSE()))),"OLD",IF(AND(E1506&lt;&gt;"",E1506&lt;&gt;"!!!"),"NEW","")))</f>
        <v> </v>
      </c>
      <c r="G1506" s="23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4" t="str">
        <f>IF(J1506&lt;&gt;1,"",IF(I1506="SBJ","CB","?"))</f>
        <v> </v>
      </c>
      <c r="I1506" s="25" t="str">
        <f>IF(OR(E1506="",E1506="!!!",F1506="NEW"),"",INDEX(B1505:B$2,-1+SUMPRODUCT(MAX(ROW(E1505:E$2)*(E1506=E1505:E$2)))))</f>
        <v> </v>
      </c>
      <c r="J1506" s="25" t="str">
        <f>IF(OR(E1506="",E1506="!!!",F1506="NEW"),"",COUNTBLANK(OFFSET(A$1,,,SUMPRODUCT(MAX(ROW(E$2:E1506)*(E1506=E$2:E1506)))))-COUNTBLANK(OFFSET(A$1,,,SUMPRODUCT(MAX(ROW(E$1:E1505)*(E2=E$1:E1505))))))</f>
        <v> </v>
      </c>
      <c r="K1506" s="25" t="str">
        <f>IF(OR(E1506="",E1506="!!!",F1506="NEW"),"",INDEX(J$1:J1505,SUMPRODUCT(MAX(ROW(E$1:E1505)*(E1506=E$1:E1505)))))</f>
        <v> </v>
      </c>
      <c r="L1506" s="26"/>
    </row>
    <row r="1507" spans="1:12">
      <c r="A1507" s="20" t="s">
        <v>625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856</v>
      </c>
      <c r="B1508" s="27" t="s">
        <v>667</v>
      </c>
      <c r="C1508" s="27" t="s">
        <v>584</v>
      </c>
      <c r="D1508" s="27" t="s">
        <v>524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751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757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1129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625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1130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518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 t="s">
        <v>1131</v>
      </c>
      <c r="E1515" s="21">
        <f>IF(D1515="?OLD","!!!","")</f>
        <v/>
      </c>
      <c r="F1515" s="22" t="str">
        <f>IF(OR(E1515="",E1515="!!!"),"",IF(NOT(ISNA(VLOOKUP(E1515,E$1:E1514,1,FALSE()))),"OLD",IF(AND(E1515&lt;&gt;"",E1515&lt;&gt;"!!!"),"NEW","")))</f>
        <v> </v>
      </c>
      <c r="G1515" s="23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4" t="str">
        <f>IF(J1515&lt;&gt;1,"",IF(I1515="SBJ","CB","?"))</f>
        <v> </v>
      </c>
      <c r="I1515" s="25" t="str">
        <f>IF(OR(E1515="",E1515="!!!",F1515="NEW"),"",INDEX(B1514:B$2,-1+SUMPRODUCT(MAX(ROW(E1514:E$2)*(E1515=E1514:E$2)))))</f>
        <v> </v>
      </c>
      <c r="J1515" s="25" t="str">
        <f>IF(OR(E1515="",E1515="!!!",F1515="NEW"),"",COUNTBLANK(OFFSET(A$1,,,SUMPRODUCT(MAX(ROW(E$2:E1515)*(E1515=E$2:E1515)))))-COUNTBLANK(OFFSET(A$1,,,SUMPRODUCT(MAX(ROW(E$1:E1514)*(E2=E$1:E1514))))))</f>
        <v> </v>
      </c>
      <c r="K1515" s="25" t="str">
        <f>IF(OR(E1515="",E1515="!!!",F1515="NEW"),"",INDEX(J$1:J1514,SUMPRODUCT(MAX(ROW(E$1:E1514)*(E1515=E$1:E1514)))))</f>
        <v> </v>
      </c>
      <c r="L1515" s="26"/>
    </row>
    <row r="1516" spans="1:12">
      <c r="A1516" s="20" t="s">
        <v>718</v>
      </c>
      <c r="B1516" s="27" t="s">
        <v>597</v>
      </c>
      <c r="C1516" s="27" t="s">
        <v>908</v>
      </c>
      <c r="E1516" s="21">
        <f>IF(D1516="?OLD","!!!","")</f>
        <v/>
      </c>
      <c r="F1516" s="22" t="str">
        <f>IF(OR(E1516="",E1516="!!!"),"",IF(NOT(ISNA(VLOOKUP(E1516,E$1:E1515,1,FALSE()))),"OLD",IF(AND(E1516&lt;&gt;"",E1516&lt;&gt;"!!!"),"NEW","")))</f>
        <v> </v>
      </c>
      <c r="G1516" s="23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4" t="str">
        <f>IF(J1516&lt;&gt;1,"",IF(I1516="SBJ","CB","?"))</f>
        <v> </v>
      </c>
      <c r="I1516" s="25" t="str">
        <f>IF(OR(E1516="",E1516="!!!",F1516="NEW"),"",INDEX(B1515:B$2,-1+SUMPRODUCT(MAX(ROW(E1515:E$2)*(E1516=E1515:E$2)))))</f>
        <v> </v>
      </c>
      <c r="J1516" s="25" t="str">
        <f>IF(OR(E1516="",E1516="!!!",F1516="NEW"),"",COUNTBLANK(OFFSET(A$1,,,SUMPRODUCT(MAX(ROW(E$2:E1516)*(E1516=E$2:E1516)))))-COUNTBLANK(OFFSET(A$1,,,SUMPRODUCT(MAX(ROW(E$1:E1515)*(E2=E$1:E1515))))))</f>
        <v> </v>
      </c>
      <c r="K1516" s="25" t="str">
        <f>IF(OR(E1516="",E1516="!!!",F1516="NEW"),"",INDEX(J$1:J1515,SUMPRODUCT(MAX(ROW(E$1:E1515)*(E1516=E$1:E1515)))))</f>
        <v> </v>
      </c>
      <c r="L1516" s="26"/>
    </row>
    <row r="1517" spans="1:12">
      <c r="A1517" s="20" t="s">
        <v>565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566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542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1077</v>
      </c>
      <c r="B1520" s="27" t="s">
        <v>667</v>
      </c>
      <c r="C1520" s="27" t="s">
        <v>545</v>
      </c>
      <c r="D1520" s="27" t="s">
        <v>524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708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751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843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1132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813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708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1133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542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1058</v>
      </c>
      <c r="B1529" s="27" t="s">
        <v>573</v>
      </c>
      <c r="C1529" s="27" t="s">
        <v>545</v>
      </c>
      <c r="D1529" s="27" t="s">
        <v>524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565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566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719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751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 t="s">
        <v>528</v>
      </c>
      <c r="E1534" s="21">
        <f>IF(D1534="?OLD","!!!","")</f>
        <v/>
      </c>
      <c r="F1534" s="22" t="str">
        <f>IF(OR(E1534="",E1534="!!!"),"",IF(NOT(ISNA(VLOOKUP(E1534,E$1:E1533,1,FALSE()))),"OLD",IF(AND(E1534&lt;&gt;"",E1534&lt;&gt;"!!!"),"NEW","")))</f>
        <v> </v>
      </c>
      <c r="G1534" s="23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4" t="str">
        <f>IF(J1534&lt;&gt;1,"",IF(I1534="SBJ","CB","?"))</f>
        <v> </v>
      </c>
      <c r="I1534" s="25" t="str">
        <f>IF(OR(E1534="",E1534="!!!",F1534="NEW"),"",INDEX(B1533:B$2,-1+SUMPRODUCT(MAX(ROW(E1533:E$2)*(E1534=E1533:E$2)))))</f>
        <v> </v>
      </c>
      <c r="J1534" s="25" t="str">
        <f>IF(OR(E1534="",E1534="!!!",F1534="NEW"),"",COUNTBLANK(OFFSET(A$1,,,SUMPRODUCT(MAX(ROW(E$2:E1534)*(E1534=E$2:E1534)))))-COUNTBLANK(OFFSET(A$1,,,SUMPRODUCT(MAX(ROW(E$1:E1533)*(E2=E$1:E1533))))))</f>
        <v> </v>
      </c>
      <c r="K1534" s="25" t="str">
        <f>IF(OR(E1534="",E1534="!!!",F1534="NEW"),"",INDEX(J$1:J1533,SUMPRODUCT(MAX(ROW(E$1:E1533)*(E1534=E$1:E1533)))))</f>
        <v> </v>
      </c>
      <c r="L1534" s="26"/>
    </row>
    <row r="1535" spans="1:12">
      <c r="A1535" s="20" t="s">
        <v>542</v>
      </c>
      <c r="E1535" s="21">
        <f>IF(D1535="?OLD","!!!","")</f>
        <v/>
      </c>
      <c r="F1535" s="22" t="str">
        <f>IF(OR(E1535="",E1535="!!!"),"",IF(NOT(ISNA(VLOOKUP(E1535,E$1:E1534,1,FALSE()))),"OLD",IF(AND(E1535&lt;&gt;"",E1535&lt;&gt;"!!!"),"NEW","")))</f>
        <v> </v>
      </c>
      <c r="G1535" s="23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4" t="str">
        <f>IF(J1535&lt;&gt;1,"",IF(I1535="SBJ","CB","?"))</f>
        <v> </v>
      </c>
      <c r="I1535" s="25" t="str">
        <f>IF(OR(E1535="",E1535="!!!",F1535="NEW"),"",INDEX(B1534:B$2,-1+SUMPRODUCT(MAX(ROW(E1534:E$2)*(E1535=E1534:E$2)))))</f>
        <v> </v>
      </c>
      <c r="J1535" s="25" t="str">
        <f>IF(OR(E1535="",E1535="!!!",F1535="NEW"),"",COUNTBLANK(OFFSET(A$1,,,SUMPRODUCT(MAX(ROW(E$2:E1535)*(E1535=E$2:E1535)))))-COUNTBLANK(OFFSET(A$1,,,SUMPRODUCT(MAX(ROW(E$1:E1534)*(E2=E$1:E1534))))))</f>
        <v> </v>
      </c>
      <c r="K1535" s="25" t="str">
        <f>IF(OR(E1535="",E1535="!!!",F1535="NEW"),"",INDEX(J$1:J1534,SUMPRODUCT(MAX(ROW(E$1:E1534)*(E1535=E$1:E1534)))))</f>
        <v> </v>
      </c>
      <c r="L1535" s="26"/>
    </row>
    <row r="1536" spans="1:12">
      <c r="A1536" s="20" t="s">
        <v>1132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1133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549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/>
    </row>
    <row r="1540" spans="1:12">
      <c r="A1540" s="20" t="s">
        <v>1134</v>
      </c>
    </row>
    <row r="1541" spans="1:12">
      <c r="A1541" s="20" t="s">
        <v>786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787</v>
      </c>
      <c r="B1542" s="27" t="s">
        <v>597</v>
      </c>
      <c r="C1542" s="27" t="s">
        <v>669</v>
      </c>
      <c r="D1542" s="27" t="s">
        <v>524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1135</v>
      </c>
      <c r="B1543" s="27" t="s">
        <v>680</v>
      </c>
      <c r="C1543" s="27" t="s">
        <v>545</v>
      </c>
      <c r="D1543" s="27" t="s">
        <v>524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708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751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 t="s">
        <v>772</v>
      </c>
      <c r="E1546" s="21">
        <f>IF(D1546="?OLD","!!!","")</f>
        <v/>
      </c>
      <c r="F1546" s="22" t="str">
        <f>IF(OR(E1546="",E1546="!!!"),"",IF(NOT(ISNA(VLOOKUP(E1546,E$1:E1545,1,FALSE()))),"OLD",IF(AND(E1546&lt;&gt;"",E1546&lt;&gt;"!!!"),"NEW","")))</f>
        <v> </v>
      </c>
      <c r="G1546" s="23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4" t="str">
        <f>IF(J1546&lt;&gt;1,"",IF(I1546="SBJ","CB","?"))</f>
        <v> </v>
      </c>
      <c r="I1546" s="25" t="str">
        <f>IF(OR(E1546="",E1546="!!!",F1546="NEW"),"",INDEX(B1545:B$2,-1+SUMPRODUCT(MAX(ROW(E1545:E$2)*(E1546=E1545:E$2)))))</f>
        <v> </v>
      </c>
      <c r="J1546" s="25" t="str">
        <f>IF(OR(E1546="",E1546="!!!",F1546="NEW"),"",COUNTBLANK(OFFSET(A$1,,,SUMPRODUCT(MAX(ROW(E$2:E1546)*(E1546=E$2:E1546)))))-COUNTBLANK(OFFSET(A$1,,,SUMPRODUCT(MAX(ROW(E$1:E1545)*(E2=E$1:E1545))))))</f>
        <v> </v>
      </c>
      <c r="K1546" s="25" t="str">
        <f>IF(OR(E1546="",E1546="!!!",F1546="NEW"),"",INDEX(J$1:J1545,SUMPRODUCT(MAX(ROW(E$1:E1545)*(E1546=E$1:E1545)))))</f>
        <v> </v>
      </c>
      <c r="L1546" s="26"/>
    </row>
    <row r="1547" spans="1:12">
      <c r="A1547" s="20" t="s">
        <v>1136</v>
      </c>
      <c r="E1547" s="21">
        <f>IF(D1547="?OLD","!!!","")</f>
        <v/>
      </c>
      <c r="F1547" s="22" t="str">
        <f>IF(OR(E1547="",E1547="!!!"),"",IF(NOT(ISNA(VLOOKUP(E1547,E$1:E1546,1,FALSE()))),"OLD",IF(AND(E1547&lt;&gt;"",E1547&lt;&gt;"!!!"),"NEW","")))</f>
        <v> </v>
      </c>
      <c r="G1547" s="23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4" t="str">
        <f>IF(J1547&lt;&gt;1,"",IF(I1547="SBJ","CB","?"))</f>
        <v> </v>
      </c>
      <c r="I1547" s="25" t="str">
        <f>IF(OR(E1547="",E1547="!!!",F1547="NEW"),"",INDEX(B1546:B$2,-1+SUMPRODUCT(MAX(ROW(E1546:E$2)*(E1547=E1546:E$2)))))</f>
        <v> </v>
      </c>
      <c r="J1547" s="25" t="str">
        <f>IF(OR(E1547="",E1547="!!!",F1547="NEW"),"",COUNTBLANK(OFFSET(A$1,,,SUMPRODUCT(MAX(ROW(E$2:E1547)*(E1547=E$2:E1547)))))-COUNTBLANK(OFFSET(A$1,,,SUMPRODUCT(MAX(ROW(E$1:E1546)*(E2=E$1:E1546))))))</f>
        <v> </v>
      </c>
      <c r="K1547" s="25" t="str">
        <f>IF(OR(E1547="",E1547="!!!",F1547="NEW"),"",INDEX(J$1:J1546,SUMPRODUCT(MAX(ROW(E$1:E1546)*(E1547=E$1:E1546)))))</f>
        <v> </v>
      </c>
      <c r="L1547" s="26"/>
    </row>
    <row r="1548" spans="1:12">
      <c r="A1548" s="20" t="s">
        <v>518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542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1058</v>
      </c>
      <c r="B1550" s="27" t="s">
        <v>743</v>
      </c>
      <c r="C1550" s="27" t="s">
        <v>545</v>
      </c>
      <c r="D1550" s="27" t="s">
        <v>524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 t="s">
        <v>898</v>
      </c>
      <c r="B1551" s="27" t="s">
        <v>597</v>
      </c>
      <c r="C1551" s="27" t="s">
        <v>584</v>
      </c>
      <c r="D1551" s="27" t="s">
        <v>524</v>
      </c>
      <c r="E1551" s="21">
        <f>IF(D1551="?OLD","!!!","")</f>
        <v/>
      </c>
      <c r="F1551" s="22" t="str">
        <f>IF(OR(E1551="",E1551="!!!"),"",IF(NOT(ISNA(VLOOKUP(E1551,E$1:E1550,1,FALSE()))),"OLD",IF(AND(E1551&lt;&gt;"",E1551&lt;&gt;"!!!"),"NEW","")))</f>
        <v> </v>
      </c>
      <c r="G1551" s="23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4" t="str">
        <f>IF(J1551&lt;&gt;1,"",IF(I1551="SBJ","CB","?"))</f>
        <v> </v>
      </c>
      <c r="I1551" s="25" t="str">
        <f>IF(OR(E1551="",E1551="!!!",F1551="NEW"),"",INDEX(B1550:B$2,-1+SUMPRODUCT(MAX(ROW(E1550:E$2)*(E1551=E1550:E$2)))))</f>
        <v> </v>
      </c>
      <c r="J1551" s="25" t="str">
        <f>IF(OR(E1551="",E1551="!!!",F1551="NEW"),"",COUNTBLANK(OFFSET(A$1,,,SUMPRODUCT(MAX(ROW(E$2:E1551)*(E1551=E$2:E1551)))))-COUNTBLANK(OFFSET(A$1,,,SUMPRODUCT(MAX(ROW(E$1:E1550)*(E2=E$1:E1550))))))</f>
        <v> </v>
      </c>
      <c r="K1551" s="25" t="str">
        <f>IF(OR(E1551="",E1551="!!!",F1551="NEW"),"",INDEX(J$1:J1550,SUMPRODUCT(MAX(ROW(E$1:E1550)*(E1551=E$1:E1550)))))</f>
        <v> </v>
      </c>
      <c r="L1551" s="26"/>
    </row>
    <row r="1552" spans="1:12">
      <c r="A1552" s="20" t="s">
        <v>518</v>
      </c>
      <c r="E1552" s="21">
        <f>IF(D1552="?OLD","!!!","")</f>
        <v/>
      </c>
      <c r="F1552" s="22" t="str">
        <f>IF(OR(E1552="",E1552="!!!"),"",IF(NOT(ISNA(VLOOKUP(E1552,E$1:E1551,1,FALSE()))),"OLD",IF(AND(E1552&lt;&gt;"",E1552&lt;&gt;"!!!"),"NEW","")))</f>
        <v> </v>
      </c>
      <c r="G1552" s="23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4" t="str">
        <f>IF(J1552&lt;&gt;1,"",IF(I1552="SBJ","CB","?"))</f>
        <v> </v>
      </c>
      <c r="I1552" s="25" t="str">
        <f>IF(OR(E1552="",E1552="!!!",F1552="NEW"),"",INDEX(B1551:B$2,-1+SUMPRODUCT(MAX(ROW(E1551:E$2)*(E1552=E1551:E$2)))))</f>
        <v> </v>
      </c>
      <c r="J1552" s="25" t="str">
        <f>IF(OR(E1552="",E1552="!!!",F1552="NEW"),"",COUNTBLANK(OFFSET(A$1,,,SUMPRODUCT(MAX(ROW(E$2:E1552)*(E1552=E$2:E1552)))))-COUNTBLANK(OFFSET(A$1,,,SUMPRODUCT(MAX(ROW(E$1:E1551)*(E2=E$1:E1551))))))</f>
        <v> </v>
      </c>
      <c r="K1552" s="25" t="str">
        <f>IF(OR(E1552="",E1552="!!!",F1552="NEW"),"",INDEX(J$1:J1551,SUMPRODUCT(MAX(ROW(E$1:E1551)*(E1552=E$1:E1551)))))</f>
        <v> </v>
      </c>
      <c r="L1552" s="26"/>
    </row>
    <row r="1553" spans="1:12">
      <c r="A1553" s="20" t="s">
        <v>1137</v>
      </c>
      <c r="B1553" s="27" t="s">
        <v>573</v>
      </c>
      <c r="E1553" s="21">
        <f>IF(D1553="?OLD","!!!","")</f>
        <v/>
      </c>
      <c r="F1553" s="22" t="str">
        <f>IF(OR(E1553="",E1553="!!!"),"",IF(NOT(ISNA(VLOOKUP(E1553,E$1:E1552,1,FALSE()))),"OLD",IF(AND(E1553&lt;&gt;"",E1553&lt;&gt;"!!!"),"NEW","")))</f>
        <v> </v>
      </c>
      <c r="G1553" s="23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4" t="str">
        <f>IF(J1553&lt;&gt;1,"",IF(I1553="SBJ","CB","?"))</f>
        <v> </v>
      </c>
      <c r="I1553" s="25" t="str">
        <f>IF(OR(E1553="",E1553="!!!",F1553="NEW"),"",INDEX(B1552:B$2,-1+SUMPRODUCT(MAX(ROW(E1552:E$2)*(E1553=E1552:E$2)))))</f>
        <v> </v>
      </c>
      <c r="J1553" s="25" t="str">
        <f>IF(OR(E1553="",E1553="!!!",F1553="NEW"),"",COUNTBLANK(OFFSET(A$1,,,SUMPRODUCT(MAX(ROW(E$2:E1553)*(E1553=E$2:E1553)))))-COUNTBLANK(OFFSET(A$1,,,SUMPRODUCT(MAX(ROW(E$1:E1552)*(E2=E$1:E1552))))))</f>
        <v> </v>
      </c>
      <c r="K1553" s="25" t="str">
        <f>IF(OR(E1553="",E1553="!!!",F1553="NEW"),"",INDEX(J$1:J1552,SUMPRODUCT(MAX(ROW(E$1:E1552)*(E1553=E$1:E1552)))))</f>
        <v> </v>
      </c>
      <c r="L1553" s="26"/>
    </row>
    <row r="1554" spans="1:12">
      <c r="A1554" s="20" t="s">
        <v>1138</v>
      </c>
      <c r="E1554" s="21">
        <f>IF(D1554="?OLD","!!!","")</f>
        <v/>
      </c>
      <c r="F1554" s="22" t="str">
        <f>IF(OR(E1554="",E1554="!!!"),"",IF(NOT(ISNA(VLOOKUP(E1554,E$1:E1553,1,FALSE()))),"OLD",IF(AND(E1554&lt;&gt;"",E1554&lt;&gt;"!!!"),"NEW","")))</f>
        <v> </v>
      </c>
      <c r="G1554" s="23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4" t="str">
        <f>IF(J1554&lt;&gt;1,"",IF(I1554="SBJ","CB","?"))</f>
        <v> </v>
      </c>
      <c r="I1554" s="25" t="str">
        <f>IF(OR(E1554="",E1554="!!!",F1554="NEW"),"",INDEX(B1553:B$2,-1+SUMPRODUCT(MAX(ROW(E1553:E$2)*(E1554=E1553:E$2)))))</f>
        <v> </v>
      </c>
      <c r="J1554" s="25" t="str">
        <f>IF(OR(E1554="",E1554="!!!",F1554="NEW"),"",COUNTBLANK(OFFSET(A$1,,,SUMPRODUCT(MAX(ROW(E$2:E1554)*(E1554=E$2:E1554)))))-COUNTBLANK(OFFSET(A$1,,,SUMPRODUCT(MAX(ROW(E$1:E1553)*(E2=E$1:E1553))))))</f>
        <v> </v>
      </c>
      <c r="K1554" s="25" t="str">
        <f>IF(OR(E1554="",E1554="!!!",F1554="NEW"),"",INDEX(J$1:J1553,SUMPRODUCT(MAX(ROW(E$1:E1553)*(E1554=E$1:E1553)))))</f>
        <v> </v>
      </c>
      <c r="L1554" s="26"/>
    </row>
    <row r="1555" spans="1:12">
      <c r="A1555" s="20" t="s">
        <v>565</v>
      </c>
      <c r="E1555" s="21">
        <f>IF(D1555="?OLD","!!!","")</f>
        <v/>
      </c>
      <c r="F1555" s="22" t="str">
        <f>IF(OR(E1555="",E1555="!!!"),"",IF(NOT(ISNA(VLOOKUP(E1555,E$1:E1554,1,FALSE()))),"OLD",IF(AND(E1555&lt;&gt;"",E1555&lt;&gt;"!!!"),"NEW","")))</f>
        <v> </v>
      </c>
      <c r="G1555" s="23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4" t="str">
        <f>IF(J1555&lt;&gt;1,"",IF(I1555="SBJ","CB","?"))</f>
        <v> </v>
      </c>
      <c r="I1555" s="25" t="str">
        <f>IF(OR(E1555="",E1555="!!!",F1555="NEW"),"",INDEX(B1554:B$2,-1+SUMPRODUCT(MAX(ROW(E1554:E$2)*(E1555=E1554:E$2)))))</f>
        <v> </v>
      </c>
      <c r="J1555" s="25" t="str">
        <f>IF(OR(E1555="",E1555="!!!",F1555="NEW"),"",COUNTBLANK(OFFSET(A$1,,,SUMPRODUCT(MAX(ROW(E$2:E1555)*(E1555=E$2:E1555)))))-COUNTBLANK(OFFSET(A$1,,,SUMPRODUCT(MAX(ROW(E$1:E1554)*(E2=E$1:E1554))))))</f>
        <v> </v>
      </c>
      <c r="K1555" s="25" t="str">
        <f>IF(OR(E1555="",E1555="!!!",F1555="NEW"),"",INDEX(J$1:J1554,SUMPRODUCT(MAX(ROW(E$1:E1554)*(E1555=E$1:E1554)))))</f>
        <v> </v>
      </c>
      <c r="L1555" s="26"/>
    </row>
    <row r="1556" spans="1:12">
      <c r="A1556" s="20" t="s">
        <v>566</v>
      </c>
      <c r="E1556" s="21">
        <f>IF(D1556="?OLD","!!!","")</f>
        <v/>
      </c>
      <c r="F1556" s="22" t="str">
        <f>IF(OR(E1556="",E1556="!!!"),"",IF(NOT(ISNA(VLOOKUP(E1556,E$1:E1555,1,FALSE()))),"OLD",IF(AND(E1556&lt;&gt;"",E1556&lt;&gt;"!!!"),"NEW","")))</f>
        <v> </v>
      </c>
      <c r="G1556" s="23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4" t="str">
        <f>IF(J1556&lt;&gt;1,"",IF(I1556="SBJ","CB","?"))</f>
        <v> </v>
      </c>
      <c r="I1556" s="25" t="str">
        <f>IF(OR(E1556="",E1556="!!!",F1556="NEW"),"",INDEX(B1555:B$2,-1+SUMPRODUCT(MAX(ROW(E1555:E$2)*(E1556=E1555:E$2)))))</f>
        <v> </v>
      </c>
      <c r="J1556" s="25" t="str">
        <f>IF(OR(E1556="",E1556="!!!",F1556="NEW"),"",COUNTBLANK(OFFSET(A$1,,,SUMPRODUCT(MAX(ROW(E$2:E1556)*(E1556=E$2:E1556)))))-COUNTBLANK(OFFSET(A$1,,,SUMPRODUCT(MAX(ROW(E$1:E1555)*(E2=E$1:E1555))))))</f>
        <v> </v>
      </c>
      <c r="K1556" s="25" t="str">
        <f>IF(OR(E1556="",E1556="!!!",F1556="NEW"),"",INDEX(J$1:J1555,SUMPRODUCT(MAX(ROW(E$1:E1555)*(E1556=E$1:E1555)))))</f>
        <v> </v>
      </c>
      <c r="L1556" s="26"/>
    </row>
    <row r="1557" spans="1:12">
      <c r="A1557" s="20" t="s">
        <v>1139</v>
      </c>
      <c r="E1557" s="21">
        <f>IF(D1557="?OLD","!!!","")</f>
        <v/>
      </c>
      <c r="F1557" s="22" t="str">
        <f>IF(OR(E1557="",E1557="!!!"),"",IF(NOT(ISNA(VLOOKUP(E1557,E$1:E1556,1,FALSE()))),"OLD",IF(AND(E1557&lt;&gt;"",E1557&lt;&gt;"!!!"),"NEW","")))</f>
        <v> </v>
      </c>
      <c r="G1557" s="23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4" t="str">
        <f>IF(J1557&lt;&gt;1,"",IF(I1557="SBJ","CB","?"))</f>
        <v> </v>
      </c>
      <c r="I1557" s="25" t="str">
        <f>IF(OR(E1557="",E1557="!!!",F1557="NEW"),"",INDEX(B1556:B$2,-1+SUMPRODUCT(MAX(ROW(E1556:E$2)*(E1557=E1556:E$2)))))</f>
        <v> </v>
      </c>
      <c r="J1557" s="25" t="str">
        <f>IF(OR(E1557="",E1557="!!!",F1557="NEW"),"",COUNTBLANK(OFFSET(A$1,,,SUMPRODUCT(MAX(ROW(E$2:E1557)*(E1557=E$2:E1557)))))-COUNTBLANK(OFFSET(A$1,,,SUMPRODUCT(MAX(ROW(E$1:E1556)*(E2=E$1:E1556))))))</f>
        <v> </v>
      </c>
      <c r="K1557" s="25" t="str">
        <f>IF(OR(E1557="",E1557="!!!",F1557="NEW"),"",INDEX(J$1:J1556,SUMPRODUCT(MAX(ROW(E$1:E1556)*(E1557=E$1:E1556)))))</f>
        <v> </v>
      </c>
      <c r="L1557" s="26"/>
    </row>
    <row r="1558" spans="1:12">
      <c r="A1558" s="20" t="s">
        <v>1140</v>
      </c>
      <c r="B1558" s="27" t="s">
        <v>608</v>
      </c>
      <c r="C1558" s="27" t="s">
        <v>523</v>
      </c>
      <c r="D1558" s="27" t="s">
        <v>524</v>
      </c>
      <c r="E1558" s="21">
        <f>IF(D1558="?OLD","!!!","")</f>
        <v/>
      </c>
      <c r="F1558" s="22" t="str">
        <f>IF(OR(E1558="",E1558="!!!"),"",IF(NOT(ISNA(VLOOKUP(E1558,E$1:E1557,1,FALSE()))),"OLD",IF(AND(E1558&lt;&gt;"",E1558&lt;&gt;"!!!"),"NEW","")))</f>
        <v> </v>
      </c>
      <c r="G1558" s="23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4" t="str">
        <f>IF(J1558&lt;&gt;1,"",IF(I1558="SBJ","CB","?"))</f>
        <v> </v>
      </c>
      <c r="I1558" s="25" t="str">
        <f>IF(OR(E1558="",E1558="!!!",F1558="NEW"),"",INDEX(B1557:B$2,-1+SUMPRODUCT(MAX(ROW(E1557:E$2)*(E1558=E1557:E$2)))))</f>
        <v> </v>
      </c>
      <c r="J1558" s="25" t="str">
        <f>IF(OR(E1558="",E1558="!!!",F1558="NEW"),"",COUNTBLANK(OFFSET(A$1,,,SUMPRODUCT(MAX(ROW(E$2:E1558)*(E1558=E$2:E1558)))))-COUNTBLANK(OFFSET(A$1,,,SUMPRODUCT(MAX(ROW(E$1:E1557)*(E2=E$1:E1557))))))</f>
        <v> </v>
      </c>
      <c r="K1558" s="25" t="str">
        <f>IF(OR(E1558="",E1558="!!!",F1558="NEW"),"",INDEX(J$1:J1557,SUMPRODUCT(MAX(ROW(E$1:E1557)*(E1558=E$1:E1557)))))</f>
        <v> </v>
      </c>
      <c r="L1558" s="26"/>
    </row>
    <row r="1559" spans="1:12">
      <c r="A1559" s="20" t="s">
        <v>541</v>
      </c>
      <c r="E1559" s="21">
        <f>IF(D1559="?OLD","!!!","")</f>
        <v/>
      </c>
      <c r="F1559" s="22" t="str">
        <f>IF(OR(E1559="",E1559="!!!"),"",IF(NOT(ISNA(VLOOKUP(E1559,E$1:E1558,1,FALSE()))),"OLD",IF(AND(E1559&lt;&gt;"",E1559&lt;&gt;"!!!"),"NEW","")))</f>
        <v> </v>
      </c>
      <c r="G1559" s="23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4" t="str">
        <f>IF(J1559&lt;&gt;1,"",IF(I1559="SBJ","CB","?"))</f>
        <v> </v>
      </c>
      <c r="I1559" s="25" t="str">
        <f>IF(OR(E1559="",E1559="!!!",F1559="NEW"),"",INDEX(B1558:B$2,-1+SUMPRODUCT(MAX(ROW(E1558:E$2)*(E1559=E1558:E$2)))))</f>
        <v> </v>
      </c>
      <c r="J1559" s="25" t="str">
        <f>IF(OR(E1559="",E1559="!!!",F1559="NEW"),"",COUNTBLANK(OFFSET(A$1,,,SUMPRODUCT(MAX(ROW(E$2:E1559)*(E1559=E$2:E1559)))))-COUNTBLANK(OFFSET(A$1,,,SUMPRODUCT(MAX(ROW(E$1:E1558)*(E2=E$1:E1558))))))</f>
        <v> </v>
      </c>
      <c r="K1559" s="25" t="str">
        <f>IF(OR(E1559="",E1559="!!!",F1559="NEW"),"",INDEX(J$1:J1558,SUMPRODUCT(MAX(ROW(E$1:E1558)*(E1559=E$1:E1558)))))</f>
        <v> </v>
      </c>
      <c r="L1559" s="26"/>
    </row>
    <row r="1560" spans="1:12">
      <c r="A1560" s="20" t="s">
        <v>542</v>
      </c>
      <c r="E1560" s="21">
        <f>IF(D1560="?OLD","!!!","")</f>
        <v/>
      </c>
      <c r="F1560" s="22" t="str">
        <f>IF(OR(E1560="",E1560="!!!"),"",IF(NOT(ISNA(VLOOKUP(E1560,E$1:E1559,1,FALSE()))),"OLD",IF(AND(E1560&lt;&gt;"",E1560&lt;&gt;"!!!"),"NEW","")))</f>
        <v> </v>
      </c>
      <c r="G1560" s="23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4" t="str">
        <f>IF(J1560&lt;&gt;1,"",IF(I1560="SBJ","CB","?"))</f>
        <v> </v>
      </c>
      <c r="I1560" s="25" t="str">
        <f>IF(OR(E1560="",E1560="!!!",F1560="NEW"),"",INDEX(B1559:B$2,-1+SUMPRODUCT(MAX(ROW(E1559:E$2)*(E1560=E1559:E$2)))))</f>
        <v> </v>
      </c>
      <c r="J1560" s="25" t="str">
        <f>IF(OR(E1560="",E1560="!!!",F1560="NEW"),"",COUNTBLANK(OFFSET(A$1,,,SUMPRODUCT(MAX(ROW(E$2:E1560)*(E1560=E$2:E1560)))))-COUNTBLANK(OFFSET(A$1,,,SUMPRODUCT(MAX(ROW(E$1:E1559)*(E2=E$1:E1559))))))</f>
        <v> </v>
      </c>
      <c r="K1560" s="25" t="str">
        <f>IF(OR(E1560="",E1560="!!!",F1560="NEW"),"",INDEX(J$1:J1559,SUMPRODUCT(MAX(ROW(E$1:E1559)*(E1560=E$1:E1559)))))</f>
        <v> </v>
      </c>
      <c r="L1560" s="26"/>
    </row>
    <row r="1561" spans="1:12">
      <c r="A1561" s="20" t="s">
        <v>1141</v>
      </c>
      <c r="E1561" s="21">
        <f>IF(D1561="?OLD","!!!","")</f>
        <v/>
      </c>
      <c r="F1561" s="22" t="str">
        <f>IF(OR(E1561="",E1561="!!!"),"",IF(NOT(ISNA(VLOOKUP(E1561,E$1:E1560,1,FALSE()))),"OLD",IF(AND(E1561&lt;&gt;"",E1561&lt;&gt;"!!!"),"NEW","")))</f>
        <v> </v>
      </c>
      <c r="G1561" s="23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4" t="str">
        <f>IF(J1561&lt;&gt;1,"",IF(I1561="SBJ","CB","?"))</f>
        <v> </v>
      </c>
      <c r="I1561" s="25" t="str">
        <f>IF(OR(E1561="",E1561="!!!",F1561="NEW"),"",INDEX(B1560:B$2,-1+SUMPRODUCT(MAX(ROW(E1560:E$2)*(E1561=E1560:E$2)))))</f>
        <v> </v>
      </c>
      <c r="J1561" s="25" t="str">
        <f>IF(OR(E1561="",E1561="!!!",F1561="NEW"),"",COUNTBLANK(OFFSET(A$1,,,SUMPRODUCT(MAX(ROW(E$2:E1561)*(E1561=E$2:E1561)))))-COUNTBLANK(OFFSET(A$1,,,SUMPRODUCT(MAX(ROW(E$1:E1560)*(E2=E$1:E1560))))))</f>
        <v> </v>
      </c>
      <c r="K1561" s="25" t="str">
        <f>IF(OR(E1561="",E1561="!!!",F1561="NEW"),"",INDEX(J$1:J1560,SUMPRODUCT(MAX(ROW(E$1:E1560)*(E1561=E$1:E1560)))))</f>
        <v> </v>
      </c>
      <c r="L1561" s="26"/>
    </row>
    <row r="1562" spans="1:12">
      <c r="A1562" s="20" t="s">
        <v>1063</v>
      </c>
      <c r="E1562" s="21">
        <f>IF(D1562="?OLD","!!!","")</f>
        <v/>
      </c>
      <c r="F1562" s="22" t="str">
        <f>IF(OR(E1562="",E1562="!!!"),"",IF(NOT(ISNA(VLOOKUP(E1562,E$1:E1561,1,FALSE()))),"OLD",IF(AND(E1562&lt;&gt;"",E1562&lt;&gt;"!!!"),"NEW","")))</f>
        <v> </v>
      </c>
      <c r="G1562" s="23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4" t="str">
        <f>IF(J1562&lt;&gt;1,"",IF(I1562="SBJ","CB","?"))</f>
        <v> </v>
      </c>
      <c r="I1562" s="25" t="str">
        <f>IF(OR(E1562="",E1562="!!!",F1562="NEW"),"",INDEX(B1561:B$2,-1+SUMPRODUCT(MAX(ROW(E1561:E$2)*(E1562=E1561:E$2)))))</f>
        <v> </v>
      </c>
      <c r="J1562" s="25" t="str">
        <f>IF(OR(E1562="",E1562="!!!",F1562="NEW"),"",COUNTBLANK(OFFSET(A$1,,,SUMPRODUCT(MAX(ROW(E$2:E1562)*(E1562=E$2:E1562)))))-COUNTBLANK(OFFSET(A$1,,,SUMPRODUCT(MAX(ROW(E$1:E1561)*(E2=E$1:E1561))))))</f>
        <v> </v>
      </c>
      <c r="K1562" s="25" t="str">
        <f>IF(OR(E1562="",E1562="!!!",F1562="NEW"),"",INDEX(J$1:J1561,SUMPRODUCT(MAX(ROW(E$1:E1561)*(E1562=E$1:E1561)))))</f>
        <v> </v>
      </c>
      <c r="L1562" s="26"/>
    </row>
    <row r="1563" spans="1:12">
      <c r="A1563" s="20" t="s">
        <v>549</v>
      </c>
      <c r="E1563" s="21">
        <f>IF(D1563="?OLD","!!!","")</f>
        <v/>
      </c>
      <c r="F1563" s="22" t="str">
        <f>IF(OR(E1563="",E1563="!!!"),"",IF(NOT(ISNA(VLOOKUP(E1563,E$1:E1562,1,FALSE()))),"OLD",IF(AND(E1563&lt;&gt;"",E1563&lt;&gt;"!!!"),"NEW","")))</f>
        <v> </v>
      </c>
      <c r="G1563" s="23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4" t="str">
        <f>IF(J1563&lt;&gt;1,"",IF(I1563="SBJ","CB","?"))</f>
        <v> </v>
      </c>
      <c r="I1563" s="25" t="str">
        <f>IF(OR(E1563="",E1563="!!!",F1563="NEW"),"",INDEX(B1562:B$2,-1+SUMPRODUCT(MAX(ROW(E1562:E$2)*(E1563=E1562:E$2)))))</f>
        <v> </v>
      </c>
      <c r="J1563" s="25" t="str">
        <f>IF(OR(E1563="",E1563="!!!",F1563="NEW"),"",COUNTBLANK(OFFSET(A$1,,,SUMPRODUCT(MAX(ROW(E$2:E1563)*(E1563=E$2:E1563)))))-COUNTBLANK(OFFSET(A$1,,,SUMPRODUCT(MAX(ROW(E$1:E1562)*(E2=E$1:E1562))))))</f>
        <v> </v>
      </c>
      <c r="K1563" s="25" t="str">
        <f>IF(OR(E1563="",E1563="!!!",F1563="NEW"),"",INDEX(J$1:J1562,SUMPRODUCT(MAX(ROW(E$1:E1562)*(E1563=E$1:E1562)))))</f>
        <v> </v>
      </c>
      <c r="L1563" s="26"/>
    </row>
    <row r="1564" spans="1:12">
      <c r="A1564" s="20"/>
    </row>
    <row r="1565" spans="1:12">
      <c r="A1565" s="20" t="s">
        <v>1142</v>
      </c>
    </row>
    <row r="1566" spans="1:12">
      <c r="A1566" s="20" t="s">
        <v>1143</v>
      </c>
      <c r="E1566" s="21">
        <f>IF(D1566="?OLD","!!!","")</f>
        <v/>
      </c>
      <c r="F1566" s="22" t="str">
        <f>IF(OR(E1566="",E1566="!!!"),"",IF(NOT(ISNA(VLOOKUP(E1566,E$1:E1565,1,FALSE()))),"OLD",IF(AND(E1566&lt;&gt;"",E1566&lt;&gt;"!!!"),"NEW","")))</f>
        <v> </v>
      </c>
      <c r="G1566" s="23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4" t="str">
        <f>IF(J1566&lt;&gt;1,"",IF(I1566="SBJ","CB","?"))</f>
        <v> </v>
      </c>
      <c r="I1566" s="25" t="str">
        <f>IF(OR(E1566="",E1566="!!!",F1566="NEW"),"",INDEX(B1565:B$2,-1+SUMPRODUCT(MAX(ROW(E1565:E$2)*(E1566=E1565:E$2)))))</f>
        <v> </v>
      </c>
      <c r="J1566" s="25" t="str">
        <f>IF(OR(E1566="",E1566="!!!",F1566="NEW"),"",COUNTBLANK(OFFSET(A$1,,,SUMPRODUCT(MAX(ROW(E$2:E1566)*(E1566=E$2:E1566)))))-COUNTBLANK(OFFSET(A$1,,,SUMPRODUCT(MAX(ROW(E$1:E1565)*(E2=E$1:E1565))))))</f>
        <v> </v>
      </c>
      <c r="K1566" s="25" t="str">
        <f>IF(OR(E1566="",E1566="!!!",F1566="NEW"),"",INDEX(J$1:J1565,SUMPRODUCT(MAX(ROW(E$1:E1565)*(E1566=E$1:E1565)))))</f>
        <v> </v>
      </c>
      <c r="L1566" s="26"/>
    </row>
    <row r="1567" spans="1:12">
      <c r="A1567" s="20" t="s">
        <v>571</v>
      </c>
      <c r="E1567" s="21">
        <f>IF(D1567="?OLD","!!!","")</f>
        <v/>
      </c>
      <c r="F1567" s="22" t="str">
        <f>IF(OR(E1567="",E1567="!!!"),"",IF(NOT(ISNA(VLOOKUP(E1567,E$1:E1566,1,FALSE()))),"OLD",IF(AND(E1567&lt;&gt;"",E1567&lt;&gt;"!!!"),"NEW","")))</f>
        <v> </v>
      </c>
      <c r="G1567" s="23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4" t="str">
        <f>IF(J1567&lt;&gt;1,"",IF(I1567="SBJ","CB","?"))</f>
        <v> </v>
      </c>
      <c r="I1567" s="25" t="str">
        <f>IF(OR(E1567="",E1567="!!!",F1567="NEW"),"",INDEX(B1566:B$2,-1+SUMPRODUCT(MAX(ROW(E1566:E$2)*(E1567=E1566:E$2)))))</f>
        <v> </v>
      </c>
      <c r="J1567" s="25" t="str">
        <f>IF(OR(E1567="",E1567="!!!",F1567="NEW"),"",COUNTBLANK(OFFSET(A$1,,,SUMPRODUCT(MAX(ROW(E$2:E1567)*(E1567=E$2:E1567)))))-COUNTBLANK(OFFSET(A$1,,,SUMPRODUCT(MAX(ROW(E$1:E1566)*(E2=E$1:E1566))))))</f>
        <v> </v>
      </c>
      <c r="K1567" s="25" t="str">
        <f>IF(OR(E1567="",E1567="!!!",F1567="NEW"),"",INDEX(J$1:J1566,SUMPRODUCT(MAX(ROW(E$1:E1566)*(E1567=E$1:E1566)))))</f>
        <v> </v>
      </c>
      <c r="L1567" s="26"/>
    </row>
    <row r="1568" spans="1:12">
      <c r="A1568" s="20" t="s">
        <v>926</v>
      </c>
      <c r="E1568" s="21">
        <f>IF(D1568="?OLD","!!!","")</f>
        <v/>
      </c>
      <c r="F1568" s="22" t="str">
        <f>IF(OR(E1568="",E1568="!!!"),"",IF(NOT(ISNA(VLOOKUP(E1568,E$1:E1567,1,FALSE()))),"OLD",IF(AND(E1568&lt;&gt;"",E1568&lt;&gt;"!!!"),"NEW","")))</f>
        <v> </v>
      </c>
      <c r="G1568" s="23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4" t="str">
        <f>IF(J1568&lt;&gt;1,"",IF(I1568="SBJ","CB","?"))</f>
        <v> </v>
      </c>
      <c r="I1568" s="25" t="str">
        <f>IF(OR(E1568="",E1568="!!!",F1568="NEW"),"",INDEX(B1567:B$2,-1+SUMPRODUCT(MAX(ROW(E1567:E$2)*(E1568=E1567:E$2)))))</f>
        <v> </v>
      </c>
      <c r="J1568" s="25" t="str">
        <f>IF(OR(E1568="",E1568="!!!",F1568="NEW"),"",COUNTBLANK(OFFSET(A$1,,,SUMPRODUCT(MAX(ROW(E$2:E1568)*(E1568=E$2:E1568)))))-COUNTBLANK(OFFSET(A$1,,,SUMPRODUCT(MAX(ROW(E$1:E1567)*(E2=E$1:E1567))))))</f>
        <v> </v>
      </c>
      <c r="K1568" s="25" t="str">
        <f>IF(OR(E1568="",E1568="!!!",F1568="NEW"),"",INDEX(J$1:J1567,SUMPRODUCT(MAX(ROW(E$1:E1567)*(E1568=E$1:E1567)))))</f>
        <v> </v>
      </c>
      <c r="L1568" s="26"/>
    </row>
    <row r="1569" spans="1:12">
      <c r="A1569" s="20" t="s">
        <v>791</v>
      </c>
      <c r="B1569" s="27" t="s">
        <v>592</v>
      </c>
      <c r="C1569" s="27" t="s">
        <v>545</v>
      </c>
      <c r="D1569" s="27" t="s">
        <v>524</v>
      </c>
      <c r="E1569" s="21">
        <f>IF(D1569="?OLD","!!!","")</f>
        <v/>
      </c>
      <c r="F1569" s="22" t="str">
        <f>IF(OR(E1569="",E1569="!!!"),"",IF(NOT(ISNA(VLOOKUP(E1569,E$1:E1568,1,FALSE()))),"OLD",IF(AND(E1569&lt;&gt;"",E1569&lt;&gt;"!!!"),"NEW","")))</f>
        <v> </v>
      </c>
      <c r="G1569" s="23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4" t="str">
        <f>IF(J1569&lt;&gt;1,"",IF(I1569="SBJ","CB","?"))</f>
        <v> </v>
      </c>
      <c r="I1569" s="25" t="str">
        <f>IF(OR(E1569="",E1569="!!!",F1569="NEW"),"",INDEX(B1568:B$2,-1+SUMPRODUCT(MAX(ROW(E1568:E$2)*(E1569=E1568:E$2)))))</f>
        <v> </v>
      </c>
      <c r="J1569" s="25" t="str">
        <f>IF(OR(E1569="",E1569="!!!",F1569="NEW"),"",COUNTBLANK(OFFSET(A$1,,,SUMPRODUCT(MAX(ROW(E$2:E1569)*(E1569=E$2:E1569)))))-COUNTBLANK(OFFSET(A$1,,,SUMPRODUCT(MAX(ROW(E$1:E1568)*(E2=E$1:E1568))))))</f>
        <v> </v>
      </c>
      <c r="K1569" s="25" t="str">
        <f>IF(OR(E1569="",E1569="!!!",F1569="NEW"),"",INDEX(J$1:J1568,SUMPRODUCT(MAX(ROW(E$1:E1568)*(E1569=E$1:E1568)))))</f>
        <v> </v>
      </c>
      <c r="L1569" s="26"/>
    </row>
    <row r="1570" spans="1:12">
      <c r="A1570" s="20" t="s">
        <v>528</v>
      </c>
      <c r="E1570" s="21">
        <f>IF(D1570="?OLD","!!!","")</f>
        <v/>
      </c>
      <c r="F1570" s="22" t="str">
        <f>IF(OR(E1570="",E1570="!!!"),"",IF(NOT(ISNA(VLOOKUP(E1570,E$1:E1569,1,FALSE()))),"OLD",IF(AND(E1570&lt;&gt;"",E1570&lt;&gt;"!!!"),"NEW","")))</f>
        <v> </v>
      </c>
      <c r="G1570" s="23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4" t="str">
        <f>IF(J1570&lt;&gt;1,"",IF(I1570="SBJ","CB","?"))</f>
        <v> </v>
      </c>
      <c r="I1570" s="25" t="str">
        <f>IF(OR(E1570="",E1570="!!!",F1570="NEW"),"",INDEX(B1569:B$2,-1+SUMPRODUCT(MAX(ROW(E1569:E$2)*(E1570=E1569:E$2)))))</f>
        <v> </v>
      </c>
      <c r="J1570" s="25" t="str">
        <f>IF(OR(E1570="",E1570="!!!",F1570="NEW"),"",COUNTBLANK(OFFSET(A$1,,,SUMPRODUCT(MAX(ROW(E$2:E1570)*(E1570=E$2:E1570)))))-COUNTBLANK(OFFSET(A$1,,,SUMPRODUCT(MAX(ROW(E$1:E1569)*(E2=E$1:E1569))))))</f>
        <v> </v>
      </c>
      <c r="K1570" s="25" t="str">
        <f>IF(OR(E1570="",E1570="!!!",F1570="NEW"),"",INDEX(J$1:J1569,SUMPRODUCT(MAX(ROW(E$1:E1569)*(E1570=E$1:E1569)))))</f>
        <v> </v>
      </c>
      <c r="L1570" s="26"/>
    </row>
    <row r="1571" spans="1:12">
      <c r="A1571" s="20" t="s">
        <v>1144</v>
      </c>
      <c r="E1571" s="21">
        <f>IF(D1571="?OLD","!!!","")</f>
        <v/>
      </c>
      <c r="F1571" s="22" t="str">
        <f>IF(OR(E1571="",E1571="!!!"),"",IF(NOT(ISNA(VLOOKUP(E1571,E$1:E1570,1,FALSE()))),"OLD",IF(AND(E1571&lt;&gt;"",E1571&lt;&gt;"!!!"),"NEW","")))</f>
        <v> </v>
      </c>
      <c r="G1571" s="23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4" t="str">
        <f>IF(J1571&lt;&gt;1,"",IF(I1571="SBJ","CB","?"))</f>
        <v> </v>
      </c>
      <c r="I1571" s="25" t="str">
        <f>IF(OR(E1571="",E1571="!!!",F1571="NEW"),"",INDEX(B1570:B$2,-1+SUMPRODUCT(MAX(ROW(E1570:E$2)*(E1571=E1570:E$2)))))</f>
        <v> </v>
      </c>
      <c r="J1571" s="25" t="str">
        <f>IF(OR(E1571="",E1571="!!!",F1571="NEW"),"",COUNTBLANK(OFFSET(A$1,,,SUMPRODUCT(MAX(ROW(E$2:E1571)*(E1571=E$2:E1571)))))-COUNTBLANK(OFFSET(A$1,,,SUMPRODUCT(MAX(ROW(E$1:E1570)*(E2=E$1:E1570))))))</f>
        <v> </v>
      </c>
      <c r="K1571" s="25" t="str">
        <f>IF(OR(E1571="",E1571="!!!",F1571="NEW"),"",INDEX(J$1:J1570,SUMPRODUCT(MAX(ROW(E$1:E1570)*(E1571=E$1:E1570)))))</f>
        <v> </v>
      </c>
      <c r="L1571" s="26"/>
    </row>
    <row r="1572" spans="1:12">
      <c r="A1572" s="20" t="s">
        <v>538</v>
      </c>
      <c r="E1572" s="21">
        <f>IF(D1572="?OLD","!!!","")</f>
        <v/>
      </c>
      <c r="F1572" s="22" t="str">
        <f>IF(OR(E1572="",E1572="!!!"),"",IF(NOT(ISNA(VLOOKUP(E1572,E$1:E1571,1,FALSE()))),"OLD",IF(AND(E1572&lt;&gt;"",E1572&lt;&gt;"!!!"),"NEW","")))</f>
        <v> </v>
      </c>
      <c r="G1572" s="23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4" t="str">
        <f>IF(J1572&lt;&gt;1,"",IF(I1572="SBJ","CB","?"))</f>
        <v> </v>
      </c>
      <c r="I1572" s="25" t="str">
        <f>IF(OR(E1572="",E1572="!!!",F1572="NEW"),"",INDEX(B1571:B$2,-1+SUMPRODUCT(MAX(ROW(E1571:E$2)*(E1572=E1571:E$2)))))</f>
        <v> </v>
      </c>
      <c r="J1572" s="25" t="str">
        <f>IF(OR(E1572="",E1572="!!!",F1572="NEW"),"",COUNTBLANK(OFFSET(A$1,,,SUMPRODUCT(MAX(ROW(E$2:E1572)*(E1572=E$2:E1572)))))-COUNTBLANK(OFFSET(A$1,,,SUMPRODUCT(MAX(ROW(E$1:E1571)*(E2=E$1:E1571))))))</f>
        <v> </v>
      </c>
      <c r="K1572" s="25" t="str">
        <f>IF(OR(E1572="",E1572="!!!",F1572="NEW"),"",INDEX(J$1:J1571,SUMPRODUCT(MAX(ROW(E$1:E1571)*(E1572=E$1:E1571)))))</f>
        <v> </v>
      </c>
      <c r="L1572" s="26"/>
    </row>
    <row r="1573" spans="1:12">
      <c r="A1573" s="20" t="s">
        <v>1145</v>
      </c>
      <c r="E1573" s="21">
        <f>IF(D1573="?OLD","!!!","")</f>
        <v/>
      </c>
      <c r="F1573" s="22" t="str">
        <f>IF(OR(E1573="",E1573="!!!"),"",IF(NOT(ISNA(VLOOKUP(E1573,E$1:E1572,1,FALSE()))),"OLD",IF(AND(E1573&lt;&gt;"",E1573&lt;&gt;"!!!"),"NEW","")))</f>
        <v> </v>
      </c>
      <c r="G1573" s="23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4" t="str">
        <f>IF(J1573&lt;&gt;1,"",IF(I1573="SBJ","CB","?"))</f>
        <v> </v>
      </c>
      <c r="I1573" s="25" t="str">
        <f>IF(OR(E1573="",E1573="!!!",F1573="NEW"),"",INDEX(B1572:B$2,-1+SUMPRODUCT(MAX(ROW(E1572:E$2)*(E1573=E1572:E$2)))))</f>
        <v> </v>
      </c>
      <c r="J1573" s="25" t="str">
        <f>IF(OR(E1573="",E1573="!!!",F1573="NEW"),"",COUNTBLANK(OFFSET(A$1,,,SUMPRODUCT(MAX(ROW(E$2:E1573)*(E1573=E$2:E1573)))))-COUNTBLANK(OFFSET(A$1,,,SUMPRODUCT(MAX(ROW(E$1:E1572)*(E2=E$1:E1572))))))</f>
        <v> </v>
      </c>
      <c r="K1573" s="25" t="str">
        <f>IF(OR(E1573="",E1573="!!!",F1573="NEW"),"",INDEX(J$1:J1572,SUMPRODUCT(MAX(ROW(E$1:E1572)*(E1573=E$1:E1572)))))</f>
        <v> </v>
      </c>
      <c r="L1573" s="26"/>
    </row>
    <row r="1574" spans="1:12">
      <c r="A1574" s="20" t="s">
        <v>1146</v>
      </c>
      <c r="B1574" s="27" t="s">
        <v>522</v>
      </c>
      <c r="C1574" s="27" t="s">
        <v>540</v>
      </c>
      <c r="D1574" s="27" t="s">
        <v>524</v>
      </c>
      <c r="E1574" s="21">
        <f>IF(D1574="?OLD","!!!","")</f>
        <v/>
      </c>
      <c r="F1574" s="22" t="str">
        <f>IF(OR(E1574="",E1574="!!!"),"",IF(NOT(ISNA(VLOOKUP(E1574,E$1:E1573,1,FALSE()))),"OLD",IF(AND(E1574&lt;&gt;"",E1574&lt;&gt;"!!!"),"NEW","")))</f>
        <v> </v>
      </c>
      <c r="G1574" s="23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4" t="str">
        <f>IF(J1574&lt;&gt;1,"",IF(I1574="SBJ","CB","?"))</f>
        <v> </v>
      </c>
      <c r="I1574" s="25" t="str">
        <f>IF(OR(E1574="",E1574="!!!",F1574="NEW"),"",INDEX(B1573:B$2,-1+SUMPRODUCT(MAX(ROW(E1573:E$2)*(E1574=E1573:E$2)))))</f>
        <v> </v>
      </c>
      <c r="J1574" s="25" t="str">
        <f>IF(OR(E1574="",E1574="!!!",F1574="NEW"),"",COUNTBLANK(OFFSET(A$1,,,SUMPRODUCT(MAX(ROW(E$2:E1574)*(E1574=E$2:E1574)))))-COUNTBLANK(OFFSET(A$1,,,SUMPRODUCT(MAX(ROW(E$1:E1573)*(E2=E$1:E1573))))))</f>
        <v> </v>
      </c>
      <c r="K1574" s="25" t="str">
        <f>IF(OR(E1574="",E1574="!!!",F1574="NEW"),"",INDEX(J$1:J1573,SUMPRODUCT(MAX(ROW(E$1:E1573)*(E1574=E$1:E1573)))))</f>
        <v> </v>
      </c>
      <c r="L1574" s="26"/>
    </row>
    <row r="1575" spans="1:12">
      <c r="A1575" s="20" t="s">
        <v>542</v>
      </c>
      <c r="E1575" s="21">
        <f>IF(D1575="?OLD","!!!","")</f>
        <v/>
      </c>
      <c r="F1575" s="22" t="str">
        <f>IF(OR(E1575="",E1575="!!!"),"",IF(NOT(ISNA(VLOOKUP(E1575,E$1:E1574,1,FALSE()))),"OLD",IF(AND(E1575&lt;&gt;"",E1575&lt;&gt;"!!!"),"NEW","")))</f>
        <v> </v>
      </c>
      <c r="G1575" s="23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4" t="str">
        <f>IF(J1575&lt;&gt;1,"",IF(I1575="SBJ","CB","?"))</f>
        <v> </v>
      </c>
      <c r="I1575" s="25" t="str">
        <f>IF(OR(E1575="",E1575="!!!",F1575="NEW"),"",INDEX(B1574:B$2,-1+SUMPRODUCT(MAX(ROW(E1574:E$2)*(E1575=E1574:E$2)))))</f>
        <v> </v>
      </c>
      <c r="J1575" s="25" t="str">
        <f>IF(OR(E1575="",E1575="!!!",F1575="NEW"),"",COUNTBLANK(OFFSET(A$1,,,SUMPRODUCT(MAX(ROW(E$2:E1575)*(E1575=E$2:E1575)))))-COUNTBLANK(OFFSET(A$1,,,SUMPRODUCT(MAX(ROW(E$1:E1574)*(E2=E$1:E1574))))))</f>
        <v> </v>
      </c>
      <c r="K1575" s="25" t="str">
        <f>IF(OR(E1575="",E1575="!!!",F1575="NEW"),"",INDEX(J$1:J1574,SUMPRODUCT(MAX(ROW(E$1:E1574)*(E1575=E$1:E1574)))))</f>
        <v> </v>
      </c>
      <c r="L1575" s="26"/>
    </row>
    <row r="1576" spans="1:12">
      <c r="A1576" s="20" t="s">
        <v>682</v>
      </c>
      <c r="E1576" s="21">
        <f>IF(D1576="?OLD","!!!","")</f>
        <v/>
      </c>
      <c r="F1576" s="22" t="str">
        <f>IF(OR(E1576="",E1576="!!!"),"",IF(NOT(ISNA(VLOOKUP(E1576,E$1:E1575,1,FALSE()))),"OLD",IF(AND(E1576&lt;&gt;"",E1576&lt;&gt;"!!!"),"NEW","")))</f>
        <v> </v>
      </c>
      <c r="G1576" s="23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4" t="str">
        <f>IF(J1576&lt;&gt;1,"",IF(I1576="SBJ","CB","?"))</f>
        <v> </v>
      </c>
      <c r="I1576" s="25" t="str">
        <f>IF(OR(E1576="",E1576="!!!",F1576="NEW"),"",INDEX(B1575:B$2,-1+SUMPRODUCT(MAX(ROW(E1575:E$2)*(E1576=E1575:E$2)))))</f>
        <v> </v>
      </c>
      <c r="J1576" s="25" t="str">
        <f>IF(OR(E1576="",E1576="!!!",F1576="NEW"),"",COUNTBLANK(OFFSET(A$1,,,SUMPRODUCT(MAX(ROW(E$2:E1576)*(E1576=E$2:E1576)))))-COUNTBLANK(OFFSET(A$1,,,SUMPRODUCT(MAX(ROW(E$1:E1575)*(E2=E$1:E1575))))))</f>
        <v> </v>
      </c>
      <c r="K1576" s="25" t="str">
        <f>IF(OR(E1576="",E1576="!!!",F1576="NEW"),"",INDEX(J$1:J1575,SUMPRODUCT(MAX(ROW(E$1:E1575)*(E1576=E$1:E1575)))))</f>
        <v> </v>
      </c>
      <c r="L1576" s="26"/>
    </row>
    <row r="1577" spans="1:12">
      <c r="A1577" s="20" t="s">
        <v>1147</v>
      </c>
      <c r="B1577" s="27" t="s">
        <v>534</v>
      </c>
      <c r="C1577" s="27" t="s">
        <v>669</v>
      </c>
      <c r="D1577" s="27" t="s">
        <v>524</v>
      </c>
      <c r="E1577" s="21">
        <f>IF(D1577="?OLD","!!!","")</f>
        <v/>
      </c>
      <c r="F1577" s="22" t="str">
        <f>IF(OR(E1577="",E1577="!!!"),"",IF(NOT(ISNA(VLOOKUP(E1577,E$1:E1576,1,FALSE()))),"OLD",IF(AND(E1577&lt;&gt;"",E1577&lt;&gt;"!!!"),"NEW","")))</f>
        <v> </v>
      </c>
      <c r="G1577" s="23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4" t="str">
        <f>IF(J1577&lt;&gt;1,"",IF(I1577="SBJ","CB","?"))</f>
        <v> </v>
      </c>
      <c r="I1577" s="25" t="str">
        <f>IF(OR(E1577="",E1577="!!!",F1577="NEW"),"",INDEX(B1576:B$2,-1+SUMPRODUCT(MAX(ROW(E1576:E$2)*(E1577=E1576:E$2)))))</f>
        <v> </v>
      </c>
      <c r="J1577" s="25" t="str">
        <f>IF(OR(E1577="",E1577="!!!",F1577="NEW"),"",COUNTBLANK(OFFSET(A$1,,,SUMPRODUCT(MAX(ROW(E$2:E1577)*(E1577=E$2:E1577)))))-COUNTBLANK(OFFSET(A$1,,,SUMPRODUCT(MAX(ROW(E$1:E1576)*(E2=E$1:E1576))))))</f>
        <v> </v>
      </c>
      <c r="K1577" s="25" t="str">
        <f>IF(OR(E1577="",E1577="!!!",F1577="NEW"),"",INDEX(J$1:J1576,SUMPRODUCT(MAX(ROW(E$1:E1576)*(E1577=E$1:E1576)))))</f>
        <v> </v>
      </c>
      <c r="L1577" s="26"/>
    </row>
    <row r="1578" spans="1:12">
      <c r="A1578" s="20" t="s">
        <v>1148</v>
      </c>
      <c r="B1578" s="27" t="s">
        <v>544</v>
      </c>
      <c r="C1578" s="27" t="s">
        <v>545</v>
      </c>
      <c r="D1578" s="27" t="s">
        <v>524</v>
      </c>
      <c r="E1578" s="21">
        <f>IF(D1578="?OLD","!!!","")</f>
        <v/>
      </c>
      <c r="F1578" s="22" t="str">
        <f>IF(OR(E1578="",E1578="!!!"),"",IF(NOT(ISNA(VLOOKUP(E1578,E$1:E1577,1,FALSE()))),"OLD",IF(AND(E1578&lt;&gt;"",E1578&lt;&gt;"!!!"),"NEW","")))</f>
        <v> </v>
      </c>
      <c r="G1578" s="23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4" t="str">
        <f>IF(J1578&lt;&gt;1,"",IF(I1578="SBJ","CB","?"))</f>
        <v> </v>
      </c>
      <c r="I1578" s="25" t="str">
        <f>IF(OR(E1578="",E1578="!!!",F1578="NEW"),"",INDEX(B1577:B$2,-1+SUMPRODUCT(MAX(ROW(E1577:E$2)*(E1578=E1577:E$2)))))</f>
        <v> </v>
      </c>
      <c r="J1578" s="25" t="str">
        <f>IF(OR(E1578="",E1578="!!!",F1578="NEW"),"",COUNTBLANK(OFFSET(A$1,,,SUMPRODUCT(MAX(ROW(E$2:E1578)*(E1578=E$2:E1578)))))-COUNTBLANK(OFFSET(A$1,,,SUMPRODUCT(MAX(ROW(E$1:E1577)*(E2=E$1:E1577))))))</f>
        <v> </v>
      </c>
      <c r="K1578" s="25" t="str">
        <f>IF(OR(E1578="",E1578="!!!",F1578="NEW"),"",INDEX(J$1:J1577,SUMPRODUCT(MAX(ROW(E$1:E1577)*(E1578=E$1:E1577)))))</f>
        <v> </v>
      </c>
      <c r="L1578" s="26"/>
    </row>
    <row r="1579" spans="1:12">
      <c r="A1579" s="20" t="s">
        <v>574</v>
      </c>
      <c r="E1579" s="21">
        <f>IF(D1579="?OLD","!!!","")</f>
        <v/>
      </c>
      <c r="F1579" s="22" t="str">
        <f>IF(OR(E1579="",E1579="!!!"),"",IF(NOT(ISNA(VLOOKUP(E1579,E$1:E1578,1,FALSE()))),"OLD",IF(AND(E1579&lt;&gt;"",E1579&lt;&gt;"!!!"),"NEW","")))</f>
        <v> </v>
      </c>
      <c r="G1579" s="23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4" t="str">
        <f>IF(J1579&lt;&gt;1,"",IF(I1579="SBJ","CB","?"))</f>
        <v> </v>
      </c>
      <c r="I1579" s="25" t="str">
        <f>IF(OR(E1579="",E1579="!!!",F1579="NEW"),"",INDEX(B1578:B$2,-1+SUMPRODUCT(MAX(ROW(E1578:E$2)*(E1579=E1578:E$2)))))</f>
        <v> </v>
      </c>
      <c r="J1579" s="25" t="str">
        <f>IF(OR(E1579="",E1579="!!!",F1579="NEW"),"",COUNTBLANK(OFFSET(A$1,,,SUMPRODUCT(MAX(ROW(E$2:E1579)*(E1579=E$2:E1579)))))-COUNTBLANK(OFFSET(A$1,,,SUMPRODUCT(MAX(ROW(E$1:E1578)*(E2=E$1:E1578))))))</f>
        <v> </v>
      </c>
      <c r="K1579" s="25" t="str">
        <f>IF(OR(E1579="",E1579="!!!",F1579="NEW"),"",INDEX(J$1:J1578,SUMPRODUCT(MAX(ROW(E$1:E1578)*(E1579=E$1:E1578)))))</f>
        <v> </v>
      </c>
      <c r="L1579" s="26"/>
    </row>
    <row r="1580" spans="1:12">
      <c r="A1580" s="20" t="s">
        <v>828</v>
      </c>
      <c r="B1580" s="27" t="s">
        <v>529</v>
      </c>
      <c r="C1580" s="27" t="s">
        <v>523</v>
      </c>
      <c r="D1580" s="27" t="s">
        <v>524</v>
      </c>
      <c r="E1580" s="21">
        <f>IF(D1580="?OLD","!!!","")</f>
        <v/>
      </c>
      <c r="F1580" s="22" t="str">
        <f>IF(OR(E1580="",E1580="!!!"),"",IF(NOT(ISNA(VLOOKUP(E1580,E$1:E1579,1,FALSE()))),"OLD",IF(AND(E1580&lt;&gt;"",E1580&lt;&gt;"!!!"),"NEW","")))</f>
        <v> </v>
      </c>
      <c r="G1580" s="23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4" t="str">
        <f>IF(J1580&lt;&gt;1,"",IF(I1580="SBJ","CB","?"))</f>
        <v> </v>
      </c>
      <c r="I1580" s="25" t="str">
        <f>IF(OR(E1580="",E1580="!!!",F1580="NEW"),"",INDEX(B1579:B$2,-1+SUMPRODUCT(MAX(ROW(E1579:E$2)*(E1580=E1579:E$2)))))</f>
        <v> </v>
      </c>
      <c r="J1580" s="25" t="str">
        <f>IF(OR(E1580="",E1580="!!!",F1580="NEW"),"",COUNTBLANK(OFFSET(A$1,,,SUMPRODUCT(MAX(ROW(E$2:E1580)*(E1580=E$2:E1580)))))-COUNTBLANK(OFFSET(A$1,,,SUMPRODUCT(MAX(ROW(E$1:E1579)*(E2=E$1:E1579))))))</f>
        <v> </v>
      </c>
      <c r="K1580" s="25" t="str">
        <f>IF(OR(E1580="",E1580="!!!",F1580="NEW"),"",INDEX(J$1:J1579,SUMPRODUCT(MAX(ROW(E$1:E1579)*(E1580=E$1:E1579)))))</f>
        <v> </v>
      </c>
      <c r="L1580" s="26"/>
    </row>
    <row r="1581" spans="1:12">
      <c r="A1581" s="20" t="s">
        <v>1144</v>
      </c>
      <c r="E1581" s="21">
        <f>IF(D1581="?OLD","!!!","")</f>
        <v/>
      </c>
      <c r="F1581" s="22" t="str">
        <f>IF(OR(E1581="",E1581="!!!"),"",IF(NOT(ISNA(VLOOKUP(E1581,E$1:E1580,1,FALSE()))),"OLD",IF(AND(E1581&lt;&gt;"",E1581&lt;&gt;"!!!"),"NEW","")))</f>
        <v> </v>
      </c>
      <c r="G1581" s="23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4" t="str">
        <f>IF(J1581&lt;&gt;1,"",IF(I1581="SBJ","CB","?"))</f>
        <v> </v>
      </c>
      <c r="I1581" s="25" t="str">
        <f>IF(OR(E1581="",E1581="!!!",F1581="NEW"),"",INDEX(B1580:B$2,-1+SUMPRODUCT(MAX(ROW(E1580:E$2)*(E1581=E1580:E$2)))))</f>
        <v> </v>
      </c>
      <c r="J1581" s="25" t="str">
        <f>IF(OR(E1581="",E1581="!!!",F1581="NEW"),"",COUNTBLANK(OFFSET(A$1,,,SUMPRODUCT(MAX(ROW(E$2:E1581)*(E1581=E$2:E1581)))))-COUNTBLANK(OFFSET(A$1,,,SUMPRODUCT(MAX(ROW(E$1:E1580)*(E2=E$1:E1580))))))</f>
        <v> </v>
      </c>
      <c r="K1581" s="25" t="str">
        <f>IF(OR(E1581="",E1581="!!!",F1581="NEW"),"",INDEX(J$1:J1580,SUMPRODUCT(MAX(ROW(E$1:E1580)*(E1581=E$1:E1580)))))</f>
        <v> </v>
      </c>
      <c r="L1581" s="26"/>
    </row>
    <row r="1582" spans="1:12">
      <c r="A1582" s="20" t="s">
        <v>1149</v>
      </c>
      <c r="E1582" s="21">
        <f>IF(D1582="?OLD","!!!","")</f>
        <v/>
      </c>
      <c r="F1582" s="22" t="str">
        <f>IF(OR(E1582="",E1582="!!!"),"",IF(NOT(ISNA(VLOOKUP(E1582,E$1:E1581,1,FALSE()))),"OLD",IF(AND(E1582&lt;&gt;"",E1582&lt;&gt;"!!!"),"NEW","")))</f>
        <v> </v>
      </c>
      <c r="G1582" s="23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4" t="str">
        <f>IF(J1582&lt;&gt;1,"",IF(I1582="SBJ","CB","?"))</f>
        <v> </v>
      </c>
      <c r="I1582" s="25" t="str">
        <f>IF(OR(E1582="",E1582="!!!",F1582="NEW"),"",INDEX(B1581:B$2,-1+SUMPRODUCT(MAX(ROW(E1581:E$2)*(E1582=E1581:E$2)))))</f>
        <v> </v>
      </c>
      <c r="J1582" s="25" t="str">
        <f>IF(OR(E1582="",E1582="!!!",F1582="NEW"),"",COUNTBLANK(OFFSET(A$1,,,SUMPRODUCT(MAX(ROW(E$2:E1582)*(E1582=E$2:E1582)))))-COUNTBLANK(OFFSET(A$1,,,SUMPRODUCT(MAX(ROW(E$1:E1581)*(E2=E$1:E1581))))))</f>
        <v> </v>
      </c>
      <c r="K1582" s="25" t="str">
        <f>IF(OR(E1582="",E1582="!!!",F1582="NEW"),"",INDEX(J$1:J1581,SUMPRODUCT(MAX(ROW(E$1:E1581)*(E1582=E$1:E1581)))))</f>
        <v> </v>
      </c>
      <c r="L1582" s="26"/>
    </row>
    <row r="1583" spans="1:12">
      <c r="A1583" s="20" t="s">
        <v>528</v>
      </c>
      <c r="E1583" s="21">
        <f>IF(D1583="?OLD","!!!","")</f>
        <v/>
      </c>
      <c r="F1583" s="22" t="str">
        <f>IF(OR(E1583="",E1583="!!!"),"",IF(NOT(ISNA(VLOOKUP(E1583,E$1:E1582,1,FALSE()))),"OLD",IF(AND(E1583&lt;&gt;"",E1583&lt;&gt;"!!!"),"NEW","")))</f>
        <v> </v>
      </c>
      <c r="G1583" s="23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4" t="str">
        <f>IF(J1583&lt;&gt;1,"",IF(I1583="SBJ","CB","?"))</f>
        <v> </v>
      </c>
      <c r="I1583" s="25" t="str">
        <f>IF(OR(E1583="",E1583="!!!",F1583="NEW"),"",INDEX(B1582:B$2,-1+SUMPRODUCT(MAX(ROW(E1582:E$2)*(E1583=E1582:E$2)))))</f>
        <v> </v>
      </c>
      <c r="J1583" s="25" t="str">
        <f>IF(OR(E1583="",E1583="!!!",F1583="NEW"),"",COUNTBLANK(OFFSET(A$1,,,SUMPRODUCT(MAX(ROW(E$2:E1583)*(E1583=E$2:E1583)))))-COUNTBLANK(OFFSET(A$1,,,SUMPRODUCT(MAX(ROW(E$1:E1582)*(E2=E$1:E1582))))))</f>
        <v> </v>
      </c>
      <c r="K1583" s="25" t="str">
        <f>IF(OR(E1583="",E1583="!!!",F1583="NEW"),"",INDEX(J$1:J1582,SUMPRODUCT(MAX(ROW(E$1:E1582)*(E1583=E$1:E1582)))))</f>
        <v> </v>
      </c>
      <c r="L1583" s="26"/>
    </row>
    <row r="1584" spans="1:12">
      <c r="A1584" s="20" t="s">
        <v>708</v>
      </c>
      <c r="E1584" s="21">
        <f>IF(D1584="?OLD","!!!","")</f>
        <v/>
      </c>
      <c r="F1584" s="22" t="str">
        <f>IF(OR(E1584="",E1584="!!!"),"",IF(NOT(ISNA(VLOOKUP(E1584,E$1:E1583,1,FALSE()))),"OLD",IF(AND(E1584&lt;&gt;"",E1584&lt;&gt;"!!!"),"NEW","")))</f>
        <v> </v>
      </c>
      <c r="G1584" s="23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4" t="str">
        <f>IF(J1584&lt;&gt;1,"",IF(I1584="SBJ","CB","?"))</f>
        <v> </v>
      </c>
      <c r="I1584" s="25" t="str">
        <f>IF(OR(E1584="",E1584="!!!",F1584="NEW"),"",INDEX(B1583:B$2,-1+SUMPRODUCT(MAX(ROW(E1583:E$2)*(E1584=E1583:E$2)))))</f>
        <v> </v>
      </c>
      <c r="J1584" s="25" t="str">
        <f>IF(OR(E1584="",E1584="!!!",F1584="NEW"),"",COUNTBLANK(OFFSET(A$1,,,SUMPRODUCT(MAX(ROW(E$2:E1584)*(E1584=E$2:E1584)))))-COUNTBLANK(OFFSET(A$1,,,SUMPRODUCT(MAX(ROW(E$1:E1583)*(E2=E$1:E1583))))))</f>
        <v> </v>
      </c>
      <c r="K1584" s="25" t="str">
        <f>IF(OR(E1584="",E1584="!!!",F1584="NEW"),"",INDEX(J$1:J1583,SUMPRODUCT(MAX(ROW(E$1:E1583)*(E1584=E$1:E1583)))))</f>
        <v> </v>
      </c>
      <c r="L1584" s="26"/>
    </row>
    <row r="1585" spans="1:12">
      <c r="A1585" s="20" t="s">
        <v>1150</v>
      </c>
      <c r="E1585" s="21">
        <f>IF(D1585="?OLD","!!!","")</f>
        <v/>
      </c>
      <c r="F1585" s="22" t="str">
        <f>IF(OR(E1585="",E1585="!!!"),"",IF(NOT(ISNA(VLOOKUP(E1585,E$1:E1584,1,FALSE()))),"OLD",IF(AND(E1585&lt;&gt;"",E1585&lt;&gt;"!!!"),"NEW","")))</f>
        <v> </v>
      </c>
      <c r="G1585" s="23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4" t="str">
        <f>IF(J1585&lt;&gt;1,"",IF(I1585="SBJ","CB","?"))</f>
        <v> </v>
      </c>
      <c r="I1585" s="25" t="str">
        <f>IF(OR(E1585="",E1585="!!!",F1585="NEW"),"",INDEX(B1584:B$2,-1+SUMPRODUCT(MAX(ROW(E1584:E$2)*(E1585=E1584:E$2)))))</f>
        <v> </v>
      </c>
      <c r="J1585" s="25" t="str">
        <f>IF(OR(E1585="",E1585="!!!",F1585="NEW"),"",COUNTBLANK(OFFSET(A$1,,,SUMPRODUCT(MAX(ROW(E$2:E1585)*(E1585=E$2:E1585)))))-COUNTBLANK(OFFSET(A$1,,,SUMPRODUCT(MAX(ROW(E$1:E1584)*(E2=E$1:E1584))))))</f>
        <v> </v>
      </c>
      <c r="K1585" s="25" t="str">
        <f>IF(OR(E1585="",E1585="!!!",F1585="NEW"),"",INDEX(J$1:J1584,SUMPRODUCT(MAX(ROW(E$1:E1584)*(E1585=E$1:E1584)))))</f>
        <v> </v>
      </c>
      <c r="L1585" s="26"/>
    </row>
    <row r="1586" spans="1:12">
      <c r="A1586" s="20" t="s">
        <v>1151</v>
      </c>
      <c r="E1586" s="21">
        <f>IF(D1586="?OLD","!!!","")</f>
        <v/>
      </c>
      <c r="F1586" s="22" t="str">
        <f>IF(OR(E1586="",E1586="!!!"),"",IF(NOT(ISNA(VLOOKUP(E1586,E$1:E1585,1,FALSE()))),"OLD",IF(AND(E1586&lt;&gt;"",E1586&lt;&gt;"!!!"),"NEW","")))</f>
        <v> </v>
      </c>
      <c r="G1586" s="23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4" t="str">
        <f>IF(J1586&lt;&gt;1,"",IF(I1586="SBJ","CB","?"))</f>
        <v> </v>
      </c>
      <c r="I1586" s="25" t="str">
        <f>IF(OR(E1586="",E1586="!!!",F1586="NEW"),"",INDEX(B1585:B$2,-1+SUMPRODUCT(MAX(ROW(E1585:E$2)*(E1586=E1585:E$2)))))</f>
        <v> </v>
      </c>
      <c r="J1586" s="25" t="str">
        <f>IF(OR(E1586="",E1586="!!!",F1586="NEW"),"",COUNTBLANK(OFFSET(A$1,,,SUMPRODUCT(MAX(ROW(E$2:E1586)*(E1586=E$2:E1586)))))-COUNTBLANK(OFFSET(A$1,,,SUMPRODUCT(MAX(ROW(E$1:E1585)*(E2=E$1:E1585))))))</f>
        <v> </v>
      </c>
      <c r="K1586" s="25" t="str">
        <f>IF(OR(E1586="",E1586="!!!",F1586="NEW"),"",INDEX(J$1:J1585,SUMPRODUCT(MAX(ROW(E$1:E1585)*(E1586=E$1:E1585)))))</f>
        <v> </v>
      </c>
      <c r="L1586" s="26"/>
    </row>
    <row r="1587" spans="1:12">
      <c r="A1587" s="20" t="s">
        <v>541</v>
      </c>
      <c r="E1587" s="21">
        <f>IF(D1587="?OLD","!!!","")</f>
        <v/>
      </c>
      <c r="F1587" s="22" t="str">
        <f>IF(OR(E1587="",E1587="!!!"),"",IF(NOT(ISNA(VLOOKUP(E1587,E$1:E1586,1,FALSE()))),"OLD",IF(AND(E1587&lt;&gt;"",E1587&lt;&gt;"!!!"),"NEW","")))</f>
        <v> </v>
      </c>
      <c r="G1587" s="23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4" t="str">
        <f>IF(J1587&lt;&gt;1,"",IF(I1587="SBJ","CB","?"))</f>
        <v> </v>
      </c>
      <c r="I1587" s="25" t="str">
        <f>IF(OR(E1587="",E1587="!!!",F1587="NEW"),"",INDEX(B1586:B$2,-1+SUMPRODUCT(MAX(ROW(E1586:E$2)*(E1587=E1586:E$2)))))</f>
        <v> </v>
      </c>
      <c r="J1587" s="25" t="str">
        <f>IF(OR(E1587="",E1587="!!!",F1587="NEW"),"",COUNTBLANK(OFFSET(A$1,,,SUMPRODUCT(MAX(ROW(E$2:E1587)*(E1587=E$2:E1587)))))-COUNTBLANK(OFFSET(A$1,,,SUMPRODUCT(MAX(ROW(E$1:E1586)*(E2=E$1:E1586))))))</f>
        <v> </v>
      </c>
      <c r="K1587" s="25" t="str">
        <f>IF(OR(E1587="",E1587="!!!",F1587="NEW"),"",INDEX(J$1:J1586,SUMPRODUCT(MAX(ROW(E$1:E1586)*(E1587=E$1:E1586)))))</f>
        <v> </v>
      </c>
      <c r="L1587" s="26"/>
    </row>
    <row r="1588" spans="1:12">
      <c r="A1588" s="20" t="s">
        <v>843</v>
      </c>
      <c r="E1588" s="21">
        <f>IF(D1588="?OLD","!!!","")</f>
        <v/>
      </c>
      <c r="F1588" s="22" t="str">
        <f>IF(OR(E1588="",E1588="!!!"),"",IF(NOT(ISNA(VLOOKUP(E1588,E$1:E1587,1,FALSE()))),"OLD",IF(AND(E1588&lt;&gt;"",E1588&lt;&gt;"!!!"),"NEW","")))</f>
        <v> </v>
      </c>
      <c r="G1588" s="23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4" t="str">
        <f>IF(J1588&lt;&gt;1,"",IF(I1588="SBJ","CB","?"))</f>
        <v> </v>
      </c>
      <c r="I1588" s="25" t="str">
        <f>IF(OR(E1588="",E1588="!!!",F1588="NEW"),"",INDEX(B1587:B$2,-1+SUMPRODUCT(MAX(ROW(E1587:E$2)*(E1588=E1587:E$2)))))</f>
        <v> </v>
      </c>
      <c r="J1588" s="25" t="str">
        <f>IF(OR(E1588="",E1588="!!!",F1588="NEW"),"",COUNTBLANK(OFFSET(A$1,,,SUMPRODUCT(MAX(ROW(E$2:E1588)*(E1588=E$2:E1588)))))-COUNTBLANK(OFFSET(A$1,,,SUMPRODUCT(MAX(ROW(E$1:E1587)*(E2=E$1:E1587))))))</f>
        <v> </v>
      </c>
      <c r="K1588" s="25" t="str">
        <f>IF(OR(E1588="",E1588="!!!",F1588="NEW"),"",INDEX(J$1:J1587,SUMPRODUCT(MAX(ROW(E$1:E1587)*(E1588=E$1:E1587)))))</f>
        <v> </v>
      </c>
      <c r="L1588" s="26"/>
    </row>
    <row r="1589" spans="1:12">
      <c r="A1589" s="20" t="s">
        <v>1015</v>
      </c>
      <c r="E1589" s="21">
        <f>IF(D1589="?OLD","!!!","")</f>
        <v/>
      </c>
      <c r="F1589" s="22" t="str">
        <f>IF(OR(E1589="",E1589="!!!"),"",IF(NOT(ISNA(VLOOKUP(E1589,E$1:E1588,1,FALSE()))),"OLD",IF(AND(E1589&lt;&gt;"",E1589&lt;&gt;"!!!"),"NEW","")))</f>
        <v> </v>
      </c>
      <c r="G1589" s="23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4" t="str">
        <f>IF(J1589&lt;&gt;1,"",IF(I1589="SBJ","CB","?"))</f>
        <v> </v>
      </c>
      <c r="I1589" s="25" t="str">
        <f>IF(OR(E1589="",E1589="!!!",F1589="NEW"),"",INDEX(B1588:B$2,-1+SUMPRODUCT(MAX(ROW(E1588:E$2)*(E1589=E1588:E$2)))))</f>
        <v> </v>
      </c>
      <c r="J1589" s="25" t="str">
        <f>IF(OR(E1589="",E1589="!!!",F1589="NEW"),"",COUNTBLANK(OFFSET(A$1,,,SUMPRODUCT(MAX(ROW(E$2:E1589)*(E1589=E$2:E1589)))))-COUNTBLANK(OFFSET(A$1,,,SUMPRODUCT(MAX(ROW(E$1:E1588)*(E2=E$1:E1588))))))</f>
        <v> </v>
      </c>
      <c r="K1589" s="25" t="str">
        <f>IF(OR(E1589="",E1589="!!!",F1589="NEW"),"",INDEX(J$1:J1588,SUMPRODUCT(MAX(ROW(E$1:E1588)*(E1589=E$1:E1588)))))</f>
        <v> </v>
      </c>
      <c r="L1589" s="26"/>
    </row>
    <row r="1590" spans="1:12">
      <c r="A1590" s="20" t="s">
        <v>549</v>
      </c>
      <c r="E1590" s="21">
        <f>IF(D1590="?OLD","!!!","")</f>
        <v/>
      </c>
      <c r="F1590" s="22" t="str">
        <f>IF(OR(E1590="",E1590="!!!"),"",IF(NOT(ISNA(VLOOKUP(E1590,E$1:E1589,1,FALSE()))),"OLD",IF(AND(E1590&lt;&gt;"",E1590&lt;&gt;"!!!"),"NEW","")))</f>
        <v> </v>
      </c>
      <c r="G1590" s="23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4" t="str">
        <f>IF(J1590&lt;&gt;1,"",IF(I1590="SBJ","CB","?"))</f>
        <v> </v>
      </c>
      <c r="I1590" s="25" t="str">
        <f>IF(OR(E1590="",E1590="!!!",F1590="NEW"),"",INDEX(B1589:B$2,-1+SUMPRODUCT(MAX(ROW(E1589:E$2)*(E1590=E1589:E$2)))))</f>
        <v> </v>
      </c>
      <c r="J1590" s="25" t="str">
        <f>IF(OR(E1590="",E1590="!!!",F1590="NEW"),"",COUNTBLANK(OFFSET(A$1,,,SUMPRODUCT(MAX(ROW(E$2:E1590)*(E1590=E$2:E1590)))))-COUNTBLANK(OFFSET(A$1,,,SUMPRODUCT(MAX(ROW(E$1:E1589)*(E2=E$1:E1589))))))</f>
        <v> </v>
      </c>
      <c r="K1590" s="25" t="str">
        <f>IF(OR(E1590="",E1590="!!!",F1590="NEW"),"",INDEX(J$1:J1589,SUMPRODUCT(MAX(ROW(E$1:E1589)*(E1590=E$1:E1589)))))</f>
        <v> </v>
      </c>
      <c r="L1590" s="26"/>
    </row>
    <row r="1591" spans="1:12">
      <c r="A1591" s="20"/>
    </row>
    <row r="1592" spans="1:12">
      <c r="A1592" s="20" t="s">
        <v>1152</v>
      </c>
    </row>
    <row r="1593" spans="1:12">
      <c r="A1593" s="20" t="s">
        <v>1153</v>
      </c>
      <c r="E1593" s="21">
        <f>IF(D1593="?OLD","!!!","")</f>
        <v/>
      </c>
      <c r="F1593" s="22" t="str">
        <f>IF(OR(E1593="",E1593="!!!"),"",IF(NOT(ISNA(VLOOKUP(E1593,E$1:E1592,1,FALSE()))),"OLD",IF(AND(E1593&lt;&gt;"",E1593&lt;&gt;"!!!"),"NEW","")))</f>
        <v> </v>
      </c>
      <c r="G1593" s="23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4" t="str">
        <f>IF(J1593&lt;&gt;1,"",IF(I1593="SBJ","CB","?"))</f>
        <v> </v>
      </c>
      <c r="I1593" s="25" t="str">
        <f>IF(OR(E1593="",E1593="!!!",F1593="NEW"),"",INDEX(B1592:B$2,-1+SUMPRODUCT(MAX(ROW(E1592:E$2)*(E1593=E1592:E$2)))))</f>
        <v> </v>
      </c>
      <c r="J1593" s="25" t="str">
        <f>IF(OR(E1593="",E1593="!!!",F1593="NEW"),"",COUNTBLANK(OFFSET(A$1,,,SUMPRODUCT(MAX(ROW(E$2:E1593)*(E1593=E$2:E1593)))))-COUNTBLANK(OFFSET(A$1,,,SUMPRODUCT(MAX(ROW(E$1:E1592)*(E2=E$1:E1592))))))</f>
        <v> </v>
      </c>
      <c r="K1593" s="25" t="str">
        <f>IF(OR(E1593="",E1593="!!!",F1593="NEW"),"",INDEX(J$1:J1592,SUMPRODUCT(MAX(ROW(E$1:E1592)*(E1593=E$1:E1592)))))</f>
        <v> </v>
      </c>
      <c r="L1593" s="26"/>
    </row>
    <row r="1594" spans="1:12">
      <c r="A1594" s="20" t="s">
        <v>525</v>
      </c>
      <c r="E1594" s="21">
        <f>IF(D1594="?OLD","!!!","")</f>
        <v/>
      </c>
      <c r="F1594" s="22" t="str">
        <f>IF(OR(E1594="",E1594="!!!"),"",IF(NOT(ISNA(VLOOKUP(E1594,E$1:E1593,1,FALSE()))),"OLD",IF(AND(E1594&lt;&gt;"",E1594&lt;&gt;"!!!"),"NEW","")))</f>
        <v> </v>
      </c>
      <c r="G1594" s="23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4" t="str">
        <f>IF(J1594&lt;&gt;1,"",IF(I1594="SBJ","CB","?"))</f>
        <v> </v>
      </c>
      <c r="I1594" s="25" t="str">
        <f>IF(OR(E1594="",E1594="!!!",F1594="NEW"),"",INDEX(B1593:B$2,-1+SUMPRODUCT(MAX(ROW(E1593:E$2)*(E1594=E1593:E$2)))))</f>
        <v> </v>
      </c>
      <c r="J1594" s="25" t="str">
        <f>IF(OR(E1594="",E1594="!!!",F1594="NEW"),"",COUNTBLANK(OFFSET(A$1,,,SUMPRODUCT(MAX(ROW(E$2:E1594)*(E1594=E$2:E1594)))))-COUNTBLANK(OFFSET(A$1,,,SUMPRODUCT(MAX(ROW(E$1:E1593)*(E2=E$1:E1593))))))</f>
        <v> </v>
      </c>
      <c r="K1594" s="25" t="str">
        <f>IF(OR(E1594="",E1594="!!!",F1594="NEW"),"",INDEX(J$1:J1593,SUMPRODUCT(MAX(ROW(E$1:E1593)*(E1594=E$1:E1593)))))</f>
        <v> </v>
      </c>
      <c r="L1594" s="26"/>
    </row>
    <row r="1595" spans="1:12">
      <c r="A1595" s="20" t="s">
        <v>1154</v>
      </c>
      <c r="B1595" s="27" t="s">
        <v>743</v>
      </c>
      <c r="C1595" s="27" t="s">
        <v>527</v>
      </c>
      <c r="E1595" s="21">
        <f>IF(D1595="?OLD","!!!","")</f>
        <v/>
      </c>
      <c r="F1595" s="22" t="str">
        <f>IF(OR(E1595="",E1595="!!!"),"",IF(NOT(ISNA(VLOOKUP(E1595,E$1:E1594,1,FALSE()))),"OLD",IF(AND(E1595&lt;&gt;"",E1595&lt;&gt;"!!!"),"NEW","")))</f>
        <v> </v>
      </c>
      <c r="G1595" s="23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4" t="str">
        <f>IF(J1595&lt;&gt;1,"",IF(I1595="SBJ","CB","?"))</f>
        <v> </v>
      </c>
      <c r="I1595" s="25" t="str">
        <f>IF(OR(E1595="",E1595="!!!",F1595="NEW"),"",INDEX(B1594:B$2,-1+SUMPRODUCT(MAX(ROW(E1594:E$2)*(E1595=E1594:E$2)))))</f>
        <v> </v>
      </c>
      <c r="J1595" s="25" t="str">
        <f>IF(OR(E1595="",E1595="!!!",F1595="NEW"),"",COUNTBLANK(OFFSET(A$1,,,SUMPRODUCT(MAX(ROW(E$2:E1595)*(E1595=E$2:E1595)))))-COUNTBLANK(OFFSET(A$1,,,SUMPRODUCT(MAX(ROW(E$1:E1594)*(E2=E$1:E1594))))))</f>
        <v> </v>
      </c>
      <c r="K1595" s="25" t="str">
        <f>IF(OR(E1595="",E1595="!!!",F1595="NEW"),"",INDEX(J$1:J1594,SUMPRODUCT(MAX(ROW(E$1:E1594)*(E1595=E$1:E1594)))))</f>
        <v> </v>
      </c>
      <c r="L1595" s="26"/>
    </row>
    <row r="1596" spans="1:12">
      <c r="A1596" s="20" t="s">
        <v>625</v>
      </c>
      <c r="E1596" s="21">
        <f>IF(D1596="?OLD","!!!","")</f>
        <v/>
      </c>
      <c r="F1596" s="22" t="str">
        <f>IF(OR(E1596="",E1596="!!!"),"",IF(NOT(ISNA(VLOOKUP(E1596,E$1:E1595,1,FALSE()))),"OLD",IF(AND(E1596&lt;&gt;"",E1596&lt;&gt;"!!!"),"NEW","")))</f>
        <v> </v>
      </c>
      <c r="G1596" s="23" t="str">
        <f>IF(OR(E1596="",E1596="!!!"),"",IF(OR(J1596=0,AND(J1596=1,K1596=1),AND(J1596=1,I1596="SBJ"),AND(J1596=1,I1596=0)),"?IN_FOCUS",IF(J1596&lt;=2,"?ACTIVATED",IF(J1596&lt;&gt;"","?FAMILIAR",IF(F1596="NEW",IF(ISNA(VLOOKUP(E1596,#REF!,1,FALSE())),"?TYPE_IDENTIFIABLE","?REFERENTIAL"),"_")))))</f>
        <v> </v>
      </c>
      <c r="H1596" s="24" t="str">
        <f>IF(J1596&lt;&gt;1,"",IF(I1596="SBJ","CB","?"))</f>
        <v> </v>
      </c>
      <c r="I1596" s="25" t="str">
        <f>IF(OR(E1596="",E1596="!!!",F1596="NEW"),"",INDEX(B1595:B$2,-1+SUMPRODUCT(MAX(ROW(E1595:E$2)*(E1596=E1595:E$2)))))</f>
        <v> </v>
      </c>
      <c r="J1596" s="25" t="str">
        <f>IF(OR(E1596="",E1596="!!!",F1596="NEW"),"",COUNTBLANK(OFFSET(A$1,,,SUMPRODUCT(MAX(ROW(E$2:E1596)*(E1596=E$2:E1596)))))-COUNTBLANK(OFFSET(A$1,,,SUMPRODUCT(MAX(ROW(E$1:E1595)*(E2=E$1:E1595))))))</f>
        <v> </v>
      </c>
      <c r="K1596" s="25" t="str">
        <f>IF(OR(E1596="",E1596="!!!",F1596="NEW"),"",INDEX(J$1:J1595,SUMPRODUCT(MAX(ROW(E$1:E1595)*(E1596=E$1:E1595)))))</f>
        <v> </v>
      </c>
      <c r="L1596" s="26"/>
    </row>
    <row r="1597" spans="1:12">
      <c r="A1597" s="20" t="s">
        <v>525</v>
      </c>
      <c r="E1597" s="21">
        <f>IF(D1597="?OLD","!!!","")</f>
        <v/>
      </c>
      <c r="F1597" s="22" t="str">
        <f>IF(OR(E1597="",E1597="!!!"),"",IF(NOT(ISNA(VLOOKUP(E1597,E$1:E1596,1,FALSE()))),"OLD",IF(AND(E1597&lt;&gt;"",E1597&lt;&gt;"!!!"),"NEW","")))</f>
        <v> </v>
      </c>
      <c r="G1597" s="23" t="str">
        <f>IF(OR(E1597="",E1597="!!!"),"",IF(OR(J1597=0,AND(J1597=1,K1597=1),AND(J1597=1,I1597="SBJ"),AND(J1597=1,I1597=0)),"?IN_FOCUS",IF(J1597&lt;=2,"?ACTIVATED",IF(J1597&lt;&gt;"","?FAMILIAR",IF(F1597="NEW",IF(ISNA(VLOOKUP(E1597,#REF!,1,FALSE())),"?TYPE_IDENTIFIABLE","?REFERENTIAL"),"_")))))</f>
        <v> </v>
      </c>
      <c r="H1597" s="24" t="str">
        <f>IF(J1597&lt;&gt;1,"",IF(I1597="SBJ","CB","?"))</f>
        <v> </v>
      </c>
      <c r="I1597" s="25" t="str">
        <f>IF(OR(E1597="",E1597="!!!",F1597="NEW"),"",INDEX(B1596:B$2,-1+SUMPRODUCT(MAX(ROW(E1596:E$2)*(E1597=E1596:E$2)))))</f>
        <v> </v>
      </c>
      <c r="J1597" s="25" t="str">
        <f>IF(OR(E1597="",E1597="!!!",F1597="NEW"),"",COUNTBLANK(OFFSET(A$1,,,SUMPRODUCT(MAX(ROW(E$2:E1597)*(E1597=E$2:E1597)))))-COUNTBLANK(OFFSET(A$1,,,SUMPRODUCT(MAX(ROW(E$1:E1596)*(E2=E$1:E1596))))))</f>
        <v> </v>
      </c>
      <c r="K1597" s="25" t="str">
        <f>IF(OR(E1597="",E1597="!!!",F1597="NEW"),"",INDEX(J$1:J1596,SUMPRODUCT(MAX(ROW(E$1:E1596)*(E1597=E$1:E1596)))))</f>
        <v> </v>
      </c>
      <c r="L1597" s="26"/>
    </row>
    <row r="1598" spans="1:12">
      <c r="A1598" s="20" t="s">
        <v>1155</v>
      </c>
      <c r="B1598" s="27" t="s">
        <v>592</v>
      </c>
      <c r="C1598" s="27" t="s">
        <v>540</v>
      </c>
      <c r="D1598" s="27" t="s">
        <v>524</v>
      </c>
      <c r="E1598" s="21">
        <f>IF(D1598="?OLD","!!!","")</f>
        <v/>
      </c>
      <c r="F1598" s="22" t="str">
        <f>IF(OR(E1598="",E1598="!!!"),"",IF(NOT(ISNA(VLOOKUP(E1598,E$1:E1597,1,FALSE()))),"OLD",IF(AND(E1598&lt;&gt;"",E1598&lt;&gt;"!!!"),"NEW","")))</f>
        <v> </v>
      </c>
      <c r="G1598" s="23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4" t="str">
        <f>IF(J1598&lt;&gt;1,"",IF(I1598="SBJ","CB","?"))</f>
        <v> </v>
      </c>
      <c r="I1598" s="25" t="str">
        <f>IF(OR(E1598="",E1598="!!!",F1598="NEW"),"",INDEX(B1597:B$2,-1+SUMPRODUCT(MAX(ROW(E1597:E$2)*(E1598=E1597:E$2)))))</f>
        <v> </v>
      </c>
      <c r="J1598" s="25" t="str">
        <f>IF(OR(E1598="",E1598="!!!",F1598="NEW"),"",COUNTBLANK(OFFSET(A$1,,,SUMPRODUCT(MAX(ROW(E$2:E1598)*(E1598=E$2:E1598)))))-COUNTBLANK(OFFSET(A$1,,,SUMPRODUCT(MAX(ROW(E$1:E1597)*(E2=E$1:E1597))))))</f>
        <v> </v>
      </c>
      <c r="K1598" s="25" t="str">
        <f>IF(OR(E1598="",E1598="!!!",F1598="NEW"),"",INDEX(J$1:J1597,SUMPRODUCT(MAX(ROW(E$1:E1597)*(E1598=E$1:E1597)))))</f>
        <v> </v>
      </c>
      <c r="L1598" s="26"/>
    </row>
    <row r="1599" spans="1:12">
      <c r="A1599" s="20" t="s">
        <v>1156</v>
      </c>
      <c r="E1599" s="21">
        <f>IF(D1599="?OLD","!!!","")</f>
        <v/>
      </c>
      <c r="F1599" s="22" t="str">
        <f>IF(OR(E1599="",E1599="!!!"),"",IF(NOT(ISNA(VLOOKUP(E1599,E$1:E1598,1,FALSE()))),"OLD",IF(AND(E1599&lt;&gt;"",E1599&lt;&gt;"!!!"),"NEW","")))</f>
        <v> </v>
      </c>
      <c r="G1599" s="23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4" t="str">
        <f>IF(J1599&lt;&gt;1,"",IF(I1599="SBJ","CB","?"))</f>
        <v> </v>
      </c>
      <c r="I1599" s="25" t="str">
        <f>IF(OR(E1599="",E1599="!!!",F1599="NEW"),"",INDEX(B1598:B$2,-1+SUMPRODUCT(MAX(ROW(E1598:E$2)*(E1599=E1598:E$2)))))</f>
        <v> </v>
      </c>
      <c r="J1599" s="25" t="str">
        <f>IF(OR(E1599="",E1599="!!!",F1599="NEW"),"",COUNTBLANK(OFFSET(A$1,,,SUMPRODUCT(MAX(ROW(E$2:E1599)*(E1599=E$2:E1599)))))-COUNTBLANK(OFFSET(A$1,,,SUMPRODUCT(MAX(ROW(E$1:E1598)*(E2=E$1:E1598))))))</f>
        <v> </v>
      </c>
      <c r="K1599" s="25" t="str">
        <f>IF(OR(E1599="",E1599="!!!",F1599="NEW"),"",INDEX(J$1:J1598,SUMPRODUCT(MAX(ROW(E$1:E1598)*(E1599=E$1:E1598)))))</f>
        <v> </v>
      </c>
      <c r="L1599" s="26"/>
    </row>
    <row r="1600" spans="1:12">
      <c r="A1600" s="20" t="s">
        <v>1157</v>
      </c>
      <c r="E1600" s="21">
        <f>IF(D1600="?OLD","!!!","")</f>
        <v/>
      </c>
      <c r="F1600" s="22" t="str">
        <f>IF(OR(E1600="",E1600="!!!"),"",IF(NOT(ISNA(VLOOKUP(E1600,E$1:E1599,1,FALSE()))),"OLD",IF(AND(E1600&lt;&gt;"",E1600&lt;&gt;"!!!"),"NEW","")))</f>
        <v> </v>
      </c>
      <c r="G1600" s="23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4" t="str">
        <f>IF(J1600&lt;&gt;1,"",IF(I1600="SBJ","CB","?"))</f>
        <v> </v>
      </c>
      <c r="I1600" s="25" t="str">
        <f>IF(OR(E1600="",E1600="!!!",F1600="NEW"),"",INDEX(B1599:B$2,-1+SUMPRODUCT(MAX(ROW(E1599:E$2)*(E1600=E1599:E$2)))))</f>
        <v> </v>
      </c>
      <c r="J1600" s="25" t="str">
        <f>IF(OR(E1600="",E1600="!!!",F1600="NEW"),"",COUNTBLANK(OFFSET(A$1,,,SUMPRODUCT(MAX(ROW(E$2:E1600)*(E1600=E$2:E1600)))))-COUNTBLANK(OFFSET(A$1,,,SUMPRODUCT(MAX(ROW(E$1:E1599)*(E2=E$1:E1599))))))</f>
        <v> </v>
      </c>
      <c r="K1600" s="25" t="str">
        <f>IF(OR(E1600="",E1600="!!!",F1600="NEW"),"",INDEX(J$1:J1599,SUMPRODUCT(MAX(ROW(E$1:E1599)*(E1600=E$1:E1599)))))</f>
        <v> </v>
      </c>
      <c r="L1600" s="26"/>
    </row>
    <row r="1601" spans="1:12">
      <c r="A1601" s="20" t="s">
        <v>571</v>
      </c>
      <c r="E1601" s="21">
        <f>IF(D1601="?OLD","!!!","")</f>
        <v/>
      </c>
      <c r="F1601" s="22" t="str">
        <f>IF(OR(E1601="",E1601="!!!"),"",IF(NOT(ISNA(VLOOKUP(E1601,E$1:E1600,1,FALSE()))),"OLD",IF(AND(E1601&lt;&gt;"",E1601&lt;&gt;"!!!"),"NEW","")))</f>
        <v> </v>
      </c>
      <c r="G1601" s="23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4" t="str">
        <f>IF(J1601&lt;&gt;1,"",IF(I1601="SBJ","CB","?"))</f>
        <v> </v>
      </c>
      <c r="I1601" s="25" t="str">
        <f>IF(OR(E1601="",E1601="!!!",F1601="NEW"),"",INDEX(B1600:B$2,-1+SUMPRODUCT(MAX(ROW(E1600:E$2)*(E1601=E1600:E$2)))))</f>
        <v> </v>
      </c>
      <c r="J1601" s="25" t="str">
        <f>IF(OR(E1601="",E1601="!!!",F1601="NEW"),"",COUNTBLANK(OFFSET(A$1,,,SUMPRODUCT(MAX(ROW(E$2:E1601)*(E1601=E$2:E1601)))))-COUNTBLANK(OFFSET(A$1,,,SUMPRODUCT(MAX(ROW(E$1:E1600)*(E2=E$1:E1600))))))</f>
        <v> </v>
      </c>
      <c r="K1601" s="25" t="str">
        <f>IF(OR(E1601="",E1601="!!!",F1601="NEW"),"",INDEX(J$1:J1600,SUMPRODUCT(MAX(ROW(E$1:E1600)*(E1601=E$1:E1600)))))</f>
        <v> </v>
      </c>
      <c r="L1601" s="26"/>
    </row>
    <row r="1602" spans="1:12">
      <c r="A1602" s="20" t="s">
        <v>678</v>
      </c>
      <c r="B1602" s="27" t="s">
        <v>597</v>
      </c>
      <c r="C1602" s="27" t="s">
        <v>540</v>
      </c>
      <c r="D1602" s="27" t="s">
        <v>524</v>
      </c>
      <c r="E1602" s="21">
        <f>IF(D1602="?OLD","!!!","")</f>
        <v/>
      </c>
      <c r="F1602" s="22" t="str">
        <f>IF(OR(E1602="",E1602="!!!"),"",IF(NOT(ISNA(VLOOKUP(E1602,E$1:E1601,1,FALSE()))),"OLD",IF(AND(E1602&lt;&gt;"",E1602&lt;&gt;"!!!"),"NEW","")))</f>
        <v> </v>
      </c>
      <c r="G1602" s="23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4" t="str">
        <f>IF(J1602&lt;&gt;1,"",IF(I1602="SBJ","CB","?"))</f>
        <v> </v>
      </c>
      <c r="I1602" s="25" t="str">
        <f>IF(OR(E1602="",E1602="!!!",F1602="NEW"),"",INDEX(B1601:B$2,-1+SUMPRODUCT(MAX(ROW(E1601:E$2)*(E1602=E1601:E$2)))))</f>
        <v> </v>
      </c>
      <c r="J1602" s="25" t="str">
        <f>IF(OR(E1602="",E1602="!!!",F1602="NEW"),"",COUNTBLANK(OFFSET(A$1,,,SUMPRODUCT(MAX(ROW(E$2:E1602)*(E1602=E$2:E1602)))))-COUNTBLANK(OFFSET(A$1,,,SUMPRODUCT(MAX(ROW(E$1:E1601)*(E2=E$1:E1601))))))</f>
        <v> </v>
      </c>
      <c r="K1602" s="25" t="str">
        <f>IF(OR(E1602="",E1602="!!!",F1602="NEW"),"",INDEX(J$1:J1601,SUMPRODUCT(MAX(ROW(E$1:E1601)*(E1602=E$1:E1601)))))</f>
        <v> </v>
      </c>
      <c r="L1602" s="26"/>
    </row>
    <row r="1603" spans="1:12">
      <c r="A1603" s="20" t="s">
        <v>834</v>
      </c>
      <c r="E1603" s="21">
        <f>IF(D1603="?OLD","!!!","")</f>
        <v/>
      </c>
      <c r="F1603" s="22" t="str">
        <f>IF(OR(E1603="",E1603="!!!"),"",IF(NOT(ISNA(VLOOKUP(E1603,E$1:E1602,1,FALSE()))),"OLD",IF(AND(E1603&lt;&gt;"",E1603&lt;&gt;"!!!"),"NEW","")))</f>
        <v> </v>
      </c>
      <c r="G1603" s="23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4" t="str">
        <f>IF(J1603&lt;&gt;1,"",IF(I1603="SBJ","CB","?"))</f>
        <v> </v>
      </c>
      <c r="I1603" s="25" t="str">
        <f>IF(OR(E1603="",E1603="!!!",F1603="NEW"),"",INDEX(B1602:B$2,-1+SUMPRODUCT(MAX(ROW(E1602:E$2)*(E1603=E1602:E$2)))))</f>
        <v> </v>
      </c>
      <c r="J1603" s="25" t="str">
        <f>IF(OR(E1603="",E1603="!!!",F1603="NEW"),"",COUNTBLANK(OFFSET(A$1,,,SUMPRODUCT(MAX(ROW(E$2:E1603)*(E1603=E$2:E1603)))))-COUNTBLANK(OFFSET(A$1,,,SUMPRODUCT(MAX(ROW(E$1:E1602)*(E2=E$1:E1602))))))</f>
        <v> </v>
      </c>
      <c r="K1603" s="25" t="str">
        <f>IF(OR(E1603="",E1603="!!!",F1603="NEW"),"",INDEX(J$1:J1602,SUMPRODUCT(MAX(ROW(E$1:E1602)*(E1603=E$1:E1602)))))</f>
        <v> </v>
      </c>
      <c r="L1603" s="26"/>
    </row>
    <row r="1604" spans="1:12">
      <c r="A1604" s="20" t="s">
        <v>1158</v>
      </c>
      <c r="E1604" s="21">
        <f>IF(D1604="?OLD","!!!","")</f>
        <v/>
      </c>
      <c r="F1604" s="22" t="str">
        <f>IF(OR(E1604="",E1604="!!!"),"",IF(NOT(ISNA(VLOOKUP(E1604,E$1:E1603,1,FALSE()))),"OLD",IF(AND(E1604&lt;&gt;"",E1604&lt;&gt;"!!!"),"NEW","")))</f>
        <v> </v>
      </c>
      <c r="G1604" s="23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4" t="str">
        <f>IF(J1604&lt;&gt;1,"",IF(I1604="SBJ","CB","?"))</f>
        <v> </v>
      </c>
      <c r="I1604" s="25" t="str">
        <f>IF(OR(E1604="",E1604="!!!",F1604="NEW"),"",INDEX(B1603:B$2,-1+SUMPRODUCT(MAX(ROW(E1603:E$2)*(E1604=E1603:E$2)))))</f>
        <v> </v>
      </c>
      <c r="J1604" s="25" t="str">
        <f>IF(OR(E1604="",E1604="!!!",F1604="NEW"),"",COUNTBLANK(OFFSET(A$1,,,SUMPRODUCT(MAX(ROW(E$2:E1604)*(E1604=E$2:E1604)))))-COUNTBLANK(OFFSET(A$1,,,SUMPRODUCT(MAX(ROW(E$1:E1603)*(E2=E$1:E1603))))))</f>
        <v> </v>
      </c>
      <c r="K1604" s="25" t="str">
        <f>IF(OR(E1604="",E1604="!!!",F1604="NEW"),"",INDEX(J$1:J1603,SUMPRODUCT(MAX(ROW(E$1:E1603)*(E1604=E$1:E1603)))))</f>
        <v> </v>
      </c>
      <c r="L1604" s="26"/>
    </row>
    <row r="1605" spans="1:12">
      <c r="A1605" s="20" t="s">
        <v>518</v>
      </c>
      <c r="E1605" s="21">
        <f>IF(D1605="?OLD","!!!","")</f>
        <v/>
      </c>
      <c r="F1605" s="22" t="str">
        <f>IF(OR(E1605="",E1605="!!!"),"",IF(NOT(ISNA(VLOOKUP(E1605,E$1:E1604,1,FALSE()))),"OLD",IF(AND(E1605&lt;&gt;"",E1605&lt;&gt;"!!!"),"NEW","")))</f>
        <v> </v>
      </c>
      <c r="G1605" s="23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4" t="str">
        <f>IF(J1605&lt;&gt;1,"",IF(I1605="SBJ","CB","?"))</f>
        <v> </v>
      </c>
      <c r="I1605" s="25" t="str">
        <f>IF(OR(E1605="",E1605="!!!",F1605="NEW"),"",INDEX(B1604:B$2,-1+SUMPRODUCT(MAX(ROW(E1604:E$2)*(E1605=E1604:E$2)))))</f>
        <v> </v>
      </c>
      <c r="J1605" s="25" t="str">
        <f>IF(OR(E1605="",E1605="!!!",F1605="NEW"),"",COUNTBLANK(OFFSET(A$1,,,SUMPRODUCT(MAX(ROW(E$2:E1605)*(E1605=E$2:E1605)))))-COUNTBLANK(OFFSET(A$1,,,SUMPRODUCT(MAX(ROW(E$1:E1604)*(E2=E$1:E1604))))))</f>
        <v> </v>
      </c>
      <c r="K1605" s="25" t="str">
        <f>IF(OR(E1605="",E1605="!!!",F1605="NEW"),"",INDEX(J$1:J1604,SUMPRODUCT(MAX(ROW(E$1:E1604)*(E1605=E$1:E1604)))))</f>
        <v> </v>
      </c>
      <c r="L1605" s="26"/>
    </row>
    <row r="1606" spans="1:12">
      <c r="A1606" s="20" t="s">
        <v>542</v>
      </c>
      <c r="E1606" s="21">
        <f>IF(D1606="?OLD","!!!","")</f>
        <v/>
      </c>
      <c r="F1606" s="22" t="str">
        <f>IF(OR(E1606="",E1606="!!!"),"",IF(NOT(ISNA(VLOOKUP(E1606,E$1:E1605,1,FALSE()))),"OLD",IF(AND(E1606&lt;&gt;"",E1606&lt;&gt;"!!!"),"NEW","")))</f>
        <v> </v>
      </c>
      <c r="G1606" s="23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4" t="str">
        <f>IF(J1606&lt;&gt;1,"",IF(I1606="SBJ","CB","?"))</f>
        <v> </v>
      </c>
      <c r="I1606" s="25" t="str">
        <f>IF(OR(E1606="",E1606="!!!",F1606="NEW"),"",INDEX(B1605:B$2,-1+SUMPRODUCT(MAX(ROW(E1605:E$2)*(E1606=E1605:E$2)))))</f>
        <v> </v>
      </c>
      <c r="J1606" s="25" t="str">
        <f>IF(OR(E1606="",E1606="!!!",F1606="NEW"),"",COUNTBLANK(OFFSET(A$1,,,SUMPRODUCT(MAX(ROW(E$2:E1606)*(E1606=E$2:E1606)))))-COUNTBLANK(OFFSET(A$1,,,SUMPRODUCT(MAX(ROW(E$1:E1605)*(E2=E$1:E1605))))))</f>
        <v> </v>
      </c>
      <c r="K1606" s="25" t="str">
        <f>IF(OR(E1606="",E1606="!!!",F1606="NEW"),"",INDEX(J$1:J1605,SUMPRODUCT(MAX(ROW(E$1:E1605)*(E1606=E$1:E1605)))))</f>
        <v> </v>
      </c>
      <c r="L1606" s="26"/>
    </row>
    <row r="1607" spans="1:12">
      <c r="A1607" s="20" t="s">
        <v>700</v>
      </c>
      <c r="B1607" s="27" t="s">
        <v>534</v>
      </c>
      <c r="C1607" s="27" t="s">
        <v>669</v>
      </c>
      <c r="D1607" s="27" t="s">
        <v>524</v>
      </c>
      <c r="E1607" s="21">
        <f>IF(D1607="?OLD","!!!","")</f>
        <v/>
      </c>
      <c r="F1607" s="22" t="str">
        <f>IF(OR(E1607="",E1607="!!!"),"",IF(NOT(ISNA(VLOOKUP(E1607,E$1:E1606,1,FALSE()))),"OLD",IF(AND(E1607&lt;&gt;"",E1607&lt;&gt;"!!!"),"NEW","")))</f>
        <v> </v>
      </c>
      <c r="G1607" s="23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4" t="str">
        <f>IF(J1607&lt;&gt;1,"",IF(I1607="SBJ","CB","?"))</f>
        <v> </v>
      </c>
      <c r="I1607" s="25" t="str">
        <f>IF(OR(E1607="",E1607="!!!",F1607="NEW"),"",INDEX(B1606:B$2,-1+SUMPRODUCT(MAX(ROW(E1606:E$2)*(E1607=E1606:E$2)))))</f>
        <v> </v>
      </c>
      <c r="J1607" s="25" t="str">
        <f>IF(OR(E1607="",E1607="!!!",F1607="NEW"),"",COUNTBLANK(OFFSET(A$1,,,SUMPRODUCT(MAX(ROW(E$2:E1607)*(E1607=E$2:E1607)))))-COUNTBLANK(OFFSET(A$1,,,SUMPRODUCT(MAX(ROW(E$1:E1606)*(E2=E$1:E1606))))))</f>
        <v> </v>
      </c>
      <c r="K1607" s="25" t="str">
        <f>IF(OR(E1607="",E1607="!!!",F1607="NEW"),"",INDEX(J$1:J1606,SUMPRODUCT(MAX(ROW(E$1:E1606)*(E1607=E$1:E1606)))))</f>
        <v> </v>
      </c>
      <c r="L1607" s="26"/>
    </row>
    <row r="1608" spans="1:12">
      <c r="A1608" s="20" t="s">
        <v>1159</v>
      </c>
      <c r="B1608" s="27" t="s">
        <v>544</v>
      </c>
      <c r="C1608" s="27" t="s">
        <v>545</v>
      </c>
      <c r="D1608" s="27" t="s">
        <v>524</v>
      </c>
      <c r="E1608" s="21">
        <f>IF(D1608="?OLD","!!!","")</f>
        <v/>
      </c>
      <c r="F1608" s="22" t="str">
        <f>IF(OR(E1608="",E1608="!!!"),"",IF(NOT(ISNA(VLOOKUP(E1608,E$1:E1607,1,FALSE()))),"OLD",IF(AND(E1608&lt;&gt;"",E1608&lt;&gt;"!!!"),"NEW","")))</f>
        <v> </v>
      </c>
      <c r="G1608" s="23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4" t="str">
        <f>IF(J1608&lt;&gt;1,"",IF(I1608="SBJ","CB","?"))</f>
        <v> </v>
      </c>
      <c r="I1608" s="25" t="str">
        <f>IF(OR(E1608="",E1608="!!!",F1608="NEW"),"",INDEX(B1607:B$2,-1+SUMPRODUCT(MAX(ROW(E1607:E$2)*(E1608=E1607:E$2)))))</f>
        <v> </v>
      </c>
      <c r="J1608" s="25" t="str">
        <f>IF(OR(E1608="",E1608="!!!",F1608="NEW"),"",COUNTBLANK(OFFSET(A$1,,,SUMPRODUCT(MAX(ROW(E$2:E1608)*(E1608=E$2:E1608)))))-COUNTBLANK(OFFSET(A$1,,,SUMPRODUCT(MAX(ROW(E$1:E1607)*(E2=E$1:E1607))))))</f>
        <v> </v>
      </c>
      <c r="K1608" s="25" t="str">
        <f>IF(OR(E1608="",E1608="!!!",F1608="NEW"),"",INDEX(J$1:J1607,SUMPRODUCT(MAX(ROW(E$1:E1607)*(E1608=E$1:E1607)))))</f>
        <v> </v>
      </c>
      <c r="L1608" s="26"/>
    </row>
    <row r="1609" spans="1:12">
      <c r="A1609" s="20" t="s">
        <v>518</v>
      </c>
      <c r="E1609" s="21">
        <f>IF(D1609="?OLD","!!!","")</f>
        <v/>
      </c>
      <c r="F1609" s="22" t="str">
        <f>IF(OR(E1609="",E1609="!!!"),"",IF(NOT(ISNA(VLOOKUP(E1609,E$1:E1608,1,FALSE()))),"OLD",IF(AND(E1609&lt;&gt;"",E1609&lt;&gt;"!!!"),"NEW","")))</f>
        <v> </v>
      </c>
      <c r="G1609" s="23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4" t="str">
        <f>IF(J1609&lt;&gt;1,"",IF(I1609="SBJ","CB","?"))</f>
        <v> </v>
      </c>
      <c r="I1609" s="25" t="str">
        <f>IF(OR(E1609="",E1609="!!!",F1609="NEW"),"",INDEX(B1608:B$2,-1+SUMPRODUCT(MAX(ROW(E1608:E$2)*(E1609=E1608:E$2)))))</f>
        <v> </v>
      </c>
      <c r="J1609" s="25" t="str">
        <f>IF(OR(E1609="",E1609="!!!",F1609="NEW"),"",COUNTBLANK(OFFSET(A$1,,,SUMPRODUCT(MAX(ROW(E$2:E1609)*(E1609=E$2:E1609)))))-COUNTBLANK(OFFSET(A$1,,,SUMPRODUCT(MAX(ROW(E$1:E1608)*(E2=E$1:E1608))))))</f>
        <v> </v>
      </c>
      <c r="K1609" s="25" t="str">
        <f>IF(OR(E1609="",E1609="!!!",F1609="NEW"),"",INDEX(J$1:J1608,SUMPRODUCT(MAX(ROW(E$1:E1608)*(E1609=E$1:E1608)))))</f>
        <v> </v>
      </c>
      <c r="L1609" s="26"/>
    </row>
    <row r="1610" spans="1:12">
      <c r="A1610" s="20" t="s">
        <v>1160</v>
      </c>
      <c r="E1610" s="21">
        <f>IF(D1610="?OLD","!!!","")</f>
        <v/>
      </c>
      <c r="F1610" s="22" t="str">
        <f>IF(OR(E1610="",E1610="!!!"),"",IF(NOT(ISNA(VLOOKUP(E1610,E$1:E1609,1,FALSE()))),"OLD",IF(AND(E1610&lt;&gt;"",E1610&lt;&gt;"!!!"),"NEW","")))</f>
        <v> </v>
      </c>
      <c r="G1610" s="23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4" t="str">
        <f>IF(J1610&lt;&gt;1,"",IF(I1610="SBJ","CB","?"))</f>
        <v> </v>
      </c>
      <c r="I1610" s="25" t="str">
        <f>IF(OR(E1610="",E1610="!!!",F1610="NEW"),"",INDEX(B1609:B$2,-1+SUMPRODUCT(MAX(ROW(E1609:E$2)*(E1610=E1609:E$2)))))</f>
        <v> </v>
      </c>
      <c r="J1610" s="25" t="str">
        <f>IF(OR(E1610="",E1610="!!!",F1610="NEW"),"",COUNTBLANK(OFFSET(A$1,,,SUMPRODUCT(MAX(ROW(E$2:E1610)*(E1610=E$2:E1610)))))-COUNTBLANK(OFFSET(A$1,,,SUMPRODUCT(MAX(ROW(E$1:E1609)*(E2=E$1:E1609))))))</f>
        <v> </v>
      </c>
      <c r="K1610" s="25" t="str">
        <f>IF(OR(E1610="",E1610="!!!",F1610="NEW"),"",INDEX(J$1:J1609,SUMPRODUCT(MAX(ROW(E$1:E1609)*(E1610=E$1:E1609)))))</f>
        <v> </v>
      </c>
      <c r="L1610" s="26"/>
    </row>
    <row r="1611" spans="1:12">
      <c r="A1611" s="20" t="s">
        <v>625</v>
      </c>
      <c r="E1611" s="21">
        <f>IF(D1611="?OLD","!!!","")</f>
        <v/>
      </c>
      <c r="F1611" s="22" t="str">
        <f>IF(OR(E1611="",E1611="!!!"),"",IF(NOT(ISNA(VLOOKUP(E1611,E$1:E1610,1,FALSE()))),"OLD",IF(AND(E1611&lt;&gt;"",E1611&lt;&gt;"!!!"),"NEW","")))</f>
        <v> </v>
      </c>
      <c r="G1611" s="23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4" t="str">
        <f>IF(J1611&lt;&gt;1,"",IF(I1611="SBJ","CB","?"))</f>
        <v> </v>
      </c>
      <c r="I1611" s="25" t="str">
        <f>IF(OR(E1611="",E1611="!!!",F1611="NEW"),"",INDEX(B1610:B$2,-1+SUMPRODUCT(MAX(ROW(E1610:E$2)*(E1611=E1610:E$2)))))</f>
        <v> </v>
      </c>
      <c r="J1611" s="25" t="str">
        <f>IF(OR(E1611="",E1611="!!!",F1611="NEW"),"",COUNTBLANK(OFFSET(A$1,,,SUMPRODUCT(MAX(ROW(E$2:E1611)*(E1611=E$2:E1611)))))-COUNTBLANK(OFFSET(A$1,,,SUMPRODUCT(MAX(ROW(E$1:E1610)*(E2=E$1:E1610))))))</f>
        <v> </v>
      </c>
      <c r="K1611" s="25" t="str">
        <f>IF(OR(E1611="",E1611="!!!",F1611="NEW"),"",INDEX(J$1:J1610,SUMPRODUCT(MAX(ROW(E$1:E1610)*(E1611=E$1:E1610)))))</f>
        <v> </v>
      </c>
      <c r="L1611" s="26"/>
    </row>
    <row r="1612" spans="1:12">
      <c r="A1612" s="20" t="s">
        <v>542</v>
      </c>
      <c r="E1612" s="21">
        <f>IF(D1612="?OLD","!!!","")</f>
        <v/>
      </c>
      <c r="F1612" s="22" t="str">
        <f>IF(OR(E1612="",E1612="!!!"),"",IF(NOT(ISNA(VLOOKUP(E1612,E$1:E1611,1,FALSE()))),"OLD",IF(AND(E1612&lt;&gt;"",E1612&lt;&gt;"!!!"),"NEW","")))</f>
        <v> </v>
      </c>
      <c r="G1612" s="23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4" t="str">
        <f>IF(J1612&lt;&gt;1,"",IF(I1612="SBJ","CB","?"))</f>
        <v> </v>
      </c>
      <c r="I1612" s="25" t="str">
        <f>IF(OR(E1612="",E1612="!!!",F1612="NEW"),"",INDEX(B1611:B$2,-1+SUMPRODUCT(MAX(ROW(E1611:E$2)*(E1612=E1611:E$2)))))</f>
        <v> </v>
      </c>
      <c r="J1612" s="25" t="str">
        <f>IF(OR(E1612="",E1612="!!!",F1612="NEW"),"",COUNTBLANK(OFFSET(A$1,,,SUMPRODUCT(MAX(ROW(E$2:E1612)*(E1612=E$2:E1612)))))-COUNTBLANK(OFFSET(A$1,,,SUMPRODUCT(MAX(ROW(E$1:E1611)*(E2=E$1:E1611))))))</f>
        <v> </v>
      </c>
      <c r="K1612" s="25" t="str">
        <f>IF(OR(E1612="",E1612="!!!",F1612="NEW"),"",INDEX(J$1:J1611,SUMPRODUCT(MAX(ROW(E$1:E1611)*(E1612=E$1:E1611)))))</f>
        <v> </v>
      </c>
      <c r="L1612" s="26"/>
    </row>
    <row r="1613" spans="1:12">
      <c r="A1613" s="20" t="s">
        <v>1161</v>
      </c>
      <c r="B1613" s="27" t="s">
        <v>641</v>
      </c>
      <c r="C1613" s="27" t="s">
        <v>540</v>
      </c>
      <c r="D1613" s="27" t="s">
        <v>524</v>
      </c>
      <c r="E1613" s="21">
        <f>IF(D1613="?OLD","!!!","")</f>
        <v/>
      </c>
      <c r="F1613" s="22" t="str">
        <f>IF(OR(E1613="",E1613="!!!"),"",IF(NOT(ISNA(VLOOKUP(E1613,E$1:E1612,1,FALSE()))),"OLD",IF(AND(E1613&lt;&gt;"",E1613&lt;&gt;"!!!"),"NEW","")))</f>
        <v> </v>
      </c>
      <c r="G1613" s="23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4" t="str">
        <f>IF(J1613&lt;&gt;1,"",IF(I1613="SBJ","CB","?"))</f>
        <v> </v>
      </c>
      <c r="I1613" s="25" t="str">
        <f>IF(OR(E1613="",E1613="!!!",F1613="NEW"),"",INDEX(B1612:B$2,-1+SUMPRODUCT(MAX(ROW(E1612:E$2)*(E1613=E1612:E$2)))))</f>
        <v> </v>
      </c>
      <c r="J1613" s="25" t="str">
        <f>IF(OR(E1613="",E1613="!!!",F1613="NEW"),"",COUNTBLANK(OFFSET(A$1,,,SUMPRODUCT(MAX(ROW(E$2:E1613)*(E1613=E$2:E1613)))))-COUNTBLANK(OFFSET(A$1,,,SUMPRODUCT(MAX(ROW(E$1:E1612)*(E2=E$1:E1612))))))</f>
        <v> </v>
      </c>
      <c r="K1613" s="25" t="str">
        <f>IF(OR(E1613="",E1613="!!!",F1613="NEW"),"",INDEX(J$1:J1612,SUMPRODUCT(MAX(ROW(E$1:E1612)*(E1613=E$1:E1612)))))</f>
        <v> </v>
      </c>
      <c r="L1613" s="26"/>
    </row>
    <row r="1614" spans="1:12">
      <c r="A1614" s="20" t="s">
        <v>1162</v>
      </c>
      <c r="E1614" s="21">
        <f>IF(D1614="?OLD","!!!","")</f>
        <v/>
      </c>
      <c r="F1614" s="22" t="str">
        <f>IF(OR(E1614="",E1614="!!!"),"",IF(NOT(ISNA(VLOOKUP(E1614,E$1:E1613,1,FALSE()))),"OLD",IF(AND(E1614&lt;&gt;"",E1614&lt;&gt;"!!!"),"NEW","")))</f>
        <v> </v>
      </c>
      <c r="G1614" s="23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4" t="str">
        <f>IF(J1614&lt;&gt;1,"",IF(I1614="SBJ","CB","?"))</f>
        <v> </v>
      </c>
      <c r="I1614" s="25" t="str">
        <f>IF(OR(E1614="",E1614="!!!",F1614="NEW"),"",INDEX(B1613:B$2,-1+SUMPRODUCT(MAX(ROW(E1613:E$2)*(E1614=E1613:E$2)))))</f>
        <v> </v>
      </c>
      <c r="J1614" s="25" t="str">
        <f>IF(OR(E1614="",E1614="!!!",F1614="NEW"),"",COUNTBLANK(OFFSET(A$1,,,SUMPRODUCT(MAX(ROW(E$2:E1614)*(E1614=E$2:E1614)))))-COUNTBLANK(OFFSET(A$1,,,SUMPRODUCT(MAX(ROW(E$1:E1613)*(E2=E$1:E1613))))))</f>
        <v> </v>
      </c>
      <c r="K1614" s="25" t="str">
        <f>IF(OR(E1614="",E1614="!!!",F1614="NEW"),"",INDEX(J$1:J1613,SUMPRODUCT(MAX(ROW(E$1:E1613)*(E1614=E$1:E1613)))))</f>
        <v> </v>
      </c>
      <c r="L1614" s="26"/>
    </row>
    <row r="1615" spans="1:12">
      <c r="A1615" s="20" t="s">
        <v>1163</v>
      </c>
      <c r="E1615" s="21">
        <f>IF(D1615="?OLD","!!!","")</f>
        <v/>
      </c>
      <c r="F1615" s="22" t="str">
        <f>IF(OR(E1615="",E1615="!!!"),"",IF(NOT(ISNA(VLOOKUP(E1615,E$1:E1614,1,FALSE()))),"OLD",IF(AND(E1615&lt;&gt;"",E1615&lt;&gt;"!!!"),"NEW","")))</f>
        <v> </v>
      </c>
      <c r="G1615" s="23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4" t="str">
        <f>IF(J1615&lt;&gt;1,"",IF(I1615="SBJ","CB","?"))</f>
        <v> </v>
      </c>
      <c r="I1615" s="25" t="str">
        <f>IF(OR(E1615="",E1615="!!!",F1615="NEW"),"",INDEX(B1614:B$2,-1+SUMPRODUCT(MAX(ROW(E1614:E$2)*(E1615=E1614:E$2)))))</f>
        <v> </v>
      </c>
      <c r="J1615" s="25" t="str">
        <f>IF(OR(E1615="",E1615="!!!",F1615="NEW"),"",COUNTBLANK(OFFSET(A$1,,,SUMPRODUCT(MAX(ROW(E$2:E1615)*(E1615=E$2:E1615)))))-COUNTBLANK(OFFSET(A$1,,,SUMPRODUCT(MAX(ROW(E$1:E1614)*(E2=E$1:E1614))))))</f>
        <v> </v>
      </c>
      <c r="K1615" s="25" t="str">
        <f>IF(OR(E1615="",E1615="!!!",F1615="NEW"),"",INDEX(J$1:J1614,SUMPRODUCT(MAX(ROW(E$1:E1614)*(E1615=E$1:E1614)))))</f>
        <v> </v>
      </c>
      <c r="L1615" s="26"/>
    </row>
    <row r="1616" spans="1:12">
      <c r="A1616" s="20" t="s">
        <v>518</v>
      </c>
      <c r="E1616" s="21">
        <f>IF(D1616="?OLD","!!!","")</f>
        <v/>
      </c>
      <c r="F1616" s="22" t="str">
        <f>IF(OR(E1616="",E1616="!!!"),"",IF(NOT(ISNA(VLOOKUP(E1616,E$1:E1615,1,FALSE()))),"OLD",IF(AND(E1616&lt;&gt;"",E1616&lt;&gt;"!!!"),"NEW","")))</f>
        <v> </v>
      </c>
      <c r="G1616" s="23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4" t="str">
        <f>IF(J1616&lt;&gt;1,"",IF(I1616="SBJ","CB","?"))</f>
        <v> </v>
      </c>
      <c r="I1616" s="25" t="str">
        <f>IF(OR(E1616="",E1616="!!!",F1616="NEW"),"",INDEX(B1615:B$2,-1+SUMPRODUCT(MAX(ROW(E1615:E$2)*(E1616=E1615:E$2)))))</f>
        <v> </v>
      </c>
      <c r="J1616" s="25" t="str">
        <f>IF(OR(E1616="",E1616="!!!",F1616="NEW"),"",COUNTBLANK(OFFSET(A$1,,,SUMPRODUCT(MAX(ROW(E$2:E1616)*(E1616=E$2:E1616)))))-COUNTBLANK(OFFSET(A$1,,,SUMPRODUCT(MAX(ROW(E$1:E1615)*(E2=E$1:E1615))))))</f>
        <v> </v>
      </c>
      <c r="K1616" s="25" t="str">
        <f>IF(OR(E1616="",E1616="!!!",F1616="NEW"),"",INDEX(J$1:J1615,SUMPRODUCT(MAX(ROW(E$1:E1615)*(E1616=E$1:E1615)))))</f>
        <v> </v>
      </c>
      <c r="L1616" s="26"/>
    </row>
    <row r="1617" spans="1:12">
      <c r="A1617" s="20" t="s">
        <v>358</v>
      </c>
      <c r="B1617" s="27" t="s">
        <v>699</v>
      </c>
      <c r="C1617" s="27" t="s">
        <v>523</v>
      </c>
      <c r="D1617" s="27" t="s">
        <v>524</v>
      </c>
      <c r="E1617" s="21">
        <f>IF(D1617="?OLD","!!!","")</f>
        <v/>
      </c>
      <c r="F1617" s="22" t="str">
        <f>IF(OR(E1617="",E1617="!!!"),"",IF(NOT(ISNA(VLOOKUP(E1617,E$1:E1616,1,FALSE()))),"OLD",IF(AND(E1617&lt;&gt;"",E1617&lt;&gt;"!!!"),"NEW","")))</f>
        <v> </v>
      </c>
      <c r="G1617" s="23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4" t="str">
        <f>IF(J1617&lt;&gt;1,"",IF(I1617="SBJ","CB","?"))</f>
        <v> </v>
      </c>
      <c r="I1617" s="25" t="str">
        <f>IF(OR(E1617="",E1617="!!!",F1617="NEW"),"",INDEX(B1616:B$2,-1+SUMPRODUCT(MAX(ROW(E1616:E$2)*(E1617=E1616:E$2)))))</f>
        <v> </v>
      </c>
      <c r="J1617" s="25" t="str">
        <f>IF(OR(E1617="",E1617="!!!",F1617="NEW"),"",COUNTBLANK(OFFSET(A$1,,,SUMPRODUCT(MAX(ROW(E$2:E1617)*(E1617=E$2:E1617)))))-COUNTBLANK(OFFSET(A$1,,,SUMPRODUCT(MAX(ROW(E$1:E1616)*(E2=E$1:E1616))))))</f>
        <v> </v>
      </c>
      <c r="K1617" s="25" t="str">
        <f>IF(OR(E1617="",E1617="!!!",F1617="NEW"),"",INDEX(J$1:J1616,SUMPRODUCT(MAX(ROW(E$1:E1616)*(E1617=E$1:E1616)))))</f>
        <v> </v>
      </c>
      <c r="L1617" s="26"/>
    </row>
    <row r="1618" spans="1:12">
      <c r="A1618" s="20" t="s">
        <v>230</v>
      </c>
      <c r="E1618" s="21">
        <f>IF(D1618="?OLD","!!!","")</f>
        <v/>
      </c>
      <c r="F1618" s="22" t="str">
        <f>IF(OR(E1618="",E1618="!!!"),"",IF(NOT(ISNA(VLOOKUP(E1618,E$1:E1617,1,FALSE()))),"OLD",IF(AND(E1618&lt;&gt;"",E1618&lt;&gt;"!!!"),"NEW","")))</f>
        <v> </v>
      </c>
      <c r="G1618" s="23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4" t="str">
        <f>IF(J1618&lt;&gt;1,"",IF(I1618="SBJ","CB","?"))</f>
        <v> </v>
      </c>
      <c r="I1618" s="25" t="str">
        <f>IF(OR(E1618="",E1618="!!!",F1618="NEW"),"",INDEX(B1617:B$2,-1+SUMPRODUCT(MAX(ROW(E1617:E$2)*(E1618=E1617:E$2)))))</f>
        <v> </v>
      </c>
      <c r="J1618" s="25" t="str">
        <f>IF(OR(E1618="",E1618="!!!",F1618="NEW"),"",COUNTBLANK(OFFSET(A$1,,,SUMPRODUCT(MAX(ROW(E$2:E1618)*(E1618=E$2:E1618)))))-COUNTBLANK(OFFSET(A$1,,,SUMPRODUCT(MAX(ROW(E$1:E1617)*(E2=E$1:E1617))))))</f>
        <v> </v>
      </c>
      <c r="K1618" s="25" t="str">
        <f>IF(OR(E1618="",E1618="!!!",F1618="NEW"),"",INDEX(J$1:J1617,SUMPRODUCT(MAX(ROW(E$1:E1617)*(E1618=E$1:E1617)))))</f>
        <v> </v>
      </c>
      <c r="L1618" s="26"/>
    </row>
    <row r="1619" spans="1:12">
      <c r="A1619" s="20" t="s">
        <v>813</v>
      </c>
      <c r="E1619" s="21">
        <f>IF(D1619="?OLD","!!!","")</f>
        <v/>
      </c>
      <c r="F1619" s="22" t="str">
        <f>IF(OR(E1619="",E1619="!!!"),"",IF(NOT(ISNA(VLOOKUP(E1619,E$1:E1618,1,FALSE()))),"OLD",IF(AND(E1619&lt;&gt;"",E1619&lt;&gt;"!!!"),"NEW","")))</f>
        <v> </v>
      </c>
      <c r="G1619" s="23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4" t="str">
        <f>IF(J1619&lt;&gt;1,"",IF(I1619="SBJ","CB","?"))</f>
        <v> </v>
      </c>
      <c r="I1619" s="25" t="str">
        <f>IF(OR(E1619="",E1619="!!!",F1619="NEW"),"",INDEX(B1618:B$2,-1+SUMPRODUCT(MAX(ROW(E1618:E$2)*(E1619=E1618:E$2)))))</f>
        <v> </v>
      </c>
      <c r="J1619" s="25" t="str">
        <f>IF(OR(E1619="",E1619="!!!",F1619="NEW"),"",COUNTBLANK(OFFSET(A$1,,,SUMPRODUCT(MAX(ROW(E$2:E1619)*(E1619=E$2:E1619)))))-COUNTBLANK(OFFSET(A$1,,,SUMPRODUCT(MAX(ROW(E$1:E1618)*(E2=E$1:E1618))))))</f>
        <v> </v>
      </c>
      <c r="K1619" s="25" t="str">
        <f>IF(OR(E1619="",E1619="!!!",F1619="NEW"),"",INDEX(J$1:J1618,SUMPRODUCT(MAX(ROW(E$1:E1618)*(E1619=E$1:E1618)))))</f>
        <v> </v>
      </c>
      <c r="L1619" s="26"/>
    </row>
    <row r="1620" spans="1:12">
      <c r="A1620" s="20" t="s">
        <v>708</v>
      </c>
      <c r="E1620" s="21">
        <f>IF(D1620="?OLD","!!!","")</f>
        <v/>
      </c>
      <c r="F1620" s="22" t="str">
        <f>IF(OR(E1620="",E1620="!!!"),"",IF(NOT(ISNA(VLOOKUP(E1620,E$1:E1619,1,FALSE()))),"OLD",IF(AND(E1620&lt;&gt;"",E1620&lt;&gt;"!!!"),"NEW","")))</f>
        <v> </v>
      </c>
      <c r="G1620" s="23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4" t="str">
        <f>IF(J1620&lt;&gt;1,"",IF(I1620="SBJ","CB","?"))</f>
        <v> </v>
      </c>
      <c r="I1620" s="25" t="str">
        <f>IF(OR(E1620="",E1620="!!!",F1620="NEW"),"",INDEX(B1619:B$2,-1+SUMPRODUCT(MAX(ROW(E1619:E$2)*(E1620=E1619:E$2)))))</f>
        <v> </v>
      </c>
      <c r="J1620" s="25" t="str">
        <f>IF(OR(E1620="",E1620="!!!",F1620="NEW"),"",COUNTBLANK(OFFSET(A$1,,,SUMPRODUCT(MAX(ROW(E$2:E1620)*(E1620=E$2:E1620)))))-COUNTBLANK(OFFSET(A$1,,,SUMPRODUCT(MAX(ROW(E$1:E1619)*(E2=E$1:E1619))))))</f>
        <v> </v>
      </c>
      <c r="K1620" s="25" t="str">
        <f>IF(OR(E1620="",E1620="!!!",F1620="NEW"),"",INDEX(J$1:J1619,SUMPRODUCT(MAX(ROW(E$1:E1619)*(E1620=E$1:E1619)))))</f>
        <v> </v>
      </c>
      <c r="L1620" s="26"/>
    </row>
    <row r="1621" spans="1:12">
      <c r="A1621" s="20" t="s">
        <v>582</v>
      </c>
      <c r="E1621" s="21">
        <f>IF(D1621="?OLD","!!!","")</f>
        <v/>
      </c>
      <c r="F1621" s="22" t="str">
        <f>IF(OR(E1621="",E1621="!!!"),"",IF(NOT(ISNA(VLOOKUP(E1621,E$1:E1620,1,FALSE()))),"OLD",IF(AND(E1621&lt;&gt;"",E1621&lt;&gt;"!!!"),"NEW","")))</f>
        <v> </v>
      </c>
      <c r="G1621" s="23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4" t="str">
        <f>IF(J1621&lt;&gt;1,"",IF(I1621="SBJ","CB","?"))</f>
        <v> </v>
      </c>
      <c r="I1621" s="25" t="str">
        <f>IF(OR(E1621="",E1621="!!!",F1621="NEW"),"",INDEX(B1620:B$2,-1+SUMPRODUCT(MAX(ROW(E1620:E$2)*(E1621=E1620:E$2)))))</f>
        <v> </v>
      </c>
      <c r="J1621" s="25" t="str">
        <f>IF(OR(E1621="",E1621="!!!",F1621="NEW"),"",COUNTBLANK(OFFSET(A$1,,,SUMPRODUCT(MAX(ROW(E$2:E1621)*(E1621=E$2:E1621)))))-COUNTBLANK(OFFSET(A$1,,,SUMPRODUCT(MAX(ROW(E$1:E1620)*(E2=E$1:E1620))))))</f>
        <v> </v>
      </c>
      <c r="K1621" s="25" t="str">
        <f>IF(OR(E1621="",E1621="!!!",F1621="NEW"),"",INDEX(J$1:J1620,SUMPRODUCT(MAX(ROW(E$1:E1620)*(E1621=E$1:E1620)))))</f>
        <v> </v>
      </c>
      <c r="L1621" s="26"/>
    </row>
    <row r="1622" spans="1:12">
      <c r="A1622" s="20" t="s">
        <v>549</v>
      </c>
      <c r="E1622" s="21">
        <f>IF(D1622="?OLD","!!!","")</f>
        <v/>
      </c>
      <c r="F1622" s="22" t="str">
        <f>IF(OR(E1622="",E1622="!!!"),"",IF(NOT(ISNA(VLOOKUP(E1622,E$1:E1621,1,FALSE()))),"OLD",IF(AND(E1622&lt;&gt;"",E1622&lt;&gt;"!!!"),"NEW","")))</f>
        <v> </v>
      </c>
      <c r="G1622" s="23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4" t="str">
        <f>IF(J1622&lt;&gt;1,"",IF(I1622="SBJ","CB","?"))</f>
        <v> </v>
      </c>
      <c r="I1622" s="25" t="str">
        <f>IF(OR(E1622="",E1622="!!!",F1622="NEW"),"",INDEX(B1621:B$2,-1+SUMPRODUCT(MAX(ROW(E1621:E$2)*(E1622=E1621:E$2)))))</f>
        <v> </v>
      </c>
      <c r="J1622" s="25" t="str">
        <f>IF(OR(E1622="",E1622="!!!",F1622="NEW"),"",COUNTBLANK(OFFSET(A$1,,,SUMPRODUCT(MAX(ROW(E$2:E1622)*(E1622=E$2:E1622)))))-COUNTBLANK(OFFSET(A$1,,,SUMPRODUCT(MAX(ROW(E$1:E1621)*(E2=E$1:E1621))))))</f>
        <v> </v>
      </c>
      <c r="K1622" s="25" t="str">
        <f>IF(OR(E1622="",E1622="!!!",F1622="NEW"),"",INDEX(J$1:J1621,SUMPRODUCT(MAX(ROW(E$1:E1621)*(E1622=E$1:E1621)))))</f>
        <v> </v>
      </c>
      <c r="L1622" s="26"/>
    </row>
    <row r="1623" spans="1:12">
      <c r="A1623" s="20"/>
    </row>
    <row r="1624" spans="1:12">
      <c r="A1624" s="20" t="s">
        <v>1164</v>
      </c>
    </row>
    <row r="1625" spans="1:12">
      <c r="A1625" s="20" t="s">
        <v>1076</v>
      </c>
      <c r="E1625" s="21">
        <f>IF(D1625="?OLD","!!!","")</f>
        <v/>
      </c>
      <c r="F1625" s="22" t="str">
        <f>IF(OR(E1625="",E1625="!!!"),"",IF(NOT(ISNA(VLOOKUP(E1625,E$1:E1624,1,FALSE()))),"OLD",IF(AND(E1625&lt;&gt;"",E1625&lt;&gt;"!!!"),"NEW","")))</f>
        <v> </v>
      </c>
      <c r="G1625" s="23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4" t="str">
        <f>IF(J1625&lt;&gt;1,"",IF(I1625="SBJ","CB","?"))</f>
        <v> </v>
      </c>
      <c r="I1625" s="25" t="str">
        <f>IF(OR(E1625="",E1625="!!!",F1625="NEW"),"",INDEX(B1624:B$2,-1+SUMPRODUCT(MAX(ROW(E1624:E$2)*(E1625=E1624:E$2)))))</f>
        <v> </v>
      </c>
      <c r="J1625" s="25" t="str">
        <f>IF(OR(E1625="",E1625="!!!",F1625="NEW"),"",COUNTBLANK(OFFSET(A$1,,,SUMPRODUCT(MAX(ROW(E$2:E1625)*(E1625=E$2:E1625)))))-COUNTBLANK(OFFSET(A$1,,,SUMPRODUCT(MAX(ROW(E$1:E1624)*(E2=E$1:E1624))))))</f>
        <v> </v>
      </c>
      <c r="K1625" s="25" t="str">
        <f>IF(OR(E1625="",E1625="!!!",F1625="NEW"),"",INDEX(J$1:J1624,SUMPRODUCT(MAX(ROW(E$1:E1624)*(E1625=E$1:E1624)))))</f>
        <v> </v>
      </c>
      <c r="L1625" s="26"/>
    </row>
    <row r="1626" spans="1:12">
      <c r="A1626" s="20" t="s">
        <v>542</v>
      </c>
      <c r="E1626" s="21">
        <f>IF(D1626="?OLD","!!!","")</f>
        <v/>
      </c>
      <c r="F1626" s="22" t="str">
        <f>IF(OR(E1626="",E1626="!!!"),"",IF(NOT(ISNA(VLOOKUP(E1626,E$1:E1625,1,FALSE()))),"OLD",IF(AND(E1626&lt;&gt;"",E1626&lt;&gt;"!!!"),"NEW","")))</f>
        <v> </v>
      </c>
      <c r="G1626" s="23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4" t="str">
        <f>IF(J1626&lt;&gt;1,"",IF(I1626="SBJ","CB","?"))</f>
        <v> </v>
      </c>
      <c r="I1626" s="25" t="str">
        <f>IF(OR(E1626="",E1626="!!!",F1626="NEW"),"",INDEX(B1625:B$2,-1+SUMPRODUCT(MAX(ROW(E1625:E$2)*(E1626=E1625:E$2)))))</f>
        <v> </v>
      </c>
      <c r="J1626" s="25" t="str">
        <f>IF(OR(E1626="",E1626="!!!",F1626="NEW"),"",COUNTBLANK(OFFSET(A$1,,,SUMPRODUCT(MAX(ROW(E$2:E1626)*(E1626=E$2:E1626)))))-COUNTBLANK(OFFSET(A$1,,,SUMPRODUCT(MAX(ROW(E$1:E1625)*(E2=E$1:E1625))))))</f>
        <v> </v>
      </c>
      <c r="K1626" s="25" t="str">
        <f>IF(OR(E1626="",E1626="!!!",F1626="NEW"),"",INDEX(J$1:J1625,SUMPRODUCT(MAX(ROW(E$1:E1625)*(E1626=E$1:E1625)))))</f>
        <v> </v>
      </c>
      <c r="L1626" s="26"/>
    </row>
    <row r="1627" spans="1:12">
      <c r="A1627" s="20" t="s">
        <v>1041</v>
      </c>
      <c r="B1627" s="27" t="s">
        <v>592</v>
      </c>
      <c r="C1627" s="27" t="s">
        <v>545</v>
      </c>
      <c r="D1627" s="27" t="s">
        <v>524</v>
      </c>
      <c r="E1627" s="21">
        <f>IF(D1627="?OLD","!!!","")</f>
        <v/>
      </c>
      <c r="F1627" s="22" t="str">
        <f>IF(OR(E1627="",E1627="!!!"),"",IF(NOT(ISNA(VLOOKUP(E1627,E$1:E1626,1,FALSE()))),"OLD",IF(AND(E1627&lt;&gt;"",E1627&lt;&gt;"!!!"),"NEW","")))</f>
        <v> </v>
      </c>
      <c r="G1627" s="23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4" t="str">
        <f>IF(J1627&lt;&gt;1,"",IF(I1627="SBJ","CB","?"))</f>
        <v> </v>
      </c>
      <c r="I1627" s="25" t="str">
        <f>IF(OR(E1627="",E1627="!!!",F1627="NEW"),"",INDEX(B1626:B$2,-1+SUMPRODUCT(MAX(ROW(E1626:E$2)*(E1627=E1626:E$2)))))</f>
        <v> </v>
      </c>
      <c r="J1627" s="25" t="str">
        <f>IF(OR(E1627="",E1627="!!!",F1627="NEW"),"",COUNTBLANK(OFFSET(A$1,,,SUMPRODUCT(MAX(ROW(E$2:E1627)*(E1627=E$2:E1627)))))-COUNTBLANK(OFFSET(A$1,,,SUMPRODUCT(MAX(ROW(E$1:E1626)*(E2=E$1:E1626))))))</f>
        <v> </v>
      </c>
      <c r="K1627" s="25" t="str">
        <f>IF(OR(E1627="",E1627="!!!",F1627="NEW"),"",INDEX(J$1:J1626,SUMPRODUCT(MAX(ROW(E$1:E1626)*(E1627=E$1:E1626)))))</f>
        <v> </v>
      </c>
      <c r="L1627" s="26"/>
    </row>
    <row r="1628" spans="1:12">
      <c r="A1628" s="20" t="s">
        <v>565</v>
      </c>
      <c r="E1628" s="21">
        <f>IF(D1628="?OLD","!!!","")</f>
        <v/>
      </c>
      <c r="F1628" s="22" t="str">
        <f>IF(OR(E1628="",E1628="!!!"),"",IF(NOT(ISNA(VLOOKUP(E1628,E$1:E1627,1,FALSE()))),"OLD",IF(AND(E1628&lt;&gt;"",E1628&lt;&gt;"!!!"),"NEW","")))</f>
        <v> </v>
      </c>
      <c r="G1628" s="23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4" t="str">
        <f>IF(J1628&lt;&gt;1,"",IF(I1628="SBJ","CB","?"))</f>
        <v> </v>
      </c>
      <c r="I1628" s="25" t="str">
        <f>IF(OR(E1628="",E1628="!!!",F1628="NEW"),"",INDEX(B1627:B$2,-1+SUMPRODUCT(MAX(ROW(E1627:E$2)*(E1628=E1627:E$2)))))</f>
        <v> </v>
      </c>
      <c r="J1628" s="25" t="str">
        <f>IF(OR(E1628="",E1628="!!!",F1628="NEW"),"",COUNTBLANK(OFFSET(A$1,,,SUMPRODUCT(MAX(ROW(E$2:E1628)*(E1628=E$2:E1628)))))-COUNTBLANK(OFFSET(A$1,,,SUMPRODUCT(MAX(ROW(E$1:E1627)*(E2=E$1:E1627))))))</f>
        <v> </v>
      </c>
      <c r="K1628" s="25" t="str">
        <f>IF(OR(E1628="",E1628="!!!",F1628="NEW"),"",INDEX(J$1:J1627,SUMPRODUCT(MAX(ROW(E$1:E1627)*(E1628=E$1:E1627)))))</f>
        <v> </v>
      </c>
      <c r="L1628" s="26"/>
    </row>
    <row r="1629" spans="1:12">
      <c r="A1629" s="20" t="s">
        <v>542</v>
      </c>
      <c r="E1629" s="21">
        <f>IF(D1629="?OLD","!!!","")</f>
        <v/>
      </c>
      <c r="F1629" s="22" t="str">
        <f>IF(OR(E1629="",E1629="!!!"),"",IF(NOT(ISNA(VLOOKUP(E1629,E$1:E1628,1,FALSE()))),"OLD",IF(AND(E1629&lt;&gt;"",E1629&lt;&gt;"!!!"),"NEW","")))</f>
        <v> </v>
      </c>
      <c r="G1629" s="23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4" t="str">
        <f>IF(J1629&lt;&gt;1,"",IF(I1629="SBJ","CB","?"))</f>
        <v> </v>
      </c>
      <c r="I1629" s="25" t="str">
        <f>IF(OR(E1629="",E1629="!!!",F1629="NEW"),"",INDEX(B1628:B$2,-1+SUMPRODUCT(MAX(ROW(E1628:E$2)*(E1629=E1628:E$2)))))</f>
        <v> </v>
      </c>
      <c r="J1629" s="25" t="str">
        <f>IF(OR(E1629="",E1629="!!!",F1629="NEW"),"",COUNTBLANK(OFFSET(A$1,,,SUMPRODUCT(MAX(ROW(E$2:E1629)*(E1629=E$2:E1629)))))-COUNTBLANK(OFFSET(A$1,,,SUMPRODUCT(MAX(ROW(E$1:E1628)*(E2=E$1:E1628))))))</f>
        <v> </v>
      </c>
      <c r="K1629" s="25" t="str">
        <f>IF(OR(E1629="",E1629="!!!",F1629="NEW"),"",INDEX(J$1:J1628,SUMPRODUCT(MAX(ROW(E$1:E1628)*(E1629=E$1:E1628)))))</f>
        <v> </v>
      </c>
      <c r="L1629" s="26"/>
    </row>
    <row r="1630" spans="1:12">
      <c r="A1630" s="20" t="s">
        <v>1165</v>
      </c>
      <c r="E1630" s="21">
        <f>IF(D1630="?OLD","!!!","")</f>
        <v/>
      </c>
      <c r="F1630" s="22" t="str">
        <f>IF(OR(E1630="",E1630="!!!"),"",IF(NOT(ISNA(VLOOKUP(E1630,E$1:E1629,1,FALSE()))),"OLD",IF(AND(E1630&lt;&gt;"",E1630&lt;&gt;"!!!"),"NEW","")))</f>
        <v> </v>
      </c>
      <c r="G1630" s="23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4" t="str">
        <f>IF(J1630&lt;&gt;1,"",IF(I1630="SBJ","CB","?"))</f>
        <v> </v>
      </c>
      <c r="I1630" s="25" t="str">
        <f>IF(OR(E1630="",E1630="!!!",F1630="NEW"),"",INDEX(B1629:B$2,-1+SUMPRODUCT(MAX(ROW(E1629:E$2)*(E1630=E1629:E$2)))))</f>
        <v> </v>
      </c>
      <c r="J1630" s="25" t="str">
        <f>IF(OR(E1630="",E1630="!!!",F1630="NEW"),"",COUNTBLANK(OFFSET(A$1,,,SUMPRODUCT(MAX(ROW(E$2:E1630)*(E1630=E$2:E1630)))))-COUNTBLANK(OFFSET(A$1,,,SUMPRODUCT(MAX(ROW(E$1:E1629)*(E2=E$1:E1629))))))</f>
        <v> </v>
      </c>
      <c r="K1630" s="25" t="str">
        <f>IF(OR(E1630="",E1630="!!!",F1630="NEW"),"",INDEX(J$1:J1629,SUMPRODUCT(MAX(ROW(E$1:E1629)*(E1630=E$1:E1629)))))</f>
        <v> </v>
      </c>
      <c r="L1630" s="26"/>
    </row>
    <row r="1631" spans="1:12">
      <c r="A1631" s="20" t="s">
        <v>1096</v>
      </c>
      <c r="B1631" s="27" t="s">
        <v>680</v>
      </c>
      <c r="C1631" s="27" t="s">
        <v>545</v>
      </c>
      <c r="D1631" s="27" t="s">
        <v>524</v>
      </c>
      <c r="E1631" s="21">
        <f>IF(D1631="?OLD","!!!","")</f>
        <v/>
      </c>
      <c r="F1631" s="22" t="str">
        <f>IF(OR(E1631="",E1631="!!!"),"",IF(NOT(ISNA(VLOOKUP(E1631,E$1:E1630,1,FALSE()))),"OLD",IF(AND(E1631&lt;&gt;"",E1631&lt;&gt;"!!!"),"NEW","")))</f>
        <v> </v>
      </c>
      <c r="G1631" s="23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4" t="str">
        <f>IF(J1631&lt;&gt;1,"",IF(I1631="SBJ","CB","?"))</f>
        <v> </v>
      </c>
      <c r="I1631" s="25" t="str">
        <f>IF(OR(E1631="",E1631="!!!",F1631="NEW"),"",INDEX(B1630:B$2,-1+SUMPRODUCT(MAX(ROW(E1630:E$2)*(E1631=E1630:E$2)))))</f>
        <v> </v>
      </c>
      <c r="J1631" s="25" t="str">
        <f>IF(OR(E1631="",E1631="!!!",F1631="NEW"),"",COUNTBLANK(OFFSET(A$1,,,SUMPRODUCT(MAX(ROW(E$2:E1631)*(E1631=E$2:E1631)))))-COUNTBLANK(OFFSET(A$1,,,SUMPRODUCT(MAX(ROW(E$1:E1630)*(E2=E$1:E1630))))))</f>
        <v> </v>
      </c>
      <c r="K1631" s="25" t="str">
        <f>IF(OR(E1631="",E1631="!!!",F1631="NEW"),"",INDEX(J$1:J1630,SUMPRODUCT(MAX(ROW(E$1:E1630)*(E1631=E$1:E1630)))))</f>
        <v> </v>
      </c>
      <c r="L1631" s="26"/>
    </row>
    <row r="1632" spans="1:12">
      <c r="A1632" s="20" t="s">
        <v>1129</v>
      </c>
      <c r="E1632" s="21">
        <f>IF(D1632="?OLD","!!!","")</f>
        <v/>
      </c>
      <c r="F1632" s="22" t="str">
        <f>IF(OR(E1632="",E1632="!!!"),"",IF(NOT(ISNA(VLOOKUP(E1632,E$1:E1631,1,FALSE()))),"OLD",IF(AND(E1632&lt;&gt;"",E1632&lt;&gt;"!!!"),"NEW","")))</f>
        <v> </v>
      </c>
      <c r="G1632" s="23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4" t="str">
        <f>IF(J1632&lt;&gt;1,"",IF(I1632="SBJ","CB","?"))</f>
        <v> </v>
      </c>
      <c r="I1632" s="25" t="str">
        <f>IF(OR(E1632="",E1632="!!!",F1632="NEW"),"",INDEX(B1631:B$2,-1+SUMPRODUCT(MAX(ROW(E1631:E$2)*(E1632=E1631:E$2)))))</f>
        <v> </v>
      </c>
      <c r="J1632" s="25" t="str">
        <f>IF(OR(E1632="",E1632="!!!",F1632="NEW"),"",COUNTBLANK(OFFSET(A$1,,,SUMPRODUCT(MAX(ROW(E$2:E1632)*(E1632=E$2:E1632)))))-COUNTBLANK(OFFSET(A$1,,,SUMPRODUCT(MAX(ROW(E$1:E1631)*(E2=E$1:E1631))))))</f>
        <v> </v>
      </c>
      <c r="K1632" s="25" t="str">
        <f>IF(OR(E1632="",E1632="!!!",F1632="NEW"),"",INDEX(J$1:J1631,SUMPRODUCT(MAX(ROW(E$1:E1631)*(E1632=E$1:E1631)))))</f>
        <v> </v>
      </c>
      <c r="L1632" s="26"/>
    </row>
    <row r="1633" spans="1:12">
      <c r="A1633" s="20" t="s">
        <v>528</v>
      </c>
      <c r="B1633" s="27" t="s">
        <v>556</v>
      </c>
      <c r="E1633" s="21">
        <f>IF(D1633="?OLD","!!!","")</f>
        <v/>
      </c>
      <c r="F1633" s="22" t="str">
        <f>IF(OR(E1633="",E1633="!!!"),"",IF(NOT(ISNA(VLOOKUP(E1633,E$1:E1632,1,FALSE()))),"OLD",IF(AND(E1633&lt;&gt;"",E1633&lt;&gt;"!!!"),"NEW","")))</f>
        <v> </v>
      </c>
      <c r="G1633" s="23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4" t="str">
        <f>IF(J1633&lt;&gt;1,"",IF(I1633="SBJ","CB","?"))</f>
        <v> </v>
      </c>
      <c r="I1633" s="25" t="str">
        <f>IF(OR(E1633="",E1633="!!!",F1633="NEW"),"",INDEX(B1632:B$2,-1+SUMPRODUCT(MAX(ROW(E1632:E$2)*(E1633=E1632:E$2)))))</f>
        <v> </v>
      </c>
      <c r="J1633" s="25" t="str">
        <f>IF(OR(E1633="",E1633="!!!",F1633="NEW"),"",COUNTBLANK(OFFSET(A$1,,,SUMPRODUCT(MAX(ROW(E$2:E1633)*(E1633=E$2:E1633)))))-COUNTBLANK(OFFSET(A$1,,,SUMPRODUCT(MAX(ROW(E$1:E1632)*(E2=E$1:E1632))))))</f>
        <v> </v>
      </c>
      <c r="K1633" s="25" t="str">
        <f>IF(OR(E1633="",E1633="!!!",F1633="NEW"),"",INDEX(J$1:J1632,SUMPRODUCT(MAX(ROW(E$1:E1632)*(E1633=E$1:E1632)))))</f>
        <v> </v>
      </c>
      <c r="L1633" s="26"/>
    </row>
    <row r="1634" spans="1:12">
      <c r="A1634" s="20" t="s">
        <v>358</v>
      </c>
      <c r="B1634" s="27" t="s">
        <v>633</v>
      </c>
      <c r="C1634" s="27" t="s">
        <v>523</v>
      </c>
      <c r="D1634" s="27" t="s">
        <v>524</v>
      </c>
      <c r="E1634" s="21">
        <f>IF(D1634="?OLD","!!!","")</f>
        <v/>
      </c>
      <c r="F1634" s="22" t="str">
        <f>IF(OR(E1634="",E1634="!!!"),"",IF(NOT(ISNA(VLOOKUP(E1634,E$1:E1633,1,FALSE()))),"OLD",IF(AND(E1634&lt;&gt;"",E1634&lt;&gt;"!!!"),"NEW","")))</f>
        <v> </v>
      </c>
      <c r="G1634" s="23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4" t="str">
        <f>IF(J1634&lt;&gt;1,"",IF(I1634="SBJ","CB","?"))</f>
        <v> </v>
      </c>
      <c r="I1634" s="25" t="str">
        <f>IF(OR(E1634="",E1634="!!!",F1634="NEW"),"",INDEX(B1633:B$2,-1+SUMPRODUCT(MAX(ROW(E1633:E$2)*(E1634=E1633:E$2)))))</f>
        <v> </v>
      </c>
      <c r="J1634" s="25" t="str">
        <f>IF(OR(E1634="",E1634="!!!",F1634="NEW"),"",COUNTBLANK(OFFSET(A$1,,,SUMPRODUCT(MAX(ROW(E$2:E1634)*(E1634=E$2:E1634)))))-COUNTBLANK(OFFSET(A$1,,,SUMPRODUCT(MAX(ROW(E$1:E1633)*(E2=E$1:E1633))))))</f>
        <v> </v>
      </c>
      <c r="K1634" s="25" t="str">
        <f>IF(OR(E1634="",E1634="!!!",F1634="NEW"),"",INDEX(J$1:J1633,SUMPRODUCT(MAX(ROW(E$1:E1633)*(E1634=E$1:E1633)))))</f>
        <v> </v>
      </c>
      <c r="L1634" s="26"/>
    </row>
    <row r="1635" spans="1:12">
      <c r="A1635" s="20" t="s">
        <v>558</v>
      </c>
      <c r="E1635" s="21">
        <f>IF(D1635="?OLD","!!!","")</f>
        <v/>
      </c>
      <c r="F1635" s="22" t="str">
        <f>IF(OR(E1635="",E1635="!!!"),"",IF(NOT(ISNA(VLOOKUP(E1635,E$1:E1634,1,FALSE()))),"OLD",IF(AND(E1635&lt;&gt;"",E1635&lt;&gt;"!!!"),"NEW","")))</f>
        <v> </v>
      </c>
      <c r="G1635" s="23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4" t="str">
        <f>IF(J1635&lt;&gt;1,"",IF(I1635="SBJ","CB","?"))</f>
        <v> </v>
      </c>
      <c r="I1635" s="25" t="str">
        <f>IF(OR(E1635="",E1635="!!!",F1635="NEW"),"",INDEX(B1634:B$2,-1+SUMPRODUCT(MAX(ROW(E1634:E$2)*(E1635=E1634:E$2)))))</f>
        <v> </v>
      </c>
      <c r="J1635" s="25" t="str">
        <f>IF(OR(E1635="",E1635="!!!",F1635="NEW"),"",COUNTBLANK(OFFSET(A$1,,,SUMPRODUCT(MAX(ROW(E$2:E1635)*(E1635=E$2:E1635)))))-COUNTBLANK(OFFSET(A$1,,,SUMPRODUCT(MAX(ROW(E$1:E1634)*(E2=E$1:E1634))))))</f>
        <v> </v>
      </c>
      <c r="K1635" s="25" t="str">
        <f>IF(OR(E1635="",E1635="!!!",F1635="NEW"),"",INDEX(J$1:J1634,SUMPRODUCT(MAX(ROW(E$1:E1634)*(E1635=E$1:E1634)))))</f>
        <v> </v>
      </c>
      <c r="L1635" s="26"/>
    </row>
    <row r="1636" spans="1:12">
      <c r="A1636" s="20" t="s">
        <v>1166</v>
      </c>
      <c r="E1636" s="21">
        <f>IF(D1636="?OLD","!!!","")</f>
        <v/>
      </c>
      <c r="F1636" s="22" t="str">
        <f>IF(OR(E1636="",E1636="!!!"),"",IF(NOT(ISNA(VLOOKUP(E1636,E$1:E1635,1,FALSE()))),"OLD",IF(AND(E1636&lt;&gt;"",E1636&lt;&gt;"!!!"),"NEW","")))</f>
        <v> </v>
      </c>
      <c r="G1636" s="23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4" t="str">
        <f>IF(J1636&lt;&gt;1,"",IF(I1636="SBJ","CB","?"))</f>
        <v> </v>
      </c>
      <c r="I1636" s="25" t="str">
        <f>IF(OR(E1636="",E1636="!!!",F1636="NEW"),"",INDEX(B1635:B$2,-1+SUMPRODUCT(MAX(ROW(E1635:E$2)*(E1636=E1635:E$2)))))</f>
        <v> </v>
      </c>
      <c r="J1636" s="25" t="str">
        <f>IF(OR(E1636="",E1636="!!!",F1636="NEW"),"",COUNTBLANK(OFFSET(A$1,,,SUMPRODUCT(MAX(ROW(E$2:E1636)*(E1636=E$2:E1636)))))-COUNTBLANK(OFFSET(A$1,,,SUMPRODUCT(MAX(ROW(E$1:E1635)*(E2=E$1:E1635))))))</f>
        <v> </v>
      </c>
      <c r="K1636" s="25" t="str">
        <f>IF(OR(E1636="",E1636="!!!",F1636="NEW"),"",INDEX(J$1:J1635,SUMPRODUCT(MAX(ROW(E$1:E1635)*(E1636=E$1:E1635)))))</f>
        <v> </v>
      </c>
      <c r="L1636" s="26"/>
    </row>
    <row r="1637" spans="1:12">
      <c r="A1637" s="20" t="s">
        <v>528</v>
      </c>
      <c r="E1637" s="21">
        <f>IF(D1637="?OLD","!!!","")</f>
        <v/>
      </c>
      <c r="F1637" s="22" t="str">
        <f>IF(OR(E1637="",E1637="!!!"),"",IF(NOT(ISNA(VLOOKUP(E1637,E$1:E1636,1,FALSE()))),"OLD",IF(AND(E1637&lt;&gt;"",E1637&lt;&gt;"!!!"),"NEW","")))</f>
        <v> </v>
      </c>
      <c r="G1637" s="23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4" t="str">
        <f>IF(J1637&lt;&gt;1,"",IF(I1637="SBJ","CB","?"))</f>
        <v> </v>
      </c>
      <c r="I1637" s="25" t="str">
        <f>IF(OR(E1637="",E1637="!!!",F1637="NEW"),"",INDEX(B1636:B$2,-1+SUMPRODUCT(MAX(ROW(E1636:E$2)*(E1637=E1636:E$2)))))</f>
        <v> </v>
      </c>
      <c r="J1637" s="25" t="str">
        <f>IF(OR(E1637="",E1637="!!!",F1637="NEW"),"",COUNTBLANK(OFFSET(A$1,,,SUMPRODUCT(MAX(ROW(E$2:E1637)*(E1637=E$2:E1637)))))-COUNTBLANK(OFFSET(A$1,,,SUMPRODUCT(MAX(ROW(E$1:E1636)*(E2=E$1:E1636))))))</f>
        <v> </v>
      </c>
      <c r="K1637" s="25" t="str">
        <f>IF(OR(E1637="",E1637="!!!",F1637="NEW"),"",INDEX(J$1:J1636,SUMPRODUCT(MAX(ROW(E$1:E1636)*(E1637=E$1:E1636)))))</f>
        <v> </v>
      </c>
      <c r="L1637" s="26"/>
    </row>
    <row r="1638" spans="1:12">
      <c r="A1638" s="20" t="s">
        <v>1133</v>
      </c>
      <c r="E1638" s="21">
        <f>IF(D1638="?OLD","!!!","")</f>
        <v/>
      </c>
      <c r="F1638" s="22" t="str">
        <f>IF(OR(E1638="",E1638="!!!"),"",IF(NOT(ISNA(VLOOKUP(E1638,E$1:E1637,1,FALSE()))),"OLD",IF(AND(E1638&lt;&gt;"",E1638&lt;&gt;"!!!"),"NEW","")))</f>
        <v> </v>
      </c>
      <c r="G1638" s="23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4" t="str">
        <f>IF(J1638&lt;&gt;1,"",IF(I1638="SBJ","CB","?"))</f>
        <v> </v>
      </c>
      <c r="I1638" s="25" t="str">
        <f>IF(OR(E1638="",E1638="!!!",F1638="NEW"),"",INDEX(B1637:B$2,-1+SUMPRODUCT(MAX(ROW(E1637:E$2)*(E1638=E1637:E$2)))))</f>
        <v> </v>
      </c>
      <c r="J1638" s="25" t="str">
        <f>IF(OR(E1638="",E1638="!!!",F1638="NEW"),"",COUNTBLANK(OFFSET(A$1,,,SUMPRODUCT(MAX(ROW(E$2:E1638)*(E1638=E$2:E1638)))))-COUNTBLANK(OFFSET(A$1,,,SUMPRODUCT(MAX(ROW(E$1:E1637)*(E2=E$1:E1637))))))</f>
        <v> </v>
      </c>
      <c r="K1638" s="25" t="str">
        <f>IF(OR(E1638="",E1638="!!!",F1638="NEW"),"",INDEX(J$1:J1637,SUMPRODUCT(MAX(ROW(E$1:E1637)*(E1638=E$1:E1637)))))</f>
        <v> </v>
      </c>
      <c r="L1638" s="26"/>
    </row>
    <row r="1639" spans="1:12">
      <c r="A1639" s="20" t="s">
        <v>751</v>
      </c>
      <c r="E1639" s="21">
        <f>IF(D1639="?OLD","!!!","")</f>
        <v/>
      </c>
      <c r="F1639" s="22" t="str">
        <f>IF(OR(E1639="",E1639="!!!"),"",IF(NOT(ISNA(VLOOKUP(E1639,E$1:E1638,1,FALSE()))),"OLD",IF(AND(E1639&lt;&gt;"",E1639&lt;&gt;"!!!"),"NEW","")))</f>
        <v> </v>
      </c>
      <c r="G1639" s="23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4" t="str">
        <f>IF(J1639&lt;&gt;1,"",IF(I1639="SBJ","CB","?"))</f>
        <v> </v>
      </c>
      <c r="I1639" s="25" t="str">
        <f>IF(OR(E1639="",E1639="!!!",F1639="NEW"),"",INDEX(B1638:B$2,-1+SUMPRODUCT(MAX(ROW(E1638:E$2)*(E1639=E1638:E$2)))))</f>
        <v> </v>
      </c>
      <c r="J1639" s="25" t="str">
        <f>IF(OR(E1639="",E1639="!!!",F1639="NEW"),"",COUNTBLANK(OFFSET(A$1,,,SUMPRODUCT(MAX(ROW(E$2:E1639)*(E1639=E$2:E1639)))))-COUNTBLANK(OFFSET(A$1,,,SUMPRODUCT(MAX(ROW(E$1:E1638)*(E2=E$1:E1638))))))</f>
        <v> </v>
      </c>
      <c r="K1639" s="25" t="str">
        <f>IF(OR(E1639="",E1639="!!!",F1639="NEW"),"",INDEX(J$1:J1638,SUMPRODUCT(MAX(ROW(E$1:E1638)*(E1639=E$1:E1638)))))</f>
        <v> </v>
      </c>
      <c r="L1639" s="26"/>
    </row>
    <row r="1640" spans="1:12">
      <c r="A1640" s="20" t="s">
        <v>571</v>
      </c>
      <c r="E1640" s="21">
        <f>IF(D1640="?OLD","!!!","")</f>
        <v/>
      </c>
      <c r="F1640" s="22" t="str">
        <f>IF(OR(E1640="",E1640="!!!"),"",IF(NOT(ISNA(VLOOKUP(E1640,E$1:E1639,1,FALSE()))),"OLD",IF(AND(E1640&lt;&gt;"",E1640&lt;&gt;"!!!"),"NEW","")))</f>
        <v> </v>
      </c>
      <c r="G1640" s="23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4" t="str">
        <f>IF(J1640&lt;&gt;1,"",IF(I1640="SBJ","CB","?"))</f>
        <v> </v>
      </c>
      <c r="I1640" s="25" t="str">
        <f>IF(OR(E1640="",E1640="!!!",F1640="NEW"),"",INDEX(B1639:B$2,-1+SUMPRODUCT(MAX(ROW(E1639:E$2)*(E1640=E1639:E$2)))))</f>
        <v> </v>
      </c>
      <c r="J1640" s="25" t="str">
        <f>IF(OR(E1640="",E1640="!!!",F1640="NEW"),"",COUNTBLANK(OFFSET(A$1,,,SUMPRODUCT(MAX(ROW(E$2:E1640)*(E1640=E$2:E1640)))))-COUNTBLANK(OFFSET(A$1,,,SUMPRODUCT(MAX(ROW(E$1:E1639)*(E2=E$1:E1639))))))</f>
        <v> </v>
      </c>
      <c r="K1640" s="25" t="str">
        <f>IF(OR(E1640="",E1640="!!!",F1640="NEW"),"",INDEX(J$1:J1639,SUMPRODUCT(MAX(ROW(E$1:E1639)*(E1640=E$1:E1639)))))</f>
        <v> </v>
      </c>
      <c r="L1640" s="26"/>
    </row>
    <row r="1641" spans="1:12">
      <c r="A1641" s="20" t="s">
        <v>698</v>
      </c>
      <c r="B1641" s="27" t="s">
        <v>592</v>
      </c>
      <c r="C1641" s="27" t="s">
        <v>540</v>
      </c>
      <c r="D1641" s="27" t="s">
        <v>524</v>
      </c>
      <c r="E1641" s="21">
        <f>IF(D1641="?OLD","!!!","")</f>
        <v/>
      </c>
      <c r="F1641" s="22" t="str">
        <f>IF(OR(E1641="",E1641="!!!"),"",IF(NOT(ISNA(VLOOKUP(E1641,E$1:E1640,1,FALSE()))),"OLD",IF(AND(E1641&lt;&gt;"",E1641&lt;&gt;"!!!"),"NEW","")))</f>
        <v> </v>
      </c>
      <c r="G1641" s="23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4" t="str">
        <f>IF(J1641&lt;&gt;1,"",IF(I1641="SBJ","CB","?"))</f>
        <v> </v>
      </c>
      <c r="I1641" s="25" t="str">
        <f>IF(OR(E1641="",E1641="!!!",F1641="NEW"),"",INDEX(B1640:B$2,-1+SUMPRODUCT(MAX(ROW(E1640:E$2)*(E1641=E1640:E$2)))))</f>
        <v> </v>
      </c>
      <c r="J1641" s="25" t="str">
        <f>IF(OR(E1641="",E1641="!!!",F1641="NEW"),"",COUNTBLANK(OFFSET(A$1,,,SUMPRODUCT(MAX(ROW(E$2:E1641)*(E1641=E$2:E1641)))))-COUNTBLANK(OFFSET(A$1,,,SUMPRODUCT(MAX(ROW(E$1:E1640)*(E2=E$1:E1640))))))</f>
        <v> </v>
      </c>
      <c r="K1641" s="25" t="str">
        <f>IF(OR(E1641="",E1641="!!!",F1641="NEW"),"",INDEX(J$1:J1640,SUMPRODUCT(MAX(ROW(E$1:E1640)*(E1641=E$1:E1640)))))</f>
        <v> </v>
      </c>
      <c r="L1641" s="26"/>
    </row>
    <row r="1642" spans="1:12">
      <c r="A1642" s="20" t="s">
        <v>36</v>
      </c>
      <c r="E1642" s="21">
        <f>IF(D1642="?OLD","!!!","")</f>
        <v/>
      </c>
      <c r="F1642" s="22" t="str">
        <f>IF(OR(E1642="",E1642="!!!"),"",IF(NOT(ISNA(VLOOKUP(E1642,E$1:E1641,1,FALSE()))),"OLD",IF(AND(E1642&lt;&gt;"",E1642&lt;&gt;"!!!"),"NEW","")))</f>
        <v> </v>
      </c>
      <c r="G1642" s="23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4" t="str">
        <f>IF(J1642&lt;&gt;1,"",IF(I1642="SBJ","CB","?"))</f>
        <v> </v>
      </c>
      <c r="I1642" s="25" t="str">
        <f>IF(OR(E1642="",E1642="!!!",F1642="NEW"),"",INDEX(B1641:B$2,-1+SUMPRODUCT(MAX(ROW(E1641:E$2)*(E1642=E1641:E$2)))))</f>
        <v> </v>
      </c>
      <c r="J1642" s="25" t="str">
        <f>IF(OR(E1642="",E1642="!!!",F1642="NEW"),"",COUNTBLANK(OFFSET(A$1,,,SUMPRODUCT(MAX(ROW(E$2:E1642)*(E1642=E$2:E1642)))))-COUNTBLANK(OFFSET(A$1,,,SUMPRODUCT(MAX(ROW(E$1:E1641)*(E2=E$1:E1641))))))</f>
        <v> </v>
      </c>
      <c r="K1642" s="25" t="str">
        <f>IF(OR(E1642="",E1642="!!!",F1642="NEW"),"",INDEX(J$1:J1641,SUMPRODUCT(MAX(ROW(E$1:E1641)*(E1642=E$1:E1641)))))</f>
        <v> </v>
      </c>
      <c r="L1642" s="26"/>
    </row>
    <row r="1643" spans="1:12">
      <c r="A1643" s="20" t="s">
        <v>559</v>
      </c>
      <c r="E1643" s="21">
        <f>IF(D1643="?OLD","!!!","")</f>
        <v/>
      </c>
      <c r="F1643" s="22" t="str">
        <f>IF(OR(E1643="",E1643="!!!"),"",IF(NOT(ISNA(VLOOKUP(E1643,E$1:E1642,1,FALSE()))),"OLD",IF(AND(E1643&lt;&gt;"",E1643&lt;&gt;"!!!"),"NEW","")))</f>
        <v> </v>
      </c>
      <c r="G1643" s="23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4" t="str">
        <f>IF(J1643&lt;&gt;1,"",IF(I1643="SBJ","CB","?"))</f>
        <v> </v>
      </c>
      <c r="I1643" s="25" t="str">
        <f>IF(OR(E1643="",E1643="!!!",F1643="NEW"),"",INDEX(B1642:B$2,-1+SUMPRODUCT(MAX(ROW(E1642:E$2)*(E1643=E1642:E$2)))))</f>
        <v> </v>
      </c>
      <c r="J1643" s="25" t="str">
        <f>IF(OR(E1643="",E1643="!!!",F1643="NEW"),"",COUNTBLANK(OFFSET(A$1,,,SUMPRODUCT(MAX(ROW(E$2:E1643)*(E1643=E$2:E1643)))))-COUNTBLANK(OFFSET(A$1,,,SUMPRODUCT(MAX(ROW(E$1:E1642)*(E2=E$1:E1642))))))</f>
        <v> </v>
      </c>
      <c r="K1643" s="25" t="str">
        <f>IF(OR(E1643="",E1643="!!!",F1643="NEW"),"",INDEX(J$1:J1642,SUMPRODUCT(MAX(ROW(E$1:E1642)*(E1643=E$1:E1642)))))</f>
        <v> </v>
      </c>
      <c r="L1643" s="26"/>
    </row>
    <row r="1644" spans="1:12">
      <c r="A1644" s="20" t="s">
        <v>528</v>
      </c>
      <c r="E1644" s="21">
        <f>IF(D1644="?OLD","!!!","")</f>
        <v/>
      </c>
      <c r="F1644" s="22" t="str">
        <f>IF(OR(E1644="",E1644="!!!"),"",IF(NOT(ISNA(VLOOKUP(E1644,E$1:E1643,1,FALSE()))),"OLD",IF(AND(E1644&lt;&gt;"",E1644&lt;&gt;"!!!"),"NEW","")))</f>
        <v> </v>
      </c>
      <c r="G1644" s="23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4" t="str">
        <f>IF(J1644&lt;&gt;1,"",IF(I1644="SBJ","CB","?"))</f>
        <v> </v>
      </c>
      <c r="I1644" s="25" t="str">
        <f>IF(OR(E1644="",E1644="!!!",F1644="NEW"),"",INDEX(B1643:B$2,-1+SUMPRODUCT(MAX(ROW(E1643:E$2)*(E1644=E1643:E$2)))))</f>
        <v> </v>
      </c>
      <c r="J1644" s="25" t="str">
        <f>IF(OR(E1644="",E1644="!!!",F1644="NEW"),"",COUNTBLANK(OFFSET(A$1,,,SUMPRODUCT(MAX(ROW(E$2:E1644)*(E1644=E$2:E1644)))))-COUNTBLANK(OFFSET(A$1,,,SUMPRODUCT(MAX(ROW(E$1:E1643)*(E2=E$1:E1643))))))</f>
        <v> </v>
      </c>
      <c r="K1644" s="25" t="str">
        <f>IF(OR(E1644="",E1644="!!!",F1644="NEW"),"",INDEX(J$1:J1643,SUMPRODUCT(MAX(ROW(E$1:E1643)*(E1644=E$1:E1643)))))</f>
        <v> </v>
      </c>
      <c r="L1644" s="26"/>
    </row>
    <row r="1645" spans="1:12">
      <c r="A1645" s="20" t="s">
        <v>1167</v>
      </c>
      <c r="E1645" s="21">
        <f>IF(D1645="?OLD","!!!","")</f>
        <v/>
      </c>
      <c r="F1645" s="22" t="str">
        <f>IF(OR(E1645="",E1645="!!!"),"",IF(NOT(ISNA(VLOOKUP(E1645,E$1:E1644,1,FALSE()))),"OLD",IF(AND(E1645&lt;&gt;"",E1645&lt;&gt;"!!!"),"NEW","")))</f>
        <v> </v>
      </c>
      <c r="G1645" s="23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4" t="str">
        <f>IF(J1645&lt;&gt;1,"",IF(I1645="SBJ","CB","?"))</f>
        <v> </v>
      </c>
      <c r="I1645" s="25" t="str">
        <f>IF(OR(E1645="",E1645="!!!",F1645="NEW"),"",INDEX(B1644:B$2,-1+SUMPRODUCT(MAX(ROW(E1644:E$2)*(E1645=E1644:E$2)))))</f>
        <v> </v>
      </c>
      <c r="J1645" s="25" t="str">
        <f>IF(OR(E1645="",E1645="!!!",F1645="NEW"),"",COUNTBLANK(OFFSET(A$1,,,SUMPRODUCT(MAX(ROW(E$2:E1645)*(E1645=E$2:E1645)))))-COUNTBLANK(OFFSET(A$1,,,SUMPRODUCT(MAX(ROW(E$1:E1644)*(E2=E$1:E1644))))))</f>
        <v> </v>
      </c>
      <c r="K1645" s="25" t="str">
        <f>IF(OR(E1645="",E1645="!!!",F1645="NEW"),"",INDEX(J$1:J1644,SUMPRODUCT(MAX(ROW(E$1:E1644)*(E1645=E$1:E1644)))))</f>
        <v> </v>
      </c>
      <c r="L1645" s="26"/>
    </row>
    <row r="1646" spans="1:12">
      <c r="A1646" s="20" t="s">
        <v>1168</v>
      </c>
      <c r="E1646" s="21">
        <f>IF(D1646="?OLD","!!!","")</f>
        <v/>
      </c>
      <c r="F1646" s="22" t="str">
        <f>IF(OR(E1646="",E1646="!!!"),"",IF(NOT(ISNA(VLOOKUP(E1646,E$1:E1645,1,FALSE()))),"OLD",IF(AND(E1646&lt;&gt;"",E1646&lt;&gt;"!!!"),"NEW","")))</f>
        <v> </v>
      </c>
      <c r="G1646" s="23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4" t="str">
        <f>IF(J1646&lt;&gt;1,"",IF(I1646="SBJ","CB","?"))</f>
        <v> </v>
      </c>
      <c r="I1646" s="25" t="str">
        <f>IF(OR(E1646="",E1646="!!!",F1646="NEW"),"",INDEX(B1645:B$2,-1+SUMPRODUCT(MAX(ROW(E1645:E$2)*(E1646=E1645:E$2)))))</f>
        <v> </v>
      </c>
      <c r="J1646" s="25" t="str">
        <f>IF(OR(E1646="",E1646="!!!",F1646="NEW"),"",COUNTBLANK(OFFSET(A$1,,,SUMPRODUCT(MAX(ROW(E$2:E1646)*(E1646=E$2:E1646)))))-COUNTBLANK(OFFSET(A$1,,,SUMPRODUCT(MAX(ROW(E$1:E1645)*(E2=E$1:E1645))))))</f>
        <v> </v>
      </c>
      <c r="K1646" s="25" t="str">
        <f>IF(OR(E1646="",E1646="!!!",F1646="NEW"),"",INDEX(J$1:J1645,SUMPRODUCT(MAX(ROW(E$1:E1645)*(E1646=E$1:E1645)))))</f>
        <v> </v>
      </c>
      <c r="L1646" s="26"/>
    </row>
    <row r="1647" spans="1:12">
      <c r="A1647" s="20" t="s">
        <v>645</v>
      </c>
      <c r="B1647" s="27" t="s">
        <v>556</v>
      </c>
      <c r="C1647" s="27" t="s">
        <v>523</v>
      </c>
      <c r="D1647" s="27" t="s">
        <v>524</v>
      </c>
      <c r="E1647" s="21">
        <f>IF(D1647="?OLD","!!!","")</f>
        <v/>
      </c>
      <c r="F1647" s="22" t="str">
        <f>IF(OR(E1647="",E1647="!!!"),"",IF(NOT(ISNA(VLOOKUP(E1647,E$1:E1646,1,FALSE()))),"OLD",IF(AND(E1647&lt;&gt;"",E1647&lt;&gt;"!!!"),"NEW","")))</f>
        <v> </v>
      </c>
      <c r="G1647" s="23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4" t="str">
        <f>IF(J1647&lt;&gt;1,"",IF(I1647="SBJ","CB","?"))</f>
        <v> </v>
      </c>
      <c r="I1647" s="25" t="str">
        <f>IF(OR(E1647="",E1647="!!!",F1647="NEW"),"",INDEX(B1646:B$2,-1+SUMPRODUCT(MAX(ROW(E1646:E$2)*(E1647=E1646:E$2)))))</f>
        <v> </v>
      </c>
      <c r="J1647" s="25" t="str">
        <f>IF(OR(E1647="",E1647="!!!",F1647="NEW"),"",COUNTBLANK(OFFSET(A$1,,,SUMPRODUCT(MAX(ROW(E$2:E1647)*(E1647=E$2:E1647)))))-COUNTBLANK(OFFSET(A$1,,,SUMPRODUCT(MAX(ROW(E$1:E1646)*(E2=E$1:E1646))))))</f>
        <v> </v>
      </c>
      <c r="K1647" s="25" t="str">
        <f>IF(OR(E1647="",E1647="!!!",F1647="NEW"),"",INDEX(J$1:J1646,SUMPRODUCT(MAX(ROW(E$1:E1646)*(E1647=E$1:E1646)))))</f>
        <v> </v>
      </c>
      <c r="L1647" s="26"/>
    </row>
    <row r="1648" spans="1:12">
      <c r="A1648" s="20" t="s">
        <v>520</v>
      </c>
      <c r="E1648" s="21">
        <f>IF(D1648="?OLD","!!!","")</f>
        <v/>
      </c>
      <c r="F1648" s="22" t="str">
        <f>IF(OR(E1648="",E1648="!!!"),"",IF(NOT(ISNA(VLOOKUP(E1648,E$1:E1647,1,FALSE()))),"OLD",IF(AND(E1648&lt;&gt;"",E1648&lt;&gt;"!!!"),"NEW","")))</f>
        <v> </v>
      </c>
      <c r="G1648" s="23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4" t="str">
        <f>IF(J1648&lt;&gt;1,"",IF(I1648="SBJ","CB","?"))</f>
        <v> </v>
      </c>
      <c r="I1648" s="25" t="str">
        <f>IF(OR(E1648="",E1648="!!!",F1648="NEW"),"",INDEX(B1647:B$2,-1+SUMPRODUCT(MAX(ROW(E1647:E$2)*(E1648=E1647:E$2)))))</f>
        <v> </v>
      </c>
      <c r="J1648" s="25" t="str">
        <f>IF(OR(E1648="",E1648="!!!",F1648="NEW"),"",COUNTBLANK(OFFSET(A$1,,,SUMPRODUCT(MAX(ROW(E$2:E1648)*(E1648=E$2:E1648)))))-COUNTBLANK(OFFSET(A$1,,,SUMPRODUCT(MAX(ROW(E$1:E1647)*(E2=E$1:E1647))))))</f>
        <v> </v>
      </c>
      <c r="K1648" s="25" t="str">
        <f>IF(OR(E1648="",E1648="!!!",F1648="NEW"),"",INDEX(J$1:J1647,SUMPRODUCT(MAX(ROW(E$1:E1647)*(E1648=E$1:E1647)))))</f>
        <v> </v>
      </c>
      <c r="L1648" s="26"/>
    </row>
    <row r="1649" spans="1:12">
      <c r="A1649" s="20" t="s">
        <v>1169</v>
      </c>
      <c r="E1649" s="21">
        <f>IF(D1649="?OLD","!!!","")</f>
        <v/>
      </c>
      <c r="F1649" s="22" t="str">
        <f>IF(OR(E1649="",E1649="!!!"),"",IF(NOT(ISNA(VLOOKUP(E1649,E$1:E1648,1,FALSE()))),"OLD",IF(AND(E1649&lt;&gt;"",E1649&lt;&gt;"!!!"),"NEW","")))</f>
        <v> </v>
      </c>
      <c r="G1649" s="23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4" t="str">
        <f>IF(J1649&lt;&gt;1,"",IF(I1649="SBJ","CB","?"))</f>
        <v> </v>
      </c>
      <c r="I1649" s="25" t="str">
        <f>IF(OR(E1649="",E1649="!!!",F1649="NEW"),"",INDEX(B1648:B$2,-1+SUMPRODUCT(MAX(ROW(E1648:E$2)*(E1649=E1648:E$2)))))</f>
        <v> </v>
      </c>
      <c r="J1649" s="25" t="str">
        <f>IF(OR(E1649="",E1649="!!!",F1649="NEW"),"",COUNTBLANK(OFFSET(A$1,,,SUMPRODUCT(MAX(ROW(E$2:E1649)*(E1649=E$2:E1649)))))-COUNTBLANK(OFFSET(A$1,,,SUMPRODUCT(MAX(ROW(E$1:E1648)*(E2=E$1:E1648))))))</f>
        <v> </v>
      </c>
      <c r="K1649" s="25" t="str">
        <f>IF(OR(E1649="",E1649="!!!",F1649="NEW"),"",INDEX(J$1:J1648,SUMPRODUCT(MAX(ROW(E$1:E1648)*(E1649=E$1:E1648)))))</f>
        <v> </v>
      </c>
      <c r="L1649" s="26"/>
    </row>
    <row r="1650" spans="1:12">
      <c r="A1650" s="20" t="s">
        <v>1170</v>
      </c>
      <c r="B1650" s="27" t="s">
        <v>544</v>
      </c>
      <c r="C1650" s="27" t="s">
        <v>637</v>
      </c>
      <c r="D1650" s="27" t="s">
        <v>524</v>
      </c>
      <c r="E1650" s="21">
        <f>IF(D1650="?OLD","!!!","")</f>
        <v/>
      </c>
      <c r="F1650" s="22" t="str">
        <f>IF(OR(E1650="",E1650="!!!"),"",IF(NOT(ISNA(VLOOKUP(E1650,E$1:E1649,1,FALSE()))),"OLD",IF(AND(E1650&lt;&gt;"",E1650&lt;&gt;"!!!"),"NEW","")))</f>
        <v> </v>
      </c>
      <c r="G1650" s="23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4" t="str">
        <f>IF(J1650&lt;&gt;1,"",IF(I1650="SBJ","CB","?"))</f>
        <v> </v>
      </c>
      <c r="I1650" s="25" t="str">
        <f>IF(OR(E1650="",E1650="!!!",F1650="NEW"),"",INDEX(B1649:B$2,-1+SUMPRODUCT(MAX(ROW(E1649:E$2)*(E1650=E1649:E$2)))))</f>
        <v> </v>
      </c>
      <c r="J1650" s="25" t="str">
        <f>IF(OR(E1650="",E1650="!!!",F1650="NEW"),"",COUNTBLANK(OFFSET(A$1,,,SUMPRODUCT(MAX(ROW(E$2:E1650)*(E1650=E$2:E1650)))))-COUNTBLANK(OFFSET(A$1,,,SUMPRODUCT(MAX(ROW(E$1:E1649)*(E2=E$1:E1649))))))</f>
        <v> </v>
      </c>
      <c r="K1650" s="25" t="str">
        <f>IF(OR(E1650="",E1650="!!!",F1650="NEW"),"",INDEX(J$1:J1649,SUMPRODUCT(MAX(ROW(E$1:E1649)*(E1650=E$1:E1649)))))</f>
        <v> </v>
      </c>
      <c r="L1650" s="26"/>
    </row>
    <row r="1651" spans="1:12">
      <c r="A1651" s="20" t="s">
        <v>549</v>
      </c>
      <c r="E1651" s="21">
        <f>IF(D1651="?OLD","!!!","")</f>
        <v/>
      </c>
      <c r="F1651" s="22" t="str">
        <f>IF(OR(E1651="",E1651="!!!"),"",IF(NOT(ISNA(VLOOKUP(E1651,E$1:E1650,1,FALSE()))),"OLD",IF(AND(E1651&lt;&gt;"",E1651&lt;&gt;"!!!"),"NEW","")))</f>
        <v> </v>
      </c>
      <c r="G1651" s="23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4" t="str">
        <f>IF(J1651&lt;&gt;1,"",IF(I1651="SBJ","CB","?"))</f>
        <v> </v>
      </c>
      <c r="I1651" s="25" t="str">
        <f>IF(OR(E1651="",E1651="!!!",F1651="NEW"),"",INDEX(B1650:B$2,-1+SUMPRODUCT(MAX(ROW(E1650:E$2)*(E1651=E1650:E$2)))))</f>
        <v> </v>
      </c>
      <c r="J1651" s="25" t="str">
        <f>IF(OR(E1651="",E1651="!!!",F1651="NEW"),"",COUNTBLANK(OFFSET(A$1,,,SUMPRODUCT(MAX(ROW(E$2:E1651)*(E1651=E$2:E1651)))))-COUNTBLANK(OFFSET(A$1,,,SUMPRODUCT(MAX(ROW(E$1:E1650)*(E2=E$1:E1650))))))</f>
        <v> </v>
      </c>
      <c r="K1651" s="25" t="str">
        <f>IF(OR(E1651="",E1651="!!!",F1651="NEW"),"",INDEX(J$1:J1650,SUMPRODUCT(MAX(ROW(E$1:E1650)*(E1651=E$1:E1650)))))</f>
        <v> </v>
      </c>
      <c r="L1651" s="26"/>
    </row>
    <row r="1652" spans="1:12">
      <c r="A1652" s="20"/>
    </row>
    <row r="1653" spans="1:12">
      <c r="A1653" s="20" t="s">
        <v>1171</v>
      </c>
    </row>
    <row r="1654" spans="1:12">
      <c r="A1654" s="20" t="s">
        <v>1076</v>
      </c>
      <c r="E1654" s="21">
        <f>IF(D1654="?OLD","!!!","")</f>
        <v/>
      </c>
      <c r="F1654" s="22" t="str">
        <f>IF(OR(E1654="",E1654="!!!"),"",IF(NOT(ISNA(VLOOKUP(E1654,E$1:E1653,1,FALSE()))),"OLD",IF(AND(E1654&lt;&gt;"",E1654&lt;&gt;"!!!"),"NEW","")))</f>
        <v> </v>
      </c>
      <c r="G1654" s="23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4" t="str">
        <f>IF(J1654&lt;&gt;1,"",IF(I1654="SBJ","CB","?"))</f>
        <v> </v>
      </c>
      <c r="I1654" s="25" t="str">
        <f>IF(OR(E1654="",E1654="!!!",F1654="NEW"),"",INDEX(B1653:B$2,-1+SUMPRODUCT(MAX(ROW(E1653:E$2)*(E1654=E1653:E$2)))))</f>
        <v> </v>
      </c>
      <c r="J1654" s="25" t="str">
        <f>IF(OR(E1654="",E1654="!!!",F1654="NEW"),"",COUNTBLANK(OFFSET(A$1,,,SUMPRODUCT(MAX(ROW(E$2:E1654)*(E1654=E$2:E1654)))))-COUNTBLANK(OFFSET(A$1,,,SUMPRODUCT(MAX(ROW(E$1:E1653)*(E2=E$1:E1653))))))</f>
        <v> </v>
      </c>
      <c r="K1654" s="25" t="str">
        <f>IF(OR(E1654="",E1654="!!!",F1654="NEW"),"",INDEX(J$1:J1653,SUMPRODUCT(MAX(ROW(E$1:E1653)*(E1654=E$1:E1653)))))</f>
        <v> </v>
      </c>
      <c r="L1654" s="26"/>
    </row>
    <row r="1655" spans="1:12">
      <c r="A1655" s="20" t="s">
        <v>571</v>
      </c>
      <c r="E1655" s="21">
        <f>IF(D1655="?OLD","!!!","")</f>
        <v/>
      </c>
      <c r="F1655" s="22" t="str">
        <f>IF(OR(E1655="",E1655="!!!"),"",IF(NOT(ISNA(VLOOKUP(E1655,E$1:E1654,1,FALSE()))),"OLD",IF(AND(E1655&lt;&gt;"",E1655&lt;&gt;"!!!"),"NEW","")))</f>
        <v> </v>
      </c>
      <c r="G1655" s="23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4" t="str">
        <f>IF(J1655&lt;&gt;1,"",IF(I1655="SBJ","CB","?"))</f>
        <v> </v>
      </c>
      <c r="I1655" s="25" t="str">
        <f>IF(OR(E1655="",E1655="!!!",F1655="NEW"),"",INDEX(B1654:B$2,-1+SUMPRODUCT(MAX(ROW(E1654:E$2)*(E1655=E1654:E$2)))))</f>
        <v> </v>
      </c>
      <c r="J1655" s="25" t="str">
        <f>IF(OR(E1655="",E1655="!!!",F1655="NEW"),"",COUNTBLANK(OFFSET(A$1,,,SUMPRODUCT(MAX(ROW(E$2:E1655)*(E1655=E$2:E1655)))))-COUNTBLANK(OFFSET(A$1,,,SUMPRODUCT(MAX(ROW(E$1:E1654)*(E2=E$1:E1654))))))</f>
        <v> </v>
      </c>
      <c r="K1655" s="25" t="str">
        <f>IF(OR(E1655="",E1655="!!!",F1655="NEW"),"",INDEX(J$1:J1654,SUMPRODUCT(MAX(ROW(E$1:E1654)*(E1655=E$1:E1654)))))</f>
        <v> </v>
      </c>
      <c r="L1655" s="26"/>
    </row>
    <row r="1656" spans="1:12">
      <c r="A1656" s="20" t="s">
        <v>1050</v>
      </c>
      <c r="B1656" s="27" t="s">
        <v>592</v>
      </c>
      <c r="C1656" s="27" t="s">
        <v>669</v>
      </c>
      <c r="D1656" s="27" t="s">
        <v>524</v>
      </c>
      <c r="E1656" s="21">
        <f>IF(D1656="?OLD","!!!","")</f>
        <v/>
      </c>
      <c r="F1656" s="22" t="str">
        <f>IF(OR(E1656="",E1656="!!!"),"",IF(NOT(ISNA(VLOOKUP(E1656,E$1:E1655,1,FALSE()))),"OLD",IF(AND(E1656&lt;&gt;"",E1656&lt;&gt;"!!!"),"NEW","")))</f>
        <v> </v>
      </c>
      <c r="G1656" s="23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4" t="str">
        <f>IF(J1656&lt;&gt;1,"",IF(I1656="SBJ","CB","?"))</f>
        <v> </v>
      </c>
      <c r="I1656" s="25" t="str">
        <f>IF(OR(E1656="",E1656="!!!",F1656="NEW"),"",INDEX(B1655:B$2,-1+SUMPRODUCT(MAX(ROW(E1655:E$2)*(E1656=E1655:E$2)))))</f>
        <v> </v>
      </c>
      <c r="J1656" s="25" t="str">
        <f>IF(OR(E1656="",E1656="!!!",F1656="NEW"),"",COUNTBLANK(OFFSET(A$1,,,SUMPRODUCT(MAX(ROW(E$2:E1656)*(E1656=E$2:E1656)))))-COUNTBLANK(OFFSET(A$1,,,SUMPRODUCT(MAX(ROW(E$1:E1655)*(E2=E$1:E1655))))))</f>
        <v> </v>
      </c>
      <c r="K1656" s="25" t="str">
        <f>IF(OR(E1656="",E1656="!!!",F1656="NEW"),"",INDEX(J$1:J1655,SUMPRODUCT(MAX(ROW(E$1:E1655)*(E1656=E$1:E1655)))))</f>
        <v> </v>
      </c>
      <c r="L1656" s="26"/>
    </row>
    <row r="1657" spans="1:12">
      <c r="A1657" s="20" t="s">
        <v>1172</v>
      </c>
      <c r="B1657" s="27" t="s">
        <v>592</v>
      </c>
      <c r="C1657" s="27" t="s">
        <v>545</v>
      </c>
      <c r="D1657" s="27" t="s">
        <v>524</v>
      </c>
      <c r="E1657" s="21">
        <f>IF(D1657="?OLD","!!!","")</f>
        <v/>
      </c>
      <c r="F1657" s="22" t="str">
        <f>IF(OR(E1657="",E1657="!!!"),"",IF(NOT(ISNA(VLOOKUP(E1657,E$1:E1656,1,FALSE()))),"OLD",IF(AND(E1657&lt;&gt;"",E1657&lt;&gt;"!!!"),"NEW","")))</f>
        <v> </v>
      </c>
      <c r="G1657" s="23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4" t="str">
        <f>IF(J1657&lt;&gt;1,"",IF(I1657="SBJ","CB","?"))</f>
        <v> </v>
      </c>
      <c r="I1657" s="25" t="str">
        <f>IF(OR(E1657="",E1657="!!!",F1657="NEW"),"",INDEX(B1656:B$2,-1+SUMPRODUCT(MAX(ROW(E1656:E$2)*(E1657=E1656:E$2)))))</f>
        <v> </v>
      </c>
      <c r="J1657" s="25" t="str">
        <f>IF(OR(E1657="",E1657="!!!",F1657="NEW"),"",COUNTBLANK(OFFSET(A$1,,,SUMPRODUCT(MAX(ROW(E$2:E1657)*(E1657=E$2:E1657)))))-COUNTBLANK(OFFSET(A$1,,,SUMPRODUCT(MAX(ROW(E$1:E1656)*(E2=E$1:E1656))))))</f>
        <v> </v>
      </c>
      <c r="K1657" s="25" t="str">
        <f>IF(OR(E1657="",E1657="!!!",F1657="NEW"),"",INDEX(J$1:J1656,SUMPRODUCT(MAX(ROW(E$1:E1656)*(E1657=E$1:E1656)))))</f>
        <v> </v>
      </c>
      <c r="L1657" s="26"/>
    </row>
    <row r="1658" spans="1:12">
      <c r="A1658" s="20" t="s">
        <v>518</v>
      </c>
      <c r="E1658" s="21">
        <f>IF(D1658="?OLD","!!!","")</f>
        <v/>
      </c>
      <c r="F1658" s="22" t="str">
        <f>IF(OR(E1658="",E1658="!!!"),"",IF(NOT(ISNA(VLOOKUP(E1658,E$1:E1657,1,FALSE()))),"OLD",IF(AND(E1658&lt;&gt;"",E1658&lt;&gt;"!!!"),"NEW","")))</f>
        <v> </v>
      </c>
      <c r="G1658" s="23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4" t="str">
        <f>IF(J1658&lt;&gt;1,"",IF(I1658="SBJ","CB","?"))</f>
        <v> </v>
      </c>
      <c r="I1658" s="25" t="str">
        <f>IF(OR(E1658="",E1658="!!!",F1658="NEW"),"",INDEX(B1657:B$2,-1+SUMPRODUCT(MAX(ROW(E1657:E$2)*(E1658=E1657:E$2)))))</f>
        <v> </v>
      </c>
      <c r="J1658" s="25" t="str">
        <f>IF(OR(E1658="",E1658="!!!",F1658="NEW"),"",COUNTBLANK(OFFSET(A$1,,,SUMPRODUCT(MAX(ROW(E$2:E1658)*(E1658=E$2:E1658)))))-COUNTBLANK(OFFSET(A$1,,,SUMPRODUCT(MAX(ROW(E$1:E1657)*(E2=E$1:E1657))))))</f>
        <v> </v>
      </c>
      <c r="K1658" s="25" t="str">
        <f>IF(OR(E1658="",E1658="!!!",F1658="NEW"),"",INDEX(J$1:J1657,SUMPRODUCT(MAX(ROW(E$1:E1657)*(E1658=E$1:E1657)))))</f>
        <v> </v>
      </c>
      <c r="L1658" s="26"/>
    </row>
    <row r="1659" spans="1:12">
      <c r="A1659" s="20" t="s">
        <v>1136</v>
      </c>
      <c r="E1659" s="21">
        <f>IF(D1659="?OLD","!!!","")</f>
        <v/>
      </c>
      <c r="F1659" s="22" t="str">
        <f>IF(OR(E1659="",E1659="!!!"),"",IF(NOT(ISNA(VLOOKUP(E1659,E$1:E1658,1,FALSE()))),"OLD",IF(AND(E1659&lt;&gt;"",E1659&lt;&gt;"!!!"),"NEW","")))</f>
        <v> </v>
      </c>
      <c r="G1659" s="23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4" t="str">
        <f>IF(J1659&lt;&gt;1,"",IF(I1659="SBJ","CB","?"))</f>
        <v> </v>
      </c>
      <c r="I1659" s="25" t="str">
        <f>IF(OR(E1659="",E1659="!!!",F1659="NEW"),"",INDEX(B1658:B$2,-1+SUMPRODUCT(MAX(ROW(E1658:E$2)*(E1659=E1658:E$2)))))</f>
        <v> </v>
      </c>
      <c r="J1659" s="25" t="str">
        <f>IF(OR(E1659="",E1659="!!!",F1659="NEW"),"",COUNTBLANK(OFFSET(A$1,,,SUMPRODUCT(MAX(ROW(E$2:E1659)*(E1659=E$2:E1659)))))-COUNTBLANK(OFFSET(A$1,,,SUMPRODUCT(MAX(ROW(E$1:E1658)*(E2=E$1:E1658))))))</f>
        <v> </v>
      </c>
      <c r="K1659" s="25" t="str">
        <f>IF(OR(E1659="",E1659="!!!",F1659="NEW"),"",INDEX(J$1:J1658,SUMPRODUCT(MAX(ROW(E$1:E1658)*(E1659=E$1:E1658)))))</f>
        <v> </v>
      </c>
      <c r="L1659" s="26"/>
    </row>
    <row r="1660" spans="1:12">
      <c r="A1660" s="20" t="s">
        <v>898</v>
      </c>
      <c r="B1660" s="27" t="s">
        <v>522</v>
      </c>
      <c r="C1660" s="27" t="s">
        <v>584</v>
      </c>
      <c r="D1660" s="27" t="s">
        <v>524</v>
      </c>
      <c r="E1660" s="21">
        <f>IF(D1660="?OLD","!!!","")</f>
        <v/>
      </c>
      <c r="F1660" s="22" t="str">
        <f>IF(OR(E1660="",E1660="!!!"),"",IF(NOT(ISNA(VLOOKUP(E1660,E$1:E1659,1,FALSE()))),"OLD",IF(AND(E1660&lt;&gt;"",E1660&lt;&gt;"!!!"),"NEW","")))</f>
        <v> </v>
      </c>
      <c r="G1660" s="23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4" t="str">
        <f>IF(J1660&lt;&gt;1,"",IF(I1660="SBJ","CB","?"))</f>
        <v> </v>
      </c>
      <c r="I1660" s="25" t="str">
        <f>IF(OR(E1660="",E1660="!!!",F1660="NEW"),"",INDEX(B1659:B$2,-1+SUMPRODUCT(MAX(ROW(E1659:E$2)*(E1660=E1659:E$2)))))</f>
        <v> </v>
      </c>
      <c r="J1660" s="25" t="str">
        <f>IF(OR(E1660="",E1660="!!!",F1660="NEW"),"",COUNTBLANK(OFFSET(A$1,,,SUMPRODUCT(MAX(ROW(E$2:E1660)*(E1660=E$2:E1660)))))-COUNTBLANK(OFFSET(A$1,,,SUMPRODUCT(MAX(ROW(E$1:E1659)*(E2=E$1:E1659))))))</f>
        <v> </v>
      </c>
      <c r="K1660" s="25" t="str">
        <f>IF(OR(E1660="",E1660="!!!",F1660="NEW"),"",INDEX(J$1:J1659,SUMPRODUCT(MAX(ROW(E$1:E1659)*(E1660=E$1:E1659)))))</f>
        <v> </v>
      </c>
      <c r="L1660" s="26"/>
    </row>
    <row r="1661" spans="1:12">
      <c r="A1661" s="20" t="s">
        <v>518</v>
      </c>
      <c r="E1661" s="21">
        <f>IF(D1661="?OLD","!!!","")</f>
        <v/>
      </c>
      <c r="F1661" s="22" t="str">
        <f>IF(OR(E1661="",E1661="!!!"),"",IF(NOT(ISNA(VLOOKUP(E1661,E$1:E1660,1,FALSE()))),"OLD",IF(AND(E1661&lt;&gt;"",E1661&lt;&gt;"!!!"),"NEW","")))</f>
        <v> </v>
      </c>
      <c r="G1661" s="23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4" t="str">
        <f>IF(J1661&lt;&gt;1,"",IF(I1661="SBJ","CB","?"))</f>
        <v> </v>
      </c>
      <c r="I1661" s="25" t="str">
        <f>IF(OR(E1661="",E1661="!!!",F1661="NEW"),"",INDEX(B1660:B$2,-1+SUMPRODUCT(MAX(ROW(E1660:E$2)*(E1661=E1660:E$2)))))</f>
        <v> </v>
      </c>
      <c r="J1661" s="25" t="str">
        <f>IF(OR(E1661="",E1661="!!!",F1661="NEW"),"",COUNTBLANK(OFFSET(A$1,,,SUMPRODUCT(MAX(ROW(E$2:E1661)*(E1661=E$2:E1661)))))-COUNTBLANK(OFFSET(A$1,,,SUMPRODUCT(MAX(ROW(E$1:E1660)*(E2=E$1:E1660))))))</f>
        <v> </v>
      </c>
      <c r="K1661" s="25" t="str">
        <f>IF(OR(E1661="",E1661="!!!",F1661="NEW"),"",INDEX(J$1:J1660,SUMPRODUCT(MAX(ROW(E$1:E1660)*(E1661=E$1:E1660)))))</f>
        <v> </v>
      </c>
      <c r="L1661" s="26"/>
    </row>
    <row r="1662" spans="1:12">
      <c r="A1662" s="20" t="s">
        <v>1137</v>
      </c>
      <c r="B1662" s="27" t="s">
        <v>873</v>
      </c>
      <c r="E1662" s="21">
        <f>IF(D1662="?OLD","!!!","")</f>
        <v/>
      </c>
      <c r="F1662" s="22" t="str">
        <f>IF(OR(E1662="",E1662="!!!"),"",IF(NOT(ISNA(VLOOKUP(E1662,E$1:E1661,1,FALSE()))),"OLD",IF(AND(E1662&lt;&gt;"",E1662&lt;&gt;"!!!"),"NEW","")))</f>
        <v> </v>
      </c>
      <c r="G1662" s="23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4" t="str">
        <f>IF(J1662&lt;&gt;1,"",IF(I1662="SBJ","CB","?"))</f>
        <v> </v>
      </c>
      <c r="I1662" s="25" t="str">
        <f>IF(OR(E1662="",E1662="!!!",F1662="NEW"),"",INDEX(B1661:B$2,-1+SUMPRODUCT(MAX(ROW(E1661:E$2)*(E1662=E1661:E$2)))))</f>
        <v> </v>
      </c>
      <c r="J1662" s="25" t="str">
        <f>IF(OR(E1662="",E1662="!!!",F1662="NEW"),"",COUNTBLANK(OFFSET(A$1,,,SUMPRODUCT(MAX(ROW(E$2:E1662)*(E1662=E$2:E1662)))))-COUNTBLANK(OFFSET(A$1,,,SUMPRODUCT(MAX(ROW(E$1:E1661)*(E2=E$1:E1661))))))</f>
        <v> </v>
      </c>
      <c r="K1662" s="25" t="str">
        <f>IF(OR(E1662="",E1662="!!!",F1662="NEW"),"",INDEX(J$1:J1661,SUMPRODUCT(MAX(ROW(E$1:E1661)*(E1662=E$1:E1661)))))</f>
        <v> </v>
      </c>
      <c r="L1662" s="26"/>
    </row>
    <row r="1663" spans="1:12">
      <c r="A1663" s="20" t="s">
        <v>1138</v>
      </c>
      <c r="E1663" s="21">
        <f>IF(D1663="?OLD","!!!","")</f>
        <v/>
      </c>
      <c r="F1663" s="22" t="str">
        <f>IF(OR(E1663="",E1663="!!!"),"",IF(NOT(ISNA(VLOOKUP(E1663,E$1:E1662,1,FALSE()))),"OLD",IF(AND(E1663&lt;&gt;"",E1663&lt;&gt;"!!!"),"NEW","")))</f>
        <v> </v>
      </c>
      <c r="G1663" s="23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4" t="str">
        <f>IF(J1663&lt;&gt;1,"",IF(I1663="SBJ","CB","?"))</f>
        <v> </v>
      </c>
      <c r="I1663" s="25" t="str">
        <f>IF(OR(E1663="",E1663="!!!",F1663="NEW"),"",INDEX(B1662:B$2,-1+SUMPRODUCT(MAX(ROW(E1662:E$2)*(E1663=E1662:E$2)))))</f>
        <v> </v>
      </c>
      <c r="J1663" s="25" t="str">
        <f>IF(OR(E1663="",E1663="!!!",F1663="NEW"),"",COUNTBLANK(OFFSET(A$1,,,SUMPRODUCT(MAX(ROW(E$2:E1663)*(E1663=E$2:E1663)))))-COUNTBLANK(OFFSET(A$1,,,SUMPRODUCT(MAX(ROW(E$1:E1662)*(E2=E$1:E1662))))))</f>
        <v> </v>
      </c>
      <c r="K1663" s="25" t="str">
        <f>IF(OR(E1663="",E1663="!!!",F1663="NEW"),"",INDEX(J$1:J1662,SUMPRODUCT(MAX(ROW(E$1:E1662)*(E1663=E$1:E1662)))))</f>
        <v> </v>
      </c>
      <c r="L1663" s="26"/>
    </row>
    <row r="1664" spans="1:12">
      <c r="A1664" s="20" t="s">
        <v>1173</v>
      </c>
      <c r="E1664" s="21">
        <f>IF(D1664="?OLD","!!!","")</f>
        <v/>
      </c>
      <c r="F1664" s="22" t="str">
        <f>IF(OR(E1664="",E1664="!!!"),"",IF(NOT(ISNA(VLOOKUP(E1664,E$1:E1663,1,FALSE()))),"OLD",IF(AND(E1664&lt;&gt;"",E1664&lt;&gt;"!!!"),"NEW","")))</f>
        <v> </v>
      </c>
      <c r="G1664" s="23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4" t="str">
        <f>IF(J1664&lt;&gt;1,"",IF(I1664="SBJ","CB","?"))</f>
        <v> </v>
      </c>
      <c r="I1664" s="25" t="str">
        <f>IF(OR(E1664="",E1664="!!!",F1664="NEW"),"",INDEX(B1663:B$2,-1+SUMPRODUCT(MAX(ROW(E1663:E$2)*(E1664=E1663:E$2)))))</f>
        <v> </v>
      </c>
      <c r="J1664" s="25" t="str">
        <f>IF(OR(E1664="",E1664="!!!",F1664="NEW"),"",COUNTBLANK(OFFSET(A$1,,,SUMPRODUCT(MAX(ROW(E$2:E1664)*(E1664=E$2:E1664)))))-COUNTBLANK(OFFSET(A$1,,,SUMPRODUCT(MAX(ROW(E$1:E1663)*(E2=E$1:E1663))))))</f>
        <v> </v>
      </c>
      <c r="K1664" s="25" t="str">
        <f>IF(OR(E1664="",E1664="!!!",F1664="NEW"),"",INDEX(J$1:J1663,SUMPRODUCT(MAX(ROW(E$1:E1663)*(E1664=E$1:E1663)))))</f>
        <v> </v>
      </c>
      <c r="L1664" s="26"/>
    </row>
    <row r="1665" spans="1:12">
      <c r="A1665" s="20" t="s">
        <v>828</v>
      </c>
      <c r="B1665" s="27" t="s">
        <v>608</v>
      </c>
      <c r="C1665" s="27" t="s">
        <v>523</v>
      </c>
      <c r="D1665" s="27" t="s">
        <v>524</v>
      </c>
      <c r="E1665" s="21">
        <f>IF(D1665="?OLD","!!!","")</f>
        <v/>
      </c>
      <c r="F1665" s="22" t="str">
        <f>IF(OR(E1665="",E1665="!!!"),"",IF(NOT(ISNA(VLOOKUP(E1665,E$1:E1664,1,FALSE()))),"OLD",IF(AND(E1665&lt;&gt;"",E1665&lt;&gt;"!!!"),"NEW","")))</f>
        <v> </v>
      </c>
      <c r="G1665" s="23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4" t="str">
        <f>IF(J1665&lt;&gt;1,"",IF(I1665="SBJ","CB","?"))</f>
        <v> </v>
      </c>
      <c r="I1665" s="25" t="str">
        <f>IF(OR(E1665="",E1665="!!!",F1665="NEW"),"",INDEX(B1664:B$2,-1+SUMPRODUCT(MAX(ROW(E1664:E$2)*(E1665=E1664:E$2)))))</f>
        <v> </v>
      </c>
      <c r="J1665" s="25" t="str">
        <f>IF(OR(E1665="",E1665="!!!",F1665="NEW"),"",COUNTBLANK(OFFSET(A$1,,,SUMPRODUCT(MAX(ROW(E$2:E1665)*(E1665=E$2:E1665)))))-COUNTBLANK(OFFSET(A$1,,,SUMPRODUCT(MAX(ROW(E$1:E1664)*(E2=E$1:E1664))))))</f>
        <v> </v>
      </c>
      <c r="K1665" s="25" t="str">
        <f>IF(OR(E1665="",E1665="!!!",F1665="NEW"),"",INDEX(J$1:J1664,SUMPRODUCT(MAX(ROW(E$1:E1664)*(E1665=E$1:E1664)))))</f>
        <v> </v>
      </c>
      <c r="L1665" s="26"/>
    </row>
    <row r="1666" spans="1:12">
      <c r="A1666" s="20" t="s">
        <v>542</v>
      </c>
      <c r="E1666" s="21">
        <f>IF(D1666="?OLD","!!!","")</f>
        <v/>
      </c>
      <c r="F1666" s="22" t="str">
        <f>IF(OR(E1666="",E1666="!!!"),"",IF(NOT(ISNA(VLOOKUP(E1666,E$1:E1665,1,FALSE()))),"OLD",IF(AND(E1666&lt;&gt;"",E1666&lt;&gt;"!!!"),"NEW","")))</f>
        <v> </v>
      </c>
      <c r="G1666" s="23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4" t="str">
        <f>IF(J1666&lt;&gt;1,"",IF(I1666="SBJ","CB","?"))</f>
        <v> </v>
      </c>
      <c r="I1666" s="25" t="str">
        <f>IF(OR(E1666="",E1666="!!!",F1666="NEW"),"",INDEX(B1665:B$2,-1+SUMPRODUCT(MAX(ROW(E1665:E$2)*(E1666=E1665:E$2)))))</f>
        <v> </v>
      </c>
      <c r="J1666" s="25" t="str">
        <f>IF(OR(E1666="",E1666="!!!",F1666="NEW"),"",COUNTBLANK(OFFSET(A$1,,,SUMPRODUCT(MAX(ROW(E$2:E1666)*(E1666=E$2:E1666)))))-COUNTBLANK(OFFSET(A$1,,,SUMPRODUCT(MAX(ROW(E$1:E1665)*(E2=E$1:E1665))))))</f>
        <v> </v>
      </c>
      <c r="K1666" s="25" t="str">
        <f>IF(OR(E1666="",E1666="!!!",F1666="NEW"),"",INDEX(J$1:J1665,SUMPRODUCT(MAX(ROW(E$1:E1665)*(E1666=E$1:E1665)))))</f>
        <v> </v>
      </c>
      <c r="L1666" s="26"/>
    </row>
    <row r="1667" spans="1:12">
      <c r="A1667" s="20" t="s">
        <v>1041</v>
      </c>
      <c r="B1667" s="27" t="s">
        <v>608</v>
      </c>
      <c r="C1667" s="27" t="s">
        <v>540</v>
      </c>
      <c r="D1667" s="27" t="s">
        <v>524</v>
      </c>
      <c r="E1667" s="21">
        <f>IF(D1667="?OLD","!!!","")</f>
        <v/>
      </c>
      <c r="F1667" s="22" t="str">
        <f>IF(OR(E1667="",E1667="!!!"),"",IF(NOT(ISNA(VLOOKUP(E1667,E$1:E1666,1,FALSE()))),"OLD",IF(AND(E1667&lt;&gt;"",E1667&lt;&gt;"!!!"),"NEW","")))</f>
        <v> </v>
      </c>
      <c r="G1667" s="23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4" t="str">
        <f>IF(J1667&lt;&gt;1,"",IF(I1667="SBJ","CB","?"))</f>
        <v> </v>
      </c>
      <c r="I1667" s="25" t="str">
        <f>IF(OR(E1667="",E1667="!!!",F1667="NEW"),"",INDEX(B1666:B$2,-1+SUMPRODUCT(MAX(ROW(E1666:E$2)*(E1667=E1666:E$2)))))</f>
        <v> </v>
      </c>
      <c r="J1667" s="25" t="str">
        <f>IF(OR(E1667="",E1667="!!!",F1667="NEW"),"",COUNTBLANK(OFFSET(A$1,,,SUMPRODUCT(MAX(ROW(E$2:E1667)*(E1667=E$2:E1667)))))-COUNTBLANK(OFFSET(A$1,,,SUMPRODUCT(MAX(ROW(E$1:E1666)*(E2=E$1:E1666))))))</f>
        <v> </v>
      </c>
      <c r="K1667" s="25" t="str">
        <f>IF(OR(E1667="",E1667="!!!",F1667="NEW"),"",INDEX(J$1:J1666,SUMPRODUCT(MAX(ROW(E$1:E1666)*(E1667=E$1:E1666)))))</f>
        <v> </v>
      </c>
      <c r="L1667" s="26"/>
    </row>
    <row r="1668" spans="1:12">
      <c r="A1668" s="20" t="s">
        <v>1174</v>
      </c>
      <c r="E1668" s="21">
        <f>IF(D1668="?OLD","!!!","")</f>
        <v/>
      </c>
      <c r="F1668" s="22" t="str">
        <f>IF(OR(E1668="",E1668="!!!"),"",IF(NOT(ISNA(VLOOKUP(E1668,E$1:E1667,1,FALSE()))),"OLD",IF(AND(E1668&lt;&gt;"",E1668&lt;&gt;"!!!"),"NEW","")))</f>
        <v> </v>
      </c>
      <c r="G1668" s="23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4" t="str">
        <f>IF(J1668&lt;&gt;1,"",IF(I1668="SBJ","CB","?"))</f>
        <v> </v>
      </c>
      <c r="I1668" s="25" t="str">
        <f>IF(OR(E1668="",E1668="!!!",F1668="NEW"),"",INDEX(B1667:B$2,-1+SUMPRODUCT(MAX(ROW(E1667:E$2)*(E1668=E1667:E$2)))))</f>
        <v> </v>
      </c>
      <c r="J1668" s="25" t="str">
        <f>IF(OR(E1668="",E1668="!!!",F1668="NEW"),"",COUNTBLANK(OFFSET(A$1,,,SUMPRODUCT(MAX(ROW(E$2:E1668)*(E1668=E$2:E1668)))))-COUNTBLANK(OFFSET(A$1,,,SUMPRODUCT(MAX(ROW(E$1:E1667)*(E2=E$1:E1667))))))</f>
        <v> </v>
      </c>
      <c r="K1668" s="25" t="str">
        <f>IF(OR(E1668="",E1668="!!!",F1668="NEW"),"",INDEX(J$1:J1667,SUMPRODUCT(MAX(ROW(E$1:E1667)*(E1668=E$1:E1667)))))</f>
        <v> </v>
      </c>
      <c r="L1668" s="26"/>
    </row>
    <row r="1669" spans="1:12">
      <c r="A1669" s="20" t="s">
        <v>625</v>
      </c>
      <c r="E1669" s="21">
        <f>IF(D1669="?OLD","!!!","")</f>
        <v/>
      </c>
      <c r="F1669" s="22" t="str">
        <f>IF(OR(E1669="",E1669="!!!"),"",IF(NOT(ISNA(VLOOKUP(E1669,E$1:E1668,1,FALSE()))),"OLD",IF(AND(E1669&lt;&gt;"",E1669&lt;&gt;"!!!"),"NEW","")))</f>
        <v> </v>
      </c>
      <c r="G1669" s="23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4" t="str">
        <f>IF(J1669&lt;&gt;1,"",IF(I1669="SBJ","CB","?"))</f>
        <v> </v>
      </c>
      <c r="I1669" s="25" t="str">
        <f>IF(OR(E1669="",E1669="!!!",F1669="NEW"),"",INDEX(B1668:B$2,-1+SUMPRODUCT(MAX(ROW(E1668:E$2)*(E1669=E1668:E$2)))))</f>
        <v> </v>
      </c>
      <c r="J1669" s="25" t="str">
        <f>IF(OR(E1669="",E1669="!!!",F1669="NEW"),"",COUNTBLANK(OFFSET(A$1,,,SUMPRODUCT(MAX(ROW(E$2:E1669)*(E1669=E$2:E1669)))))-COUNTBLANK(OFFSET(A$1,,,SUMPRODUCT(MAX(ROW(E$1:E1668)*(E2=E$1:E1668))))))</f>
        <v> </v>
      </c>
      <c r="K1669" s="25" t="str">
        <f>IF(OR(E1669="",E1669="!!!",F1669="NEW"),"",INDEX(J$1:J1668,SUMPRODUCT(MAX(ROW(E$1:E1668)*(E1669=E$1:E1668)))))</f>
        <v> </v>
      </c>
      <c r="L1669" s="26"/>
    </row>
    <row r="1670" spans="1:12">
      <c r="A1670" s="20" t="s">
        <v>1175</v>
      </c>
      <c r="E1670" s="21">
        <f>IF(D1670="?OLD","!!!","")</f>
        <v/>
      </c>
      <c r="F1670" s="22" t="str">
        <f>IF(OR(E1670="",E1670="!!!"),"",IF(NOT(ISNA(VLOOKUP(E1670,E$1:E1669,1,FALSE()))),"OLD",IF(AND(E1670&lt;&gt;"",E1670&lt;&gt;"!!!"),"NEW","")))</f>
        <v> </v>
      </c>
      <c r="G1670" s="23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4" t="str">
        <f>IF(J1670&lt;&gt;1,"",IF(I1670="SBJ","CB","?"))</f>
        <v> </v>
      </c>
      <c r="I1670" s="25" t="str">
        <f>IF(OR(E1670="",E1670="!!!",F1670="NEW"),"",INDEX(B1669:B$2,-1+SUMPRODUCT(MAX(ROW(E1669:E$2)*(E1670=E1669:E$2)))))</f>
        <v> </v>
      </c>
      <c r="J1670" s="25" t="str">
        <f>IF(OR(E1670="",E1670="!!!",F1670="NEW"),"",COUNTBLANK(OFFSET(A$1,,,SUMPRODUCT(MAX(ROW(E$2:E1670)*(E1670=E$2:E1670)))))-COUNTBLANK(OFFSET(A$1,,,SUMPRODUCT(MAX(ROW(E$1:E1669)*(E2=E$1:E1669))))))</f>
        <v> </v>
      </c>
      <c r="K1670" s="25" t="str">
        <f>IF(OR(E1670="",E1670="!!!",F1670="NEW"),"",INDEX(J$1:J1669,SUMPRODUCT(MAX(ROW(E$1:E1669)*(E1670=E$1:E1669)))))</f>
        <v> </v>
      </c>
      <c r="L1670" s="26"/>
    </row>
    <row r="1671" spans="1:12">
      <c r="A1671" s="20" t="s">
        <v>518</v>
      </c>
      <c r="E1671" s="21">
        <f>IF(D1671="?OLD","!!!","")</f>
        <v/>
      </c>
      <c r="F1671" s="22" t="str">
        <f>IF(OR(E1671="",E1671="!!!"),"",IF(NOT(ISNA(VLOOKUP(E1671,E$1:E1670,1,FALSE()))),"OLD",IF(AND(E1671&lt;&gt;"",E1671&lt;&gt;"!!!"),"NEW","")))</f>
        <v> </v>
      </c>
      <c r="G1671" s="23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4" t="str">
        <f>IF(J1671&lt;&gt;1,"",IF(I1671="SBJ","CB","?"))</f>
        <v> </v>
      </c>
      <c r="I1671" s="25" t="str">
        <f>IF(OR(E1671="",E1671="!!!",F1671="NEW"),"",INDEX(B1670:B$2,-1+SUMPRODUCT(MAX(ROW(E1670:E$2)*(E1671=E1670:E$2)))))</f>
        <v> </v>
      </c>
      <c r="J1671" s="25" t="str">
        <f>IF(OR(E1671="",E1671="!!!",F1671="NEW"),"",COUNTBLANK(OFFSET(A$1,,,SUMPRODUCT(MAX(ROW(E$2:E1671)*(E1671=E$2:E1671)))))-COUNTBLANK(OFFSET(A$1,,,SUMPRODUCT(MAX(ROW(E$1:E1670)*(E2=E$1:E1670))))))</f>
        <v> </v>
      </c>
      <c r="K1671" s="25" t="str">
        <f>IF(OR(E1671="",E1671="!!!",F1671="NEW"),"",INDEX(J$1:J1670,SUMPRODUCT(MAX(ROW(E$1:E1670)*(E1671=E$1:E1670)))))</f>
        <v> </v>
      </c>
      <c r="L1671" s="26"/>
    </row>
    <row r="1672" spans="1:12">
      <c r="A1672" s="20" t="s">
        <v>571</v>
      </c>
      <c r="E1672" s="21">
        <f>IF(D1672="?OLD","!!!","")</f>
        <v/>
      </c>
      <c r="F1672" s="22" t="str">
        <f>IF(OR(E1672="",E1672="!!!"),"",IF(NOT(ISNA(VLOOKUP(E1672,E$1:E1671,1,FALSE()))),"OLD",IF(AND(E1672&lt;&gt;"",E1672&lt;&gt;"!!!"),"NEW","")))</f>
        <v> </v>
      </c>
      <c r="G1672" s="23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4" t="str">
        <f>IF(J1672&lt;&gt;1,"",IF(I1672="SBJ","CB","?"))</f>
        <v> </v>
      </c>
      <c r="I1672" s="25" t="str">
        <f>IF(OR(E1672="",E1672="!!!",F1672="NEW"),"",INDEX(B1671:B$2,-1+SUMPRODUCT(MAX(ROW(E1671:E$2)*(E1672=E1671:E$2)))))</f>
        <v> </v>
      </c>
      <c r="J1672" s="25" t="str">
        <f>IF(OR(E1672="",E1672="!!!",F1672="NEW"),"",COUNTBLANK(OFFSET(A$1,,,SUMPRODUCT(MAX(ROW(E$2:E1672)*(E1672=E$2:E1672)))))-COUNTBLANK(OFFSET(A$1,,,SUMPRODUCT(MAX(ROW(E$1:E1671)*(E2=E$1:E1671))))))</f>
        <v> </v>
      </c>
      <c r="K1672" s="25" t="str">
        <f>IF(OR(E1672="",E1672="!!!",F1672="NEW"),"",INDEX(J$1:J1671,SUMPRODUCT(MAX(ROW(E$1:E1671)*(E1672=E$1:E1671)))))</f>
        <v> </v>
      </c>
      <c r="L1672" s="26"/>
    </row>
    <row r="1673" spans="1:12">
      <c r="A1673" s="20" t="s">
        <v>722</v>
      </c>
      <c r="B1673" s="27" t="s">
        <v>658</v>
      </c>
      <c r="C1673" s="27" t="s">
        <v>669</v>
      </c>
      <c r="D1673" s="27" t="s">
        <v>524</v>
      </c>
      <c r="E1673" s="21">
        <f>IF(D1673="?OLD","!!!","")</f>
        <v/>
      </c>
      <c r="F1673" s="22" t="str">
        <f>IF(OR(E1673="",E1673="!!!"),"",IF(NOT(ISNA(VLOOKUP(E1673,E$1:E1672,1,FALSE()))),"OLD",IF(AND(E1673&lt;&gt;"",E1673&lt;&gt;"!!!"),"NEW","")))</f>
        <v> </v>
      </c>
      <c r="G1673" s="23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4" t="str">
        <f>IF(J1673&lt;&gt;1,"",IF(I1673="SBJ","CB","?"))</f>
        <v> </v>
      </c>
      <c r="I1673" s="25" t="str">
        <f>IF(OR(E1673="",E1673="!!!",F1673="NEW"),"",INDEX(B1672:B$2,-1+SUMPRODUCT(MAX(ROW(E1672:E$2)*(E1673=E1672:E$2)))))</f>
        <v> </v>
      </c>
      <c r="J1673" s="25" t="str">
        <f>IF(OR(E1673="",E1673="!!!",F1673="NEW"),"",COUNTBLANK(OFFSET(A$1,,,SUMPRODUCT(MAX(ROW(E$2:E1673)*(E1673=E$2:E1673)))))-COUNTBLANK(OFFSET(A$1,,,SUMPRODUCT(MAX(ROW(E$1:E1672)*(E2=E$1:E1672))))))</f>
        <v> </v>
      </c>
      <c r="K1673" s="25" t="str">
        <f>IF(OR(E1673="",E1673="!!!",F1673="NEW"),"",INDEX(J$1:J1672,SUMPRODUCT(MAX(ROW(E$1:E1672)*(E1673=E$1:E1672)))))</f>
        <v> </v>
      </c>
      <c r="L1673" s="26"/>
    </row>
    <row r="1674" spans="1:12">
      <c r="A1674" s="20" t="s">
        <v>1176</v>
      </c>
      <c r="E1674" s="21">
        <f>IF(D1674="?OLD","!!!","")</f>
        <v/>
      </c>
      <c r="F1674" s="22" t="str">
        <f>IF(OR(E1674="",E1674="!!!"),"",IF(NOT(ISNA(VLOOKUP(E1674,E$1:E1673,1,FALSE()))),"OLD",IF(AND(E1674&lt;&gt;"",E1674&lt;&gt;"!!!"),"NEW","")))</f>
        <v> </v>
      </c>
      <c r="G1674" s="23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4" t="str">
        <f>IF(J1674&lt;&gt;1,"",IF(I1674="SBJ","CB","?"))</f>
        <v> </v>
      </c>
      <c r="I1674" s="25" t="str">
        <f>IF(OR(E1674="",E1674="!!!",F1674="NEW"),"",INDEX(B1673:B$2,-1+SUMPRODUCT(MAX(ROW(E1673:E$2)*(E1674=E1673:E$2)))))</f>
        <v> </v>
      </c>
      <c r="J1674" s="25" t="str">
        <f>IF(OR(E1674="",E1674="!!!",F1674="NEW"),"",COUNTBLANK(OFFSET(A$1,,,SUMPRODUCT(MAX(ROW(E$2:E1674)*(E1674=E$2:E1674)))))-COUNTBLANK(OFFSET(A$1,,,SUMPRODUCT(MAX(ROW(E$1:E1673)*(E2=E$1:E1673))))))</f>
        <v> </v>
      </c>
      <c r="K1674" s="25" t="str">
        <f>IF(OR(E1674="",E1674="!!!",F1674="NEW"),"",INDEX(J$1:J1673,SUMPRODUCT(MAX(ROW(E$1:E1673)*(E1674=E$1:E1673)))))</f>
        <v> </v>
      </c>
      <c r="L1674" s="26"/>
    </row>
    <row r="1675" spans="1:12">
      <c r="A1675" s="20" t="s">
        <v>834</v>
      </c>
      <c r="B1675" s="27" t="s">
        <v>699</v>
      </c>
      <c r="C1675" s="27" t="s">
        <v>545</v>
      </c>
      <c r="D1675" s="27" t="s">
        <v>524</v>
      </c>
      <c r="E1675" s="21">
        <f>IF(D1675="?OLD","!!!","")</f>
        <v/>
      </c>
      <c r="F1675" s="22" t="str">
        <f>IF(OR(E1675="",E1675="!!!"),"",IF(NOT(ISNA(VLOOKUP(E1675,E$1:E1674,1,FALSE()))),"OLD",IF(AND(E1675&lt;&gt;"",E1675&lt;&gt;"!!!"),"NEW","")))</f>
        <v> </v>
      </c>
      <c r="G1675" s="23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4" t="str">
        <f>IF(J1675&lt;&gt;1,"",IF(I1675="SBJ","CB","?"))</f>
        <v> </v>
      </c>
      <c r="I1675" s="25" t="str">
        <f>IF(OR(E1675="",E1675="!!!",F1675="NEW"),"",INDEX(B1674:B$2,-1+SUMPRODUCT(MAX(ROW(E1674:E$2)*(E1675=E1674:E$2)))))</f>
        <v> </v>
      </c>
      <c r="J1675" s="25" t="str">
        <f>IF(OR(E1675="",E1675="!!!",F1675="NEW"),"",COUNTBLANK(OFFSET(A$1,,,SUMPRODUCT(MAX(ROW(E$2:E1675)*(E1675=E$2:E1675)))))-COUNTBLANK(OFFSET(A$1,,,SUMPRODUCT(MAX(ROW(E$1:E1674)*(E2=E$1:E1674))))))</f>
        <v> </v>
      </c>
      <c r="K1675" s="25" t="str">
        <f>IF(OR(E1675="",E1675="!!!",F1675="NEW"),"",INDEX(J$1:J1674,SUMPRODUCT(MAX(ROW(E$1:E1674)*(E1675=E$1:E1674)))))</f>
        <v> </v>
      </c>
      <c r="L1675" s="26"/>
    </row>
    <row r="1676" spans="1:12">
      <c r="A1676" s="20" t="s">
        <v>565</v>
      </c>
      <c r="E1676" s="21">
        <f>IF(D1676="?OLD","!!!","")</f>
        <v/>
      </c>
      <c r="F1676" s="22" t="str">
        <f>IF(OR(E1676="",E1676="!!!"),"",IF(NOT(ISNA(VLOOKUP(E1676,E$1:E1675,1,FALSE()))),"OLD",IF(AND(E1676&lt;&gt;"",E1676&lt;&gt;"!!!"),"NEW","")))</f>
        <v> </v>
      </c>
      <c r="G1676" s="23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4" t="str">
        <f>IF(J1676&lt;&gt;1,"",IF(I1676="SBJ","CB","?"))</f>
        <v> </v>
      </c>
      <c r="I1676" s="25" t="str">
        <f>IF(OR(E1676="",E1676="!!!",F1676="NEW"),"",INDEX(B1675:B$2,-1+SUMPRODUCT(MAX(ROW(E1675:E$2)*(E1676=E1675:E$2)))))</f>
        <v> </v>
      </c>
      <c r="J1676" s="25" t="str">
        <f>IF(OR(E1676="",E1676="!!!",F1676="NEW"),"",COUNTBLANK(OFFSET(A$1,,,SUMPRODUCT(MAX(ROW(E$2:E1676)*(E1676=E$2:E1676)))))-COUNTBLANK(OFFSET(A$1,,,SUMPRODUCT(MAX(ROW(E$1:E1675)*(E2=E$1:E1675))))))</f>
        <v> </v>
      </c>
      <c r="K1676" s="25" t="str">
        <f>IF(OR(E1676="",E1676="!!!",F1676="NEW"),"",INDEX(J$1:J1675,SUMPRODUCT(MAX(ROW(E$1:E1675)*(E1676=E$1:E1675)))))</f>
        <v> </v>
      </c>
      <c r="L1676" s="26"/>
    </row>
    <row r="1677" spans="1:12">
      <c r="A1677" s="20" t="s">
        <v>813</v>
      </c>
      <c r="E1677" s="21">
        <f>IF(D1677="?OLD","!!!","")</f>
        <v/>
      </c>
      <c r="F1677" s="22" t="str">
        <f>IF(OR(E1677="",E1677="!!!"),"",IF(NOT(ISNA(VLOOKUP(E1677,E$1:E1676,1,FALSE()))),"OLD",IF(AND(E1677&lt;&gt;"",E1677&lt;&gt;"!!!"),"NEW","")))</f>
        <v> </v>
      </c>
      <c r="G1677" s="23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4" t="str">
        <f>IF(J1677&lt;&gt;1,"",IF(I1677="SBJ","CB","?"))</f>
        <v> </v>
      </c>
      <c r="I1677" s="25" t="str">
        <f>IF(OR(E1677="",E1677="!!!",F1677="NEW"),"",INDEX(B1676:B$2,-1+SUMPRODUCT(MAX(ROW(E1676:E$2)*(E1677=E1676:E$2)))))</f>
        <v> </v>
      </c>
      <c r="J1677" s="25" t="str">
        <f>IF(OR(E1677="",E1677="!!!",F1677="NEW"),"",COUNTBLANK(OFFSET(A$1,,,SUMPRODUCT(MAX(ROW(E$2:E1677)*(E1677=E$2:E1677)))))-COUNTBLANK(OFFSET(A$1,,,SUMPRODUCT(MAX(ROW(E$1:E1676)*(E2=E$1:E1676))))))</f>
        <v> </v>
      </c>
      <c r="K1677" s="25" t="str">
        <f>IF(OR(E1677="",E1677="!!!",F1677="NEW"),"",INDEX(J$1:J1676,SUMPRODUCT(MAX(ROW(E$1:E1676)*(E1677=E$1:E1676)))))</f>
        <v> </v>
      </c>
      <c r="L1677" s="26"/>
    </row>
    <row r="1678" spans="1:12">
      <c r="A1678" s="20" t="s">
        <v>565</v>
      </c>
      <c r="E1678" s="21">
        <f>IF(D1678="?OLD","!!!","")</f>
        <v/>
      </c>
      <c r="F1678" s="22" t="str">
        <f>IF(OR(E1678="",E1678="!!!"),"",IF(NOT(ISNA(VLOOKUP(E1678,E$1:E1677,1,FALSE()))),"OLD",IF(AND(E1678&lt;&gt;"",E1678&lt;&gt;"!!!"),"NEW","")))</f>
        <v> </v>
      </c>
      <c r="G1678" s="23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4" t="str">
        <f>IF(J1678&lt;&gt;1,"",IF(I1678="SBJ","CB","?"))</f>
        <v> </v>
      </c>
      <c r="I1678" s="25" t="str">
        <f>IF(OR(E1678="",E1678="!!!",F1678="NEW"),"",INDEX(B1677:B$2,-1+SUMPRODUCT(MAX(ROW(E1677:E$2)*(E1678=E1677:E$2)))))</f>
        <v> </v>
      </c>
      <c r="J1678" s="25" t="str">
        <f>IF(OR(E1678="",E1678="!!!",F1678="NEW"),"",COUNTBLANK(OFFSET(A$1,,,SUMPRODUCT(MAX(ROW(E$2:E1678)*(E1678=E$2:E1678)))))-COUNTBLANK(OFFSET(A$1,,,SUMPRODUCT(MAX(ROW(E$1:E1677)*(E2=E$1:E1677))))))</f>
        <v> </v>
      </c>
      <c r="K1678" s="25" t="str">
        <f>IF(OR(E1678="",E1678="!!!",F1678="NEW"),"",INDEX(J$1:J1677,SUMPRODUCT(MAX(ROW(E$1:E1677)*(E1678=E$1:E1677)))))</f>
        <v> </v>
      </c>
      <c r="L1678" s="26"/>
    </row>
    <row r="1679" spans="1:12">
      <c r="A1679" s="20" t="s">
        <v>577</v>
      </c>
      <c r="E1679" s="21">
        <f>IF(D1679="?OLD","!!!","")</f>
        <v/>
      </c>
      <c r="F1679" s="22" t="str">
        <f>IF(OR(E1679="",E1679="!!!"),"",IF(NOT(ISNA(VLOOKUP(E1679,E$1:E1678,1,FALSE()))),"OLD",IF(AND(E1679&lt;&gt;"",E1679&lt;&gt;"!!!"),"NEW","")))</f>
        <v> </v>
      </c>
      <c r="G1679" s="23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4" t="str">
        <f>IF(J1679&lt;&gt;1,"",IF(I1679="SBJ","CB","?"))</f>
        <v> </v>
      </c>
      <c r="I1679" s="25" t="str">
        <f>IF(OR(E1679="",E1679="!!!",F1679="NEW"),"",INDEX(B1678:B$2,-1+SUMPRODUCT(MAX(ROW(E1678:E$2)*(E1679=E1678:E$2)))))</f>
        <v> </v>
      </c>
      <c r="J1679" s="25" t="str">
        <f>IF(OR(E1679="",E1679="!!!",F1679="NEW"),"",COUNTBLANK(OFFSET(A$1,,,SUMPRODUCT(MAX(ROW(E$2:E1679)*(E1679=E$2:E1679)))))-COUNTBLANK(OFFSET(A$1,,,SUMPRODUCT(MAX(ROW(E$1:E1678)*(E2=E$1:E1678))))))</f>
        <v> </v>
      </c>
      <c r="K1679" s="25" t="str">
        <f>IF(OR(E1679="",E1679="!!!",F1679="NEW"),"",INDEX(J$1:J1678,SUMPRODUCT(MAX(ROW(E$1:E1678)*(E1679=E$1:E1678)))))</f>
        <v> </v>
      </c>
      <c r="L1679" s="26"/>
    </row>
    <row r="1680" spans="1:12">
      <c r="A1680" s="20" t="s">
        <v>542</v>
      </c>
      <c r="E1680" s="21">
        <f>IF(D1680="?OLD","!!!","")</f>
        <v/>
      </c>
      <c r="F1680" s="22" t="str">
        <f>IF(OR(E1680="",E1680="!!!"),"",IF(NOT(ISNA(VLOOKUP(E1680,E$1:E1679,1,FALSE()))),"OLD",IF(AND(E1680&lt;&gt;"",E1680&lt;&gt;"!!!"),"NEW","")))</f>
        <v> </v>
      </c>
      <c r="G1680" s="23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4" t="str">
        <f>IF(J1680&lt;&gt;1,"",IF(I1680="SBJ","CB","?"))</f>
        <v> </v>
      </c>
      <c r="I1680" s="25" t="str">
        <f>IF(OR(E1680="",E1680="!!!",F1680="NEW"),"",INDEX(B1679:B$2,-1+SUMPRODUCT(MAX(ROW(E1679:E$2)*(E1680=E1679:E$2)))))</f>
        <v> </v>
      </c>
      <c r="J1680" s="25" t="str">
        <f>IF(OR(E1680="",E1680="!!!",F1680="NEW"),"",COUNTBLANK(OFFSET(A$1,,,SUMPRODUCT(MAX(ROW(E$2:E1680)*(E1680=E$2:E1680)))))-COUNTBLANK(OFFSET(A$1,,,SUMPRODUCT(MAX(ROW(E$1:E1679)*(E2=E$1:E1679))))))</f>
        <v> </v>
      </c>
      <c r="K1680" s="25" t="str">
        <f>IF(OR(E1680="",E1680="!!!",F1680="NEW"),"",INDEX(J$1:J1679,SUMPRODUCT(MAX(ROW(E$1:E1679)*(E1680=E$1:E1679)))))</f>
        <v> </v>
      </c>
      <c r="L1680" s="26"/>
    </row>
    <row r="1681" spans="1:12">
      <c r="A1681" s="20" t="s">
        <v>725</v>
      </c>
      <c r="B1681" s="27" t="s">
        <v>658</v>
      </c>
      <c r="C1681" s="27" t="s">
        <v>545</v>
      </c>
      <c r="D1681" s="27" t="s">
        <v>524</v>
      </c>
      <c r="E1681" s="21">
        <f>IF(D1681="?OLD","!!!","")</f>
        <v/>
      </c>
      <c r="F1681" s="22" t="str">
        <f>IF(OR(E1681="",E1681="!!!"),"",IF(NOT(ISNA(VLOOKUP(E1681,E$1:E1680,1,FALSE()))),"OLD",IF(AND(E1681&lt;&gt;"",E1681&lt;&gt;"!!!"),"NEW","")))</f>
        <v> </v>
      </c>
      <c r="G1681" s="23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4" t="str">
        <f>IF(J1681&lt;&gt;1,"",IF(I1681="SBJ","CB","?"))</f>
        <v> </v>
      </c>
      <c r="I1681" s="25" t="str">
        <f>IF(OR(E1681="",E1681="!!!",F1681="NEW"),"",INDEX(B1680:B$2,-1+SUMPRODUCT(MAX(ROW(E1680:E$2)*(E1681=E1680:E$2)))))</f>
        <v> </v>
      </c>
      <c r="J1681" s="25" t="str">
        <f>IF(OR(E1681="",E1681="!!!",F1681="NEW"),"",COUNTBLANK(OFFSET(A$1,,,SUMPRODUCT(MAX(ROW(E$2:E1681)*(E1681=E$2:E1681)))))-COUNTBLANK(OFFSET(A$1,,,SUMPRODUCT(MAX(ROW(E$1:E1680)*(E2=E$1:E1680))))))</f>
        <v> </v>
      </c>
      <c r="K1681" s="25" t="str">
        <f>IF(OR(E1681="",E1681="!!!",F1681="NEW"),"",INDEX(J$1:J1680,SUMPRODUCT(MAX(ROW(E$1:E1680)*(E1681=E$1:E1680)))))</f>
        <v> </v>
      </c>
      <c r="L1681" s="26"/>
    </row>
    <row r="1682" spans="1:12">
      <c r="A1682" s="20" t="s">
        <v>565</v>
      </c>
      <c r="E1682" s="21">
        <f>IF(D1682="?OLD","!!!","")</f>
        <v/>
      </c>
      <c r="F1682" s="22" t="str">
        <f>IF(OR(E1682="",E1682="!!!"),"",IF(NOT(ISNA(VLOOKUP(E1682,E$1:E1681,1,FALSE()))),"OLD",IF(AND(E1682&lt;&gt;"",E1682&lt;&gt;"!!!"),"NEW","")))</f>
        <v> </v>
      </c>
      <c r="G1682" s="23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4" t="str">
        <f>IF(J1682&lt;&gt;1,"",IF(I1682="SBJ","CB","?"))</f>
        <v> </v>
      </c>
      <c r="I1682" s="25" t="str">
        <f>IF(OR(E1682="",E1682="!!!",F1682="NEW"),"",INDEX(B1681:B$2,-1+SUMPRODUCT(MAX(ROW(E1681:E$2)*(E1682=E1681:E$2)))))</f>
        <v> </v>
      </c>
      <c r="J1682" s="25" t="str">
        <f>IF(OR(E1682="",E1682="!!!",F1682="NEW"),"",COUNTBLANK(OFFSET(A$1,,,SUMPRODUCT(MAX(ROW(E$2:E1682)*(E1682=E$2:E1682)))))-COUNTBLANK(OFFSET(A$1,,,SUMPRODUCT(MAX(ROW(E$1:E1681)*(E2=E$1:E1681))))))</f>
        <v> </v>
      </c>
      <c r="K1682" s="25" t="str">
        <f>IF(OR(E1682="",E1682="!!!",F1682="NEW"),"",INDEX(J$1:J1681,SUMPRODUCT(MAX(ROW(E$1:E1681)*(E1682=E$1:E1681)))))</f>
        <v> </v>
      </c>
      <c r="L1682" s="26"/>
    </row>
    <row r="1683" spans="1:12">
      <c r="A1683" s="20" t="s">
        <v>538</v>
      </c>
      <c r="E1683" s="21">
        <f>IF(D1683="?OLD","!!!","")</f>
        <v/>
      </c>
      <c r="F1683" s="22" t="str">
        <f>IF(OR(E1683="",E1683="!!!"),"",IF(NOT(ISNA(VLOOKUP(E1683,E$1:E1682,1,FALSE()))),"OLD",IF(AND(E1683&lt;&gt;"",E1683&lt;&gt;"!!!"),"NEW","")))</f>
        <v> </v>
      </c>
      <c r="G1683" s="23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4" t="str">
        <f>IF(J1683&lt;&gt;1,"",IF(I1683="SBJ","CB","?"))</f>
        <v> </v>
      </c>
      <c r="I1683" s="25" t="str">
        <f>IF(OR(E1683="",E1683="!!!",F1683="NEW"),"",INDEX(B1682:B$2,-1+SUMPRODUCT(MAX(ROW(E1682:E$2)*(E1683=E1682:E$2)))))</f>
        <v> </v>
      </c>
      <c r="J1683" s="25" t="str">
        <f>IF(OR(E1683="",E1683="!!!",F1683="NEW"),"",COUNTBLANK(OFFSET(A$1,,,SUMPRODUCT(MAX(ROW(E$2:E1683)*(E1683=E$2:E1683)))))-COUNTBLANK(OFFSET(A$1,,,SUMPRODUCT(MAX(ROW(E$1:E1682)*(E2=E$1:E1682))))))</f>
        <v> </v>
      </c>
      <c r="K1683" s="25" t="str">
        <f>IF(OR(E1683="",E1683="!!!",F1683="NEW"),"",INDEX(J$1:J1682,SUMPRODUCT(MAX(ROW(E$1:E1682)*(E1683=E$1:E1682)))))</f>
        <v> </v>
      </c>
      <c r="L1683" s="26"/>
    </row>
    <row r="1684" spans="1:12">
      <c r="A1684" s="20" t="s">
        <v>1176</v>
      </c>
      <c r="B1684" s="27" t="s">
        <v>658</v>
      </c>
      <c r="C1684" s="27" t="s">
        <v>540</v>
      </c>
      <c r="D1684" s="27" t="s">
        <v>524</v>
      </c>
      <c r="E1684" s="21">
        <f>IF(D1684="?OLD","!!!","")</f>
        <v/>
      </c>
      <c r="F1684" s="22" t="str">
        <f>IF(OR(E1684="",E1684="!!!"),"",IF(NOT(ISNA(VLOOKUP(E1684,E$1:E1683,1,FALSE()))),"OLD",IF(AND(E1684&lt;&gt;"",E1684&lt;&gt;"!!!"),"NEW","")))</f>
        <v> </v>
      </c>
      <c r="G1684" s="23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4" t="str">
        <f>IF(J1684&lt;&gt;1,"",IF(I1684="SBJ","CB","?"))</f>
        <v> </v>
      </c>
      <c r="I1684" s="25" t="str">
        <f>IF(OR(E1684="",E1684="!!!",F1684="NEW"),"",INDEX(B1683:B$2,-1+SUMPRODUCT(MAX(ROW(E1683:E$2)*(E1684=E1683:E$2)))))</f>
        <v> </v>
      </c>
      <c r="J1684" s="25" t="str">
        <f>IF(OR(E1684="",E1684="!!!",F1684="NEW"),"",COUNTBLANK(OFFSET(A$1,,,SUMPRODUCT(MAX(ROW(E$2:E1684)*(E1684=E$2:E1684)))))-COUNTBLANK(OFFSET(A$1,,,SUMPRODUCT(MAX(ROW(E$1:E1683)*(E2=E$1:E1683))))))</f>
        <v> </v>
      </c>
      <c r="K1684" s="25" t="str">
        <f>IF(OR(E1684="",E1684="!!!",F1684="NEW"),"",INDEX(J$1:J1683,SUMPRODUCT(MAX(ROW(E$1:E1683)*(E1684=E$1:E1683)))))</f>
        <v> </v>
      </c>
      <c r="L1684" s="26"/>
    </row>
    <row r="1685" spans="1:12">
      <c r="A1685" s="20" t="s">
        <v>518</v>
      </c>
      <c r="E1685" s="21">
        <f>IF(D1685="?OLD","!!!","")</f>
        <v/>
      </c>
      <c r="F1685" s="22" t="str">
        <f>IF(OR(E1685="",E1685="!!!"),"",IF(NOT(ISNA(VLOOKUP(E1685,E$1:E1684,1,FALSE()))),"OLD",IF(AND(E1685&lt;&gt;"",E1685&lt;&gt;"!!!"),"NEW","")))</f>
        <v> </v>
      </c>
      <c r="G1685" s="23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4" t="str">
        <f>IF(J1685&lt;&gt;1,"",IF(I1685="SBJ","CB","?"))</f>
        <v> </v>
      </c>
      <c r="I1685" s="25" t="str">
        <f>IF(OR(E1685="",E1685="!!!",F1685="NEW"),"",INDEX(B1684:B$2,-1+SUMPRODUCT(MAX(ROW(E1684:E$2)*(E1685=E1684:E$2)))))</f>
        <v> </v>
      </c>
      <c r="J1685" s="25" t="str">
        <f>IF(OR(E1685="",E1685="!!!",F1685="NEW"),"",COUNTBLANK(OFFSET(A$1,,,SUMPRODUCT(MAX(ROW(E$2:E1685)*(E1685=E$2:E1685)))))-COUNTBLANK(OFFSET(A$1,,,SUMPRODUCT(MAX(ROW(E$1:E1684)*(E2=E$1:E1684))))))</f>
        <v> </v>
      </c>
      <c r="K1685" s="25" t="str">
        <f>IF(OR(E1685="",E1685="!!!",F1685="NEW"),"",INDEX(J$1:J1684,SUMPRODUCT(MAX(ROW(E$1:E1684)*(E1685=E$1:E1684)))))</f>
        <v> </v>
      </c>
      <c r="L1685" s="26"/>
    </row>
    <row r="1686" spans="1:12">
      <c r="A1686" s="20" t="s">
        <v>542</v>
      </c>
      <c r="E1686" s="21">
        <f>IF(D1686="?OLD","!!!","")</f>
        <v/>
      </c>
      <c r="F1686" s="22" t="str">
        <f>IF(OR(E1686="",E1686="!!!"),"",IF(NOT(ISNA(VLOOKUP(E1686,E$1:E1685,1,FALSE()))),"OLD",IF(AND(E1686&lt;&gt;"",E1686&lt;&gt;"!!!"),"NEW","")))</f>
        <v> </v>
      </c>
      <c r="G1686" s="23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4" t="str">
        <f>IF(J1686&lt;&gt;1,"",IF(I1686="SBJ","CB","?"))</f>
        <v> </v>
      </c>
      <c r="I1686" s="25" t="str">
        <f>IF(OR(E1686="",E1686="!!!",F1686="NEW"),"",INDEX(B1685:B$2,-1+SUMPRODUCT(MAX(ROW(E1685:E$2)*(E1686=E1685:E$2)))))</f>
        <v> </v>
      </c>
      <c r="J1686" s="25" t="str">
        <f>IF(OR(E1686="",E1686="!!!",F1686="NEW"),"",COUNTBLANK(OFFSET(A$1,,,SUMPRODUCT(MAX(ROW(E$2:E1686)*(E1686=E$2:E1686)))))-COUNTBLANK(OFFSET(A$1,,,SUMPRODUCT(MAX(ROW(E$1:E1685)*(E2=E$1:E1685))))))</f>
        <v> </v>
      </c>
      <c r="K1686" s="25" t="str">
        <f>IF(OR(E1686="",E1686="!!!",F1686="NEW"),"",INDEX(J$1:J1685,SUMPRODUCT(MAX(ROW(E$1:E1685)*(E1686=E$1:E1685)))))</f>
        <v> </v>
      </c>
      <c r="L1686" s="26"/>
    </row>
    <row r="1687" spans="1:12">
      <c r="A1687" s="20" t="s">
        <v>1177</v>
      </c>
      <c r="E1687" s="21">
        <f>IF(D1687="?OLD","!!!","")</f>
        <v/>
      </c>
      <c r="F1687" s="22" t="str">
        <f>IF(OR(E1687="",E1687="!!!"),"",IF(NOT(ISNA(VLOOKUP(E1687,E$1:E1686,1,FALSE()))),"OLD",IF(AND(E1687&lt;&gt;"",E1687&lt;&gt;"!!!"),"NEW","")))</f>
        <v> </v>
      </c>
      <c r="G1687" s="23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4" t="str">
        <f>IF(J1687&lt;&gt;1,"",IF(I1687="SBJ","CB","?"))</f>
        <v> </v>
      </c>
      <c r="I1687" s="25" t="str">
        <f>IF(OR(E1687="",E1687="!!!",F1687="NEW"),"",INDEX(B1686:B$2,-1+SUMPRODUCT(MAX(ROW(E1686:E$2)*(E1687=E1686:E$2)))))</f>
        <v> </v>
      </c>
      <c r="J1687" s="25" t="str">
        <f>IF(OR(E1687="",E1687="!!!",F1687="NEW"),"",COUNTBLANK(OFFSET(A$1,,,SUMPRODUCT(MAX(ROW(E$2:E1687)*(E1687=E$2:E1687)))))-COUNTBLANK(OFFSET(A$1,,,SUMPRODUCT(MAX(ROW(E$1:E1686)*(E2=E$1:E1686))))))</f>
        <v> </v>
      </c>
      <c r="K1687" s="25" t="str">
        <f>IF(OR(E1687="",E1687="!!!",F1687="NEW"),"",INDEX(J$1:J1686,SUMPRODUCT(MAX(ROW(E$1:E1686)*(E1687=E$1:E1686)))))</f>
        <v> </v>
      </c>
      <c r="L1687" s="26"/>
    </row>
    <row r="1688" spans="1:12">
      <c r="A1688" s="20" t="s">
        <v>1178</v>
      </c>
      <c r="B1688" s="27" t="s">
        <v>618</v>
      </c>
      <c r="C1688" s="27" t="s">
        <v>540</v>
      </c>
      <c r="D1688" s="27" t="s">
        <v>524</v>
      </c>
      <c r="E1688" s="21">
        <f>IF(D1688="?OLD","!!!","")</f>
        <v/>
      </c>
      <c r="F1688" s="22" t="str">
        <f>IF(OR(E1688="",E1688="!!!"),"",IF(NOT(ISNA(VLOOKUP(E1688,E$1:E1687,1,FALSE()))),"OLD",IF(AND(E1688&lt;&gt;"",E1688&lt;&gt;"!!!"),"NEW","")))</f>
        <v> </v>
      </c>
      <c r="G1688" s="23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4" t="str">
        <f>IF(J1688&lt;&gt;1,"",IF(I1688="SBJ","CB","?"))</f>
        <v> </v>
      </c>
      <c r="I1688" s="25" t="str">
        <f>IF(OR(E1688="",E1688="!!!",F1688="NEW"),"",INDEX(B1687:B$2,-1+SUMPRODUCT(MAX(ROW(E1687:E$2)*(E1688=E1687:E$2)))))</f>
        <v> </v>
      </c>
      <c r="J1688" s="25" t="str">
        <f>IF(OR(E1688="",E1688="!!!",F1688="NEW"),"",COUNTBLANK(OFFSET(A$1,,,SUMPRODUCT(MAX(ROW(E$2:E1688)*(E1688=E$2:E1688)))))-COUNTBLANK(OFFSET(A$1,,,SUMPRODUCT(MAX(ROW(E$1:E1687)*(E2=E$1:E1687))))))</f>
        <v> </v>
      </c>
      <c r="K1688" s="25" t="str">
        <f>IF(OR(E1688="",E1688="!!!",F1688="NEW"),"",INDEX(J$1:J1687,SUMPRODUCT(MAX(ROW(E$1:E1687)*(E1688=E$1:E1687)))))</f>
        <v> </v>
      </c>
      <c r="L1688" s="26"/>
    </row>
    <row r="1689" spans="1:12">
      <c r="A1689" s="20" t="s">
        <v>518</v>
      </c>
      <c r="E1689" s="21">
        <f>IF(D1689="?OLD","!!!","")</f>
        <v/>
      </c>
      <c r="F1689" s="22" t="str">
        <f>IF(OR(E1689="",E1689="!!!"),"",IF(NOT(ISNA(VLOOKUP(E1689,E$1:E1688,1,FALSE()))),"OLD",IF(AND(E1689&lt;&gt;"",E1689&lt;&gt;"!!!"),"NEW","")))</f>
        <v> </v>
      </c>
      <c r="G1689" s="23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4" t="str">
        <f>IF(J1689&lt;&gt;1,"",IF(I1689="SBJ","CB","?"))</f>
        <v> </v>
      </c>
      <c r="I1689" s="25" t="str">
        <f>IF(OR(E1689="",E1689="!!!",F1689="NEW"),"",INDEX(B1688:B$2,-1+SUMPRODUCT(MAX(ROW(E1688:E$2)*(E1689=E1688:E$2)))))</f>
        <v> </v>
      </c>
      <c r="J1689" s="25" t="str">
        <f>IF(OR(E1689="",E1689="!!!",F1689="NEW"),"",COUNTBLANK(OFFSET(A$1,,,SUMPRODUCT(MAX(ROW(E$2:E1689)*(E1689=E$2:E1689)))))-COUNTBLANK(OFFSET(A$1,,,SUMPRODUCT(MAX(ROW(E$1:E1688)*(E2=E$1:E1688))))))</f>
        <v> </v>
      </c>
      <c r="K1689" s="25" t="str">
        <f>IF(OR(E1689="",E1689="!!!",F1689="NEW"),"",INDEX(J$1:J1688,SUMPRODUCT(MAX(ROW(E$1:E1688)*(E1689=E$1:E1688)))))</f>
        <v> </v>
      </c>
      <c r="L1689" s="26"/>
    </row>
    <row r="1690" spans="1:12">
      <c r="A1690" s="20" t="s">
        <v>542</v>
      </c>
      <c r="E1690" s="21">
        <f>IF(D1690="?OLD","!!!","")</f>
        <v/>
      </c>
      <c r="F1690" s="22" t="str">
        <f>IF(OR(E1690="",E1690="!!!"),"",IF(NOT(ISNA(VLOOKUP(E1690,E$1:E1689,1,FALSE()))),"OLD",IF(AND(E1690&lt;&gt;"",E1690&lt;&gt;"!!!"),"NEW","")))</f>
        <v> </v>
      </c>
      <c r="G1690" s="23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4" t="str">
        <f>IF(J1690&lt;&gt;1,"",IF(I1690="SBJ","CB","?"))</f>
        <v> </v>
      </c>
      <c r="I1690" s="25" t="str">
        <f>IF(OR(E1690="",E1690="!!!",F1690="NEW"),"",INDEX(B1689:B$2,-1+SUMPRODUCT(MAX(ROW(E1689:E$2)*(E1690=E1689:E$2)))))</f>
        <v> </v>
      </c>
      <c r="J1690" s="25" t="str">
        <f>IF(OR(E1690="",E1690="!!!",F1690="NEW"),"",COUNTBLANK(OFFSET(A$1,,,SUMPRODUCT(MAX(ROW(E$2:E1690)*(E1690=E$2:E1690)))))-COUNTBLANK(OFFSET(A$1,,,SUMPRODUCT(MAX(ROW(E$1:E1689)*(E2=E$1:E1689))))))</f>
        <v> </v>
      </c>
      <c r="K1690" s="25" t="str">
        <f>IF(OR(E1690="",E1690="!!!",F1690="NEW"),"",INDEX(J$1:J1689,SUMPRODUCT(MAX(ROW(E$1:E1689)*(E1690=E$1:E1689)))))</f>
        <v> </v>
      </c>
      <c r="L1690" s="26"/>
    </row>
    <row r="1691" spans="1:12">
      <c r="A1691" s="20" t="s">
        <v>968</v>
      </c>
      <c r="B1691" s="27" t="s">
        <v>723</v>
      </c>
      <c r="C1691" s="27" t="s">
        <v>669</v>
      </c>
      <c r="D1691" s="27" t="s">
        <v>524</v>
      </c>
      <c r="E1691" s="21">
        <f>IF(D1691="?OLD","!!!","")</f>
        <v/>
      </c>
      <c r="F1691" s="22" t="str">
        <f>IF(OR(E1691="",E1691="!!!"),"",IF(NOT(ISNA(VLOOKUP(E1691,E$1:E1690,1,FALSE()))),"OLD",IF(AND(E1691&lt;&gt;"",E1691&lt;&gt;"!!!"),"NEW","")))</f>
        <v> </v>
      </c>
      <c r="G1691" s="23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4" t="str">
        <f>IF(J1691&lt;&gt;1,"",IF(I1691="SBJ","CB","?"))</f>
        <v> </v>
      </c>
      <c r="I1691" s="25" t="str">
        <f>IF(OR(E1691="",E1691="!!!",F1691="NEW"),"",INDEX(B1690:B$2,-1+SUMPRODUCT(MAX(ROW(E1690:E$2)*(E1691=E1690:E$2)))))</f>
        <v> </v>
      </c>
      <c r="J1691" s="25" t="str">
        <f>IF(OR(E1691="",E1691="!!!",F1691="NEW"),"",COUNTBLANK(OFFSET(A$1,,,SUMPRODUCT(MAX(ROW(E$2:E1691)*(E1691=E$2:E1691)))))-COUNTBLANK(OFFSET(A$1,,,SUMPRODUCT(MAX(ROW(E$1:E1690)*(E2=E$1:E1690))))))</f>
        <v> </v>
      </c>
      <c r="K1691" s="25" t="str">
        <f>IF(OR(E1691="",E1691="!!!",F1691="NEW"),"",INDEX(J$1:J1690,SUMPRODUCT(MAX(ROW(E$1:E1690)*(E1691=E$1:E1690)))))</f>
        <v> </v>
      </c>
      <c r="L1691" s="26"/>
    </row>
    <row r="1692" spans="1:12">
      <c r="A1692" s="20" t="s">
        <v>578</v>
      </c>
      <c r="B1692" s="27" t="s">
        <v>943</v>
      </c>
      <c r="C1692" s="27" t="s">
        <v>545</v>
      </c>
      <c r="D1692" s="27" t="s">
        <v>524</v>
      </c>
      <c r="E1692" s="21">
        <f>IF(D1692="?OLD","!!!","")</f>
        <v/>
      </c>
      <c r="F1692" s="22" t="str">
        <f>IF(OR(E1692="",E1692="!!!"),"",IF(NOT(ISNA(VLOOKUP(E1692,E$1:E1691,1,FALSE()))),"OLD",IF(AND(E1692&lt;&gt;"",E1692&lt;&gt;"!!!"),"NEW","")))</f>
        <v> </v>
      </c>
      <c r="G1692" s="23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4" t="str">
        <f>IF(J1692&lt;&gt;1,"",IF(I1692="SBJ","CB","?"))</f>
        <v> </v>
      </c>
      <c r="I1692" s="25" t="str">
        <f>IF(OR(E1692="",E1692="!!!",F1692="NEW"),"",INDEX(B1691:B$2,-1+SUMPRODUCT(MAX(ROW(E1691:E$2)*(E1692=E1691:E$2)))))</f>
        <v> </v>
      </c>
      <c r="J1692" s="25" t="str">
        <f>IF(OR(E1692="",E1692="!!!",F1692="NEW"),"",COUNTBLANK(OFFSET(A$1,,,SUMPRODUCT(MAX(ROW(E$2:E1692)*(E1692=E$2:E1692)))))-COUNTBLANK(OFFSET(A$1,,,SUMPRODUCT(MAX(ROW(E$1:E1691)*(E2=E$1:E1691))))))</f>
        <v> </v>
      </c>
      <c r="K1692" s="25" t="str">
        <f>IF(OR(E1692="",E1692="!!!",F1692="NEW"),"",INDEX(J$1:J1691,SUMPRODUCT(MAX(ROW(E$1:E1691)*(E1692=E$1:E1691)))))</f>
        <v> </v>
      </c>
      <c r="L1692" s="26"/>
    </row>
    <row r="1693" spans="1:12">
      <c r="A1693" s="20" t="s">
        <v>565</v>
      </c>
      <c r="E1693" s="21">
        <f>IF(D1693="?OLD","!!!","")</f>
        <v/>
      </c>
      <c r="F1693" s="22" t="str">
        <f>IF(OR(E1693="",E1693="!!!"),"",IF(NOT(ISNA(VLOOKUP(E1693,E$1:E1692,1,FALSE()))),"OLD",IF(AND(E1693&lt;&gt;"",E1693&lt;&gt;"!!!"),"NEW","")))</f>
        <v> </v>
      </c>
      <c r="G1693" s="23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4" t="str">
        <f>IF(J1693&lt;&gt;1,"",IF(I1693="SBJ","CB","?"))</f>
        <v> </v>
      </c>
      <c r="I1693" s="25" t="str">
        <f>IF(OR(E1693="",E1693="!!!",F1693="NEW"),"",INDEX(B1692:B$2,-1+SUMPRODUCT(MAX(ROW(E1692:E$2)*(E1693=E1692:E$2)))))</f>
        <v> </v>
      </c>
      <c r="J1693" s="25" t="str">
        <f>IF(OR(E1693="",E1693="!!!",F1693="NEW"),"",COUNTBLANK(OFFSET(A$1,,,SUMPRODUCT(MAX(ROW(E$2:E1693)*(E1693=E$2:E1693)))))-COUNTBLANK(OFFSET(A$1,,,SUMPRODUCT(MAX(ROW(E$1:E1692)*(E2=E$1:E1692))))))</f>
        <v> </v>
      </c>
      <c r="K1693" s="25" t="str">
        <f>IF(OR(E1693="",E1693="!!!",F1693="NEW"),"",INDEX(J$1:J1692,SUMPRODUCT(MAX(ROW(E$1:E1692)*(E1693=E$1:E1692)))))</f>
        <v> </v>
      </c>
      <c r="L1693" s="26"/>
    </row>
    <row r="1694" spans="1:12">
      <c r="A1694" s="20" t="s">
        <v>1179</v>
      </c>
      <c r="E1694" s="21">
        <f>IF(D1694="?OLD","!!!","")</f>
        <v/>
      </c>
      <c r="F1694" s="22" t="str">
        <f>IF(OR(E1694="",E1694="!!!"),"",IF(NOT(ISNA(VLOOKUP(E1694,E$1:E1693,1,FALSE()))),"OLD",IF(AND(E1694&lt;&gt;"",E1694&lt;&gt;"!!!"),"NEW","")))</f>
        <v> </v>
      </c>
      <c r="G1694" s="23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4" t="str">
        <f>IF(J1694&lt;&gt;1,"",IF(I1694="SBJ","CB","?"))</f>
        <v> </v>
      </c>
      <c r="I1694" s="25" t="str">
        <f>IF(OR(E1694="",E1694="!!!",F1694="NEW"),"",INDEX(B1693:B$2,-1+SUMPRODUCT(MAX(ROW(E1693:E$2)*(E1694=E1693:E$2)))))</f>
        <v> </v>
      </c>
      <c r="J1694" s="25" t="str">
        <f>IF(OR(E1694="",E1694="!!!",F1694="NEW"),"",COUNTBLANK(OFFSET(A$1,,,SUMPRODUCT(MAX(ROW(E$2:E1694)*(E1694=E$2:E1694)))))-COUNTBLANK(OFFSET(A$1,,,SUMPRODUCT(MAX(ROW(E$1:E1693)*(E2=E$1:E1693))))))</f>
        <v> </v>
      </c>
      <c r="K1694" s="25" t="str">
        <f>IF(OR(E1694="",E1694="!!!",F1694="NEW"),"",INDEX(J$1:J1693,SUMPRODUCT(MAX(ROW(E$1:E1693)*(E1694=E$1:E1693)))))</f>
        <v> </v>
      </c>
      <c r="L1694" s="26"/>
    </row>
    <row r="1695" spans="1:12">
      <c r="A1695" s="20" t="s">
        <v>528</v>
      </c>
      <c r="E1695" s="21">
        <f>IF(D1695="?OLD","!!!","")</f>
        <v/>
      </c>
      <c r="F1695" s="22" t="str">
        <f>IF(OR(E1695="",E1695="!!!"),"",IF(NOT(ISNA(VLOOKUP(E1695,E$1:E1694,1,FALSE()))),"OLD",IF(AND(E1695&lt;&gt;"",E1695&lt;&gt;"!!!"),"NEW","")))</f>
        <v> </v>
      </c>
      <c r="G1695" s="23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4" t="str">
        <f>IF(J1695&lt;&gt;1,"",IF(I1695="SBJ","CB","?"))</f>
        <v> </v>
      </c>
      <c r="I1695" s="25" t="str">
        <f>IF(OR(E1695="",E1695="!!!",F1695="NEW"),"",INDEX(B1694:B$2,-1+SUMPRODUCT(MAX(ROW(E1694:E$2)*(E1695=E1694:E$2)))))</f>
        <v> </v>
      </c>
      <c r="J1695" s="25" t="str">
        <f>IF(OR(E1695="",E1695="!!!",F1695="NEW"),"",COUNTBLANK(OFFSET(A$1,,,SUMPRODUCT(MAX(ROW(E$2:E1695)*(E1695=E$2:E1695)))))-COUNTBLANK(OFFSET(A$1,,,SUMPRODUCT(MAX(ROW(E$1:E1694)*(E2=E$1:E1694))))))</f>
        <v> </v>
      </c>
      <c r="K1695" s="25" t="str">
        <f>IF(OR(E1695="",E1695="!!!",F1695="NEW"),"",INDEX(J$1:J1694,SUMPRODUCT(MAX(ROW(E$1:E1694)*(E1695=E$1:E1694)))))</f>
        <v> </v>
      </c>
      <c r="L1695" s="26"/>
    </row>
    <row r="1696" spans="1:12">
      <c r="A1696" s="20" t="s">
        <v>68</v>
      </c>
      <c r="E1696" s="21">
        <f>IF(D1696="?OLD","!!!","")</f>
        <v/>
      </c>
      <c r="F1696" s="22" t="str">
        <f>IF(OR(E1696="",E1696="!!!"),"",IF(NOT(ISNA(VLOOKUP(E1696,E$1:E1695,1,FALSE()))),"OLD",IF(AND(E1696&lt;&gt;"",E1696&lt;&gt;"!!!"),"NEW","")))</f>
        <v> </v>
      </c>
      <c r="G1696" s="23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4" t="str">
        <f>IF(J1696&lt;&gt;1,"",IF(I1696="SBJ","CB","?"))</f>
        <v> </v>
      </c>
      <c r="I1696" s="25" t="str">
        <f>IF(OR(E1696="",E1696="!!!",F1696="NEW"),"",INDEX(B1695:B$2,-1+SUMPRODUCT(MAX(ROW(E1695:E$2)*(E1696=E1695:E$2)))))</f>
        <v> </v>
      </c>
      <c r="J1696" s="25" t="str">
        <f>IF(OR(E1696="",E1696="!!!",F1696="NEW"),"",COUNTBLANK(OFFSET(A$1,,,SUMPRODUCT(MAX(ROW(E$2:E1696)*(E1696=E$2:E1696)))))-COUNTBLANK(OFFSET(A$1,,,SUMPRODUCT(MAX(ROW(E$1:E1695)*(E2=E$1:E1695))))))</f>
        <v> </v>
      </c>
      <c r="K1696" s="25" t="str">
        <f>IF(OR(E1696="",E1696="!!!",F1696="NEW"),"",INDEX(J$1:J1695,SUMPRODUCT(MAX(ROW(E$1:E1695)*(E1696=E$1:E1695)))))</f>
        <v> </v>
      </c>
      <c r="L1696" s="26"/>
    </row>
    <row r="1697" spans="1:12">
      <c r="A1697" s="20" t="s">
        <v>542</v>
      </c>
      <c r="E1697" s="21">
        <f>IF(D1697="?OLD","!!!","")</f>
        <v/>
      </c>
      <c r="F1697" s="22" t="str">
        <f>IF(OR(E1697="",E1697="!!!"),"",IF(NOT(ISNA(VLOOKUP(E1697,E$1:E1696,1,FALSE()))),"OLD",IF(AND(E1697&lt;&gt;"",E1697&lt;&gt;"!!!"),"NEW","")))</f>
        <v> </v>
      </c>
      <c r="G1697" s="23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4" t="str">
        <f>IF(J1697&lt;&gt;1,"",IF(I1697="SBJ","CB","?"))</f>
        <v> </v>
      </c>
      <c r="I1697" s="25" t="str">
        <f>IF(OR(E1697="",E1697="!!!",F1697="NEW"),"",INDEX(B1696:B$2,-1+SUMPRODUCT(MAX(ROW(E1696:E$2)*(E1697=E1696:E$2)))))</f>
        <v> </v>
      </c>
      <c r="J1697" s="25" t="str">
        <f>IF(OR(E1697="",E1697="!!!",F1697="NEW"),"",COUNTBLANK(OFFSET(A$1,,,SUMPRODUCT(MAX(ROW(E$2:E1697)*(E1697=E$2:E1697)))))-COUNTBLANK(OFFSET(A$1,,,SUMPRODUCT(MAX(ROW(E$1:E1696)*(E2=E$1:E1696))))))</f>
        <v> </v>
      </c>
      <c r="K1697" s="25" t="str">
        <f>IF(OR(E1697="",E1697="!!!",F1697="NEW"),"",INDEX(J$1:J1696,SUMPRODUCT(MAX(ROW(E$1:E1696)*(E1697=E$1:E1696)))))</f>
        <v> </v>
      </c>
      <c r="L1697" s="26"/>
    </row>
    <row r="1698" spans="1:12">
      <c r="A1698" s="20" t="s">
        <v>1180</v>
      </c>
      <c r="B1698" s="27" t="s">
        <v>940</v>
      </c>
      <c r="C1698" s="27" t="s">
        <v>545</v>
      </c>
      <c r="D1698" s="27" t="s">
        <v>524</v>
      </c>
      <c r="E1698" s="21">
        <f>IF(D1698="?OLD","!!!","")</f>
        <v/>
      </c>
      <c r="F1698" s="22" t="str">
        <f>IF(OR(E1698="",E1698="!!!"),"",IF(NOT(ISNA(VLOOKUP(E1698,E$1:E1697,1,FALSE()))),"OLD",IF(AND(E1698&lt;&gt;"",E1698&lt;&gt;"!!!"),"NEW","")))</f>
        <v> </v>
      </c>
      <c r="G1698" s="23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4" t="str">
        <f>IF(J1698&lt;&gt;1,"",IF(I1698="SBJ","CB","?"))</f>
        <v> </v>
      </c>
      <c r="I1698" s="25" t="str">
        <f>IF(OR(E1698="",E1698="!!!",F1698="NEW"),"",INDEX(B1697:B$2,-1+SUMPRODUCT(MAX(ROW(E1697:E$2)*(E1698=E1697:E$2)))))</f>
        <v> </v>
      </c>
      <c r="J1698" s="25" t="str">
        <f>IF(OR(E1698="",E1698="!!!",F1698="NEW"),"",COUNTBLANK(OFFSET(A$1,,,SUMPRODUCT(MAX(ROW(E$2:E1698)*(E1698=E$2:E1698)))))-COUNTBLANK(OFFSET(A$1,,,SUMPRODUCT(MAX(ROW(E$1:E1697)*(E2=E$1:E1697))))))</f>
        <v> </v>
      </c>
      <c r="K1698" s="25" t="str">
        <f>IF(OR(E1698="",E1698="!!!",F1698="NEW"),"",INDEX(J$1:J1697,SUMPRODUCT(MAX(ROW(E$1:E1697)*(E1698=E$1:E1697)))))</f>
        <v> </v>
      </c>
      <c r="L1698" s="26"/>
    </row>
    <row r="1699" spans="1:12">
      <c r="A1699" s="20" t="s">
        <v>518</v>
      </c>
      <c r="E1699" s="21">
        <f>IF(D1699="?OLD","!!!","")</f>
        <v/>
      </c>
      <c r="F1699" s="22" t="str">
        <f>IF(OR(E1699="",E1699="!!!"),"",IF(NOT(ISNA(VLOOKUP(E1699,E$1:E1698,1,FALSE()))),"OLD",IF(AND(E1699&lt;&gt;"",E1699&lt;&gt;"!!!"),"NEW","")))</f>
        <v> </v>
      </c>
      <c r="G1699" s="23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4" t="str">
        <f>IF(J1699&lt;&gt;1,"",IF(I1699="SBJ","CB","?"))</f>
        <v> </v>
      </c>
      <c r="I1699" s="25" t="str">
        <f>IF(OR(E1699="",E1699="!!!",F1699="NEW"),"",INDEX(B1698:B$2,-1+SUMPRODUCT(MAX(ROW(E1698:E$2)*(E1699=E1698:E$2)))))</f>
        <v> </v>
      </c>
      <c r="J1699" s="25" t="str">
        <f>IF(OR(E1699="",E1699="!!!",F1699="NEW"),"",COUNTBLANK(OFFSET(A$1,,,SUMPRODUCT(MAX(ROW(E$2:E1699)*(E1699=E$2:E1699)))))-COUNTBLANK(OFFSET(A$1,,,SUMPRODUCT(MAX(ROW(E$1:E1698)*(E2=E$1:E1698))))))</f>
        <v> </v>
      </c>
      <c r="K1699" s="25" t="str">
        <f>IF(OR(E1699="",E1699="!!!",F1699="NEW"),"",INDEX(J$1:J1698,SUMPRODUCT(MAX(ROW(E$1:E1698)*(E1699=E$1:E1698)))))</f>
        <v> </v>
      </c>
      <c r="L1699" s="26"/>
    </row>
    <row r="1700" spans="1:12">
      <c r="A1700" s="20" t="s">
        <v>708</v>
      </c>
      <c r="E1700" s="21">
        <f>IF(D1700="?OLD","!!!","")</f>
        <v/>
      </c>
      <c r="F1700" s="22" t="str">
        <f>IF(OR(E1700="",E1700="!!!"),"",IF(NOT(ISNA(VLOOKUP(E1700,E$1:E1699,1,FALSE()))),"OLD",IF(AND(E1700&lt;&gt;"",E1700&lt;&gt;"!!!"),"NEW","")))</f>
        <v> </v>
      </c>
      <c r="G1700" s="23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4" t="str">
        <f>IF(J1700&lt;&gt;1,"",IF(I1700="SBJ","CB","?"))</f>
        <v> </v>
      </c>
      <c r="I1700" s="25" t="str">
        <f>IF(OR(E1700="",E1700="!!!",F1700="NEW"),"",INDEX(B1699:B$2,-1+SUMPRODUCT(MAX(ROW(E1699:E$2)*(E1700=E1699:E$2)))))</f>
        <v> </v>
      </c>
      <c r="J1700" s="25" t="str">
        <f>IF(OR(E1700="",E1700="!!!",F1700="NEW"),"",COUNTBLANK(OFFSET(A$1,,,SUMPRODUCT(MAX(ROW(E$2:E1700)*(E1700=E$2:E1700)))))-COUNTBLANK(OFFSET(A$1,,,SUMPRODUCT(MAX(ROW(E$1:E1699)*(E2=E$1:E1699))))))</f>
        <v> </v>
      </c>
      <c r="K1700" s="25" t="str">
        <f>IF(OR(E1700="",E1700="!!!",F1700="NEW"),"",INDEX(J$1:J1699,SUMPRODUCT(MAX(ROW(E$1:E1699)*(E1700=E$1:E1699)))))</f>
        <v> </v>
      </c>
      <c r="L1700" s="26"/>
    </row>
    <row r="1701" spans="1:12">
      <c r="A1701" s="20" t="s">
        <v>1181</v>
      </c>
      <c r="E1701" s="21">
        <f>IF(D1701="?OLD","!!!","")</f>
        <v/>
      </c>
      <c r="F1701" s="22" t="str">
        <f>IF(OR(E1701="",E1701="!!!"),"",IF(NOT(ISNA(VLOOKUP(E1701,E$1:E1700,1,FALSE()))),"OLD",IF(AND(E1701&lt;&gt;"",E1701&lt;&gt;"!!!"),"NEW","")))</f>
        <v> </v>
      </c>
      <c r="G1701" s="23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4" t="str">
        <f>IF(J1701&lt;&gt;1,"",IF(I1701="SBJ","CB","?"))</f>
        <v> </v>
      </c>
      <c r="I1701" s="25" t="str">
        <f>IF(OR(E1701="",E1701="!!!",F1701="NEW"),"",INDEX(B1700:B$2,-1+SUMPRODUCT(MAX(ROW(E1700:E$2)*(E1701=E1700:E$2)))))</f>
        <v> </v>
      </c>
      <c r="J1701" s="25" t="str">
        <f>IF(OR(E1701="",E1701="!!!",F1701="NEW"),"",COUNTBLANK(OFFSET(A$1,,,SUMPRODUCT(MAX(ROW(E$2:E1701)*(E1701=E$2:E1701)))))-COUNTBLANK(OFFSET(A$1,,,SUMPRODUCT(MAX(ROW(E$1:E1700)*(E2=E$1:E1700))))))</f>
        <v> </v>
      </c>
      <c r="K1701" s="25" t="str">
        <f>IF(OR(E1701="",E1701="!!!",F1701="NEW"),"",INDEX(J$1:J1700,SUMPRODUCT(MAX(ROW(E$1:E1700)*(E1701=E$1:E1700)))))</f>
        <v> </v>
      </c>
      <c r="L1701" s="26"/>
    </row>
    <row r="1702" spans="1:12">
      <c r="A1702" s="20" t="s">
        <v>577</v>
      </c>
      <c r="E1702" s="21">
        <f>IF(D1702="?OLD","!!!","")</f>
        <v/>
      </c>
      <c r="F1702" s="22" t="str">
        <f>IF(OR(E1702="",E1702="!!!"),"",IF(NOT(ISNA(VLOOKUP(E1702,E$1:E1701,1,FALSE()))),"OLD",IF(AND(E1702&lt;&gt;"",E1702&lt;&gt;"!!!"),"NEW","")))</f>
        <v> </v>
      </c>
      <c r="G1702" s="23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4" t="str">
        <f>IF(J1702&lt;&gt;1,"",IF(I1702="SBJ","CB","?"))</f>
        <v> </v>
      </c>
      <c r="I1702" s="25" t="str">
        <f>IF(OR(E1702="",E1702="!!!",F1702="NEW"),"",INDEX(B1701:B$2,-1+SUMPRODUCT(MAX(ROW(E1701:E$2)*(E1702=E1701:E$2)))))</f>
        <v> </v>
      </c>
      <c r="J1702" s="25" t="str">
        <f>IF(OR(E1702="",E1702="!!!",F1702="NEW"),"",COUNTBLANK(OFFSET(A$1,,,SUMPRODUCT(MAX(ROW(E$2:E1702)*(E1702=E$2:E1702)))))-COUNTBLANK(OFFSET(A$1,,,SUMPRODUCT(MAX(ROW(E$1:E1701)*(E2=E$1:E1701))))))</f>
        <v> </v>
      </c>
      <c r="K1702" s="25" t="str">
        <f>IF(OR(E1702="",E1702="!!!",F1702="NEW"),"",INDEX(J$1:J1701,SUMPRODUCT(MAX(ROW(E$1:E1701)*(E1702=E$1:E1701)))))</f>
        <v> </v>
      </c>
      <c r="L1702" s="26"/>
    </row>
    <row r="1703" spans="1:12">
      <c r="A1703" s="20" t="s">
        <v>542</v>
      </c>
      <c r="E1703" s="21">
        <f>IF(D1703="?OLD","!!!","")</f>
        <v/>
      </c>
      <c r="F1703" s="22" t="str">
        <f>IF(OR(E1703="",E1703="!!!"),"",IF(NOT(ISNA(VLOOKUP(E1703,E$1:E1702,1,FALSE()))),"OLD",IF(AND(E1703&lt;&gt;"",E1703&lt;&gt;"!!!"),"NEW","")))</f>
        <v> </v>
      </c>
      <c r="G1703" s="23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4" t="str">
        <f>IF(J1703&lt;&gt;1,"",IF(I1703="SBJ","CB","?"))</f>
        <v> </v>
      </c>
      <c r="I1703" s="25" t="str">
        <f>IF(OR(E1703="",E1703="!!!",F1703="NEW"),"",INDEX(B1702:B$2,-1+SUMPRODUCT(MAX(ROW(E1702:E$2)*(E1703=E1702:E$2)))))</f>
        <v> </v>
      </c>
      <c r="J1703" s="25" t="str">
        <f>IF(OR(E1703="",E1703="!!!",F1703="NEW"),"",COUNTBLANK(OFFSET(A$1,,,SUMPRODUCT(MAX(ROW(E$2:E1703)*(E1703=E$2:E1703)))))-COUNTBLANK(OFFSET(A$1,,,SUMPRODUCT(MAX(ROW(E$1:E1702)*(E2=E$1:E1702))))))</f>
        <v> </v>
      </c>
      <c r="K1703" s="25" t="str">
        <f>IF(OR(E1703="",E1703="!!!",F1703="NEW"),"",INDEX(J$1:J1702,SUMPRODUCT(MAX(ROW(E$1:E1702)*(E1703=E$1:E1702)))))</f>
        <v> </v>
      </c>
      <c r="L1703" s="26"/>
    </row>
    <row r="1704" spans="1:12">
      <c r="A1704" s="20" t="s">
        <v>1182</v>
      </c>
      <c r="B1704" s="27" t="s">
        <v>723</v>
      </c>
      <c r="C1704" s="27" t="s">
        <v>545</v>
      </c>
      <c r="D1704" s="27" t="s">
        <v>524</v>
      </c>
      <c r="E1704" s="21">
        <f>IF(D1704="?OLD","!!!","")</f>
        <v/>
      </c>
      <c r="F1704" s="22" t="str">
        <f>IF(OR(E1704="",E1704="!!!"),"",IF(NOT(ISNA(VLOOKUP(E1704,E$1:E1703,1,FALSE()))),"OLD",IF(AND(E1704&lt;&gt;"",E1704&lt;&gt;"!!!"),"NEW","")))</f>
        <v> </v>
      </c>
      <c r="G1704" s="23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4" t="str">
        <f>IF(J1704&lt;&gt;1,"",IF(I1704="SBJ","CB","?"))</f>
        <v> </v>
      </c>
      <c r="I1704" s="25" t="str">
        <f>IF(OR(E1704="",E1704="!!!",F1704="NEW"),"",INDEX(B1703:B$2,-1+SUMPRODUCT(MAX(ROW(E1703:E$2)*(E1704=E1703:E$2)))))</f>
        <v> </v>
      </c>
      <c r="J1704" s="25" t="str">
        <f>IF(OR(E1704="",E1704="!!!",F1704="NEW"),"",COUNTBLANK(OFFSET(A$1,,,SUMPRODUCT(MAX(ROW(E$2:E1704)*(E1704=E$2:E1704)))))-COUNTBLANK(OFFSET(A$1,,,SUMPRODUCT(MAX(ROW(E$1:E1703)*(E2=E$1:E1703))))))</f>
        <v> </v>
      </c>
      <c r="K1704" s="25" t="str">
        <f>IF(OR(E1704="",E1704="!!!",F1704="NEW"),"",INDEX(J$1:J1703,SUMPRODUCT(MAX(ROW(E$1:E1703)*(E1704=E$1:E1703)))))</f>
        <v> </v>
      </c>
      <c r="L1704" s="26"/>
    </row>
    <row r="1705" spans="1:12">
      <c r="A1705" s="20" t="s">
        <v>571</v>
      </c>
      <c r="E1705" s="21">
        <f>IF(D1705="?OLD","!!!","")</f>
        <v/>
      </c>
      <c r="F1705" s="22" t="str">
        <f>IF(OR(E1705="",E1705="!!!"),"",IF(NOT(ISNA(VLOOKUP(E1705,E$1:E1704,1,FALSE()))),"OLD",IF(AND(E1705&lt;&gt;"",E1705&lt;&gt;"!!!"),"NEW","")))</f>
        <v> </v>
      </c>
      <c r="G1705" s="23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4" t="str">
        <f>IF(J1705&lt;&gt;1,"",IF(I1705="SBJ","CB","?"))</f>
        <v> </v>
      </c>
      <c r="I1705" s="25" t="str">
        <f>IF(OR(E1705="",E1705="!!!",F1705="NEW"),"",INDEX(B1704:B$2,-1+SUMPRODUCT(MAX(ROW(E1704:E$2)*(E1705=E1704:E$2)))))</f>
        <v> </v>
      </c>
      <c r="J1705" s="25" t="str">
        <f>IF(OR(E1705="",E1705="!!!",F1705="NEW"),"",COUNTBLANK(OFFSET(A$1,,,SUMPRODUCT(MAX(ROW(E$2:E1705)*(E1705=E$2:E1705)))))-COUNTBLANK(OFFSET(A$1,,,SUMPRODUCT(MAX(ROW(E$1:E1704)*(E2=E$1:E1704))))))</f>
        <v> </v>
      </c>
      <c r="K1705" s="25" t="str">
        <f>IF(OR(E1705="",E1705="!!!",F1705="NEW"),"",INDEX(J$1:J1704,SUMPRODUCT(MAX(ROW(E$1:E1704)*(E1705=E$1:E1704)))))</f>
        <v> </v>
      </c>
      <c r="L1705" s="26"/>
    </row>
    <row r="1706" spans="1:12">
      <c r="A1706" s="20" t="s">
        <v>1183</v>
      </c>
      <c r="E1706" s="21">
        <f>IF(D1706="?OLD","!!!","")</f>
        <v/>
      </c>
      <c r="F1706" s="22" t="str">
        <f>IF(OR(E1706="",E1706="!!!"),"",IF(NOT(ISNA(VLOOKUP(E1706,E$1:E1705,1,FALSE()))),"OLD",IF(AND(E1706&lt;&gt;"",E1706&lt;&gt;"!!!"),"NEW","")))</f>
        <v> </v>
      </c>
      <c r="G1706" s="23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4" t="str">
        <f>IF(J1706&lt;&gt;1,"",IF(I1706="SBJ","CB","?"))</f>
        <v> </v>
      </c>
      <c r="I1706" s="25" t="str">
        <f>IF(OR(E1706="",E1706="!!!",F1706="NEW"),"",INDEX(B1705:B$2,-1+SUMPRODUCT(MAX(ROW(E1705:E$2)*(E1706=E1705:E$2)))))</f>
        <v> </v>
      </c>
      <c r="J1706" s="25" t="str">
        <f>IF(OR(E1706="",E1706="!!!",F1706="NEW"),"",COUNTBLANK(OFFSET(A$1,,,SUMPRODUCT(MAX(ROW(E$2:E1706)*(E1706=E$2:E1706)))))-COUNTBLANK(OFFSET(A$1,,,SUMPRODUCT(MAX(ROW(E$1:E1705)*(E2=E$1:E1705))))))</f>
        <v> </v>
      </c>
      <c r="K1706" s="25" t="str">
        <f>IF(OR(E1706="",E1706="!!!",F1706="NEW"),"",INDEX(J$1:J1705,SUMPRODUCT(MAX(ROW(E$1:E1705)*(E1706=E$1:E1705)))))</f>
        <v> </v>
      </c>
      <c r="L1706" s="26"/>
    </row>
    <row r="1707" spans="1:12">
      <c r="A1707" s="20" t="s">
        <v>1184</v>
      </c>
      <c r="B1707" s="27" t="s">
        <v>1185</v>
      </c>
      <c r="C1707" s="27" t="s">
        <v>545</v>
      </c>
      <c r="D1707" s="27" t="s">
        <v>524</v>
      </c>
      <c r="E1707" s="21">
        <f>IF(D1707="?OLD","!!!","")</f>
        <v/>
      </c>
      <c r="F1707" s="22" t="str">
        <f>IF(OR(E1707="",E1707="!!!"),"",IF(NOT(ISNA(VLOOKUP(E1707,E$1:E1706,1,FALSE()))),"OLD",IF(AND(E1707&lt;&gt;"",E1707&lt;&gt;"!!!"),"NEW","")))</f>
        <v> </v>
      </c>
      <c r="G1707" s="23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4" t="str">
        <f>IF(J1707&lt;&gt;1,"",IF(I1707="SBJ","CB","?"))</f>
        <v> </v>
      </c>
      <c r="I1707" s="25" t="str">
        <f>IF(OR(E1707="",E1707="!!!",F1707="NEW"),"",INDEX(B1706:B$2,-1+SUMPRODUCT(MAX(ROW(E1706:E$2)*(E1707=E1706:E$2)))))</f>
        <v> </v>
      </c>
      <c r="J1707" s="25" t="str">
        <f>IF(OR(E1707="",E1707="!!!",F1707="NEW"),"",COUNTBLANK(OFFSET(A$1,,,SUMPRODUCT(MAX(ROW(E$2:E1707)*(E1707=E$2:E1707)))))-COUNTBLANK(OFFSET(A$1,,,SUMPRODUCT(MAX(ROW(E$1:E1706)*(E2=E$1:E1706))))))</f>
        <v> </v>
      </c>
      <c r="K1707" s="25" t="str">
        <f>IF(OR(E1707="",E1707="!!!",F1707="NEW"),"",INDEX(J$1:J1706,SUMPRODUCT(MAX(ROW(E$1:E1706)*(E1707=E$1:E1706)))))</f>
        <v> </v>
      </c>
      <c r="L1707" s="26"/>
    </row>
    <row r="1708" spans="1:12">
      <c r="A1708" s="20" t="s">
        <v>528</v>
      </c>
      <c r="E1708" s="21">
        <f>IF(D1708="?OLD","!!!","")</f>
        <v/>
      </c>
      <c r="F1708" s="22" t="str">
        <f>IF(OR(E1708="",E1708="!!!"),"",IF(NOT(ISNA(VLOOKUP(E1708,E$1:E1707,1,FALSE()))),"OLD",IF(AND(E1708&lt;&gt;"",E1708&lt;&gt;"!!!"),"NEW","")))</f>
        <v> </v>
      </c>
      <c r="G1708" s="23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4" t="str">
        <f>IF(J1708&lt;&gt;1,"",IF(I1708="SBJ","CB","?"))</f>
        <v> </v>
      </c>
      <c r="I1708" s="25" t="str">
        <f>IF(OR(E1708="",E1708="!!!",F1708="NEW"),"",INDEX(B1707:B$2,-1+SUMPRODUCT(MAX(ROW(E1707:E$2)*(E1708=E1707:E$2)))))</f>
        <v> </v>
      </c>
      <c r="J1708" s="25" t="str">
        <f>IF(OR(E1708="",E1708="!!!",F1708="NEW"),"",COUNTBLANK(OFFSET(A$1,,,SUMPRODUCT(MAX(ROW(E$2:E1708)*(E1708=E$2:E1708)))))-COUNTBLANK(OFFSET(A$1,,,SUMPRODUCT(MAX(ROW(E$1:E1707)*(E2=E$1:E1707))))))</f>
        <v> </v>
      </c>
      <c r="K1708" s="25" t="str">
        <f>IF(OR(E1708="",E1708="!!!",F1708="NEW"),"",INDEX(J$1:J1707,SUMPRODUCT(MAX(ROW(E$1:E1707)*(E1708=E$1:E1707)))))</f>
        <v> </v>
      </c>
      <c r="L1708" s="26"/>
    </row>
    <row r="1709" spans="1:12">
      <c r="A1709" s="20" t="s">
        <v>1186</v>
      </c>
      <c r="E1709" s="21">
        <f>IF(D1709="?OLD","!!!","")</f>
        <v/>
      </c>
      <c r="F1709" s="22" t="str">
        <f>IF(OR(E1709="",E1709="!!!"),"",IF(NOT(ISNA(VLOOKUP(E1709,E$1:E1708,1,FALSE()))),"OLD",IF(AND(E1709&lt;&gt;"",E1709&lt;&gt;"!!!"),"NEW","")))</f>
        <v> </v>
      </c>
      <c r="G1709" s="23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4" t="str">
        <f>IF(J1709&lt;&gt;1,"",IF(I1709="SBJ","CB","?"))</f>
        <v> </v>
      </c>
      <c r="I1709" s="25" t="str">
        <f>IF(OR(E1709="",E1709="!!!",F1709="NEW"),"",INDEX(B1708:B$2,-1+SUMPRODUCT(MAX(ROW(E1708:E$2)*(E1709=E1708:E$2)))))</f>
        <v> </v>
      </c>
      <c r="J1709" s="25" t="str">
        <f>IF(OR(E1709="",E1709="!!!",F1709="NEW"),"",COUNTBLANK(OFFSET(A$1,,,SUMPRODUCT(MAX(ROW(E$2:E1709)*(E1709=E$2:E1709)))))-COUNTBLANK(OFFSET(A$1,,,SUMPRODUCT(MAX(ROW(E$1:E1708)*(E2=E$1:E1708))))))</f>
        <v> </v>
      </c>
      <c r="K1709" s="25" t="str">
        <f>IF(OR(E1709="",E1709="!!!",F1709="NEW"),"",INDEX(J$1:J1708,SUMPRODUCT(MAX(ROW(E$1:E1708)*(E1709=E$1:E1708)))))</f>
        <v> </v>
      </c>
      <c r="L1709" s="26"/>
    </row>
    <row r="1710" spans="1:12">
      <c r="A1710" s="20" t="s">
        <v>811</v>
      </c>
      <c r="E1710" s="21">
        <f>IF(D1710="?OLD","!!!","")</f>
        <v/>
      </c>
      <c r="F1710" s="22" t="str">
        <f>IF(OR(E1710="",E1710="!!!"),"",IF(NOT(ISNA(VLOOKUP(E1710,E$1:E1709,1,FALSE()))),"OLD",IF(AND(E1710&lt;&gt;"",E1710&lt;&gt;"!!!"),"NEW","")))</f>
        <v> </v>
      </c>
      <c r="G1710" s="23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4" t="str">
        <f>IF(J1710&lt;&gt;1,"",IF(I1710="SBJ","CB","?"))</f>
        <v> </v>
      </c>
      <c r="I1710" s="25" t="str">
        <f>IF(OR(E1710="",E1710="!!!",F1710="NEW"),"",INDEX(B1709:B$2,-1+SUMPRODUCT(MAX(ROW(E1709:E$2)*(E1710=E1709:E$2)))))</f>
        <v> </v>
      </c>
      <c r="J1710" s="25" t="str">
        <f>IF(OR(E1710="",E1710="!!!",F1710="NEW"),"",COUNTBLANK(OFFSET(A$1,,,SUMPRODUCT(MAX(ROW(E$2:E1710)*(E1710=E$2:E1710)))))-COUNTBLANK(OFFSET(A$1,,,SUMPRODUCT(MAX(ROW(E$1:E1709)*(E2=E$1:E1709))))))</f>
        <v> </v>
      </c>
      <c r="K1710" s="25" t="str">
        <f>IF(OR(E1710="",E1710="!!!",F1710="NEW"),"",INDEX(J$1:J1709,SUMPRODUCT(MAX(ROW(E$1:E1709)*(E1710=E$1:E1709)))))</f>
        <v> </v>
      </c>
      <c r="L1710" s="26"/>
    </row>
    <row r="1711" spans="1:12">
      <c r="A1711" s="20" t="s">
        <v>542</v>
      </c>
      <c r="E1711" s="21">
        <f>IF(D1711="?OLD","!!!","")</f>
        <v/>
      </c>
      <c r="F1711" s="22" t="str">
        <f>IF(OR(E1711="",E1711="!!!"),"",IF(NOT(ISNA(VLOOKUP(E1711,E$1:E1710,1,FALSE()))),"OLD",IF(AND(E1711&lt;&gt;"",E1711&lt;&gt;"!!!"),"NEW","")))</f>
        <v> </v>
      </c>
      <c r="G1711" s="23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4" t="str">
        <f>IF(J1711&lt;&gt;1,"",IF(I1711="SBJ","CB","?"))</f>
        <v> </v>
      </c>
      <c r="I1711" s="25" t="str">
        <f>IF(OR(E1711="",E1711="!!!",F1711="NEW"),"",INDEX(B1710:B$2,-1+SUMPRODUCT(MAX(ROW(E1710:E$2)*(E1711=E1710:E$2)))))</f>
        <v> </v>
      </c>
      <c r="J1711" s="25" t="str">
        <f>IF(OR(E1711="",E1711="!!!",F1711="NEW"),"",COUNTBLANK(OFFSET(A$1,,,SUMPRODUCT(MAX(ROW(E$2:E1711)*(E1711=E$2:E1711)))))-COUNTBLANK(OFFSET(A$1,,,SUMPRODUCT(MAX(ROW(E$1:E1710)*(E2=E$1:E1710))))))</f>
        <v> </v>
      </c>
      <c r="K1711" s="25" t="str">
        <f>IF(OR(E1711="",E1711="!!!",F1711="NEW"),"",INDEX(J$1:J1710,SUMPRODUCT(MAX(ROW(E$1:E1710)*(E1711=E$1:E1710)))))</f>
        <v> </v>
      </c>
      <c r="L1711" s="26"/>
    </row>
    <row r="1712" spans="1:12">
      <c r="A1712" s="20" t="s">
        <v>718</v>
      </c>
      <c r="B1712" s="27" t="s">
        <v>951</v>
      </c>
      <c r="C1712" s="27" t="s">
        <v>545</v>
      </c>
      <c r="D1712" s="27" t="s">
        <v>524</v>
      </c>
      <c r="E1712" s="21">
        <f>IF(D1712="?OLD","!!!","")</f>
        <v/>
      </c>
      <c r="F1712" s="22" t="str">
        <f>IF(OR(E1712="",E1712="!!!"),"",IF(NOT(ISNA(VLOOKUP(E1712,E$1:E1711,1,FALSE()))),"OLD",IF(AND(E1712&lt;&gt;"",E1712&lt;&gt;"!!!"),"NEW","")))</f>
        <v> </v>
      </c>
      <c r="G1712" s="23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4" t="str">
        <f>IF(J1712&lt;&gt;1,"",IF(I1712="SBJ","CB","?"))</f>
        <v> </v>
      </c>
      <c r="I1712" s="25" t="str">
        <f>IF(OR(E1712="",E1712="!!!",F1712="NEW"),"",INDEX(B1711:B$2,-1+SUMPRODUCT(MAX(ROW(E1711:E$2)*(E1712=E1711:E$2)))))</f>
        <v> </v>
      </c>
      <c r="J1712" s="25" t="str">
        <f>IF(OR(E1712="",E1712="!!!",F1712="NEW"),"",COUNTBLANK(OFFSET(A$1,,,SUMPRODUCT(MAX(ROW(E$2:E1712)*(E1712=E$2:E1712)))))-COUNTBLANK(OFFSET(A$1,,,SUMPRODUCT(MAX(ROW(E$1:E1711)*(E2=E$1:E1711))))))</f>
        <v> </v>
      </c>
      <c r="K1712" s="25" t="str">
        <f>IF(OR(E1712="",E1712="!!!",F1712="NEW"),"",INDEX(J$1:J1711,SUMPRODUCT(MAX(ROW(E$1:E1711)*(E1712=E$1:E1711)))))</f>
        <v> </v>
      </c>
      <c r="L1712" s="26"/>
    </row>
    <row r="1713" spans="1:12">
      <c r="A1713" s="20" t="s">
        <v>582</v>
      </c>
      <c r="E1713" s="21">
        <f>IF(D1713="?OLD","!!!","")</f>
        <v/>
      </c>
      <c r="F1713" s="22" t="str">
        <f>IF(OR(E1713="",E1713="!!!"),"",IF(NOT(ISNA(VLOOKUP(E1713,E$1:E1712,1,FALSE()))),"OLD",IF(AND(E1713&lt;&gt;"",E1713&lt;&gt;"!!!"),"NEW","")))</f>
        <v> </v>
      </c>
      <c r="G1713" s="23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4" t="str">
        <f>IF(J1713&lt;&gt;1,"",IF(I1713="SBJ","CB","?"))</f>
        <v> </v>
      </c>
      <c r="I1713" s="25" t="str">
        <f>IF(OR(E1713="",E1713="!!!",F1713="NEW"),"",INDEX(B1712:B$2,-1+SUMPRODUCT(MAX(ROW(E1712:E$2)*(E1713=E1712:E$2)))))</f>
        <v> </v>
      </c>
      <c r="J1713" s="25" t="str">
        <f>IF(OR(E1713="",E1713="!!!",F1713="NEW"),"",COUNTBLANK(OFFSET(A$1,,,SUMPRODUCT(MAX(ROW(E$2:E1713)*(E1713=E$2:E1713)))))-COUNTBLANK(OFFSET(A$1,,,SUMPRODUCT(MAX(ROW(E$1:E1712)*(E2=E$1:E1712))))))</f>
        <v> </v>
      </c>
      <c r="K1713" s="25" t="str">
        <f>IF(OR(E1713="",E1713="!!!",F1713="NEW"),"",INDEX(J$1:J1712,SUMPRODUCT(MAX(ROW(E$1:E1712)*(E1713=E$1:E1712)))))</f>
        <v> </v>
      </c>
      <c r="L1713" s="26"/>
    </row>
    <row r="1714" spans="1:12">
      <c r="A1714" s="20" t="s">
        <v>549</v>
      </c>
      <c r="E1714" s="21">
        <f>IF(D1714="?OLD","!!!","")</f>
        <v/>
      </c>
      <c r="F1714" s="22" t="str">
        <f>IF(OR(E1714="",E1714="!!!"),"",IF(NOT(ISNA(VLOOKUP(E1714,E$1:E1713,1,FALSE()))),"OLD",IF(AND(E1714&lt;&gt;"",E1714&lt;&gt;"!!!"),"NEW","")))</f>
        <v> </v>
      </c>
      <c r="G1714" s="23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4" t="str">
        <f>IF(J1714&lt;&gt;1,"",IF(I1714="SBJ","CB","?"))</f>
        <v> </v>
      </c>
      <c r="I1714" s="25" t="str">
        <f>IF(OR(E1714="",E1714="!!!",F1714="NEW"),"",INDEX(B1713:B$2,-1+SUMPRODUCT(MAX(ROW(E1713:E$2)*(E1714=E1713:E$2)))))</f>
        <v> </v>
      </c>
      <c r="J1714" s="25" t="str">
        <f>IF(OR(E1714="",E1714="!!!",F1714="NEW"),"",COUNTBLANK(OFFSET(A$1,,,SUMPRODUCT(MAX(ROW(E$2:E1714)*(E1714=E$2:E1714)))))-COUNTBLANK(OFFSET(A$1,,,SUMPRODUCT(MAX(ROW(E$1:E1713)*(E2=E$1:E1713))))))</f>
        <v> </v>
      </c>
      <c r="K1714" s="25" t="str">
        <f>IF(OR(E1714="",E1714="!!!",F1714="NEW"),"",INDEX(J$1:J1713,SUMPRODUCT(MAX(ROW(E$1:E1713)*(E1714=E$1:E1713)))))</f>
        <v> </v>
      </c>
      <c r="L1714" s="26"/>
    </row>
    <row r="1715" spans="1:12">
      <c r="A1715" s="20"/>
    </row>
    <row r="1716" spans="1:12">
      <c r="A1716" s="20" t="s">
        <v>1187</v>
      </c>
    </row>
    <row r="1717" spans="1:12">
      <c r="A1717" s="20" t="s">
        <v>11</v>
      </c>
      <c r="E1717" s="21">
        <f>IF(D1717="?OLD","!!!","")</f>
        <v/>
      </c>
      <c r="F1717" s="22" t="str">
        <f>IF(OR(E1717="",E1717="!!!"),"",IF(NOT(ISNA(VLOOKUP(E1717,E$1:E1716,1,FALSE()))),"OLD",IF(AND(E1717&lt;&gt;"",E1717&lt;&gt;"!!!"),"NEW","")))</f>
        <v> </v>
      </c>
      <c r="G1717" s="23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4" t="str">
        <f>IF(J1717&lt;&gt;1,"",IF(I1717="SBJ","CB","?"))</f>
        <v> </v>
      </c>
      <c r="I1717" s="25" t="str">
        <f>IF(OR(E1717="",E1717="!!!",F1717="NEW"),"",INDEX(B1716:B$2,-1+SUMPRODUCT(MAX(ROW(E1716:E$2)*(E1717=E1716:E$2)))))</f>
        <v> </v>
      </c>
      <c r="J1717" s="25" t="str">
        <f>IF(OR(E1717="",E1717="!!!",F1717="NEW"),"",COUNTBLANK(OFFSET(A$1,,,SUMPRODUCT(MAX(ROW(E$2:E1717)*(E1717=E$2:E1717)))))-COUNTBLANK(OFFSET(A$1,,,SUMPRODUCT(MAX(ROW(E$1:E1716)*(E2=E$1:E1716))))))</f>
        <v> </v>
      </c>
      <c r="K1717" s="25" t="str">
        <f>IF(OR(E1717="",E1717="!!!",F1717="NEW"),"",INDEX(J$1:J1716,SUMPRODUCT(MAX(ROW(E$1:E1716)*(E1717=E$1:E1716)))))</f>
        <v> </v>
      </c>
      <c r="L1717" s="26"/>
    </row>
    <row r="1718" spans="1:12">
      <c r="A1718" s="20" t="s">
        <v>1188</v>
      </c>
      <c r="B1718" s="27" t="s">
        <v>680</v>
      </c>
      <c r="C1718" s="27" t="s">
        <v>545</v>
      </c>
      <c r="D1718" s="27" t="s">
        <v>524</v>
      </c>
      <c r="E1718" s="21">
        <f>IF(D1718="?OLD","!!!","")</f>
        <v/>
      </c>
      <c r="F1718" s="22" t="str">
        <f>IF(OR(E1718="",E1718="!!!"),"",IF(NOT(ISNA(VLOOKUP(E1718,E$1:E1717,1,FALSE()))),"OLD",IF(AND(E1718&lt;&gt;"",E1718&lt;&gt;"!!!"),"NEW","")))</f>
        <v> </v>
      </c>
      <c r="G1718" s="23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4" t="str">
        <f>IF(J1718&lt;&gt;1,"",IF(I1718="SBJ","CB","?"))</f>
        <v> </v>
      </c>
      <c r="I1718" s="25" t="str">
        <f>IF(OR(E1718="",E1718="!!!",F1718="NEW"),"",INDEX(B1717:B$2,-1+SUMPRODUCT(MAX(ROW(E1717:E$2)*(E1718=E1717:E$2)))))</f>
        <v> </v>
      </c>
      <c r="J1718" s="25" t="str">
        <f>IF(OR(E1718="",E1718="!!!",F1718="NEW"),"",COUNTBLANK(OFFSET(A$1,,,SUMPRODUCT(MAX(ROW(E$2:E1718)*(E1718=E$2:E1718)))))-COUNTBLANK(OFFSET(A$1,,,SUMPRODUCT(MAX(ROW(E$1:E1717)*(E2=E$1:E1717))))))</f>
        <v> </v>
      </c>
      <c r="K1718" s="25" t="str">
        <f>IF(OR(E1718="",E1718="!!!",F1718="NEW"),"",INDEX(J$1:J1717,SUMPRODUCT(MAX(ROW(E$1:E1717)*(E1718=E$1:E1717)))))</f>
        <v> </v>
      </c>
      <c r="L1718" s="26"/>
    </row>
    <row r="1719" spans="1:12">
      <c r="A1719" s="20" t="s">
        <v>528</v>
      </c>
      <c r="B1719" s="27" t="s">
        <v>529</v>
      </c>
      <c r="E1719" s="21">
        <f>IF(D1719="?OLD","!!!","")</f>
        <v/>
      </c>
      <c r="F1719" s="22" t="str">
        <f>IF(OR(E1719="",E1719="!!!"),"",IF(NOT(ISNA(VLOOKUP(E1719,E$1:E1718,1,FALSE()))),"OLD",IF(AND(E1719&lt;&gt;"",E1719&lt;&gt;"!!!"),"NEW","")))</f>
        <v> </v>
      </c>
      <c r="G1719" s="23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4" t="str">
        <f>IF(J1719&lt;&gt;1,"",IF(I1719="SBJ","CB","?"))</f>
        <v> </v>
      </c>
      <c r="I1719" s="25" t="str">
        <f>IF(OR(E1719="",E1719="!!!",F1719="NEW"),"",INDEX(B1718:B$2,-1+SUMPRODUCT(MAX(ROW(E1718:E$2)*(E1719=E1718:E$2)))))</f>
        <v> </v>
      </c>
      <c r="J1719" s="25" t="str">
        <f>IF(OR(E1719="",E1719="!!!",F1719="NEW"),"",COUNTBLANK(OFFSET(A$1,,,SUMPRODUCT(MAX(ROW(E$2:E1719)*(E1719=E$2:E1719)))))-COUNTBLANK(OFFSET(A$1,,,SUMPRODUCT(MAX(ROW(E$1:E1718)*(E2=E$1:E1718))))))</f>
        <v> </v>
      </c>
      <c r="K1719" s="25" t="str">
        <f>IF(OR(E1719="",E1719="!!!",F1719="NEW"),"",INDEX(J$1:J1718,SUMPRODUCT(MAX(ROW(E$1:E1718)*(E1719=E$1:E1718)))))</f>
        <v> </v>
      </c>
      <c r="L1719" s="26"/>
    </row>
    <row r="1720" spans="1:12">
      <c r="A1720" s="20" t="s">
        <v>1179</v>
      </c>
      <c r="E1720" s="21">
        <f>IF(D1720="?OLD","!!!","")</f>
        <v/>
      </c>
      <c r="F1720" s="22" t="str">
        <f>IF(OR(E1720="",E1720="!!!"),"",IF(NOT(ISNA(VLOOKUP(E1720,E$1:E1719,1,FALSE()))),"OLD",IF(AND(E1720&lt;&gt;"",E1720&lt;&gt;"!!!"),"NEW","")))</f>
        <v> </v>
      </c>
      <c r="G1720" s="23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4" t="str">
        <f>IF(J1720&lt;&gt;1,"",IF(I1720="SBJ","CB","?"))</f>
        <v> </v>
      </c>
      <c r="I1720" s="25" t="str">
        <f>IF(OR(E1720="",E1720="!!!",F1720="NEW"),"",INDEX(B1719:B$2,-1+SUMPRODUCT(MAX(ROW(E1719:E$2)*(E1720=E1719:E$2)))))</f>
        <v> </v>
      </c>
      <c r="J1720" s="25" t="str">
        <f>IF(OR(E1720="",E1720="!!!",F1720="NEW"),"",COUNTBLANK(OFFSET(A$1,,,SUMPRODUCT(MAX(ROW(E$2:E1720)*(E1720=E$2:E1720)))))-COUNTBLANK(OFFSET(A$1,,,SUMPRODUCT(MAX(ROW(E$1:E1719)*(E2=E$1:E1719))))))</f>
        <v> </v>
      </c>
      <c r="K1720" s="25" t="str">
        <f>IF(OR(E1720="",E1720="!!!",F1720="NEW"),"",INDEX(J$1:J1719,SUMPRODUCT(MAX(ROW(E$1:E1719)*(E1720=E$1:E1719)))))</f>
        <v> </v>
      </c>
      <c r="L1720" s="26"/>
    </row>
    <row r="1721" spans="1:12">
      <c r="A1721" s="20" t="s">
        <v>518</v>
      </c>
      <c r="E1721" s="21">
        <f>IF(D1721="?OLD","!!!","")</f>
        <v/>
      </c>
      <c r="F1721" s="22" t="str">
        <f>IF(OR(E1721="",E1721="!!!"),"",IF(NOT(ISNA(VLOOKUP(E1721,E$1:E1720,1,FALSE()))),"OLD",IF(AND(E1721&lt;&gt;"",E1721&lt;&gt;"!!!"),"NEW","")))</f>
        <v> </v>
      </c>
      <c r="G1721" s="23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4" t="str">
        <f>IF(J1721&lt;&gt;1,"",IF(I1721="SBJ","CB","?"))</f>
        <v> </v>
      </c>
      <c r="I1721" s="25" t="str">
        <f>IF(OR(E1721="",E1721="!!!",F1721="NEW"),"",INDEX(B1720:B$2,-1+SUMPRODUCT(MAX(ROW(E1720:E$2)*(E1721=E1720:E$2)))))</f>
        <v> </v>
      </c>
      <c r="J1721" s="25" t="str">
        <f>IF(OR(E1721="",E1721="!!!",F1721="NEW"),"",COUNTBLANK(OFFSET(A$1,,,SUMPRODUCT(MAX(ROW(E$2:E1721)*(E1721=E$2:E1721)))))-COUNTBLANK(OFFSET(A$1,,,SUMPRODUCT(MAX(ROW(E$1:E1720)*(E2=E$1:E1720))))))</f>
        <v> </v>
      </c>
      <c r="K1721" s="25" t="str">
        <f>IF(OR(E1721="",E1721="!!!",F1721="NEW"),"",INDEX(J$1:J1720,SUMPRODUCT(MAX(ROW(E$1:E1720)*(E1721=E$1:E1720)))))</f>
        <v> </v>
      </c>
      <c r="L1721" s="26"/>
    </row>
    <row r="1722" spans="1:12">
      <c r="A1722" s="20" t="s">
        <v>772</v>
      </c>
      <c r="E1722" s="21">
        <f>IF(D1722="?OLD","!!!","")</f>
        <v/>
      </c>
      <c r="F1722" s="22" t="str">
        <f>IF(OR(E1722="",E1722="!!!"),"",IF(NOT(ISNA(VLOOKUP(E1722,E$1:E1721,1,FALSE()))),"OLD",IF(AND(E1722&lt;&gt;"",E1722&lt;&gt;"!!!"),"NEW","")))</f>
        <v> </v>
      </c>
      <c r="G1722" s="23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4" t="str">
        <f>IF(J1722&lt;&gt;1,"",IF(I1722="SBJ","CB","?"))</f>
        <v> </v>
      </c>
      <c r="I1722" s="25" t="str">
        <f>IF(OR(E1722="",E1722="!!!",F1722="NEW"),"",INDEX(B1721:B$2,-1+SUMPRODUCT(MAX(ROW(E1721:E$2)*(E1722=E1721:E$2)))))</f>
        <v> </v>
      </c>
      <c r="J1722" s="25" t="str">
        <f>IF(OR(E1722="",E1722="!!!",F1722="NEW"),"",COUNTBLANK(OFFSET(A$1,,,SUMPRODUCT(MAX(ROW(E$2:E1722)*(E1722=E$2:E1722)))))-COUNTBLANK(OFFSET(A$1,,,SUMPRODUCT(MAX(ROW(E$1:E1721)*(E2=E$1:E1721))))))</f>
        <v> </v>
      </c>
      <c r="K1722" s="25" t="str">
        <f>IF(OR(E1722="",E1722="!!!",F1722="NEW"),"",INDEX(J$1:J1721,SUMPRODUCT(MAX(ROW(E$1:E1721)*(E1722=E$1:E1721)))))</f>
        <v> </v>
      </c>
      <c r="L1722" s="26"/>
    </row>
    <row r="1723" spans="1:12">
      <c r="A1723" s="20" t="s">
        <v>1189</v>
      </c>
      <c r="E1723" s="21">
        <f>IF(D1723="?OLD","!!!","")</f>
        <v/>
      </c>
      <c r="F1723" s="22" t="str">
        <f>IF(OR(E1723="",E1723="!!!"),"",IF(NOT(ISNA(VLOOKUP(E1723,E$1:E1722,1,FALSE()))),"OLD",IF(AND(E1723&lt;&gt;"",E1723&lt;&gt;"!!!"),"NEW","")))</f>
        <v> </v>
      </c>
      <c r="G1723" s="23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4" t="str">
        <f>IF(J1723&lt;&gt;1,"",IF(I1723="SBJ","CB","?"))</f>
        <v> </v>
      </c>
      <c r="I1723" s="25" t="str">
        <f>IF(OR(E1723="",E1723="!!!",F1723="NEW"),"",INDEX(B1722:B$2,-1+SUMPRODUCT(MAX(ROW(E1722:E$2)*(E1723=E1722:E$2)))))</f>
        <v> </v>
      </c>
      <c r="J1723" s="25" t="str">
        <f>IF(OR(E1723="",E1723="!!!",F1723="NEW"),"",COUNTBLANK(OFFSET(A$1,,,SUMPRODUCT(MAX(ROW(E$2:E1723)*(E1723=E$2:E1723)))))-COUNTBLANK(OFFSET(A$1,,,SUMPRODUCT(MAX(ROW(E$1:E1722)*(E2=E$1:E1722))))))</f>
        <v> </v>
      </c>
      <c r="K1723" s="25" t="str">
        <f>IF(OR(E1723="",E1723="!!!",F1723="NEW"),"",INDEX(J$1:J1722,SUMPRODUCT(MAX(ROW(E$1:E1722)*(E1723=E$1:E1722)))))</f>
        <v> </v>
      </c>
      <c r="L1723" s="26"/>
    </row>
    <row r="1724" spans="1:12">
      <c r="A1724" s="20" t="s">
        <v>577</v>
      </c>
      <c r="E1724" s="21">
        <f>IF(D1724="?OLD","!!!","")</f>
        <v/>
      </c>
      <c r="F1724" s="22" t="str">
        <f>IF(OR(E1724="",E1724="!!!"),"",IF(NOT(ISNA(VLOOKUP(E1724,E$1:E1723,1,FALSE()))),"OLD",IF(AND(E1724&lt;&gt;"",E1724&lt;&gt;"!!!"),"NEW","")))</f>
        <v> </v>
      </c>
      <c r="G1724" s="23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4" t="str">
        <f>IF(J1724&lt;&gt;1,"",IF(I1724="SBJ","CB","?"))</f>
        <v> </v>
      </c>
      <c r="I1724" s="25" t="str">
        <f>IF(OR(E1724="",E1724="!!!",F1724="NEW"),"",INDEX(B1723:B$2,-1+SUMPRODUCT(MAX(ROW(E1723:E$2)*(E1724=E1723:E$2)))))</f>
        <v> </v>
      </c>
      <c r="J1724" s="25" t="str">
        <f>IF(OR(E1724="",E1724="!!!",F1724="NEW"),"",COUNTBLANK(OFFSET(A$1,,,SUMPRODUCT(MAX(ROW(E$2:E1724)*(E1724=E$2:E1724)))))-COUNTBLANK(OFFSET(A$1,,,SUMPRODUCT(MAX(ROW(E$1:E1723)*(E2=E$1:E1723))))))</f>
        <v> </v>
      </c>
      <c r="K1724" s="25" t="str">
        <f>IF(OR(E1724="",E1724="!!!",F1724="NEW"),"",INDEX(J$1:J1723,SUMPRODUCT(MAX(ROW(E$1:E1723)*(E1724=E$1:E1723)))))</f>
        <v> </v>
      </c>
      <c r="L1724" s="26"/>
    </row>
    <row r="1725" spans="1:12">
      <c r="A1725" s="20" t="s">
        <v>571</v>
      </c>
      <c r="B1725" s="27" t="s">
        <v>573</v>
      </c>
      <c r="C1725" s="27" t="s">
        <v>584</v>
      </c>
      <c r="D1725" s="27" t="s">
        <v>524</v>
      </c>
      <c r="E1725" s="21">
        <f>IF(D1725="?OLD","!!!","")</f>
        <v/>
      </c>
      <c r="F1725" s="22" t="str">
        <f>IF(OR(E1725="",E1725="!!!"),"",IF(NOT(ISNA(VLOOKUP(E1725,E$1:E1724,1,FALSE()))),"OLD",IF(AND(E1725&lt;&gt;"",E1725&lt;&gt;"!!!"),"NEW","")))</f>
        <v> </v>
      </c>
      <c r="G1725" s="23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4" t="str">
        <f>IF(J1725&lt;&gt;1,"",IF(I1725="SBJ","CB","?"))</f>
        <v> </v>
      </c>
      <c r="I1725" s="25" t="str">
        <f>IF(OR(E1725="",E1725="!!!",F1725="NEW"),"",INDEX(B1724:B$2,-1+SUMPRODUCT(MAX(ROW(E1724:E$2)*(E1725=E1724:E$2)))))</f>
        <v> </v>
      </c>
      <c r="J1725" s="25" t="str">
        <f>IF(OR(E1725="",E1725="!!!",F1725="NEW"),"",COUNTBLANK(OFFSET(A$1,,,SUMPRODUCT(MAX(ROW(E$2:E1725)*(E1725=E$2:E1725)))))-COUNTBLANK(OFFSET(A$1,,,SUMPRODUCT(MAX(ROW(E$1:E1724)*(E2=E$1:E1724))))))</f>
        <v> </v>
      </c>
      <c r="K1725" s="25" t="str">
        <f>IF(OR(E1725="",E1725="!!!",F1725="NEW"),"",INDEX(J$1:J1724,SUMPRODUCT(MAX(ROW(E$1:E1724)*(E1725=E$1:E1724)))))</f>
        <v> </v>
      </c>
      <c r="L1725" s="26"/>
    </row>
    <row r="1726" spans="1:12">
      <c r="A1726" s="20" t="s">
        <v>528</v>
      </c>
      <c r="B1726" s="27" t="s">
        <v>716</v>
      </c>
      <c r="E1726" s="21">
        <f>IF(D1726="?OLD","!!!","")</f>
        <v/>
      </c>
      <c r="F1726" s="22" t="str">
        <f>IF(OR(E1726="",E1726="!!!"),"",IF(NOT(ISNA(VLOOKUP(E1726,E$1:E1725,1,FALSE()))),"OLD",IF(AND(E1726&lt;&gt;"",E1726&lt;&gt;"!!!"),"NEW","")))</f>
        <v> </v>
      </c>
      <c r="G1726" s="23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4" t="str">
        <f>IF(J1726&lt;&gt;1,"",IF(I1726="SBJ","CB","?"))</f>
        <v> </v>
      </c>
      <c r="I1726" s="25" t="str">
        <f>IF(OR(E1726="",E1726="!!!",F1726="NEW"),"",INDEX(B1725:B$2,-1+SUMPRODUCT(MAX(ROW(E1725:E$2)*(E1726=E1725:E$2)))))</f>
        <v> </v>
      </c>
      <c r="J1726" s="25" t="str">
        <f>IF(OR(E1726="",E1726="!!!",F1726="NEW"),"",COUNTBLANK(OFFSET(A$1,,,SUMPRODUCT(MAX(ROW(E$2:E1726)*(E1726=E$2:E1726)))))-COUNTBLANK(OFFSET(A$1,,,SUMPRODUCT(MAX(ROW(E$1:E1725)*(E2=E$1:E1725))))))</f>
        <v> </v>
      </c>
      <c r="K1726" s="25" t="str">
        <f>IF(OR(E1726="",E1726="!!!",F1726="NEW"),"",INDEX(J$1:J1725,SUMPRODUCT(MAX(ROW(E$1:E1725)*(E1726=E$1:E1725)))))</f>
        <v> </v>
      </c>
      <c r="L1726" s="26"/>
    </row>
    <row r="1727" spans="1:12">
      <c r="A1727" s="20" t="s">
        <v>1079</v>
      </c>
      <c r="E1727" s="21">
        <f>IF(D1727="?OLD","!!!","")</f>
        <v/>
      </c>
      <c r="F1727" s="22" t="str">
        <f>IF(OR(E1727="",E1727="!!!"),"",IF(NOT(ISNA(VLOOKUP(E1727,E$1:E1726,1,FALSE()))),"OLD",IF(AND(E1727&lt;&gt;"",E1727&lt;&gt;"!!!"),"NEW","")))</f>
        <v> </v>
      </c>
      <c r="G1727" s="23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4" t="str">
        <f>IF(J1727&lt;&gt;1,"",IF(I1727="SBJ","CB","?"))</f>
        <v> </v>
      </c>
      <c r="I1727" s="25" t="str">
        <f>IF(OR(E1727="",E1727="!!!",F1727="NEW"),"",INDEX(B1726:B$2,-1+SUMPRODUCT(MAX(ROW(E1726:E$2)*(E1727=E1726:E$2)))))</f>
        <v> </v>
      </c>
      <c r="J1727" s="25" t="str">
        <f>IF(OR(E1727="",E1727="!!!",F1727="NEW"),"",COUNTBLANK(OFFSET(A$1,,,SUMPRODUCT(MAX(ROW(E$2:E1727)*(E1727=E$2:E1727)))))-COUNTBLANK(OFFSET(A$1,,,SUMPRODUCT(MAX(ROW(E$1:E1726)*(E2=E$1:E1726))))))</f>
        <v> </v>
      </c>
      <c r="K1727" s="25" t="str">
        <f>IF(OR(E1727="",E1727="!!!",F1727="NEW"),"",INDEX(J$1:J1726,SUMPRODUCT(MAX(ROW(E$1:E1726)*(E1727=E$1:E1726)))))</f>
        <v> </v>
      </c>
      <c r="L1727" s="26"/>
    </row>
    <row r="1728" spans="1:12">
      <c r="A1728" s="20" t="s">
        <v>1190</v>
      </c>
      <c r="E1728" s="21">
        <f>IF(D1728="?OLD","!!!","")</f>
        <v/>
      </c>
      <c r="F1728" s="22" t="str">
        <f>IF(OR(E1728="",E1728="!!!"),"",IF(NOT(ISNA(VLOOKUP(E1728,E$1:E1727,1,FALSE()))),"OLD",IF(AND(E1728&lt;&gt;"",E1728&lt;&gt;"!!!"),"NEW","")))</f>
        <v> </v>
      </c>
      <c r="G1728" s="23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4" t="str">
        <f>IF(J1728&lt;&gt;1,"",IF(I1728="SBJ","CB","?"))</f>
        <v> </v>
      </c>
      <c r="I1728" s="25" t="str">
        <f>IF(OR(E1728="",E1728="!!!",F1728="NEW"),"",INDEX(B1727:B$2,-1+SUMPRODUCT(MAX(ROW(E1727:E$2)*(E1728=E1727:E$2)))))</f>
        <v> </v>
      </c>
      <c r="J1728" s="25" t="str">
        <f>IF(OR(E1728="",E1728="!!!",F1728="NEW"),"",COUNTBLANK(OFFSET(A$1,,,SUMPRODUCT(MAX(ROW(E$2:E1728)*(E1728=E$2:E1728)))))-COUNTBLANK(OFFSET(A$1,,,SUMPRODUCT(MAX(ROW(E$1:E1727)*(E2=E$1:E1727))))))</f>
        <v> </v>
      </c>
      <c r="K1728" s="25" t="str">
        <f>IF(OR(E1728="",E1728="!!!",F1728="NEW"),"",INDEX(J$1:J1727,SUMPRODUCT(MAX(ROW(E$1:E1727)*(E1728=E$1:E1727)))))</f>
        <v> </v>
      </c>
      <c r="L1728" s="26"/>
    </row>
    <row r="1729" spans="1:12">
      <c r="A1729" s="20" t="s">
        <v>577</v>
      </c>
      <c r="E1729" s="21">
        <f>IF(D1729="?OLD","!!!","")</f>
        <v/>
      </c>
      <c r="F1729" s="22" t="str">
        <f>IF(OR(E1729="",E1729="!!!"),"",IF(NOT(ISNA(VLOOKUP(E1729,E$1:E1728,1,FALSE()))),"OLD",IF(AND(E1729&lt;&gt;"",E1729&lt;&gt;"!!!"),"NEW","")))</f>
        <v> </v>
      </c>
      <c r="G1729" s="23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4" t="str">
        <f>IF(J1729&lt;&gt;1,"",IF(I1729="SBJ","CB","?"))</f>
        <v> </v>
      </c>
      <c r="I1729" s="25" t="str">
        <f>IF(OR(E1729="",E1729="!!!",F1729="NEW"),"",INDEX(B1728:B$2,-1+SUMPRODUCT(MAX(ROW(E1728:E$2)*(E1729=E1728:E$2)))))</f>
        <v> </v>
      </c>
      <c r="J1729" s="25" t="str">
        <f>IF(OR(E1729="",E1729="!!!",F1729="NEW"),"",COUNTBLANK(OFFSET(A$1,,,SUMPRODUCT(MAX(ROW(E$2:E1729)*(E1729=E$2:E1729)))))-COUNTBLANK(OFFSET(A$1,,,SUMPRODUCT(MAX(ROW(E$1:E1728)*(E2=E$1:E1728))))))</f>
        <v> </v>
      </c>
      <c r="K1729" s="25" t="str">
        <f>IF(OR(E1729="",E1729="!!!",F1729="NEW"),"",INDEX(J$1:J1728,SUMPRODUCT(MAX(ROW(E$1:E1728)*(E1729=E$1:E1728)))))</f>
        <v> </v>
      </c>
      <c r="L1729" s="26"/>
    </row>
    <row r="1730" spans="1:12">
      <c r="A1730" s="20" t="s">
        <v>775</v>
      </c>
      <c r="B1730" s="27" t="s">
        <v>641</v>
      </c>
      <c r="C1730" s="27" t="s">
        <v>523</v>
      </c>
      <c r="D1730" s="27" t="s">
        <v>524</v>
      </c>
      <c r="E1730" s="21">
        <f>IF(D1730="?OLD","!!!","")</f>
        <v/>
      </c>
      <c r="F1730" s="22" t="str">
        <f>IF(OR(E1730="",E1730="!!!"),"",IF(NOT(ISNA(VLOOKUP(E1730,E$1:E1729,1,FALSE()))),"OLD",IF(AND(E1730&lt;&gt;"",E1730&lt;&gt;"!!!"),"NEW","")))</f>
        <v> </v>
      </c>
      <c r="G1730" s="23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4" t="str">
        <f>IF(J1730&lt;&gt;1,"",IF(I1730="SBJ","CB","?"))</f>
        <v> </v>
      </c>
      <c r="I1730" s="25" t="str">
        <f>IF(OR(E1730="",E1730="!!!",F1730="NEW"),"",INDEX(B1729:B$2,-1+SUMPRODUCT(MAX(ROW(E1729:E$2)*(E1730=E1729:E$2)))))</f>
        <v> </v>
      </c>
      <c r="J1730" s="25" t="str">
        <f>IF(OR(E1730="",E1730="!!!",F1730="NEW"),"",COUNTBLANK(OFFSET(A$1,,,SUMPRODUCT(MAX(ROW(E$2:E1730)*(E1730=E$2:E1730)))))-COUNTBLANK(OFFSET(A$1,,,SUMPRODUCT(MAX(ROW(E$1:E1729)*(E2=E$1:E1729))))))</f>
        <v> </v>
      </c>
      <c r="K1730" s="25" t="str">
        <f>IF(OR(E1730="",E1730="!!!",F1730="NEW"),"",INDEX(J$1:J1729,SUMPRODUCT(MAX(ROW(E$1:E1729)*(E1730=E$1:E1729)))))</f>
        <v> </v>
      </c>
      <c r="L1730" s="26"/>
    </row>
    <row r="1731" spans="1:12">
      <c r="A1731" s="20" t="s">
        <v>625</v>
      </c>
      <c r="E1731" s="21">
        <f>IF(D1731="?OLD","!!!","")</f>
        <v/>
      </c>
      <c r="F1731" s="22" t="str">
        <f>IF(OR(E1731="",E1731="!!!"),"",IF(NOT(ISNA(VLOOKUP(E1731,E$1:E1730,1,FALSE()))),"OLD",IF(AND(E1731&lt;&gt;"",E1731&lt;&gt;"!!!"),"NEW","")))</f>
        <v> </v>
      </c>
      <c r="G1731" s="23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4" t="str">
        <f>IF(J1731&lt;&gt;1,"",IF(I1731="SBJ","CB","?"))</f>
        <v> </v>
      </c>
      <c r="I1731" s="25" t="str">
        <f>IF(OR(E1731="",E1731="!!!",F1731="NEW"),"",INDEX(B1730:B$2,-1+SUMPRODUCT(MAX(ROW(E1730:E$2)*(E1731=E1730:E$2)))))</f>
        <v> </v>
      </c>
      <c r="J1731" s="25" t="str">
        <f>IF(OR(E1731="",E1731="!!!",F1731="NEW"),"",COUNTBLANK(OFFSET(A$1,,,SUMPRODUCT(MAX(ROW(E$2:E1731)*(E1731=E$2:E1731)))))-COUNTBLANK(OFFSET(A$1,,,SUMPRODUCT(MAX(ROW(E$1:E1730)*(E2=E$1:E1730))))))</f>
        <v> </v>
      </c>
      <c r="K1731" s="25" t="str">
        <f>IF(OR(E1731="",E1731="!!!",F1731="NEW"),"",INDEX(J$1:J1730,SUMPRODUCT(MAX(ROW(E$1:E1730)*(E1731=E$1:E1730)))))</f>
        <v> </v>
      </c>
      <c r="L1731" s="26"/>
    </row>
    <row r="1732" spans="1:12">
      <c r="A1732" s="20" t="s">
        <v>518</v>
      </c>
      <c r="E1732" s="21">
        <f>IF(D1732="?OLD","!!!","")</f>
        <v/>
      </c>
      <c r="F1732" s="22" t="str">
        <f>IF(OR(E1732="",E1732="!!!"),"",IF(NOT(ISNA(VLOOKUP(E1732,E$1:E1731,1,FALSE()))),"OLD",IF(AND(E1732&lt;&gt;"",E1732&lt;&gt;"!!!"),"NEW","")))</f>
        <v> </v>
      </c>
      <c r="G1732" s="23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4" t="str">
        <f>IF(J1732&lt;&gt;1,"",IF(I1732="SBJ","CB","?"))</f>
        <v> </v>
      </c>
      <c r="I1732" s="25" t="str">
        <f>IF(OR(E1732="",E1732="!!!",F1732="NEW"),"",INDEX(B1731:B$2,-1+SUMPRODUCT(MAX(ROW(E1731:E$2)*(E1732=E1731:E$2)))))</f>
        <v> </v>
      </c>
      <c r="J1732" s="25" t="str">
        <f>IF(OR(E1732="",E1732="!!!",F1732="NEW"),"",COUNTBLANK(OFFSET(A$1,,,SUMPRODUCT(MAX(ROW(E$2:E1732)*(E1732=E$2:E1732)))))-COUNTBLANK(OFFSET(A$1,,,SUMPRODUCT(MAX(ROW(E$1:E1731)*(E2=E$1:E1731))))))</f>
        <v> </v>
      </c>
      <c r="K1732" s="25" t="str">
        <f>IF(OR(E1732="",E1732="!!!",F1732="NEW"),"",INDEX(J$1:J1731,SUMPRODUCT(MAX(ROW(E$1:E1731)*(E1732=E$1:E1731)))))</f>
        <v> </v>
      </c>
      <c r="L1732" s="26"/>
    </row>
    <row r="1733" spans="1:12">
      <c r="A1733" s="20" t="s">
        <v>719</v>
      </c>
      <c r="E1733" s="21">
        <f>IF(D1733="?OLD","!!!","")</f>
        <v/>
      </c>
      <c r="F1733" s="22" t="str">
        <f>IF(OR(E1733="",E1733="!!!"),"",IF(NOT(ISNA(VLOOKUP(E1733,E$1:E1732,1,FALSE()))),"OLD",IF(AND(E1733&lt;&gt;"",E1733&lt;&gt;"!!!"),"NEW","")))</f>
        <v> </v>
      </c>
      <c r="G1733" s="23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4" t="str">
        <f>IF(J1733&lt;&gt;1,"",IF(I1733="SBJ","CB","?"))</f>
        <v> </v>
      </c>
      <c r="I1733" s="25" t="str">
        <f>IF(OR(E1733="",E1733="!!!",F1733="NEW"),"",INDEX(B1732:B$2,-1+SUMPRODUCT(MAX(ROW(E1732:E$2)*(E1733=E1732:E$2)))))</f>
        <v> </v>
      </c>
      <c r="J1733" s="25" t="str">
        <f>IF(OR(E1733="",E1733="!!!",F1733="NEW"),"",COUNTBLANK(OFFSET(A$1,,,SUMPRODUCT(MAX(ROW(E$2:E1733)*(E1733=E$2:E1733)))))-COUNTBLANK(OFFSET(A$1,,,SUMPRODUCT(MAX(ROW(E$1:E1732)*(E2=E$1:E1732))))))</f>
        <v> </v>
      </c>
      <c r="K1733" s="25" t="str">
        <f>IF(OR(E1733="",E1733="!!!",F1733="NEW"),"",INDEX(J$1:J1732,SUMPRODUCT(MAX(ROW(E$1:E1732)*(E1733=E$1:E1732)))))</f>
        <v> </v>
      </c>
      <c r="L1733" s="26"/>
    </row>
    <row r="1734" spans="1:12">
      <c r="A1734" s="20" t="s">
        <v>751</v>
      </c>
      <c r="E1734" s="21">
        <f>IF(D1734="?OLD","!!!","")</f>
        <v/>
      </c>
      <c r="F1734" s="22" t="str">
        <f>IF(OR(E1734="",E1734="!!!"),"",IF(NOT(ISNA(VLOOKUP(E1734,E$1:E1733,1,FALSE()))),"OLD",IF(AND(E1734&lt;&gt;"",E1734&lt;&gt;"!!!"),"NEW","")))</f>
        <v> </v>
      </c>
      <c r="G1734" s="23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4" t="str">
        <f>IF(J1734&lt;&gt;1,"",IF(I1734="SBJ","CB","?"))</f>
        <v> </v>
      </c>
      <c r="I1734" s="25" t="str">
        <f>IF(OR(E1734="",E1734="!!!",F1734="NEW"),"",INDEX(B1733:B$2,-1+SUMPRODUCT(MAX(ROW(E1733:E$2)*(E1734=E1733:E$2)))))</f>
        <v> </v>
      </c>
      <c r="J1734" s="25" t="str">
        <f>IF(OR(E1734="",E1734="!!!",F1734="NEW"),"",COUNTBLANK(OFFSET(A$1,,,SUMPRODUCT(MAX(ROW(E$2:E1734)*(E1734=E$2:E1734)))))-COUNTBLANK(OFFSET(A$1,,,SUMPRODUCT(MAX(ROW(E$1:E1733)*(E2=E$1:E1733))))))</f>
        <v> </v>
      </c>
      <c r="K1734" s="25" t="str">
        <f>IF(OR(E1734="",E1734="!!!",F1734="NEW"),"",INDEX(J$1:J1733,SUMPRODUCT(MAX(ROW(E$1:E1733)*(E1734=E$1:E1733)))))</f>
        <v> </v>
      </c>
      <c r="L1734" s="26"/>
    </row>
    <row r="1735" spans="1:12">
      <c r="A1735" s="20" t="s">
        <v>528</v>
      </c>
      <c r="E1735" s="21">
        <f>IF(D1735="?OLD","!!!","")</f>
        <v/>
      </c>
      <c r="F1735" s="22" t="str">
        <f>IF(OR(E1735="",E1735="!!!"),"",IF(NOT(ISNA(VLOOKUP(E1735,E$1:E1734,1,FALSE()))),"OLD",IF(AND(E1735&lt;&gt;"",E1735&lt;&gt;"!!!"),"NEW","")))</f>
        <v> </v>
      </c>
      <c r="G1735" s="23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4" t="str">
        <f>IF(J1735&lt;&gt;1,"",IF(I1735="SBJ","CB","?"))</f>
        <v> </v>
      </c>
      <c r="I1735" s="25" t="str">
        <f>IF(OR(E1735="",E1735="!!!",F1735="NEW"),"",INDEX(B1734:B$2,-1+SUMPRODUCT(MAX(ROW(E1734:E$2)*(E1735=E1734:E$2)))))</f>
        <v> </v>
      </c>
      <c r="J1735" s="25" t="str">
        <f>IF(OR(E1735="",E1735="!!!",F1735="NEW"),"",COUNTBLANK(OFFSET(A$1,,,SUMPRODUCT(MAX(ROW(E$2:E1735)*(E1735=E$2:E1735)))))-COUNTBLANK(OFFSET(A$1,,,SUMPRODUCT(MAX(ROW(E$1:E1734)*(E2=E$1:E1734))))))</f>
        <v> </v>
      </c>
      <c r="K1735" s="25" t="str">
        <f>IF(OR(E1735="",E1735="!!!",F1735="NEW"),"",INDEX(J$1:J1734,SUMPRODUCT(MAX(ROW(E$1:E1734)*(E1735=E$1:E1734)))))</f>
        <v> </v>
      </c>
      <c r="L1735" s="26"/>
    </row>
    <row r="1736" spans="1:12">
      <c r="A1736" s="20" t="s">
        <v>571</v>
      </c>
      <c r="B1736" s="27" t="s">
        <v>583</v>
      </c>
      <c r="C1736" s="27" t="s">
        <v>523</v>
      </c>
      <c r="D1736" s="27" t="s">
        <v>524</v>
      </c>
      <c r="E1736" s="21">
        <f>IF(D1736="?OLD","!!!","")</f>
        <v/>
      </c>
      <c r="F1736" s="22" t="str">
        <f>IF(OR(E1736="",E1736="!!!"),"",IF(NOT(ISNA(VLOOKUP(E1736,E$1:E1735,1,FALSE()))),"OLD",IF(AND(E1736&lt;&gt;"",E1736&lt;&gt;"!!!"),"NEW","")))</f>
        <v> </v>
      </c>
      <c r="G1736" s="23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4" t="str">
        <f>IF(J1736&lt;&gt;1,"",IF(I1736="SBJ","CB","?"))</f>
        <v> </v>
      </c>
      <c r="I1736" s="25" t="str">
        <f>IF(OR(E1736="",E1736="!!!",F1736="NEW"),"",INDEX(B1735:B$2,-1+SUMPRODUCT(MAX(ROW(E1735:E$2)*(E1736=E1735:E$2)))))</f>
        <v> </v>
      </c>
      <c r="J1736" s="25" t="str">
        <f>IF(OR(E1736="",E1736="!!!",F1736="NEW"),"",COUNTBLANK(OFFSET(A$1,,,SUMPRODUCT(MAX(ROW(E$2:E1736)*(E1736=E$2:E1736)))))-COUNTBLANK(OFFSET(A$1,,,SUMPRODUCT(MAX(ROW(E$1:E1735)*(E2=E$1:E1735))))))</f>
        <v> </v>
      </c>
      <c r="K1736" s="25" t="str">
        <f>IF(OR(E1736="",E1736="!!!",F1736="NEW"),"",INDEX(J$1:J1735,SUMPRODUCT(MAX(ROW(E$1:E1735)*(E1736=E$1:E1735)))))</f>
        <v> </v>
      </c>
      <c r="L1736" s="26"/>
    </row>
    <row r="1737" spans="1:12">
      <c r="A1737" s="20" t="s">
        <v>1191</v>
      </c>
      <c r="E1737" s="21">
        <f>IF(D1737="?OLD","!!!","")</f>
        <v/>
      </c>
      <c r="F1737" s="22" t="str">
        <f>IF(OR(E1737="",E1737="!!!"),"",IF(NOT(ISNA(VLOOKUP(E1737,E$1:E1736,1,FALSE()))),"OLD",IF(AND(E1737&lt;&gt;"",E1737&lt;&gt;"!!!"),"NEW","")))</f>
        <v> </v>
      </c>
      <c r="G1737" s="23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4" t="str">
        <f>IF(J1737&lt;&gt;1,"",IF(I1737="SBJ","CB","?"))</f>
        <v> </v>
      </c>
      <c r="I1737" s="25" t="str">
        <f>IF(OR(E1737="",E1737="!!!",F1737="NEW"),"",INDEX(B1736:B$2,-1+SUMPRODUCT(MAX(ROW(E1736:E$2)*(E1737=E1736:E$2)))))</f>
        <v> </v>
      </c>
      <c r="J1737" s="25" t="str">
        <f>IF(OR(E1737="",E1737="!!!",F1737="NEW"),"",COUNTBLANK(OFFSET(A$1,,,SUMPRODUCT(MAX(ROW(E$2:E1737)*(E1737=E$2:E1737)))))-COUNTBLANK(OFFSET(A$1,,,SUMPRODUCT(MAX(ROW(E$1:E1736)*(E2=E$1:E1736))))))</f>
        <v> </v>
      </c>
      <c r="K1737" s="25" t="str">
        <f>IF(OR(E1737="",E1737="!!!",F1737="NEW"),"",INDEX(J$1:J1736,SUMPRODUCT(MAX(ROW(E$1:E1736)*(E1737=E$1:E1736)))))</f>
        <v> </v>
      </c>
      <c r="L1737" s="26"/>
    </row>
    <row r="1738" spans="1:12">
      <c r="A1738" s="20" t="s">
        <v>565</v>
      </c>
      <c r="E1738" s="21">
        <f>IF(D1738="?OLD","!!!","")</f>
        <v/>
      </c>
      <c r="F1738" s="22" t="str">
        <f>IF(OR(E1738="",E1738="!!!"),"",IF(NOT(ISNA(VLOOKUP(E1738,E$1:E1737,1,FALSE()))),"OLD",IF(AND(E1738&lt;&gt;"",E1738&lt;&gt;"!!!"),"NEW","")))</f>
        <v> </v>
      </c>
      <c r="G1738" s="23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4" t="str">
        <f>IF(J1738&lt;&gt;1,"",IF(I1738="SBJ","CB","?"))</f>
        <v> </v>
      </c>
      <c r="I1738" s="25" t="str">
        <f>IF(OR(E1738="",E1738="!!!",F1738="NEW"),"",INDEX(B1737:B$2,-1+SUMPRODUCT(MAX(ROW(E1737:E$2)*(E1738=E1737:E$2)))))</f>
        <v> </v>
      </c>
      <c r="J1738" s="25" t="str">
        <f>IF(OR(E1738="",E1738="!!!",F1738="NEW"),"",COUNTBLANK(OFFSET(A$1,,,SUMPRODUCT(MAX(ROW(E$2:E1738)*(E1738=E$2:E1738)))))-COUNTBLANK(OFFSET(A$1,,,SUMPRODUCT(MAX(ROW(E$1:E1737)*(E2=E$1:E1737))))))</f>
        <v> </v>
      </c>
      <c r="K1738" s="25" t="str">
        <f>IF(OR(E1738="",E1738="!!!",F1738="NEW"),"",INDEX(J$1:J1737,SUMPRODUCT(MAX(ROW(E$1:E1737)*(E1738=E$1:E1737)))))</f>
        <v> </v>
      </c>
      <c r="L1738" s="26"/>
    </row>
    <row r="1739" spans="1:12">
      <c r="A1739" s="20" t="s">
        <v>751</v>
      </c>
      <c r="E1739" s="21">
        <f>IF(D1739="?OLD","!!!","")</f>
        <v/>
      </c>
      <c r="F1739" s="22" t="str">
        <f>IF(OR(E1739="",E1739="!!!"),"",IF(NOT(ISNA(VLOOKUP(E1739,E$1:E1738,1,FALSE()))),"OLD",IF(AND(E1739&lt;&gt;"",E1739&lt;&gt;"!!!"),"NEW","")))</f>
        <v> </v>
      </c>
      <c r="G1739" s="23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4" t="str">
        <f>IF(J1739&lt;&gt;1,"",IF(I1739="SBJ","CB","?"))</f>
        <v> </v>
      </c>
      <c r="I1739" s="25" t="str">
        <f>IF(OR(E1739="",E1739="!!!",F1739="NEW"),"",INDEX(B1738:B$2,-1+SUMPRODUCT(MAX(ROW(E1738:E$2)*(E1739=E1738:E$2)))))</f>
        <v> </v>
      </c>
      <c r="J1739" s="25" t="str">
        <f>IF(OR(E1739="",E1739="!!!",F1739="NEW"),"",COUNTBLANK(OFFSET(A$1,,,SUMPRODUCT(MAX(ROW(E$2:E1739)*(E1739=E$2:E1739)))))-COUNTBLANK(OFFSET(A$1,,,SUMPRODUCT(MAX(ROW(E$1:E1738)*(E2=E$1:E1738))))))</f>
        <v> </v>
      </c>
      <c r="K1739" s="25" t="str">
        <f>IF(OR(E1739="",E1739="!!!",F1739="NEW"),"",INDEX(J$1:J1738,SUMPRODUCT(MAX(ROW(E$1:E1738)*(E1739=E$1:E1738)))))</f>
        <v> </v>
      </c>
      <c r="L1739" s="26"/>
    </row>
    <row r="1740" spans="1:12">
      <c r="A1740" s="20" t="s">
        <v>1192</v>
      </c>
      <c r="E1740" s="21">
        <f>IF(D1740="?OLD","!!!","")</f>
        <v/>
      </c>
      <c r="F1740" s="22" t="str">
        <f>IF(OR(E1740="",E1740="!!!"),"",IF(NOT(ISNA(VLOOKUP(E1740,E$1:E1739,1,FALSE()))),"OLD",IF(AND(E1740&lt;&gt;"",E1740&lt;&gt;"!!!"),"NEW","")))</f>
        <v> </v>
      </c>
      <c r="G1740" s="23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4" t="str">
        <f>IF(J1740&lt;&gt;1,"",IF(I1740="SBJ","CB","?"))</f>
        <v> </v>
      </c>
      <c r="I1740" s="25" t="str">
        <f>IF(OR(E1740="",E1740="!!!",F1740="NEW"),"",INDEX(B1739:B$2,-1+SUMPRODUCT(MAX(ROW(E1739:E$2)*(E1740=E1739:E$2)))))</f>
        <v> </v>
      </c>
      <c r="J1740" s="25" t="str">
        <f>IF(OR(E1740="",E1740="!!!",F1740="NEW"),"",COUNTBLANK(OFFSET(A$1,,,SUMPRODUCT(MAX(ROW(E$2:E1740)*(E1740=E$2:E1740)))))-COUNTBLANK(OFFSET(A$1,,,SUMPRODUCT(MAX(ROW(E$1:E1739)*(E2=E$1:E1739))))))</f>
        <v> </v>
      </c>
      <c r="K1740" s="25" t="str">
        <f>IF(OR(E1740="",E1740="!!!",F1740="NEW"),"",INDEX(J$1:J1739,SUMPRODUCT(MAX(ROW(E$1:E1739)*(E1740=E$1:E1739)))))</f>
        <v> </v>
      </c>
      <c r="L1740" s="26"/>
    </row>
    <row r="1741" spans="1:12">
      <c r="A1741" s="20" t="s">
        <v>429</v>
      </c>
      <c r="E1741" s="21">
        <f>IF(D1741="?OLD","!!!","")</f>
        <v/>
      </c>
      <c r="F1741" s="22" t="str">
        <f>IF(OR(E1741="",E1741="!!!"),"",IF(NOT(ISNA(VLOOKUP(E1741,E$1:E1740,1,FALSE()))),"OLD",IF(AND(E1741&lt;&gt;"",E1741&lt;&gt;"!!!"),"NEW","")))</f>
        <v> </v>
      </c>
      <c r="G1741" s="23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4" t="str">
        <f>IF(J1741&lt;&gt;1,"",IF(I1741="SBJ","CB","?"))</f>
        <v> </v>
      </c>
      <c r="I1741" s="25" t="str">
        <f>IF(OR(E1741="",E1741="!!!",F1741="NEW"),"",INDEX(B1740:B$2,-1+SUMPRODUCT(MAX(ROW(E1740:E$2)*(E1741=E1740:E$2)))))</f>
        <v> </v>
      </c>
      <c r="J1741" s="25" t="str">
        <f>IF(OR(E1741="",E1741="!!!",F1741="NEW"),"",COUNTBLANK(OFFSET(A$1,,,SUMPRODUCT(MAX(ROW(E$2:E1741)*(E1741=E$2:E1741)))))-COUNTBLANK(OFFSET(A$1,,,SUMPRODUCT(MAX(ROW(E$1:E1740)*(E2=E$1:E1740))))))</f>
        <v> </v>
      </c>
      <c r="K1741" s="25" t="str">
        <f>IF(OR(E1741="",E1741="!!!",F1741="NEW"),"",INDEX(J$1:J1740,SUMPRODUCT(MAX(ROW(E$1:E1740)*(E1741=E$1:E1740)))))</f>
        <v> </v>
      </c>
      <c r="L1741" s="26"/>
    </row>
    <row r="1742" spans="1:12">
      <c r="A1742" s="20" t="s">
        <v>1193</v>
      </c>
      <c r="E1742" s="21">
        <f>IF(D1742="?OLD","!!!","")</f>
        <v/>
      </c>
      <c r="F1742" s="22" t="str">
        <f>IF(OR(E1742="",E1742="!!!"),"",IF(NOT(ISNA(VLOOKUP(E1742,E$1:E1741,1,FALSE()))),"OLD",IF(AND(E1742&lt;&gt;"",E1742&lt;&gt;"!!!"),"NEW","")))</f>
        <v> </v>
      </c>
      <c r="G1742" s="23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4" t="str">
        <f>IF(J1742&lt;&gt;1,"",IF(I1742="SBJ","CB","?"))</f>
        <v> </v>
      </c>
      <c r="I1742" s="25" t="str">
        <f>IF(OR(E1742="",E1742="!!!",F1742="NEW"),"",INDEX(B1741:B$2,-1+SUMPRODUCT(MAX(ROW(E1741:E$2)*(E1742=E1741:E$2)))))</f>
        <v> </v>
      </c>
      <c r="J1742" s="25" t="str">
        <f>IF(OR(E1742="",E1742="!!!",F1742="NEW"),"",COUNTBLANK(OFFSET(A$1,,,SUMPRODUCT(MAX(ROW(E$2:E1742)*(E1742=E$2:E1742)))))-COUNTBLANK(OFFSET(A$1,,,SUMPRODUCT(MAX(ROW(E$1:E1741)*(E2=E$1:E1741))))))</f>
        <v> </v>
      </c>
      <c r="K1742" s="25" t="str">
        <f>IF(OR(E1742="",E1742="!!!",F1742="NEW"),"",INDEX(J$1:J1741,SUMPRODUCT(MAX(ROW(E$1:E1741)*(E1742=E$1:E1741)))))</f>
        <v> </v>
      </c>
      <c r="L1742" s="26"/>
    </row>
    <row r="1743" spans="1:12">
      <c r="A1743" s="20" t="s">
        <v>518</v>
      </c>
      <c r="E1743" s="21">
        <f>IF(D1743="?OLD","!!!","")</f>
        <v/>
      </c>
      <c r="F1743" s="22" t="str">
        <f>IF(OR(E1743="",E1743="!!!"),"",IF(NOT(ISNA(VLOOKUP(E1743,E$1:E1742,1,FALSE()))),"OLD",IF(AND(E1743&lt;&gt;"",E1743&lt;&gt;"!!!"),"NEW","")))</f>
        <v> </v>
      </c>
      <c r="G1743" s="23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4" t="str">
        <f>IF(J1743&lt;&gt;1,"",IF(I1743="SBJ","CB","?"))</f>
        <v> </v>
      </c>
      <c r="I1743" s="25" t="str">
        <f>IF(OR(E1743="",E1743="!!!",F1743="NEW"),"",INDEX(B1742:B$2,-1+SUMPRODUCT(MAX(ROW(E1742:E$2)*(E1743=E1742:E$2)))))</f>
        <v> </v>
      </c>
      <c r="J1743" s="25" t="str">
        <f>IF(OR(E1743="",E1743="!!!",F1743="NEW"),"",COUNTBLANK(OFFSET(A$1,,,SUMPRODUCT(MAX(ROW(E$2:E1743)*(E1743=E$2:E1743)))))-COUNTBLANK(OFFSET(A$1,,,SUMPRODUCT(MAX(ROW(E$1:E1742)*(E2=E$1:E1742))))))</f>
        <v> </v>
      </c>
      <c r="K1743" s="25" t="str">
        <f>IF(OR(E1743="",E1743="!!!",F1743="NEW"),"",INDEX(J$1:J1742,SUMPRODUCT(MAX(ROW(E$1:E1742)*(E1743=E$1:E1742)))))</f>
        <v> </v>
      </c>
      <c r="L1743" s="26"/>
    </row>
    <row r="1744" spans="1:12">
      <c r="A1744" s="20" t="s">
        <v>571</v>
      </c>
      <c r="B1744" s="27" t="s">
        <v>544</v>
      </c>
      <c r="C1744" s="27" t="s">
        <v>584</v>
      </c>
      <c r="D1744" s="27" t="s">
        <v>524</v>
      </c>
      <c r="E1744" s="21">
        <f>IF(D1744="?OLD","!!!","")</f>
        <v/>
      </c>
      <c r="F1744" s="22" t="str">
        <f>IF(OR(E1744="",E1744="!!!"),"",IF(NOT(ISNA(VLOOKUP(E1744,E$1:E1743,1,FALSE()))),"OLD",IF(AND(E1744&lt;&gt;"",E1744&lt;&gt;"!!!"),"NEW","")))</f>
        <v> </v>
      </c>
      <c r="G1744" s="23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4" t="str">
        <f>IF(J1744&lt;&gt;1,"",IF(I1744="SBJ","CB","?"))</f>
        <v> </v>
      </c>
      <c r="I1744" s="25" t="str">
        <f>IF(OR(E1744="",E1744="!!!",F1744="NEW"),"",INDEX(B1743:B$2,-1+SUMPRODUCT(MAX(ROW(E1743:E$2)*(E1744=E1743:E$2)))))</f>
        <v> </v>
      </c>
      <c r="J1744" s="25" t="str">
        <f>IF(OR(E1744="",E1744="!!!",F1744="NEW"),"",COUNTBLANK(OFFSET(A$1,,,SUMPRODUCT(MAX(ROW(E$2:E1744)*(E1744=E$2:E1744)))))-COUNTBLANK(OFFSET(A$1,,,SUMPRODUCT(MAX(ROW(E$1:E1743)*(E2=E$1:E1743))))))</f>
        <v> </v>
      </c>
      <c r="K1744" s="25" t="str">
        <f>IF(OR(E1744="",E1744="!!!",F1744="NEW"),"",INDEX(J$1:J1743,SUMPRODUCT(MAX(ROW(E$1:E1743)*(E1744=E$1:E1743)))))</f>
        <v> </v>
      </c>
      <c r="L1744" s="26"/>
    </row>
    <row r="1745" spans="1:12">
      <c r="A1745" s="20" t="s">
        <v>528</v>
      </c>
      <c r="E1745" s="21">
        <f>IF(D1745="?OLD","!!!","")</f>
        <v/>
      </c>
      <c r="F1745" s="22" t="str">
        <f>IF(OR(E1745="",E1745="!!!"),"",IF(NOT(ISNA(VLOOKUP(E1745,E$1:E1744,1,FALSE()))),"OLD",IF(AND(E1745&lt;&gt;"",E1745&lt;&gt;"!!!"),"NEW","")))</f>
        <v> </v>
      </c>
      <c r="G1745" s="23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4" t="str">
        <f>IF(J1745&lt;&gt;1,"",IF(I1745="SBJ","CB","?"))</f>
        <v> </v>
      </c>
      <c r="I1745" s="25" t="str">
        <f>IF(OR(E1745="",E1745="!!!",F1745="NEW"),"",INDEX(B1744:B$2,-1+SUMPRODUCT(MAX(ROW(E1744:E$2)*(E1745=E1744:E$2)))))</f>
        <v> </v>
      </c>
      <c r="J1745" s="25" t="str">
        <f>IF(OR(E1745="",E1745="!!!",F1745="NEW"),"",COUNTBLANK(OFFSET(A$1,,,SUMPRODUCT(MAX(ROW(E$2:E1745)*(E1745=E$2:E1745)))))-COUNTBLANK(OFFSET(A$1,,,SUMPRODUCT(MAX(ROW(E$1:E1744)*(E2=E$1:E1744))))))</f>
        <v> </v>
      </c>
      <c r="K1745" s="25" t="str">
        <f>IF(OR(E1745="",E1745="!!!",F1745="NEW"),"",INDEX(J$1:J1744,SUMPRODUCT(MAX(ROW(E$1:E1744)*(E1745=E$1:E1744)))))</f>
        <v> </v>
      </c>
      <c r="L1745" s="26"/>
    </row>
    <row r="1746" spans="1:12">
      <c r="A1746" s="20" t="s">
        <v>542</v>
      </c>
      <c r="E1746" s="21">
        <f>IF(D1746="?OLD","!!!","")</f>
        <v/>
      </c>
      <c r="F1746" s="22" t="str">
        <f>IF(OR(E1746="",E1746="!!!"),"",IF(NOT(ISNA(VLOOKUP(E1746,E$1:E1745,1,FALSE()))),"OLD",IF(AND(E1746&lt;&gt;"",E1746&lt;&gt;"!!!"),"NEW","")))</f>
        <v> </v>
      </c>
      <c r="G1746" s="23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4" t="str">
        <f>IF(J1746&lt;&gt;1,"",IF(I1746="SBJ","CB","?"))</f>
        <v> </v>
      </c>
      <c r="I1746" s="25" t="str">
        <f>IF(OR(E1746="",E1746="!!!",F1746="NEW"),"",INDEX(B1745:B$2,-1+SUMPRODUCT(MAX(ROW(E1745:E$2)*(E1746=E1745:E$2)))))</f>
        <v> </v>
      </c>
      <c r="J1746" s="25" t="str">
        <f>IF(OR(E1746="",E1746="!!!",F1746="NEW"),"",COUNTBLANK(OFFSET(A$1,,,SUMPRODUCT(MAX(ROW(E$2:E1746)*(E1746=E$2:E1746)))))-COUNTBLANK(OFFSET(A$1,,,SUMPRODUCT(MAX(ROW(E$1:E1745)*(E2=E$1:E1745))))))</f>
        <v> </v>
      </c>
      <c r="K1746" s="25" t="str">
        <f>IF(OR(E1746="",E1746="!!!",F1746="NEW"),"",INDEX(J$1:J1745,SUMPRODUCT(MAX(ROW(E$1:E1745)*(E1746=E$1:E1745)))))</f>
        <v> </v>
      </c>
      <c r="L1746" s="26"/>
    </row>
    <row r="1747" spans="1:12">
      <c r="A1747" s="20" t="s">
        <v>1194</v>
      </c>
      <c r="B1747" s="27" t="s">
        <v>592</v>
      </c>
      <c r="C1747" s="27" t="s">
        <v>545</v>
      </c>
      <c r="D1747" s="27" t="s">
        <v>524</v>
      </c>
      <c r="E1747" s="21">
        <f>IF(D1747="?OLD","!!!","")</f>
        <v/>
      </c>
      <c r="F1747" s="22" t="str">
        <f>IF(OR(E1747="",E1747="!!!"),"",IF(NOT(ISNA(VLOOKUP(E1747,E$1:E1746,1,FALSE()))),"OLD",IF(AND(E1747&lt;&gt;"",E1747&lt;&gt;"!!!"),"NEW","")))</f>
        <v> </v>
      </c>
      <c r="G1747" s="23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4" t="str">
        <f>IF(J1747&lt;&gt;1,"",IF(I1747="SBJ","CB","?"))</f>
        <v> </v>
      </c>
      <c r="I1747" s="25" t="str">
        <f>IF(OR(E1747="",E1747="!!!",F1747="NEW"),"",INDEX(B1746:B$2,-1+SUMPRODUCT(MAX(ROW(E1746:E$2)*(E1747=E1746:E$2)))))</f>
        <v> </v>
      </c>
      <c r="J1747" s="25" t="str">
        <f>IF(OR(E1747="",E1747="!!!",F1747="NEW"),"",COUNTBLANK(OFFSET(A$1,,,SUMPRODUCT(MAX(ROW(E$2:E1747)*(E1747=E$2:E1747)))))-COUNTBLANK(OFFSET(A$1,,,SUMPRODUCT(MAX(ROW(E$1:E1746)*(E2=E$1:E1746))))))</f>
        <v> </v>
      </c>
      <c r="K1747" s="25" t="str">
        <f>IF(OR(E1747="",E1747="!!!",F1747="NEW"),"",INDEX(J$1:J1746,SUMPRODUCT(MAX(ROW(E$1:E1746)*(E1747=E$1:E1746)))))</f>
        <v> </v>
      </c>
      <c r="L1747" s="26"/>
    </row>
    <row r="1748" spans="1:12">
      <c r="A1748" s="20" t="s">
        <v>1195</v>
      </c>
      <c r="E1748" s="21">
        <f>IF(D1748="?OLD","!!!","")</f>
        <v/>
      </c>
      <c r="F1748" s="22" t="str">
        <f>IF(OR(E1748="",E1748="!!!"),"",IF(NOT(ISNA(VLOOKUP(E1748,E$1:E1747,1,FALSE()))),"OLD",IF(AND(E1748&lt;&gt;"",E1748&lt;&gt;"!!!"),"NEW","")))</f>
        <v> </v>
      </c>
      <c r="G1748" s="23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4" t="str">
        <f>IF(J1748&lt;&gt;1,"",IF(I1748="SBJ","CB","?"))</f>
        <v> </v>
      </c>
      <c r="I1748" s="25" t="str">
        <f>IF(OR(E1748="",E1748="!!!",F1748="NEW"),"",INDEX(B1747:B$2,-1+SUMPRODUCT(MAX(ROW(E1747:E$2)*(E1748=E1747:E$2)))))</f>
        <v> </v>
      </c>
      <c r="J1748" s="25" t="str">
        <f>IF(OR(E1748="",E1748="!!!",F1748="NEW"),"",COUNTBLANK(OFFSET(A$1,,,SUMPRODUCT(MAX(ROW(E$2:E1748)*(E1748=E$2:E1748)))))-COUNTBLANK(OFFSET(A$1,,,SUMPRODUCT(MAX(ROW(E$1:E1747)*(E2=E$1:E1747))))))</f>
        <v> </v>
      </c>
      <c r="K1748" s="25" t="str">
        <f>IF(OR(E1748="",E1748="!!!",F1748="NEW"),"",INDEX(J$1:J1747,SUMPRODUCT(MAX(ROW(E$1:E1747)*(E1748=E$1:E1747)))))</f>
        <v> </v>
      </c>
      <c r="L1748" s="26"/>
    </row>
    <row r="1749" spans="1:12">
      <c r="A1749" s="20" t="s">
        <v>1196</v>
      </c>
      <c r="E1749" s="21">
        <f>IF(D1749="?OLD","!!!","")</f>
        <v/>
      </c>
      <c r="F1749" s="22" t="str">
        <f>IF(OR(E1749="",E1749="!!!"),"",IF(NOT(ISNA(VLOOKUP(E1749,E$1:E1748,1,FALSE()))),"OLD",IF(AND(E1749&lt;&gt;"",E1749&lt;&gt;"!!!"),"NEW","")))</f>
        <v> </v>
      </c>
      <c r="G1749" s="23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4" t="str">
        <f>IF(J1749&lt;&gt;1,"",IF(I1749="SBJ","CB","?"))</f>
        <v> </v>
      </c>
      <c r="I1749" s="25" t="str">
        <f>IF(OR(E1749="",E1749="!!!",F1749="NEW"),"",INDEX(B1748:B$2,-1+SUMPRODUCT(MAX(ROW(E1748:E$2)*(E1749=E1748:E$2)))))</f>
        <v> </v>
      </c>
      <c r="J1749" s="25" t="str">
        <f>IF(OR(E1749="",E1749="!!!",F1749="NEW"),"",COUNTBLANK(OFFSET(A$1,,,SUMPRODUCT(MAX(ROW(E$2:E1749)*(E1749=E$2:E1749)))))-COUNTBLANK(OFFSET(A$1,,,SUMPRODUCT(MAX(ROW(E$1:E1748)*(E2=E$1:E1748))))))</f>
        <v> </v>
      </c>
      <c r="K1749" s="25" t="str">
        <f>IF(OR(E1749="",E1749="!!!",F1749="NEW"),"",INDEX(J$1:J1748,SUMPRODUCT(MAX(ROW(E$1:E1748)*(E1749=E$1:E1748)))))</f>
        <v> </v>
      </c>
      <c r="L1749" s="26"/>
    </row>
    <row r="1750" spans="1:12">
      <c r="A1750" s="20" t="s">
        <v>549</v>
      </c>
      <c r="E1750" s="21">
        <f>IF(D1750="?OLD","!!!","")</f>
        <v/>
      </c>
      <c r="F1750" s="22" t="str">
        <f>IF(OR(E1750="",E1750="!!!"),"",IF(NOT(ISNA(VLOOKUP(E1750,E$1:E1749,1,FALSE()))),"OLD",IF(AND(E1750&lt;&gt;"",E1750&lt;&gt;"!!!"),"NEW","")))</f>
        <v> </v>
      </c>
      <c r="G1750" s="23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4" t="str">
        <f>IF(J1750&lt;&gt;1,"",IF(I1750="SBJ","CB","?"))</f>
        <v> </v>
      </c>
      <c r="I1750" s="25" t="str">
        <f>IF(OR(E1750="",E1750="!!!",F1750="NEW"),"",INDEX(B1749:B$2,-1+SUMPRODUCT(MAX(ROW(E1749:E$2)*(E1750=E1749:E$2)))))</f>
        <v> </v>
      </c>
      <c r="J1750" s="25" t="str">
        <f>IF(OR(E1750="",E1750="!!!",F1750="NEW"),"",COUNTBLANK(OFFSET(A$1,,,SUMPRODUCT(MAX(ROW(E$2:E1750)*(E1750=E$2:E1750)))))-COUNTBLANK(OFFSET(A$1,,,SUMPRODUCT(MAX(ROW(E$1:E1749)*(E2=E$1:E1749))))))</f>
        <v> </v>
      </c>
      <c r="K1750" s="25" t="str">
        <f>IF(OR(E1750="",E1750="!!!",F1750="NEW"),"",INDEX(J$1:J1749,SUMPRODUCT(MAX(ROW(E$1:E1749)*(E1750=E$1:E1749)))))</f>
        <v> </v>
      </c>
      <c r="L1750" s="26"/>
    </row>
    <row r="1751" spans="1:12">
      <c r="A1751" s="20"/>
    </row>
    <row r="1752" spans="1:12">
      <c r="A1752" s="20" t="s">
        <v>1197</v>
      </c>
    </row>
    <row r="1753" spans="1:12">
      <c r="A1753" s="20" t="s">
        <v>552</v>
      </c>
      <c r="E1753" s="21">
        <f>IF(D1753="?OLD","!!!","")</f>
        <v/>
      </c>
      <c r="F1753" s="22" t="str">
        <f>IF(OR(E1753="",E1753="!!!"),"",IF(NOT(ISNA(VLOOKUP(E1753,E$1:E1752,1,FALSE()))),"OLD",IF(AND(E1753&lt;&gt;"",E1753&lt;&gt;"!!!"),"NEW","")))</f>
        <v> </v>
      </c>
      <c r="G1753" s="23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4" t="str">
        <f>IF(J1753&lt;&gt;1,"",IF(I1753="SBJ","CB","?"))</f>
        <v> </v>
      </c>
      <c r="I1753" s="25" t="str">
        <f>IF(OR(E1753="",E1753="!!!",F1753="NEW"),"",INDEX(B1752:B$2,-1+SUMPRODUCT(MAX(ROW(E1752:E$2)*(E1753=E1752:E$2)))))</f>
        <v> </v>
      </c>
      <c r="J1753" s="25" t="str">
        <f>IF(OR(E1753="",E1753="!!!",F1753="NEW"),"",COUNTBLANK(OFFSET(A$1,,,SUMPRODUCT(MAX(ROW(E$2:E1753)*(E1753=E$2:E1753)))))-COUNTBLANK(OFFSET(A$1,,,SUMPRODUCT(MAX(ROW(E$1:E1752)*(E2=E$1:E1752))))))</f>
        <v> </v>
      </c>
      <c r="K1753" s="25" t="str">
        <f>IF(OR(E1753="",E1753="!!!",F1753="NEW"),"",INDEX(J$1:J1752,SUMPRODUCT(MAX(ROW(E$1:E1752)*(E1753=E$1:E1752)))))</f>
        <v> </v>
      </c>
      <c r="L1753" s="26"/>
    </row>
    <row r="1754" spans="1:12">
      <c r="A1754" s="20" t="s">
        <v>708</v>
      </c>
      <c r="E1754" s="21">
        <f>IF(D1754="?OLD","!!!","")</f>
        <v/>
      </c>
      <c r="F1754" s="22" t="str">
        <f>IF(OR(E1754="",E1754="!!!"),"",IF(NOT(ISNA(VLOOKUP(E1754,E$1:E1753,1,FALSE()))),"OLD",IF(AND(E1754&lt;&gt;"",E1754&lt;&gt;"!!!"),"NEW","")))</f>
        <v> </v>
      </c>
      <c r="G1754" s="23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4" t="str">
        <f>IF(J1754&lt;&gt;1,"",IF(I1754="SBJ","CB","?"))</f>
        <v> </v>
      </c>
      <c r="I1754" s="25" t="str">
        <f>IF(OR(E1754="",E1754="!!!",F1754="NEW"),"",INDEX(B1753:B$2,-1+SUMPRODUCT(MAX(ROW(E1753:E$2)*(E1754=E1753:E$2)))))</f>
        <v> </v>
      </c>
      <c r="J1754" s="25" t="str">
        <f>IF(OR(E1754="",E1754="!!!",F1754="NEW"),"",COUNTBLANK(OFFSET(A$1,,,SUMPRODUCT(MAX(ROW(E$2:E1754)*(E1754=E$2:E1754)))))-COUNTBLANK(OFFSET(A$1,,,SUMPRODUCT(MAX(ROW(E$1:E1753)*(E2=E$1:E1753))))))</f>
        <v> </v>
      </c>
      <c r="K1754" s="25" t="str">
        <f>IF(OR(E1754="",E1754="!!!",F1754="NEW"),"",INDEX(J$1:J1753,SUMPRODUCT(MAX(ROW(E$1:E1753)*(E1754=E$1:E1753)))))</f>
        <v> </v>
      </c>
      <c r="L1754" s="26"/>
    </row>
    <row r="1755" spans="1:12">
      <c r="A1755" s="20" t="s">
        <v>1198</v>
      </c>
      <c r="E1755" s="21">
        <f>IF(D1755="?OLD","!!!","")</f>
        <v/>
      </c>
      <c r="F1755" s="22" t="str">
        <f>IF(OR(E1755="",E1755="!!!"),"",IF(NOT(ISNA(VLOOKUP(E1755,E$1:E1754,1,FALSE()))),"OLD",IF(AND(E1755&lt;&gt;"",E1755&lt;&gt;"!!!"),"NEW","")))</f>
        <v> </v>
      </c>
      <c r="G1755" s="23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4" t="str">
        <f>IF(J1755&lt;&gt;1,"",IF(I1755="SBJ","CB","?"))</f>
        <v> </v>
      </c>
      <c r="I1755" s="25" t="str">
        <f>IF(OR(E1755="",E1755="!!!",F1755="NEW"),"",INDEX(B1754:B$2,-1+SUMPRODUCT(MAX(ROW(E1754:E$2)*(E1755=E1754:E$2)))))</f>
        <v> </v>
      </c>
      <c r="J1755" s="25" t="str">
        <f>IF(OR(E1755="",E1755="!!!",F1755="NEW"),"",COUNTBLANK(OFFSET(A$1,,,SUMPRODUCT(MAX(ROW(E$2:E1755)*(E1755=E$2:E1755)))))-COUNTBLANK(OFFSET(A$1,,,SUMPRODUCT(MAX(ROW(E$1:E1754)*(E2=E$1:E1754))))))</f>
        <v> </v>
      </c>
      <c r="K1755" s="25" t="str">
        <f>IF(OR(E1755="",E1755="!!!",F1755="NEW"),"",INDEX(J$1:J1754,SUMPRODUCT(MAX(ROW(E$1:E1754)*(E1755=E$1:E1754)))))</f>
        <v> </v>
      </c>
      <c r="L1755" s="26"/>
    </row>
    <row r="1756" spans="1:12">
      <c r="A1756" s="20" t="s">
        <v>542</v>
      </c>
      <c r="E1756" s="21">
        <f>IF(D1756="?OLD","!!!","")</f>
        <v/>
      </c>
      <c r="F1756" s="22" t="str">
        <f>IF(OR(E1756="",E1756="!!!"),"",IF(NOT(ISNA(VLOOKUP(E1756,E$1:E1755,1,FALSE()))),"OLD",IF(AND(E1756&lt;&gt;"",E1756&lt;&gt;"!!!"),"NEW","")))</f>
        <v> </v>
      </c>
      <c r="G1756" s="23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4" t="str">
        <f>IF(J1756&lt;&gt;1,"",IF(I1756="SBJ","CB","?"))</f>
        <v> </v>
      </c>
      <c r="I1756" s="25" t="str">
        <f>IF(OR(E1756="",E1756="!!!",F1756="NEW"),"",INDEX(B1755:B$2,-1+SUMPRODUCT(MAX(ROW(E1755:E$2)*(E1756=E1755:E$2)))))</f>
        <v> </v>
      </c>
      <c r="J1756" s="25" t="str">
        <f>IF(OR(E1756="",E1756="!!!",F1756="NEW"),"",COUNTBLANK(OFFSET(A$1,,,SUMPRODUCT(MAX(ROW(E$2:E1756)*(E1756=E$2:E1756)))))-COUNTBLANK(OFFSET(A$1,,,SUMPRODUCT(MAX(ROW(E$1:E1755)*(E2=E$1:E1755))))))</f>
        <v> </v>
      </c>
      <c r="K1756" s="25" t="str">
        <f>IF(OR(E1756="",E1756="!!!",F1756="NEW"),"",INDEX(J$1:J1755,SUMPRODUCT(MAX(ROW(E$1:E1755)*(E1756=E$1:E1755)))))</f>
        <v> </v>
      </c>
      <c r="L1756" s="26"/>
    </row>
    <row r="1757" spans="1:12">
      <c r="A1757" s="20" t="s">
        <v>718</v>
      </c>
      <c r="B1757" s="27" t="s">
        <v>556</v>
      </c>
      <c r="C1757" s="27" t="s">
        <v>545</v>
      </c>
      <c r="D1757" s="27" t="s">
        <v>524</v>
      </c>
      <c r="E1757" s="21">
        <f>IF(D1757="?OLD","!!!","")</f>
        <v/>
      </c>
      <c r="F1757" s="22" t="str">
        <f>IF(OR(E1757="",E1757="!!!"),"",IF(NOT(ISNA(VLOOKUP(E1757,E$1:E1756,1,FALSE()))),"OLD",IF(AND(E1757&lt;&gt;"",E1757&lt;&gt;"!!!"),"NEW","")))</f>
        <v> </v>
      </c>
      <c r="G1757" s="23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4" t="str">
        <f>IF(J1757&lt;&gt;1,"",IF(I1757="SBJ","CB","?"))</f>
        <v> </v>
      </c>
      <c r="I1757" s="25" t="str">
        <f>IF(OR(E1757="",E1757="!!!",F1757="NEW"),"",INDEX(B1756:B$2,-1+SUMPRODUCT(MAX(ROW(E1756:E$2)*(E1757=E1756:E$2)))))</f>
        <v> </v>
      </c>
      <c r="J1757" s="25" t="str">
        <f>IF(OR(E1757="",E1757="!!!",F1757="NEW"),"",COUNTBLANK(OFFSET(A$1,,,SUMPRODUCT(MAX(ROW(E$2:E1757)*(E1757=E$2:E1757)))))-COUNTBLANK(OFFSET(A$1,,,SUMPRODUCT(MAX(ROW(E$1:E1756)*(E2=E$1:E1756))))))</f>
        <v> </v>
      </c>
      <c r="K1757" s="25" t="str">
        <f>IF(OR(E1757="",E1757="!!!",F1757="NEW"),"",INDEX(J$1:J1756,SUMPRODUCT(MAX(ROW(E$1:E1756)*(E1757=E$1:E1756)))))</f>
        <v> </v>
      </c>
      <c r="L1757" s="26"/>
    </row>
    <row r="1758" spans="1:12">
      <c r="A1758" s="20" t="s">
        <v>719</v>
      </c>
      <c r="E1758" s="21">
        <f>IF(D1758="?OLD","!!!","")</f>
        <v/>
      </c>
      <c r="F1758" s="22" t="str">
        <f>IF(OR(E1758="",E1758="!!!"),"",IF(NOT(ISNA(VLOOKUP(E1758,E$1:E1757,1,FALSE()))),"OLD",IF(AND(E1758&lt;&gt;"",E1758&lt;&gt;"!!!"),"NEW","")))</f>
        <v> </v>
      </c>
      <c r="G1758" s="23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4" t="str">
        <f>IF(J1758&lt;&gt;1,"",IF(I1758="SBJ","CB","?"))</f>
        <v> </v>
      </c>
      <c r="I1758" s="25" t="str">
        <f>IF(OR(E1758="",E1758="!!!",F1758="NEW"),"",INDEX(B1757:B$2,-1+SUMPRODUCT(MAX(ROW(E1757:E$2)*(E1758=E1757:E$2)))))</f>
        <v> </v>
      </c>
      <c r="J1758" s="25" t="str">
        <f>IF(OR(E1758="",E1758="!!!",F1758="NEW"),"",COUNTBLANK(OFFSET(A$1,,,SUMPRODUCT(MAX(ROW(E$2:E1758)*(E1758=E$2:E1758)))))-COUNTBLANK(OFFSET(A$1,,,SUMPRODUCT(MAX(ROW(E$1:E1757)*(E2=E$1:E1757))))))</f>
        <v> </v>
      </c>
      <c r="K1758" s="25" t="str">
        <f>IF(OR(E1758="",E1758="!!!",F1758="NEW"),"",INDEX(J$1:J1757,SUMPRODUCT(MAX(ROW(E$1:E1757)*(E1758=E$1:E1757)))))</f>
        <v> </v>
      </c>
      <c r="L1758" s="26"/>
    </row>
    <row r="1759" spans="1:12">
      <c r="A1759" s="20" t="s">
        <v>538</v>
      </c>
      <c r="E1759" s="21">
        <f>IF(D1759="?OLD","!!!","")</f>
        <v/>
      </c>
      <c r="F1759" s="22" t="str">
        <f>IF(OR(E1759="",E1759="!!!"),"",IF(NOT(ISNA(VLOOKUP(E1759,E$1:E1758,1,FALSE()))),"OLD",IF(AND(E1759&lt;&gt;"",E1759&lt;&gt;"!!!"),"NEW","")))</f>
        <v> </v>
      </c>
      <c r="G1759" s="23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4" t="str">
        <f>IF(J1759&lt;&gt;1,"",IF(I1759="SBJ","CB","?"))</f>
        <v> </v>
      </c>
      <c r="I1759" s="25" t="str">
        <f>IF(OR(E1759="",E1759="!!!",F1759="NEW"),"",INDEX(B1758:B$2,-1+SUMPRODUCT(MAX(ROW(E1758:E$2)*(E1759=E1758:E$2)))))</f>
        <v> </v>
      </c>
      <c r="J1759" s="25" t="str">
        <f>IF(OR(E1759="",E1759="!!!",F1759="NEW"),"",COUNTBLANK(OFFSET(A$1,,,SUMPRODUCT(MAX(ROW(E$2:E1759)*(E1759=E$2:E1759)))))-COUNTBLANK(OFFSET(A$1,,,SUMPRODUCT(MAX(ROW(E$1:E1758)*(E2=E$1:E1758))))))</f>
        <v> </v>
      </c>
      <c r="K1759" s="25" t="str">
        <f>IF(OR(E1759="",E1759="!!!",F1759="NEW"),"",INDEX(J$1:J1758,SUMPRODUCT(MAX(ROW(E$1:E1758)*(E1759=E$1:E1758)))))</f>
        <v> </v>
      </c>
      <c r="L1759" s="26"/>
    </row>
    <row r="1760" spans="1:12">
      <c r="A1760" s="20" t="s">
        <v>1199</v>
      </c>
      <c r="B1760" s="27" t="s">
        <v>534</v>
      </c>
      <c r="C1760" s="27" t="s">
        <v>991</v>
      </c>
      <c r="D1760" s="27" t="s">
        <v>524</v>
      </c>
      <c r="E1760" s="21">
        <f>IF(D1760="?OLD","!!!","")</f>
        <v/>
      </c>
      <c r="F1760" s="22" t="str">
        <f>IF(OR(E1760="",E1760="!!!"),"",IF(NOT(ISNA(VLOOKUP(E1760,E$1:E1759,1,FALSE()))),"OLD",IF(AND(E1760&lt;&gt;"",E1760&lt;&gt;"!!!"),"NEW","")))</f>
        <v> </v>
      </c>
      <c r="G1760" s="23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4" t="str">
        <f>IF(J1760&lt;&gt;1,"",IF(I1760="SBJ","CB","?"))</f>
        <v> </v>
      </c>
      <c r="I1760" s="25" t="str">
        <f>IF(OR(E1760="",E1760="!!!",F1760="NEW"),"",INDEX(B1759:B$2,-1+SUMPRODUCT(MAX(ROW(E1759:E$2)*(E1760=E1759:E$2)))))</f>
        <v> </v>
      </c>
      <c r="J1760" s="25" t="str">
        <f>IF(OR(E1760="",E1760="!!!",F1760="NEW"),"",COUNTBLANK(OFFSET(A$1,,,SUMPRODUCT(MAX(ROW(E$2:E1760)*(E1760=E$2:E1760)))))-COUNTBLANK(OFFSET(A$1,,,SUMPRODUCT(MAX(ROW(E$1:E1759)*(E2=E$1:E1759))))))</f>
        <v> </v>
      </c>
      <c r="K1760" s="25" t="str">
        <f>IF(OR(E1760="",E1760="!!!",F1760="NEW"),"",INDEX(J$1:J1759,SUMPRODUCT(MAX(ROW(E$1:E1759)*(E1760=E$1:E1759)))))</f>
        <v> </v>
      </c>
      <c r="L1760" s="26"/>
    </row>
    <row r="1761" spans="1:12">
      <c r="A1761" s="20" t="s">
        <v>565</v>
      </c>
      <c r="E1761" s="21">
        <f>IF(D1761="?OLD","!!!","")</f>
        <v/>
      </c>
      <c r="F1761" s="22" t="str">
        <f>IF(OR(E1761="",E1761="!!!"),"",IF(NOT(ISNA(VLOOKUP(E1761,E$1:E1760,1,FALSE()))),"OLD",IF(AND(E1761&lt;&gt;"",E1761&lt;&gt;"!!!"),"NEW","")))</f>
        <v> </v>
      </c>
      <c r="G1761" s="23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4" t="str">
        <f>IF(J1761&lt;&gt;1,"",IF(I1761="SBJ","CB","?"))</f>
        <v> </v>
      </c>
      <c r="I1761" s="25" t="str">
        <f>IF(OR(E1761="",E1761="!!!",F1761="NEW"),"",INDEX(B1760:B$2,-1+SUMPRODUCT(MAX(ROW(E1760:E$2)*(E1761=E1760:E$2)))))</f>
        <v> </v>
      </c>
      <c r="J1761" s="25" t="str">
        <f>IF(OR(E1761="",E1761="!!!",F1761="NEW"),"",COUNTBLANK(OFFSET(A$1,,,SUMPRODUCT(MAX(ROW(E$2:E1761)*(E1761=E$2:E1761)))))-COUNTBLANK(OFFSET(A$1,,,SUMPRODUCT(MAX(ROW(E$1:E1760)*(E2=E$1:E1760))))))</f>
        <v> </v>
      </c>
      <c r="K1761" s="25" t="str">
        <f>IF(OR(E1761="",E1761="!!!",F1761="NEW"),"",INDEX(J$1:J1760,SUMPRODUCT(MAX(ROW(E$1:E1760)*(E1761=E$1:E1760)))))</f>
        <v> </v>
      </c>
      <c r="L1761" s="26"/>
    </row>
    <row r="1762" spans="1:12">
      <c r="A1762" s="20" t="s">
        <v>574</v>
      </c>
      <c r="E1762" s="21">
        <f>IF(D1762="?OLD","!!!","")</f>
        <v/>
      </c>
      <c r="F1762" s="22" t="str">
        <f>IF(OR(E1762="",E1762="!!!"),"",IF(NOT(ISNA(VLOOKUP(E1762,E$1:E1761,1,FALSE()))),"OLD",IF(AND(E1762&lt;&gt;"",E1762&lt;&gt;"!!!"),"NEW","")))</f>
        <v> </v>
      </c>
      <c r="G1762" s="23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4" t="str">
        <f>IF(J1762&lt;&gt;1,"",IF(I1762="SBJ","CB","?"))</f>
        <v> </v>
      </c>
      <c r="I1762" s="25" t="str">
        <f>IF(OR(E1762="",E1762="!!!",F1762="NEW"),"",INDEX(B1761:B$2,-1+SUMPRODUCT(MAX(ROW(E1761:E$2)*(E1762=E1761:E$2)))))</f>
        <v> </v>
      </c>
      <c r="J1762" s="25" t="str">
        <f>IF(OR(E1762="",E1762="!!!",F1762="NEW"),"",COUNTBLANK(OFFSET(A$1,,,SUMPRODUCT(MAX(ROW(E$2:E1762)*(E1762=E$2:E1762)))))-COUNTBLANK(OFFSET(A$1,,,SUMPRODUCT(MAX(ROW(E$1:E1761)*(E2=E$1:E1761))))))</f>
        <v> </v>
      </c>
      <c r="K1762" s="25" t="str">
        <f>IF(OR(E1762="",E1762="!!!",F1762="NEW"),"",INDEX(J$1:J1761,SUMPRODUCT(MAX(ROW(E$1:E1761)*(E1762=E$1:E1761)))))</f>
        <v> </v>
      </c>
      <c r="L1762" s="26"/>
    </row>
    <row r="1763" spans="1:12">
      <c r="A1763" s="20" t="s">
        <v>708</v>
      </c>
      <c r="E1763" s="21">
        <f>IF(D1763="?OLD","!!!","")</f>
        <v/>
      </c>
      <c r="F1763" s="22" t="str">
        <f>IF(OR(E1763="",E1763="!!!"),"",IF(NOT(ISNA(VLOOKUP(E1763,E$1:E1762,1,FALSE()))),"OLD",IF(AND(E1763&lt;&gt;"",E1763&lt;&gt;"!!!"),"NEW","")))</f>
        <v> </v>
      </c>
      <c r="G1763" s="23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4" t="str">
        <f>IF(J1763&lt;&gt;1,"",IF(I1763="SBJ","CB","?"))</f>
        <v> </v>
      </c>
      <c r="I1763" s="25" t="str">
        <f>IF(OR(E1763="",E1763="!!!",F1763="NEW"),"",INDEX(B1762:B$2,-1+SUMPRODUCT(MAX(ROW(E1762:E$2)*(E1763=E1762:E$2)))))</f>
        <v> </v>
      </c>
      <c r="J1763" s="25" t="str">
        <f>IF(OR(E1763="",E1763="!!!",F1763="NEW"),"",COUNTBLANK(OFFSET(A$1,,,SUMPRODUCT(MAX(ROW(E$2:E1763)*(E1763=E$2:E1763)))))-COUNTBLANK(OFFSET(A$1,,,SUMPRODUCT(MAX(ROW(E$1:E1762)*(E2=E$1:E1762))))))</f>
        <v> </v>
      </c>
      <c r="K1763" s="25" t="str">
        <f>IF(OR(E1763="",E1763="!!!",F1763="NEW"),"",INDEX(J$1:J1762,SUMPRODUCT(MAX(ROW(E$1:E1762)*(E1763=E$1:E1762)))))</f>
        <v> </v>
      </c>
      <c r="L1763" s="26"/>
    </row>
    <row r="1764" spans="1:12">
      <c r="A1764" s="20" t="s">
        <v>1200</v>
      </c>
      <c r="E1764" s="21">
        <f>IF(D1764="?OLD","!!!","")</f>
        <v/>
      </c>
      <c r="F1764" s="22" t="str">
        <f>IF(OR(E1764="",E1764="!!!"),"",IF(NOT(ISNA(VLOOKUP(E1764,E$1:E1763,1,FALSE()))),"OLD",IF(AND(E1764&lt;&gt;"",E1764&lt;&gt;"!!!"),"NEW","")))</f>
        <v> </v>
      </c>
      <c r="G1764" s="23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4" t="str">
        <f>IF(J1764&lt;&gt;1,"",IF(I1764="SBJ","CB","?"))</f>
        <v> </v>
      </c>
      <c r="I1764" s="25" t="str">
        <f>IF(OR(E1764="",E1764="!!!",F1764="NEW"),"",INDEX(B1763:B$2,-1+SUMPRODUCT(MAX(ROW(E1763:E$2)*(E1764=E1763:E$2)))))</f>
        <v> </v>
      </c>
      <c r="J1764" s="25" t="str">
        <f>IF(OR(E1764="",E1764="!!!",F1764="NEW"),"",COUNTBLANK(OFFSET(A$1,,,SUMPRODUCT(MAX(ROW(E$2:E1764)*(E1764=E$2:E1764)))))-COUNTBLANK(OFFSET(A$1,,,SUMPRODUCT(MAX(ROW(E$1:E1763)*(E2=E$1:E1763))))))</f>
        <v> </v>
      </c>
      <c r="K1764" s="25" t="str">
        <f>IF(OR(E1764="",E1764="!!!",F1764="NEW"),"",INDEX(J$1:J1763,SUMPRODUCT(MAX(ROW(E$1:E1763)*(E1764=E$1:E1763)))))</f>
        <v> </v>
      </c>
      <c r="L1764" s="26"/>
    </row>
    <row r="1765" spans="1:12">
      <c r="A1765" s="20" t="s">
        <v>571</v>
      </c>
      <c r="E1765" s="21">
        <f>IF(D1765="?OLD","!!!","")</f>
        <v/>
      </c>
      <c r="F1765" s="22" t="str">
        <f>IF(OR(E1765="",E1765="!!!"),"",IF(NOT(ISNA(VLOOKUP(E1765,E$1:E1764,1,FALSE()))),"OLD",IF(AND(E1765&lt;&gt;"",E1765&lt;&gt;"!!!"),"NEW","")))</f>
        <v> </v>
      </c>
      <c r="G1765" s="23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4" t="str">
        <f>IF(J1765&lt;&gt;1,"",IF(I1765="SBJ","CB","?"))</f>
        <v> </v>
      </c>
      <c r="I1765" s="25" t="str">
        <f>IF(OR(E1765="",E1765="!!!",F1765="NEW"),"",INDEX(B1764:B$2,-1+SUMPRODUCT(MAX(ROW(E1764:E$2)*(E1765=E1764:E$2)))))</f>
        <v> </v>
      </c>
      <c r="J1765" s="25" t="str">
        <f>IF(OR(E1765="",E1765="!!!",F1765="NEW"),"",COUNTBLANK(OFFSET(A$1,,,SUMPRODUCT(MAX(ROW(E$2:E1765)*(E1765=E$2:E1765)))))-COUNTBLANK(OFFSET(A$1,,,SUMPRODUCT(MAX(ROW(E$1:E1764)*(E2=E$1:E1764))))))</f>
        <v> </v>
      </c>
      <c r="K1765" s="25" t="str">
        <f>IF(OR(E1765="",E1765="!!!",F1765="NEW"),"",INDEX(J$1:J1764,SUMPRODUCT(MAX(ROW(E$1:E1764)*(E1765=E$1:E1764)))))</f>
        <v> </v>
      </c>
      <c r="L1765" s="26"/>
    </row>
    <row r="1766" spans="1:12">
      <c r="A1766" s="20" t="s">
        <v>722</v>
      </c>
      <c r="B1766" s="27" t="s">
        <v>641</v>
      </c>
      <c r="C1766" s="27" t="s">
        <v>669</v>
      </c>
      <c r="D1766" s="27" t="s">
        <v>524</v>
      </c>
      <c r="E1766" s="21">
        <f>IF(D1766="?OLD","!!!","")</f>
        <v/>
      </c>
      <c r="F1766" s="22" t="str">
        <f>IF(OR(E1766="",E1766="!!!"),"",IF(NOT(ISNA(VLOOKUP(E1766,E$1:E1765,1,FALSE()))),"OLD",IF(AND(E1766&lt;&gt;"",E1766&lt;&gt;"!!!"),"NEW","")))</f>
        <v> </v>
      </c>
      <c r="G1766" s="23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4" t="str">
        <f>IF(J1766&lt;&gt;1,"",IF(I1766="SBJ","CB","?"))</f>
        <v> </v>
      </c>
      <c r="I1766" s="25" t="str">
        <f>IF(OR(E1766="",E1766="!!!",F1766="NEW"),"",INDEX(B1765:B$2,-1+SUMPRODUCT(MAX(ROW(E1765:E$2)*(E1766=E1765:E$2)))))</f>
        <v> </v>
      </c>
      <c r="J1766" s="25" t="str">
        <f>IF(OR(E1766="",E1766="!!!",F1766="NEW"),"",COUNTBLANK(OFFSET(A$1,,,SUMPRODUCT(MAX(ROW(E$2:E1766)*(E1766=E$2:E1766)))))-COUNTBLANK(OFFSET(A$1,,,SUMPRODUCT(MAX(ROW(E$1:E1765)*(E2=E$1:E1765))))))</f>
        <v> </v>
      </c>
      <c r="K1766" s="25" t="str">
        <f>IF(OR(E1766="",E1766="!!!",F1766="NEW"),"",INDEX(J$1:J1765,SUMPRODUCT(MAX(ROW(E$1:E1765)*(E1766=E$1:E1765)))))</f>
        <v> </v>
      </c>
      <c r="L1766" s="26"/>
    </row>
    <row r="1767" spans="1:12">
      <c r="A1767" s="20" t="s">
        <v>814</v>
      </c>
      <c r="B1767" s="27" t="s">
        <v>573</v>
      </c>
      <c r="C1767" s="27" t="s">
        <v>545</v>
      </c>
      <c r="D1767" s="27" t="s">
        <v>524</v>
      </c>
      <c r="E1767" s="21">
        <f>IF(D1767="?OLD","!!!","")</f>
        <v/>
      </c>
      <c r="F1767" s="22" t="str">
        <f>IF(OR(E1767="",E1767="!!!"),"",IF(NOT(ISNA(VLOOKUP(E1767,E$1:E1766,1,FALSE()))),"OLD",IF(AND(E1767&lt;&gt;"",E1767&lt;&gt;"!!!"),"NEW","")))</f>
        <v> </v>
      </c>
      <c r="G1767" s="23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4" t="str">
        <f>IF(J1767&lt;&gt;1,"",IF(I1767="SBJ","CB","?"))</f>
        <v> </v>
      </c>
      <c r="I1767" s="25" t="str">
        <f>IF(OR(E1767="",E1767="!!!",F1767="NEW"),"",INDEX(B1766:B$2,-1+SUMPRODUCT(MAX(ROW(E1766:E$2)*(E1767=E1766:E$2)))))</f>
        <v> </v>
      </c>
      <c r="J1767" s="25" t="str">
        <f>IF(OR(E1767="",E1767="!!!",F1767="NEW"),"",COUNTBLANK(OFFSET(A$1,,,SUMPRODUCT(MAX(ROW(E$2:E1767)*(E1767=E$2:E1767)))))-COUNTBLANK(OFFSET(A$1,,,SUMPRODUCT(MAX(ROW(E$1:E1766)*(E2=E$1:E1766))))))</f>
        <v> </v>
      </c>
      <c r="K1767" s="25" t="str">
        <f>IF(OR(E1767="",E1767="!!!",F1767="NEW"),"",INDEX(J$1:J1766,SUMPRODUCT(MAX(ROW(E$1:E1766)*(E1767=E$1:E1766)))))</f>
        <v> </v>
      </c>
      <c r="L1767" s="26"/>
    </row>
    <row r="1768" spans="1:12">
      <c r="A1768" s="20" t="s">
        <v>565</v>
      </c>
      <c r="E1768" s="21">
        <f>IF(D1768="?OLD","!!!","")</f>
        <v/>
      </c>
      <c r="F1768" s="22" t="str">
        <f>IF(OR(E1768="",E1768="!!!"),"",IF(NOT(ISNA(VLOOKUP(E1768,E$1:E1767,1,FALSE()))),"OLD",IF(AND(E1768&lt;&gt;"",E1768&lt;&gt;"!!!"),"NEW","")))</f>
        <v> </v>
      </c>
      <c r="G1768" s="23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4" t="str">
        <f>IF(J1768&lt;&gt;1,"",IF(I1768="SBJ","CB","?"))</f>
        <v> </v>
      </c>
      <c r="I1768" s="25" t="str">
        <f>IF(OR(E1768="",E1768="!!!",F1768="NEW"),"",INDEX(B1767:B$2,-1+SUMPRODUCT(MAX(ROW(E1767:E$2)*(E1768=E1767:E$2)))))</f>
        <v> </v>
      </c>
      <c r="J1768" s="25" t="str">
        <f>IF(OR(E1768="",E1768="!!!",F1768="NEW"),"",COUNTBLANK(OFFSET(A$1,,,SUMPRODUCT(MAX(ROW(E$2:E1768)*(E1768=E$2:E1768)))))-COUNTBLANK(OFFSET(A$1,,,SUMPRODUCT(MAX(ROW(E$1:E1767)*(E2=E$1:E1767))))))</f>
        <v> </v>
      </c>
      <c r="K1768" s="25" t="str">
        <f>IF(OR(E1768="",E1768="!!!",F1768="NEW"),"",INDEX(J$1:J1767,SUMPRODUCT(MAX(ROW(E$1:E1767)*(E1768=E$1:E1767)))))</f>
        <v> </v>
      </c>
      <c r="L1768" s="26"/>
    </row>
    <row r="1769" spans="1:12">
      <c r="A1769" s="20" t="s">
        <v>1201</v>
      </c>
      <c r="E1769" s="21">
        <f>IF(D1769="?OLD","!!!","")</f>
        <v/>
      </c>
      <c r="F1769" s="22" t="str">
        <f>IF(OR(E1769="",E1769="!!!"),"",IF(NOT(ISNA(VLOOKUP(E1769,E$1:E1768,1,FALSE()))),"OLD",IF(AND(E1769&lt;&gt;"",E1769&lt;&gt;"!!!"),"NEW","")))</f>
        <v> </v>
      </c>
      <c r="G1769" s="23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4" t="str">
        <f>IF(J1769&lt;&gt;1,"",IF(I1769="SBJ","CB","?"))</f>
        <v> </v>
      </c>
      <c r="I1769" s="25" t="str">
        <f>IF(OR(E1769="",E1769="!!!",F1769="NEW"),"",INDEX(B1768:B$2,-1+SUMPRODUCT(MAX(ROW(E1768:E$2)*(E1769=E1768:E$2)))))</f>
        <v> </v>
      </c>
      <c r="J1769" s="25" t="str">
        <f>IF(OR(E1769="",E1769="!!!",F1769="NEW"),"",COUNTBLANK(OFFSET(A$1,,,SUMPRODUCT(MAX(ROW(E$2:E1769)*(E1769=E$2:E1769)))))-COUNTBLANK(OFFSET(A$1,,,SUMPRODUCT(MAX(ROW(E$1:E1768)*(E2=E$1:E1768))))))</f>
        <v> </v>
      </c>
      <c r="K1769" s="25" t="str">
        <f>IF(OR(E1769="",E1769="!!!",F1769="NEW"),"",INDEX(J$1:J1768,SUMPRODUCT(MAX(ROW(E$1:E1768)*(E1769=E$1:E1768)))))</f>
        <v> </v>
      </c>
      <c r="L1769" s="26"/>
    </row>
    <row r="1770" spans="1:12">
      <c r="A1770" s="20" t="s">
        <v>542</v>
      </c>
      <c r="E1770" s="21">
        <f>IF(D1770="?OLD","!!!","")</f>
        <v/>
      </c>
      <c r="F1770" s="22" t="str">
        <f>IF(OR(E1770="",E1770="!!!"),"",IF(NOT(ISNA(VLOOKUP(E1770,E$1:E1769,1,FALSE()))),"OLD",IF(AND(E1770&lt;&gt;"",E1770&lt;&gt;"!!!"),"NEW","")))</f>
        <v> </v>
      </c>
      <c r="G1770" s="23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4" t="str">
        <f>IF(J1770&lt;&gt;1,"",IF(I1770="SBJ","CB","?"))</f>
        <v> </v>
      </c>
      <c r="I1770" s="25" t="str">
        <f>IF(OR(E1770="",E1770="!!!",F1770="NEW"),"",INDEX(B1769:B$2,-1+SUMPRODUCT(MAX(ROW(E1769:E$2)*(E1770=E1769:E$2)))))</f>
        <v> </v>
      </c>
      <c r="J1770" s="25" t="str">
        <f>IF(OR(E1770="",E1770="!!!",F1770="NEW"),"",COUNTBLANK(OFFSET(A$1,,,SUMPRODUCT(MAX(ROW(E$2:E1770)*(E1770=E$2:E1770)))))-COUNTBLANK(OFFSET(A$1,,,SUMPRODUCT(MAX(ROW(E$1:E1769)*(E2=E$1:E1769))))))</f>
        <v> </v>
      </c>
      <c r="K1770" s="25" t="str">
        <f>IF(OR(E1770="",E1770="!!!",F1770="NEW"),"",INDEX(J$1:J1769,SUMPRODUCT(MAX(ROW(E$1:E1769)*(E1770=E$1:E1769)))))</f>
        <v> </v>
      </c>
      <c r="L1770" s="26"/>
    </row>
    <row r="1771" spans="1:12">
      <c r="A1771" s="20" t="s">
        <v>1202</v>
      </c>
      <c r="E1771" s="21">
        <f>IF(D1771="?OLD","!!!","")</f>
        <v/>
      </c>
      <c r="F1771" s="22" t="str">
        <f>IF(OR(E1771="",E1771="!!!"),"",IF(NOT(ISNA(VLOOKUP(E1771,E$1:E1770,1,FALSE()))),"OLD",IF(AND(E1771&lt;&gt;"",E1771&lt;&gt;"!!!"),"NEW","")))</f>
        <v> </v>
      </c>
      <c r="G1771" s="23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4" t="str">
        <f>IF(J1771&lt;&gt;1,"",IF(I1771="SBJ","CB","?"))</f>
        <v> </v>
      </c>
      <c r="I1771" s="25" t="str">
        <f>IF(OR(E1771="",E1771="!!!",F1771="NEW"),"",INDEX(B1770:B$2,-1+SUMPRODUCT(MAX(ROW(E1770:E$2)*(E1771=E1770:E$2)))))</f>
        <v> </v>
      </c>
      <c r="J1771" s="25" t="str">
        <f>IF(OR(E1771="",E1771="!!!",F1771="NEW"),"",COUNTBLANK(OFFSET(A$1,,,SUMPRODUCT(MAX(ROW(E$2:E1771)*(E1771=E$2:E1771)))))-COUNTBLANK(OFFSET(A$1,,,SUMPRODUCT(MAX(ROW(E$1:E1770)*(E2=E$1:E1770))))))</f>
        <v> </v>
      </c>
      <c r="K1771" s="25" t="str">
        <f>IF(OR(E1771="",E1771="!!!",F1771="NEW"),"",INDEX(J$1:J1770,SUMPRODUCT(MAX(ROW(E$1:E1770)*(E1771=E$1:E1770)))))</f>
        <v> </v>
      </c>
      <c r="L1771" s="26"/>
    </row>
    <row r="1772" spans="1:12">
      <c r="A1772" s="20" t="s">
        <v>429</v>
      </c>
      <c r="E1772" s="21">
        <f>IF(D1772="?OLD","!!!","")</f>
        <v/>
      </c>
      <c r="F1772" s="22" t="str">
        <f>IF(OR(E1772="",E1772="!!!"),"",IF(NOT(ISNA(VLOOKUP(E1772,E$1:E1771,1,FALSE()))),"OLD",IF(AND(E1772&lt;&gt;"",E1772&lt;&gt;"!!!"),"NEW","")))</f>
        <v> </v>
      </c>
      <c r="G1772" s="23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4" t="str">
        <f>IF(J1772&lt;&gt;1,"",IF(I1772="SBJ","CB","?"))</f>
        <v> </v>
      </c>
      <c r="I1772" s="25" t="str">
        <f>IF(OR(E1772="",E1772="!!!",F1772="NEW"),"",INDEX(B1771:B$2,-1+SUMPRODUCT(MAX(ROW(E1771:E$2)*(E1772=E1771:E$2)))))</f>
        <v> </v>
      </c>
      <c r="J1772" s="25" t="str">
        <f>IF(OR(E1772="",E1772="!!!",F1772="NEW"),"",COUNTBLANK(OFFSET(A$1,,,SUMPRODUCT(MAX(ROW(E$2:E1772)*(E1772=E$2:E1772)))))-COUNTBLANK(OFFSET(A$1,,,SUMPRODUCT(MAX(ROW(E$1:E1771)*(E2=E$1:E1771))))))</f>
        <v> </v>
      </c>
      <c r="K1772" s="25" t="str">
        <f>IF(OR(E1772="",E1772="!!!",F1772="NEW"),"",INDEX(J$1:J1771,SUMPRODUCT(MAX(ROW(E$1:E1771)*(E1772=E$1:E1771)))))</f>
        <v> </v>
      </c>
      <c r="L1772" s="26"/>
    </row>
    <row r="1773" spans="1:12">
      <c r="A1773" s="20" t="s">
        <v>538</v>
      </c>
      <c r="E1773" s="21">
        <f>IF(D1773="?OLD","!!!","")</f>
        <v/>
      </c>
      <c r="F1773" s="22" t="str">
        <f>IF(OR(E1773="",E1773="!!!"),"",IF(NOT(ISNA(VLOOKUP(E1773,E$1:E1772,1,FALSE()))),"OLD",IF(AND(E1773&lt;&gt;"",E1773&lt;&gt;"!!!"),"NEW","")))</f>
        <v> </v>
      </c>
      <c r="G1773" s="23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4" t="str">
        <f>IF(J1773&lt;&gt;1,"",IF(I1773="SBJ","CB","?"))</f>
        <v> </v>
      </c>
      <c r="I1773" s="25" t="str">
        <f>IF(OR(E1773="",E1773="!!!",F1773="NEW"),"",INDEX(B1772:B$2,-1+SUMPRODUCT(MAX(ROW(E1772:E$2)*(E1773=E1772:E$2)))))</f>
        <v> </v>
      </c>
      <c r="J1773" s="25" t="str">
        <f>IF(OR(E1773="",E1773="!!!",F1773="NEW"),"",COUNTBLANK(OFFSET(A$1,,,SUMPRODUCT(MAX(ROW(E$2:E1773)*(E1773=E$2:E1773)))))-COUNTBLANK(OFFSET(A$1,,,SUMPRODUCT(MAX(ROW(E$1:E1772)*(E2=E$1:E1772))))))</f>
        <v> </v>
      </c>
      <c r="K1773" s="25" t="str">
        <f>IF(OR(E1773="",E1773="!!!",F1773="NEW"),"",INDEX(J$1:J1772,SUMPRODUCT(MAX(ROW(E$1:E1772)*(E1773=E$1:E1772)))))</f>
        <v> </v>
      </c>
      <c r="L1773" s="26"/>
    </row>
    <row r="1774" spans="1:12">
      <c r="A1774" s="20" t="s">
        <v>1108</v>
      </c>
      <c r="B1774" s="27" t="s">
        <v>522</v>
      </c>
      <c r="C1774" s="27" t="s">
        <v>908</v>
      </c>
      <c r="E1774" s="21">
        <f>IF(D1774="?OLD","!!!","")</f>
        <v/>
      </c>
      <c r="F1774" s="22" t="str">
        <f>IF(OR(E1774="",E1774="!!!"),"",IF(NOT(ISNA(VLOOKUP(E1774,E$1:E1773,1,FALSE()))),"OLD",IF(AND(E1774&lt;&gt;"",E1774&lt;&gt;"!!!"),"NEW","")))</f>
        <v> </v>
      </c>
      <c r="G1774" s="23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4" t="str">
        <f>IF(J1774&lt;&gt;1,"",IF(I1774="SBJ","CB","?"))</f>
        <v> </v>
      </c>
      <c r="I1774" s="25" t="str">
        <f>IF(OR(E1774="",E1774="!!!",F1774="NEW"),"",INDEX(B1773:B$2,-1+SUMPRODUCT(MAX(ROW(E1773:E$2)*(E1774=E1773:E$2)))))</f>
        <v> </v>
      </c>
      <c r="J1774" s="25" t="str">
        <f>IF(OR(E1774="",E1774="!!!",F1774="NEW"),"",COUNTBLANK(OFFSET(A$1,,,SUMPRODUCT(MAX(ROW(E$2:E1774)*(E1774=E$2:E1774)))))-COUNTBLANK(OFFSET(A$1,,,SUMPRODUCT(MAX(ROW(E$1:E1773)*(E2=E$1:E1773))))))</f>
        <v> </v>
      </c>
      <c r="K1774" s="25" t="str">
        <f>IF(OR(E1774="",E1774="!!!",F1774="NEW"),"",INDEX(J$1:J1773,SUMPRODUCT(MAX(ROW(E$1:E1773)*(E1774=E$1:E1773)))))</f>
        <v> </v>
      </c>
      <c r="L1774" s="26"/>
    </row>
    <row r="1775" spans="1:12">
      <c r="A1775" s="20" t="s">
        <v>577</v>
      </c>
      <c r="E1775" s="21">
        <f>IF(D1775="?OLD","!!!","")</f>
        <v/>
      </c>
      <c r="F1775" s="22" t="str">
        <f>IF(OR(E1775="",E1775="!!!"),"",IF(NOT(ISNA(VLOOKUP(E1775,E$1:E1774,1,FALSE()))),"OLD",IF(AND(E1775&lt;&gt;"",E1775&lt;&gt;"!!!"),"NEW","")))</f>
        <v> </v>
      </c>
      <c r="G1775" s="23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4" t="str">
        <f>IF(J1775&lt;&gt;1,"",IF(I1775="SBJ","CB","?"))</f>
        <v> </v>
      </c>
      <c r="I1775" s="25" t="str">
        <f>IF(OR(E1775="",E1775="!!!",F1775="NEW"),"",INDEX(B1774:B$2,-1+SUMPRODUCT(MAX(ROW(E1774:E$2)*(E1775=E1774:E$2)))))</f>
        <v> </v>
      </c>
      <c r="J1775" s="25" t="str">
        <f>IF(OR(E1775="",E1775="!!!",F1775="NEW"),"",COUNTBLANK(OFFSET(A$1,,,SUMPRODUCT(MAX(ROW(E$2:E1775)*(E1775=E$2:E1775)))))-COUNTBLANK(OFFSET(A$1,,,SUMPRODUCT(MAX(ROW(E$1:E1774)*(E2=E$1:E1774))))))</f>
        <v> </v>
      </c>
      <c r="K1775" s="25" t="str">
        <f>IF(OR(E1775="",E1775="!!!",F1775="NEW"),"",INDEX(J$1:J1774,SUMPRODUCT(MAX(ROW(E$1:E1774)*(E1775=E$1:E1774)))))</f>
        <v> </v>
      </c>
      <c r="L1775" s="26"/>
    </row>
    <row r="1776" spans="1:12">
      <c r="A1776" s="20" t="s">
        <v>525</v>
      </c>
      <c r="E1776" s="21">
        <f>IF(D1776="?OLD","!!!","")</f>
        <v/>
      </c>
      <c r="F1776" s="22" t="str">
        <f>IF(OR(E1776="",E1776="!!!"),"",IF(NOT(ISNA(VLOOKUP(E1776,E$1:E1775,1,FALSE()))),"OLD",IF(AND(E1776&lt;&gt;"",E1776&lt;&gt;"!!!"),"NEW","")))</f>
        <v> </v>
      </c>
      <c r="G1776" s="23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4" t="str">
        <f>IF(J1776&lt;&gt;1,"",IF(I1776="SBJ","CB","?"))</f>
        <v> </v>
      </c>
      <c r="I1776" s="25" t="str">
        <f>IF(OR(E1776="",E1776="!!!",F1776="NEW"),"",INDEX(B1775:B$2,-1+SUMPRODUCT(MAX(ROW(E1775:E$2)*(E1776=E1775:E$2)))))</f>
        <v> </v>
      </c>
      <c r="J1776" s="25" t="str">
        <f>IF(OR(E1776="",E1776="!!!",F1776="NEW"),"",COUNTBLANK(OFFSET(A$1,,,SUMPRODUCT(MAX(ROW(E$2:E1776)*(E1776=E$2:E1776)))))-COUNTBLANK(OFFSET(A$1,,,SUMPRODUCT(MAX(ROW(E$1:E1775)*(E2=E$1:E1775))))))</f>
        <v> </v>
      </c>
      <c r="K1776" s="25" t="str">
        <f>IF(OR(E1776="",E1776="!!!",F1776="NEW"),"",INDEX(J$1:J1775,SUMPRODUCT(MAX(ROW(E$1:E1775)*(E1776=E$1:E1775)))))</f>
        <v> </v>
      </c>
      <c r="L1776" s="26"/>
    </row>
    <row r="1777" spans="1:12">
      <c r="A1777" s="20" t="s">
        <v>1125</v>
      </c>
      <c r="B1777" s="27" t="s">
        <v>522</v>
      </c>
      <c r="C1777" s="27" t="s">
        <v>527</v>
      </c>
      <c r="E1777" s="21">
        <f>IF(D1777="?OLD","!!!","")</f>
        <v/>
      </c>
      <c r="F1777" s="22" t="str">
        <f>IF(OR(E1777="",E1777="!!!"),"",IF(NOT(ISNA(VLOOKUP(E1777,E$1:E1776,1,FALSE()))),"OLD",IF(AND(E1777&lt;&gt;"",E1777&lt;&gt;"!!!"),"NEW","")))</f>
        <v> </v>
      </c>
      <c r="G1777" s="23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4" t="str">
        <f>IF(J1777&lt;&gt;1,"",IF(I1777="SBJ","CB","?"))</f>
        <v> </v>
      </c>
      <c r="I1777" s="25" t="str">
        <f>IF(OR(E1777="",E1777="!!!",F1777="NEW"),"",INDEX(B1776:B$2,-1+SUMPRODUCT(MAX(ROW(E1776:E$2)*(E1777=E1776:E$2)))))</f>
        <v> </v>
      </c>
      <c r="J1777" s="25" t="str">
        <f>IF(OR(E1777="",E1777="!!!",F1777="NEW"),"",COUNTBLANK(OFFSET(A$1,,,SUMPRODUCT(MAX(ROW(E$2:E1777)*(E1777=E$2:E1777)))))-COUNTBLANK(OFFSET(A$1,,,SUMPRODUCT(MAX(ROW(E$1:E1776)*(E2=E$1:E1776))))))</f>
        <v> </v>
      </c>
      <c r="K1777" s="25" t="str">
        <f>IF(OR(E1777="",E1777="!!!",F1777="NEW"),"",INDEX(J$1:J1776,SUMPRODUCT(MAX(ROW(E$1:E1776)*(E1777=E$1:E1776)))))</f>
        <v> </v>
      </c>
      <c r="L1777" s="26"/>
    </row>
    <row r="1778" spans="1:12">
      <c r="A1778" s="20" t="s">
        <v>1203</v>
      </c>
      <c r="E1778" s="21">
        <f>IF(D1778="?OLD","!!!","")</f>
        <v/>
      </c>
      <c r="F1778" s="22" t="str">
        <f>IF(OR(E1778="",E1778="!!!"),"",IF(NOT(ISNA(VLOOKUP(E1778,E$1:E1777,1,FALSE()))),"OLD",IF(AND(E1778&lt;&gt;"",E1778&lt;&gt;"!!!"),"NEW","")))</f>
        <v> </v>
      </c>
      <c r="G1778" s="23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4" t="str">
        <f>IF(J1778&lt;&gt;1,"",IF(I1778="SBJ","CB","?"))</f>
        <v> </v>
      </c>
      <c r="I1778" s="25" t="str">
        <f>IF(OR(E1778="",E1778="!!!",F1778="NEW"),"",INDEX(B1777:B$2,-1+SUMPRODUCT(MAX(ROW(E1777:E$2)*(E1778=E1777:E$2)))))</f>
        <v> </v>
      </c>
      <c r="J1778" s="25" t="str">
        <f>IF(OR(E1778="",E1778="!!!",F1778="NEW"),"",COUNTBLANK(OFFSET(A$1,,,SUMPRODUCT(MAX(ROW(E$2:E1778)*(E1778=E$2:E1778)))))-COUNTBLANK(OFFSET(A$1,,,SUMPRODUCT(MAX(ROW(E$1:E1777)*(E2=E$1:E1777))))))</f>
        <v> </v>
      </c>
      <c r="K1778" s="25" t="str">
        <f>IF(OR(E1778="",E1778="!!!",F1778="NEW"),"",INDEX(J$1:J1777,SUMPRODUCT(MAX(ROW(E$1:E1777)*(E1778=E$1:E1777)))))</f>
        <v> </v>
      </c>
      <c r="L1778" s="26"/>
    </row>
    <row r="1779" spans="1:12">
      <c r="A1779" s="20" t="s">
        <v>528</v>
      </c>
      <c r="B1779" s="27" t="s">
        <v>873</v>
      </c>
      <c r="E1779" s="21">
        <f>IF(D1779="?OLD","!!!","")</f>
        <v/>
      </c>
      <c r="F1779" s="22" t="str">
        <f>IF(OR(E1779="",E1779="!!!"),"",IF(NOT(ISNA(VLOOKUP(E1779,E$1:E1778,1,FALSE()))),"OLD",IF(AND(E1779&lt;&gt;"",E1779&lt;&gt;"!!!"),"NEW","")))</f>
        <v> </v>
      </c>
      <c r="G1779" s="23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4" t="str">
        <f>IF(J1779&lt;&gt;1,"",IF(I1779="SBJ","CB","?"))</f>
        <v> </v>
      </c>
      <c r="I1779" s="25" t="str">
        <f>IF(OR(E1779="",E1779="!!!",F1779="NEW"),"",INDEX(B1778:B$2,-1+SUMPRODUCT(MAX(ROW(E1778:E$2)*(E1779=E1778:E$2)))))</f>
        <v> </v>
      </c>
      <c r="J1779" s="25" t="str">
        <f>IF(OR(E1779="",E1779="!!!",F1779="NEW"),"",COUNTBLANK(OFFSET(A$1,,,SUMPRODUCT(MAX(ROW(E$2:E1779)*(E1779=E$2:E1779)))))-COUNTBLANK(OFFSET(A$1,,,SUMPRODUCT(MAX(ROW(E$1:E1778)*(E2=E$1:E1778))))))</f>
        <v> </v>
      </c>
      <c r="K1779" s="25" t="str">
        <f>IF(OR(E1779="",E1779="!!!",F1779="NEW"),"",INDEX(J$1:J1778,SUMPRODUCT(MAX(ROW(E$1:E1778)*(E1779=E$1:E1778)))))</f>
        <v> </v>
      </c>
      <c r="L1779" s="26"/>
    </row>
    <row r="1780" spans="1:12">
      <c r="A1780" s="20" t="s">
        <v>567</v>
      </c>
      <c r="E1780" s="21">
        <f>IF(D1780="?OLD","!!!","")</f>
        <v/>
      </c>
      <c r="F1780" s="22" t="str">
        <f>IF(OR(E1780="",E1780="!!!"),"",IF(NOT(ISNA(VLOOKUP(E1780,E$1:E1779,1,FALSE()))),"OLD",IF(AND(E1780&lt;&gt;"",E1780&lt;&gt;"!!!"),"NEW","")))</f>
        <v> </v>
      </c>
      <c r="G1780" s="23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4" t="str">
        <f>IF(J1780&lt;&gt;1,"",IF(I1780="SBJ","CB","?"))</f>
        <v> </v>
      </c>
      <c r="I1780" s="25" t="str">
        <f>IF(OR(E1780="",E1780="!!!",F1780="NEW"),"",INDEX(B1779:B$2,-1+SUMPRODUCT(MAX(ROW(E1779:E$2)*(E1780=E1779:E$2)))))</f>
        <v> </v>
      </c>
      <c r="J1780" s="25" t="str">
        <f>IF(OR(E1780="",E1780="!!!",F1780="NEW"),"",COUNTBLANK(OFFSET(A$1,,,SUMPRODUCT(MAX(ROW(E$2:E1780)*(E1780=E$2:E1780)))))-COUNTBLANK(OFFSET(A$1,,,SUMPRODUCT(MAX(ROW(E$1:E1779)*(E2=E$1:E1779))))))</f>
        <v> </v>
      </c>
      <c r="K1780" s="25" t="str">
        <f>IF(OR(E1780="",E1780="!!!",F1780="NEW"),"",INDEX(J$1:J1779,SUMPRODUCT(MAX(ROW(E$1:E1779)*(E1780=E$1:E1779)))))</f>
        <v> </v>
      </c>
      <c r="L1780" s="26"/>
    </row>
    <row r="1781" spans="1:12">
      <c r="A1781" s="20" t="s">
        <v>1204</v>
      </c>
      <c r="E1781" s="21">
        <f>IF(D1781="?OLD","!!!","")</f>
        <v/>
      </c>
      <c r="F1781" s="22" t="str">
        <f>IF(OR(E1781="",E1781="!!!"),"",IF(NOT(ISNA(VLOOKUP(E1781,E$1:E1780,1,FALSE()))),"OLD",IF(AND(E1781&lt;&gt;"",E1781&lt;&gt;"!!!"),"NEW","")))</f>
        <v> </v>
      </c>
      <c r="G1781" s="23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4" t="str">
        <f>IF(J1781&lt;&gt;1,"",IF(I1781="SBJ","CB","?"))</f>
        <v> </v>
      </c>
      <c r="I1781" s="25" t="str">
        <f>IF(OR(E1781="",E1781="!!!",F1781="NEW"),"",INDEX(B1780:B$2,-1+SUMPRODUCT(MAX(ROW(E1780:E$2)*(E1781=E1780:E$2)))))</f>
        <v> </v>
      </c>
      <c r="J1781" s="25" t="str">
        <f>IF(OR(E1781="",E1781="!!!",F1781="NEW"),"",COUNTBLANK(OFFSET(A$1,,,SUMPRODUCT(MAX(ROW(E$2:E1781)*(E1781=E$2:E1781)))))-COUNTBLANK(OFFSET(A$1,,,SUMPRODUCT(MAX(ROW(E$1:E1780)*(E2=E$1:E1780))))))</f>
        <v> </v>
      </c>
      <c r="K1781" s="25" t="str">
        <f>IF(OR(E1781="",E1781="!!!",F1781="NEW"),"",INDEX(J$1:J1780,SUMPRODUCT(MAX(ROW(E$1:E1780)*(E1781=E$1:E1780)))))</f>
        <v> </v>
      </c>
      <c r="L1781" s="26"/>
    </row>
    <row r="1782" spans="1:12">
      <c r="A1782" s="20" t="s">
        <v>68</v>
      </c>
      <c r="E1782" s="21">
        <f>IF(D1782="?OLD","!!!","")</f>
        <v/>
      </c>
      <c r="F1782" s="22" t="str">
        <f>IF(OR(E1782="",E1782="!!!"),"",IF(NOT(ISNA(VLOOKUP(E1782,E$1:E1781,1,FALSE()))),"OLD",IF(AND(E1782&lt;&gt;"",E1782&lt;&gt;"!!!"),"NEW","")))</f>
        <v> </v>
      </c>
      <c r="G1782" s="23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4" t="str">
        <f>IF(J1782&lt;&gt;1,"",IF(I1782="SBJ","CB","?"))</f>
        <v> </v>
      </c>
      <c r="I1782" s="25" t="str">
        <f>IF(OR(E1782="",E1782="!!!",F1782="NEW"),"",INDEX(B1781:B$2,-1+SUMPRODUCT(MAX(ROW(E1781:E$2)*(E1782=E1781:E$2)))))</f>
        <v> </v>
      </c>
      <c r="J1782" s="25" t="str">
        <f>IF(OR(E1782="",E1782="!!!",F1782="NEW"),"",COUNTBLANK(OFFSET(A$1,,,SUMPRODUCT(MAX(ROW(E$2:E1782)*(E1782=E$2:E1782)))))-COUNTBLANK(OFFSET(A$1,,,SUMPRODUCT(MAX(ROW(E$1:E1781)*(E2=E$1:E1781))))))</f>
        <v> </v>
      </c>
      <c r="K1782" s="25" t="str">
        <f>IF(OR(E1782="",E1782="!!!",F1782="NEW"),"",INDEX(J$1:J1781,SUMPRODUCT(MAX(ROW(E$1:E1781)*(E1782=E$1:E1781)))))</f>
        <v> </v>
      </c>
      <c r="L1782" s="26"/>
    </row>
    <row r="1783" spans="1:12">
      <c r="A1783" s="20" t="s">
        <v>549</v>
      </c>
      <c r="E1783" s="21">
        <f>IF(D1783="?OLD","!!!","")</f>
        <v/>
      </c>
      <c r="F1783" s="22" t="str">
        <f>IF(OR(E1783="",E1783="!!!"),"",IF(NOT(ISNA(VLOOKUP(E1783,E$1:E1782,1,FALSE()))),"OLD",IF(AND(E1783&lt;&gt;"",E1783&lt;&gt;"!!!"),"NEW","")))</f>
        <v> </v>
      </c>
      <c r="G1783" s="23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4" t="str">
        <f>IF(J1783&lt;&gt;1,"",IF(I1783="SBJ","CB","?"))</f>
        <v> </v>
      </c>
      <c r="I1783" s="25" t="str">
        <f>IF(OR(E1783="",E1783="!!!",F1783="NEW"),"",INDEX(B1782:B$2,-1+SUMPRODUCT(MAX(ROW(E1782:E$2)*(E1783=E1782:E$2)))))</f>
        <v> </v>
      </c>
      <c r="J1783" s="25" t="str">
        <f>IF(OR(E1783="",E1783="!!!",F1783="NEW"),"",COUNTBLANK(OFFSET(A$1,,,SUMPRODUCT(MAX(ROW(E$2:E1783)*(E1783=E$2:E1783)))))-COUNTBLANK(OFFSET(A$1,,,SUMPRODUCT(MAX(ROW(E$1:E1782)*(E2=E$1:E1782))))))</f>
        <v> </v>
      </c>
      <c r="K1783" s="25" t="str">
        <f>IF(OR(E1783="",E1783="!!!",F1783="NEW"),"",INDEX(J$1:J1782,SUMPRODUCT(MAX(ROW(E$1:E1782)*(E1783=E$1:E1782)))))</f>
        <v> </v>
      </c>
      <c r="L1783" s="26"/>
    </row>
    <row r="1784" spans="1:12">
      <c r="A1784" s="20"/>
    </row>
    <row r="1785" spans="1:12">
      <c r="A1785" s="20" t="s">
        <v>1205</v>
      </c>
    </row>
    <row r="1786" spans="1:12">
      <c r="A1786" s="20" t="s">
        <v>1206</v>
      </c>
      <c r="E1786" s="21">
        <f>IF(D1786="?OLD","!!!","")</f>
        <v/>
      </c>
      <c r="F1786" s="22" t="str">
        <f>IF(OR(E1786="",E1786="!!!"),"",IF(NOT(ISNA(VLOOKUP(E1786,E$1:E1785,1,FALSE()))),"OLD",IF(AND(E1786&lt;&gt;"",E1786&lt;&gt;"!!!"),"NEW","")))</f>
        <v> </v>
      </c>
      <c r="G1786" s="23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4" t="str">
        <f>IF(J1786&lt;&gt;1,"",IF(I1786="SBJ","CB","?"))</f>
        <v> </v>
      </c>
      <c r="I1786" s="25" t="str">
        <f>IF(OR(E1786="",E1786="!!!",F1786="NEW"),"",INDEX(B1785:B$2,-1+SUMPRODUCT(MAX(ROW(E1785:E$2)*(E1786=E1785:E$2)))))</f>
        <v> </v>
      </c>
      <c r="J1786" s="25" t="str">
        <f>IF(OR(E1786="",E1786="!!!",F1786="NEW"),"",COUNTBLANK(OFFSET(A$1,,,SUMPRODUCT(MAX(ROW(E$2:E1786)*(E1786=E$2:E1786)))))-COUNTBLANK(OFFSET(A$1,,,SUMPRODUCT(MAX(ROW(E$1:E1785)*(E2=E$1:E1785))))))</f>
        <v> </v>
      </c>
      <c r="K1786" s="25" t="str">
        <f>IF(OR(E1786="",E1786="!!!",F1786="NEW"),"",INDEX(J$1:J1785,SUMPRODUCT(MAX(ROW(E$1:E1785)*(E1786=E$1:E1785)))))</f>
        <v> </v>
      </c>
      <c r="L1786" s="26"/>
    </row>
    <row r="1787" spans="1:12">
      <c r="A1787" s="20" t="s">
        <v>1207</v>
      </c>
      <c r="E1787" s="21">
        <f>IF(D1787="?OLD","!!!","")</f>
        <v/>
      </c>
      <c r="F1787" s="22" t="str">
        <f>IF(OR(E1787="",E1787="!!!"),"",IF(NOT(ISNA(VLOOKUP(E1787,E$1:E1786,1,FALSE()))),"OLD",IF(AND(E1787&lt;&gt;"",E1787&lt;&gt;"!!!"),"NEW","")))</f>
        <v> </v>
      </c>
      <c r="G1787" s="23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4" t="str">
        <f>IF(J1787&lt;&gt;1,"",IF(I1787="SBJ","CB","?"))</f>
        <v> </v>
      </c>
      <c r="I1787" s="25" t="str">
        <f>IF(OR(E1787="",E1787="!!!",F1787="NEW"),"",INDEX(B1786:B$2,-1+SUMPRODUCT(MAX(ROW(E1786:E$2)*(E1787=E1786:E$2)))))</f>
        <v> </v>
      </c>
      <c r="J1787" s="25" t="str">
        <f>IF(OR(E1787="",E1787="!!!",F1787="NEW"),"",COUNTBLANK(OFFSET(A$1,,,SUMPRODUCT(MAX(ROW(E$2:E1787)*(E1787=E$2:E1787)))))-COUNTBLANK(OFFSET(A$1,,,SUMPRODUCT(MAX(ROW(E$1:E1786)*(E2=E$1:E1786))))))</f>
        <v> </v>
      </c>
      <c r="K1787" s="25" t="str">
        <f>IF(OR(E1787="",E1787="!!!",F1787="NEW"),"",INDEX(J$1:J1786,SUMPRODUCT(MAX(ROW(E$1:E1786)*(E1787=E$1:E1786)))))</f>
        <v> </v>
      </c>
      <c r="L1787" s="26"/>
    </row>
    <row r="1788" spans="1:12">
      <c r="A1788" s="20" t="s">
        <v>542</v>
      </c>
      <c r="E1788" s="21">
        <f>IF(D1788="?OLD","!!!","")</f>
        <v/>
      </c>
      <c r="F1788" s="22" t="str">
        <f>IF(OR(E1788="",E1788="!!!"),"",IF(NOT(ISNA(VLOOKUP(E1788,E$1:E1787,1,FALSE()))),"OLD",IF(AND(E1788&lt;&gt;"",E1788&lt;&gt;"!!!"),"NEW","")))</f>
        <v> </v>
      </c>
      <c r="G1788" s="23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4" t="str">
        <f>IF(J1788&lt;&gt;1,"",IF(I1788="SBJ","CB","?"))</f>
        <v> </v>
      </c>
      <c r="I1788" s="25" t="str">
        <f>IF(OR(E1788="",E1788="!!!",F1788="NEW"),"",INDEX(B1787:B$2,-1+SUMPRODUCT(MAX(ROW(E1787:E$2)*(E1788=E1787:E$2)))))</f>
        <v> </v>
      </c>
      <c r="J1788" s="25" t="str">
        <f>IF(OR(E1788="",E1788="!!!",F1788="NEW"),"",COUNTBLANK(OFFSET(A$1,,,SUMPRODUCT(MAX(ROW(E$2:E1788)*(E1788=E$2:E1788)))))-COUNTBLANK(OFFSET(A$1,,,SUMPRODUCT(MAX(ROW(E$1:E1787)*(E2=E$1:E1787))))))</f>
        <v> </v>
      </c>
      <c r="K1788" s="25" t="str">
        <f>IF(OR(E1788="",E1788="!!!",F1788="NEW"),"",INDEX(J$1:J1787,SUMPRODUCT(MAX(ROW(E$1:E1787)*(E1788=E$1:E1787)))))</f>
        <v> </v>
      </c>
      <c r="L1788" s="26"/>
    </row>
    <row r="1789" spans="1:12">
      <c r="A1789" s="20" t="s">
        <v>818</v>
      </c>
      <c r="E1789" s="21">
        <f>IF(D1789="?OLD","!!!","")</f>
        <v/>
      </c>
      <c r="F1789" s="22" t="str">
        <f>IF(OR(E1789="",E1789="!!!"),"",IF(NOT(ISNA(VLOOKUP(E1789,E$1:E1788,1,FALSE()))),"OLD",IF(AND(E1789&lt;&gt;"",E1789&lt;&gt;"!!!"),"NEW","")))</f>
        <v> </v>
      </c>
      <c r="G1789" s="23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4" t="str">
        <f>IF(J1789&lt;&gt;1,"",IF(I1789="SBJ","CB","?"))</f>
        <v> </v>
      </c>
      <c r="I1789" s="25" t="str">
        <f>IF(OR(E1789="",E1789="!!!",F1789="NEW"),"",INDEX(B1788:B$2,-1+SUMPRODUCT(MAX(ROW(E1788:E$2)*(E1789=E1788:E$2)))))</f>
        <v> </v>
      </c>
      <c r="J1789" s="25" t="str">
        <f>IF(OR(E1789="",E1789="!!!",F1789="NEW"),"",COUNTBLANK(OFFSET(A$1,,,SUMPRODUCT(MAX(ROW(E$2:E1789)*(E1789=E$2:E1789)))))-COUNTBLANK(OFFSET(A$1,,,SUMPRODUCT(MAX(ROW(E$1:E1788)*(E2=E$1:E1788))))))</f>
        <v> </v>
      </c>
      <c r="K1789" s="25" t="str">
        <f>IF(OR(E1789="",E1789="!!!",F1789="NEW"),"",INDEX(J$1:J1788,SUMPRODUCT(MAX(ROW(E$1:E1788)*(E1789=E$1:E1788)))))</f>
        <v> </v>
      </c>
      <c r="L1789" s="26"/>
    </row>
    <row r="1790" spans="1:12">
      <c r="A1790" s="20" t="s">
        <v>571</v>
      </c>
      <c r="E1790" s="21">
        <f>IF(D1790="?OLD","!!!","")</f>
        <v/>
      </c>
      <c r="F1790" s="22" t="str">
        <f>IF(OR(E1790="",E1790="!!!"),"",IF(NOT(ISNA(VLOOKUP(E1790,E$1:E1789,1,FALSE()))),"OLD",IF(AND(E1790&lt;&gt;"",E1790&lt;&gt;"!!!"),"NEW","")))</f>
        <v> </v>
      </c>
      <c r="G1790" s="23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4" t="str">
        <f>IF(J1790&lt;&gt;1,"",IF(I1790="SBJ","CB","?"))</f>
        <v> </v>
      </c>
      <c r="I1790" s="25" t="str">
        <f>IF(OR(E1790="",E1790="!!!",F1790="NEW"),"",INDEX(B1789:B$2,-1+SUMPRODUCT(MAX(ROW(E1789:E$2)*(E1790=E1789:E$2)))))</f>
        <v> </v>
      </c>
      <c r="J1790" s="25" t="str">
        <f>IF(OR(E1790="",E1790="!!!",F1790="NEW"),"",COUNTBLANK(OFFSET(A$1,,,SUMPRODUCT(MAX(ROW(E$2:E1790)*(E1790=E$2:E1790)))))-COUNTBLANK(OFFSET(A$1,,,SUMPRODUCT(MAX(ROW(E$1:E1789)*(E2=E$1:E1789))))))</f>
        <v> </v>
      </c>
      <c r="K1790" s="25" t="str">
        <f>IF(OR(E1790="",E1790="!!!",F1790="NEW"),"",INDEX(J$1:J1789,SUMPRODUCT(MAX(ROW(E$1:E1789)*(E1790=E$1:E1789)))))</f>
        <v> </v>
      </c>
      <c r="L1790" s="26"/>
    </row>
    <row r="1791" spans="1:12">
      <c r="A1791" s="20" t="s">
        <v>814</v>
      </c>
      <c r="B1791" s="27" t="s">
        <v>522</v>
      </c>
      <c r="C1791" s="27" t="s">
        <v>540</v>
      </c>
      <c r="D1791" s="27" t="s">
        <v>524</v>
      </c>
      <c r="E1791" s="21">
        <f>IF(D1791="?OLD","!!!","")</f>
        <v/>
      </c>
      <c r="F1791" s="22" t="str">
        <f>IF(OR(E1791="",E1791="!!!"),"",IF(NOT(ISNA(VLOOKUP(E1791,E$1:E1790,1,FALSE()))),"OLD",IF(AND(E1791&lt;&gt;"",E1791&lt;&gt;"!!!"),"NEW","")))</f>
        <v> </v>
      </c>
      <c r="G1791" s="23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4" t="str">
        <f>IF(J1791&lt;&gt;1,"",IF(I1791="SBJ","CB","?"))</f>
        <v> </v>
      </c>
      <c r="I1791" s="25" t="str">
        <f>IF(OR(E1791="",E1791="!!!",F1791="NEW"),"",INDEX(B1790:B$2,-1+SUMPRODUCT(MAX(ROW(E1790:E$2)*(E1791=E1790:E$2)))))</f>
        <v> </v>
      </c>
      <c r="J1791" s="25" t="str">
        <f>IF(OR(E1791="",E1791="!!!",F1791="NEW"),"",COUNTBLANK(OFFSET(A$1,,,SUMPRODUCT(MAX(ROW(E$2:E1791)*(E1791=E$2:E1791)))))-COUNTBLANK(OFFSET(A$1,,,SUMPRODUCT(MAX(ROW(E$1:E1790)*(E2=E$1:E1790))))))</f>
        <v> </v>
      </c>
      <c r="K1791" s="25" t="str">
        <f>IF(OR(E1791="",E1791="!!!",F1791="NEW"),"",INDEX(J$1:J1790,SUMPRODUCT(MAX(ROW(E$1:E1790)*(E1791=E$1:E1790)))))</f>
        <v> </v>
      </c>
      <c r="L1791" s="26"/>
    </row>
    <row r="1792" spans="1:12">
      <c r="A1792" s="20" t="s">
        <v>518</v>
      </c>
      <c r="E1792" s="21">
        <f>IF(D1792="?OLD","!!!","")</f>
        <v/>
      </c>
      <c r="F1792" s="22" t="str">
        <f>IF(OR(E1792="",E1792="!!!"),"",IF(NOT(ISNA(VLOOKUP(E1792,E$1:E1791,1,FALSE()))),"OLD",IF(AND(E1792&lt;&gt;"",E1792&lt;&gt;"!!!"),"NEW","")))</f>
        <v> </v>
      </c>
      <c r="G1792" s="23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4" t="str">
        <f>IF(J1792&lt;&gt;1,"",IF(I1792="SBJ","CB","?"))</f>
        <v> </v>
      </c>
      <c r="I1792" s="25" t="str">
        <f>IF(OR(E1792="",E1792="!!!",F1792="NEW"),"",INDEX(B1791:B$2,-1+SUMPRODUCT(MAX(ROW(E1791:E$2)*(E1792=E1791:E$2)))))</f>
        <v> </v>
      </c>
      <c r="J1792" s="25" t="str">
        <f>IF(OR(E1792="",E1792="!!!",F1792="NEW"),"",COUNTBLANK(OFFSET(A$1,,,SUMPRODUCT(MAX(ROW(E$2:E1792)*(E1792=E$2:E1792)))))-COUNTBLANK(OFFSET(A$1,,,SUMPRODUCT(MAX(ROW(E$1:E1791)*(E2=E$1:E1791))))))</f>
        <v> </v>
      </c>
      <c r="K1792" s="25" t="str">
        <f>IF(OR(E1792="",E1792="!!!",F1792="NEW"),"",INDEX(J$1:J1791,SUMPRODUCT(MAX(ROW(E$1:E1791)*(E1792=E$1:E1791)))))</f>
        <v> </v>
      </c>
      <c r="L1792" s="26"/>
    </row>
    <row r="1793" spans="1:12">
      <c r="A1793" s="20" t="s">
        <v>720</v>
      </c>
      <c r="B1793" s="27" t="s">
        <v>544</v>
      </c>
      <c r="C1793" s="27" t="s">
        <v>557</v>
      </c>
      <c r="E1793" s="21">
        <f>IF(D1793="?OLD","!!!","")</f>
        <v/>
      </c>
      <c r="F1793" s="22" t="str">
        <f>IF(OR(E1793="",E1793="!!!"),"",IF(NOT(ISNA(VLOOKUP(E1793,E$1:E1792,1,FALSE()))),"OLD",IF(AND(E1793&lt;&gt;"",E1793&lt;&gt;"!!!"),"NEW","")))</f>
        <v> </v>
      </c>
      <c r="G1793" s="23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4" t="str">
        <f>IF(J1793&lt;&gt;1,"",IF(I1793="SBJ","CB","?"))</f>
        <v> </v>
      </c>
      <c r="I1793" s="25" t="str">
        <f>IF(OR(E1793="",E1793="!!!",F1793="NEW"),"",INDEX(B1792:B$2,-1+SUMPRODUCT(MAX(ROW(E1792:E$2)*(E1793=E1792:E$2)))))</f>
        <v> </v>
      </c>
      <c r="J1793" s="25" t="str">
        <f>IF(OR(E1793="",E1793="!!!",F1793="NEW"),"",COUNTBLANK(OFFSET(A$1,,,SUMPRODUCT(MAX(ROW(E$2:E1793)*(E1793=E$2:E1793)))))-COUNTBLANK(OFFSET(A$1,,,SUMPRODUCT(MAX(ROW(E$1:E1792)*(E2=E$1:E1792))))))</f>
        <v> </v>
      </c>
      <c r="K1793" s="25" t="str">
        <f>IF(OR(E1793="",E1793="!!!",F1793="NEW"),"",INDEX(J$1:J1792,SUMPRODUCT(MAX(ROW(E$1:E1792)*(E1793=E$1:E1792)))))</f>
        <v> </v>
      </c>
      <c r="L1793" s="26"/>
    </row>
    <row r="1794" spans="1:12">
      <c r="A1794" s="20" t="s">
        <v>577</v>
      </c>
      <c r="E1794" s="21">
        <f>IF(D1794="?OLD","!!!","")</f>
        <v/>
      </c>
      <c r="F1794" s="22" t="str">
        <f>IF(OR(E1794="",E1794="!!!"),"",IF(NOT(ISNA(VLOOKUP(E1794,E$1:E1793,1,FALSE()))),"OLD",IF(AND(E1794&lt;&gt;"",E1794&lt;&gt;"!!!"),"NEW","")))</f>
        <v> </v>
      </c>
      <c r="G1794" s="23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4" t="str">
        <f>IF(J1794&lt;&gt;1,"",IF(I1794="SBJ","CB","?"))</f>
        <v> </v>
      </c>
      <c r="I1794" s="25" t="str">
        <f>IF(OR(E1794="",E1794="!!!",F1794="NEW"),"",INDEX(B1793:B$2,-1+SUMPRODUCT(MAX(ROW(E1793:E$2)*(E1794=E1793:E$2)))))</f>
        <v> </v>
      </c>
      <c r="J1794" s="25" t="str">
        <f>IF(OR(E1794="",E1794="!!!",F1794="NEW"),"",COUNTBLANK(OFFSET(A$1,,,SUMPRODUCT(MAX(ROW(E$2:E1794)*(E1794=E$2:E1794)))))-COUNTBLANK(OFFSET(A$1,,,SUMPRODUCT(MAX(ROW(E$1:E1793)*(E2=E$1:E1793))))))</f>
        <v> </v>
      </c>
      <c r="K1794" s="25" t="str">
        <f>IF(OR(E1794="",E1794="!!!",F1794="NEW"),"",INDEX(J$1:J1793,SUMPRODUCT(MAX(ROW(E$1:E1793)*(E1794=E$1:E1793)))))</f>
        <v> </v>
      </c>
      <c r="L1794" s="26"/>
    </row>
    <row r="1795" spans="1:12">
      <c r="A1795" s="20" t="s">
        <v>542</v>
      </c>
      <c r="E1795" s="21">
        <f>IF(D1795="?OLD","!!!","")</f>
        <v/>
      </c>
      <c r="F1795" s="22" t="str">
        <f>IF(OR(E1795="",E1795="!!!"),"",IF(NOT(ISNA(VLOOKUP(E1795,E$1:E1794,1,FALSE()))),"OLD",IF(AND(E1795&lt;&gt;"",E1795&lt;&gt;"!!!"),"NEW","")))</f>
        <v> </v>
      </c>
      <c r="G1795" s="23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4" t="str">
        <f>IF(J1795&lt;&gt;1,"",IF(I1795="SBJ","CB","?"))</f>
        <v> </v>
      </c>
      <c r="I1795" s="25" t="str">
        <f>IF(OR(E1795="",E1795="!!!",F1795="NEW"),"",INDEX(B1794:B$2,-1+SUMPRODUCT(MAX(ROW(E1794:E$2)*(E1795=E1794:E$2)))))</f>
        <v> </v>
      </c>
      <c r="J1795" s="25" t="str">
        <f>IF(OR(E1795="",E1795="!!!",F1795="NEW"),"",COUNTBLANK(OFFSET(A$1,,,SUMPRODUCT(MAX(ROW(E$2:E1795)*(E1795=E$2:E1795)))))-COUNTBLANK(OFFSET(A$1,,,SUMPRODUCT(MAX(ROW(E$1:E1794)*(E2=E$1:E1794))))))</f>
        <v> </v>
      </c>
      <c r="K1795" s="25" t="str">
        <f>IF(OR(E1795="",E1795="!!!",F1795="NEW"),"",INDEX(J$1:J1794,SUMPRODUCT(MAX(ROW(E$1:E1794)*(E1795=E$1:E1794)))))</f>
        <v> </v>
      </c>
      <c r="L1795" s="26"/>
    </row>
    <row r="1796" spans="1:12">
      <c r="A1796" s="20" t="s">
        <v>787</v>
      </c>
      <c r="B1796" s="27" t="s">
        <v>544</v>
      </c>
      <c r="C1796" s="27" t="s">
        <v>669</v>
      </c>
      <c r="D1796" s="27" t="s">
        <v>524</v>
      </c>
      <c r="E1796" s="21">
        <f>IF(D1796="?OLD","!!!","")</f>
        <v/>
      </c>
      <c r="F1796" s="22" t="str">
        <f>IF(OR(E1796="",E1796="!!!"),"",IF(NOT(ISNA(VLOOKUP(E1796,E$1:E1795,1,FALSE()))),"OLD",IF(AND(E1796&lt;&gt;"",E1796&lt;&gt;"!!!"),"NEW","")))</f>
        <v> </v>
      </c>
      <c r="G1796" s="23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4" t="str">
        <f>IF(J1796&lt;&gt;1,"",IF(I1796="SBJ","CB","?"))</f>
        <v> </v>
      </c>
      <c r="I1796" s="25" t="str">
        <f>IF(OR(E1796="",E1796="!!!",F1796="NEW"),"",INDEX(B1795:B$2,-1+SUMPRODUCT(MAX(ROW(E1795:E$2)*(E1796=E1795:E$2)))))</f>
        <v> </v>
      </c>
      <c r="J1796" s="25" t="str">
        <f>IF(OR(E1796="",E1796="!!!",F1796="NEW"),"",COUNTBLANK(OFFSET(A$1,,,SUMPRODUCT(MAX(ROW(E$2:E1796)*(E1796=E$2:E1796)))))-COUNTBLANK(OFFSET(A$1,,,SUMPRODUCT(MAX(ROW(E$1:E1795)*(E2=E$1:E1795))))))</f>
        <v> </v>
      </c>
      <c r="K1796" s="25" t="str">
        <f>IF(OR(E1796="",E1796="!!!",F1796="NEW"),"",INDEX(J$1:J1795,SUMPRODUCT(MAX(ROW(E$1:E1795)*(E1796=E$1:E1795)))))</f>
        <v> </v>
      </c>
      <c r="L1796" s="26"/>
    </row>
    <row r="1797" spans="1:12">
      <c r="A1797" s="20" t="s">
        <v>1208</v>
      </c>
      <c r="B1797" s="27" t="s">
        <v>597</v>
      </c>
      <c r="C1797" s="27" t="s">
        <v>545</v>
      </c>
      <c r="D1797" s="27" t="s">
        <v>524</v>
      </c>
      <c r="E1797" s="21">
        <f>IF(D1797="?OLD","!!!","")</f>
        <v/>
      </c>
      <c r="F1797" s="22" t="str">
        <f>IF(OR(E1797="",E1797="!!!"),"",IF(NOT(ISNA(VLOOKUP(E1797,E$1:E1796,1,FALSE()))),"OLD",IF(AND(E1797&lt;&gt;"",E1797&lt;&gt;"!!!"),"NEW","")))</f>
        <v> </v>
      </c>
      <c r="G1797" s="23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4" t="str">
        <f>IF(J1797&lt;&gt;1,"",IF(I1797="SBJ","CB","?"))</f>
        <v> </v>
      </c>
      <c r="I1797" s="25" t="str">
        <f>IF(OR(E1797="",E1797="!!!",F1797="NEW"),"",INDEX(B1796:B$2,-1+SUMPRODUCT(MAX(ROW(E1796:E$2)*(E1797=E1796:E$2)))))</f>
        <v> </v>
      </c>
      <c r="J1797" s="25" t="str">
        <f>IF(OR(E1797="",E1797="!!!",F1797="NEW"),"",COUNTBLANK(OFFSET(A$1,,,SUMPRODUCT(MAX(ROW(E$2:E1797)*(E1797=E$2:E1797)))))-COUNTBLANK(OFFSET(A$1,,,SUMPRODUCT(MAX(ROW(E$1:E1796)*(E2=E$1:E1796))))))</f>
        <v> </v>
      </c>
      <c r="K1797" s="25" t="str">
        <f>IF(OR(E1797="",E1797="!!!",F1797="NEW"),"",INDEX(J$1:J1796,SUMPRODUCT(MAX(ROW(E$1:E1796)*(E1797=E$1:E1796)))))</f>
        <v> </v>
      </c>
      <c r="L1797" s="26"/>
    </row>
    <row r="1798" spans="1:12">
      <c r="A1798" s="20" t="s">
        <v>549</v>
      </c>
      <c r="E1798" s="21">
        <f>IF(D1798="?OLD","!!!","")</f>
        <v/>
      </c>
      <c r="F1798" s="22" t="str">
        <f>IF(OR(E1798="",E1798="!!!"),"",IF(NOT(ISNA(VLOOKUP(E1798,E$1:E1797,1,FALSE()))),"OLD",IF(AND(E1798&lt;&gt;"",E1798&lt;&gt;"!!!"),"NEW","")))</f>
        <v> </v>
      </c>
      <c r="G1798" s="23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4" t="str">
        <f>IF(J1798&lt;&gt;1,"",IF(I1798="SBJ","CB","?"))</f>
        <v> </v>
      </c>
      <c r="I1798" s="25" t="str">
        <f>IF(OR(E1798="",E1798="!!!",F1798="NEW"),"",INDEX(B1797:B$2,-1+SUMPRODUCT(MAX(ROW(E1797:E$2)*(E1798=E1797:E$2)))))</f>
        <v> </v>
      </c>
      <c r="J1798" s="25" t="str">
        <f>IF(OR(E1798="",E1798="!!!",F1798="NEW"),"",COUNTBLANK(OFFSET(A$1,,,SUMPRODUCT(MAX(ROW(E$2:E1798)*(E1798=E$2:E1798)))))-COUNTBLANK(OFFSET(A$1,,,SUMPRODUCT(MAX(ROW(E$1:E1797)*(E2=E$1:E1797))))))</f>
        <v> </v>
      </c>
      <c r="K1798" s="25" t="str">
        <f>IF(OR(E1798="",E1798="!!!",F1798="NEW"),"",INDEX(J$1:J1797,SUMPRODUCT(MAX(ROW(E$1:E1797)*(E1798=E$1:E1797)))))</f>
        <v> </v>
      </c>
      <c r="L1798" s="26"/>
    </row>
    <row r="1799" spans="1:12">
      <c r="A1799" s="20"/>
    </row>
    <row r="1800" spans="1:12">
      <c r="A1800" s="20" t="s">
        <v>1209</v>
      </c>
    </row>
    <row r="1801" spans="1:12">
      <c r="A1801" s="20" t="s">
        <v>770</v>
      </c>
      <c r="E1801" s="21">
        <f>IF(D1801="?OLD","!!!","")</f>
        <v/>
      </c>
      <c r="F1801" s="22" t="str">
        <f>IF(OR(E1801="",E1801="!!!"),"",IF(NOT(ISNA(VLOOKUP(E1801,E$1:E1800,1,FALSE()))),"OLD",IF(AND(E1801&lt;&gt;"",E1801&lt;&gt;"!!!"),"NEW","")))</f>
        <v> </v>
      </c>
      <c r="G1801" s="23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4" t="str">
        <f>IF(J1801&lt;&gt;1,"",IF(I1801="SBJ","CB","?"))</f>
        <v> </v>
      </c>
      <c r="I1801" s="25" t="str">
        <f>IF(OR(E1801="",E1801="!!!",F1801="NEW"),"",INDEX(B1800:B$2,-1+SUMPRODUCT(MAX(ROW(E1800:E$2)*(E1801=E1800:E$2)))))</f>
        <v> </v>
      </c>
      <c r="J1801" s="25" t="str">
        <f>IF(OR(E1801="",E1801="!!!",F1801="NEW"),"",COUNTBLANK(OFFSET(A$1,,,SUMPRODUCT(MAX(ROW(E$2:E1801)*(E1801=E$2:E1801)))))-COUNTBLANK(OFFSET(A$1,,,SUMPRODUCT(MAX(ROW(E$1:E1800)*(E2=E$1:E1800))))))</f>
        <v> </v>
      </c>
      <c r="K1801" s="25" t="str">
        <f>IF(OR(E1801="",E1801="!!!",F1801="NEW"),"",INDEX(J$1:J1800,SUMPRODUCT(MAX(ROW(E$1:E1800)*(E1801=E$1:E1800)))))</f>
        <v> </v>
      </c>
      <c r="L1801" s="26"/>
    </row>
    <row r="1802" spans="1:12">
      <c r="A1802" s="20" t="s">
        <v>1179</v>
      </c>
      <c r="E1802" s="21">
        <f>IF(D1802="?OLD","!!!","")</f>
        <v/>
      </c>
      <c r="F1802" s="22" t="str">
        <f>IF(OR(E1802="",E1802="!!!"),"",IF(NOT(ISNA(VLOOKUP(E1802,E$1:E1801,1,FALSE()))),"OLD",IF(AND(E1802&lt;&gt;"",E1802&lt;&gt;"!!!"),"NEW","")))</f>
        <v> </v>
      </c>
      <c r="G1802" s="23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4" t="str">
        <f>IF(J1802&lt;&gt;1,"",IF(I1802="SBJ","CB","?"))</f>
        <v> </v>
      </c>
      <c r="I1802" s="25" t="str">
        <f>IF(OR(E1802="",E1802="!!!",F1802="NEW"),"",INDEX(B1801:B$2,-1+SUMPRODUCT(MAX(ROW(E1801:E$2)*(E1802=E1801:E$2)))))</f>
        <v> </v>
      </c>
      <c r="J1802" s="25" t="str">
        <f>IF(OR(E1802="",E1802="!!!",F1802="NEW"),"",COUNTBLANK(OFFSET(A$1,,,SUMPRODUCT(MAX(ROW(E$2:E1802)*(E1802=E$2:E1802)))))-COUNTBLANK(OFFSET(A$1,,,SUMPRODUCT(MAX(ROW(E$1:E1801)*(E2=E$1:E1801))))))</f>
        <v> </v>
      </c>
      <c r="K1802" s="25" t="str">
        <f>IF(OR(E1802="",E1802="!!!",F1802="NEW"),"",INDEX(J$1:J1801,SUMPRODUCT(MAX(ROW(E$1:E1801)*(E1802=E$1:E1801)))))</f>
        <v> </v>
      </c>
      <c r="L1802" s="26"/>
    </row>
    <row r="1803" spans="1:12">
      <c r="A1803" s="20" t="s">
        <v>528</v>
      </c>
      <c r="E1803" s="21">
        <f>IF(D1803="?OLD","!!!","")</f>
        <v/>
      </c>
      <c r="F1803" s="22" t="str">
        <f>IF(OR(E1803="",E1803="!!!"),"",IF(NOT(ISNA(VLOOKUP(E1803,E$1:E1802,1,FALSE()))),"OLD",IF(AND(E1803&lt;&gt;"",E1803&lt;&gt;"!!!"),"NEW","")))</f>
        <v> </v>
      </c>
      <c r="G1803" s="23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4" t="str">
        <f>IF(J1803&lt;&gt;1,"",IF(I1803="SBJ","CB","?"))</f>
        <v> </v>
      </c>
      <c r="I1803" s="25" t="str">
        <f>IF(OR(E1803="",E1803="!!!",F1803="NEW"),"",INDEX(B1802:B$2,-1+SUMPRODUCT(MAX(ROW(E1802:E$2)*(E1803=E1802:E$2)))))</f>
        <v> </v>
      </c>
      <c r="J1803" s="25" t="str">
        <f>IF(OR(E1803="",E1803="!!!",F1803="NEW"),"",COUNTBLANK(OFFSET(A$1,,,SUMPRODUCT(MAX(ROW(E$2:E1803)*(E1803=E$2:E1803)))))-COUNTBLANK(OFFSET(A$1,,,SUMPRODUCT(MAX(ROW(E$1:E1802)*(E2=E$1:E1802))))))</f>
        <v> </v>
      </c>
      <c r="K1803" s="25" t="str">
        <f>IF(OR(E1803="",E1803="!!!",F1803="NEW"),"",INDEX(J$1:J1802,SUMPRODUCT(MAX(ROW(E$1:E1802)*(E1803=E$1:E1802)))))</f>
        <v> </v>
      </c>
      <c r="L1803" s="26"/>
    </row>
    <row r="1804" spans="1:12">
      <c r="A1804" s="20" t="s">
        <v>1210</v>
      </c>
      <c r="E1804" s="21">
        <f>IF(D1804="?OLD","!!!","")</f>
        <v/>
      </c>
      <c r="F1804" s="22" t="str">
        <f>IF(OR(E1804="",E1804="!!!"),"",IF(NOT(ISNA(VLOOKUP(E1804,E$1:E1803,1,FALSE()))),"OLD",IF(AND(E1804&lt;&gt;"",E1804&lt;&gt;"!!!"),"NEW","")))</f>
        <v> </v>
      </c>
      <c r="G1804" s="23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4" t="str">
        <f>IF(J1804&lt;&gt;1,"",IF(I1804="SBJ","CB","?"))</f>
        <v> </v>
      </c>
      <c r="I1804" s="25" t="str">
        <f>IF(OR(E1804="",E1804="!!!",F1804="NEW"),"",INDEX(B1803:B$2,-1+SUMPRODUCT(MAX(ROW(E1803:E$2)*(E1804=E1803:E$2)))))</f>
        <v> </v>
      </c>
      <c r="J1804" s="25" t="str">
        <f>IF(OR(E1804="",E1804="!!!",F1804="NEW"),"",COUNTBLANK(OFFSET(A$1,,,SUMPRODUCT(MAX(ROW(E$2:E1804)*(E1804=E$2:E1804)))))-COUNTBLANK(OFFSET(A$1,,,SUMPRODUCT(MAX(ROW(E$1:E1803)*(E2=E$1:E1803))))))</f>
        <v> </v>
      </c>
      <c r="K1804" s="25" t="str">
        <f>IF(OR(E1804="",E1804="!!!",F1804="NEW"),"",INDEX(J$1:J1803,SUMPRODUCT(MAX(ROW(E$1:E1803)*(E1804=E$1:E1803)))))</f>
        <v> </v>
      </c>
      <c r="L1804" s="26"/>
    </row>
    <row r="1805" spans="1:12">
      <c r="A1805" s="20" t="s">
        <v>541</v>
      </c>
      <c r="E1805" s="21">
        <f>IF(D1805="?OLD","!!!","")</f>
        <v/>
      </c>
      <c r="F1805" s="22" t="str">
        <f>IF(OR(E1805="",E1805="!!!"),"",IF(NOT(ISNA(VLOOKUP(E1805,E$1:E1804,1,FALSE()))),"OLD",IF(AND(E1805&lt;&gt;"",E1805&lt;&gt;"!!!"),"NEW","")))</f>
        <v> </v>
      </c>
      <c r="G1805" s="23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4" t="str">
        <f>IF(J1805&lt;&gt;1,"",IF(I1805="SBJ","CB","?"))</f>
        <v> </v>
      </c>
      <c r="I1805" s="25" t="str">
        <f>IF(OR(E1805="",E1805="!!!",F1805="NEW"),"",INDEX(B1804:B$2,-1+SUMPRODUCT(MAX(ROW(E1804:E$2)*(E1805=E1804:E$2)))))</f>
        <v> </v>
      </c>
      <c r="J1805" s="25" t="str">
        <f>IF(OR(E1805="",E1805="!!!",F1805="NEW"),"",COUNTBLANK(OFFSET(A$1,,,SUMPRODUCT(MAX(ROW(E$2:E1805)*(E1805=E$2:E1805)))))-COUNTBLANK(OFFSET(A$1,,,SUMPRODUCT(MAX(ROW(E$1:E1804)*(E2=E$1:E1804))))))</f>
        <v> </v>
      </c>
      <c r="K1805" s="25" t="str">
        <f>IF(OR(E1805="",E1805="!!!",F1805="NEW"),"",INDEX(J$1:J1804,SUMPRODUCT(MAX(ROW(E$1:E1804)*(E1805=E$1:E1804)))))</f>
        <v> </v>
      </c>
      <c r="L1805" s="26"/>
    </row>
    <row r="1806" spans="1:12">
      <c r="A1806" s="20" t="s">
        <v>1211</v>
      </c>
      <c r="E1806" s="21">
        <f>IF(D1806="?OLD","!!!","")</f>
        <v/>
      </c>
      <c r="F1806" s="22" t="str">
        <f>IF(OR(E1806="",E1806="!!!"),"",IF(NOT(ISNA(VLOOKUP(E1806,E$1:E1805,1,FALSE()))),"OLD",IF(AND(E1806&lt;&gt;"",E1806&lt;&gt;"!!!"),"NEW","")))</f>
        <v> </v>
      </c>
      <c r="G1806" s="23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4" t="str">
        <f>IF(J1806&lt;&gt;1,"",IF(I1806="SBJ","CB","?"))</f>
        <v> </v>
      </c>
      <c r="I1806" s="25" t="str">
        <f>IF(OR(E1806="",E1806="!!!",F1806="NEW"),"",INDEX(B1805:B$2,-1+SUMPRODUCT(MAX(ROW(E1805:E$2)*(E1806=E1805:E$2)))))</f>
        <v> </v>
      </c>
      <c r="J1806" s="25" t="str">
        <f>IF(OR(E1806="",E1806="!!!",F1806="NEW"),"",COUNTBLANK(OFFSET(A$1,,,SUMPRODUCT(MAX(ROW(E$2:E1806)*(E1806=E$2:E1806)))))-COUNTBLANK(OFFSET(A$1,,,SUMPRODUCT(MAX(ROW(E$1:E1805)*(E2=E$1:E1805))))))</f>
        <v> </v>
      </c>
      <c r="K1806" s="25" t="str">
        <f>IF(OR(E1806="",E1806="!!!",F1806="NEW"),"",INDEX(J$1:J1805,SUMPRODUCT(MAX(ROW(E$1:E1805)*(E1806=E$1:E1805)))))</f>
        <v> </v>
      </c>
      <c r="L1806" s="26"/>
    </row>
    <row r="1807" spans="1:12">
      <c r="A1807" s="20" t="s">
        <v>518</v>
      </c>
      <c r="E1807" s="21">
        <f>IF(D1807="?OLD","!!!","")</f>
        <v/>
      </c>
      <c r="F1807" s="22" t="str">
        <f>IF(OR(E1807="",E1807="!!!"),"",IF(NOT(ISNA(VLOOKUP(E1807,E$1:E1806,1,FALSE()))),"OLD",IF(AND(E1807&lt;&gt;"",E1807&lt;&gt;"!!!"),"NEW","")))</f>
        <v> </v>
      </c>
      <c r="G1807" s="23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4" t="str">
        <f>IF(J1807&lt;&gt;1,"",IF(I1807="SBJ","CB","?"))</f>
        <v> </v>
      </c>
      <c r="I1807" s="25" t="str">
        <f>IF(OR(E1807="",E1807="!!!",F1807="NEW"),"",INDEX(B1806:B$2,-1+SUMPRODUCT(MAX(ROW(E1806:E$2)*(E1807=E1806:E$2)))))</f>
        <v> </v>
      </c>
      <c r="J1807" s="25" t="str">
        <f>IF(OR(E1807="",E1807="!!!",F1807="NEW"),"",COUNTBLANK(OFFSET(A$1,,,SUMPRODUCT(MAX(ROW(E$2:E1807)*(E1807=E$2:E1807)))))-COUNTBLANK(OFFSET(A$1,,,SUMPRODUCT(MAX(ROW(E$1:E1806)*(E2=E$1:E1806))))))</f>
        <v> </v>
      </c>
      <c r="K1807" s="25" t="str">
        <f>IF(OR(E1807="",E1807="!!!",F1807="NEW"),"",INDEX(J$1:J1806,SUMPRODUCT(MAX(ROW(E$1:E1806)*(E1807=E$1:E1806)))))</f>
        <v> </v>
      </c>
      <c r="L1807" s="26"/>
    </row>
    <row r="1808" spans="1:12">
      <c r="A1808" s="20" t="s">
        <v>542</v>
      </c>
      <c r="E1808" s="21">
        <f>IF(D1808="?OLD","!!!","")</f>
        <v/>
      </c>
      <c r="F1808" s="22" t="str">
        <f>IF(OR(E1808="",E1808="!!!"),"",IF(NOT(ISNA(VLOOKUP(E1808,E$1:E1807,1,FALSE()))),"OLD",IF(AND(E1808&lt;&gt;"",E1808&lt;&gt;"!!!"),"NEW","")))</f>
        <v> </v>
      </c>
      <c r="G1808" s="23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4" t="str">
        <f>IF(J1808&lt;&gt;1,"",IF(I1808="SBJ","CB","?"))</f>
        <v> </v>
      </c>
      <c r="I1808" s="25" t="str">
        <f>IF(OR(E1808="",E1808="!!!",F1808="NEW"),"",INDEX(B1807:B$2,-1+SUMPRODUCT(MAX(ROW(E1807:E$2)*(E1808=E1807:E$2)))))</f>
        <v> </v>
      </c>
      <c r="J1808" s="25" t="str">
        <f>IF(OR(E1808="",E1808="!!!",F1808="NEW"),"",COUNTBLANK(OFFSET(A$1,,,SUMPRODUCT(MAX(ROW(E$2:E1808)*(E1808=E$2:E1808)))))-COUNTBLANK(OFFSET(A$1,,,SUMPRODUCT(MAX(ROW(E$1:E1807)*(E2=E$1:E1807))))))</f>
        <v> </v>
      </c>
      <c r="K1808" s="25" t="str">
        <f>IF(OR(E1808="",E1808="!!!",F1808="NEW"),"",INDEX(J$1:J1807,SUMPRODUCT(MAX(ROW(E$1:E1807)*(E1808=E$1:E1807)))))</f>
        <v> </v>
      </c>
      <c r="L1808" s="26"/>
    </row>
    <row r="1809" spans="1:12">
      <c r="A1809" s="20" t="s">
        <v>1194</v>
      </c>
      <c r="B1809" s="27" t="s">
        <v>522</v>
      </c>
      <c r="C1809" s="27" t="s">
        <v>545</v>
      </c>
      <c r="D1809" s="27" t="s">
        <v>524</v>
      </c>
      <c r="E1809" s="21">
        <f>IF(D1809="?OLD","!!!","")</f>
        <v/>
      </c>
      <c r="F1809" s="22" t="str">
        <f>IF(OR(E1809="",E1809="!!!"),"",IF(NOT(ISNA(VLOOKUP(E1809,E$1:E1808,1,FALSE()))),"OLD",IF(AND(E1809&lt;&gt;"",E1809&lt;&gt;"!!!"),"NEW","")))</f>
        <v> </v>
      </c>
      <c r="G1809" s="23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4" t="str">
        <f>IF(J1809&lt;&gt;1,"",IF(I1809="SBJ","CB","?"))</f>
        <v> </v>
      </c>
      <c r="I1809" s="25" t="str">
        <f>IF(OR(E1809="",E1809="!!!",F1809="NEW"),"",INDEX(B1808:B$2,-1+SUMPRODUCT(MAX(ROW(E1808:E$2)*(E1809=E1808:E$2)))))</f>
        <v> </v>
      </c>
      <c r="J1809" s="25" t="str">
        <f>IF(OR(E1809="",E1809="!!!",F1809="NEW"),"",COUNTBLANK(OFFSET(A$1,,,SUMPRODUCT(MAX(ROW(E$2:E1809)*(E1809=E$2:E1809)))))-COUNTBLANK(OFFSET(A$1,,,SUMPRODUCT(MAX(ROW(E$1:E1808)*(E2=E$1:E1808))))))</f>
        <v> </v>
      </c>
      <c r="K1809" s="25" t="str">
        <f>IF(OR(E1809="",E1809="!!!",F1809="NEW"),"",INDEX(J$1:J1808,SUMPRODUCT(MAX(ROW(E$1:E1808)*(E1809=E$1:E1808)))))</f>
        <v> </v>
      </c>
      <c r="L1809" s="26"/>
    </row>
    <row r="1810" spans="1:12">
      <c r="A1810" s="20" t="s">
        <v>625</v>
      </c>
      <c r="E1810" s="21">
        <f>IF(D1810="?OLD","!!!","")</f>
        <v/>
      </c>
      <c r="F1810" s="22" t="str">
        <f>IF(OR(E1810="",E1810="!!!"),"",IF(NOT(ISNA(VLOOKUP(E1810,E$1:E1809,1,FALSE()))),"OLD",IF(AND(E1810&lt;&gt;"",E1810&lt;&gt;"!!!"),"NEW","")))</f>
        <v> </v>
      </c>
      <c r="G1810" s="23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4" t="str">
        <f>IF(J1810&lt;&gt;1,"",IF(I1810="SBJ","CB","?"))</f>
        <v> </v>
      </c>
      <c r="I1810" s="25" t="str">
        <f>IF(OR(E1810="",E1810="!!!",F1810="NEW"),"",INDEX(B1809:B$2,-1+SUMPRODUCT(MAX(ROW(E1809:E$2)*(E1810=E1809:E$2)))))</f>
        <v> </v>
      </c>
      <c r="J1810" s="25" t="str">
        <f>IF(OR(E1810="",E1810="!!!",F1810="NEW"),"",COUNTBLANK(OFFSET(A$1,,,SUMPRODUCT(MAX(ROW(E$2:E1810)*(E1810=E$2:E1810)))))-COUNTBLANK(OFFSET(A$1,,,SUMPRODUCT(MAX(ROW(E$1:E1809)*(E2=E$1:E1809))))))</f>
        <v> </v>
      </c>
      <c r="K1810" s="25" t="str">
        <f>IF(OR(E1810="",E1810="!!!",F1810="NEW"),"",INDEX(J$1:J1809,SUMPRODUCT(MAX(ROW(E$1:E1809)*(E1810=E$1:E1809)))))</f>
        <v> </v>
      </c>
      <c r="L1810" s="26"/>
    </row>
    <row r="1811" spans="1:12">
      <c r="A1811" s="20" t="s">
        <v>541</v>
      </c>
      <c r="E1811" s="21">
        <f>IF(D1811="?OLD","!!!","")</f>
        <v/>
      </c>
      <c r="F1811" s="22" t="str">
        <f>IF(OR(E1811="",E1811="!!!"),"",IF(NOT(ISNA(VLOOKUP(E1811,E$1:E1810,1,FALSE()))),"OLD",IF(AND(E1811&lt;&gt;"",E1811&lt;&gt;"!!!"),"NEW","")))</f>
        <v> </v>
      </c>
      <c r="G1811" s="23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4" t="str">
        <f>IF(J1811&lt;&gt;1,"",IF(I1811="SBJ","CB","?"))</f>
        <v> </v>
      </c>
      <c r="I1811" s="25" t="str">
        <f>IF(OR(E1811="",E1811="!!!",F1811="NEW"),"",INDEX(B1810:B$2,-1+SUMPRODUCT(MAX(ROW(E1810:E$2)*(E1811=E1810:E$2)))))</f>
        <v> </v>
      </c>
      <c r="J1811" s="25" t="str">
        <f>IF(OR(E1811="",E1811="!!!",F1811="NEW"),"",COUNTBLANK(OFFSET(A$1,,,SUMPRODUCT(MAX(ROW(E$2:E1811)*(E1811=E$2:E1811)))))-COUNTBLANK(OFFSET(A$1,,,SUMPRODUCT(MAX(ROW(E$1:E1810)*(E2=E$1:E1810))))))</f>
        <v> </v>
      </c>
      <c r="K1811" s="25" t="str">
        <f>IF(OR(E1811="",E1811="!!!",F1811="NEW"),"",INDEX(J$1:J1810,SUMPRODUCT(MAX(ROW(E$1:E1810)*(E1811=E$1:E1810)))))</f>
        <v> </v>
      </c>
      <c r="L1811" s="26"/>
    </row>
    <row r="1812" spans="1:12">
      <c r="A1812" s="20" t="s">
        <v>542</v>
      </c>
      <c r="E1812" s="21">
        <f>IF(D1812="?OLD","!!!","")</f>
        <v/>
      </c>
      <c r="F1812" s="22" t="str">
        <f>IF(OR(E1812="",E1812="!!!"),"",IF(NOT(ISNA(VLOOKUP(E1812,E$1:E1811,1,FALSE()))),"OLD",IF(AND(E1812&lt;&gt;"",E1812&lt;&gt;"!!!"),"NEW","")))</f>
        <v> </v>
      </c>
      <c r="G1812" s="23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4" t="str">
        <f>IF(J1812&lt;&gt;1,"",IF(I1812="SBJ","CB","?"))</f>
        <v> </v>
      </c>
      <c r="I1812" s="25" t="str">
        <f>IF(OR(E1812="",E1812="!!!",F1812="NEW"),"",INDEX(B1811:B$2,-1+SUMPRODUCT(MAX(ROW(E1811:E$2)*(E1812=E1811:E$2)))))</f>
        <v> </v>
      </c>
      <c r="J1812" s="25" t="str">
        <f>IF(OR(E1812="",E1812="!!!",F1812="NEW"),"",COUNTBLANK(OFFSET(A$1,,,SUMPRODUCT(MAX(ROW(E$2:E1812)*(E1812=E$2:E1812)))))-COUNTBLANK(OFFSET(A$1,,,SUMPRODUCT(MAX(ROW(E$1:E1811)*(E2=E$1:E1811))))))</f>
        <v> </v>
      </c>
      <c r="K1812" s="25" t="str">
        <f>IF(OR(E1812="",E1812="!!!",F1812="NEW"),"",INDEX(J$1:J1811,SUMPRODUCT(MAX(ROW(E$1:E1811)*(E1812=E$1:E1811)))))</f>
        <v> </v>
      </c>
      <c r="L1812" s="26"/>
    </row>
    <row r="1813" spans="1:12">
      <c r="A1813" s="20" t="s">
        <v>1212</v>
      </c>
      <c r="B1813" s="27" t="s">
        <v>544</v>
      </c>
      <c r="C1813" s="27" t="s">
        <v>540</v>
      </c>
      <c r="D1813" s="27" t="s">
        <v>524</v>
      </c>
      <c r="E1813" s="21">
        <f>IF(D1813="?OLD","!!!","")</f>
        <v/>
      </c>
      <c r="F1813" s="22" t="str">
        <f>IF(OR(E1813="",E1813="!!!"),"",IF(NOT(ISNA(VLOOKUP(E1813,E$1:E1812,1,FALSE()))),"OLD",IF(AND(E1813&lt;&gt;"",E1813&lt;&gt;"!!!"),"NEW","")))</f>
        <v> </v>
      </c>
      <c r="G1813" s="23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4" t="str">
        <f>IF(J1813&lt;&gt;1,"",IF(I1813="SBJ","CB","?"))</f>
        <v> </v>
      </c>
      <c r="I1813" s="25" t="str">
        <f>IF(OR(E1813="",E1813="!!!",F1813="NEW"),"",INDEX(B1812:B$2,-1+SUMPRODUCT(MAX(ROW(E1812:E$2)*(E1813=E1812:E$2)))))</f>
        <v> </v>
      </c>
      <c r="J1813" s="25" t="str">
        <f>IF(OR(E1813="",E1813="!!!",F1813="NEW"),"",COUNTBLANK(OFFSET(A$1,,,SUMPRODUCT(MAX(ROW(E$2:E1813)*(E1813=E$2:E1813)))))-COUNTBLANK(OFFSET(A$1,,,SUMPRODUCT(MAX(ROW(E$1:E1812)*(E2=E$1:E1812))))))</f>
        <v> </v>
      </c>
      <c r="K1813" s="25" t="str">
        <f>IF(OR(E1813="",E1813="!!!",F1813="NEW"),"",INDEX(J$1:J1812,SUMPRODUCT(MAX(ROW(E$1:E1812)*(E1813=E$1:E1812)))))</f>
        <v> </v>
      </c>
      <c r="L1813" s="26"/>
    </row>
    <row r="1814" spans="1:12">
      <c r="A1814" s="20" t="s">
        <v>518</v>
      </c>
      <c r="E1814" s="21">
        <f>IF(D1814="?OLD","!!!","")</f>
        <v/>
      </c>
      <c r="F1814" s="22" t="str">
        <f>IF(OR(E1814="",E1814="!!!"),"",IF(NOT(ISNA(VLOOKUP(E1814,E$1:E1813,1,FALSE()))),"OLD",IF(AND(E1814&lt;&gt;"",E1814&lt;&gt;"!!!"),"NEW","")))</f>
        <v> </v>
      </c>
      <c r="G1814" s="23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4" t="str">
        <f>IF(J1814&lt;&gt;1,"",IF(I1814="SBJ","CB","?"))</f>
        <v> </v>
      </c>
      <c r="I1814" s="25" t="str">
        <f>IF(OR(E1814="",E1814="!!!",F1814="NEW"),"",INDEX(B1813:B$2,-1+SUMPRODUCT(MAX(ROW(E1813:E$2)*(E1814=E1813:E$2)))))</f>
        <v> </v>
      </c>
      <c r="J1814" s="25" t="str">
        <f>IF(OR(E1814="",E1814="!!!",F1814="NEW"),"",COUNTBLANK(OFFSET(A$1,,,SUMPRODUCT(MAX(ROW(E$2:E1814)*(E1814=E$2:E1814)))))-COUNTBLANK(OFFSET(A$1,,,SUMPRODUCT(MAX(ROW(E$1:E1813)*(E2=E$1:E1813))))))</f>
        <v> </v>
      </c>
      <c r="K1814" s="25" t="str">
        <f>IF(OR(E1814="",E1814="!!!",F1814="NEW"),"",INDEX(J$1:J1813,SUMPRODUCT(MAX(ROW(E$1:E1813)*(E1814=E$1:E1813)))))</f>
        <v> </v>
      </c>
      <c r="L1814" s="26"/>
    </row>
    <row r="1815" spans="1:12">
      <c r="A1815" s="20" t="s">
        <v>542</v>
      </c>
      <c r="E1815" s="21">
        <f>IF(D1815="?OLD","!!!","")</f>
        <v/>
      </c>
      <c r="F1815" s="22" t="str">
        <f>IF(OR(E1815="",E1815="!!!"),"",IF(NOT(ISNA(VLOOKUP(E1815,E$1:E1814,1,FALSE()))),"OLD",IF(AND(E1815&lt;&gt;"",E1815&lt;&gt;"!!!"),"NEW","")))</f>
        <v> </v>
      </c>
      <c r="G1815" s="23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4" t="str">
        <f>IF(J1815&lt;&gt;1,"",IF(I1815="SBJ","CB","?"))</f>
        <v> </v>
      </c>
      <c r="I1815" s="25" t="str">
        <f>IF(OR(E1815="",E1815="!!!",F1815="NEW"),"",INDEX(B1814:B$2,-1+SUMPRODUCT(MAX(ROW(E1814:E$2)*(E1815=E1814:E$2)))))</f>
        <v> </v>
      </c>
      <c r="J1815" s="25" t="str">
        <f>IF(OR(E1815="",E1815="!!!",F1815="NEW"),"",COUNTBLANK(OFFSET(A$1,,,SUMPRODUCT(MAX(ROW(E$2:E1815)*(E1815=E$2:E1815)))))-COUNTBLANK(OFFSET(A$1,,,SUMPRODUCT(MAX(ROW(E$1:E1814)*(E2=E$1:E1814))))))</f>
        <v> </v>
      </c>
      <c r="K1815" s="25" t="str">
        <f>IF(OR(E1815="",E1815="!!!",F1815="NEW"),"",INDEX(J$1:J1814,SUMPRODUCT(MAX(ROW(E$1:E1814)*(E1815=E$1:E1814)))))</f>
        <v> </v>
      </c>
      <c r="L1815" s="26"/>
    </row>
    <row r="1816" spans="1:12">
      <c r="A1816" s="20" t="s">
        <v>1047</v>
      </c>
      <c r="B1816" s="27" t="s">
        <v>534</v>
      </c>
      <c r="C1816" s="27" t="s">
        <v>545</v>
      </c>
      <c r="D1816" s="27" t="s">
        <v>524</v>
      </c>
      <c r="E1816" s="21">
        <f>IF(D1816="?OLD","!!!","")</f>
        <v/>
      </c>
      <c r="F1816" s="22" t="str">
        <f>IF(OR(E1816="",E1816="!!!"),"",IF(NOT(ISNA(VLOOKUP(E1816,E$1:E1815,1,FALSE()))),"OLD",IF(AND(E1816&lt;&gt;"",E1816&lt;&gt;"!!!"),"NEW","")))</f>
        <v> </v>
      </c>
      <c r="G1816" s="23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4" t="str">
        <f>IF(J1816&lt;&gt;1,"",IF(I1816="SBJ","CB","?"))</f>
        <v> </v>
      </c>
      <c r="I1816" s="25" t="str">
        <f>IF(OR(E1816="",E1816="!!!",F1816="NEW"),"",INDEX(B1815:B$2,-1+SUMPRODUCT(MAX(ROW(E1815:E$2)*(E1816=E1815:E$2)))))</f>
        <v> </v>
      </c>
      <c r="J1816" s="25" t="str">
        <f>IF(OR(E1816="",E1816="!!!",F1816="NEW"),"",COUNTBLANK(OFFSET(A$1,,,SUMPRODUCT(MAX(ROW(E$2:E1816)*(E1816=E$2:E1816)))))-COUNTBLANK(OFFSET(A$1,,,SUMPRODUCT(MAX(ROW(E$1:E1815)*(E2=E$1:E1815))))))</f>
        <v> </v>
      </c>
      <c r="K1816" s="25" t="str">
        <f>IF(OR(E1816="",E1816="!!!",F1816="NEW"),"",INDEX(J$1:J1815,SUMPRODUCT(MAX(ROW(E$1:E1815)*(E1816=E$1:E1815)))))</f>
        <v> </v>
      </c>
      <c r="L1816" s="26"/>
    </row>
    <row r="1817" spans="1:12">
      <c r="A1817" s="20" t="s">
        <v>1048</v>
      </c>
      <c r="E1817" s="21">
        <f>IF(D1817="?OLD","!!!","")</f>
        <v/>
      </c>
      <c r="F1817" s="22" t="str">
        <f>IF(OR(E1817="",E1817="!!!"),"",IF(NOT(ISNA(VLOOKUP(E1817,E$1:E1816,1,FALSE()))),"OLD",IF(AND(E1817&lt;&gt;"",E1817&lt;&gt;"!!!"),"NEW","")))</f>
        <v> </v>
      </c>
      <c r="G1817" s="23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4" t="str">
        <f>IF(J1817&lt;&gt;1,"",IF(I1817="SBJ","CB","?"))</f>
        <v> </v>
      </c>
      <c r="I1817" s="25" t="str">
        <f>IF(OR(E1817="",E1817="!!!",F1817="NEW"),"",INDEX(B1816:B$2,-1+SUMPRODUCT(MAX(ROW(E1816:E$2)*(E1817=E1816:E$2)))))</f>
        <v> </v>
      </c>
      <c r="J1817" s="25" t="str">
        <f>IF(OR(E1817="",E1817="!!!",F1817="NEW"),"",COUNTBLANK(OFFSET(A$1,,,SUMPRODUCT(MAX(ROW(E$2:E1817)*(E1817=E$2:E1817)))))-COUNTBLANK(OFFSET(A$1,,,SUMPRODUCT(MAX(ROW(E$1:E1816)*(E2=E$1:E1816))))))</f>
        <v> </v>
      </c>
      <c r="K1817" s="25" t="str">
        <f>IF(OR(E1817="",E1817="!!!",F1817="NEW"),"",INDEX(J$1:J1816,SUMPRODUCT(MAX(ROW(E$1:E1816)*(E1817=E$1:E1816)))))</f>
        <v> </v>
      </c>
      <c r="L1817" s="26"/>
    </row>
    <row r="1818" spans="1:12">
      <c r="A1818" s="20" t="s">
        <v>549</v>
      </c>
      <c r="E1818" s="21">
        <f>IF(D1818="?OLD","!!!","")</f>
        <v/>
      </c>
      <c r="F1818" s="22" t="str">
        <f>IF(OR(E1818="",E1818="!!!"),"",IF(NOT(ISNA(VLOOKUP(E1818,E$1:E1817,1,FALSE()))),"OLD",IF(AND(E1818&lt;&gt;"",E1818&lt;&gt;"!!!"),"NEW","")))</f>
        <v> </v>
      </c>
      <c r="G1818" s="23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4" t="str">
        <f>IF(J1818&lt;&gt;1,"",IF(I1818="SBJ","CB","?"))</f>
        <v> </v>
      </c>
      <c r="I1818" s="25" t="str">
        <f>IF(OR(E1818="",E1818="!!!",F1818="NEW"),"",INDEX(B1817:B$2,-1+SUMPRODUCT(MAX(ROW(E1817:E$2)*(E1818=E1817:E$2)))))</f>
        <v> </v>
      </c>
      <c r="J1818" s="25" t="str">
        <f>IF(OR(E1818="",E1818="!!!",F1818="NEW"),"",COUNTBLANK(OFFSET(A$1,,,SUMPRODUCT(MAX(ROW(E$2:E1818)*(E1818=E$2:E1818)))))-COUNTBLANK(OFFSET(A$1,,,SUMPRODUCT(MAX(ROW(E$1:E1817)*(E2=E$1:E1817))))))</f>
        <v> </v>
      </c>
      <c r="K1818" s="25" t="str">
        <f>IF(OR(E1818="",E1818="!!!",F1818="NEW"),"",INDEX(J$1:J1817,SUMPRODUCT(MAX(ROW(E$1:E1817)*(E1818=E$1:E1817)))))</f>
        <v> </v>
      </c>
      <c r="L1818" s="26"/>
    </row>
    <row r="1819" spans="1:12">
      <c r="A1819" s="20"/>
    </row>
    <row r="1820" spans="1:12">
      <c r="A1820" s="20" t="s">
        <v>1213</v>
      </c>
    </row>
    <row r="1821" spans="1:12">
      <c r="A1821" s="20" t="s">
        <v>11</v>
      </c>
      <c r="E1821" s="21">
        <f>IF(D1821="?OLD","!!!","")</f>
        <v/>
      </c>
      <c r="F1821" s="22" t="str">
        <f>IF(OR(E1821="",E1821="!!!"),"",IF(NOT(ISNA(VLOOKUP(E1821,E$1:E1820,1,FALSE()))),"OLD",IF(AND(E1821&lt;&gt;"",E1821&lt;&gt;"!!!"),"NEW","")))</f>
        <v> </v>
      </c>
      <c r="G1821" s="23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4" t="str">
        <f>IF(J1821&lt;&gt;1,"",IF(I1821="SBJ","CB","?"))</f>
        <v> </v>
      </c>
      <c r="I1821" s="25" t="str">
        <f>IF(OR(E1821="",E1821="!!!",F1821="NEW"),"",INDEX(B1820:B$2,-1+SUMPRODUCT(MAX(ROW(E1820:E$2)*(E1821=E1820:E$2)))))</f>
        <v> </v>
      </c>
      <c r="J1821" s="25" t="str">
        <f>IF(OR(E1821="",E1821="!!!",F1821="NEW"),"",COUNTBLANK(OFFSET(A$1,,,SUMPRODUCT(MAX(ROW(E$2:E1821)*(E1821=E$2:E1821)))))-COUNTBLANK(OFFSET(A$1,,,SUMPRODUCT(MAX(ROW(E$1:E1820)*(E2=E$1:E1820))))))</f>
        <v> </v>
      </c>
      <c r="K1821" s="25" t="str">
        <f>IF(OR(E1821="",E1821="!!!",F1821="NEW"),"",INDEX(J$1:J1820,SUMPRODUCT(MAX(ROW(E$1:E1820)*(E1821=E$1:E1820)))))</f>
        <v> </v>
      </c>
      <c r="L1821" s="26"/>
    </row>
    <row r="1822" spans="1:12">
      <c r="A1822" s="20" t="s">
        <v>429</v>
      </c>
      <c r="E1822" s="21">
        <f>IF(D1822="?OLD","!!!","")</f>
        <v/>
      </c>
      <c r="F1822" s="22" t="str">
        <f>IF(OR(E1822="",E1822="!!!"),"",IF(NOT(ISNA(VLOOKUP(E1822,E$1:E1821,1,FALSE()))),"OLD",IF(AND(E1822&lt;&gt;"",E1822&lt;&gt;"!!!"),"NEW","")))</f>
        <v> </v>
      </c>
      <c r="G1822" s="23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4" t="str">
        <f>IF(J1822&lt;&gt;1,"",IF(I1822="SBJ","CB","?"))</f>
        <v> </v>
      </c>
      <c r="I1822" s="25" t="str">
        <f>IF(OR(E1822="",E1822="!!!",F1822="NEW"),"",INDEX(B1821:B$2,-1+SUMPRODUCT(MAX(ROW(E1821:E$2)*(E1822=E1821:E$2)))))</f>
        <v> </v>
      </c>
      <c r="J1822" s="25" t="str">
        <f>IF(OR(E1822="",E1822="!!!",F1822="NEW"),"",COUNTBLANK(OFFSET(A$1,,,SUMPRODUCT(MAX(ROW(E$2:E1822)*(E1822=E$2:E1822)))))-COUNTBLANK(OFFSET(A$1,,,SUMPRODUCT(MAX(ROW(E$1:E1821)*(E2=E$1:E1821))))))</f>
        <v> </v>
      </c>
      <c r="K1822" s="25" t="str">
        <f>IF(OR(E1822="",E1822="!!!",F1822="NEW"),"",INDEX(J$1:J1821,SUMPRODUCT(MAX(ROW(E$1:E1821)*(E1822=E$1:E1821)))))</f>
        <v> </v>
      </c>
      <c r="L1822" s="26"/>
    </row>
    <row r="1823" spans="1:12">
      <c r="A1823" s="20" t="s">
        <v>1156</v>
      </c>
      <c r="E1823" s="21">
        <f>IF(D1823="?OLD","!!!","")</f>
        <v/>
      </c>
      <c r="F1823" s="22" t="str">
        <f>IF(OR(E1823="",E1823="!!!"),"",IF(NOT(ISNA(VLOOKUP(E1823,E$1:E1822,1,FALSE()))),"OLD",IF(AND(E1823&lt;&gt;"",E1823&lt;&gt;"!!!"),"NEW","")))</f>
        <v> </v>
      </c>
      <c r="G1823" s="23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4" t="str">
        <f>IF(J1823&lt;&gt;1,"",IF(I1823="SBJ","CB","?"))</f>
        <v> </v>
      </c>
      <c r="I1823" s="25" t="str">
        <f>IF(OR(E1823="",E1823="!!!",F1823="NEW"),"",INDEX(B1822:B$2,-1+SUMPRODUCT(MAX(ROW(E1822:E$2)*(E1823=E1822:E$2)))))</f>
        <v> </v>
      </c>
      <c r="J1823" s="25" t="str">
        <f>IF(OR(E1823="",E1823="!!!",F1823="NEW"),"",COUNTBLANK(OFFSET(A$1,,,SUMPRODUCT(MAX(ROW(E$2:E1823)*(E1823=E$2:E1823)))))-COUNTBLANK(OFFSET(A$1,,,SUMPRODUCT(MAX(ROW(E$1:E1822)*(E2=E$1:E1822))))))</f>
        <v> </v>
      </c>
      <c r="K1823" s="25" t="str">
        <f>IF(OR(E1823="",E1823="!!!",F1823="NEW"),"",INDEX(J$1:J1822,SUMPRODUCT(MAX(ROW(E$1:E1822)*(E1823=E$1:E1822)))))</f>
        <v> </v>
      </c>
      <c r="L1823" s="26"/>
    </row>
    <row r="1824" spans="1:12">
      <c r="A1824" s="20" t="s">
        <v>518</v>
      </c>
      <c r="E1824" s="21">
        <f>IF(D1824="?OLD","!!!","")</f>
        <v/>
      </c>
      <c r="F1824" s="22" t="str">
        <f>IF(OR(E1824="",E1824="!!!"),"",IF(NOT(ISNA(VLOOKUP(E1824,E$1:E1823,1,FALSE()))),"OLD",IF(AND(E1824&lt;&gt;"",E1824&lt;&gt;"!!!"),"NEW","")))</f>
        <v> </v>
      </c>
      <c r="G1824" s="23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4" t="str">
        <f>IF(J1824&lt;&gt;1,"",IF(I1824="SBJ","CB","?"))</f>
        <v> </v>
      </c>
      <c r="I1824" s="25" t="str">
        <f>IF(OR(E1824="",E1824="!!!",F1824="NEW"),"",INDEX(B1823:B$2,-1+SUMPRODUCT(MAX(ROW(E1823:E$2)*(E1824=E1823:E$2)))))</f>
        <v> </v>
      </c>
      <c r="J1824" s="25" t="str">
        <f>IF(OR(E1824="",E1824="!!!",F1824="NEW"),"",COUNTBLANK(OFFSET(A$1,,,SUMPRODUCT(MAX(ROW(E$2:E1824)*(E1824=E$2:E1824)))))-COUNTBLANK(OFFSET(A$1,,,SUMPRODUCT(MAX(ROW(E$1:E1823)*(E2=E$1:E1823))))))</f>
        <v> </v>
      </c>
      <c r="K1824" s="25" t="str">
        <f>IF(OR(E1824="",E1824="!!!",F1824="NEW"),"",INDEX(J$1:J1823,SUMPRODUCT(MAX(ROW(E$1:E1823)*(E1824=E$1:E1823)))))</f>
        <v> </v>
      </c>
      <c r="L1824" s="26"/>
    </row>
    <row r="1825" spans="1:12">
      <c r="A1825" s="20" t="s">
        <v>870</v>
      </c>
      <c r="B1825" s="27" t="s">
        <v>597</v>
      </c>
      <c r="C1825" s="27" t="s">
        <v>557</v>
      </c>
      <c r="E1825" s="21">
        <f>IF(D1825="?OLD","!!!","")</f>
        <v/>
      </c>
      <c r="F1825" s="22" t="str">
        <f>IF(OR(E1825="",E1825="!!!"),"",IF(NOT(ISNA(VLOOKUP(E1825,E$1:E1824,1,FALSE()))),"OLD",IF(AND(E1825&lt;&gt;"",E1825&lt;&gt;"!!!"),"NEW","")))</f>
        <v> </v>
      </c>
      <c r="G1825" s="23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4" t="str">
        <f>IF(J1825&lt;&gt;1,"",IF(I1825="SBJ","CB","?"))</f>
        <v> </v>
      </c>
      <c r="I1825" s="25" t="str">
        <f>IF(OR(E1825="",E1825="!!!",F1825="NEW"),"",INDEX(B1824:B$2,-1+SUMPRODUCT(MAX(ROW(E1824:E$2)*(E1825=E1824:E$2)))))</f>
        <v> </v>
      </c>
      <c r="J1825" s="25" t="str">
        <f>IF(OR(E1825="",E1825="!!!",F1825="NEW"),"",COUNTBLANK(OFFSET(A$1,,,SUMPRODUCT(MAX(ROW(E$2:E1825)*(E1825=E$2:E1825)))))-COUNTBLANK(OFFSET(A$1,,,SUMPRODUCT(MAX(ROW(E$1:E1824)*(E2=E$1:E1824))))))</f>
        <v> </v>
      </c>
      <c r="K1825" s="25" t="str">
        <f>IF(OR(E1825="",E1825="!!!",F1825="NEW"),"",INDEX(J$1:J1824,SUMPRODUCT(MAX(ROW(E$1:E1824)*(E1825=E$1:E1824)))))</f>
        <v> </v>
      </c>
      <c r="L1825" s="26"/>
    </row>
    <row r="1826" spans="1:12">
      <c r="A1826" s="20" t="s">
        <v>565</v>
      </c>
      <c r="E1826" s="21">
        <f>IF(D1826="?OLD","!!!","")</f>
        <v/>
      </c>
      <c r="F1826" s="22" t="str">
        <f>IF(OR(E1826="",E1826="!!!"),"",IF(NOT(ISNA(VLOOKUP(E1826,E$1:E1825,1,FALSE()))),"OLD",IF(AND(E1826&lt;&gt;"",E1826&lt;&gt;"!!!"),"NEW","")))</f>
        <v> </v>
      </c>
      <c r="G1826" s="23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4" t="str">
        <f>IF(J1826&lt;&gt;1,"",IF(I1826="SBJ","CB","?"))</f>
        <v> </v>
      </c>
      <c r="I1826" s="25" t="str">
        <f>IF(OR(E1826="",E1826="!!!",F1826="NEW"),"",INDEX(B1825:B$2,-1+SUMPRODUCT(MAX(ROW(E1825:E$2)*(E1826=E1825:E$2)))))</f>
        <v> </v>
      </c>
      <c r="J1826" s="25" t="str">
        <f>IF(OR(E1826="",E1826="!!!",F1826="NEW"),"",COUNTBLANK(OFFSET(A$1,,,SUMPRODUCT(MAX(ROW(E$2:E1826)*(E1826=E$2:E1826)))))-COUNTBLANK(OFFSET(A$1,,,SUMPRODUCT(MAX(ROW(E$1:E1825)*(E2=E$1:E1825))))))</f>
        <v> </v>
      </c>
      <c r="K1826" s="25" t="str">
        <f>IF(OR(E1826="",E1826="!!!",F1826="NEW"),"",INDEX(J$1:J1825,SUMPRODUCT(MAX(ROW(E$1:E1825)*(E1826=E$1:E1825)))))</f>
        <v> </v>
      </c>
      <c r="L1826" s="26"/>
    </row>
    <row r="1827" spans="1:12">
      <c r="A1827" s="20" t="s">
        <v>751</v>
      </c>
      <c r="E1827" s="21">
        <f>IF(D1827="?OLD","!!!","")</f>
        <v/>
      </c>
      <c r="F1827" s="22" t="str">
        <f>IF(OR(E1827="",E1827="!!!"),"",IF(NOT(ISNA(VLOOKUP(E1827,E$1:E1826,1,FALSE()))),"OLD",IF(AND(E1827&lt;&gt;"",E1827&lt;&gt;"!!!"),"NEW","")))</f>
        <v> </v>
      </c>
      <c r="G1827" s="23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4" t="str">
        <f>IF(J1827&lt;&gt;1,"",IF(I1827="SBJ","CB","?"))</f>
        <v> </v>
      </c>
      <c r="I1827" s="25" t="str">
        <f>IF(OR(E1827="",E1827="!!!",F1827="NEW"),"",INDEX(B1826:B$2,-1+SUMPRODUCT(MAX(ROW(E1826:E$2)*(E1827=E1826:E$2)))))</f>
        <v> </v>
      </c>
      <c r="J1827" s="25" t="str">
        <f>IF(OR(E1827="",E1827="!!!",F1827="NEW"),"",COUNTBLANK(OFFSET(A$1,,,SUMPRODUCT(MAX(ROW(E$2:E1827)*(E1827=E$2:E1827)))))-COUNTBLANK(OFFSET(A$1,,,SUMPRODUCT(MAX(ROW(E$1:E1826)*(E2=E$1:E1826))))))</f>
        <v> </v>
      </c>
      <c r="K1827" s="25" t="str">
        <f>IF(OR(E1827="",E1827="!!!",F1827="NEW"),"",INDEX(J$1:J1826,SUMPRODUCT(MAX(ROW(E$1:E1826)*(E1827=E$1:E1826)))))</f>
        <v> </v>
      </c>
      <c r="L1827" s="26"/>
    </row>
    <row r="1828" spans="1:12">
      <c r="A1828" s="20" t="s">
        <v>528</v>
      </c>
      <c r="E1828" s="21">
        <f>IF(D1828="?OLD","!!!","")</f>
        <v/>
      </c>
      <c r="F1828" s="22" t="str">
        <f>IF(OR(E1828="",E1828="!!!"),"",IF(NOT(ISNA(VLOOKUP(E1828,E$1:E1827,1,FALSE()))),"OLD",IF(AND(E1828&lt;&gt;"",E1828&lt;&gt;"!!!"),"NEW","")))</f>
        <v> </v>
      </c>
      <c r="G1828" s="23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4" t="str">
        <f>IF(J1828&lt;&gt;1,"",IF(I1828="SBJ","CB","?"))</f>
        <v> </v>
      </c>
      <c r="I1828" s="25" t="str">
        <f>IF(OR(E1828="",E1828="!!!",F1828="NEW"),"",INDEX(B1827:B$2,-1+SUMPRODUCT(MAX(ROW(E1827:E$2)*(E1828=E1827:E$2)))))</f>
        <v> </v>
      </c>
      <c r="J1828" s="25" t="str">
        <f>IF(OR(E1828="",E1828="!!!",F1828="NEW"),"",COUNTBLANK(OFFSET(A$1,,,SUMPRODUCT(MAX(ROW(E$2:E1828)*(E1828=E$2:E1828)))))-COUNTBLANK(OFFSET(A$1,,,SUMPRODUCT(MAX(ROW(E$1:E1827)*(E2=E$1:E1827))))))</f>
        <v> </v>
      </c>
      <c r="K1828" s="25" t="str">
        <f>IF(OR(E1828="",E1828="!!!",F1828="NEW"),"",INDEX(J$1:J1827,SUMPRODUCT(MAX(ROW(E$1:E1827)*(E1828=E$1:E1827)))))</f>
        <v> </v>
      </c>
      <c r="L1828" s="26"/>
    </row>
    <row r="1829" spans="1:12">
      <c r="A1829" s="20" t="s">
        <v>1214</v>
      </c>
      <c r="E1829" s="21">
        <f>IF(D1829="?OLD","!!!","")</f>
        <v/>
      </c>
      <c r="F1829" s="22" t="str">
        <f>IF(OR(E1829="",E1829="!!!"),"",IF(NOT(ISNA(VLOOKUP(E1829,E$1:E1828,1,FALSE()))),"OLD",IF(AND(E1829&lt;&gt;"",E1829&lt;&gt;"!!!"),"NEW","")))</f>
        <v> </v>
      </c>
      <c r="G1829" s="23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4" t="str">
        <f>IF(J1829&lt;&gt;1,"",IF(I1829="SBJ","CB","?"))</f>
        <v> </v>
      </c>
      <c r="I1829" s="25" t="str">
        <f>IF(OR(E1829="",E1829="!!!",F1829="NEW"),"",INDEX(B1828:B$2,-1+SUMPRODUCT(MAX(ROW(E1828:E$2)*(E1829=E1828:E$2)))))</f>
        <v> </v>
      </c>
      <c r="J1829" s="25" t="str">
        <f>IF(OR(E1829="",E1829="!!!",F1829="NEW"),"",COUNTBLANK(OFFSET(A$1,,,SUMPRODUCT(MAX(ROW(E$2:E1829)*(E1829=E$2:E1829)))))-COUNTBLANK(OFFSET(A$1,,,SUMPRODUCT(MAX(ROW(E$1:E1828)*(E2=E$1:E1828))))))</f>
        <v> </v>
      </c>
      <c r="K1829" s="25" t="str">
        <f>IF(OR(E1829="",E1829="!!!",F1829="NEW"),"",INDEX(J$1:J1828,SUMPRODUCT(MAX(ROW(E$1:E1828)*(E1829=E$1:E1828)))))</f>
        <v> </v>
      </c>
      <c r="L1829" s="26"/>
    </row>
    <row r="1830" spans="1:12">
      <c r="A1830" s="20" t="s">
        <v>525</v>
      </c>
      <c r="E1830" s="21">
        <f>IF(D1830="?OLD","!!!","")</f>
        <v/>
      </c>
      <c r="F1830" s="22" t="str">
        <f>IF(OR(E1830="",E1830="!!!"),"",IF(NOT(ISNA(VLOOKUP(E1830,E$1:E1829,1,FALSE()))),"OLD",IF(AND(E1830&lt;&gt;"",E1830&lt;&gt;"!!!"),"NEW","")))</f>
        <v> </v>
      </c>
      <c r="G1830" s="23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4" t="str">
        <f>IF(J1830&lt;&gt;1,"",IF(I1830="SBJ","CB","?"))</f>
        <v> </v>
      </c>
      <c r="I1830" s="25" t="str">
        <f>IF(OR(E1830="",E1830="!!!",F1830="NEW"),"",INDEX(B1829:B$2,-1+SUMPRODUCT(MAX(ROW(E1829:E$2)*(E1830=E1829:E$2)))))</f>
        <v> </v>
      </c>
      <c r="J1830" s="25" t="str">
        <f>IF(OR(E1830="",E1830="!!!",F1830="NEW"),"",COUNTBLANK(OFFSET(A$1,,,SUMPRODUCT(MAX(ROW(E$2:E1830)*(E1830=E$2:E1830)))))-COUNTBLANK(OFFSET(A$1,,,SUMPRODUCT(MAX(ROW(E$1:E1829)*(E2=E$1:E1829))))))</f>
        <v> </v>
      </c>
      <c r="K1830" s="25" t="str">
        <f>IF(OR(E1830="",E1830="!!!",F1830="NEW"),"",INDEX(J$1:J1829,SUMPRODUCT(MAX(ROW(E$1:E1829)*(E1830=E$1:E1829)))))</f>
        <v> </v>
      </c>
      <c r="L1830" s="26"/>
    </row>
    <row r="1831" spans="1:12">
      <c r="A1831" s="20" t="s">
        <v>1215</v>
      </c>
      <c r="B1831" s="27" t="s">
        <v>667</v>
      </c>
      <c r="C1831" s="27" t="s">
        <v>540</v>
      </c>
      <c r="D1831" s="27" t="s">
        <v>524</v>
      </c>
      <c r="E1831" s="21">
        <f>IF(D1831="?OLD","!!!","")</f>
        <v/>
      </c>
      <c r="F1831" s="22" t="str">
        <f>IF(OR(E1831="",E1831="!!!"),"",IF(NOT(ISNA(VLOOKUP(E1831,E$1:E1830,1,FALSE()))),"OLD",IF(AND(E1831&lt;&gt;"",E1831&lt;&gt;"!!!"),"NEW","")))</f>
        <v> </v>
      </c>
      <c r="G1831" s="23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4" t="str">
        <f>IF(J1831&lt;&gt;1,"",IF(I1831="SBJ","CB","?"))</f>
        <v> </v>
      </c>
      <c r="I1831" s="25" t="str">
        <f>IF(OR(E1831="",E1831="!!!",F1831="NEW"),"",INDEX(B1830:B$2,-1+SUMPRODUCT(MAX(ROW(E1830:E$2)*(E1831=E1830:E$2)))))</f>
        <v> </v>
      </c>
      <c r="J1831" s="25" t="str">
        <f>IF(OR(E1831="",E1831="!!!",F1831="NEW"),"",COUNTBLANK(OFFSET(A$1,,,SUMPRODUCT(MAX(ROW(E$2:E1831)*(E1831=E$2:E1831)))))-COUNTBLANK(OFFSET(A$1,,,SUMPRODUCT(MAX(ROW(E$1:E1830)*(E2=E$1:E1830))))))</f>
        <v> </v>
      </c>
      <c r="K1831" s="25" t="str">
        <f>IF(OR(E1831="",E1831="!!!",F1831="NEW"),"",INDEX(J$1:J1830,SUMPRODUCT(MAX(ROW(E$1:E1830)*(E1831=E$1:E1830)))))</f>
        <v> </v>
      </c>
      <c r="L1831" s="26"/>
    </row>
    <row r="1832" spans="1:12">
      <c r="A1832" s="20" t="s">
        <v>1157</v>
      </c>
      <c r="E1832" s="21">
        <f>IF(D1832="?OLD","!!!","")</f>
        <v/>
      </c>
      <c r="F1832" s="22" t="str">
        <f>IF(OR(E1832="",E1832="!!!"),"",IF(NOT(ISNA(VLOOKUP(E1832,E$1:E1831,1,FALSE()))),"OLD",IF(AND(E1832&lt;&gt;"",E1832&lt;&gt;"!!!"),"NEW","")))</f>
        <v> </v>
      </c>
      <c r="G1832" s="23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4" t="str">
        <f>IF(J1832&lt;&gt;1,"",IF(I1832="SBJ","CB","?"))</f>
        <v> </v>
      </c>
      <c r="I1832" s="25" t="str">
        <f>IF(OR(E1832="",E1832="!!!",F1832="NEW"),"",INDEX(B1831:B$2,-1+SUMPRODUCT(MAX(ROW(E1831:E$2)*(E1832=E1831:E$2)))))</f>
        <v> </v>
      </c>
      <c r="J1832" s="25" t="str">
        <f>IF(OR(E1832="",E1832="!!!",F1832="NEW"),"",COUNTBLANK(OFFSET(A$1,,,SUMPRODUCT(MAX(ROW(E$2:E1832)*(E1832=E$2:E1832)))))-COUNTBLANK(OFFSET(A$1,,,SUMPRODUCT(MAX(ROW(E$1:E1831)*(E2=E$1:E1831))))))</f>
        <v> </v>
      </c>
      <c r="K1832" s="25" t="str">
        <f>IF(OR(E1832="",E1832="!!!",F1832="NEW"),"",INDEX(J$1:J1831,SUMPRODUCT(MAX(ROW(E$1:E1831)*(E1832=E$1:E1831)))))</f>
        <v> </v>
      </c>
      <c r="L1832" s="26"/>
    </row>
    <row r="1833" spans="1:12">
      <c r="A1833" s="20" t="s">
        <v>929</v>
      </c>
      <c r="E1833" s="21">
        <f>IF(D1833="?OLD","!!!","")</f>
        <v/>
      </c>
      <c r="F1833" s="22" t="str">
        <f>IF(OR(E1833="",E1833="!!!"),"",IF(NOT(ISNA(VLOOKUP(E1833,E$1:E1832,1,FALSE()))),"OLD",IF(AND(E1833&lt;&gt;"",E1833&lt;&gt;"!!!"),"NEW","")))</f>
        <v> </v>
      </c>
      <c r="G1833" s="23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4" t="str">
        <f>IF(J1833&lt;&gt;1,"",IF(I1833="SBJ","CB","?"))</f>
        <v> </v>
      </c>
      <c r="I1833" s="25" t="str">
        <f>IF(OR(E1833="",E1833="!!!",F1833="NEW"),"",INDEX(B1832:B$2,-1+SUMPRODUCT(MAX(ROW(E1832:E$2)*(E1833=E1832:E$2)))))</f>
        <v> </v>
      </c>
      <c r="J1833" s="25" t="str">
        <f>IF(OR(E1833="",E1833="!!!",F1833="NEW"),"",COUNTBLANK(OFFSET(A$1,,,SUMPRODUCT(MAX(ROW(E$2:E1833)*(E1833=E$2:E1833)))))-COUNTBLANK(OFFSET(A$1,,,SUMPRODUCT(MAX(ROW(E$1:E1832)*(E2=E$1:E1832))))))</f>
        <v> </v>
      </c>
      <c r="K1833" s="25" t="str">
        <f>IF(OR(E1833="",E1833="!!!",F1833="NEW"),"",INDEX(J$1:J1832,SUMPRODUCT(MAX(ROW(E$1:E1832)*(E1833=E$1:E1832)))))</f>
        <v> </v>
      </c>
      <c r="L1833" s="26"/>
    </row>
    <row r="1834" spans="1:12">
      <c r="A1834" s="20" t="s">
        <v>1216</v>
      </c>
      <c r="E1834" s="21">
        <f>IF(D1834="?OLD","!!!","")</f>
        <v/>
      </c>
      <c r="F1834" s="22" t="str">
        <f>IF(OR(E1834="",E1834="!!!"),"",IF(NOT(ISNA(VLOOKUP(E1834,E$1:E1833,1,FALSE()))),"OLD",IF(AND(E1834&lt;&gt;"",E1834&lt;&gt;"!!!"),"NEW","")))</f>
        <v> </v>
      </c>
      <c r="G1834" s="23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4" t="str">
        <f>IF(J1834&lt;&gt;1,"",IF(I1834="SBJ","CB","?"))</f>
        <v> </v>
      </c>
      <c r="I1834" s="25" t="str">
        <f>IF(OR(E1834="",E1834="!!!",F1834="NEW"),"",INDEX(B1833:B$2,-1+SUMPRODUCT(MAX(ROW(E1833:E$2)*(E1834=E1833:E$2)))))</f>
        <v> </v>
      </c>
      <c r="J1834" s="25" t="str">
        <f>IF(OR(E1834="",E1834="!!!",F1834="NEW"),"",COUNTBLANK(OFFSET(A$1,,,SUMPRODUCT(MAX(ROW(E$2:E1834)*(E1834=E$2:E1834)))))-COUNTBLANK(OFFSET(A$1,,,SUMPRODUCT(MAX(ROW(E$1:E1833)*(E2=E$1:E1833))))))</f>
        <v> </v>
      </c>
      <c r="K1834" s="25" t="str">
        <f>IF(OR(E1834="",E1834="!!!",F1834="NEW"),"",INDEX(J$1:J1833,SUMPRODUCT(MAX(ROW(E$1:E1833)*(E1834=E$1:E1833)))))</f>
        <v> </v>
      </c>
      <c r="L1834" s="26"/>
    </row>
    <row r="1835" spans="1:12">
      <c r="A1835" s="20" t="s">
        <v>1217</v>
      </c>
      <c r="B1835" s="27" t="s">
        <v>544</v>
      </c>
      <c r="C1835" s="27" t="s">
        <v>637</v>
      </c>
      <c r="D1835" s="27" t="s">
        <v>524</v>
      </c>
      <c r="E1835" s="21">
        <f>IF(D1835="?OLD","!!!","")</f>
        <v/>
      </c>
      <c r="F1835" s="22" t="str">
        <f>IF(OR(E1835="",E1835="!!!"),"",IF(NOT(ISNA(VLOOKUP(E1835,E$1:E1834,1,FALSE()))),"OLD",IF(AND(E1835&lt;&gt;"",E1835&lt;&gt;"!!!"),"NEW","")))</f>
        <v> </v>
      </c>
      <c r="G1835" s="23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4" t="str">
        <f>IF(J1835&lt;&gt;1,"",IF(I1835="SBJ","CB","?"))</f>
        <v> </v>
      </c>
      <c r="I1835" s="25" t="str">
        <f>IF(OR(E1835="",E1835="!!!",F1835="NEW"),"",INDEX(B1834:B$2,-1+SUMPRODUCT(MAX(ROW(E1834:E$2)*(E1835=E1834:E$2)))))</f>
        <v> </v>
      </c>
      <c r="J1835" s="25" t="str">
        <f>IF(OR(E1835="",E1835="!!!",F1835="NEW"),"",COUNTBLANK(OFFSET(A$1,,,SUMPRODUCT(MAX(ROW(E$2:E1835)*(E1835=E$2:E1835)))))-COUNTBLANK(OFFSET(A$1,,,SUMPRODUCT(MAX(ROW(E$1:E1834)*(E2=E$1:E1834))))))</f>
        <v> </v>
      </c>
      <c r="K1835" s="25" t="str">
        <f>IF(OR(E1835="",E1835="!!!",F1835="NEW"),"",INDEX(J$1:J1834,SUMPRODUCT(MAX(ROW(E$1:E1834)*(E1835=E$1:E1834)))))</f>
        <v> </v>
      </c>
      <c r="L1835" s="26"/>
    </row>
    <row r="1836" spans="1:12">
      <c r="A1836" s="20" t="s">
        <v>625</v>
      </c>
      <c r="E1836" s="21">
        <f>IF(D1836="?OLD","!!!","")</f>
        <v/>
      </c>
      <c r="F1836" s="22" t="str">
        <f>IF(OR(E1836="",E1836="!!!"),"",IF(NOT(ISNA(VLOOKUP(E1836,E$1:E1835,1,FALSE()))),"OLD",IF(AND(E1836&lt;&gt;"",E1836&lt;&gt;"!!!"),"NEW","")))</f>
        <v> </v>
      </c>
      <c r="G1836" s="23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4" t="str">
        <f>IF(J1836&lt;&gt;1,"",IF(I1836="SBJ","CB","?"))</f>
        <v> </v>
      </c>
      <c r="I1836" s="25" t="str">
        <f>IF(OR(E1836="",E1836="!!!",F1836="NEW"),"",INDEX(B1835:B$2,-1+SUMPRODUCT(MAX(ROW(E1835:E$2)*(E1836=E1835:E$2)))))</f>
        <v> </v>
      </c>
      <c r="J1836" s="25" t="str">
        <f>IF(OR(E1836="",E1836="!!!",F1836="NEW"),"",COUNTBLANK(OFFSET(A$1,,,SUMPRODUCT(MAX(ROW(E$2:E1836)*(E1836=E$2:E1836)))))-COUNTBLANK(OFFSET(A$1,,,SUMPRODUCT(MAX(ROW(E$1:E1835)*(E2=E$1:E1835))))))</f>
        <v> </v>
      </c>
      <c r="K1836" s="25" t="str">
        <f>IF(OR(E1836="",E1836="!!!",F1836="NEW"),"",INDEX(J$1:J1835,SUMPRODUCT(MAX(ROW(E$1:E1835)*(E1836=E$1:E1835)))))</f>
        <v> </v>
      </c>
      <c r="L1836" s="26"/>
    </row>
    <row r="1837" spans="1:12">
      <c r="A1837" s="20" t="s">
        <v>730</v>
      </c>
      <c r="E1837" s="21">
        <f>IF(D1837="?OLD","!!!","")</f>
        <v/>
      </c>
      <c r="F1837" s="22" t="str">
        <f>IF(OR(E1837="",E1837="!!!"),"",IF(NOT(ISNA(VLOOKUP(E1837,E$1:E1836,1,FALSE()))),"OLD",IF(AND(E1837&lt;&gt;"",E1837&lt;&gt;"!!!"),"NEW","")))</f>
        <v> </v>
      </c>
      <c r="G1837" s="23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4" t="str">
        <f>IF(J1837&lt;&gt;1,"",IF(I1837="SBJ","CB","?"))</f>
        <v> </v>
      </c>
      <c r="I1837" s="25" t="str">
        <f>IF(OR(E1837="",E1837="!!!",F1837="NEW"),"",INDEX(B1836:B$2,-1+SUMPRODUCT(MAX(ROW(E1836:E$2)*(E1837=E1836:E$2)))))</f>
        <v> </v>
      </c>
      <c r="J1837" s="25" t="str">
        <f>IF(OR(E1837="",E1837="!!!",F1837="NEW"),"",COUNTBLANK(OFFSET(A$1,,,SUMPRODUCT(MAX(ROW(E$2:E1837)*(E1837=E$2:E1837)))))-COUNTBLANK(OFFSET(A$1,,,SUMPRODUCT(MAX(ROW(E$1:E1836)*(E2=E$1:E1836))))))</f>
        <v> </v>
      </c>
      <c r="K1837" s="25" t="str">
        <f>IF(OR(E1837="",E1837="!!!",F1837="NEW"),"",INDEX(J$1:J1836,SUMPRODUCT(MAX(ROW(E$1:E1836)*(E1837=E$1:E1836)))))</f>
        <v> </v>
      </c>
      <c r="L1837" s="26"/>
    </row>
    <row r="1838" spans="1:12">
      <c r="A1838" s="20" t="s">
        <v>1218</v>
      </c>
      <c r="B1838" s="27" t="s">
        <v>641</v>
      </c>
      <c r="C1838" s="27" t="s">
        <v>669</v>
      </c>
      <c r="D1838" s="27" t="s">
        <v>524</v>
      </c>
      <c r="E1838" s="21">
        <f>IF(D1838="?OLD","!!!","")</f>
        <v/>
      </c>
      <c r="F1838" s="22" t="str">
        <f>IF(OR(E1838="",E1838="!!!"),"",IF(NOT(ISNA(VLOOKUP(E1838,E$1:E1837,1,FALSE()))),"OLD",IF(AND(E1838&lt;&gt;"",E1838&lt;&gt;"!!!"),"NEW","")))</f>
        <v> </v>
      </c>
      <c r="G1838" s="23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4" t="str">
        <f>IF(J1838&lt;&gt;1,"",IF(I1838="SBJ","CB","?"))</f>
        <v> </v>
      </c>
      <c r="I1838" s="25" t="str">
        <f>IF(OR(E1838="",E1838="!!!",F1838="NEW"),"",INDEX(B1837:B$2,-1+SUMPRODUCT(MAX(ROW(E1837:E$2)*(E1838=E1837:E$2)))))</f>
        <v> </v>
      </c>
      <c r="J1838" s="25" t="str">
        <f>IF(OR(E1838="",E1838="!!!",F1838="NEW"),"",COUNTBLANK(OFFSET(A$1,,,SUMPRODUCT(MAX(ROW(E$2:E1838)*(E1838=E$2:E1838)))))-COUNTBLANK(OFFSET(A$1,,,SUMPRODUCT(MAX(ROW(E$1:E1837)*(E2=E$1:E1837))))))</f>
        <v> </v>
      </c>
      <c r="K1838" s="25" t="str">
        <f>IF(OR(E1838="",E1838="!!!",F1838="NEW"),"",INDEX(J$1:J1837,SUMPRODUCT(MAX(ROW(E$1:E1837)*(E1838=E$1:E1837)))))</f>
        <v> </v>
      </c>
      <c r="L1838" s="26"/>
    </row>
    <row r="1839" spans="1:12">
      <c r="A1839" s="20" t="s">
        <v>1219</v>
      </c>
      <c r="E1839" s="21">
        <f>IF(D1839="?OLD","!!!","")</f>
        <v/>
      </c>
      <c r="F1839" s="22" t="str">
        <f>IF(OR(E1839="",E1839="!!!"),"",IF(NOT(ISNA(VLOOKUP(E1839,E$1:E1838,1,FALSE()))),"OLD",IF(AND(E1839&lt;&gt;"",E1839&lt;&gt;"!!!"),"NEW","")))</f>
        <v> </v>
      </c>
      <c r="G1839" s="23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4" t="str">
        <f>IF(J1839&lt;&gt;1,"",IF(I1839="SBJ","CB","?"))</f>
        <v> </v>
      </c>
      <c r="I1839" s="25" t="str">
        <f>IF(OR(E1839="",E1839="!!!",F1839="NEW"),"",INDEX(B1838:B$2,-1+SUMPRODUCT(MAX(ROW(E1838:E$2)*(E1839=E1838:E$2)))))</f>
        <v> </v>
      </c>
      <c r="J1839" s="25" t="str">
        <f>IF(OR(E1839="",E1839="!!!",F1839="NEW"),"",COUNTBLANK(OFFSET(A$1,,,SUMPRODUCT(MAX(ROW(E$2:E1839)*(E1839=E$2:E1839)))))-COUNTBLANK(OFFSET(A$1,,,SUMPRODUCT(MAX(ROW(E$1:E1838)*(E2=E$1:E1838))))))</f>
        <v> </v>
      </c>
      <c r="K1839" s="25" t="str">
        <f>IF(OR(E1839="",E1839="!!!",F1839="NEW"),"",INDEX(J$1:J1838,SUMPRODUCT(MAX(ROW(E$1:E1838)*(E1839=E$1:E1838)))))</f>
        <v> </v>
      </c>
      <c r="L1839" s="26"/>
    </row>
    <row r="1840" spans="1:12">
      <c r="A1840" s="20" t="s">
        <v>1017</v>
      </c>
      <c r="B1840" s="27" t="s">
        <v>534</v>
      </c>
      <c r="C1840" s="27" t="s">
        <v>545</v>
      </c>
      <c r="D1840" s="27" t="s">
        <v>524</v>
      </c>
      <c r="E1840" s="21">
        <f>IF(D1840="?OLD","!!!","")</f>
        <v/>
      </c>
      <c r="F1840" s="22" t="str">
        <f>IF(OR(E1840="",E1840="!!!"),"",IF(NOT(ISNA(VLOOKUP(E1840,E$1:E1839,1,FALSE()))),"OLD",IF(AND(E1840&lt;&gt;"",E1840&lt;&gt;"!!!"),"NEW","")))</f>
        <v> </v>
      </c>
      <c r="G1840" s="23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4" t="str">
        <f>IF(J1840&lt;&gt;1,"",IF(I1840="SBJ","CB","?"))</f>
        <v> </v>
      </c>
      <c r="I1840" s="25" t="str">
        <f>IF(OR(E1840="",E1840="!!!",F1840="NEW"),"",INDEX(B1839:B$2,-1+SUMPRODUCT(MAX(ROW(E1839:E$2)*(E1840=E1839:E$2)))))</f>
        <v> </v>
      </c>
      <c r="J1840" s="25" t="str">
        <f>IF(OR(E1840="",E1840="!!!",F1840="NEW"),"",COUNTBLANK(OFFSET(A$1,,,SUMPRODUCT(MAX(ROW(E$2:E1840)*(E1840=E$2:E1840)))))-COUNTBLANK(OFFSET(A$1,,,SUMPRODUCT(MAX(ROW(E$1:E1839)*(E2=E$1:E1839))))))</f>
        <v> </v>
      </c>
      <c r="K1840" s="25" t="str">
        <f>IF(OR(E1840="",E1840="!!!",F1840="NEW"),"",INDEX(J$1:J1839,SUMPRODUCT(MAX(ROW(E$1:E1839)*(E1840=E$1:E1839)))))</f>
        <v> </v>
      </c>
      <c r="L1840" s="26"/>
    </row>
    <row r="1841" spans="1:12">
      <c r="A1841" s="20" t="s">
        <v>1220</v>
      </c>
      <c r="E1841" s="21">
        <f>IF(D1841="?OLD","!!!","")</f>
        <v/>
      </c>
      <c r="F1841" s="22" t="str">
        <f>IF(OR(E1841="",E1841="!!!"),"",IF(NOT(ISNA(VLOOKUP(E1841,E$1:E1840,1,FALSE()))),"OLD",IF(AND(E1841&lt;&gt;"",E1841&lt;&gt;"!!!"),"NEW","")))</f>
        <v> </v>
      </c>
      <c r="G1841" s="23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4" t="str">
        <f>IF(J1841&lt;&gt;1,"",IF(I1841="SBJ","CB","?"))</f>
        <v> </v>
      </c>
      <c r="I1841" s="25" t="str">
        <f>IF(OR(E1841="",E1841="!!!",F1841="NEW"),"",INDEX(B1840:B$2,-1+SUMPRODUCT(MAX(ROW(E1840:E$2)*(E1841=E1840:E$2)))))</f>
        <v> </v>
      </c>
      <c r="J1841" s="25" t="str">
        <f>IF(OR(E1841="",E1841="!!!",F1841="NEW"),"",COUNTBLANK(OFFSET(A$1,,,SUMPRODUCT(MAX(ROW(E$2:E1841)*(E1841=E$2:E1841)))))-COUNTBLANK(OFFSET(A$1,,,SUMPRODUCT(MAX(ROW(E$1:E1840)*(E2=E$1:E1840))))))</f>
        <v> </v>
      </c>
      <c r="K1841" s="25" t="str">
        <f>IF(OR(E1841="",E1841="!!!",F1841="NEW"),"",INDEX(J$1:J1840,SUMPRODUCT(MAX(ROW(E$1:E1840)*(E1841=E$1:E1840)))))</f>
        <v> </v>
      </c>
      <c r="L1841" s="26"/>
    </row>
    <row r="1842" spans="1:12">
      <c r="A1842" s="20" t="s">
        <v>549</v>
      </c>
      <c r="E1842" s="21">
        <f>IF(D1842="?OLD","!!!","")</f>
        <v/>
      </c>
      <c r="F1842" s="22" t="str">
        <f>IF(OR(E1842="",E1842="!!!"),"",IF(NOT(ISNA(VLOOKUP(E1842,E$1:E1841,1,FALSE()))),"OLD",IF(AND(E1842&lt;&gt;"",E1842&lt;&gt;"!!!"),"NEW","")))</f>
        <v> </v>
      </c>
      <c r="G1842" s="23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4" t="str">
        <f>IF(J1842&lt;&gt;1,"",IF(I1842="SBJ","CB","?"))</f>
        <v> </v>
      </c>
      <c r="I1842" s="25" t="str">
        <f>IF(OR(E1842="",E1842="!!!",F1842="NEW"),"",INDEX(B1841:B$2,-1+SUMPRODUCT(MAX(ROW(E1841:E$2)*(E1842=E1841:E$2)))))</f>
        <v> </v>
      </c>
      <c r="J1842" s="25" t="str">
        <f>IF(OR(E1842="",E1842="!!!",F1842="NEW"),"",COUNTBLANK(OFFSET(A$1,,,SUMPRODUCT(MAX(ROW(E$2:E1842)*(E1842=E$2:E1842)))))-COUNTBLANK(OFFSET(A$1,,,SUMPRODUCT(MAX(ROW(E$1:E1841)*(E2=E$1:E1841))))))</f>
        <v> </v>
      </c>
      <c r="K1842" s="25" t="str">
        <f>IF(OR(E1842="",E1842="!!!",F1842="NEW"),"",INDEX(J$1:J1841,SUMPRODUCT(MAX(ROW(E$1:E1841)*(E1842=E$1:E1841)))))</f>
        <v> </v>
      </c>
      <c r="L1842" s="26"/>
    </row>
    <row r="1843" spans="1:12">
      <c r="A1843" s="20"/>
    </row>
    <row r="1844" spans="1:12">
      <c r="A1844" s="20" t="s">
        <v>1221</v>
      </c>
    </row>
    <row r="1845" spans="1:12">
      <c r="A1845" s="20" t="s">
        <v>824</v>
      </c>
      <c r="E1845" s="21">
        <f>IF(D1845="?OLD","!!!","")</f>
        <v/>
      </c>
      <c r="F1845" s="22" t="str">
        <f>IF(OR(E1845="",E1845="!!!"),"",IF(NOT(ISNA(VLOOKUP(E1845,E$1:E1844,1,FALSE()))),"OLD",IF(AND(E1845&lt;&gt;"",E1845&lt;&gt;"!!!"),"NEW","")))</f>
        <v> </v>
      </c>
      <c r="G1845" s="23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4" t="str">
        <f>IF(J1845&lt;&gt;1,"",IF(I1845="SBJ","CB","?"))</f>
        <v> </v>
      </c>
      <c r="I1845" s="25" t="str">
        <f>IF(OR(E1845="",E1845="!!!",F1845="NEW"),"",INDEX(B1844:B$2,-1+SUMPRODUCT(MAX(ROW(E1844:E$2)*(E1845=E1844:E$2)))))</f>
        <v> </v>
      </c>
      <c r="J1845" s="25" t="str">
        <f>IF(OR(E1845="",E1845="!!!",F1845="NEW"),"",COUNTBLANK(OFFSET(A$1,,,SUMPRODUCT(MAX(ROW(E$2:E1845)*(E1845=E$2:E1845)))))-COUNTBLANK(OFFSET(A$1,,,SUMPRODUCT(MAX(ROW(E$1:E1844)*(E2=E$1:E1844))))))</f>
        <v> </v>
      </c>
      <c r="K1845" s="25" t="str">
        <f>IF(OR(E1845="",E1845="!!!",F1845="NEW"),"",INDEX(J$1:J1844,SUMPRODUCT(MAX(ROW(E$1:E1844)*(E1845=E$1:E1844)))))</f>
        <v> </v>
      </c>
      <c r="L1845" s="26"/>
    </row>
    <row r="1846" spans="1:12">
      <c r="A1846" s="20" t="s">
        <v>843</v>
      </c>
      <c r="E1846" s="21">
        <f>IF(D1846="?OLD","!!!","")</f>
        <v/>
      </c>
      <c r="F1846" s="22" t="str">
        <f>IF(OR(E1846="",E1846="!!!"),"",IF(NOT(ISNA(VLOOKUP(E1846,E$1:E1845,1,FALSE()))),"OLD",IF(AND(E1846&lt;&gt;"",E1846&lt;&gt;"!!!"),"NEW","")))</f>
        <v> </v>
      </c>
      <c r="G1846" s="23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4" t="str">
        <f>IF(J1846&lt;&gt;1,"",IF(I1846="SBJ","CB","?"))</f>
        <v> </v>
      </c>
      <c r="I1846" s="25" t="str">
        <f>IF(OR(E1846="",E1846="!!!",F1846="NEW"),"",INDEX(B1845:B$2,-1+SUMPRODUCT(MAX(ROW(E1845:E$2)*(E1846=E1845:E$2)))))</f>
        <v> </v>
      </c>
      <c r="J1846" s="25" t="str">
        <f>IF(OR(E1846="",E1846="!!!",F1846="NEW"),"",COUNTBLANK(OFFSET(A$1,,,SUMPRODUCT(MAX(ROW(E$2:E1846)*(E1846=E$2:E1846)))))-COUNTBLANK(OFFSET(A$1,,,SUMPRODUCT(MAX(ROW(E$1:E1845)*(E2=E$1:E1845))))))</f>
        <v> </v>
      </c>
      <c r="K1846" s="25" t="str">
        <f>IF(OR(E1846="",E1846="!!!",F1846="NEW"),"",INDEX(J$1:J1845,SUMPRODUCT(MAX(ROW(E$1:E1845)*(E1846=E$1:E1845)))))</f>
        <v> </v>
      </c>
      <c r="L1846" s="26"/>
    </row>
    <row r="1847" spans="1:12">
      <c r="A1847" s="20" t="s">
        <v>1222</v>
      </c>
      <c r="E1847" s="21">
        <f>IF(D1847="?OLD","!!!","")</f>
        <v/>
      </c>
      <c r="F1847" s="22" t="str">
        <f>IF(OR(E1847="",E1847="!!!"),"",IF(NOT(ISNA(VLOOKUP(E1847,E$1:E1846,1,FALSE()))),"OLD",IF(AND(E1847&lt;&gt;"",E1847&lt;&gt;"!!!"),"NEW","")))</f>
        <v> </v>
      </c>
      <c r="G1847" s="23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4" t="str">
        <f>IF(J1847&lt;&gt;1,"",IF(I1847="SBJ","CB","?"))</f>
        <v> </v>
      </c>
      <c r="I1847" s="25" t="str">
        <f>IF(OR(E1847="",E1847="!!!",F1847="NEW"),"",INDEX(B1846:B$2,-1+SUMPRODUCT(MAX(ROW(E1846:E$2)*(E1847=E1846:E$2)))))</f>
        <v> </v>
      </c>
      <c r="J1847" s="25" t="str">
        <f>IF(OR(E1847="",E1847="!!!",F1847="NEW"),"",COUNTBLANK(OFFSET(A$1,,,SUMPRODUCT(MAX(ROW(E$2:E1847)*(E1847=E$2:E1847)))))-COUNTBLANK(OFFSET(A$1,,,SUMPRODUCT(MAX(ROW(E$1:E1846)*(E2=E$1:E1846))))))</f>
        <v> </v>
      </c>
      <c r="K1847" s="25" t="str">
        <f>IF(OR(E1847="",E1847="!!!",F1847="NEW"),"",INDEX(J$1:J1846,SUMPRODUCT(MAX(ROW(E$1:E1846)*(E1847=E$1:E1846)))))</f>
        <v> </v>
      </c>
      <c r="L1847" s="26"/>
    </row>
    <row r="1848" spans="1:12">
      <c r="A1848" s="20" t="s">
        <v>518</v>
      </c>
      <c r="E1848" s="21">
        <f>IF(D1848="?OLD","!!!","")</f>
        <v/>
      </c>
      <c r="F1848" s="22" t="str">
        <f>IF(OR(E1848="",E1848="!!!"),"",IF(NOT(ISNA(VLOOKUP(E1848,E$1:E1847,1,FALSE()))),"OLD",IF(AND(E1848&lt;&gt;"",E1848&lt;&gt;"!!!"),"NEW","")))</f>
        <v> </v>
      </c>
      <c r="G1848" s="23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4" t="str">
        <f>IF(J1848&lt;&gt;1,"",IF(I1848="SBJ","CB","?"))</f>
        <v> </v>
      </c>
      <c r="I1848" s="25" t="str">
        <f>IF(OR(E1848="",E1848="!!!",F1848="NEW"),"",INDEX(B1847:B$2,-1+SUMPRODUCT(MAX(ROW(E1847:E$2)*(E1848=E1847:E$2)))))</f>
        <v> </v>
      </c>
      <c r="J1848" s="25" t="str">
        <f>IF(OR(E1848="",E1848="!!!",F1848="NEW"),"",COUNTBLANK(OFFSET(A$1,,,SUMPRODUCT(MAX(ROW(E$2:E1848)*(E1848=E$2:E1848)))))-COUNTBLANK(OFFSET(A$1,,,SUMPRODUCT(MAX(ROW(E$1:E1847)*(E2=E$1:E1847))))))</f>
        <v> </v>
      </c>
      <c r="K1848" s="25" t="str">
        <f>IF(OR(E1848="",E1848="!!!",F1848="NEW"),"",INDEX(J$1:J1847,SUMPRODUCT(MAX(ROW(E$1:E1847)*(E1848=E$1:E1847)))))</f>
        <v> </v>
      </c>
      <c r="L1848" s="26"/>
    </row>
    <row r="1849" spans="1:12">
      <c r="A1849" s="20" t="s">
        <v>1223</v>
      </c>
      <c r="E1849" s="21">
        <f>IF(D1849="?OLD","!!!","")</f>
        <v/>
      </c>
      <c r="F1849" s="22" t="str">
        <f>IF(OR(E1849="",E1849="!!!"),"",IF(NOT(ISNA(VLOOKUP(E1849,E$1:E1848,1,FALSE()))),"OLD",IF(AND(E1849&lt;&gt;"",E1849&lt;&gt;"!!!"),"NEW","")))</f>
        <v> </v>
      </c>
      <c r="G1849" s="23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4" t="str">
        <f>IF(J1849&lt;&gt;1,"",IF(I1849="SBJ","CB","?"))</f>
        <v> </v>
      </c>
      <c r="I1849" s="25" t="str">
        <f>IF(OR(E1849="",E1849="!!!",F1849="NEW"),"",INDEX(B1848:B$2,-1+SUMPRODUCT(MAX(ROW(E1848:E$2)*(E1849=E1848:E$2)))))</f>
        <v> </v>
      </c>
      <c r="J1849" s="25" t="str">
        <f>IF(OR(E1849="",E1849="!!!",F1849="NEW"),"",COUNTBLANK(OFFSET(A$1,,,SUMPRODUCT(MAX(ROW(E$2:E1849)*(E1849=E$2:E1849)))))-COUNTBLANK(OFFSET(A$1,,,SUMPRODUCT(MAX(ROW(E$1:E1848)*(E2=E$1:E1848))))))</f>
        <v> </v>
      </c>
      <c r="K1849" s="25" t="str">
        <f>IF(OR(E1849="",E1849="!!!",F1849="NEW"),"",INDEX(J$1:J1848,SUMPRODUCT(MAX(ROW(E$1:E1848)*(E1849=E$1:E1848)))))</f>
        <v> </v>
      </c>
      <c r="L1849" s="26"/>
    </row>
    <row r="1850" spans="1:12">
      <c r="A1850" s="20" t="s">
        <v>813</v>
      </c>
      <c r="E1850" s="21">
        <f>IF(D1850="?OLD","!!!","")</f>
        <v/>
      </c>
      <c r="F1850" s="22" t="str">
        <f>IF(OR(E1850="",E1850="!!!"),"",IF(NOT(ISNA(VLOOKUP(E1850,E$1:E1849,1,FALSE()))),"OLD",IF(AND(E1850&lt;&gt;"",E1850&lt;&gt;"!!!"),"NEW","")))</f>
        <v> </v>
      </c>
      <c r="G1850" s="23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4" t="str">
        <f>IF(J1850&lt;&gt;1,"",IF(I1850="SBJ","CB","?"))</f>
        <v> </v>
      </c>
      <c r="I1850" s="25" t="str">
        <f>IF(OR(E1850="",E1850="!!!",F1850="NEW"),"",INDEX(B1849:B$2,-1+SUMPRODUCT(MAX(ROW(E1849:E$2)*(E1850=E1849:E$2)))))</f>
        <v> </v>
      </c>
      <c r="J1850" s="25" t="str">
        <f>IF(OR(E1850="",E1850="!!!",F1850="NEW"),"",COUNTBLANK(OFFSET(A$1,,,SUMPRODUCT(MAX(ROW(E$2:E1850)*(E1850=E$2:E1850)))))-COUNTBLANK(OFFSET(A$1,,,SUMPRODUCT(MAX(ROW(E$1:E1849)*(E2=E$1:E1849))))))</f>
        <v> </v>
      </c>
      <c r="K1850" s="25" t="str">
        <f>IF(OR(E1850="",E1850="!!!",F1850="NEW"),"",INDEX(J$1:J1849,SUMPRODUCT(MAX(ROW(E$1:E1849)*(E1850=E$1:E1849)))))</f>
        <v> </v>
      </c>
      <c r="L1850" s="26"/>
    </row>
    <row r="1851" spans="1:12">
      <c r="A1851" s="20" t="s">
        <v>1224</v>
      </c>
      <c r="E1851" s="21">
        <f>IF(D1851="?OLD","!!!","")</f>
        <v/>
      </c>
      <c r="F1851" s="22" t="str">
        <f>IF(OR(E1851="",E1851="!!!"),"",IF(NOT(ISNA(VLOOKUP(E1851,E$1:E1850,1,FALSE()))),"OLD",IF(AND(E1851&lt;&gt;"",E1851&lt;&gt;"!!!"),"NEW","")))</f>
        <v> </v>
      </c>
      <c r="G1851" s="23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4" t="str">
        <f>IF(J1851&lt;&gt;1,"",IF(I1851="SBJ","CB","?"))</f>
        <v> </v>
      </c>
      <c r="I1851" s="25" t="str">
        <f>IF(OR(E1851="",E1851="!!!",F1851="NEW"),"",INDEX(B1850:B$2,-1+SUMPRODUCT(MAX(ROW(E1850:E$2)*(E1851=E1850:E$2)))))</f>
        <v> </v>
      </c>
      <c r="J1851" s="25" t="str">
        <f>IF(OR(E1851="",E1851="!!!",F1851="NEW"),"",COUNTBLANK(OFFSET(A$1,,,SUMPRODUCT(MAX(ROW(E$2:E1851)*(E1851=E$2:E1851)))))-COUNTBLANK(OFFSET(A$1,,,SUMPRODUCT(MAX(ROW(E$1:E1850)*(E2=E$1:E1850))))))</f>
        <v> </v>
      </c>
      <c r="K1851" s="25" t="str">
        <f>IF(OR(E1851="",E1851="!!!",F1851="NEW"),"",INDEX(J$1:J1850,SUMPRODUCT(MAX(ROW(E$1:E1850)*(E1851=E$1:E1850)))))</f>
        <v> </v>
      </c>
      <c r="L1851" s="26"/>
    </row>
    <row r="1852" spans="1:12">
      <c r="A1852" s="20" t="s">
        <v>565</v>
      </c>
      <c r="E1852" s="21">
        <f>IF(D1852="?OLD","!!!","")</f>
        <v/>
      </c>
      <c r="F1852" s="22" t="str">
        <f>IF(OR(E1852="",E1852="!!!"),"",IF(NOT(ISNA(VLOOKUP(E1852,E$1:E1851,1,FALSE()))),"OLD",IF(AND(E1852&lt;&gt;"",E1852&lt;&gt;"!!!"),"NEW","")))</f>
        <v> </v>
      </c>
      <c r="G1852" s="23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4" t="str">
        <f>IF(J1852&lt;&gt;1,"",IF(I1852="SBJ","CB","?"))</f>
        <v> </v>
      </c>
      <c r="I1852" s="25" t="str">
        <f>IF(OR(E1852="",E1852="!!!",F1852="NEW"),"",INDEX(B1851:B$2,-1+SUMPRODUCT(MAX(ROW(E1851:E$2)*(E1852=E1851:E$2)))))</f>
        <v> </v>
      </c>
      <c r="J1852" s="25" t="str">
        <f>IF(OR(E1852="",E1852="!!!",F1852="NEW"),"",COUNTBLANK(OFFSET(A$1,,,SUMPRODUCT(MAX(ROW(E$2:E1852)*(E1852=E$2:E1852)))))-COUNTBLANK(OFFSET(A$1,,,SUMPRODUCT(MAX(ROW(E$1:E1851)*(E2=E$1:E1851))))))</f>
        <v> </v>
      </c>
      <c r="K1852" s="25" t="str">
        <f>IF(OR(E1852="",E1852="!!!",F1852="NEW"),"",INDEX(J$1:J1851,SUMPRODUCT(MAX(ROW(E$1:E1851)*(E1852=E$1:E1851)))))</f>
        <v> </v>
      </c>
      <c r="L1852" s="26"/>
    </row>
    <row r="1853" spans="1:12">
      <c r="A1853" s="20" t="s">
        <v>713</v>
      </c>
      <c r="E1853" s="21">
        <f>IF(D1853="?OLD","!!!","")</f>
        <v/>
      </c>
      <c r="F1853" s="22" t="str">
        <f>IF(OR(E1853="",E1853="!!!"),"",IF(NOT(ISNA(VLOOKUP(E1853,E$1:E1852,1,FALSE()))),"OLD",IF(AND(E1853&lt;&gt;"",E1853&lt;&gt;"!!!"),"NEW","")))</f>
        <v> </v>
      </c>
      <c r="G1853" s="23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4" t="str">
        <f>IF(J1853&lt;&gt;1,"",IF(I1853="SBJ","CB","?"))</f>
        <v> </v>
      </c>
      <c r="I1853" s="25" t="str">
        <f>IF(OR(E1853="",E1853="!!!",F1853="NEW"),"",INDEX(B1852:B$2,-1+SUMPRODUCT(MAX(ROW(E1852:E$2)*(E1853=E1852:E$2)))))</f>
        <v> </v>
      </c>
      <c r="J1853" s="25" t="str">
        <f>IF(OR(E1853="",E1853="!!!",F1853="NEW"),"",COUNTBLANK(OFFSET(A$1,,,SUMPRODUCT(MAX(ROW(E$2:E1853)*(E1853=E$2:E1853)))))-COUNTBLANK(OFFSET(A$1,,,SUMPRODUCT(MAX(ROW(E$1:E1852)*(E2=E$1:E1852))))))</f>
        <v> </v>
      </c>
      <c r="K1853" s="25" t="str">
        <f>IF(OR(E1853="",E1853="!!!",F1853="NEW"),"",INDEX(J$1:J1852,SUMPRODUCT(MAX(ROW(E$1:E1852)*(E1853=E$1:E1852)))))</f>
        <v> </v>
      </c>
      <c r="L1853" s="26"/>
    </row>
    <row r="1854" spans="1:12">
      <c r="A1854" s="20" t="s">
        <v>1225</v>
      </c>
      <c r="B1854" s="27" t="s">
        <v>522</v>
      </c>
      <c r="C1854" s="27" t="s">
        <v>637</v>
      </c>
      <c r="D1854" s="27" t="s">
        <v>524</v>
      </c>
      <c r="E1854" s="21">
        <f>IF(D1854="?OLD","!!!","")</f>
        <v/>
      </c>
      <c r="F1854" s="22" t="str">
        <f>IF(OR(E1854="",E1854="!!!"),"",IF(NOT(ISNA(VLOOKUP(E1854,E$1:E1853,1,FALSE()))),"OLD",IF(AND(E1854&lt;&gt;"",E1854&lt;&gt;"!!!"),"NEW","")))</f>
        <v> </v>
      </c>
      <c r="G1854" s="23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4" t="str">
        <f>IF(J1854&lt;&gt;1,"",IF(I1854="SBJ","CB","?"))</f>
        <v> </v>
      </c>
      <c r="I1854" s="25" t="str">
        <f>IF(OR(E1854="",E1854="!!!",F1854="NEW"),"",INDEX(B1853:B$2,-1+SUMPRODUCT(MAX(ROW(E1853:E$2)*(E1854=E1853:E$2)))))</f>
        <v> </v>
      </c>
      <c r="J1854" s="25" t="str">
        <f>IF(OR(E1854="",E1854="!!!",F1854="NEW"),"",COUNTBLANK(OFFSET(A$1,,,SUMPRODUCT(MAX(ROW(E$2:E1854)*(E1854=E$2:E1854)))))-COUNTBLANK(OFFSET(A$1,,,SUMPRODUCT(MAX(ROW(E$1:E1853)*(E2=E$1:E1853))))))</f>
        <v> </v>
      </c>
      <c r="K1854" s="25" t="str">
        <f>IF(OR(E1854="",E1854="!!!",F1854="NEW"),"",INDEX(J$1:J1853,SUMPRODUCT(MAX(ROW(E$1:E1853)*(E1854=E$1:E1853)))))</f>
        <v> </v>
      </c>
      <c r="L1854" s="26"/>
    </row>
    <row r="1855" spans="1:12">
      <c r="A1855" s="20" t="s">
        <v>719</v>
      </c>
      <c r="E1855" s="21">
        <f>IF(D1855="?OLD","!!!","")</f>
        <v/>
      </c>
      <c r="F1855" s="22" t="str">
        <f>IF(OR(E1855="",E1855="!!!"),"",IF(NOT(ISNA(VLOOKUP(E1855,E$1:E1854,1,FALSE()))),"OLD",IF(AND(E1855&lt;&gt;"",E1855&lt;&gt;"!!!"),"NEW","")))</f>
        <v> </v>
      </c>
      <c r="G1855" s="23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4" t="str">
        <f>IF(J1855&lt;&gt;1,"",IF(I1855="SBJ","CB","?"))</f>
        <v> </v>
      </c>
      <c r="I1855" s="25" t="str">
        <f>IF(OR(E1855="",E1855="!!!",F1855="NEW"),"",INDEX(B1854:B$2,-1+SUMPRODUCT(MAX(ROW(E1854:E$2)*(E1855=E1854:E$2)))))</f>
        <v> </v>
      </c>
      <c r="J1855" s="25" t="str">
        <f>IF(OR(E1855="",E1855="!!!",F1855="NEW"),"",COUNTBLANK(OFFSET(A$1,,,SUMPRODUCT(MAX(ROW(E$2:E1855)*(E1855=E$2:E1855)))))-COUNTBLANK(OFFSET(A$1,,,SUMPRODUCT(MAX(ROW(E$1:E1854)*(E2=E$1:E1854))))))</f>
        <v> </v>
      </c>
      <c r="K1855" s="25" t="str">
        <f>IF(OR(E1855="",E1855="!!!",F1855="NEW"),"",INDEX(J$1:J1854,SUMPRODUCT(MAX(ROW(E$1:E1854)*(E1855=E$1:E1854)))))</f>
        <v> </v>
      </c>
      <c r="L1855" s="26"/>
    </row>
    <row r="1856" spans="1:12">
      <c r="A1856" s="20" t="s">
        <v>525</v>
      </c>
      <c r="E1856" s="21">
        <f>IF(D1856="?OLD","!!!","")</f>
        <v/>
      </c>
      <c r="F1856" s="22" t="str">
        <f>IF(OR(E1856="",E1856="!!!"),"",IF(NOT(ISNA(VLOOKUP(E1856,E$1:E1855,1,FALSE()))),"OLD",IF(AND(E1856&lt;&gt;"",E1856&lt;&gt;"!!!"),"NEW","")))</f>
        <v> </v>
      </c>
      <c r="G1856" s="23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4" t="str">
        <f>IF(J1856&lt;&gt;1,"",IF(I1856="SBJ","CB","?"))</f>
        <v> </v>
      </c>
      <c r="I1856" s="25" t="str">
        <f>IF(OR(E1856="",E1856="!!!",F1856="NEW"),"",INDEX(B1855:B$2,-1+SUMPRODUCT(MAX(ROW(E1855:E$2)*(E1856=E1855:E$2)))))</f>
        <v> </v>
      </c>
      <c r="J1856" s="25" t="str">
        <f>IF(OR(E1856="",E1856="!!!",F1856="NEW"),"",COUNTBLANK(OFFSET(A$1,,,SUMPRODUCT(MAX(ROW(E$2:E1856)*(E1856=E$2:E1856)))))-COUNTBLANK(OFFSET(A$1,,,SUMPRODUCT(MAX(ROW(E$1:E1855)*(E2=E$1:E1855))))))</f>
        <v> </v>
      </c>
      <c r="K1856" s="25" t="str">
        <f>IF(OR(E1856="",E1856="!!!",F1856="NEW"),"",INDEX(J$1:J1855,SUMPRODUCT(MAX(ROW(E$1:E1855)*(E1856=E$1:E1855)))))</f>
        <v> </v>
      </c>
      <c r="L1856" s="26"/>
    </row>
    <row r="1857" spans="1:12">
      <c r="A1857" s="20" t="s">
        <v>804</v>
      </c>
      <c r="B1857" s="27" t="s">
        <v>597</v>
      </c>
      <c r="C1857" s="27" t="s">
        <v>527</v>
      </c>
      <c r="E1857" s="21">
        <f>IF(D1857="?OLD","!!!","")</f>
        <v/>
      </c>
      <c r="F1857" s="22" t="str">
        <f>IF(OR(E1857="",E1857="!!!"),"",IF(NOT(ISNA(VLOOKUP(E1857,E$1:E1856,1,FALSE()))),"OLD",IF(AND(E1857&lt;&gt;"",E1857&lt;&gt;"!!!"),"NEW","")))</f>
        <v> </v>
      </c>
      <c r="G1857" s="23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4" t="str">
        <f>IF(J1857&lt;&gt;1,"",IF(I1857="SBJ","CB","?"))</f>
        <v> </v>
      </c>
      <c r="I1857" s="25" t="str">
        <f>IF(OR(E1857="",E1857="!!!",F1857="NEW"),"",INDEX(B1856:B$2,-1+SUMPRODUCT(MAX(ROW(E1856:E$2)*(E1857=E1856:E$2)))))</f>
        <v> </v>
      </c>
      <c r="J1857" s="25" t="str">
        <f>IF(OR(E1857="",E1857="!!!",F1857="NEW"),"",COUNTBLANK(OFFSET(A$1,,,SUMPRODUCT(MAX(ROW(E$2:E1857)*(E1857=E$2:E1857)))))-COUNTBLANK(OFFSET(A$1,,,SUMPRODUCT(MAX(ROW(E$1:E1856)*(E2=E$1:E1856))))))</f>
        <v> </v>
      </c>
      <c r="K1857" s="25" t="str">
        <f>IF(OR(E1857="",E1857="!!!",F1857="NEW"),"",INDEX(J$1:J1856,SUMPRODUCT(MAX(ROW(E$1:E1856)*(E1857=E$1:E1856)))))</f>
        <v> </v>
      </c>
      <c r="L1857" s="26"/>
    </row>
    <row r="1858" spans="1:12">
      <c r="A1858" s="20" t="s">
        <v>528</v>
      </c>
      <c r="B1858" s="27" t="s">
        <v>573</v>
      </c>
      <c r="E1858" s="21">
        <f>IF(D1858="?OLD","!!!","")</f>
        <v/>
      </c>
      <c r="F1858" s="22" t="str">
        <f>IF(OR(E1858="",E1858="!!!"),"",IF(NOT(ISNA(VLOOKUP(E1858,E$1:E1857,1,FALSE()))),"OLD",IF(AND(E1858&lt;&gt;"",E1858&lt;&gt;"!!!"),"NEW","")))</f>
        <v> </v>
      </c>
      <c r="G1858" s="23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4" t="str">
        <f>IF(J1858&lt;&gt;1,"",IF(I1858="SBJ","CB","?"))</f>
        <v> </v>
      </c>
      <c r="I1858" s="25" t="str">
        <f>IF(OR(E1858="",E1858="!!!",F1858="NEW"),"",INDEX(B1857:B$2,-1+SUMPRODUCT(MAX(ROW(E1857:E$2)*(E1858=E1857:E$2)))))</f>
        <v> </v>
      </c>
      <c r="J1858" s="25" t="str">
        <f>IF(OR(E1858="",E1858="!!!",F1858="NEW"),"",COUNTBLANK(OFFSET(A$1,,,SUMPRODUCT(MAX(ROW(E$2:E1858)*(E1858=E$2:E1858)))))-COUNTBLANK(OFFSET(A$1,,,SUMPRODUCT(MAX(ROW(E$1:E1857)*(E2=E$1:E1857))))))</f>
        <v> </v>
      </c>
      <c r="K1858" s="25" t="str">
        <f>IF(OR(E1858="",E1858="!!!",F1858="NEW"),"",INDEX(J$1:J1857,SUMPRODUCT(MAX(ROW(E$1:E1857)*(E1858=E$1:E1857)))))</f>
        <v> </v>
      </c>
      <c r="L1858" s="26"/>
    </row>
    <row r="1859" spans="1:12">
      <c r="A1859" s="20" t="s">
        <v>810</v>
      </c>
      <c r="E1859" s="21">
        <f>IF(D1859="?OLD","!!!","")</f>
        <v/>
      </c>
      <c r="F1859" s="22" t="str">
        <f>IF(OR(E1859="",E1859="!!!"),"",IF(NOT(ISNA(VLOOKUP(E1859,E$1:E1858,1,FALSE()))),"OLD",IF(AND(E1859&lt;&gt;"",E1859&lt;&gt;"!!!"),"NEW","")))</f>
        <v> </v>
      </c>
      <c r="G1859" s="23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4" t="str">
        <f>IF(J1859&lt;&gt;1,"",IF(I1859="SBJ","CB","?"))</f>
        <v> </v>
      </c>
      <c r="I1859" s="25" t="str">
        <f>IF(OR(E1859="",E1859="!!!",F1859="NEW"),"",INDEX(B1858:B$2,-1+SUMPRODUCT(MAX(ROW(E1858:E$2)*(E1859=E1858:E$2)))))</f>
        <v> </v>
      </c>
      <c r="J1859" s="25" t="str">
        <f>IF(OR(E1859="",E1859="!!!",F1859="NEW"),"",COUNTBLANK(OFFSET(A$1,,,SUMPRODUCT(MAX(ROW(E$2:E1859)*(E1859=E$2:E1859)))))-COUNTBLANK(OFFSET(A$1,,,SUMPRODUCT(MAX(ROW(E$1:E1858)*(E2=E$1:E1858))))))</f>
        <v> </v>
      </c>
      <c r="K1859" s="25" t="str">
        <f>IF(OR(E1859="",E1859="!!!",F1859="NEW"),"",INDEX(J$1:J1858,SUMPRODUCT(MAX(ROW(E$1:E1858)*(E1859=E$1:E1858)))))</f>
        <v> </v>
      </c>
      <c r="L1859" s="26"/>
    </row>
    <row r="1860" spans="1:12">
      <c r="A1860" s="20" t="s">
        <v>1091</v>
      </c>
      <c r="E1860" s="21">
        <f>IF(D1860="?OLD","!!!","")</f>
        <v/>
      </c>
      <c r="F1860" s="22" t="str">
        <f>IF(OR(E1860="",E1860="!!!"),"",IF(NOT(ISNA(VLOOKUP(E1860,E$1:E1859,1,FALSE()))),"OLD",IF(AND(E1860&lt;&gt;"",E1860&lt;&gt;"!!!"),"NEW","")))</f>
        <v> </v>
      </c>
      <c r="G1860" s="23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4" t="str">
        <f>IF(J1860&lt;&gt;1,"",IF(I1860="SBJ","CB","?"))</f>
        <v> </v>
      </c>
      <c r="I1860" s="25" t="str">
        <f>IF(OR(E1860="",E1860="!!!",F1860="NEW"),"",INDEX(B1859:B$2,-1+SUMPRODUCT(MAX(ROW(E1859:E$2)*(E1860=E1859:E$2)))))</f>
        <v> </v>
      </c>
      <c r="J1860" s="25" t="str">
        <f>IF(OR(E1860="",E1860="!!!",F1860="NEW"),"",COUNTBLANK(OFFSET(A$1,,,SUMPRODUCT(MAX(ROW(E$2:E1860)*(E1860=E$2:E1860)))))-COUNTBLANK(OFFSET(A$1,,,SUMPRODUCT(MAX(ROW(E$1:E1859)*(E2=E$1:E1859))))))</f>
        <v> </v>
      </c>
      <c r="K1860" s="25" t="str">
        <f>IF(OR(E1860="",E1860="!!!",F1860="NEW"),"",INDEX(J$1:J1859,SUMPRODUCT(MAX(ROW(E$1:E1859)*(E1860=E$1:E1859)))))</f>
        <v> </v>
      </c>
      <c r="L1860" s="26"/>
    </row>
    <row r="1861" spans="1:12">
      <c r="A1861" s="20" t="s">
        <v>813</v>
      </c>
      <c r="E1861" s="21">
        <f>IF(D1861="?OLD","!!!","")</f>
        <v/>
      </c>
      <c r="F1861" s="22" t="str">
        <f>IF(OR(E1861="",E1861="!!!"),"",IF(NOT(ISNA(VLOOKUP(E1861,E$1:E1860,1,FALSE()))),"OLD",IF(AND(E1861&lt;&gt;"",E1861&lt;&gt;"!!!"),"NEW","")))</f>
        <v> </v>
      </c>
      <c r="G1861" s="23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4" t="str">
        <f>IF(J1861&lt;&gt;1,"",IF(I1861="SBJ","CB","?"))</f>
        <v> </v>
      </c>
      <c r="I1861" s="25" t="str">
        <f>IF(OR(E1861="",E1861="!!!",F1861="NEW"),"",INDEX(B1860:B$2,-1+SUMPRODUCT(MAX(ROW(E1860:E$2)*(E1861=E1860:E$2)))))</f>
        <v> </v>
      </c>
      <c r="J1861" s="25" t="str">
        <f>IF(OR(E1861="",E1861="!!!",F1861="NEW"),"",COUNTBLANK(OFFSET(A$1,,,SUMPRODUCT(MAX(ROW(E$2:E1861)*(E1861=E$2:E1861)))))-COUNTBLANK(OFFSET(A$1,,,SUMPRODUCT(MAX(ROW(E$1:E1860)*(E2=E$1:E1860))))))</f>
        <v> </v>
      </c>
      <c r="K1861" s="25" t="str">
        <f>IF(OR(E1861="",E1861="!!!",F1861="NEW"),"",INDEX(J$1:J1860,SUMPRODUCT(MAX(ROW(E$1:E1860)*(E1861=E$1:E1860)))))</f>
        <v> </v>
      </c>
      <c r="L1861" s="26"/>
    </row>
    <row r="1862" spans="1:12">
      <c r="A1862" s="20" t="s">
        <v>1226</v>
      </c>
      <c r="E1862" s="21">
        <f>IF(D1862="?OLD","!!!","")</f>
        <v/>
      </c>
      <c r="F1862" s="22" t="str">
        <f>IF(OR(E1862="",E1862="!!!"),"",IF(NOT(ISNA(VLOOKUP(E1862,E$1:E1861,1,FALSE()))),"OLD",IF(AND(E1862&lt;&gt;"",E1862&lt;&gt;"!!!"),"NEW","")))</f>
        <v> </v>
      </c>
      <c r="G1862" s="23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4" t="str">
        <f>IF(J1862&lt;&gt;1,"",IF(I1862="SBJ","CB","?"))</f>
        <v> </v>
      </c>
      <c r="I1862" s="25" t="str">
        <f>IF(OR(E1862="",E1862="!!!",F1862="NEW"),"",INDEX(B1861:B$2,-1+SUMPRODUCT(MAX(ROW(E1861:E$2)*(E1862=E1861:E$2)))))</f>
        <v> </v>
      </c>
      <c r="J1862" s="25" t="str">
        <f>IF(OR(E1862="",E1862="!!!",F1862="NEW"),"",COUNTBLANK(OFFSET(A$1,,,SUMPRODUCT(MAX(ROW(E$2:E1862)*(E1862=E$2:E1862)))))-COUNTBLANK(OFFSET(A$1,,,SUMPRODUCT(MAX(ROW(E$1:E1861)*(E2=E$1:E1861))))))</f>
        <v> </v>
      </c>
      <c r="K1862" s="25" t="str">
        <f>IF(OR(E1862="",E1862="!!!",F1862="NEW"),"",INDEX(J$1:J1861,SUMPRODUCT(MAX(ROW(E$1:E1861)*(E1862=E$1:E1861)))))</f>
        <v> </v>
      </c>
      <c r="L1862" s="26"/>
    </row>
    <row r="1863" spans="1:12">
      <c r="A1863" s="20" t="s">
        <v>541</v>
      </c>
      <c r="E1863" s="21">
        <f>IF(D1863="?OLD","!!!","")</f>
        <v/>
      </c>
      <c r="F1863" s="22" t="str">
        <f>IF(OR(E1863="",E1863="!!!"),"",IF(NOT(ISNA(VLOOKUP(E1863,E$1:E1862,1,FALSE()))),"OLD",IF(AND(E1863&lt;&gt;"",E1863&lt;&gt;"!!!"),"NEW","")))</f>
        <v> </v>
      </c>
      <c r="G1863" s="23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4" t="str">
        <f>IF(J1863&lt;&gt;1,"",IF(I1863="SBJ","CB","?"))</f>
        <v> </v>
      </c>
      <c r="I1863" s="25" t="str">
        <f>IF(OR(E1863="",E1863="!!!",F1863="NEW"),"",INDEX(B1862:B$2,-1+SUMPRODUCT(MAX(ROW(E1862:E$2)*(E1863=E1862:E$2)))))</f>
        <v> </v>
      </c>
      <c r="J1863" s="25" t="str">
        <f>IF(OR(E1863="",E1863="!!!",F1863="NEW"),"",COUNTBLANK(OFFSET(A$1,,,SUMPRODUCT(MAX(ROW(E$2:E1863)*(E1863=E$2:E1863)))))-COUNTBLANK(OFFSET(A$1,,,SUMPRODUCT(MAX(ROW(E$1:E1862)*(E2=E$1:E1862))))))</f>
        <v> </v>
      </c>
      <c r="K1863" s="25" t="str">
        <f>IF(OR(E1863="",E1863="!!!",F1863="NEW"),"",INDEX(J$1:J1862,SUMPRODUCT(MAX(ROW(E$1:E1862)*(E1863=E$1:E1862)))))</f>
        <v> </v>
      </c>
      <c r="L1863" s="26"/>
    </row>
    <row r="1864" spans="1:12">
      <c r="A1864" s="20" t="s">
        <v>1227</v>
      </c>
      <c r="E1864" s="21">
        <f>IF(D1864="?OLD","!!!","")</f>
        <v/>
      </c>
      <c r="F1864" s="22" t="str">
        <f>IF(OR(E1864="",E1864="!!!"),"",IF(NOT(ISNA(VLOOKUP(E1864,E$1:E1863,1,FALSE()))),"OLD",IF(AND(E1864&lt;&gt;"",E1864&lt;&gt;"!!!"),"NEW","")))</f>
        <v> </v>
      </c>
      <c r="G1864" s="23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4" t="str">
        <f>IF(J1864&lt;&gt;1,"",IF(I1864="SBJ","CB","?"))</f>
        <v> </v>
      </c>
      <c r="I1864" s="25" t="str">
        <f>IF(OR(E1864="",E1864="!!!",F1864="NEW"),"",INDEX(B1863:B$2,-1+SUMPRODUCT(MAX(ROW(E1863:E$2)*(E1864=E1863:E$2)))))</f>
        <v> </v>
      </c>
      <c r="J1864" s="25" t="str">
        <f>IF(OR(E1864="",E1864="!!!",F1864="NEW"),"",COUNTBLANK(OFFSET(A$1,,,SUMPRODUCT(MAX(ROW(E$2:E1864)*(E1864=E$2:E1864)))))-COUNTBLANK(OFFSET(A$1,,,SUMPRODUCT(MAX(ROW(E$1:E1863)*(E2=E$1:E1863))))))</f>
        <v> </v>
      </c>
      <c r="K1864" s="25" t="str">
        <f>IF(OR(E1864="",E1864="!!!",F1864="NEW"),"",INDEX(J$1:J1863,SUMPRODUCT(MAX(ROW(E$1:E1863)*(E1864=E$1:E1863)))))</f>
        <v> </v>
      </c>
      <c r="L1864" s="26"/>
    </row>
    <row r="1865" spans="1:12">
      <c r="A1865" s="20" t="s">
        <v>518</v>
      </c>
      <c r="E1865" s="21">
        <f>IF(D1865="?OLD","!!!","")</f>
        <v/>
      </c>
      <c r="F1865" s="22" t="str">
        <f>IF(OR(E1865="",E1865="!!!"),"",IF(NOT(ISNA(VLOOKUP(E1865,E$1:E1864,1,FALSE()))),"OLD",IF(AND(E1865&lt;&gt;"",E1865&lt;&gt;"!!!"),"NEW","")))</f>
        <v> </v>
      </c>
      <c r="G1865" s="23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4" t="str">
        <f>IF(J1865&lt;&gt;1,"",IF(I1865="SBJ","CB","?"))</f>
        <v> </v>
      </c>
      <c r="I1865" s="25" t="str">
        <f>IF(OR(E1865="",E1865="!!!",F1865="NEW"),"",INDEX(B1864:B$2,-1+SUMPRODUCT(MAX(ROW(E1864:E$2)*(E1865=E1864:E$2)))))</f>
        <v> </v>
      </c>
      <c r="J1865" s="25" t="str">
        <f>IF(OR(E1865="",E1865="!!!",F1865="NEW"),"",COUNTBLANK(OFFSET(A$1,,,SUMPRODUCT(MAX(ROW(E$2:E1865)*(E1865=E$2:E1865)))))-COUNTBLANK(OFFSET(A$1,,,SUMPRODUCT(MAX(ROW(E$1:E1864)*(E2=E$1:E1864))))))</f>
        <v> </v>
      </c>
      <c r="K1865" s="25" t="str">
        <f>IF(OR(E1865="",E1865="!!!",F1865="NEW"),"",INDEX(J$1:J1864,SUMPRODUCT(MAX(ROW(E$1:E1864)*(E1865=E$1:E1864)))))</f>
        <v> </v>
      </c>
      <c r="L1865" s="26"/>
    </row>
    <row r="1866" spans="1:12">
      <c r="A1866" s="20" t="s">
        <v>571</v>
      </c>
      <c r="E1866" s="21">
        <f>IF(D1866="?OLD","!!!","")</f>
        <v/>
      </c>
      <c r="F1866" s="22" t="str">
        <f>IF(OR(E1866="",E1866="!!!"),"",IF(NOT(ISNA(VLOOKUP(E1866,E$1:E1865,1,FALSE()))),"OLD",IF(AND(E1866&lt;&gt;"",E1866&lt;&gt;"!!!"),"NEW","")))</f>
        <v> </v>
      </c>
      <c r="G1866" s="23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4" t="str">
        <f>IF(J1866&lt;&gt;1,"",IF(I1866="SBJ","CB","?"))</f>
        <v> </v>
      </c>
      <c r="I1866" s="25" t="str">
        <f>IF(OR(E1866="",E1866="!!!",F1866="NEW"),"",INDEX(B1865:B$2,-1+SUMPRODUCT(MAX(ROW(E1865:E$2)*(E1866=E1865:E$2)))))</f>
        <v> </v>
      </c>
      <c r="J1866" s="25" t="str">
        <f>IF(OR(E1866="",E1866="!!!",F1866="NEW"),"",COUNTBLANK(OFFSET(A$1,,,SUMPRODUCT(MAX(ROW(E$2:E1866)*(E1866=E$2:E1866)))))-COUNTBLANK(OFFSET(A$1,,,SUMPRODUCT(MAX(ROW(E$1:E1865)*(E2=E$1:E1865))))))</f>
        <v> </v>
      </c>
      <c r="K1866" s="25" t="str">
        <f>IF(OR(E1866="",E1866="!!!",F1866="NEW"),"",INDEX(J$1:J1865,SUMPRODUCT(MAX(ROW(E$1:E1865)*(E1866=E$1:E1865)))))</f>
        <v> </v>
      </c>
      <c r="L1866" s="26"/>
    </row>
    <row r="1867" spans="1:12">
      <c r="A1867" s="20" t="s">
        <v>1228</v>
      </c>
      <c r="B1867" s="27" t="s">
        <v>658</v>
      </c>
      <c r="C1867" s="27" t="s">
        <v>545</v>
      </c>
      <c r="D1867" s="27" t="s">
        <v>524</v>
      </c>
      <c r="E1867" s="21">
        <f>IF(D1867="?OLD","!!!","")</f>
        <v/>
      </c>
      <c r="F1867" s="22" t="str">
        <f>IF(OR(E1867="",E1867="!!!"),"",IF(NOT(ISNA(VLOOKUP(E1867,E$1:E1866,1,FALSE()))),"OLD",IF(AND(E1867&lt;&gt;"",E1867&lt;&gt;"!!!"),"NEW","")))</f>
        <v> </v>
      </c>
      <c r="G1867" s="23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4" t="str">
        <f>IF(J1867&lt;&gt;1,"",IF(I1867="SBJ","CB","?"))</f>
        <v> </v>
      </c>
      <c r="I1867" s="25" t="str">
        <f>IF(OR(E1867="",E1867="!!!",F1867="NEW"),"",INDEX(B1866:B$2,-1+SUMPRODUCT(MAX(ROW(E1866:E$2)*(E1867=E1866:E$2)))))</f>
        <v> </v>
      </c>
      <c r="J1867" s="25" t="str">
        <f>IF(OR(E1867="",E1867="!!!",F1867="NEW"),"",COUNTBLANK(OFFSET(A$1,,,SUMPRODUCT(MAX(ROW(E$2:E1867)*(E1867=E$2:E1867)))))-COUNTBLANK(OFFSET(A$1,,,SUMPRODUCT(MAX(ROW(E$1:E1866)*(E2=E$1:E1866))))))</f>
        <v> </v>
      </c>
      <c r="K1867" s="25" t="str">
        <f>IF(OR(E1867="",E1867="!!!",F1867="NEW"),"",INDEX(J$1:J1866,SUMPRODUCT(MAX(ROW(E$1:E1866)*(E1867=E$1:E1866)))))</f>
        <v> </v>
      </c>
      <c r="L1867" s="26"/>
    </row>
    <row r="1868" spans="1:12">
      <c r="A1868" s="20" t="s">
        <v>566</v>
      </c>
      <c r="E1868" s="21">
        <f>IF(D1868="?OLD","!!!","")</f>
        <v/>
      </c>
      <c r="F1868" s="22" t="str">
        <f>IF(OR(E1868="",E1868="!!!"),"",IF(NOT(ISNA(VLOOKUP(E1868,E$1:E1867,1,FALSE()))),"OLD",IF(AND(E1868&lt;&gt;"",E1868&lt;&gt;"!!!"),"NEW","")))</f>
        <v> </v>
      </c>
      <c r="G1868" s="23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4" t="str">
        <f>IF(J1868&lt;&gt;1,"",IF(I1868="SBJ","CB","?"))</f>
        <v> </v>
      </c>
      <c r="I1868" s="25" t="str">
        <f>IF(OR(E1868="",E1868="!!!",F1868="NEW"),"",INDEX(B1867:B$2,-1+SUMPRODUCT(MAX(ROW(E1867:E$2)*(E1868=E1867:E$2)))))</f>
        <v> </v>
      </c>
      <c r="J1868" s="25" t="str">
        <f>IF(OR(E1868="",E1868="!!!",F1868="NEW"),"",COUNTBLANK(OFFSET(A$1,,,SUMPRODUCT(MAX(ROW(E$2:E1868)*(E1868=E$2:E1868)))))-COUNTBLANK(OFFSET(A$1,,,SUMPRODUCT(MAX(ROW(E$1:E1867)*(E2=E$1:E1867))))))</f>
        <v> </v>
      </c>
      <c r="K1868" s="25" t="str">
        <f>IF(OR(E1868="",E1868="!!!",F1868="NEW"),"",INDEX(J$1:J1867,SUMPRODUCT(MAX(ROW(E$1:E1867)*(E1868=E$1:E1867)))))</f>
        <v> </v>
      </c>
      <c r="L1868" s="26"/>
    </row>
    <row r="1869" spans="1:12">
      <c r="A1869" s="20" t="s">
        <v>1229</v>
      </c>
      <c r="E1869" s="21">
        <f>IF(D1869="?OLD","!!!","")</f>
        <v/>
      </c>
      <c r="F1869" s="22" t="str">
        <f>IF(OR(E1869="",E1869="!!!"),"",IF(NOT(ISNA(VLOOKUP(E1869,E$1:E1868,1,FALSE()))),"OLD",IF(AND(E1869&lt;&gt;"",E1869&lt;&gt;"!!!"),"NEW","")))</f>
        <v> </v>
      </c>
      <c r="G1869" s="23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4" t="str">
        <f>IF(J1869&lt;&gt;1,"",IF(I1869="SBJ","CB","?"))</f>
        <v> </v>
      </c>
      <c r="I1869" s="25" t="str">
        <f>IF(OR(E1869="",E1869="!!!",F1869="NEW"),"",INDEX(B1868:B$2,-1+SUMPRODUCT(MAX(ROW(E1868:E$2)*(E1869=E1868:E$2)))))</f>
        <v> </v>
      </c>
      <c r="J1869" s="25" t="str">
        <f>IF(OR(E1869="",E1869="!!!",F1869="NEW"),"",COUNTBLANK(OFFSET(A$1,,,SUMPRODUCT(MAX(ROW(E$2:E1869)*(E1869=E$2:E1869)))))-COUNTBLANK(OFFSET(A$1,,,SUMPRODUCT(MAX(ROW(E$1:E1868)*(E2=E$1:E1868))))))</f>
        <v> </v>
      </c>
      <c r="K1869" s="25" t="str">
        <f>IF(OR(E1869="",E1869="!!!",F1869="NEW"),"",INDEX(J$1:J1868,SUMPRODUCT(MAX(ROW(E$1:E1868)*(E1869=E$1:E1868)))))</f>
        <v> </v>
      </c>
      <c r="L1869" s="26"/>
    </row>
    <row r="1870" spans="1:12">
      <c r="A1870" s="20" t="s">
        <v>745</v>
      </c>
      <c r="E1870" s="21">
        <f>IF(D1870="?OLD","!!!","")</f>
        <v/>
      </c>
      <c r="F1870" s="22" t="str">
        <f>IF(OR(E1870="",E1870="!!!"),"",IF(NOT(ISNA(VLOOKUP(E1870,E$1:E1869,1,FALSE()))),"OLD",IF(AND(E1870&lt;&gt;"",E1870&lt;&gt;"!!!"),"NEW","")))</f>
        <v> </v>
      </c>
      <c r="G1870" s="23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4" t="str">
        <f>IF(J1870&lt;&gt;1,"",IF(I1870="SBJ","CB","?"))</f>
        <v> </v>
      </c>
      <c r="I1870" s="25" t="str">
        <f>IF(OR(E1870="",E1870="!!!",F1870="NEW"),"",INDEX(B1869:B$2,-1+SUMPRODUCT(MAX(ROW(E1869:E$2)*(E1870=E1869:E$2)))))</f>
        <v> </v>
      </c>
      <c r="J1870" s="25" t="str">
        <f>IF(OR(E1870="",E1870="!!!",F1870="NEW"),"",COUNTBLANK(OFFSET(A$1,,,SUMPRODUCT(MAX(ROW(E$2:E1870)*(E1870=E$2:E1870)))))-COUNTBLANK(OFFSET(A$1,,,SUMPRODUCT(MAX(ROW(E$1:E1869)*(E2=E$1:E1869))))))</f>
        <v> </v>
      </c>
      <c r="K1870" s="25" t="str">
        <f>IF(OR(E1870="",E1870="!!!",F1870="NEW"),"",INDEX(J$1:J1869,SUMPRODUCT(MAX(ROW(E$1:E1869)*(E1870=E$1:E1869)))))</f>
        <v> </v>
      </c>
      <c r="L1870" s="26"/>
    </row>
    <row r="1871" spans="1:12">
      <c r="A1871" s="20" t="s">
        <v>730</v>
      </c>
      <c r="E1871" s="21">
        <f>IF(D1871="?OLD","!!!","")</f>
        <v/>
      </c>
      <c r="F1871" s="22" t="str">
        <f>IF(OR(E1871="",E1871="!!!"),"",IF(NOT(ISNA(VLOOKUP(E1871,E$1:E1870,1,FALSE()))),"OLD",IF(AND(E1871&lt;&gt;"",E1871&lt;&gt;"!!!"),"NEW","")))</f>
        <v> </v>
      </c>
      <c r="G1871" s="23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4" t="str">
        <f>IF(J1871&lt;&gt;1,"",IF(I1871="SBJ","CB","?"))</f>
        <v> </v>
      </c>
      <c r="I1871" s="25" t="str">
        <f>IF(OR(E1871="",E1871="!!!",F1871="NEW"),"",INDEX(B1870:B$2,-1+SUMPRODUCT(MAX(ROW(E1870:E$2)*(E1871=E1870:E$2)))))</f>
        <v> </v>
      </c>
      <c r="J1871" s="25" t="str">
        <f>IF(OR(E1871="",E1871="!!!",F1871="NEW"),"",COUNTBLANK(OFFSET(A$1,,,SUMPRODUCT(MAX(ROW(E$2:E1871)*(E1871=E$2:E1871)))))-COUNTBLANK(OFFSET(A$1,,,SUMPRODUCT(MAX(ROW(E$1:E1870)*(E2=E$1:E1870))))))</f>
        <v> </v>
      </c>
      <c r="K1871" s="25" t="str">
        <f>IF(OR(E1871="",E1871="!!!",F1871="NEW"),"",INDEX(J$1:J1870,SUMPRODUCT(MAX(ROW(E$1:E1870)*(E1871=E$1:E1870)))))</f>
        <v> </v>
      </c>
      <c r="L1871" s="26"/>
    </row>
    <row r="1872" spans="1:12">
      <c r="A1872" s="20" t="s">
        <v>731</v>
      </c>
      <c r="B1872" s="27" t="s">
        <v>583</v>
      </c>
      <c r="C1872" s="27" t="s">
        <v>545</v>
      </c>
      <c r="D1872" s="27" t="s">
        <v>524</v>
      </c>
      <c r="E1872" s="21">
        <f>IF(D1872="?OLD","!!!","")</f>
        <v/>
      </c>
      <c r="F1872" s="22" t="str">
        <f>IF(OR(E1872="",E1872="!!!"),"",IF(NOT(ISNA(VLOOKUP(E1872,E$1:E1871,1,FALSE()))),"OLD",IF(AND(E1872&lt;&gt;"",E1872&lt;&gt;"!!!"),"NEW","")))</f>
        <v> </v>
      </c>
      <c r="G1872" s="23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4" t="str">
        <f>IF(J1872&lt;&gt;1,"",IF(I1872="SBJ","CB","?"))</f>
        <v> </v>
      </c>
      <c r="I1872" s="25" t="str">
        <f>IF(OR(E1872="",E1872="!!!",F1872="NEW"),"",INDEX(B1871:B$2,-1+SUMPRODUCT(MAX(ROW(E1871:E$2)*(E1872=E1871:E$2)))))</f>
        <v> </v>
      </c>
      <c r="J1872" s="25" t="str">
        <f>IF(OR(E1872="",E1872="!!!",F1872="NEW"),"",COUNTBLANK(OFFSET(A$1,,,SUMPRODUCT(MAX(ROW(E$2:E1872)*(E1872=E$2:E1872)))))-COUNTBLANK(OFFSET(A$1,,,SUMPRODUCT(MAX(ROW(E$1:E1871)*(E2=E$1:E1871))))))</f>
        <v> </v>
      </c>
      <c r="K1872" s="25" t="str">
        <f>IF(OR(E1872="",E1872="!!!",F1872="NEW"),"",INDEX(J$1:J1871,SUMPRODUCT(MAX(ROW(E$1:E1871)*(E1872=E$1:E1871)))))</f>
        <v> </v>
      </c>
      <c r="L1872" s="26"/>
    </row>
    <row r="1873" spans="1:12">
      <c r="A1873" s="20" t="s">
        <v>1230</v>
      </c>
      <c r="E1873" s="21">
        <f>IF(D1873="?OLD","!!!","")</f>
        <v/>
      </c>
      <c r="F1873" s="22" t="str">
        <f>IF(OR(E1873="",E1873="!!!"),"",IF(NOT(ISNA(VLOOKUP(E1873,E$1:E1872,1,FALSE()))),"OLD",IF(AND(E1873&lt;&gt;"",E1873&lt;&gt;"!!!"),"NEW","")))</f>
        <v> </v>
      </c>
      <c r="G1873" s="23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4" t="str">
        <f>IF(J1873&lt;&gt;1,"",IF(I1873="SBJ","CB","?"))</f>
        <v> </v>
      </c>
      <c r="I1873" s="25" t="str">
        <f>IF(OR(E1873="",E1873="!!!",F1873="NEW"),"",INDEX(B1872:B$2,-1+SUMPRODUCT(MAX(ROW(E1872:E$2)*(E1873=E1872:E$2)))))</f>
        <v> </v>
      </c>
      <c r="J1873" s="25" t="str">
        <f>IF(OR(E1873="",E1873="!!!",F1873="NEW"),"",COUNTBLANK(OFFSET(A$1,,,SUMPRODUCT(MAX(ROW(E$2:E1873)*(E1873=E$2:E1873)))))-COUNTBLANK(OFFSET(A$1,,,SUMPRODUCT(MAX(ROW(E$1:E1872)*(E2=E$1:E1872))))))</f>
        <v> </v>
      </c>
      <c r="K1873" s="25" t="str">
        <f>IF(OR(E1873="",E1873="!!!",F1873="NEW"),"",INDEX(J$1:J1872,SUMPRODUCT(MAX(ROW(E$1:E1872)*(E1873=E$1:E1872)))))</f>
        <v> </v>
      </c>
      <c r="L1873" s="26"/>
    </row>
    <row r="1874" spans="1:12">
      <c r="A1874" s="20" t="s">
        <v>577</v>
      </c>
      <c r="E1874" s="21">
        <f>IF(D1874="?OLD","!!!","")</f>
        <v/>
      </c>
      <c r="F1874" s="22" t="str">
        <f>IF(OR(E1874="",E1874="!!!"),"",IF(NOT(ISNA(VLOOKUP(E1874,E$1:E1873,1,FALSE()))),"OLD",IF(AND(E1874&lt;&gt;"",E1874&lt;&gt;"!!!"),"NEW","")))</f>
        <v> </v>
      </c>
      <c r="G1874" s="23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4" t="str">
        <f>IF(J1874&lt;&gt;1,"",IF(I1874="SBJ","CB","?"))</f>
        <v> </v>
      </c>
      <c r="I1874" s="25" t="str">
        <f>IF(OR(E1874="",E1874="!!!",F1874="NEW"),"",INDEX(B1873:B$2,-1+SUMPRODUCT(MAX(ROW(E1873:E$2)*(E1874=E1873:E$2)))))</f>
        <v> </v>
      </c>
      <c r="J1874" s="25" t="str">
        <f>IF(OR(E1874="",E1874="!!!",F1874="NEW"),"",COUNTBLANK(OFFSET(A$1,,,SUMPRODUCT(MAX(ROW(E$2:E1874)*(E1874=E$2:E1874)))))-COUNTBLANK(OFFSET(A$1,,,SUMPRODUCT(MAX(ROW(E$1:E1873)*(E2=E$1:E1873))))))</f>
        <v> </v>
      </c>
      <c r="K1874" s="25" t="str">
        <f>IF(OR(E1874="",E1874="!!!",F1874="NEW"),"",INDEX(J$1:J1873,SUMPRODUCT(MAX(ROW(E$1:E1873)*(E1874=E$1:E1873)))))</f>
        <v> </v>
      </c>
      <c r="L1874" s="26"/>
    </row>
    <row r="1875" spans="1:12">
      <c r="A1875" s="20" t="s">
        <v>542</v>
      </c>
      <c r="E1875" s="21">
        <f>IF(D1875="?OLD","!!!","")</f>
        <v/>
      </c>
      <c r="F1875" s="22" t="str">
        <f>IF(OR(E1875="",E1875="!!!"),"",IF(NOT(ISNA(VLOOKUP(E1875,E$1:E1874,1,FALSE()))),"OLD",IF(AND(E1875&lt;&gt;"",E1875&lt;&gt;"!!!"),"NEW","")))</f>
        <v> </v>
      </c>
      <c r="G1875" s="23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4" t="str">
        <f>IF(J1875&lt;&gt;1,"",IF(I1875="SBJ","CB","?"))</f>
        <v> </v>
      </c>
      <c r="I1875" s="25" t="str">
        <f>IF(OR(E1875="",E1875="!!!",F1875="NEW"),"",INDEX(B1874:B$2,-1+SUMPRODUCT(MAX(ROW(E1874:E$2)*(E1875=E1874:E$2)))))</f>
        <v> </v>
      </c>
      <c r="J1875" s="25" t="str">
        <f>IF(OR(E1875="",E1875="!!!",F1875="NEW"),"",COUNTBLANK(OFFSET(A$1,,,SUMPRODUCT(MAX(ROW(E$2:E1875)*(E1875=E$2:E1875)))))-COUNTBLANK(OFFSET(A$1,,,SUMPRODUCT(MAX(ROW(E$1:E1874)*(E2=E$1:E1874))))))</f>
        <v> </v>
      </c>
      <c r="K1875" s="25" t="str">
        <f>IF(OR(E1875="",E1875="!!!",F1875="NEW"),"",INDEX(J$1:J1874,SUMPRODUCT(MAX(ROW(E$1:E1874)*(E1875=E$1:E1874)))))</f>
        <v> </v>
      </c>
      <c r="L1875" s="26"/>
    </row>
    <row r="1876" spans="1:12">
      <c r="A1876" s="20" t="s">
        <v>1058</v>
      </c>
      <c r="B1876" s="27" t="s">
        <v>943</v>
      </c>
      <c r="C1876" s="27" t="s">
        <v>545</v>
      </c>
      <c r="D1876" s="27" t="s">
        <v>524</v>
      </c>
      <c r="E1876" s="21">
        <f>IF(D1876="?OLD","!!!","")</f>
        <v/>
      </c>
      <c r="F1876" s="22" t="str">
        <f>IF(OR(E1876="",E1876="!!!"),"",IF(NOT(ISNA(VLOOKUP(E1876,E$1:E1875,1,FALSE()))),"OLD",IF(AND(E1876&lt;&gt;"",E1876&lt;&gt;"!!!"),"NEW","")))</f>
        <v> </v>
      </c>
      <c r="G1876" s="23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4" t="str">
        <f>IF(J1876&lt;&gt;1,"",IF(I1876="SBJ","CB","?"))</f>
        <v> </v>
      </c>
      <c r="I1876" s="25" t="str">
        <f>IF(OR(E1876="",E1876="!!!",F1876="NEW"),"",INDEX(B1875:B$2,-1+SUMPRODUCT(MAX(ROW(E1875:E$2)*(E1876=E1875:E$2)))))</f>
        <v> </v>
      </c>
      <c r="J1876" s="25" t="str">
        <f>IF(OR(E1876="",E1876="!!!",F1876="NEW"),"",COUNTBLANK(OFFSET(A$1,,,SUMPRODUCT(MAX(ROW(E$2:E1876)*(E1876=E$2:E1876)))))-COUNTBLANK(OFFSET(A$1,,,SUMPRODUCT(MAX(ROW(E$1:E1875)*(E2=E$1:E1875))))))</f>
        <v> </v>
      </c>
      <c r="K1876" s="25" t="str">
        <f>IF(OR(E1876="",E1876="!!!",F1876="NEW"),"",INDEX(J$1:J1875,SUMPRODUCT(MAX(ROW(E$1:E1875)*(E1876=E$1:E1875)))))</f>
        <v> </v>
      </c>
      <c r="L1876" s="26"/>
    </row>
    <row r="1877" spans="1:12">
      <c r="A1877" s="20" t="s">
        <v>549</v>
      </c>
      <c r="E1877" s="21">
        <f>IF(D1877="?OLD","!!!","")</f>
        <v/>
      </c>
      <c r="F1877" s="22" t="str">
        <f>IF(OR(E1877="",E1877="!!!"),"",IF(NOT(ISNA(VLOOKUP(E1877,E$1:E1876,1,FALSE()))),"OLD",IF(AND(E1877&lt;&gt;"",E1877&lt;&gt;"!!!"),"NEW","")))</f>
        <v> </v>
      </c>
      <c r="G1877" s="23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4" t="str">
        <f>IF(J1877&lt;&gt;1,"",IF(I1877="SBJ","CB","?"))</f>
        <v> </v>
      </c>
      <c r="I1877" s="25" t="str">
        <f>IF(OR(E1877="",E1877="!!!",F1877="NEW"),"",INDEX(B1876:B$2,-1+SUMPRODUCT(MAX(ROW(E1876:E$2)*(E1877=E1876:E$2)))))</f>
        <v> </v>
      </c>
      <c r="J1877" s="25" t="str">
        <f>IF(OR(E1877="",E1877="!!!",F1877="NEW"),"",COUNTBLANK(OFFSET(A$1,,,SUMPRODUCT(MAX(ROW(E$2:E1877)*(E1877=E$2:E1877)))))-COUNTBLANK(OFFSET(A$1,,,SUMPRODUCT(MAX(ROW(E$1:E1876)*(E2=E$1:E1876))))))</f>
        <v> </v>
      </c>
      <c r="K1877" s="25" t="str">
        <f>IF(OR(E1877="",E1877="!!!",F1877="NEW"),"",INDEX(J$1:J1876,SUMPRODUCT(MAX(ROW(E$1:E1876)*(E1877=E$1:E1876)))))</f>
        <v> </v>
      </c>
      <c r="L1877" s="26"/>
    </row>
    <row r="1878" spans="1:12">
      <c r="A1878" s="20"/>
    </row>
    <row r="1879" spans="1:12">
      <c r="A1879" s="20" t="s">
        <v>550</v>
      </c>
      <c r="E1879" s="21">
        <f>IF(D1879="?OLD","!!!","")</f>
        <v/>
      </c>
      <c r="F1879" s="22" t="str">
        <f>IF(OR(E1879="",E1879="!!!"),"",IF(NOT(ISNA(VLOOKUP(E1879,E$1:E1878,1,FALSE()))),"OLD",IF(AND(E1879&lt;&gt;"",E1879&lt;&gt;"!!!"),"NEW","")))</f>
        <v> </v>
      </c>
      <c r="G1879" s="23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4" t="str">
        <f>IF(J1879&lt;&gt;1,"",IF(I1879="SBJ","CB","?"))</f>
        <v> </v>
      </c>
      <c r="I1879" s="25" t="str">
        <f>IF(OR(E1879="",E1879="!!!",F1879="NEW"),"",INDEX(B1878:B$2,-1+SUMPRODUCT(MAX(ROW(E1878:E$2)*(E1879=E1878:E$2)))))</f>
        <v> </v>
      </c>
      <c r="J1879" s="25" t="str">
        <f>IF(OR(E1879="",E1879="!!!",F1879="NEW"),"",COUNTBLANK(OFFSET(A$1,,,SUMPRODUCT(MAX(ROW(E$2:E1879)*(E1879=E$2:E1879)))))-COUNTBLANK(OFFSET(A$1,,,SUMPRODUCT(MAX(ROW(E$1:E1878)*(E2=E$1:E1878))))))</f>
        <v> </v>
      </c>
      <c r="K1879" s="25" t="str">
        <f>IF(OR(E1879="",E1879="!!!",F1879="NEW"),"",INDEX(J$1:J1878,SUMPRODUCT(MAX(ROW(E$1:E1878)*(E1879=E$1:E1878)))))</f>
        <v> </v>
      </c>
      <c r="L1879" s="26"/>
    </row>
    <row r="1880" spans="1:12">
      <c r="A1880" s="20" t="s">
        <v>1231</v>
      </c>
    </row>
    <row r="1881" spans="1:12">
      <c r="A1881" s="20" t="s">
        <v>1036</v>
      </c>
      <c r="E1881" s="21">
        <f>IF(D1881="?OLD","!!!","")</f>
        <v/>
      </c>
      <c r="F1881" s="22" t="str">
        <f>IF(OR(E1881="",E1881="!!!"),"",IF(NOT(ISNA(VLOOKUP(E1881,E$1:E1880,1,FALSE()))),"OLD",IF(AND(E1881&lt;&gt;"",E1881&lt;&gt;"!!!"),"NEW","")))</f>
        <v> </v>
      </c>
      <c r="G1881" s="23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4" t="str">
        <f>IF(J1881&lt;&gt;1,"",IF(I1881="SBJ","CB","?"))</f>
        <v> </v>
      </c>
      <c r="I1881" s="25" t="str">
        <f>IF(OR(E1881="",E1881="!!!",F1881="NEW"),"",INDEX(B1880:B$2,-1+SUMPRODUCT(MAX(ROW(E1880:E$2)*(E1881=E1880:E$2)))))</f>
        <v> </v>
      </c>
      <c r="J1881" s="25" t="str">
        <f>IF(OR(E1881="",E1881="!!!",F1881="NEW"),"",COUNTBLANK(OFFSET(A$1,,,SUMPRODUCT(MAX(ROW(E$2:E1881)*(E1881=E$2:E1881)))))-COUNTBLANK(OFFSET(A$1,,,SUMPRODUCT(MAX(ROW(E$1:E1880)*(E2=E$1:E1880))))))</f>
        <v> </v>
      </c>
      <c r="K1881" s="25" t="str">
        <f>IF(OR(E1881="",E1881="!!!",F1881="NEW"),"",INDEX(J$1:J1880,SUMPRODUCT(MAX(ROW(E$1:E1880)*(E1881=E$1:E1880)))))</f>
        <v> </v>
      </c>
      <c r="L1881" s="26"/>
    </row>
    <row r="1882" spans="1:12">
      <c r="A1882" s="20" t="s">
        <v>542</v>
      </c>
      <c r="E1882" s="21">
        <f>IF(D1882="?OLD","!!!","")</f>
        <v/>
      </c>
      <c r="F1882" s="22" t="str">
        <f>IF(OR(E1882="",E1882="!!!"),"",IF(NOT(ISNA(VLOOKUP(E1882,E$1:E1881,1,FALSE()))),"OLD",IF(AND(E1882&lt;&gt;"",E1882&lt;&gt;"!!!"),"NEW","")))</f>
        <v> </v>
      </c>
      <c r="G1882" s="23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4" t="str">
        <f>IF(J1882&lt;&gt;1,"",IF(I1882="SBJ","CB","?"))</f>
        <v> </v>
      </c>
      <c r="I1882" s="25" t="str">
        <f>IF(OR(E1882="",E1882="!!!",F1882="NEW"),"",INDEX(B1881:B$2,-1+SUMPRODUCT(MAX(ROW(E1881:E$2)*(E1882=E1881:E$2)))))</f>
        <v> </v>
      </c>
      <c r="J1882" s="25" t="str">
        <f>IF(OR(E1882="",E1882="!!!",F1882="NEW"),"",COUNTBLANK(OFFSET(A$1,,,SUMPRODUCT(MAX(ROW(E$2:E1882)*(E1882=E$2:E1882)))))-COUNTBLANK(OFFSET(A$1,,,SUMPRODUCT(MAX(ROW(E$1:E1881)*(E2=E$1:E1881))))))</f>
        <v> </v>
      </c>
      <c r="K1882" s="25" t="str">
        <f>IF(OR(E1882="",E1882="!!!",F1882="NEW"),"",INDEX(J$1:J1881,SUMPRODUCT(MAX(ROW(E$1:E1881)*(E1882=E$1:E1881)))))</f>
        <v> </v>
      </c>
      <c r="L1882" s="26"/>
    </row>
    <row r="1883" spans="1:12">
      <c r="A1883" s="20" t="s">
        <v>1081</v>
      </c>
      <c r="B1883" s="27" t="s">
        <v>667</v>
      </c>
      <c r="C1883" s="27" t="s">
        <v>545</v>
      </c>
      <c r="D1883" s="27" t="s">
        <v>524</v>
      </c>
      <c r="E1883" s="21">
        <f>IF(D1883="?OLD","!!!","")</f>
        <v/>
      </c>
      <c r="F1883" s="22" t="str">
        <f>IF(OR(E1883="",E1883="!!!"),"",IF(NOT(ISNA(VLOOKUP(E1883,E$1:E1882,1,FALSE()))),"OLD",IF(AND(E1883&lt;&gt;"",E1883&lt;&gt;"!!!"),"NEW","")))</f>
        <v> </v>
      </c>
      <c r="G1883" s="23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4" t="str">
        <f>IF(J1883&lt;&gt;1,"",IF(I1883="SBJ","CB","?"))</f>
        <v> </v>
      </c>
      <c r="I1883" s="25" t="str">
        <f>IF(OR(E1883="",E1883="!!!",F1883="NEW"),"",INDEX(B1882:B$2,-1+SUMPRODUCT(MAX(ROW(E1882:E$2)*(E1883=E1882:E$2)))))</f>
        <v> </v>
      </c>
      <c r="J1883" s="25" t="str">
        <f>IF(OR(E1883="",E1883="!!!",F1883="NEW"),"",COUNTBLANK(OFFSET(A$1,,,SUMPRODUCT(MAX(ROW(E$2:E1883)*(E1883=E$2:E1883)))))-COUNTBLANK(OFFSET(A$1,,,SUMPRODUCT(MAX(ROW(E$1:E1882)*(E2=E$1:E1882))))))</f>
        <v> </v>
      </c>
      <c r="K1883" s="25" t="str">
        <f>IF(OR(E1883="",E1883="!!!",F1883="NEW"),"",INDEX(J$1:J1882,SUMPRODUCT(MAX(ROW(E$1:E1882)*(E1883=E$1:E1882)))))</f>
        <v> </v>
      </c>
      <c r="L1883" s="26"/>
    </row>
    <row r="1884" spans="1:12">
      <c r="A1884" s="20" t="s">
        <v>528</v>
      </c>
      <c r="E1884" s="21">
        <f>IF(D1884="?OLD","!!!","")</f>
        <v/>
      </c>
      <c r="F1884" s="22" t="str">
        <f>IF(OR(E1884="",E1884="!!!"),"",IF(NOT(ISNA(VLOOKUP(E1884,E$1:E1883,1,FALSE()))),"OLD",IF(AND(E1884&lt;&gt;"",E1884&lt;&gt;"!!!"),"NEW","")))</f>
        <v> </v>
      </c>
      <c r="G1884" s="23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4" t="str">
        <f>IF(J1884&lt;&gt;1,"",IF(I1884="SBJ","CB","?"))</f>
        <v> </v>
      </c>
      <c r="I1884" s="25" t="str">
        <f>IF(OR(E1884="",E1884="!!!",F1884="NEW"),"",INDEX(B1883:B$2,-1+SUMPRODUCT(MAX(ROW(E1883:E$2)*(E1884=E1883:E$2)))))</f>
        <v> </v>
      </c>
      <c r="J1884" s="25" t="str">
        <f>IF(OR(E1884="",E1884="!!!",F1884="NEW"),"",COUNTBLANK(OFFSET(A$1,,,SUMPRODUCT(MAX(ROW(E$2:E1884)*(E1884=E$2:E1884)))))-COUNTBLANK(OFFSET(A$1,,,SUMPRODUCT(MAX(ROW(E$1:E1883)*(E2=E$1:E1883))))))</f>
        <v> </v>
      </c>
      <c r="K1884" s="25" t="str">
        <f>IF(OR(E1884="",E1884="!!!",F1884="NEW"),"",INDEX(J$1:J1883,SUMPRODUCT(MAX(ROW(E$1:E1883)*(E1884=E$1:E1883)))))</f>
        <v> </v>
      </c>
      <c r="L1884" s="26"/>
    </row>
    <row r="1885" spans="1:12">
      <c r="A1885" s="20" t="s">
        <v>358</v>
      </c>
      <c r="B1885" s="27" t="s">
        <v>529</v>
      </c>
      <c r="C1885" s="27" t="s">
        <v>523</v>
      </c>
      <c r="D1885" s="27" t="s">
        <v>524</v>
      </c>
      <c r="E1885" s="21">
        <f>IF(D1885="?OLD","!!!","")</f>
        <v/>
      </c>
      <c r="F1885" s="22" t="str">
        <f>IF(OR(E1885="",E1885="!!!"),"",IF(NOT(ISNA(VLOOKUP(E1885,E$1:E1884,1,FALSE()))),"OLD",IF(AND(E1885&lt;&gt;"",E1885&lt;&gt;"!!!"),"NEW","")))</f>
        <v> </v>
      </c>
      <c r="G1885" s="23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4" t="str">
        <f>IF(J1885&lt;&gt;1,"",IF(I1885="SBJ","CB","?"))</f>
        <v> </v>
      </c>
      <c r="I1885" s="25" t="str">
        <f>IF(OR(E1885="",E1885="!!!",F1885="NEW"),"",INDEX(B1884:B$2,-1+SUMPRODUCT(MAX(ROW(E1884:E$2)*(E1885=E1884:E$2)))))</f>
        <v> </v>
      </c>
      <c r="J1885" s="25" t="str">
        <f>IF(OR(E1885="",E1885="!!!",F1885="NEW"),"",COUNTBLANK(OFFSET(A$1,,,SUMPRODUCT(MAX(ROW(E$2:E1885)*(E1885=E$2:E1885)))))-COUNTBLANK(OFFSET(A$1,,,SUMPRODUCT(MAX(ROW(E$1:E1884)*(E2=E$1:E1884))))))</f>
        <v> </v>
      </c>
      <c r="K1885" s="25" t="str">
        <f>IF(OR(E1885="",E1885="!!!",F1885="NEW"),"",INDEX(J$1:J1884,SUMPRODUCT(MAX(ROW(E$1:E1884)*(E1885=E$1:E1884)))))</f>
        <v> </v>
      </c>
      <c r="L1885" s="26"/>
    </row>
    <row r="1886" spans="1:12">
      <c r="A1886" s="20" t="s">
        <v>1232</v>
      </c>
      <c r="E1886" s="21">
        <f>IF(D1886="?OLD","!!!","")</f>
        <v/>
      </c>
      <c r="F1886" s="22" t="str">
        <f>IF(OR(E1886="",E1886="!!!"),"",IF(NOT(ISNA(VLOOKUP(E1886,E$1:E1885,1,FALSE()))),"OLD",IF(AND(E1886&lt;&gt;"",E1886&lt;&gt;"!!!"),"NEW","")))</f>
        <v> </v>
      </c>
      <c r="G1886" s="23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4" t="str">
        <f>IF(J1886&lt;&gt;1,"",IF(I1886="SBJ","CB","?"))</f>
        <v> </v>
      </c>
      <c r="I1886" s="25" t="str">
        <f>IF(OR(E1886="",E1886="!!!",F1886="NEW"),"",INDEX(B1885:B$2,-1+SUMPRODUCT(MAX(ROW(E1885:E$2)*(E1886=E1885:E$2)))))</f>
        <v> </v>
      </c>
      <c r="J1886" s="25" t="str">
        <f>IF(OR(E1886="",E1886="!!!",F1886="NEW"),"",COUNTBLANK(OFFSET(A$1,,,SUMPRODUCT(MAX(ROW(E$2:E1886)*(E1886=E$2:E1886)))))-COUNTBLANK(OFFSET(A$1,,,SUMPRODUCT(MAX(ROW(E$1:E1885)*(E2=E$1:E1885))))))</f>
        <v> </v>
      </c>
      <c r="K1886" s="25" t="str">
        <f>IF(OR(E1886="",E1886="!!!",F1886="NEW"),"",INDEX(J$1:J1885,SUMPRODUCT(MAX(ROW(E$1:E1885)*(E1886=E$1:E1885)))))</f>
        <v> </v>
      </c>
      <c r="L1886" s="26"/>
    </row>
    <row r="1887" spans="1:12">
      <c r="A1887" s="20" t="s">
        <v>196</v>
      </c>
      <c r="E1887" s="21">
        <f>IF(D1887="?OLD","!!!","")</f>
        <v/>
      </c>
      <c r="F1887" s="22" t="str">
        <f>IF(OR(E1887="",E1887="!!!"),"",IF(NOT(ISNA(VLOOKUP(E1887,E$1:E1886,1,FALSE()))),"OLD",IF(AND(E1887&lt;&gt;"",E1887&lt;&gt;"!!!"),"NEW","")))</f>
        <v> </v>
      </c>
      <c r="G1887" s="23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4" t="str">
        <f>IF(J1887&lt;&gt;1,"",IF(I1887="SBJ","CB","?"))</f>
        <v> </v>
      </c>
      <c r="I1887" s="25" t="str">
        <f>IF(OR(E1887="",E1887="!!!",F1887="NEW"),"",INDEX(B1886:B$2,-1+SUMPRODUCT(MAX(ROW(E1886:E$2)*(E1887=E1886:E$2)))))</f>
        <v> </v>
      </c>
      <c r="J1887" s="25" t="str">
        <f>IF(OR(E1887="",E1887="!!!",F1887="NEW"),"",COUNTBLANK(OFFSET(A$1,,,SUMPRODUCT(MAX(ROW(E$2:E1887)*(E1887=E$2:E1887)))))-COUNTBLANK(OFFSET(A$1,,,SUMPRODUCT(MAX(ROW(E$1:E1886)*(E2=E$1:E1886))))))</f>
        <v> </v>
      </c>
      <c r="K1887" s="25" t="str">
        <f>IF(OR(E1887="",E1887="!!!",F1887="NEW"),"",INDEX(J$1:J1886,SUMPRODUCT(MAX(ROW(E$1:E1886)*(E1887=E$1:E1886)))))</f>
        <v> </v>
      </c>
      <c r="L1887" s="26"/>
    </row>
    <row r="1888" spans="1:12">
      <c r="A1888" s="20" t="s">
        <v>436</v>
      </c>
      <c r="E1888" s="21">
        <f>IF(D1888="?OLD","!!!","")</f>
        <v/>
      </c>
      <c r="F1888" s="22" t="str">
        <f>IF(OR(E1888="",E1888="!!!"),"",IF(NOT(ISNA(VLOOKUP(E1888,E$1:E1887,1,FALSE()))),"OLD",IF(AND(E1888&lt;&gt;"",E1888&lt;&gt;"!!!"),"NEW","")))</f>
        <v> </v>
      </c>
      <c r="G1888" s="23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4" t="str">
        <f>IF(J1888&lt;&gt;1,"",IF(I1888="SBJ","CB","?"))</f>
        <v> </v>
      </c>
      <c r="I1888" s="25" t="str">
        <f>IF(OR(E1888="",E1888="!!!",F1888="NEW"),"",INDEX(B1887:B$2,-1+SUMPRODUCT(MAX(ROW(E1887:E$2)*(E1888=E1887:E$2)))))</f>
        <v> </v>
      </c>
      <c r="J1888" s="25" t="str">
        <f>IF(OR(E1888="",E1888="!!!",F1888="NEW"),"",COUNTBLANK(OFFSET(A$1,,,SUMPRODUCT(MAX(ROW(E$2:E1888)*(E1888=E$2:E1888)))))-COUNTBLANK(OFFSET(A$1,,,SUMPRODUCT(MAX(ROW(E$1:E1887)*(E2=E$1:E1887))))))</f>
        <v> </v>
      </c>
      <c r="K1888" s="25" t="str">
        <f>IF(OR(E1888="",E1888="!!!",F1888="NEW"),"",INDEX(J$1:J1887,SUMPRODUCT(MAX(ROW(E$1:E1887)*(E1888=E$1:E1887)))))</f>
        <v> </v>
      </c>
      <c r="L1888" s="26"/>
    </row>
    <row r="1889" spans="1:12">
      <c r="A1889" s="20" t="s">
        <v>565</v>
      </c>
      <c r="E1889" s="21">
        <f>IF(D1889="?OLD","!!!","")</f>
        <v/>
      </c>
      <c r="F1889" s="22" t="str">
        <f>IF(OR(E1889="",E1889="!!!"),"",IF(NOT(ISNA(VLOOKUP(E1889,E$1:E1888,1,FALSE()))),"OLD",IF(AND(E1889&lt;&gt;"",E1889&lt;&gt;"!!!"),"NEW","")))</f>
        <v> </v>
      </c>
      <c r="G1889" s="23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4" t="str">
        <f>IF(J1889&lt;&gt;1,"",IF(I1889="SBJ","CB","?"))</f>
        <v> </v>
      </c>
      <c r="I1889" s="25" t="str">
        <f>IF(OR(E1889="",E1889="!!!",F1889="NEW"),"",INDEX(B1888:B$2,-1+SUMPRODUCT(MAX(ROW(E1888:E$2)*(E1889=E1888:E$2)))))</f>
        <v> </v>
      </c>
      <c r="J1889" s="25" t="str">
        <f>IF(OR(E1889="",E1889="!!!",F1889="NEW"),"",COUNTBLANK(OFFSET(A$1,,,SUMPRODUCT(MAX(ROW(E$2:E1889)*(E1889=E$2:E1889)))))-COUNTBLANK(OFFSET(A$1,,,SUMPRODUCT(MAX(ROW(E$1:E1888)*(E2=E$1:E1888))))))</f>
        <v> </v>
      </c>
      <c r="K1889" s="25" t="str">
        <f>IF(OR(E1889="",E1889="!!!",F1889="NEW"),"",INDEX(J$1:J1888,SUMPRODUCT(MAX(ROW(E$1:E1888)*(E1889=E$1:E1888)))))</f>
        <v> </v>
      </c>
      <c r="L1889" s="26"/>
    </row>
    <row r="1890" spans="1:12">
      <c r="A1890" s="20" t="s">
        <v>708</v>
      </c>
      <c r="E1890" s="21">
        <f>IF(D1890="?OLD","!!!","")</f>
        <v/>
      </c>
      <c r="F1890" s="22" t="str">
        <f>IF(OR(E1890="",E1890="!!!"),"",IF(NOT(ISNA(VLOOKUP(E1890,E$1:E1889,1,FALSE()))),"OLD",IF(AND(E1890&lt;&gt;"",E1890&lt;&gt;"!!!"),"NEW","")))</f>
        <v> </v>
      </c>
      <c r="G1890" s="23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4" t="str">
        <f>IF(J1890&lt;&gt;1,"",IF(I1890="SBJ","CB","?"))</f>
        <v> </v>
      </c>
      <c r="I1890" s="25" t="str">
        <f>IF(OR(E1890="",E1890="!!!",F1890="NEW"),"",INDEX(B1889:B$2,-1+SUMPRODUCT(MAX(ROW(E1889:E$2)*(E1890=E1889:E$2)))))</f>
        <v> </v>
      </c>
      <c r="J1890" s="25" t="str">
        <f>IF(OR(E1890="",E1890="!!!",F1890="NEW"),"",COUNTBLANK(OFFSET(A$1,,,SUMPRODUCT(MAX(ROW(E$2:E1890)*(E1890=E$2:E1890)))))-COUNTBLANK(OFFSET(A$1,,,SUMPRODUCT(MAX(ROW(E$1:E1889)*(E2=E$1:E1889))))))</f>
        <v> </v>
      </c>
      <c r="K1890" s="25" t="str">
        <f>IF(OR(E1890="",E1890="!!!",F1890="NEW"),"",INDEX(J$1:J1889,SUMPRODUCT(MAX(ROW(E$1:E1889)*(E1890=E$1:E1889)))))</f>
        <v> </v>
      </c>
      <c r="L1890" s="26"/>
    </row>
    <row r="1891" spans="1:12">
      <c r="A1891" s="20" t="s">
        <v>1233</v>
      </c>
      <c r="E1891" s="21">
        <f>IF(D1891="?OLD","!!!","")</f>
        <v/>
      </c>
      <c r="F1891" s="22" t="str">
        <f>IF(OR(E1891="",E1891="!!!"),"",IF(NOT(ISNA(VLOOKUP(E1891,E$1:E1890,1,FALSE()))),"OLD",IF(AND(E1891&lt;&gt;"",E1891&lt;&gt;"!!!"),"NEW","")))</f>
        <v> </v>
      </c>
      <c r="G1891" s="23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4" t="str">
        <f>IF(J1891&lt;&gt;1,"",IF(I1891="SBJ","CB","?"))</f>
        <v> </v>
      </c>
      <c r="I1891" s="25" t="str">
        <f>IF(OR(E1891="",E1891="!!!",F1891="NEW"),"",INDEX(B1890:B$2,-1+SUMPRODUCT(MAX(ROW(E1890:E$2)*(E1891=E1890:E$2)))))</f>
        <v> </v>
      </c>
      <c r="J1891" s="25" t="str">
        <f>IF(OR(E1891="",E1891="!!!",F1891="NEW"),"",COUNTBLANK(OFFSET(A$1,,,SUMPRODUCT(MAX(ROW(E$2:E1891)*(E1891=E$2:E1891)))))-COUNTBLANK(OFFSET(A$1,,,SUMPRODUCT(MAX(ROW(E$1:E1890)*(E2=E$1:E1890))))))</f>
        <v> </v>
      </c>
      <c r="K1891" s="25" t="str">
        <f>IF(OR(E1891="",E1891="!!!",F1891="NEW"),"",INDEX(J$1:J1890,SUMPRODUCT(MAX(ROW(E$1:E1890)*(E1891=E$1:E1890)))))</f>
        <v> </v>
      </c>
      <c r="L1891" s="26"/>
    </row>
    <row r="1892" spans="1:12">
      <c r="A1892" s="20" t="s">
        <v>1234</v>
      </c>
      <c r="E1892" s="21">
        <f>IF(D1892="?OLD","!!!","")</f>
        <v/>
      </c>
      <c r="F1892" s="22" t="str">
        <f>IF(OR(E1892="",E1892="!!!"),"",IF(NOT(ISNA(VLOOKUP(E1892,E$1:E1891,1,FALSE()))),"OLD",IF(AND(E1892&lt;&gt;"",E1892&lt;&gt;"!!!"),"NEW","")))</f>
        <v> </v>
      </c>
      <c r="G1892" s="23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4" t="str">
        <f>IF(J1892&lt;&gt;1,"",IF(I1892="SBJ","CB","?"))</f>
        <v> </v>
      </c>
      <c r="I1892" s="25" t="str">
        <f>IF(OR(E1892="",E1892="!!!",F1892="NEW"),"",INDEX(B1891:B$2,-1+SUMPRODUCT(MAX(ROW(E1891:E$2)*(E1892=E1891:E$2)))))</f>
        <v> </v>
      </c>
      <c r="J1892" s="25" t="str">
        <f>IF(OR(E1892="",E1892="!!!",F1892="NEW"),"",COUNTBLANK(OFFSET(A$1,,,SUMPRODUCT(MAX(ROW(E$2:E1892)*(E1892=E$2:E1892)))))-COUNTBLANK(OFFSET(A$1,,,SUMPRODUCT(MAX(ROW(E$1:E1891)*(E2=E$1:E1891))))))</f>
        <v> </v>
      </c>
      <c r="K1892" s="25" t="str">
        <f>IF(OR(E1892="",E1892="!!!",F1892="NEW"),"",INDEX(J$1:J1891,SUMPRODUCT(MAX(ROW(E$1:E1891)*(E1892=E$1:E1891)))))</f>
        <v> </v>
      </c>
      <c r="L1892" s="26"/>
    </row>
    <row r="1893" spans="1:12">
      <c r="A1893" s="20" t="s">
        <v>719</v>
      </c>
      <c r="E1893" s="21">
        <f>IF(D1893="?OLD","!!!","")</f>
        <v/>
      </c>
      <c r="F1893" s="22" t="str">
        <f>IF(OR(E1893="",E1893="!!!"),"",IF(NOT(ISNA(VLOOKUP(E1893,E$1:E1892,1,FALSE()))),"OLD",IF(AND(E1893&lt;&gt;"",E1893&lt;&gt;"!!!"),"NEW","")))</f>
        <v> </v>
      </c>
      <c r="G1893" s="23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4" t="str">
        <f>IF(J1893&lt;&gt;1,"",IF(I1893="SBJ","CB","?"))</f>
        <v> </v>
      </c>
      <c r="I1893" s="25" t="str">
        <f>IF(OR(E1893="",E1893="!!!",F1893="NEW"),"",INDEX(B1892:B$2,-1+SUMPRODUCT(MAX(ROW(E1892:E$2)*(E1893=E1892:E$2)))))</f>
        <v> </v>
      </c>
      <c r="J1893" s="25" t="str">
        <f>IF(OR(E1893="",E1893="!!!",F1893="NEW"),"",COUNTBLANK(OFFSET(A$1,,,SUMPRODUCT(MAX(ROW(E$2:E1893)*(E1893=E$2:E1893)))))-COUNTBLANK(OFFSET(A$1,,,SUMPRODUCT(MAX(ROW(E$1:E1892)*(E2=E$1:E1892))))))</f>
        <v> </v>
      </c>
      <c r="K1893" s="25" t="str">
        <f>IF(OR(E1893="",E1893="!!!",F1893="NEW"),"",INDEX(J$1:J1892,SUMPRODUCT(MAX(ROW(E$1:E1892)*(E1893=E$1:E1892)))))</f>
        <v> </v>
      </c>
      <c r="L1893" s="26"/>
    </row>
    <row r="1894" spans="1:12">
      <c r="A1894" s="20" t="s">
        <v>1018</v>
      </c>
      <c r="E1894" s="21">
        <f>IF(D1894="?OLD","!!!","")</f>
        <v/>
      </c>
      <c r="F1894" s="22" t="str">
        <f>IF(OR(E1894="",E1894="!!!"),"",IF(NOT(ISNA(VLOOKUP(E1894,E$1:E1893,1,FALSE()))),"OLD",IF(AND(E1894&lt;&gt;"",E1894&lt;&gt;"!!!"),"NEW","")))</f>
        <v> </v>
      </c>
      <c r="G1894" s="23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4" t="str">
        <f>IF(J1894&lt;&gt;1,"",IF(I1894="SBJ","CB","?"))</f>
        <v> </v>
      </c>
      <c r="I1894" s="25" t="str">
        <f>IF(OR(E1894="",E1894="!!!",F1894="NEW"),"",INDEX(B1893:B$2,-1+SUMPRODUCT(MAX(ROW(E1893:E$2)*(E1894=E1893:E$2)))))</f>
        <v> </v>
      </c>
      <c r="J1894" s="25" t="str">
        <f>IF(OR(E1894="",E1894="!!!",F1894="NEW"),"",COUNTBLANK(OFFSET(A$1,,,SUMPRODUCT(MAX(ROW(E$2:E1894)*(E1894=E$2:E1894)))))-COUNTBLANK(OFFSET(A$1,,,SUMPRODUCT(MAX(ROW(E$1:E1893)*(E2=E$1:E1893))))))</f>
        <v> </v>
      </c>
      <c r="K1894" s="25" t="str">
        <f>IF(OR(E1894="",E1894="!!!",F1894="NEW"),"",INDEX(J$1:J1893,SUMPRODUCT(MAX(ROW(E$1:E1893)*(E1894=E$1:E1893)))))</f>
        <v> </v>
      </c>
      <c r="L1894" s="26"/>
    </row>
    <row r="1895" spans="1:12">
      <c r="A1895" s="20" t="s">
        <v>542</v>
      </c>
      <c r="E1895" s="21">
        <f>IF(D1895="?OLD","!!!","")</f>
        <v/>
      </c>
      <c r="F1895" s="22" t="str">
        <f>IF(OR(E1895="",E1895="!!!"),"",IF(NOT(ISNA(VLOOKUP(E1895,E$1:E1894,1,FALSE()))),"OLD",IF(AND(E1895&lt;&gt;"",E1895&lt;&gt;"!!!"),"NEW","")))</f>
        <v> </v>
      </c>
      <c r="G1895" s="23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4" t="str">
        <f>IF(J1895&lt;&gt;1,"",IF(I1895="SBJ","CB","?"))</f>
        <v> </v>
      </c>
      <c r="I1895" s="25" t="str">
        <f>IF(OR(E1895="",E1895="!!!",F1895="NEW"),"",INDEX(B1894:B$2,-1+SUMPRODUCT(MAX(ROW(E1894:E$2)*(E1895=E1894:E$2)))))</f>
        <v> </v>
      </c>
      <c r="J1895" s="25" t="str">
        <f>IF(OR(E1895="",E1895="!!!",F1895="NEW"),"",COUNTBLANK(OFFSET(A$1,,,SUMPRODUCT(MAX(ROW(E$2:E1895)*(E1895=E$2:E1895)))))-COUNTBLANK(OFFSET(A$1,,,SUMPRODUCT(MAX(ROW(E$1:E1894)*(E2=E$1:E1894))))))</f>
        <v> </v>
      </c>
      <c r="K1895" s="25" t="str">
        <f>IF(OR(E1895="",E1895="!!!",F1895="NEW"),"",INDEX(J$1:J1894,SUMPRODUCT(MAX(ROW(E$1:E1894)*(E1895=E$1:E1894)))))</f>
        <v> </v>
      </c>
      <c r="L1895" s="26"/>
    </row>
    <row r="1896" spans="1:12">
      <c r="A1896" s="20" t="s">
        <v>1058</v>
      </c>
      <c r="B1896" s="27" t="s">
        <v>633</v>
      </c>
      <c r="C1896" s="27" t="s">
        <v>545</v>
      </c>
      <c r="D1896" s="27" t="s">
        <v>524</v>
      </c>
      <c r="E1896" s="21">
        <f>IF(D1896="?OLD","!!!","")</f>
        <v/>
      </c>
      <c r="F1896" s="22" t="str">
        <f>IF(OR(E1896="",E1896="!!!"),"",IF(NOT(ISNA(VLOOKUP(E1896,E$1:E1895,1,FALSE()))),"OLD",IF(AND(E1896&lt;&gt;"",E1896&lt;&gt;"!!!"),"NEW","")))</f>
        <v> </v>
      </c>
      <c r="G1896" s="23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4" t="str">
        <f>IF(J1896&lt;&gt;1,"",IF(I1896="SBJ","CB","?"))</f>
        <v> </v>
      </c>
      <c r="I1896" s="25" t="str">
        <f>IF(OR(E1896="",E1896="!!!",F1896="NEW"),"",INDEX(B1895:B$2,-1+SUMPRODUCT(MAX(ROW(E1895:E$2)*(E1896=E1895:E$2)))))</f>
        <v> </v>
      </c>
      <c r="J1896" s="25" t="str">
        <f>IF(OR(E1896="",E1896="!!!",F1896="NEW"),"",COUNTBLANK(OFFSET(A$1,,,SUMPRODUCT(MAX(ROW(E$2:E1896)*(E1896=E$2:E1896)))))-COUNTBLANK(OFFSET(A$1,,,SUMPRODUCT(MAX(ROW(E$1:E1895)*(E2=E$1:E1895))))))</f>
        <v> </v>
      </c>
      <c r="K1896" s="25" t="str">
        <f>IF(OR(E1896="",E1896="!!!",F1896="NEW"),"",INDEX(J$1:J1895,SUMPRODUCT(MAX(ROW(E$1:E1895)*(E1896=E$1:E1895)))))</f>
        <v> </v>
      </c>
      <c r="L1896" s="26"/>
    </row>
    <row r="1897" spans="1:12">
      <c r="A1897" s="20" t="s">
        <v>565</v>
      </c>
      <c r="E1897" s="21">
        <f>IF(D1897="?OLD","!!!","")</f>
        <v/>
      </c>
      <c r="F1897" s="22" t="str">
        <f>IF(OR(E1897="",E1897="!!!"),"",IF(NOT(ISNA(VLOOKUP(E1897,E$1:E1896,1,FALSE()))),"OLD",IF(AND(E1897&lt;&gt;"",E1897&lt;&gt;"!!!"),"NEW","")))</f>
        <v> </v>
      </c>
      <c r="G1897" s="23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4" t="str">
        <f>IF(J1897&lt;&gt;1,"",IF(I1897="SBJ","CB","?"))</f>
        <v> </v>
      </c>
      <c r="I1897" s="25" t="str">
        <f>IF(OR(E1897="",E1897="!!!",F1897="NEW"),"",INDEX(B1896:B$2,-1+SUMPRODUCT(MAX(ROW(E1896:E$2)*(E1897=E1896:E$2)))))</f>
        <v> </v>
      </c>
      <c r="J1897" s="25" t="str">
        <f>IF(OR(E1897="",E1897="!!!",F1897="NEW"),"",COUNTBLANK(OFFSET(A$1,,,SUMPRODUCT(MAX(ROW(E$2:E1897)*(E1897=E$2:E1897)))))-COUNTBLANK(OFFSET(A$1,,,SUMPRODUCT(MAX(ROW(E$1:E1896)*(E2=E$1:E1896))))))</f>
        <v> </v>
      </c>
      <c r="K1897" s="25" t="str">
        <f>IF(OR(E1897="",E1897="!!!",F1897="NEW"),"",INDEX(J$1:J1896,SUMPRODUCT(MAX(ROW(E$1:E1896)*(E1897=E$1:E1896)))))</f>
        <v> </v>
      </c>
      <c r="L1897" s="26"/>
    </row>
    <row r="1898" spans="1:12">
      <c r="A1898" s="20" t="s">
        <v>566</v>
      </c>
      <c r="E1898" s="21">
        <f>IF(D1898="?OLD","!!!","")</f>
        <v/>
      </c>
      <c r="F1898" s="22" t="str">
        <f>IF(OR(E1898="",E1898="!!!"),"",IF(NOT(ISNA(VLOOKUP(E1898,E$1:E1897,1,FALSE()))),"OLD",IF(AND(E1898&lt;&gt;"",E1898&lt;&gt;"!!!"),"NEW","")))</f>
        <v> </v>
      </c>
      <c r="G1898" s="23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4" t="str">
        <f>IF(J1898&lt;&gt;1,"",IF(I1898="SBJ","CB","?"))</f>
        <v> </v>
      </c>
      <c r="I1898" s="25" t="str">
        <f>IF(OR(E1898="",E1898="!!!",F1898="NEW"),"",INDEX(B1897:B$2,-1+SUMPRODUCT(MAX(ROW(E1897:E$2)*(E1898=E1897:E$2)))))</f>
        <v> </v>
      </c>
      <c r="J1898" s="25" t="str">
        <f>IF(OR(E1898="",E1898="!!!",F1898="NEW"),"",COUNTBLANK(OFFSET(A$1,,,SUMPRODUCT(MAX(ROW(E$2:E1898)*(E1898=E$2:E1898)))))-COUNTBLANK(OFFSET(A$1,,,SUMPRODUCT(MAX(ROW(E$1:E1897)*(E2=E$1:E1897))))))</f>
        <v> </v>
      </c>
      <c r="K1898" s="25" t="str">
        <f>IF(OR(E1898="",E1898="!!!",F1898="NEW"),"",INDEX(J$1:J1897,SUMPRODUCT(MAX(ROW(E$1:E1897)*(E1898=E$1:E1897)))))</f>
        <v> </v>
      </c>
      <c r="L1898" s="26"/>
    </row>
    <row r="1899" spans="1:12">
      <c r="A1899" s="20" t="s">
        <v>1235</v>
      </c>
      <c r="E1899" s="21">
        <f>IF(D1899="?OLD","!!!","")</f>
        <v/>
      </c>
      <c r="F1899" s="22" t="str">
        <f>IF(OR(E1899="",E1899="!!!"),"",IF(NOT(ISNA(VLOOKUP(E1899,E$1:E1898,1,FALSE()))),"OLD",IF(AND(E1899&lt;&gt;"",E1899&lt;&gt;"!!!"),"NEW","")))</f>
        <v> </v>
      </c>
      <c r="G1899" s="23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4" t="str">
        <f>IF(J1899&lt;&gt;1,"",IF(I1899="SBJ","CB","?"))</f>
        <v> </v>
      </c>
      <c r="I1899" s="25" t="str">
        <f>IF(OR(E1899="",E1899="!!!",F1899="NEW"),"",INDEX(B1898:B$2,-1+SUMPRODUCT(MAX(ROW(E1898:E$2)*(E1899=E1898:E$2)))))</f>
        <v> </v>
      </c>
      <c r="J1899" s="25" t="str">
        <f>IF(OR(E1899="",E1899="!!!",F1899="NEW"),"",COUNTBLANK(OFFSET(A$1,,,SUMPRODUCT(MAX(ROW(E$2:E1899)*(E1899=E$2:E1899)))))-COUNTBLANK(OFFSET(A$1,,,SUMPRODUCT(MAX(ROW(E$1:E1898)*(E2=E$1:E1898))))))</f>
        <v> </v>
      </c>
      <c r="K1899" s="25" t="str">
        <f>IF(OR(E1899="",E1899="!!!",F1899="NEW"),"",INDEX(J$1:J1898,SUMPRODUCT(MAX(ROW(E$1:E1898)*(E1899=E$1:E1898)))))</f>
        <v> </v>
      </c>
      <c r="L1899" s="26"/>
    </row>
    <row r="1900" spans="1:12">
      <c r="A1900" s="20" t="s">
        <v>719</v>
      </c>
      <c r="E1900" s="21">
        <f>IF(D1900="?OLD","!!!","")</f>
        <v/>
      </c>
      <c r="F1900" s="22" t="str">
        <f>IF(OR(E1900="",E1900="!!!"),"",IF(NOT(ISNA(VLOOKUP(E1900,E$1:E1899,1,FALSE()))),"OLD",IF(AND(E1900&lt;&gt;"",E1900&lt;&gt;"!!!"),"NEW","")))</f>
        <v> </v>
      </c>
      <c r="G1900" s="23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4" t="str">
        <f>IF(J1900&lt;&gt;1,"",IF(I1900="SBJ","CB","?"))</f>
        <v> </v>
      </c>
      <c r="I1900" s="25" t="str">
        <f>IF(OR(E1900="",E1900="!!!",F1900="NEW"),"",INDEX(B1899:B$2,-1+SUMPRODUCT(MAX(ROW(E1899:E$2)*(E1900=E1899:E$2)))))</f>
        <v> </v>
      </c>
      <c r="J1900" s="25" t="str">
        <f>IF(OR(E1900="",E1900="!!!",F1900="NEW"),"",COUNTBLANK(OFFSET(A$1,,,SUMPRODUCT(MAX(ROW(E$2:E1900)*(E1900=E$2:E1900)))))-COUNTBLANK(OFFSET(A$1,,,SUMPRODUCT(MAX(ROW(E$1:E1899)*(E2=E$1:E1899))))))</f>
        <v> </v>
      </c>
      <c r="K1900" s="25" t="str">
        <f>IF(OR(E1900="",E1900="!!!",F1900="NEW"),"",INDEX(J$1:J1899,SUMPRODUCT(MAX(ROW(E$1:E1899)*(E1900=E$1:E1899)))))</f>
        <v> </v>
      </c>
      <c r="L1900" s="26"/>
    </row>
    <row r="1901" spans="1:12">
      <c r="A1901" s="20" t="s">
        <v>1236</v>
      </c>
      <c r="E1901" s="21">
        <f>IF(D1901="?OLD","!!!","")</f>
        <v/>
      </c>
      <c r="F1901" s="22" t="str">
        <f>IF(OR(E1901="",E1901="!!!"),"",IF(NOT(ISNA(VLOOKUP(E1901,E$1:E1900,1,FALSE()))),"OLD",IF(AND(E1901&lt;&gt;"",E1901&lt;&gt;"!!!"),"NEW","")))</f>
        <v> </v>
      </c>
      <c r="G1901" s="23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4" t="str">
        <f>IF(J1901&lt;&gt;1,"",IF(I1901="SBJ","CB","?"))</f>
        <v> </v>
      </c>
      <c r="I1901" s="25" t="str">
        <f>IF(OR(E1901="",E1901="!!!",F1901="NEW"),"",INDEX(B1900:B$2,-1+SUMPRODUCT(MAX(ROW(E1900:E$2)*(E1901=E1900:E$2)))))</f>
        <v> </v>
      </c>
      <c r="J1901" s="25" t="str">
        <f>IF(OR(E1901="",E1901="!!!",F1901="NEW"),"",COUNTBLANK(OFFSET(A$1,,,SUMPRODUCT(MAX(ROW(E$2:E1901)*(E1901=E$2:E1901)))))-COUNTBLANK(OFFSET(A$1,,,SUMPRODUCT(MAX(ROW(E$1:E1900)*(E2=E$1:E1900))))))</f>
        <v> </v>
      </c>
      <c r="K1901" s="25" t="str">
        <f>IF(OR(E1901="",E1901="!!!",F1901="NEW"),"",INDEX(J$1:J1900,SUMPRODUCT(MAX(ROW(E$1:E1900)*(E1901=E$1:E1900)))))</f>
        <v> </v>
      </c>
      <c r="L1901" s="26"/>
    </row>
    <row r="1902" spans="1:12">
      <c r="A1902" s="20" t="s">
        <v>1237</v>
      </c>
      <c r="B1902" s="27" t="s">
        <v>573</v>
      </c>
      <c r="C1902" s="27" t="s">
        <v>523</v>
      </c>
      <c r="D1902" s="27" t="s">
        <v>524</v>
      </c>
      <c r="E1902" s="21">
        <f>IF(D1902="?OLD","!!!","")</f>
        <v/>
      </c>
      <c r="F1902" s="22" t="str">
        <f>IF(OR(E1902="",E1902="!!!"),"",IF(NOT(ISNA(VLOOKUP(E1902,E$1:E1901,1,FALSE()))),"OLD",IF(AND(E1902&lt;&gt;"",E1902&lt;&gt;"!!!"),"NEW","")))</f>
        <v> </v>
      </c>
      <c r="G1902" s="23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4" t="str">
        <f>IF(J1902&lt;&gt;1,"",IF(I1902="SBJ","CB","?"))</f>
        <v> </v>
      </c>
      <c r="I1902" s="25" t="str">
        <f>IF(OR(E1902="",E1902="!!!",F1902="NEW"),"",INDEX(B1901:B$2,-1+SUMPRODUCT(MAX(ROW(E1901:E$2)*(E1902=E1901:E$2)))))</f>
        <v> </v>
      </c>
      <c r="J1902" s="25" t="str">
        <f>IF(OR(E1902="",E1902="!!!",F1902="NEW"),"",COUNTBLANK(OFFSET(A$1,,,SUMPRODUCT(MAX(ROW(E$2:E1902)*(E1902=E$2:E1902)))))-COUNTBLANK(OFFSET(A$1,,,SUMPRODUCT(MAX(ROW(E$1:E1901)*(E2=E$1:E1901))))))</f>
        <v> </v>
      </c>
      <c r="K1902" s="25" t="str">
        <f>IF(OR(E1902="",E1902="!!!",F1902="NEW"),"",INDEX(J$1:J1901,SUMPRODUCT(MAX(ROW(E$1:E1901)*(E1902=E$1:E1901)))))</f>
        <v> </v>
      </c>
      <c r="L1902" s="26"/>
    </row>
    <row r="1903" spans="1:12">
      <c r="A1903" s="20" t="s">
        <v>542</v>
      </c>
      <c r="E1903" s="21">
        <f>IF(D1903="?OLD","!!!","")</f>
        <v/>
      </c>
      <c r="F1903" s="22" t="str">
        <f>IF(OR(E1903="",E1903="!!!"),"",IF(NOT(ISNA(VLOOKUP(E1903,E$1:E1902,1,FALSE()))),"OLD",IF(AND(E1903&lt;&gt;"",E1903&lt;&gt;"!!!"),"NEW","")))</f>
        <v> </v>
      </c>
      <c r="G1903" s="23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4" t="str">
        <f>IF(J1903&lt;&gt;1,"",IF(I1903="SBJ","CB","?"))</f>
        <v> </v>
      </c>
      <c r="I1903" s="25" t="str">
        <f>IF(OR(E1903="",E1903="!!!",F1903="NEW"),"",INDEX(B1902:B$2,-1+SUMPRODUCT(MAX(ROW(E1902:E$2)*(E1903=E1902:E$2)))))</f>
        <v> </v>
      </c>
      <c r="J1903" s="25" t="str">
        <f>IF(OR(E1903="",E1903="!!!",F1903="NEW"),"",COUNTBLANK(OFFSET(A$1,,,SUMPRODUCT(MAX(ROW(E$2:E1903)*(E1903=E$2:E1903)))))-COUNTBLANK(OFFSET(A$1,,,SUMPRODUCT(MAX(ROW(E$1:E1902)*(E2=E$1:E1902))))))</f>
        <v> </v>
      </c>
      <c r="K1903" s="25" t="str">
        <f>IF(OR(E1903="",E1903="!!!",F1903="NEW"),"",INDEX(J$1:J1902,SUMPRODUCT(MAX(ROW(E$1:E1902)*(E1903=E$1:E1902)))))</f>
        <v> </v>
      </c>
      <c r="L1903" s="26"/>
    </row>
    <row r="1904" spans="1:12">
      <c r="A1904" s="20" t="s">
        <v>1238</v>
      </c>
      <c r="B1904" s="27" t="s">
        <v>573</v>
      </c>
      <c r="C1904" s="27" t="s">
        <v>523</v>
      </c>
      <c r="D1904" s="27" t="s">
        <v>524</v>
      </c>
      <c r="E1904" s="21">
        <f>IF(D1904="?OLD","!!!","")</f>
        <v/>
      </c>
      <c r="F1904" s="22" t="str">
        <f>IF(OR(E1904="",E1904="!!!"),"",IF(NOT(ISNA(VLOOKUP(E1904,E$1:E1903,1,FALSE()))),"OLD",IF(AND(E1904&lt;&gt;"",E1904&lt;&gt;"!!!"),"NEW","")))</f>
        <v> </v>
      </c>
      <c r="G1904" s="23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4" t="str">
        <f>IF(J1904&lt;&gt;1,"",IF(I1904="SBJ","CB","?"))</f>
        <v> </v>
      </c>
      <c r="I1904" s="25" t="str">
        <f>IF(OR(E1904="",E1904="!!!",F1904="NEW"),"",INDEX(B1903:B$2,-1+SUMPRODUCT(MAX(ROW(E1903:E$2)*(E1904=E1903:E$2)))))</f>
        <v> </v>
      </c>
      <c r="J1904" s="25" t="str">
        <f>IF(OR(E1904="",E1904="!!!",F1904="NEW"),"",COUNTBLANK(OFFSET(A$1,,,SUMPRODUCT(MAX(ROW(E$2:E1904)*(E1904=E$2:E1904)))))-COUNTBLANK(OFFSET(A$1,,,SUMPRODUCT(MAX(ROW(E$1:E1903)*(E2=E$1:E1903))))))</f>
        <v> </v>
      </c>
      <c r="K1904" s="25" t="str">
        <f>IF(OR(E1904="",E1904="!!!",F1904="NEW"),"",INDEX(J$1:J1903,SUMPRODUCT(MAX(ROW(E$1:E1903)*(E1904=E$1:E1903)))))</f>
        <v> </v>
      </c>
      <c r="L1904" s="26"/>
    </row>
    <row r="1905" spans="1:12">
      <c r="A1905" s="20" t="s">
        <v>565</v>
      </c>
      <c r="E1905" s="21">
        <f>IF(D1905="?OLD","!!!","")</f>
        <v/>
      </c>
      <c r="F1905" s="22" t="str">
        <f>IF(OR(E1905="",E1905="!!!"),"",IF(NOT(ISNA(VLOOKUP(E1905,E$1:E1904,1,FALSE()))),"OLD",IF(AND(E1905&lt;&gt;"",E1905&lt;&gt;"!!!"),"NEW","")))</f>
        <v> </v>
      </c>
      <c r="G1905" s="23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4" t="str">
        <f>IF(J1905&lt;&gt;1,"",IF(I1905="SBJ","CB","?"))</f>
        <v> </v>
      </c>
      <c r="I1905" s="25" t="str">
        <f>IF(OR(E1905="",E1905="!!!",F1905="NEW"),"",INDEX(B1904:B$2,-1+SUMPRODUCT(MAX(ROW(E1904:E$2)*(E1905=E1904:E$2)))))</f>
        <v> </v>
      </c>
      <c r="J1905" s="25" t="str">
        <f>IF(OR(E1905="",E1905="!!!",F1905="NEW"),"",COUNTBLANK(OFFSET(A$1,,,SUMPRODUCT(MAX(ROW(E$2:E1905)*(E1905=E$2:E1905)))))-COUNTBLANK(OFFSET(A$1,,,SUMPRODUCT(MAX(ROW(E$1:E1904)*(E2=E$1:E1904))))))</f>
        <v> </v>
      </c>
      <c r="K1905" s="25" t="str">
        <f>IF(OR(E1905="",E1905="!!!",F1905="NEW"),"",INDEX(J$1:J1904,SUMPRODUCT(MAX(ROW(E$1:E1904)*(E1905=E$1:E1904)))))</f>
        <v> </v>
      </c>
      <c r="L1905" s="26"/>
    </row>
    <row r="1906" spans="1:12">
      <c r="A1906" s="20" t="s">
        <v>1239</v>
      </c>
      <c r="E1906" s="21">
        <f>IF(D1906="?OLD","!!!","")</f>
        <v/>
      </c>
      <c r="F1906" s="22" t="str">
        <f>IF(OR(E1906="",E1906="!!!"),"",IF(NOT(ISNA(VLOOKUP(E1906,E$1:E1905,1,FALSE()))),"OLD",IF(AND(E1906&lt;&gt;"",E1906&lt;&gt;"!!!"),"NEW","")))</f>
        <v> </v>
      </c>
      <c r="G1906" s="23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4" t="str">
        <f>IF(J1906&lt;&gt;1,"",IF(I1906="SBJ","CB","?"))</f>
        <v> </v>
      </c>
      <c r="I1906" s="25" t="str">
        <f>IF(OR(E1906="",E1906="!!!",F1906="NEW"),"",INDEX(B1905:B$2,-1+SUMPRODUCT(MAX(ROW(E1905:E$2)*(E1906=E1905:E$2)))))</f>
        <v> </v>
      </c>
      <c r="J1906" s="25" t="str">
        <f>IF(OR(E1906="",E1906="!!!",F1906="NEW"),"",COUNTBLANK(OFFSET(A$1,,,SUMPRODUCT(MAX(ROW(E$2:E1906)*(E1906=E$2:E1906)))))-COUNTBLANK(OFFSET(A$1,,,SUMPRODUCT(MAX(ROW(E$1:E1905)*(E2=E$1:E1905))))))</f>
        <v> </v>
      </c>
      <c r="K1906" s="25" t="str">
        <f>IF(OR(E1906="",E1906="!!!",F1906="NEW"),"",INDEX(J$1:J1905,SUMPRODUCT(MAX(ROW(E$1:E1905)*(E1906=E$1:E1905)))))</f>
        <v> </v>
      </c>
      <c r="L1906" s="26"/>
    </row>
    <row r="1907" spans="1:12">
      <c r="A1907" s="20" t="s">
        <v>1240</v>
      </c>
      <c r="B1907" s="27" t="s">
        <v>743</v>
      </c>
      <c r="C1907" s="27" t="s">
        <v>523</v>
      </c>
      <c r="D1907" s="27" t="s">
        <v>524</v>
      </c>
      <c r="E1907" s="21">
        <f>IF(D1907="?OLD","!!!","")</f>
        <v/>
      </c>
      <c r="F1907" s="22" t="str">
        <f>IF(OR(E1907="",E1907="!!!"),"",IF(NOT(ISNA(VLOOKUP(E1907,E$1:E1906,1,FALSE()))),"OLD",IF(AND(E1907&lt;&gt;"",E1907&lt;&gt;"!!!"),"NEW","")))</f>
        <v> </v>
      </c>
      <c r="G1907" s="23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4" t="str">
        <f>IF(J1907&lt;&gt;1,"",IF(I1907="SBJ","CB","?"))</f>
        <v> </v>
      </c>
      <c r="I1907" s="25" t="str">
        <f>IF(OR(E1907="",E1907="!!!",F1907="NEW"),"",INDEX(B1906:B$2,-1+SUMPRODUCT(MAX(ROW(E1906:E$2)*(E1907=E1906:E$2)))))</f>
        <v> </v>
      </c>
      <c r="J1907" s="25" t="str">
        <f>IF(OR(E1907="",E1907="!!!",F1907="NEW"),"",COUNTBLANK(OFFSET(A$1,,,SUMPRODUCT(MAX(ROW(E$2:E1907)*(E1907=E$2:E1907)))))-COUNTBLANK(OFFSET(A$1,,,SUMPRODUCT(MAX(ROW(E$1:E1906)*(E2=E$1:E1906))))))</f>
        <v> </v>
      </c>
      <c r="K1907" s="25" t="str">
        <f>IF(OR(E1907="",E1907="!!!",F1907="NEW"),"",INDEX(J$1:J1906,SUMPRODUCT(MAX(ROW(E$1:E1906)*(E1907=E$1:E1906)))))</f>
        <v> </v>
      </c>
      <c r="L1907" s="26"/>
    </row>
    <row r="1908" spans="1:12">
      <c r="A1908" s="20" t="s">
        <v>565</v>
      </c>
      <c r="E1908" s="21">
        <f>IF(D1908="?OLD","!!!","")</f>
        <v/>
      </c>
      <c r="F1908" s="22" t="str">
        <f>IF(OR(E1908="",E1908="!!!"),"",IF(NOT(ISNA(VLOOKUP(E1908,E$1:E1907,1,FALSE()))),"OLD",IF(AND(E1908&lt;&gt;"",E1908&lt;&gt;"!!!"),"NEW","")))</f>
        <v> </v>
      </c>
      <c r="G1908" s="23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4" t="str">
        <f>IF(J1908&lt;&gt;1,"",IF(I1908="SBJ","CB","?"))</f>
        <v> </v>
      </c>
      <c r="I1908" s="25" t="str">
        <f>IF(OR(E1908="",E1908="!!!",F1908="NEW"),"",INDEX(B1907:B$2,-1+SUMPRODUCT(MAX(ROW(E1907:E$2)*(E1908=E1907:E$2)))))</f>
        <v> </v>
      </c>
      <c r="J1908" s="25" t="str">
        <f>IF(OR(E1908="",E1908="!!!",F1908="NEW"),"",COUNTBLANK(OFFSET(A$1,,,SUMPRODUCT(MAX(ROW(E$2:E1908)*(E1908=E$2:E1908)))))-COUNTBLANK(OFFSET(A$1,,,SUMPRODUCT(MAX(ROW(E$1:E1907)*(E2=E$1:E1907))))))</f>
        <v> </v>
      </c>
      <c r="K1908" s="25" t="str">
        <f>IF(OR(E1908="",E1908="!!!",F1908="NEW"),"",INDEX(J$1:J1907,SUMPRODUCT(MAX(ROW(E$1:E1907)*(E1908=E$1:E1907)))))</f>
        <v> </v>
      </c>
      <c r="L1908" s="26"/>
    </row>
    <row r="1909" spans="1:12">
      <c r="A1909" s="20" t="s">
        <v>1241</v>
      </c>
      <c r="E1909" s="21">
        <f>IF(D1909="?OLD","!!!","")</f>
        <v/>
      </c>
      <c r="F1909" s="22" t="str">
        <f>IF(OR(E1909="",E1909="!!!"),"",IF(NOT(ISNA(VLOOKUP(E1909,E$1:E1908,1,FALSE()))),"OLD",IF(AND(E1909&lt;&gt;"",E1909&lt;&gt;"!!!"),"NEW","")))</f>
        <v> </v>
      </c>
      <c r="G1909" s="23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4" t="str">
        <f>IF(J1909&lt;&gt;1,"",IF(I1909="SBJ","CB","?"))</f>
        <v> </v>
      </c>
      <c r="I1909" s="25" t="str">
        <f>IF(OR(E1909="",E1909="!!!",F1909="NEW"),"",INDEX(B1908:B$2,-1+SUMPRODUCT(MAX(ROW(E1908:E$2)*(E1909=E1908:E$2)))))</f>
        <v> </v>
      </c>
      <c r="J1909" s="25" t="str">
        <f>IF(OR(E1909="",E1909="!!!",F1909="NEW"),"",COUNTBLANK(OFFSET(A$1,,,SUMPRODUCT(MAX(ROW(E$2:E1909)*(E1909=E$2:E1909)))))-COUNTBLANK(OFFSET(A$1,,,SUMPRODUCT(MAX(ROW(E$1:E1908)*(E2=E$1:E1908))))))</f>
        <v> </v>
      </c>
      <c r="K1909" s="25" t="str">
        <f>IF(OR(E1909="",E1909="!!!",F1909="NEW"),"",INDEX(J$1:J1908,SUMPRODUCT(MAX(ROW(E$1:E1908)*(E1909=E$1:E1908)))))</f>
        <v> </v>
      </c>
      <c r="L1909" s="26"/>
    </row>
    <row r="1910" spans="1:12">
      <c r="A1910" s="20" t="s">
        <v>1237</v>
      </c>
      <c r="B1910" s="27" t="s">
        <v>522</v>
      </c>
      <c r="C1910" s="27" t="s">
        <v>523</v>
      </c>
      <c r="D1910" s="27" t="s">
        <v>524</v>
      </c>
      <c r="E1910" s="21">
        <f>IF(D1910="?OLD","!!!","")</f>
        <v/>
      </c>
      <c r="F1910" s="22" t="str">
        <f>IF(OR(E1910="",E1910="!!!"),"",IF(NOT(ISNA(VLOOKUP(E1910,E$1:E1909,1,FALSE()))),"OLD",IF(AND(E1910&lt;&gt;"",E1910&lt;&gt;"!!!"),"NEW","")))</f>
        <v> </v>
      </c>
      <c r="G1910" s="23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4" t="str">
        <f>IF(J1910&lt;&gt;1,"",IF(I1910="SBJ","CB","?"))</f>
        <v> </v>
      </c>
      <c r="I1910" s="25" t="str">
        <f>IF(OR(E1910="",E1910="!!!",F1910="NEW"),"",INDEX(B1909:B$2,-1+SUMPRODUCT(MAX(ROW(E1909:E$2)*(E1910=E1909:E$2)))))</f>
        <v> </v>
      </c>
      <c r="J1910" s="25" t="str">
        <f>IF(OR(E1910="",E1910="!!!",F1910="NEW"),"",COUNTBLANK(OFFSET(A$1,,,SUMPRODUCT(MAX(ROW(E$2:E1910)*(E1910=E$2:E1910)))))-COUNTBLANK(OFFSET(A$1,,,SUMPRODUCT(MAX(ROW(E$1:E1909)*(E2=E$1:E1909))))))</f>
        <v> </v>
      </c>
      <c r="K1910" s="25" t="str">
        <f>IF(OR(E1910="",E1910="!!!",F1910="NEW"),"",INDEX(J$1:J1909,SUMPRODUCT(MAX(ROW(E$1:E1909)*(E1910=E$1:E1909)))))</f>
        <v> </v>
      </c>
      <c r="L1910" s="26"/>
    </row>
    <row r="1911" spans="1:12">
      <c r="A1911" s="20" t="s">
        <v>577</v>
      </c>
      <c r="E1911" s="21">
        <f>IF(D1911="?OLD","!!!","")</f>
        <v/>
      </c>
      <c r="F1911" s="22" t="str">
        <f>IF(OR(E1911="",E1911="!!!"),"",IF(NOT(ISNA(VLOOKUP(E1911,E$1:E1910,1,FALSE()))),"OLD",IF(AND(E1911&lt;&gt;"",E1911&lt;&gt;"!!!"),"NEW","")))</f>
        <v> </v>
      </c>
      <c r="G1911" s="23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4" t="str">
        <f>IF(J1911&lt;&gt;1,"",IF(I1911="SBJ","CB","?"))</f>
        <v> </v>
      </c>
      <c r="I1911" s="25" t="str">
        <f>IF(OR(E1911="",E1911="!!!",F1911="NEW"),"",INDEX(B1910:B$2,-1+SUMPRODUCT(MAX(ROW(E1910:E$2)*(E1911=E1910:E$2)))))</f>
        <v> </v>
      </c>
      <c r="J1911" s="25" t="str">
        <f>IF(OR(E1911="",E1911="!!!",F1911="NEW"),"",COUNTBLANK(OFFSET(A$1,,,SUMPRODUCT(MAX(ROW(E$2:E1911)*(E1911=E$2:E1911)))))-COUNTBLANK(OFFSET(A$1,,,SUMPRODUCT(MAX(ROW(E$1:E1910)*(E2=E$1:E1910))))))</f>
        <v> </v>
      </c>
      <c r="K1911" s="25" t="str">
        <f>IF(OR(E1911="",E1911="!!!",F1911="NEW"),"",INDEX(J$1:J1910,SUMPRODUCT(MAX(ROW(E$1:E1910)*(E1911=E$1:E1910)))))</f>
        <v> </v>
      </c>
      <c r="L1911" s="26"/>
    </row>
    <row r="1912" spans="1:12">
      <c r="A1912" s="20" t="s">
        <v>1238</v>
      </c>
      <c r="B1912" s="27" t="s">
        <v>597</v>
      </c>
      <c r="C1912" s="27" t="s">
        <v>523</v>
      </c>
      <c r="D1912" s="27" t="s">
        <v>524</v>
      </c>
      <c r="E1912" s="21">
        <f>IF(D1912="?OLD","!!!","")</f>
        <v/>
      </c>
      <c r="F1912" s="22" t="str">
        <f>IF(OR(E1912="",E1912="!!!"),"",IF(NOT(ISNA(VLOOKUP(E1912,E$1:E1911,1,FALSE()))),"OLD",IF(AND(E1912&lt;&gt;"",E1912&lt;&gt;"!!!"),"NEW","")))</f>
        <v> </v>
      </c>
      <c r="G1912" s="23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4" t="str">
        <f>IF(J1912&lt;&gt;1,"",IF(I1912="SBJ","CB","?"))</f>
        <v> </v>
      </c>
      <c r="I1912" s="25" t="str">
        <f>IF(OR(E1912="",E1912="!!!",F1912="NEW"),"",INDEX(B1911:B$2,-1+SUMPRODUCT(MAX(ROW(E1911:E$2)*(E1912=E1911:E$2)))))</f>
        <v> </v>
      </c>
      <c r="J1912" s="25" t="str">
        <f>IF(OR(E1912="",E1912="!!!",F1912="NEW"),"",COUNTBLANK(OFFSET(A$1,,,SUMPRODUCT(MAX(ROW(E$2:E1912)*(E1912=E$2:E1912)))))-COUNTBLANK(OFFSET(A$1,,,SUMPRODUCT(MAX(ROW(E$1:E1911)*(E2=E$1:E1911))))))</f>
        <v> </v>
      </c>
      <c r="K1912" s="25" t="str">
        <f>IF(OR(E1912="",E1912="!!!",F1912="NEW"),"",INDEX(J$1:J1911,SUMPRODUCT(MAX(ROW(E$1:E1911)*(E1912=E$1:E1911)))))</f>
        <v> </v>
      </c>
      <c r="L1912" s="26"/>
    </row>
    <row r="1913" spans="1:12">
      <c r="A1913" s="20" t="s">
        <v>916</v>
      </c>
      <c r="E1913" s="21">
        <f>IF(D1913="?OLD","!!!","")</f>
        <v/>
      </c>
      <c r="F1913" s="22" t="str">
        <f>IF(OR(E1913="",E1913="!!!"),"",IF(NOT(ISNA(VLOOKUP(E1913,E$1:E1912,1,FALSE()))),"OLD",IF(AND(E1913&lt;&gt;"",E1913&lt;&gt;"!!!"),"NEW","")))</f>
        <v> </v>
      </c>
      <c r="G1913" s="23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4" t="str">
        <f>IF(J1913&lt;&gt;1,"",IF(I1913="SBJ","CB","?"))</f>
        <v> </v>
      </c>
      <c r="I1913" s="25" t="str">
        <f>IF(OR(E1913="",E1913="!!!",F1913="NEW"),"",INDEX(B1912:B$2,-1+SUMPRODUCT(MAX(ROW(E1912:E$2)*(E1913=E1912:E$2)))))</f>
        <v> </v>
      </c>
      <c r="J1913" s="25" t="str">
        <f>IF(OR(E1913="",E1913="!!!",F1913="NEW"),"",COUNTBLANK(OFFSET(A$1,,,SUMPRODUCT(MAX(ROW(E$2:E1913)*(E1913=E$2:E1913)))))-COUNTBLANK(OFFSET(A$1,,,SUMPRODUCT(MAX(ROW(E$1:E1912)*(E2=E$1:E1912))))))</f>
        <v> </v>
      </c>
      <c r="K1913" s="25" t="str">
        <f>IF(OR(E1913="",E1913="!!!",F1913="NEW"),"",INDEX(J$1:J1912,SUMPRODUCT(MAX(ROW(E$1:E1912)*(E1913=E$1:E1912)))))</f>
        <v> </v>
      </c>
      <c r="L1913" s="26"/>
    </row>
    <row r="1914" spans="1:12">
      <c r="A1914" s="20" t="s">
        <v>541</v>
      </c>
      <c r="E1914" s="21">
        <f>IF(D1914="?OLD","!!!","")</f>
        <v/>
      </c>
      <c r="F1914" s="22" t="str">
        <f>IF(OR(E1914="",E1914="!!!"),"",IF(NOT(ISNA(VLOOKUP(E1914,E$1:E1913,1,FALSE()))),"OLD",IF(AND(E1914&lt;&gt;"",E1914&lt;&gt;"!!!"),"NEW","")))</f>
        <v> </v>
      </c>
      <c r="G1914" s="23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4" t="str">
        <f>IF(J1914&lt;&gt;1,"",IF(I1914="SBJ","CB","?"))</f>
        <v> </v>
      </c>
      <c r="I1914" s="25" t="str">
        <f>IF(OR(E1914="",E1914="!!!",F1914="NEW"),"",INDEX(B1913:B$2,-1+SUMPRODUCT(MAX(ROW(E1913:E$2)*(E1914=E1913:E$2)))))</f>
        <v> </v>
      </c>
      <c r="J1914" s="25" t="str">
        <f>IF(OR(E1914="",E1914="!!!",F1914="NEW"),"",COUNTBLANK(OFFSET(A$1,,,SUMPRODUCT(MAX(ROW(E$2:E1914)*(E1914=E$2:E1914)))))-COUNTBLANK(OFFSET(A$1,,,SUMPRODUCT(MAX(ROW(E$1:E1913)*(E2=E$1:E1913))))))</f>
        <v> </v>
      </c>
      <c r="K1914" s="25" t="str">
        <f>IF(OR(E1914="",E1914="!!!",F1914="NEW"),"",INDEX(J$1:J1913,SUMPRODUCT(MAX(ROW(E$1:E1913)*(E1914=E$1:E1913)))))</f>
        <v> </v>
      </c>
      <c r="L1914" s="26"/>
    </row>
    <row r="1915" spans="1:12">
      <c r="A1915" s="20" t="s">
        <v>1242</v>
      </c>
      <c r="E1915" s="21">
        <f>IF(D1915="?OLD","!!!","")</f>
        <v/>
      </c>
      <c r="F1915" s="22" t="str">
        <f>IF(OR(E1915="",E1915="!!!"),"",IF(NOT(ISNA(VLOOKUP(E1915,E$1:E1914,1,FALSE()))),"OLD",IF(AND(E1915&lt;&gt;"",E1915&lt;&gt;"!!!"),"NEW","")))</f>
        <v> </v>
      </c>
      <c r="G1915" s="23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4" t="str">
        <f>IF(J1915&lt;&gt;1,"",IF(I1915="SBJ","CB","?"))</f>
        <v> </v>
      </c>
      <c r="I1915" s="25" t="str">
        <f>IF(OR(E1915="",E1915="!!!",F1915="NEW"),"",INDEX(B1914:B$2,-1+SUMPRODUCT(MAX(ROW(E1914:E$2)*(E1915=E1914:E$2)))))</f>
        <v> </v>
      </c>
      <c r="J1915" s="25" t="str">
        <f>IF(OR(E1915="",E1915="!!!",F1915="NEW"),"",COUNTBLANK(OFFSET(A$1,,,SUMPRODUCT(MAX(ROW(E$2:E1915)*(E1915=E$2:E1915)))))-COUNTBLANK(OFFSET(A$1,,,SUMPRODUCT(MAX(ROW(E$1:E1914)*(E2=E$1:E1914))))))</f>
        <v> </v>
      </c>
      <c r="K1915" s="25" t="str">
        <f>IF(OR(E1915="",E1915="!!!",F1915="NEW"),"",INDEX(J$1:J1914,SUMPRODUCT(MAX(ROW(E$1:E1914)*(E1915=E$1:E1914)))))</f>
        <v> </v>
      </c>
      <c r="L1915" s="26"/>
    </row>
    <row r="1916" spans="1:12">
      <c r="A1916" s="20" t="s">
        <v>538</v>
      </c>
      <c r="E1916" s="21">
        <f>IF(D1916="?OLD","!!!","")</f>
        <v/>
      </c>
      <c r="F1916" s="22" t="str">
        <f>IF(OR(E1916="",E1916="!!!"),"",IF(NOT(ISNA(VLOOKUP(E1916,E$1:E1915,1,FALSE()))),"OLD",IF(AND(E1916&lt;&gt;"",E1916&lt;&gt;"!!!"),"NEW","")))</f>
        <v> </v>
      </c>
      <c r="G1916" s="23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4" t="str">
        <f>IF(J1916&lt;&gt;1,"",IF(I1916="SBJ","CB","?"))</f>
        <v> </v>
      </c>
      <c r="I1916" s="25" t="str">
        <f>IF(OR(E1916="",E1916="!!!",F1916="NEW"),"",INDEX(B1915:B$2,-1+SUMPRODUCT(MAX(ROW(E1915:E$2)*(E1916=E1915:E$2)))))</f>
        <v> </v>
      </c>
      <c r="J1916" s="25" t="str">
        <f>IF(OR(E1916="",E1916="!!!",F1916="NEW"),"",COUNTBLANK(OFFSET(A$1,,,SUMPRODUCT(MAX(ROW(E$2:E1916)*(E1916=E$2:E1916)))))-COUNTBLANK(OFFSET(A$1,,,SUMPRODUCT(MAX(ROW(E$1:E1915)*(E2=E$1:E1915))))))</f>
        <v> </v>
      </c>
      <c r="K1916" s="25" t="str">
        <f>IF(OR(E1916="",E1916="!!!",F1916="NEW"),"",INDEX(J$1:J1915,SUMPRODUCT(MAX(ROW(E$1:E1915)*(E1916=E$1:E1915)))))</f>
        <v> </v>
      </c>
      <c r="L1916" s="26"/>
    </row>
    <row r="1917" spans="1:12">
      <c r="A1917" s="20" t="s">
        <v>1243</v>
      </c>
      <c r="B1917" s="27" t="s">
        <v>556</v>
      </c>
      <c r="C1917" s="27" t="s">
        <v>540</v>
      </c>
      <c r="D1917" s="27" t="s">
        <v>524</v>
      </c>
      <c r="E1917" s="21">
        <f>IF(D1917="?OLD","!!!","")</f>
        <v/>
      </c>
      <c r="F1917" s="22" t="str">
        <f>IF(OR(E1917="",E1917="!!!"),"",IF(NOT(ISNA(VLOOKUP(E1917,E$1:E1916,1,FALSE()))),"OLD",IF(AND(E1917&lt;&gt;"",E1917&lt;&gt;"!!!"),"NEW","")))</f>
        <v> </v>
      </c>
      <c r="G1917" s="23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4" t="str">
        <f>IF(J1917&lt;&gt;1,"",IF(I1917="SBJ","CB","?"))</f>
        <v> </v>
      </c>
      <c r="I1917" s="25" t="str">
        <f>IF(OR(E1917="",E1917="!!!",F1917="NEW"),"",INDEX(B1916:B$2,-1+SUMPRODUCT(MAX(ROW(E1916:E$2)*(E1917=E1916:E$2)))))</f>
        <v> </v>
      </c>
      <c r="J1917" s="25" t="str">
        <f>IF(OR(E1917="",E1917="!!!",F1917="NEW"),"",COUNTBLANK(OFFSET(A$1,,,SUMPRODUCT(MAX(ROW(E$2:E1917)*(E1917=E$2:E1917)))))-COUNTBLANK(OFFSET(A$1,,,SUMPRODUCT(MAX(ROW(E$1:E1916)*(E2=E$1:E1916))))))</f>
        <v> </v>
      </c>
      <c r="K1917" s="25" t="str">
        <f>IF(OR(E1917="",E1917="!!!",F1917="NEW"),"",INDEX(J$1:J1916,SUMPRODUCT(MAX(ROW(E$1:E1916)*(E1917=E$1:E1916)))))</f>
        <v> </v>
      </c>
      <c r="L1917" s="26"/>
    </row>
    <row r="1918" spans="1:12">
      <c r="A1918" s="20" t="s">
        <v>518</v>
      </c>
      <c r="E1918" s="21">
        <f>IF(D1918="?OLD","!!!","")</f>
        <v/>
      </c>
      <c r="F1918" s="22" t="str">
        <f>IF(OR(E1918="",E1918="!!!"),"",IF(NOT(ISNA(VLOOKUP(E1918,E$1:E1917,1,FALSE()))),"OLD",IF(AND(E1918&lt;&gt;"",E1918&lt;&gt;"!!!"),"NEW","")))</f>
        <v> </v>
      </c>
      <c r="G1918" s="23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4" t="str">
        <f>IF(J1918&lt;&gt;1,"",IF(I1918="SBJ","CB","?"))</f>
        <v> </v>
      </c>
      <c r="I1918" s="25" t="str">
        <f>IF(OR(E1918="",E1918="!!!",F1918="NEW"),"",INDEX(B1917:B$2,-1+SUMPRODUCT(MAX(ROW(E1917:E$2)*(E1918=E1917:E$2)))))</f>
        <v> </v>
      </c>
      <c r="J1918" s="25" t="str">
        <f>IF(OR(E1918="",E1918="!!!",F1918="NEW"),"",COUNTBLANK(OFFSET(A$1,,,SUMPRODUCT(MAX(ROW(E$2:E1918)*(E1918=E$2:E1918)))))-COUNTBLANK(OFFSET(A$1,,,SUMPRODUCT(MAX(ROW(E$1:E1917)*(E2=E$1:E1917))))))</f>
        <v> </v>
      </c>
      <c r="K1918" s="25" t="str">
        <f>IF(OR(E1918="",E1918="!!!",F1918="NEW"),"",INDEX(J$1:J1917,SUMPRODUCT(MAX(ROW(E$1:E1917)*(E1918=E$1:E1917)))))</f>
        <v> </v>
      </c>
      <c r="L1918" s="26"/>
    </row>
    <row r="1919" spans="1:12">
      <c r="A1919" s="20" t="s">
        <v>1244</v>
      </c>
      <c r="B1919" s="27" t="s">
        <v>534</v>
      </c>
      <c r="C1919" s="27" t="s">
        <v>564</v>
      </c>
      <c r="E1919" s="21">
        <f>IF(D1919="?OLD","!!!","")</f>
        <v/>
      </c>
      <c r="F1919" s="22" t="str">
        <f>IF(OR(E1919="",E1919="!!!"),"",IF(NOT(ISNA(VLOOKUP(E1919,E$1:E1918,1,FALSE()))),"OLD",IF(AND(E1919&lt;&gt;"",E1919&lt;&gt;"!!!"),"NEW","")))</f>
        <v> </v>
      </c>
      <c r="G1919" s="23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4" t="str">
        <f>IF(J1919&lt;&gt;1,"",IF(I1919="SBJ","CB","?"))</f>
        <v> </v>
      </c>
      <c r="I1919" s="25" t="str">
        <f>IF(OR(E1919="",E1919="!!!",F1919="NEW"),"",INDEX(B1918:B$2,-1+SUMPRODUCT(MAX(ROW(E1918:E$2)*(E1919=E1918:E$2)))))</f>
        <v> </v>
      </c>
      <c r="J1919" s="25" t="str">
        <f>IF(OR(E1919="",E1919="!!!",F1919="NEW"),"",COUNTBLANK(OFFSET(A$1,,,SUMPRODUCT(MAX(ROW(E$2:E1919)*(E1919=E$2:E1919)))))-COUNTBLANK(OFFSET(A$1,,,SUMPRODUCT(MAX(ROW(E$1:E1918)*(E2=E$1:E1918))))))</f>
        <v> </v>
      </c>
      <c r="K1919" s="25" t="str">
        <f>IF(OR(E1919="",E1919="!!!",F1919="NEW"),"",INDEX(J$1:J1918,SUMPRODUCT(MAX(ROW(E$1:E1918)*(E1919=E$1:E1918)))))</f>
        <v> </v>
      </c>
      <c r="L1919" s="26"/>
    </row>
    <row r="1920" spans="1:12">
      <c r="A1920" s="20" t="s">
        <v>581</v>
      </c>
      <c r="E1920" s="21">
        <f>IF(D1920="?OLD","!!!","")</f>
        <v/>
      </c>
      <c r="F1920" s="22" t="str">
        <f>IF(OR(E1920="",E1920="!!!"),"",IF(NOT(ISNA(VLOOKUP(E1920,E$1:E1919,1,FALSE()))),"OLD",IF(AND(E1920&lt;&gt;"",E1920&lt;&gt;"!!!"),"NEW","")))</f>
        <v> </v>
      </c>
      <c r="G1920" s="23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4" t="str">
        <f>IF(J1920&lt;&gt;1,"",IF(I1920="SBJ","CB","?"))</f>
        <v> </v>
      </c>
      <c r="I1920" s="25" t="str">
        <f>IF(OR(E1920="",E1920="!!!",F1920="NEW"),"",INDEX(B1919:B$2,-1+SUMPRODUCT(MAX(ROW(E1919:E$2)*(E1920=E1919:E$2)))))</f>
        <v> </v>
      </c>
      <c r="J1920" s="25" t="str">
        <f>IF(OR(E1920="",E1920="!!!",F1920="NEW"),"",COUNTBLANK(OFFSET(A$1,,,SUMPRODUCT(MAX(ROW(E$2:E1920)*(E1920=E$2:E1920)))))-COUNTBLANK(OFFSET(A$1,,,SUMPRODUCT(MAX(ROW(E$1:E1919)*(E2=E$1:E1919))))))</f>
        <v> </v>
      </c>
      <c r="K1920" s="25" t="str">
        <f>IF(OR(E1920="",E1920="!!!",F1920="NEW"),"",INDEX(J$1:J1919,SUMPRODUCT(MAX(ROW(E$1:E1919)*(E1920=E$1:E1919)))))</f>
        <v> </v>
      </c>
      <c r="L1920" s="26"/>
    </row>
    <row r="1921" spans="1:12">
      <c r="A1921" s="20" t="s">
        <v>916</v>
      </c>
      <c r="E1921" s="21">
        <f>IF(D1921="?OLD","!!!","")</f>
        <v/>
      </c>
      <c r="F1921" s="22" t="str">
        <f>IF(OR(E1921="",E1921="!!!"),"",IF(NOT(ISNA(VLOOKUP(E1921,E$1:E1920,1,FALSE()))),"OLD",IF(AND(E1921&lt;&gt;"",E1921&lt;&gt;"!!!"),"NEW","")))</f>
        <v> </v>
      </c>
      <c r="G1921" s="23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4" t="str">
        <f>IF(J1921&lt;&gt;1,"",IF(I1921="SBJ","CB","?"))</f>
        <v> </v>
      </c>
      <c r="I1921" s="25" t="str">
        <f>IF(OR(E1921="",E1921="!!!",F1921="NEW"),"",INDEX(B1920:B$2,-1+SUMPRODUCT(MAX(ROW(E1920:E$2)*(E1921=E1920:E$2)))))</f>
        <v> </v>
      </c>
      <c r="J1921" s="25" t="str">
        <f>IF(OR(E1921="",E1921="!!!",F1921="NEW"),"",COUNTBLANK(OFFSET(A$1,,,SUMPRODUCT(MAX(ROW(E$2:E1921)*(E1921=E$2:E1921)))))-COUNTBLANK(OFFSET(A$1,,,SUMPRODUCT(MAX(ROW(E$1:E1920)*(E2=E$1:E1920))))))</f>
        <v> </v>
      </c>
      <c r="K1921" s="25" t="str">
        <f>IF(OR(E1921="",E1921="!!!",F1921="NEW"),"",INDEX(J$1:J1920,SUMPRODUCT(MAX(ROW(E$1:E1920)*(E1921=E$1:E1920)))))</f>
        <v> </v>
      </c>
      <c r="L1921" s="26"/>
    </row>
    <row r="1922" spans="1:12">
      <c r="A1922" s="20" t="s">
        <v>813</v>
      </c>
      <c r="E1922" s="21">
        <f>IF(D1922="?OLD","!!!","")</f>
        <v/>
      </c>
      <c r="F1922" s="22" t="str">
        <f>IF(OR(E1922="",E1922="!!!"),"",IF(NOT(ISNA(VLOOKUP(E1922,E$1:E1921,1,FALSE()))),"OLD",IF(AND(E1922&lt;&gt;"",E1922&lt;&gt;"!!!"),"NEW","")))</f>
        <v> </v>
      </c>
      <c r="G1922" s="23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4" t="str">
        <f>IF(J1922&lt;&gt;1,"",IF(I1922="SBJ","CB","?"))</f>
        <v> </v>
      </c>
      <c r="I1922" s="25" t="str">
        <f>IF(OR(E1922="",E1922="!!!",F1922="NEW"),"",INDEX(B1921:B$2,-1+SUMPRODUCT(MAX(ROW(E1921:E$2)*(E1922=E1921:E$2)))))</f>
        <v> </v>
      </c>
      <c r="J1922" s="25" t="str">
        <f>IF(OR(E1922="",E1922="!!!",F1922="NEW"),"",COUNTBLANK(OFFSET(A$1,,,SUMPRODUCT(MAX(ROW(E$2:E1922)*(E1922=E$2:E1922)))))-COUNTBLANK(OFFSET(A$1,,,SUMPRODUCT(MAX(ROW(E$1:E1921)*(E2=E$1:E1921))))))</f>
        <v> </v>
      </c>
      <c r="K1922" s="25" t="str">
        <f>IF(OR(E1922="",E1922="!!!",F1922="NEW"),"",INDEX(J$1:J1921,SUMPRODUCT(MAX(ROW(E$1:E1921)*(E1922=E$1:E1921)))))</f>
        <v> </v>
      </c>
      <c r="L1922" s="26"/>
    </row>
    <row r="1923" spans="1:12">
      <c r="A1923" s="20" t="s">
        <v>1192</v>
      </c>
      <c r="E1923" s="21">
        <f>IF(D1923="?OLD","!!!","")</f>
        <v/>
      </c>
      <c r="F1923" s="22" t="str">
        <f>IF(OR(E1923="",E1923="!!!"),"",IF(NOT(ISNA(VLOOKUP(E1923,E$1:E1922,1,FALSE()))),"OLD",IF(AND(E1923&lt;&gt;"",E1923&lt;&gt;"!!!"),"NEW","")))</f>
        <v> </v>
      </c>
      <c r="G1923" s="23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4" t="str">
        <f>IF(J1923&lt;&gt;1,"",IF(I1923="SBJ","CB","?"))</f>
        <v> </v>
      </c>
      <c r="I1923" s="25" t="str">
        <f>IF(OR(E1923="",E1923="!!!",F1923="NEW"),"",INDEX(B1922:B$2,-1+SUMPRODUCT(MAX(ROW(E1922:E$2)*(E1923=E1922:E$2)))))</f>
        <v> </v>
      </c>
      <c r="J1923" s="25" t="str">
        <f>IF(OR(E1923="",E1923="!!!",F1923="NEW"),"",COUNTBLANK(OFFSET(A$1,,,SUMPRODUCT(MAX(ROW(E$2:E1923)*(E1923=E$2:E1923)))))-COUNTBLANK(OFFSET(A$1,,,SUMPRODUCT(MAX(ROW(E$1:E1922)*(E2=E$1:E1922))))))</f>
        <v> </v>
      </c>
      <c r="K1923" s="25" t="str">
        <f>IF(OR(E1923="",E1923="!!!",F1923="NEW"),"",INDEX(J$1:J1922,SUMPRODUCT(MAX(ROW(E$1:E1922)*(E1923=E$1:E1922)))))</f>
        <v> </v>
      </c>
      <c r="L1923" s="26"/>
    </row>
    <row r="1924" spans="1:12">
      <c r="A1924" s="20" t="s">
        <v>926</v>
      </c>
      <c r="E1924" s="21">
        <f>IF(D1924="?OLD","!!!","")</f>
        <v/>
      </c>
      <c r="F1924" s="22" t="str">
        <f>IF(OR(E1924="",E1924="!!!"),"",IF(NOT(ISNA(VLOOKUP(E1924,E$1:E1923,1,FALSE()))),"OLD",IF(AND(E1924&lt;&gt;"",E1924&lt;&gt;"!!!"),"NEW","")))</f>
        <v> </v>
      </c>
      <c r="G1924" s="23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4" t="str">
        <f>IF(J1924&lt;&gt;1,"",IF(I1924="SBJ","CB","?"))</f>
        <v> </v>
      </c>
      <c r="I1924" s="25" t="str">
        <f>IF(OR(E1924="",E1924="!!!",F1924="NEW"),"",INDEX(B1923:B$2,-1+SUMPRODUCT(MAX(ROW(E1923:E$2)*(E1924=E1923:E$2)))))</f>
        <v> </v>
      </c>
      <c r="J1924" s="25" t="str">
        <f>IF(OR(E1924="",E1924="!!!",F1924="NEW"),"",COUNTBLANK(OFFSET(A$1,,,SUMPRODUCT(MAX(ROW(E$2:E1924)*(E1924=E$2:E1924)))))-COUNTBLANK(OFFSET(A$1,,,SUMPRODUCT(MAX(ROW(E$1:E1923)*(E2=E$1:E1923))))))</f>
        <v> </v>
      </c>
      <c r="K1924" s="25" t="str">
        <f>IF(OR(E1924="",E1924="!!!",F1924="NEW"),"",INDEX(J$1:J1923,SUMPRODUCT(MAX(ROW(E$1:E1923)*(E1924=E$1:E1923)))))</f>
        <v> </v>
      </c>
      <c r="L1924" s="26"/>
    </row>
    <row r="1925" spans="1:12">
      <c r="A1925" s="20" t="s">
        <v>1245</v>
      </c>
      <c r="E1925" s="21">
        <f>IF(D1925="?OLD","!!!","")</f>
        <v/>
      </c>
      <c r="F1925" s="22" t="str">
        <f>IF(OR(E1925="",E1925="!!!"),"",IF(NOT(ISNA(VLOOKUP(E1925,E$1:E1924,1,FALSE()))),"OLD",IF(AND(E1925&lt;&gt;"",E1925&lt;&gt;"!!!"),"NEW","")))</f>
        <v> </v>
      </c>
      <c r="G1925" s="23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4" t="str">
        <f>IF(J1925&lt;&gt;1,"",IF(I1925="SBJ","CB","?"))</f>
        <v> </v>
      </c>
      <c r="I1925" s="25" t="str">
        <f>IF(OR(E1925="",E1925="!!!",F1925="NEW"),"",INDEX(B1924:B$2,-1+SUMPRODUCT(MAX(ROW(E1924:E$2)*(E1925=E1924:E$2)))))</f>
        <v> </v>
      </c>
      <c r="J1925" s="25" t="str">
        <f>IF(OR(E1925="",E1925="!!!",F1925="NEW"),"",COUNTBLANK(OFFSET(A$1,,,SUMPRODUCT(MAX(ROW(E$2:E1925)*(E1925=E$2:E1925)))))-COUNTBLANK(OFFSET(A$1,,,SUMPRODUCT(MAX(ROW(E$1:E1924)*(E2=E$1:E1924))))))</f>
        <v> </v>
      </c>
      <c r="K1925" s="25" t="str">
        <f>IF(OR(E1925="",E1925="!!!",F1925="NEW"),"",INDEX(J$1:J1924,SUMPRODUCT(MAX(ROW(E$1:E1924)*(E1925=E$1:E1924)))))</f>
        <v> </v>
      </c>
      <c r="L1925" s="26"/>
    </row>
    <row r="1926" spans="1:12">
      <c r="A1926" s="20" t="s">
        <v>520</v>
      </c>
      <c r="E1926" s="21">
        <f>IF(D1926="?OLD","!!!","")</f>
        <v/>
      </c>
      <c r="F1926" s="22" t="str">
        <f>IF(OR(E1926="",E1926="!!!"),"",IF(NOT(ISNA(VLOOKUP(E1926,E$1:E1925,1,FALSE()))),"OLD",IF(AND(E1926&lt;&gt;"",E1926&lt;&gt;"!!!"),"NEW","")))</f>
        <v> </v>
      </c>
      <c r="G1926" s="23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4" t="str">
        <f>IF(J1926&lt;&gt;1,"",IF(I1926="SBJ","CB","?"))</f>
        <v> </v>
      </c>
      <c r="I1926" s="25" t="str">
        <f>IF(OR(E1926="",E1926="!!!",F1926="NEW"),"",INDEX(B1925:B$2,-1+SUMPRODUCT(MAX(ROW(E1925:E$2)*(E1926=E1925:E$2)))))</f>
        <v> </v>
      </c>
      <c r="J1926" s="25" t="str">
        <f>IF(OR(E1926="",E1926="!!!",F1926="NEW"),"",COUNTBLANK(OFFSET(A$1,,,SUMPRODUCT(MAX(ROW(E$2:E1926)*(E1926=E$2:E1926)))))-COUNTBLANK(OFFSET(A$1,,,SUMPRODUCT(MAX(ROW(E$1:E1925)*(E2=E$1:E1925))))))</f>
        <v> </v>
      </c>
      <c r="K1926" s="25" t="str">
        <f>IF(OR(E1926="",E1926="!!!",F1926="NEW"),"",INDEX(J$1:J1925,SUMPRODUCT(MAX(ROW(E$1:E1925)*(E1926=E$1:E1925)))))</f>
        <v> </v>
      </c>
      <c r="L1926" s="26"/>
    </row>
    <row r="1927" spans="1:12">
      <c r="A1927" s="20" t="s">
        <v>1238</v>
      </c>
      <c r="B1927" s="27" t="s">
        <v>573</v>
      </c>
      <c r="C1927" s="27" t="s">
        <v>523</v>
      </c>
      <c r="D1927" s="27" t="s">
        <v>524</v>
      </c>
      <c r="E1927" s="21">
        <f>IF(D1927="?OLD","!!!","")</f>
        <v/>
      </c>
      <c r="F1927" s="22" t="str">
        <f>IF(OR(E1927="",E1927="!!!"),"",IF(NOT(ISNA(VLOOKUP(E1927,E$1:E1926,1,FALSE()))),"OLD",IF(AND(E1927&lt;&gt;"",E1927&lt;&gt;"!!!"),"NEW","")))</f>
        <v> </v>
      </c>
      <c r="G1927" s="23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4" t="str">
        <f>IF(J1927&lt;&gt;1,"",IF(I1927="SBJ","CB","?"))</f>
        <v> </v>
      </c>
      <c r="I1927" s="25" t="str">
        <f>IF(OR(E1927="",E1927="!!!",F1927="NEW"),"",INDEX(B1926:B$2,-1+SUMPRODUCT(MAX(ROW(E1926:E$2)*(E1927=E1926:E$2)))))</f>
        <v> </v>
      </c>
      <c r="J1927" s="25" t="str">
        <f>IF(OR(E1927="",E1927="!!!",F1927="NEW"),"",COUNTBLANK(OFFSET(A$1,,,SUMPRODUCT(MAX(ROW(E$2:E1927)*(E1927=E$2:E1927)))))-COUNTBLANK(OFFSET(A$1,,,SUMPRODUCT(MAX(ROW(E$1:E1926)*(E2=E$1:E1926))))))</f>
        <v> </v>
      </c>
      <c r="K1927" s="25" t="str">
        <f>IF(OR(E1927="",E1927="!!!",F1927="NEW"),"",INDEX(J$1:J1926,SUMPRODUCT(MAX(ROW(E$1:E1926)*(E1927=E$1:E1926)))))</f>
        <v> </v>
      </c>
      <c r="L1927" s="26"/>
    </row>
    <row r="1928" spans="1:12">
      <c r="A1928" s="20" t="s">
        <v>549</v>
      </c>
      <c r="E1928" s="21">
        <f>IF(D1928="?OLD","!!!","")</f>
        <v/>
      </c>
      <c r="F1928" s="22" t="str">
        <f>IF(OR(E1928="",E1928="!!!"),"",IF(NOT(ISNA(VLOOKUP(E1928,E$1:E1927,1,FALSE()))),"OLD",IF(AND(E1928&lt;&gt;"",E1928&lt;&gt;"!!!"),"NEW","")))</f>
        <v> </v>
      </c>
      <c r="G1928" s="23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4" t="str">
        <f>IF(J1928&lt;&gt;1,"",IF(I1928="SBJ","CB","?"))</f>
        <v> </v>
      </c>
      <c r="I1928" s="25" t="str">
        <f>IF(OR(E1928="",E1928="!!!",F1928="NEW"),"",INDEX(B1927:B$2,-1+SUMPRODUCT(MAX(ROW(E1927:E$2)*(E1928=E1927:E$2)))))</f>
        <v> </v>
      </c>
      <c r="J1928" s="25" t="str">
        <f>IF(OR(E1928="",E1928="!!!",F1928="NEW"),"",COUNTBLANK(OFFSET(A$1,,,SUMPRODUCT(MAX(ROW(E$2:E1928)*(E1928=E$2:E1928)))))-COUNTBLANK(OFFSET(A$1,,,SUMPRODUCT(MAX(ROW(E$1:E1927)*(E2=E$1:E1927))))))</f>
        <v> </v>
      </c>
      <c r="K1928" s="25" t="str">
        <f>IF(OR(E1928="",E1928="!!!",F1928="NEW"),"",INDEX(J$1:J1927,SUMPRODUCT(MAX(ROW(E$1:E1927)*(E1928=E$1:E1927)))))</f>
        <v> </v>
      </c>
      <c r="L1928" s="26"/>
    </row>
    <row r="1929" spans="1:12">
      <c r="A1929" s="20"/>
    </row>
    <row r="1930" spans="1:12">
      <c r="A1930" s="20" t="s">
        <v>1246</v>
      </c>
    </row>
    <row r="1931" spans="1:12">
      <c r="A1931" s="20" t="s">
        <v>964</v>
      </c>
      <c r="E1931" s="21">
        <f>IF(D1931="?OLD","!!!","")</f>
        <v/>
      </c>
      <c r="F1931" s="22" t="str">
        <f>IF(OR(E1931="",E1931="!!!"),"",IF(NOT(ISNA(VLOOKUP(E1931,E$1:E1930,1,FALSE()))),"OLD",IF(AND(E1931&lt;&gt;"",E1931&lt;&gt;"!!!"),"NEW","")))</f>
        <v> </v>
      </c>
      <c r="G1931" s="23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4" t="str">
        <f>IF(J1931&lt;&gt;1,"",IF(I1931="SBJ","CB","?"))</f>
        <v> </v>
      </c>
      <c r="I1931" s="25" t="str">
        <f>IF(OR(E1931="",E1931="!!!",F1931="NEW"),"",INDEX(B1930:B$2,-1+SUMPRODUCT(MAX(ROW(E1930:E$2)*(E1931=E1930:E$2)))))</f>
        <v> </v>
      </c>
      <c r="J1931" s="25" t="str">
        <f>IF(OR(E1931="",E1931="!!!",F1931="NEW"),"",COUNTBLANK(OFFSET(A$1,,,SUMPRODUCT(MAX(ROW(E$2:E1931)*(E1931=E$2:E1931)))))-COUNTBLANK(OFFSET(A$1,,,SUMPRODUCT(MAX(ROW(E$1:E1930)*(E2=E$1:E1930))))))</f>
        <v> </v>
      </c>
      <c r="K1931" s="25" t="str">
        <f>IF(OR(E1931="",E1931="!!!",F1931="NEW"),"",INDEX(J$1:J1930,SUMPRODUCT(MAX(ROW(E$1:E1930)*(E1931=E$1:E1930)))))</f>
        <v> </v>
      </c>
      <c r="L1931" s="26"/>
    </row>
    <row r="1932" spans="1:12">
      <c r="A1932" s="20" t="s">
        <v>1192</v>
      </c>
      <c r="E1932" s="21">
        <f>IF(D1932="?OLD","!!!","")</f>
        <v/>
      </c>
      <c r="F1932" s="22" t="str">
        <f>IF(OR(E1932="",E1932="!!!"),"",IF(NOT(ISNA(VLOOKUP(E1932,E$1:E1931,1,FALSE()))),"OLD",IF(AND(E1932&lt;&gt;"",E1932&lt;&gt;"!!!"),"NEW","")))</f>
        <v> </v>
      </c>
      <c r="G1932" s="23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4" t="str">
        <f>IF(J1932&lt;&gt;1,"",IF(I1932="SBJ","CB","?"))</f>
        <v> </v>
      </c>
      <c r="I1932" s="25" t="str">
        <f>IF(OR(E1932="",E1932="!!!",F1932="NEW"),"",INDEX(B1931:B$2,-1+SUMPRODUCT(MAX(ROW(E1931:E$2)*(E1932=E1931:E$2)))))</f>
        <v> </v>
      </c>
      <c r="J1932" s="25" t="str">
        <f>IF(OR(E1932="",E1932="!!!",F1932="NEW"),"",COUNTBLANK(OFFSET(A$1,,,SUMPRODUCT(MAX(ROW(E$2:E1932)*(E1932=E$2:E1932)))))-COUNTBLANK(OFFSET(A$1,,,SUMPRODUCT(MAX(ROW(E$1:E1931)*(E2=E$1:E1931))))))</f>
        <v> </v>
      </c>
      <c r="K1932" s="25" t="str">
        <f>IF(OR(E1932="",E1932="!!!",F1932="NEW"),"",INDEX(J$1:J1931,SUMPRODUCT(MAX(ROW(E$1:E1931)*(E1932=E$1:E1931)))))</f>
        <v> </v>
      </c>
      <c r="L1932" s="26"/>
    </row>
    <row r="1933" spans="1:12">
      <c r="A1933" s="20" t="s">
        <v>565</v>
      </c>
      <c r="E1933" s="21">
        <f>IF(D1933="?OLD","!!!","")</f>
        <v/>
      </c>
      <c r="F1933" s="22" t="str">
        <f>IF(OR(E1933="",E1933="!!!"),"",IF(NOT(ISNA(VLOOKUP(E1933,E$1:E1932,1,FALSE()))),"OLD",IF(AND(E1933&lt;&gt;"",E1933&lt;&gt;"!!!"),"NEW","")))</f>
        <v> </v>
      </c>
      <c r="G1933" s="23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4" t="str">
        <f>IF(J1933&lt;&gt;1,"",IF(I1933="SBJ","CB","?"))</f>
        <v> </v>
      </c>
      <c r="I1933" s="25" t="str">
        <f>IF(OR(E1933="",E1933="!!!",F1933="NEW"),"",INDEX(B1932:B$2,-1+SUMPRODUCT(MAX(ROW(E1932:E$2)*(E1933=E1932:E$2)))))</f>
        <v> </v>
      </c>
      <c r="J1933" s="25" t="str">
        <f>IF(OR(E1933="",E1933="!!!",F1933="NEW"),"",COUNTBLANK(OFFSET(A$1,,,SUMPRODUCT(MAX(ROW(E$2:E1933)*(E1933=E$2:E1933)))))-COUNTBLANK(OFFSET(A$1,,,SUMPRODUCT(MAX(ROW(E$1:E1932)*(E2=E$1:E1932))))))</f>
        <v> </v>
      </c>
      <c r="K1933" s="25" t="str">
        <f>IF(OR(E1933="",E1933="!!!",F1933="NEW"),"",INDEX(J$1:J1932,SUMPRODUCT(MAX(ROW(E$1:E1932)*(E1933=E$1:E1932)))))</f>
        <v> </v>
      </c>
      <c r="L1933" s="26"/>
    </row>
    <row r="1934" spans="1:12">
      <c r="A1934" s="20" t="s">
        <v>843</v>
      </c>
      <c r="E1934" s="21">
        <f>IF(D1934="?OLD","!!!","")</f>
        <v/>
      </c>
      <c r="F1934" s="22" t="str">
        <f>IF(OR(E1934="",E1934="!!!"),"",IF(NOT(ISNA(VLOOKUP(E1934,E$1:E1933,1,FALSE()))),"OLD",IF(AND(E1934&lt;&gt;"",E1934&lt;&gt;"!!!"),"NEW","")))</f>
        <v> </v>
      </c>
      <c r="G1934" s="23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4" t="str">
        <f>IF(J1934&lt;&gt;1,"",IF(I1934="SBJ","CB","?"))</f>
        <v> </v>
      </c>
      <c r="I1934" s="25" t="str">
        <f>IF(OR(E1934="",E1934="!!!",F1934="NEW"),"",INDEX(B1933:B$2,-1+SUMPRODUCT(MAX(ROW(E1933:E$2)*(E1934=E1933:E$2)))))</f>
        <v> </v>
      </c>
      <c r="J1934" s="25" t="str">
        <f>IF(OR(E1934="",E1934="!!!",F1934="NEW"),"",COUNTBLANK(OFFSET(A$1,,,SUMPRODUCT(MAX(ROW(E$2:E1934)*(E1934=E$2:E1934)))))-COUNTBLANK(OFFSET(A$1,,,SUMPRODUCT(MAX(ROW(E$1:E1933)*(E2=E$1:E1933))))))</f>
        <v> </v>
      </c>
      <c r="K1934" s="25" t="str">
        <f>IF(OR(E1934="",E1934="!!!",F1934="NEW"),"",INDEX(J$1:J1933,SUMPRODUCT(MAX(ROW(E$1:E1933)*(E1934=E$1:E1933)))))</f>
        <v> </v>
      </c>
      <c r="L1934" s="26"/>
    </row>
    <row r="1935" spans="1:12">
      <c r="A1935" s="20" t="s">
        <v>1247</v>
      </c>
      <c r="E1935" s="21">
        <f>IF(D1935="?OLD","!!!","")</f>
        <v/>
      </c>
      <c r="F1935" s="22" t="str">
        <f>IF(OR(E1935="",E1935="!!!"),"",IF(NOT(ISNA(VLOOKUP(E1935,E$1:E1934,1,FALSE()))),"OLD",IF(AND(E1935&lt;&gt;"",E1935&lt;&gt;"!!!"),"NEW","")))</f>
        <v> </v>
      </c>
      <c r="G1935" s="23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4" t="str">
        <f>IF(J1935&lt;&gt;1,"",IF(I1935="SBJ","CB","?"))</f>
        <v> </v>
      </c>
      <c r="I1935" s="25" t="str">
        <f>IF(OR(E1935="",E1935="!!!",F1935="NEW"),"",INDEX(B1934:B$2,-1+SUMPRODUCT(MAX(ROW(E1934:E$2)*(E1935=E1934:E$2)))))</f>
        <v> </v>
      </c>
      <c r="J1935" s="25" t="str">
        <f>IF(OR(E1935="",E1935="!!!",F1935="NEW"),"",COUNTBLANK(OFFSET(A$1,,,SUMPRODUCT(MAX(ROW(E$2:E1935)*(E1935=E$2:E1935)))))-COUNTBLANK(OFFSET(A$1,,,SUMPRODUCT(MAX(ROW(E$1:E1934)*(E2=E$1:E1934))))))</f>
        <v> </v>
      </c>
      <c r="K1935" s="25" t="str">
        <f>IF(OR(E1935="",E1935="!!!",F1935="NEW"),"",INDEX(J$1:J1934,SUMPRODUCT(MAX(ROW(E$1:E1934)*(E1935=E$1:E1934)))))</f>
        <v> </v>
      </c>
      <c r="L1935" s="26"/>
    </row>
    <row r="1936" spans="1:12">
      <c r="A1936" s="20" t="s">
        <v>332</v>
      </c>
      <c r="E1936" s="21">
        <f>IF(D1936="?OLD","!!!","")</f>
        <v/>
      </c>
      <c r="F1936" s="22" t="str">
        <f>IF(OR(E1936="",E1936="!!!"),"",IF(NOT(ISNA(VLOOKUP(E1936,E$1:E1935,1,FALSE()))),"OLD",IF(AND(E1936&lt;&gt;"",E1936&lt;&gt;"!!!"),"NEW","")))</f>
        <v> </v>
      </c>
      <c r="G1936" s="23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4" t="str">
        <f>IF(J1936&lt;&gt;1,"",IF(I1936="SBJ","CB","?"))</f>
        <v> </v>
      </c>
      <c r="I1936" s="25" t="str">
        <f>IF(OR(E1936="",E1936="!!!",F1936="NEW"),"",INDEX(B1935:B$2,-1+SUMPRODUCT(MAX(ROW(E1935:E$2)*(E1936=E1935:E$2)))))</f>
        <v> </v>
      </c>
      <c r="J1936" s="25" t="str">
        <f>IF(OR(E1936="",E1936="!!!",F1936="NEW"),"",COUNTBLANK(OFFSET(A$1,,,SUMPRODUCT(MAX(ROW(E$2:E1936)*(E1936=E$2:E1936)))))-COUNTBLANK(OFFSET(A$1,,,SUMPRODUCT(MAX(ROW(E$1:E1935)*(E2=E$1:E1935))))))</f>
        <v> </v>
      </c>
      <c r="K1936" s="25" t="str">
        <f>IF(OR(E1936="",E1936="!!!",F1936="NEW"),"",INDEX(J$1:J1935,SUMPRODUCT(MAX(ROW(E$1:E1935)*(E1936=E$1:E1935)))))</f>
        <v> </v>
      </c>
      <c r="L1936" s="26"/>
    </row>
    <row r="1937" spans="1:12">
      <c r="A1937" s="20" t="s">
        <v>542</v>
      </c>
      <c r="E1937" s="21">
        <f>IF(D1937="?OLD","!!!","")</f>
        <v/>
      </c>
      <c r="F1937" s="22" t="str">
        <f>IF(OR(E1937="",E1937="!!!"),"",IF(NOT(ISNA(VLOOKUP(E1937,E$1:E1936,1,FALSE()))),"OLD",IF(AND(E1937&lt;&gt;"",E1937&lt;&gt;"!!!"),"NEW","")))</f>
        <v> </v>
      </c>
      <c r="G1937" s="23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4" t="str">
        <f>IF(J1937&lt;&gt;1,"",IF(I1937="SBJ","CB","?"))</f>
        <v> </v>
      </c>
      <c r="I1937" s="25" t="str">
        <f>IF(OR(E1937="",E1937="!!!",F1937="NEW"),"",INDEX(B1936:B$2,-1+SUMPRODUCT(MAX(ROW(E1936:E$2)*(E1937=E1936:E$2)))))</f>
        <v> </v>
      </c>
      <c r="J1937" s="25" t="str">
        <f>IF(OR(E1937="",E1937="!!!",F1937="NEW"),"",COUNTBLANK(OFFSET(A$1,,,SUMPRODUCT(MAX(ROW(E$2:E1937)*(E1937=E$2:E1937)))))-COUNTBLANK(OFFSET(A$1,,,SUMPRODUCT(MAX(ROW(E$1:E1936)*(E2=E$1:E1936))))))</f>
        <v> </v>
      </c>
      <c r="K1937" s="25" t="str">
        <f>IF(OR(E1937="",E1937="!!!",F1937="NEW"),"",INDEX(J$1:J1936,SUMPRODUCT(MAX(ROW(E$1:E1936)*(E1937=E$1:E1936)))))</f>
        <v> </v>
      </c>
      <c r="L1937" s="26"/>
    </row>
    <row r="1938" spans="1:12">
      <c r="A1938" s="20" t="s">
        <v>1058</v>
      </c>
      <c r="B1938" s="27" t="s">
        <v>573</v>
      </c>
      <c r="C1938" s="27" t="s">
        <v>540</v>
      </c>
      <c r="D1938" s="27" t="s">
        <v>524</v>
      </c>
      <c r="E1938" s="21">
        <f>IF(D1938="?OLD","!!!","")</f>
        <v/>
      </c>
      <c r="F1938" s="22" t="str">
        <f>IF(OR(E1938="",E1938="!!!"),"",IF(NOT(ISNA(VLOOKUP(E1938,E$1:E1937,1,FALSE()))),"OLD",IF(AND(E1938&lt;&gt;"",E1938&lt;&gt;"!!!"),"NEW","")))</f>
        <v> </v>
      </c>
      <c r="G1938" s="23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4" t="str">
        <f>IF(J1938&lt;&gt;1,"",IF(I1938="SBJ","CB","?"))</f>
        <v> </v>
      </c>
      <c r="I1938" s="25" t="str">
        <f>IF(OR(E1938="",E1938="!!!",F1938="NEW"),"",INDEX(B1937:B$2,-1+SUMPRODUCT(MAX(ROW(E1937:E$2)*(E1938=E1937:E$2)))))</f>
        <v> </v>
      </c>
      <c r="J1938" s="25" t="str">
        <f>IF(OR(E1938="",E1938="!!!",F1938="NEW"),"",COUNTBLANK(OFFSET(A$1,,,SUMPRODUCT(MAX(ROW(E$2:E1938)*(E1938=E$2:E1938)))))-COUNTBLANK(OFFSET(A$1,,,SUMPRODUCT(MAX(ROW(E$1:E1937)*(E2=E$1:E1937))))))</f>
        <v> </v>
      </c>
      <c r="K1938" s="25" t="str">
        <f>IF(OR(E1938="",E1938="!!!",F1938="NEW"),"",INDEX(J$1:J1937,SUMPRODUCT(MAX(ROW(E$1:E1937)*(E1938=E$1:E1937)))))</f>
        <v> </v>
      </c>
      <c r="L1938" s="26"/>
    </row>
    <row r="1939" spans="1:12">
      <c r="A1939" s="20" t="s">
        <v>719</v>
      </c>
      <c r="E1939" s="21">
        <f>IF(D1939="?OLD","!!!","")</f>
        <v/>
      </c>
      <c r="F1939" s="22" t="str">
        <f>IF(OR(E1939="",E1939="!!!"),"",IF(NOT(ISNA(VLOOKUP(E1939,E$1:E1938,1,FALSE()))),"OLD",IF(AND(E1939&lt;&gt;"",E1939&lt;&gt;"!!!"),"NEW","")))</f>
        <v> </v>
      </c>
      <c r="G1939" s="23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4" t="str">
        <f>IF(J1939&lt;&gt;1,"",IF(I1939="SBJ","CB","?"))</f>
        <v> </v>
      </c>
      <c r="I1939" s="25" t="str">
        <f>IF(OR(E1939="",E1939="!!!",F1939="NEW"),"",INDEX(B1938:B$2,-1+SUMPRODUCT(MAX(ROW(E1938:E$2)*(E1939=E1938:E$2)))))</f>
        <v> </v>
      </c>
      <c r="J1939" s="25" t="str">
        <f>IF(OR(E1939="",E1939="!!!",F1939="NEW"),"",COUNTBLANK(OFFSET(A$1,,,SUMPRODUCT(MAX(ROW(E$2:E1939)*(E1939=E$2:E1939)))))-COUNTBLANK(OFFSET(A$1,,,SUMPRODUCT(MAX(ROW(E$1:E1938)*(E2=E$1:E1938))))))</f>
        <v> </v>
      </c>
      <c r="K1939" s="25" t="str">
        <f>IF(OR(E1939="",E1939="!!!",F1939="NEW"),"",INDEX(J$1:J1938,SUMPRODUCT(MAX(ROW(E$1:E1938)*(E1939=E$1:E1938)))))</f>
        <v> </v>
      </c>
      <c r="L1939" s="26"/>
    </row>
    <row r="1940" spans="1:12">
      <c r="A1940" s="20" t="s">
        <v>1203</v>
      </c>
      <c r="B1940" s="27" t="s">
        <v>641</v>
      </c>
      <c r="C1940" s="27" t="s">
        <v>564</v>
      </c>
      <c r="E1940" s="21">
        <f>IF(D1940="?OLD","!!!","")</f>
        <v/>
      </c>
      <c r="F1940" s="22" t="str">
        <f>IF(OR(E1940="",E1940="!!!"),"",IF(NOT(ISNA(VLOOKUP(E1940,E$1:E1939,1,FALSE()))),"OLD",IF(AND(E1940&lt;&gt;"",E1940&lt;&gt;"!!!"),"NEW","")))</f>
        <v> </v>
      </c>
      <c r="G1940" s="23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4" t="str">
        <f>IF(J1940&lt;&gt;1,"",IF(I1940="SBJ","CB","?"))</f>
        <v> </v>
      </c>
      <c r="I1940" s="25" t="str">
        <f>IF(OR(E1940="",E1940="!!!",F1940="NEW"),"",INDEX(B1939:B$2,-1+SUMPRODUCT(MAX(ROW(E1939:E$2)*(E1940=E1939:E$2)))))</f>
        <v> </v>
      </c>
      <c r="J1940" s="25" t="str">
        <f>IF(OR(E1940="",E1940="!!!",F1940="NEW"),"",COUNTBLANK(OFFSET(A$1,,,SUMPRODUCT(MAX(ROW(E$2:E1940)*(E1940=E$2:E1940)))))-COUNTBLANK(OFFSET(A$1,,,SUMPRODUCT(MAX(ROW(E$1:E1939)*(E2=E$1:E1939))))))</f>
        <v> </v>
      </c>
      <c r="K1940" s="25" t="str">
        <f>IF(OR(E1940="",E1940="!!!",F1940="NEW"),"",INDEX(J$1:J1939,SUMPRODUCT(MAX(ROW(E$1:E1939)*(E1940=E$1:E1939)))))</f>
        <v> </v>
      </c>
      <c r="L1940" s="26"/>
    </row>
    <row r="1941" spans="1:12">
      <c r="A1941" s="20" t="s">
        <v>565</v>
      </c>
      <c r="E1941" s="21">
        <f>IF(D1941="?OLD","!!!","")</f>
        <v/>
      </c>
      <c r="F1941" s="22" t="str">
        <f>IF(OR(E1941="",E1941="!!!"),"",IF(NOT(ISNA(VLOOKUP(E1941,E$1:E1940,1,FALSE()))),"OLD",IF(AND(E1941&lt;&gt;"",E1941&lt;&gt;"!!!"),"NEW","")))</f>
        <v> </v>
      </c>
      <c r="G1941" s="23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4" t="str">
        <f>IF(J1941&lt;&gt;1,"",IF(I1941="SBJ","CB","?"))</f>
        <v> </v>
      </c>
      <c r="I1941" s="25" t="str">
        <f>IF(OR(E1941="",E1941="!!!",F1941="NEW"),"",INDEX(B1940:B$2,-1+SUMPRODUCT(MAX(ROW(E1940:E$2)*(E1941=E1940:E$2)))))</f>
        <v> </v>
      </c>
      <c r="J1941" s="25" t="str">
        <f>IF(OR(E1941="",E1941="!!!",F1941="NEW"),"",COUNTBLANK(OFFSET(A$1,,,SUMPRODUCT(MAX(ROW(E$2:E1941)*(E1941=E$2:E1941)))))-COUNTBLANK(OFFSET(A$1,,,SUMPRODUCT(MAX(ROW(E$1:E1940)*(E2=E$1:E1940))))))</f>
        <v> </v>
      </c>
      <c r="K1941" s="25" t="str">
        <f>IF(OR(E1941="",E1941="!!!",F1941="NEW"),"",INDEX(J$1:J1940,SUMPRODUCT(MAX(ROW(E$1:E1940)*(E1941=E$1:E1940)))))</f>
        <v> </v>
      </c>
      <c r="L1941" s="26"/>
    </row>
    <row r="1942" spans="1:12">
      <c r="A1942" s="20" t="s">
        <v>1248</v>
      </c>
      <c r="E1942" s="21">
        <f>IF(D1942="?OLD","!!!","")</f>
        <v/>
      </c>
      <c r="F1942" s="22" t="str">
        <f>IF(OR(E1942="",E1942="!!!"),"",IF(NOT(ISNA(VLOOKUP(E1942,E$1:E1941,1,FALSE()))),"OLD",IF(AND(E1942&lt;&gt;"",E1942&lt;&gt;"!!!"),"NEW","")))</f>
        <v> </v>
      </c>
      <c r="G1942" s="23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4" t="str">
        <f>IF(J1942&lt;&gt;1,"",IF(I1942="SBJ","CB","?"))</f>
        <v> </v>
      </c>
      <c r="I1942" s="25" t="str">
        <f>IF(OR(E1942="",E1942="!!!",F1942="NEW"),"",INDEX(B1941:B$2,-1+SUMPRODUCT(MAX(ROW(E1941:E$2)*(E1942=E1941:E$2)))))</f>
        <v> </v>
      </c>
      <c r="J1942" s="25" t="str">
        <f>IF(OR(E1942="",E1942="!!!",F1942="NEW"),"",COUNTBLANK(OFFSET(A$1,,,SUMPRODUCT(MAX(ROW(E$2:E1942)*(E1942=E$2:E1942)))))-COUNTBLANK(OFFSET(A$1,,,SUMPRODUCT(MAX(ROW(E$1:E1941)*(E2=E$1:E1941))))))</f>
        <v> </v>
      </c>
      <c r="K1942" s="25" t="str">
        <f>IF(OR(E1942="",E1942="!!!",F1942="NEW"),"",INDEX(J$1:J1941,SUMPRODUCT(MAX(ROW(E$1:E1941)*(E1942=E$1:E1941)))))</f>
        <v> </v>
      </c>
      <c r="L1942" s="26"/>
    </row>
    <row r="1943" spans="1:12">
      <c r="A1943" s="20" t="s">
        <v>625</v>
      </c>
      <c r="E1943" s="21">
        <f>IF(D1943="?OLD","!!!","")</f>
        <v/>
      </c>
      <c r="F1943" s="22" t="str">
        <f>IF(OR(E1943="",E1943="!!!"),"",IF(NOT(ISNA(VLOOKUP(E1943,E$1:E1942,1,FALSE()))),"OLD",IF(AND(E1943&lt;&gt;"",E1943&lt;&gt;"!!!"),"NEW","")))</f>
        <v> </v>
      </c>
      <c r="G1943" s="23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4" t="str">
        <f>IF(J1943&lt;&gt;1,"",IF(I1943="SBJ","CB","?"))</f>
        <v> </v>
      </c>
      <c r="I1943" s="25" t="str">
        <f>IF(OR(E1943="",E1943="!!!",F1943="NEW"),"",INDEX(B1942:B$2,-1+SUMPRODUCT(MAX(ROW(E1942:E$2)*(E1943=E1942:E$2)))))</f>
        <v> </v>
      </c>
      <c r="J1943" s="25" t="str">
        <f>IF(OR(E1943="",E1943="!!!",F1943="NEW"),"",COUNTBLANK(OFFSET(A$1,,,SUMPRODUCT(MAX(ROW(E$2:E1943)*(E1943=E$2:E1943)))))-COUNTBLANK(OFFSET(A$1,,,SUMPRODUCT(MAX(ROW(E$1:E1942)*(E2=E$1:E1942))))))</f>
        <v> </v>
      </c>
      <c r="K1943" s="25" t="str">
        <f>IF(OR(E1943="",E1943="!!!",F1943="NEW"),"",INDEX(J$1:J1942,SUMPRODUCT(MAX(ROW(E$1:E1942)*(E1943=E$1:E1942)))))</f>
        <v> </v>
      </c>
      <c r="L1943" s="26"/>
    </row>
    <row r="1944" spans="1:12">
      <c r="A1944" s="20" t="s">
        <v>1249</v>
      </c>
      <c r="E1944" s="21">
        <f>IF(D1944="?OLD","!!!","")</f>
        <v/>
      </c>
      <c r="F1944" s="22" t="str">
        <f>IF(OR(E1944="",E1944="!!!"),"",IF(NOT(ISNA(VLOOKUP(E1944,E$1:E1943,1,FALSE()))),"OLD",IF(AND(E1944&lt;&gt;"",E1944&lt;&gt;"!!!"),"NEW","")))</f>
        <v> </v>
      </c>
      <c r="G1944" s="23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4" t="str">
        <f>IF(J1944&lt;&gt;1,"",IF(I1944="SBJ","CB","?"))</f>
        <v> </v>
      </c>
      <c r="I1944" s="25" t="str">
        <f>IF(OR(E1944="",E1944="!!!",F1944="NEW"),"",INDEX(B1943:B$2,-1+SUMPRODUCT(MAX(ROW(E1943:E$2)*(E1944=E1943:E$2)))))</f>
        <v> </v>
      </c>
      <c r="J1944" s="25" t="str">
        <f>IF(OR(E1944="",E1944="!!!",F1944="NEW"),"",COUNTBLANK(OFFSET(A$1,,,SUMPRODUCT(MAX(ROW(E$2:E1944)*(E1944=E$2:E1944)))))-COUNTBLANK(OFFSET(A$1,,,SUMPRODUCT(MAX(ROW(E$1:E1943)*(E2=E$1:E1943))))))</f>
        <v> </v>
      </c>
      <c r="K1944" s="25" t="str">
        <f>IF(OR(E1944="",E1944="!!!",F1944="NEW"),"",INDEX(J$1:J1943,SUMPRODUCT(MAX(ROW(E$1:E1943)*(E1944=E$1:E1943)))))</f>
        <v> </v>
      </c>
      <c r="L1944" s="26"/>
    </row>
    <row r="1945" spans="1:12">
      <c r="A1945" s="20" t="s">
        <v>565</v>
      </c>
      <c r="E1945" s="21">
        <f>IF(D1945="?OLD","!!!","")</f>
        <v/>
      </c>
      <c r="F1945" s="22" t="str">
        <f>IF(OR(E1945="",E1945="!!!"),"",IF(NOT(ISNA(VLOOKUP(E1945,E$1:E1944,1,FALSE()))),"OLD",IF(AND(E1945&lt;&gt;"",E1945&lt;&gt;"!!!"),"NEW","")))</f>
        <v> </v>
      </c>
      <c r="G1945" s="23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4" t="str">
        <f>IF(J1945&lt;&gt;1,"",IF(I1945="SBJ","CB","?"))</f>
        <v> </v>
      </c>
      <c r="I1945" s="25" t="str">
        <f>IF(OR(E1945="",E1945="!!!",F1945="NEW"),"",INDEX(B1944:B$2,-1+SUMPRODUCT(MAX(ROW(E1944:E$2)*(E1945=E1944:E$2)))))</f>
        <v> </v>
      </c>
      <c r="J1945" s="25" t="str">
        <f>IF(OR(E1945="",E1945="!!!",F1945="NEW"),"",COUNTBLANK(OFFSET(A$1,,,SUMPRODUCT(MAX(ROW(E$2:E1945)*(E1945=E$2:E1945)))))-COUNTBLANK(OFFSET(A$1,,,SUMPRODUCT(MAX(ROW(E$1:E1944)*(E2=E$1:E1944))))))</f>
        <v> </v>
      </c>
      <c r="K1945" s="25" t="str">
        <f>IF(OR(E1945="",E1945="!!!",F1945="NEW"),"",INDEX(J$1:J1944,SUMPRODUCT(MAX(ROW(E$1:E1944)*(E1945=E$1:E1944)))))</f>
        <v> </v>
      </c>
      <c r="L1945" s="26"/>
    </row>
    <row r="1946" spans="1:12">
      <c r="A1946" s="20" t="s">
        <v>1250</v>
      </c>
      <c r="E1946" s="21">
        <f>IF(D1946="?OLD","!!!","")</f>
        <v/>
      </c>
      <c r="F1946" s="22" t="str">
        <f>IF(OR(E1946="",E1946="!!!"),"",IF(NOT(ISNA(VLOOKUP(E1946,E$1:E1945,1,FALSE()))),"OLD",IF(AND(E1946&lt;&gt;"",E1946&lt;&gt;"!!!"),"NEW","")))</f>
        <v> </v>
      </c>
      <c r="G1946" s="23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4" t="str">
        <f>IF(J1946&lt;&gt;1,"",IF(I1946="SBJ","CB","?"))</f>
        <v> </v>
      </c>
      <c r="I1946" s="25" t="str">
        <f>IF(OR(E1946="",E1946="!!!",F1946="NEW"),"",INDEX(B1945:B$2,-1+SUMPRODUCT(MAX(ROW(E1945:E$2)*(E1946=E1945:E$2)))))</f>
        <v> </v>
      </c>
      <c r="J1946" s="25" t="str">
        <f>IF(OR(E1946="",E1946="!!!",F1946="NEW"),"",COUNTBLANK(OFFSET(A$1,,,SUMPRODUCT(MAX(ROW(E$2:E1946)*(E1946=E$2:E1946)))))-COUNTBLANK(OFFSET(A$1,,,SUMPRODUCT(MAX(ROW(E$1:E1945)*(E2=E$1:E1945))))))</f>
        <v> </v>
      </c>
      <c r="K1946" s="25" t="str">
        <f>IF(OR(E1946="",E1946="!!!",F1946="NEW"),"",INDEX(J$1:J1945,SUMPRODUCT(MAX(ROW(E$1:E1945)*(E1946=E$1:E1945)))))</f>
        <v> </v>
      </c>
      <c r="L1946" s="26"/>
    </row>
    <row r="1947" spans="1:12">
      <c r="A1947" s="20" t="s">
        <v>1149</v>
      </c>
      <c r="E1947" s="21">
        <f>IF(D1947="?OLD","!!!","")</f>
        <v/>
      </c>
      <c r="F1947" s="22" t="str">
        <f>IF(OR(E1947="",E1947="!!!"),"",IF(NOT(ISNA(VLOOKUP(E1947,E$1:E1946,1,FALSE()))),"OLD",IF(AND(E1947&lt;&gt;"",E1947&lt;&gt;"!!!"),"NEW","")))</f>
        <v> </v>
      </c>
      <c r="G1947" s="23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4" t="str">
        <f>IF(J1947&lt;&gt;1,"",IF(I1947="SBJ","CB","?"))</f>
        <v> </v>
      </c>
      <c r="I1947" s="25" t="str">
        <f>IF(OR(E1947="",E1947="!!!",F1947="NEW"),"",INDEX(B1946:B$2,-1+SUMPRODUCT(MAX(ROW(E1946:E$2)*(E1947=E1946:E$2)))))</f>
        <v> </v>
      </c>
      <c r="J1947" s="25" t="str">
        <f>IF(OR(E1947="",E1947="!!!",F1947="NEW"),"",COUNTBLANK(OFFSET(A$1,,,SUMPRODUCT(MAX(ROW(E$2:E1947)*(E1947=E$2:E1947)))))-COUNTBLANK(OFFSET(A$1,,,SUMPRODUCT(MAX(ROW(E$1:E1946)*(E2=E$1:E1946))))))</f>
        <v> </v>
      </c>
      <c r="K1947" s="25" t="str">
        <f>IF(OR(E1947="",E1947="!!!",F1947="NEW"),"",INDEX(J$1:J1946,SUMPRODUCT(MAX(ROW(E$1:E1946)*(E1947=E$1:E1946)))))</f>
        <v> </v>
      </c>
      <c r="L1947" s="26"/>
    </row>
    <row r="1948" spans="1:12">
      <c r="A1948" s="20" t="s">
        <v>1251</v>
      </c>
      <c r="E1948" s="21">
        <f>IF(D1948="?OLD","!!!","")</f>
        <v/>
      </c>
      <c r="F1948" s="22" t="str">
        <f>IF(OR(E1948="",E1948="!!!"),"",IF(NOT(ISNA(VLOOKUP(E1948,E$1:E1947,1,FALSE()))),"OLD",IF(AND(E1948&lt;&gt;"",E1948&lt;&gt;"!!!"),"NEW","")))</f>
        <v> </v>
      </c>
      <c r="G1948" s="23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4" t="str">
        <f>IF(J1948&lt;&gt;1,"",IF(I1948="SBJ","CB","?"))</f>
        <v> </v>
      </c>
      <c r="I1948" s="25" t="str">
        <f>IF(OR(E1948="",E1948="!!!",F1948="NEW"),"",INDEX(B1947:B$2,-1+SUMPRODUCT(MAX(ROW(E1947:E$2)*(E1948=E1947:E$2)))))</f>
        <v> </v>
      </c>
      <c r="J1948" s="25" t="str">
        <f>IF(OR(E1948="",E1948="!!!",F1948="NEW"),"",COUNTBLANK(OFFSET(A$1,,,SUMPRODUCT(MAX(ROW(E$2:E1948)*(E1948=E$2:E1948)))))-COUNTBLANK(OFFSET(A$1,,,SUMPRODUCT(MAX(ROW(E$1:E1947)*(E2=E$1:E1947))))))</f>
        <v> </v>
      </c>
      <c r="K1948" s="25" t="str">
        <f>IF(OR(E1948="",E1948="!!!",F1948="NEW"),"",INDEX(J$1:J1947,SUMPRODUCT(MAX(ROW(E$1:E1947)*(E1948=E$1:E1947)))))</f>
        <v> </v>
      </c>
      <c r="L1948" s="26"/>
    </row>
    <row r="1949" spans="1:12">
      <c r="A1949" s="20" t="s">
        <v>571</v>
      </c>
      <c r="E1949" s="21">
        <f>IF(D1949="?OLD","!!!","")</f>
        <v/>
      </c>
      <c r="F1949" s="22" t="str">
        <f>IF(OR(E1949="",E1949="!!!"),"",IF(NOT(ISNA(VLOOKUP(E1949,E$1:E1948,1,FALSE()))),"OLD",IF(AND(E1949&lt;&gt;"",E1949&lt;&gt;"!!!"),"NEW","")))</f>
        <v> </v>
      </c>
      <c r="G1949" s="23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4" t="str">
        <f>IF(J1949&lt;&gt;1,"",IF(I1949="SBJ","CB","?"))</f>
        <v> </v>
      </c>
      <c r="I1949" s="25" t="str">
        <f>IF(OR(E1949="",E1949="!!!",F1949="NEW"),"",INDEX(B1948:B$2,-1+SUMPRODUCT(MAX(ROW(E1948:E$2)*(E1949=E1948:E$2)))))</f>
        <v> </v>
      </c>
      <c r="J1949" s="25" t="str">
        <f>IF(OR(E1949="",E1949="!!!",F1949="NEW"),"",COUNTBLANK(OFFSET(A$1,,,SUMPRODUCT(MAX(ROW(E$2:E1949)*(E1949=E$2:E1949)))))-COUNTBLANK(OFFSET(A$1,,,SUMPRODUCT(MAX(ROW(E$1:E1948)*(E2=E$1:E1948))))))</f>
        <v> </v>
      </c>
      <c r="K1949" s="25" t="str">
        <f>IF(OR(E1949="",E1949="!!!",F1949="NEW"),"",INDEX(J$1:J1948,SUMPRODUCT(MAX(ROW(E$1:E1948)*(E1949=E$1:E1948)))))</f>
        <v> </v>
      </c>
      <c r="L1949" s="26"/>
    </row>
    <row r="1950" spans="1:12">
      <c r="A1950" s="20" t="s">
        <v>1124</v>
      </c>
      <c r="B1950" s="27" t="s">
        <v>522</v>
      </c>
      <c r="C1950" s="27" t="s">
        <v>540</v>
      </c>
      <c r="D1950" s="27" t="s">
        <v>524</v>
      </c>
      <c r="E1950" s="21">
        <f>IF(D1950="?OLD","!!!","")</f>
        <v/>
      </c>
      <c r="F1950" s="22" t="str">
        <f>IF(OR(E1950="",E1950="!!!"),"",IF(NOT(ISNA(VLOOKUP(E1950,E$1:E1949,1,FALSE()))),"OLD",IF(AND(E1950&lt;&gt;"",E1950&lt;&gt;"!!!"),"NEW","")))</f>
        <v> </v>
      </c>
      <c r="G1950" s="23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4" t="str">
        <f>IF(J1950&lt;&gt;1,"",IF(I1950="SBJ","CB","?"))</f>
        <v> </v>
      </c>
      <c r="I1950" s="25" t="str">
        <f>IF(OR(E1950="",E1950="!!!",F1950="NEW"),"",INDEX(B1949:B$2,-1+SUMPRODUCT(MAX(ROW(E1949:E$2)*(E1950=E1949:E$2)))))</f>
        <v> </v>
      </c>
      <c r="J1950" s="25" t="str">
        <f>IF(OR(E1950="",E1950="!!!",F1950="NEW"),"",COUNTBLANK(OFFSET(A$1,,,SUMPRODUCT(MAX(ROW(E$2:E1950)*(E1950=E$2:E1950)))))-COUNTBLANK(OFFSET(A$1,,,SUMPRODUCT(MAX(ROW(E$1:E1949)*(E2=E$1:E1949))))))</f>
        <v> </v>
      </c>
      <c r="K1950" s="25" t="str">
        <f>IF(OR(E1950="",E1950="!!!",F1950="NEW"),"",INDEX(J$1:J1949,SUMPRODUCT(MAX(ROW(E$1:E1949)*(E1950=E$1:E1949)))))</f>
        <v> </v>
      </c>
      <c r="L1950" s="26"/>
    </row>
    <row r="1951" spans="1:12">
      <c r="A1951" s="20" t="s">
        <v>518</v>
      </c>
      <c r="E1951" s="21">
        <f>IF(D1951="?OLD","!!!","")</f>
        <v/>
      </c>
      <c r="F1951" s="22" t="str">
        <f>IF(OR(E1951="",E1951="!!!"),"",IF(NOT(ISNA(VLOOKUP(E1951,E$1:E1950,1,FALSE()))),"OLD",IF(AND(E1951&lt;&gt;"",E1951&lt;&gt;"!!!"),"NEW","")))</f>
        <v> </v>
      </c>
      <c r="G1951" s="23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4" t="str">
        <f>IF(J1951&lt;&gt;1,"",IF(I1951="SBJ","CB","?"))</f>
        <v> </v>
      </c>
      <c r="I1951" s="25" t="str">
        <f>IF(OR(E1951="",E1951="!!!",F1951="NEW"),"",INDEX(B1950:B$2,-1+SUMPRODUCT(MAX(ROW(E1950:E$2)*(E1951=E1950:E$2)))))</f>
        <v> </v>
      </c>
      <c r="J1951" s="25" t="str">
        <f>IF(OR(E1951="",E1951="!!!",F1951="NEW"),"",COUNTBLANK(OFFSET(A$1,,,SUMPRODUCT(MAX(ROW(E$2:E1951)*(E1951=E$2:E1951)))))-COUNTBLANK(OFFSET(A$1,,,SUMPRODUCT(MAX(ROW(E$1:E1950)*(E2=E$1:E1950))))))</f>
        <v> </v>
      </c>
      <c r="K1951" s="25" t="str">
        <f>IF(OR(E1951="",E1951="!!!",F1951="NEW"),"",INDEX(J$1:J1950,SUMPRODUCT(MAX(ROW(E$1:E1950)*(E1951=E$1:E1950)))))</f>
        <v> </v>
      </c>
      <c r="L1951" s="26"/>
    </row>
    <row r="1952" spans="1:12">
      <c r="A1952" s="20" t="s">
        <v>542</v>
      </c>
      <c r="E1952" s="21">
        <f>IF(D1952="?OLD","!!!","")</f>
        <v/>
      </c>
      <c r="F1952" s="22" t="str">
        <f>IF(OR(E1952="",E1952="!!!"),"",IF(NOT(ISNA(VLOOKUP(E1952,E$1:E1951,1,FALSE()))),"OLD",IF(AND(E1952&lt;&gt;"",E1952&lt;&gt;"!!!"),"NEW","")))</f>
        <v> </v>
      </c>
      <c r="G1952" s="23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4" t="str">
        <f>IF(J1952&lt;&gt;1,"",IF(I1952="SBJ","CB","?"))</f>
        <v> </v>
      </c>
      <c r="I1952" s="25" t="str">
        <f>IF(OR(E1952="",E1952="!!!",F1952="NEW"),"",INDEX(B1951:B$2,-1+SUMPRODUCT(MAX(ROW(E1951:E$2)*(E1952=E1951:E$2)))))</f>
        <v> </v>
      </c>
      <c r="J1952" s="25" t="str">
        <f>IF(OR(E1952="",E1952="!!!",F1952="NEW"),"",COUNTBLANK(OFFSET(A$1,,,SUMPRODUCT(MAX(ROW(E$2:E1952)*(E1952=E$2:E1952)))))-COUNTBLANK(OFFSET(A$1,,,SUMPRODUCT(MAX(ROW(E$1:E1951)*(E2=E$1:E1951))))))</f>
        <v> </v>
      </c>
      <c r="K1952" s="25" t="str">
        <f>IF(OR(E1952="",E1952="!!!",F1952="NEW"),"",INDEX(J$1:J1951,SUMPRODUCT(MAX(ROW(E$1:E1951)*(E1952=E$1:E1951)))))</f>
        <v> </v>
      </c>
      <c r="L1952" s="26"/>
    </row>
    <row r="1953" spans="1:12">
      <c r="A1953" s="20" t="s">
        <v>968</v>
      </c>
      <c r="B1953" s="27" t="s">
        <v>534</v>
      </c>
      <c r="C1953" s="27" t="s">
        <v>669</v>
      </c>
      <c r="D1953" s="27" t="s">
        <v>524</v>
      </c>
      <c r="E1953" s="21">
        <f>IF(D1953="?OLD","!!!","")</f>
        <v/>
      </c>
      <c r="F1953" s="22" t="str">
        <f>IF(OR(E1953="",E1953="!!!"),"",IF(NOT(ISNA(VLOOKUP(E1953,E$1:E1952,1,FALSE()))),"OLD",IF(AND(E1953&lt;&gt;"",E1953&lt;&gt;"!!!"),"NEW","")))</f>
        <v> </v>
      </c>
      <c r="G1953" s="23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4" t="str">
        <f>IF(J1953&lt;&gt;1,"",IF(I1953="SBJ","CB","?"))</f>
        <v> </v>
      </c>
      <c r="I1953" s="25" t="str">
        <f>IF(OR(E1953="",E1953="!!!",F1953="NEW"),"",INDEX(B1952:B$2,-1+SUMPRODUCT(MAX(ROW(E1952:E$2)*(E1953=E1952:E$2)))))</f>
        <v> </v>
      </c>
      <c r="J1953" s="25" t="str">
        <f>IF(OR(E1953="",E1953="!!!",F1953="NEW"),"",COUNTBLANK(OFFSET(A$1,,,SUMPRODUCT(MAX(ROW(E$2:E1953)*(E1953=E$2:E1953)))))-COUNTBLANK(OFFSET(A$1,,,SUMPRODUCT(MAX(ROW(E$1:E1952)*(E2=E$1:E1952))))))</f>
        <v> </v>
      </c>
      <c r="K1953" s="25" t="str">
        <f>IF(OR(E1953="",E1953="!!!",F1953="NEW"),"",INDEX(J$1:J1952,SUMPRODUCT(MAX(ROW(E$1:E1952)*(E1953=E$1:E1952)))))</f>
        <v> </v>
      </c>
      <c r="L1953" s="26"/>
    </row>
    <row r="1954" spans="1:12">
      <c r="A1954" s="20" t="s">
        <v>1252</v>
      </c>
      <c r="B1954" s="27" t="s">
        <v>544</v>
      </c>
      <c r="C1954" s="27" t="s">
        <v>545</v>
      </c>
      <c r="D1954" s="27" t="s">
        <v>524</v>
      </c>
      <c r="E1954" s="21">
        <f>IF(D1954="?OLD","!!!","")</f>
        <v/>
      </c>
      <c r="F1954" s="22" t="str">
        <f>IF(OR(E1954="",E1954="!!!"),"",IF(NOT(ISNA(VLOOKUP(E1954,E$1:E1953,1,FALSE()))),"OLD",IF(AND(E1954&lt;&gt;"",E1954&lt;&gt;"!!!"),"NEW","")))</f>
        <v> </v>
      </c>
      <c r="G1954" s="23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4" t="str">
        <f>IF(J1954&lt;&gt;1,"",IF(I1954="SBJ","CB","?"))</f>
        <v> </v>
      </c>
      <c r="I1954" s="25" t="str">
        <f>IF(OR(E1954="",E1954="!!!",F1954="NEW"),"",INDEX(B1953:B$2,-1+SUMPRODUCT(MAX(ROW(E1953:E$2)*(E1954=E1953:E$2)))))</f>
        <v> </v>
      </c>
      <c r="J1954" s="25" t="str">
        <f>IF(OR(E1954="",E1954="!!!",F1954="NEW"),"",COUNTBLANK(OFFSET(A$1,,,SUMPRODUCT(MAX(ROW(E$2:E1954)*(E1954=E$2:E1954)))))-COUNTBLANK(OFFSET(A$1,,,SUMPRODUCT(MAX(ROW(E$1:E1953)*(E2=E$1:E1953))))))</f>
        <v> </v>
      </c>
      <c r="K1954" s="25" t="str">
        <f>IF(OR(E1954="",E1954="!!!",F1954="NEW"),"",INDEX(J$1:J1953,SUMPRODUCT(MAX(ROW(E$1:E1953)*(E1954=E$1:E1953)))))</f>
        <v> </v>
      </c>
      <c r="L1954" s="26"/>
    </row>
    <row r="1955" spans="1:12">
      <c r="A1955" s="20" t="s">
        <v>549</v>
      </c>
      <c r="E1955" s="21">
        <f>IF(D1955="?OLD","!!!","")</f>
        <v/>
      </c>
      <c r="F1955" s="22" t="str">
        <f>IF(OR(E1955="",E1955="!!!"),"",IF(NOT(ISNA(VLOOKUP(E1955,E$1:E1954,1,FALSE()))),"OLD",IF(AND(E1955&lt;&gt;"",E1955&lt;&gt;"!!!"),"NEW","")))</f>
        <v> </v>
      </c>
      <c r="G1955" s="23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4" t="str">
        <f>IF(J1955&lt;&gt;1,"",IF(I1955="SBJ","CB","?"))</f>
        <v> </v>
      </c>
      <c r="I1955" s="25" t="str">
        <f>IF(OR(E1955="",E1955="!!!",F1955="NEW"),"",INDEX(B1954:B$2,-1+SUMPRODUCT(MAX(ROW(E1954:E$2)*(E1955=E1954:E$2)))))</f>
        <v> </v>
      </c>
      <c r="J1955" s="25" t="str">
        <f>IF(OR(E1955="",E1955="!!!",F1955="NEW"),"",COUNTBLANK(OFFSET(A$1,,,SUMPRODUCT(MAX(ROW(E$2:E1955)*(E1955=E$2:E1955)))))-COUNTBLANK(OFFSET(A$1,,,SUMPRODUCT(MAX(ROW(E$1:E1954)*(E2=E$1:E1954))))))</f>
        <v> </v>
      </c>
      <c r="K1955" s="25" t="str">
        <f>IF(OR(E1955="",E1955="!!!",F1955="NEW"),"",INDEX(J$1:J1954,SUMPRODUCT(MAX(ROW(E$1:E1954)*(E1955=E$1:E1954)))))</f>
        <v> </v>
      </c>
      <c r="L1955" s="26"/>
    </row>
    <row r="1956" spans="1:12">
      <c r="A1956" s="20"/>
    </row>
    <row r="1957" spans="1:12">
      <c r="A1957" s="20" t="s">
        <v>1253</v>
      </c>
    </row>
    <row r="1958" spans="1:12">
      <c r="A1958" s="20" t="s">
        <v>976</v>
      </c>
      <c r="E1958" s="21">
        <f>IF(D1958="?OLD","!!!","")</f>
        <v/>
      </c>
      <c r="F1958" s="22" t="str">
        <f>IF(OR(E1958="",E1958="!!!"),"",IF(NOT(ISNA(VLOOKUP(E1958,E$1:E1957,1,FALSE()))),"OLD",IF(AND(E1958&lt;&gt;"",E1958&lt;&gt;"!!!"),"NEW","")))</f>
        <v> </v>
      </c>
      <c r="G1958" s="23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4" t="str">
        <f>IF(J1958&lt;&gt;1,"",IF(I1958="SBJ","CB","?"))</f>
        <v> </v>
      </c>
      <c r="I1958" s="25" t="str">
        <f>IF(OR(E1958="",E1958="!!!",F1958="NEW"),"",INDEX(B1957:B$2,-1+SUMPRODUCT(MAX(ROW(E1957:E$2)*(E1958=E1957:E$2)))))</f>
        <v> </v>
      </c>
      <c r="J1958" s="25" t="str">
        <f>IF(OR(E1958="",E1958="!!!",F1958="NEW"),"",COUNTBLANK(OFFSET(A$1,,,SUMPRODUCT(MAX(ROW(E$2:E1958)*(E1958=E$2:E1958)))))-COUNTBLANK(OFFSET(A$1,,,SUMPRODUCT(MAX(ROW(E$1:E1957)*(E2=E$1:E1957))))))</f>
        <v> </v>
      </c>
      <c r="K1958" s="25" t="str">
        <f>IF(OR(E1958="",E1958="!!!",F1958="NEW"),"",INDEX(J$1:J1957,SUMPRODUCT(MAX(ROW(E$1:E1957)*(E1958=E$1:E1957)))))</f>
        <v> </v>
      </c>
      <c r="L1958" s="26"/>
    </row>
    <row r="1959" spans="1:12">
      <c r="A1959" s="20" t="s">
        <v>1254</v>
      </c>
      <c r="B1959" s="27" t="s">
        <v>680</v>
      </c>
      <c r="C1959" s="27" t="s">
        <v>637</v>
      </c>
      <c r="D1959" s="27" t="s">
        <v>524</v>
      </c>
      <c r="E1959" s="21">
        <f>IF(D1959="?OLD","!!!","")</f>
        <v/>
      </c>
      <c r="F1959" s="22" t="str">
        <f>IF(OR(E1959="",E1959="!!!"),"",IF(NOT(ISNA(VLOOKUP(E1959,E$1:E1958,1,FALSE()))),"OLD",IF(AND(E1959&lt;&gt;"",E1959&lt;&gt;"!!!"),"NEW","")))</f>
        <v> </v>
      </c>
      <c r="G1959" s="23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4" t="str">
        <f>IF(J1959&lt;&gt;1,"",IF(I1959="SBJ","CB","?"))</f>
        <v> </v>
      </c>
      <c r="I1959" s="25" t="str">
        <f>IF(OR(E1959="",E1959="!!!",F1959="NEW"),"",INDEX(B1958:B$2,-1+SUMPRODUCT(MAX(ROW(E1958:E$2)*(E1959=E1958:E$2)))))</f>
        <v> </v>
      </c>
      <c r="J1959" s="25" t="str">
        <f>IF(OR(E1959="",E1959="!!!",F1959="NEW"),"",COUNTBLANK(OFFSET(A$1,,,SUMPRODUCT(MAX(ROW(E$2:E1959)*(E1959=E$2:E1959)))))-COUNTBLANK(OFFSET(A$1,,,SUMPRODUCT(MAX(ROW(E$1:E1958)*(E2=E$1:E1958))))))</f>
        <v> </v>
      </c>
      <c r="K1959" s="25" t="str">
        <f>IF(OR(E1959="",E1959="!!!",F1959="NEW"),"",INDEX(J$1:J1958,SUMPRODUCT(MAX(ROW(E$1:E1958)*(E1959=E$1:E1958)))))</f>
        <v> </v>
      </c>
      <c r="L1959" s="26"/>
    </row>
    <row r="1960" spans="1:12">
      <c r="A1960" s="20" t="s">
        <v>1255</v>
      </c>
      <c r="E1960" s="21">
        <f>IF(D1960="?OLD","!!!","")</f>
        <v/>
      </c>
      <c r="F1960" s="22" t="str">
        <f>IF(OR(E1960="",E1960="!!!"),"",IF(NOT(ISNA(VLOOKUP(E1960,E$1:E1959,1,FALSE()))),"OLD",IF(AND(E1960&lt;&gt;"",E1960&lt;&gt;"!!!"),"NEW","")))</f>
        <v> </v>
      </c>
      <c r="G1960" s="23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4" t="str">
        <f>IF(J1960&lt;&gt;1,"",IF(I1960="SBJ","CB","?"))</f>
        <v> </v>
      </c>
      <c r="I1960" s="25" t="str">
        <f>IF(OR(E1960="",E1960="!!!",F1960="NEW"),"",INDEX(B1959:B$2,-1+SUMPRODUCT(MAX(ROW(E1959:E$2)*(E1960=E1959:E$2)))))</f>
        <v> </v>
      </c>
      <c r="J1960" s="25" t="str">
        <f>IF(OR(E1960="",E1960="!!!",F1960="NEW"),"",COUNTBLANK(OFFSET(A$1,,,SUMPRODUCT(MAX(ROW(E$2:E1960)*(E1960=E$2:E1960)))))-COUNTBLANK(OFFSET(A$1,,,SUMPRODUCT(MAX(ROW(E$1:E1959)*(E2=E$1:E1959))))))</f>
        <v> </v>
      </c>
      <c r="K1960" s="25" t="str">
        <f>IF(OR(E1960="",E1960="!!!",F1960="NEW"),"",INDEX(J$1:J1959,SUMPRODUCT(MAX(ROW(E$1:E1959)*(E1960=E$1:E1959)))))</f>
        <v> </v>
      </c>
      <c r="L1960" s="26"/>
    </row>
    <row r="1961" spans="1:12">
      <c r="A1961" s="20" t="s">
        <v>843</v>
      </c>
      <c r="E1961" s="21">
        <f>IF(D1961="?OLD","!!!","")</f>
        <v/>
      </c>
      <c r="F1961" s="22" t="str">
        <f>IF(OR(E1961="",E1961="!!!"),"",IF(NOT(ISNA(VLOOKUP(E1961,E$1:E1960,1,FALSE()))),"OLD",IF(AND(E1961&lt;&gt;"",E1961&lt;&gt;"!!!"),"NEW","")))</f>
        <v> </v>
      </c>
      <c r="G1961" s="23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4" t="str">
        <f>IF(J1961&lt;&gt;1,"",IF(I1961="SBJ","CB","?"))</f>
        <v> </v>
      </c>
      <c r="I1961" s="25" t="str">
        <f>IF(OR(E1961="",E1961="!!!",F1961="NEW"),"",INDEX(B1960:B$2,-1+SUMPRODUCT(MAX(ROW(E1960:E$2)*(E1961=E1960:E$2)))))</f>
        <v> </v>
      </c>
      <c r="J1961" s="25" t="str">
        <f>IF(OR(E1961="",E1961="!!!",F1961="NEW"),"",COUNTBLANK(OFFSET(A$1,,,SUMPRODUCT(MAX(ROW(E$2:E1961)*(E1961=E$2:E1961)))))-COUNTBLANK(OFFSET(A$1,,,SUMPRODUCT(MAX(ROW(E$1:E1960)*(E2=E$1:E1960))))))</f>
        <v> </v>
      </c>
      <c r="K1961" s="25" t="str">
        <f>IF(OR(E1961="",E1961="!!!",F1961="NEW"),"",INDEX(J$1:J1960,SUMPRODUCT(MAX(ROW(E$1:E1960)*(E1961=E$1:E1960)))))</f>
        <v> </v>
      </c>
      <c r="L1961" s="26"/>
    </row>
    <row r="1962" spans="1:12">
      <c r="A1962" s="20" t="s">
        <v>682</v>
      </c>
      <c r="E1962" s="21">
        <f>IF(D1962="?OLD","!!!","")</f>
        <v/>
      </c>
      <c r="F1962" s="22" t="str">
        <f>IF(OR(E1962="",E1962="!!!"),"",IF(NOT(ISNA(VLOOKUP(E1962,E$1:E1961,1,FALSE()))),"OLD",IF(AND(E1962&lt;&gt;"",E1962&lt;&gt;"!!!"),"NEW","")))</f>
        <v> </v>
      </c>
      <c r="G1962" s="23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4" t="str">
        <f>IF(J1962&lt;&gt;1,"",IF(I1962="SBJ","CB","?"))</f>
        <v> </v>
      </c>
      <c r="I1962" s="25" t="str">
        <f>IF(OR(E1962="",E1962="!!!",F1962="NEW"),"",INDEX(B1961:B$2,-1+SUMPRODUCT(MAX(ROW(E1961:E$2)*(E1962=E1961:E$2)))))</f>
        <v> </v>
      </c>
      <c r="J1962" s="25" t="str">
        <f>IF(OR(E1962="",E1962="!!!",F1962="NEW"),"",COUNTBLANK(OFFSET(A$1,,,SUMPRODUCT(MAX(ROW(E$2:E1962)*(E1962=E$2:E1962)))))-COUNTBLANK(OFFSET(A$1,,,SUMPRODUCT(MAX(ROW(E$1:E1961)*(E2=E$1:E1961))))))</f>
        <v> </v>
      </c>
      <c r="K1962" s="25" t="str">
        <f>IF(OR(E1962="",E1962="!!!",F1962="NEW"),"",INDEX(J$1:J1961,SUMPRODUCT(MAX(ROW(E$1:E1961)*(E1962=E$1:E1961)))))</f>
        <v> </v>
      </c>
      <c r="L1962" s="26"/>
    </row>
    <row r="1963" spans="1:12">
      <c r="A1963" s="20" t="s">
        <v>1256</v>
      </c>
      <c r="E1963" s="21">
        <f>IF(D1963="?OLD","!!!","")</f>
        <v/>
      </c>
      <c r="F1963" s="22" t="str">
        <f>IF(OR(E1963="",E1963="!!!"),"",IF(NOT(ISNA(VLOOKUP(E1963,E$1:E1962,1,FALSE()))),"OLD",IF(AND(E1963&lt;&gt;"",E1963&lt;&gt;"!!!"),"NEW","")))</f>
        <v> </v>
      </c>
      <c r="G1963" s="23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4" t="str">
        <f>IF(J1963&lt;&gt;1,"",IF(I1963="SBJ","CB","?"))</f>
        <v> </v>
      </c>
      <c r="I1963" s="25" t="str">
        <f>IF(OR(E1963="",E1963="!!!",F1963="NEW"),"",INDEX(B1962:B$2,-1+SUMPRODUCT(MAX(ROW(E1962:E$2)*(E1963=E1962:E$2)))))</f>
        <v> </v>
      </c>
      <c r="J1963" s="25" t="str">
        <f>IF(OR(E1963="",E1963="!!!",F1963="NEW"),"",COUNTBLANK(OFFSET(A$1,,,SUMPRODUCT(MAX(ROW(E$2:E1963)*(E1963=E$2:E1963)))))-COUNTBLANK(OFFSET(A$1,,,SUMPRODUCT(MAX(ROW(E$1:E1962)*(E2=E$1:E1962))))))</f>
        <v> </v>
      </c>
      <c r="K1963" s="25" t="str">
        <f>IF(OR(E1963="",E1963="!!!",F1963="NEW"),"",INDEX(J$1:J1962,SUMPRODUCT(MAX(ROW(E$1:E1962)*(E1963=E$1:E1962)))))</f>
        <v> </v>
      </c>
      <c r="L1963" s="26"/>
    </row>
    <row r="1964" spans="1:12">
      <c r="A1964" s="20" t="s">
        <v>683</v>
      </c>
      <c r="B1964" s="27" t="s">
        <v>743</v>
      </c>
      <c r="C1964" s="27" t="s">
        <v>540</v>
      </c>
      <c r="D1964" s="27" t="s">
        <v>524</v>
      </c>
      <c r="E1964" s="21">
        <f>IF(D1964="?OLD","!!!","")</f>
        <v/>
      </c>
      <c r="F1964" s="22" t="str">
        <f>IF(OR(E1964="",E1964="!!!"),"",IF(NOT(ISNA(VLOOKUP(E1964,E$1:E1963,1,FALSE()))),"OLD",IF(AND(E1964&lt;&gt;"",E1964&lt;&gt;"!!!"),"NEW","")))</f>
        <v> </v>
      </c>
      <c r="G1964" s="23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4" t="str">
        <f>IF(J1964&lt;&gt;1,"",IF(I1964="SBJ","CB","?"))</f>
        <v> </v>
      </c>
      <c r="I1964" s="25" t="str">
        <f>IF(OR(E1964="",E1964="!!!",F1964="NEW"),"",INDEX(B1963:B$2,-1+SUMPRODUCT(MAX(ROW(E1963:E$2)*(E1964=E1963:E$2)))))</f>
        <v> </v>
      </c>
      <c r="J1964" s="25" t="str">
        <f>IF(OR(E1964="",E1964="!!!",F1964="NEW"),"",COUNTBLANK(OFFSET(A$1,,,SUMPRODUCT(MAX(ROW(E$2:E1964)*(E1964=E$2:E1964)))))-COUNTBLANK(OFFSET(A$1,,,SUMPRODUCT(MAX(ROW(E$1:E1963)*(E2=E$1:E1963))))))</f>
        <v> </v>
      </c>
      <c r="K1964" s="25" t="str">
        <f>IF(OR(E1964="",E1964="!!!",F1964="NEW"),"",INDEX(J$1:J1963,SUMPRODUCT(MAX(ROW(E$1:E1963)*(E1964=E$1:E1963)))))</f>
        <v> </v>
      </c>
      <c r="L1964" s="26"/>
    </row>
    <row r="1965" spans="1:12">
      <c r="A1965" s="20" t="s">
        <v>518</v>
      </c>
      <c r="E1965" s="21">
        <f>IF(D1965="?OLD","!!!","")</f>
        <v/>
      </c>
      <c r="F1965" s="22" t="str">
        <f>IF(OR(E1965="",E1965="!!!"),"",IF(NOT(ISNA(VLOOKUP(E1965,E$1:E1964,1,FALSE()))),"OLD",IF(AND(E1965&lt;&gt;"",E1965&lt;&gt;"!!!"),"NEW","")))</f>
        <v> </v>
      </c>
      <c r="G1965" s="23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4" t="str">
        <f>IF(J1965&lt;&gt;1,"",IF(I1965="SBJ","CB","?"))</f>
        <v> </v>
      </c>
      <c r="I1965" s="25" t="str">
        <f>IF(OR(E1965="",E1965="!!!",F1965="NEW"),"",INDEX(B1964:B$2,-1+SUMPRODUCT(MAX(ROW(E1964:E$2)*(E1965=E1964:E$2)))))</f>
        <v> </v>
      </c>
      <c r="J1965" s="25" t="str">
        <f>IF(OR(E1965="",E1965="!!!",F1965="NEW"),"",COUNTBLANK(OFFSET(A$1,,,SUMPRODUCT(MAX(ROW(E$2:E1965)*(E1965=E$2:E1965)))))-COUNTBLANK(OFFSET(A$1,,,SUMPRODUCT(MAX(ROW(E$1:E1964)*(E2=E$1:E1964))))))</f>
        <v> </v>
      </c>
      <c r="K1965" s="25" t="str">
        <f>IF(OR(E1965="",E1965="!!!",F1965="NEW"),"",INDEX(J$1:J1964,SUMPRODUCT(MAX(ROW(E$1:E1964)*(E1965=E$1:E1964)))))</f>
        <v> </v>
      </c>
      <c r="L1965" s="26"/>
    </row>
    <row r="1966" spans="1:12">
      <c r="A1966" s="20" t="s">
        <v>571</v>
      </c>
      <c r="E1966" s="21">
        <f>IF(D1966="?OLD","!!!","")</f>
        <v/>
      </c>
      <c r="F1966" s="22" t="str">
        <f>IF(OR(E1966="",E1966="!!!"),"",IF(NOT(ISNA(VLOOKUP(E1966,E$1:E1965,1,FALSE()))),"OLD",IF(AND(E1966&lt;&gt;"",E1966&lt;&gt;"!!!"),"NEW","")))</f>
        <v> </v>
      </c>
      <c r="G1966" s="23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4" t="str">
        <f>IF(J1966&lt;&gt;1,"",IF(I1966="SBJ","CB","?"))</f>
        <v> </v>
      </c>
      <c r="I1966" s="25" t="str">
        <f>IF(OR(E1966="",E1966="!!!",F1966="NEW"),"",INDEX(B1965:B$2,-1+SUMPRODUCT(MAX(ROW(E1965:E$2)*(E1966=E1965:E$2)))))</f>
        <v> </v>
      </c>
      <c r="J1966" s="25" t="str">
        <f>IF(OR(E1966="",E1966="!!!",F1966="NEW"),"",COUNTBLANK(OFFSET(A$1,,,SUMPRODUCT(MAX(ROW(E$2:E1966)*(E1966=E$2:E1966)))))-COUNTBLANK(OFFSET(A$1,,,SUMPRODUCT(MAX(ROW(E$1:E1965)*(E2=E$1:E1965))))))</f>
        <v> </v>
      </c>
      <c r="K1966" s="25" t="str">
        <f>IF(OR(E1966="",E1966="!!!",F1966="NEW"),"",INDEX(J$1:J1965,SUMPRODUCT(MAX(ROW(E$1:E1965)*(E1966=E$1:E1965)))))</f>
        <v> </v>
      </c>
      <c r="L1966" s="26"/>
    </row>
    <row r="1967" spans="1:12">
      <c r="A1967" s="20" t="s">
        <v>1257</v>
      </c>
      <c r="B1967" s="27" t="s">
        <v>597</v>
      </c>
      <c r="C1967" s="27" t="s">
        <v>540</v>
      </c>
      <c r="D1967" s="27" t="s">
        <v>524</v>
      </c>
      <c r="E1967" s="21">
        <f>IF(D1967="?OLD","!!!","")</f>
        <v/>
      </c>
      <c r="F1967" s="22" t="str">
        <f>IF(OR(E1967="",E1967="!!!"),"",IF(NOT(ISNA(VLOOKUP(E1967,E$1:E1966,1,FALSE()))),"OLD",IF(AND(E1967&lt;&gt;"",E1967&lt;&gt;"!!!"),"NEW","")))</f>
        <v> </v>
      </c>
      <c r="G1967" s="23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4" t="str">
        <f>IF(J1967&lt;&gt;1,"",IF(I1967="SBJ","CB","?"))</f>
        <v> </v>
      </c>
      <c r="I1967" s="25" t="str">
        <f>IF(OR(E1967="",E1967="!!!",F1967="NEW"),"",INDEX(B1966:B$2,-1+SUMPRODUCT(MAX(ROW(E1966:E$2)*(E1967=E1966:E$2)))))</f>
        <v> </v>
      </c>
      <c r="J1967" s="25" t="str">
        <f>IF(OR(E1967="",E1967="!!!",F1967="NEW"),"",COUNTBLANK(OFFSET(A$1,,,SUMPRODUCT(MAX(ROW(E$2:E1967)*(E1967=E$2:E1967)))))-COUNTBLANK(OFFSET(A$1,,,SUMPRODUCT(MAX(ROW(E$1:E1966)*(E2=E$1:E1966))))))</f>
        <v> </v>
      </c>
      <c r="K1967" s="25" t="str">
        <f>IF(OR(E1967="",E1967="!!!",F1967="NEW"),"",INDEX(J$1:J1966,SUMPRODUCT(MAX(ROW(E$1:E1966)*(E1967=E$1:E1966)))))</f>
        <v> </v>
      </c>
      <c r="L1967" s="26"/>
    </row>
    <row r="1968" spans="1:12">
      <c r="A1968" s="20" t="s">
        <v>518</v>
      </c>
      <c r="E1968" s="21">
        <f>IF(D1968="?OLD","!!!","")</f>
        <v/>
      </c>
      <c r="F1968" s="22" t="str">
        <f>IF(OR(E1968="",E1968="!!!"),"",IF(NOT(ISNA(VLOOKUP(E1968,E$1:E1967,1,FALSE()))),"OLD",IF(AND(E1968&lt;&gt;"",E1968&lt;&gt;"!!!"),"NEW","")))</f>
        <v> </v>
      </c>
      <c r="G1968" s="23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4" t="str">
        <f>IF(J1968&lt;&gt;1,"",IF(I1968="SBJ","CB","?"))</f>
        <v> </v>
      </c>
      <c r="I1968" s="25" t="str">
        <f>IF(OR(E1968="",E1968="!!!",F1968="NEW"),"",INDEX(B1967:B$2,-1+SUMPRODUCT(MAX(ROW(E1967:E$2)*(E1968=E1967:E$2)))))</f>
        <v> </v>
      </c>
      <c r="J1968" s="25" t="str">
        <f>IF(OR(E1968="",E1968="!!!",F1968="NEW"),"",COUNTBLANK(OFFSET(A$1,,,SUMPRODUCT(MAX(ROW(E$2:E1968)*(E1968=E$2:E1968)))))-COUNTBLANK(OFFSET(A$1,,,SUMPRODUCT(MAX(ROW(E$1:E1967)*(E2=E$1:E1967))))))</f>
        <v> </v>
      </c>
      <c r="K1968" s="25" t="str">
        <f>IF(OR(E1968="",E1968="!!!",F1968="NEW"),"",INDEX(J$1:J1967,SUMPRODUCT(MAX(ROW(E$1:E1967)*(E1968=E$1:E1967)))))</f>
        <v> </v>
      </c>
      <c r="L1968" s="26"/>
    </row>
    <row r="1969" spans="1:12">
      <c r="A1969" s="20" t="s">
        <v>1258</v>
      </c>
      <c r="B1969" s="27" t="s">
        <v>544</v>
      </c>
      <c r="C1969" s="27" t="s">
        <v>548</v>
      </c>
      <c r="D1969" s="27" t="s">
        <v>524</v>
      </c>
      <c r="E1969" s="21">
        <f>IF(D1969="?OLD","!!!","")</f>
        <v/>
      </c>
      <c r="F1969" s="22" t="str">
        <f>IF(OR(E1969="",E1969="!!!"),"",IF(NOT(ISNA(VLOOKUP(E1969,E$1:E1968,1,FALSE()))),"OLD",IF(AND(E1969&lt;&gt;"",E1969&lt;&gt;"!!!"),"NEW","")))</f>
        <v> </v>
      </c>
      <c r="G1969" s="23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4" t="str">
        <f>IF(J1969&lt;&gt;1,"",IF(I1969="SBJ","CB","?"))</f>
        <v> </v>
      </c>
      <c r="I1969" s="25" t="str">
        <f>IF(OR(E1969="",E1969="!!!",F1969="NEW"),"",INDEX(B1968:B$2,-1+SUMPRODUCT(MAX(ROW(E1968:E$2)*(E1969=E1968:E$2)))))</f>
        <v> </v>
      </c>
      <c r="J1969" s="25" t="str">
        <f>IF(OR(E1969="",E1969="!!!",F1969="NEW"),"",COUNTBLANK(OFFSET(A$1,,,SUMPRODUCT(MAX(ROW(E$2:E1969)*(E1969=E$2:E1969)))))-COUNTBLANK(OFFSET(A$1,,,SUMPRODUCT(MAX(ROW(E$1:E1968)*(E2=E$1:E1968))))))</f>
        <v> </v>
      </c>
      <c r="K1969" s="25" t="str">
        <f>IF(OR(E1969="",E1969="!!!",F1969="NEW"),"",INDEX(J$1:J1968,SUMPRODUCT(MAX(ROW(E$1:E1968)*(E1969=E$1:E1968)))))</f>
        <v> </v>
      </c>
      <c r="L1969" s="26"/>
    </row>
    <row r="1970" spans="1:12">
      <c r="A1970" s="20" t="s">
        <v>1259</v>
      </c>
      <c r="B1970" s="27" t="s">
        <v>534</v>
      </c>
      <c r="C1970" s="27" t="s">
        <v>548</v>
      </c>
      <c r="D1970" s="27" t="s">
        <v>524</v>
      </c>
      <c r="E1970" s="21">
        <f>IF(D1970="?OLD","!!!","")</f>
        <v/>
      </c>
      <c r="F1970" s="22" t="str">
        <f>IF(OR(E1970="",E1970="!!!"),"",IF(NOT(ISNA(VLOOKUP(E1970,E$1:E1969,1,FALSE()))),"OLD",IF(AND(E1970&lt;&gt;"",E1970&lt;&gt;"!!!"),"NEW","")))</f>
        <v> </v>
      </c>
      <c r="G1970" s="23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4" t="str">
        <f>IF(J1970&lt;&gt;1,"",IF(I1970="SBJ","CB","?"))</f>
        <v> </v>
      </c>
      <c r="I1970" s="25" t="str">
        <f>IF(OR(E1970="",E1970="!!!",F1970="NEW"),"",INDEX(B1969:B$2,-1+SUMPRODUCT(MAX(ROW(E1969:E$2)*(E1970=E1969:E$2)))))</f>
        <v> </v>
      </c>
      <c r="J1970" s="25" t="str">
        <f>IF(OR(E1970="",E1970="!!!",F1970="NEW"),"",COUNTBLANK(OFFSET(A$1,,,SUMPRODUCT(MAX(ROW(E$2:E1970)*(E1970=E$2:E1970)))))-COUNTBLANK(OFFSET(A$1,,,SUMPRODUCT(MAX(ROW(E$1:E1969)*(E2=E$1:E1969))))))</f>
        <v> </v>
      </c>
      <c r="K1970" s="25" t="str">
        <f>IF(OR(E1970="",E1970="!!!",F1970="NEW"),"",INDEX(J$1:J1969,SUMPRODUCT(MAX(ROW(E$1:E1969)*(E1970=E$1:E1969)))))</f>
        <v> </v>
      </c>
      <c r="L1970" s="26"/>
    </row>
    <row r="1971" spans="1:12">
      <c r="A1971" s="20" t="s">
        <v>565</v>
      </c>
      <c r="E1971" s="21">
        <f>IF(D1971="?OLD","!!!","")</f>
        <v/>
      </c>
      <c r="F1971" s="22" t="str">
        <f>IF(OR(E1971="",E1971="!!!"),"",IF(NOT(ISNA(VLOOKUP(E1971,E$1:E1970,1,FALSE()))),"OLD",IF(AND(E1971&lt;&gt;"",E1971&lt;&gt;"!!!"),"NEW","")))</f>
        <v> </v>
      </c>
      <c r="G1971" s="23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4" t="str">
        <f>IF(J1971&lt;&gt;1,"",IF(I1971="SBJ","CB","?"))</f>
        <v> </v>
      </c>
      <c r="I1971" s="25" t="str">
        <f>IF(OR(E1971="",E1971="!!!",F1971="NEW"),"",INDEX(B1970:B$2,-1+SUMPRODUCT(MAX(ROW(E1970:E$2)*(E1971=E1970:E$2)))))</f>
        <v> </v>
      </c>
      <c r="J1971" s="25" t="str">
        <f>IF(OR(E1971="",E1971="!!!",F1971="NEW"),"",COUNTBLANK(OFFSET(A$1,,,SUMPRODUCT(MAX(ROW(E$2:E1971)*(E1971=E$2:E1971)))))-COUNTBLANK(OFFSET(A$1,,,SUMPRODUCT(MAX(ROW(E$1:E1970)*(E2=E$1:E1970))))))</f>
        <v> </v>
      </c>
      <c r="K1971" s="25" t="str">
        <f>IF(OR(E1971="",E1971="!!!",F1971="NEW"),"",INDEX(J$1:J1970,SUMPRODUCT(MAX(ROW(E$1:E1970)*(E1971=E$1:E1970)))))</f>
        <v> </v>
      </c>
      <c r="L1971" s="26"/>
    </row>
    <row r="1972" spans="1:12">
      <c r="A1972" s="20" t="s">
        <v>625</v>
      </c>
      <c r="E1972" s="21">
        <f>IF(D1972="?OLD","!!!","")</f>
        <v/>
      </c>
      <c r="F1972" s="22" t="str">
        <f>IF(OR(E1972="",E1972="!!!"),"",IF(NOT(ISNA(VLOOKUP(E1972,E$1:E1971,1,FALSE()))),"OLD",IF(AND(E1972&lt;&gt;"",E1972&lt;&gt;"!!!"),"NEW","")))</f>
        <v> </v>
      </c>
      <c r="G1972" s="23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4" t="str">
        <f>IF(J1972&lt;&gt;1,"",IF(I1972="SBJ","CB","?"))</f>
        <v> </v>
      </c>
      <c r="I1972" s="25" t="str">
        <f>IF(OR(E1972="",E1972="!!!",F1972="NEW"),"",INDEX(B1971:B$2,-1+SUMPRODUCT(MAX(ROW(E1971:E$2)*(E1972=E1971:E$2)))))</f>
        <v> </v>
      </c>
      <c r="J1972" s="25" t="str">
        <f>IF(OR(E1972="",E1972="!!!",F1972="NEW"),"",COUNTBLANK(OFFSET(A$1,,,SUMPRODUCT(MAX(ROW(E$2:E1972)*(E1972=E$2:E1972)))))-COUNTBLANK(OFFSET(A$1,,,SUMPRODUCT(MAX(ROW(E$1:E1971)*(E2=E$1:E1971))))))</f>
        <v> </v>
      </c>
      <c r="K1972" s="25" t="str">
        <f>IF(OR(E1972="",E1972="!!!",F1972="NEW"),"",INDEX(J$1:J1971,SUMPRODUCT(MAX(ROW(E$1:E1971)*(E1972=E$1:E1971)))))</f>
        <v> </v>
      </c>
      <c r="L1972" s="26"/>
    </row>
    <row r="1973" spans="1:12">
      <c r="A1973" s="20" t="s">
        <v>833</v>
      </c>
      <c r="E1973" s="21">
        <f>IF(D1973="?OLD","!!!","")</f>
        <v/>
      </c>
      <c r="F1973" s="22" t="str">
        <f>IF(OR(E1973="",E1973="!!!"),"",IF(NOT(ISNA(VLOOKUP(E1973,E$1:E1972,1,FALSE()))),"OLD",IF(AND(E1973&lt;&gt;"",E1973&lt;&gt;"!!!"),"NEW","")))</f>
        <v> </v>
      </c>
      <c r="G1973" s="23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4" t="str">
        <f>IF(J1973&lt;&gt;1,"",IF(I1973="SBJ","CB","?"))</f>
        <v> </v>
      </c>
      <c r="I1973" s="25" t="str">
        <f>IF(OR(E1973="",E1973="!!!",F1973="NEW"),"",INDEX(B1972:B$2,-1+SUMPRODUCT(MAX(ROW(E1972:E$2)*(E1973=E1972:E$2)))))</f>
        <v> </v>
      </c>
      <c r="J1973" s="25" t="str">
        <f>IF(OR(E1973="",E1973="!!!",F1973="NEW"),"",COUNTBLANK(OFFSET(A$1,,,SUMPRODUCT(MAX(ROW(E$2:E1973)*(E1973=E$2:E1973)))))-COUNTBLANK(OFFSET(A$1,,,SUMPRODUCT(MAX(ROW(E$1:E1972)*(E2=E$1:E1972))))))</f>
        <v> </v>
      </c>
      <c r="K1973" s="25" t="str">
        <f>IF(OR(E1973="",E1973="!!!",F1973="NEW"),"",INDEX(J$1:J1972,SUMPRODUCT(MAX(ROW(E$1:E1972)*(E1973=E$1:E1972)))))</f>
        <v> </v>
      </c>
      <c r="L1973" s="26"/>
    </row>
    <row r="1974" spans="1:12">
      <c r="A1974" s="20" t="s">
        <v>531</v>
      </c>
      <c r="E1974" s="21">
        <f>IF(D1974="?OLD","!!!","")</f>
        <v/>
      </c>
      <c r="F1974" s="22" t="str">
        <f>IF(OR(E1974="",E1974="!!!"),"",IF(NOT(ISNA(VLOOKUP(E1974,E$1:E1973,1,FALSE()))),"OLD",IF(AND(E1974&lt;&gt;"",E1974&lt;&gt;"!!!"),"NEW","")))</f>
        <v> </v>
      </c>
      <c r="G1974" s="23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4" t="str">
        <f>IF(J1974&lt;&gt;1,"",IF(I1974="SBJ","CB","?"))</f>
        <v> </v>
      </c>
      <c r="I1974" s="25" t="str">
        <f>IF(OR(E1974="",E1974="!!!",F1974="NEW"),"",INDEX(B1973:B$2,-1+SUMPRODUCT(MAX(ROW(E1973:E$2)*(E1974=E1973:E$2)))))</f>
        <v> </v>
      </c>
      <c r="J1974" s="25" t="str">
        <f>IF(OR(E1974="",E1974="!!!",F1974="NEW"),"",COUNTBLANK(OFFSET(A$1,,,SUMPRODUCT(MAX(ROW(E$2:E1974)*(E1974=E$2:E1974)))))-COUNTBLANK(OFFSET(A$1,,,SUMPRODUCT(MAX(ROW(E$1:E1973)*(E2=E$1:E1973))))))</f>
        <v> </v>
      </c>
      <c r="K1974" s="25" t="str">
        <f>IF(OR(E1974="",E1974="!!!",F1974="NEW"),"",INDEX(J$1:J1973,SUMPRODUCT(MAX(ROW(E$1:E1973)*(E1974=E$1:E1973)))))</f>
        <v> </v>
      </c>
      <c r="L1974" s="26"/>
    </row>
    <row r="1975" spans="1:12">
      <c r="A1975" s="20" t="s">
        <v>1260</v>
      </c>
      <c r="E1975" s="21">
        <f>IF(D1975="?OLD","!!!","")</f>
        <v/>
      </c>
      <c r="F1975" s="22" t="str">
        <f>IF(OR(E1975="",E1975="!!!"),"",IF(NOT(ISNA(VLOOKUP(E1975,E$1:E1974,1,FALSE()))),"OLD",IF(AND(E1975&lt;&gt;"",E1975&lt;&gt;"!!!"),"NEW","")))</f>
        <v> </v>
      </c>
      <c r="G1975" s="23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4" t="str">
        <f>IF(J1975&lt;&gt;1,"",IF(I1975="SBJ","CB","?"))</f>
        <v> </v>
      </c>
      <c r="I1975" s="25" t="str">
        <f>IF(OR(E1975="",E1975="!!!",F1975="NEW"),"",INDEX(B1974:B$2,-1+SUMPRODUCT(MAX(ROW(E1974:E$2)*(E1975=E1974:E$2)))))</f>
        <v> </v>
      </c>
      <c r="J1975" s="25" t="str">
        <f>IF(OR(E1975="",E1975="!!!",F1975="NEW"),"",COUNTBLANK(OFFSET(A$1,,,SUMPRODUCT(MAX(ROW(E$2:E1975)*(E1975=E$2:E1975)))))-COUNTBLANK(OFFSET(A$1,,,SUMPRODUCT(MAX(ROW(E$1:E1974)*(E2=E$1:E1974))))))</f>
        <v> </v>
      </c>
      <c r="K1975" s="25" t="str">
        <f>IF(OR(E1975="",E1975="!!!",F1975="NEW"),"",INDEX(J$1:J1974,SUMPRODUCT(MAX(ROW(E$1:E1974)*(E1975=E$1:E1974)))))</f>
        <v> </v>
      </c>
      <c r="L1975" s="26"/>
    </row>
    <row r="1976" spans="1:12">
      <c r="A1976" s="20" t="s">
        <v>683</v>
      </c>
      <c r="B1976" s="27" t="s">
        <v>522</v>
      </c>
      <c r="C1976" s="27" t="s">
        <v>908</v>
      </c>
      <c r="E1976" s="21">
        <f>IF(D1976="?OLD","!!!","")</f>
        <v/>
      </c>
      <c r="F1976" s="22" t="str">
        <f>IF(OR(E1976="",E1976="!!!"),"",IF(NOT(ISNA(VLOOKUP(E1976,E$1:E1975,1,FALSE()))),"OLD",IF(AND(E1976&lt;&gt;"",E1976&lt;&gt;"!!!"),"NEW","")))</f>
        <v> </v>
      </c>
      <c r="G1976" s="23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4" t="str">
        <f>IF(J1976&lt;&gt;1,"",IF(I1976="SBJ","CB","?"))</f>
        <v> </v>
      </c>
      <c r="I1976" s="25" t="str">
        <f>IF(OR(E1976="",E1976="!!!",F1976="NEW"),"",INDEX(B1975:B$2,-1+SUMPRODUCT(MAX(ROW(E1975:E$2)*(E1976=E1975:E$2)))))</f>
        <v> </v>
      </c>
      <c r="J1976" s="25" t="str">
        <f>IF(OR(E1976="",E1976="!!!",F1976="NEW"),"",COUNTBLANK(OFFSET(A$1,,,SUMPRODUCT(MAX(ROW(E$2:E1976)*(E1976=E$2:E1976)))))-COUNTBLANK(OFFSET(A$1,,,SUMPRODUCT(MAX(ROW(E$1:E1975)*(E2=E$1:E1975))))))</f>
        <v> </v>
      </c>
      <c r="K1976" s="25" t="str">
        <f>IF(OR(E1976="",E1976="!!!",F1976="NEW"),"",INDEX(J$1:J1975,SUMPRODUCT(MAX(ROW(E$1:E1975)*(E1976=E$1:E1975)))))</f>
        <v> </v>
      </c>
      <c r="L1976" s="26"/>
    </row>
    <row r="1977" spans="1:12">
      <c r="A1977" s="20" t="s">
        <v>565</v>
      </c>
      <c r="E1977" s="21">
        <f>IF(D1977="?OLD","!!!","")</f>
        <v/>
      </c>
      <c r="F1977" s="22" t="str">
        <f>IF(OR(E1977="",E1977="!!!"),"",IF(NOT(ISNA(VLOOKUP(E1977,E$1:E1976,1,FALSE()))),"OLD",IF(AND(E1977&lt;&gt;"",E1977&lt;&gt;"!!!"),"NEW","")))</f>
        <v> </v>
      </c>
      <c r="G1977" s="23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4" t="str">
        <f>IF(J1977&lt;&gt;1,"",IF(I1977="SBJ","CB","?"))</f>
        <v> </v>
      </c>
      <c r="I1977" s="25" t="str">
        <f>IF(OR(E1977="",E1977="!!!",F1977="NEW"),"",INDEX(B1976:B$2,-1+SUMPRODUCT(MAX(ROW(E1976:E$2)*(E1977=E1976:E$2)))))</f>
        <v> </v>
      </c>
      <c r="J1977" s="25" t="str">
        <f>IF(OR(E1977="",E1977="!!!",F1977="NEW"),"",COUNTBLANK(OFFSET(A$1,,,SUMPRODUCT(MAX(ROW(E$2:E1977)*(E1977=E$2:E1977)))))-COUNTBLANK(OFFSET(A$1,,,SUMPRODUCT(MAX(ROW(E$1:E1976)*(E2=E$1:E1976))))))</f>
        <v> </v>
      </c>
      <c r="K1977" s="25" t="str">
        <f>IF(OR(E1977="",E1977="!!!",F1977="NEW"),"",INDEX(J$1:J1976,SUMPRODUCT(MAX(ROW(E$1:E1976)*(E1977=E$1:E1976)))))</f>
        <v> </v>
      </c>
      <c r="L1977" s="26"/>
    </row>
    <row r="1978" spans="1:12">
      <c r="A1978" s="20" t="s">
        <v>574</v>
      </c>
      <c r="E1978" s="21">
        <f>IF(D1978="?OLD","!!!","")</f>
        <v/>
      </c>
      <c r="F1978" s="22" t="str">
        <f>IF(OR(E1978="",E1978="!!!"),"",IF(NOT(ISNA(VLOOKUP(E1978,E$1:E1977,1,FALSE()))),"OLD",IF(AND(E1978&lt;&gt;"",E1978&lt;&gt;"!!!"),"NEW","")))</f>
        <v> </v>
      </c>
      <c r="G1978" s="23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4" t="str">
        <f>IF(J1978&lt;&gt;1,"",IF(I1978="SBJ","CB","?"))</f>
        <v> </v>
      </c>
      <c r="I1978" s="25" t="str">
        <f>IF(OR(E1978="",E1978="!!!",F1978="NEW"),"",INDEX(B1977:B$2,-1+SUMPRODUCT(MAX(ROW(E1977:E$2)*(E1978=E1977:E$2)))))</f>
        <v> </v>
      </c>
      <c r="J1978" s="25" t="str">
        <f>IF(OR(E1978="",E1978="!!!",F1978="NEW"),"",COUNTBLANK(OFFSET(A$1,,,SUMPRODUCT(MAX(ROW(E$2:E1978)*(E1978=E$2:E1978)))))-COUNTBLANK(OFFSET(A$1,,,SUMPRODUCT(MAX(ROW(E$1:E1977)*(E2=E$1:E1977))))))</f>
        <v> </v>
      </c>
      <c r="K1978" s="25" t="str">
        <f>IF(OR(E1978="",E1978="!!!",F1978="NEW"),"",INDEX(J$1:J1977,SUMPRODUCT(MAX(ROW(E$1:E1977)*(E1978=E$1:E1977)))))</f>
        <v> </v>
      </c>
      <c r="L1978" s="26"/>
    </row>
    <row r="1979" spans="1:12">
      <c r="A1979" s="20" t="s">
        <v>537</v>
      </c>
      <c r="E1979" s="21">
        <f>IF(D1979="?OLD","!!!","")</f>
        <v/>
      </c>
      <c r="F1979" s="22" t="str">
        <f>IF(OR(E1979="",E1979="!!!"),"",IF(NOT(ISNA(VLOOKUP(E1979,E$1:E1978,1,FALSE()))),"OLD",IF(AND(E1979&lt;&gt;"",E1979&lt;&gt;"!!!"),"NEW","")))</f>
        <v> </v>
      </c>
      <c r="G1979" s="23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4" t="str">
        <f>IF(J1979&lt;&gt;1,"",IF(I1979="SBJ","CB","?"))</f>
        <v> </v>
      </c>
      <c r="I1979" s="25" t="str">
        <f>IF(OR(E1979="",E1979="!!!",F1979="NEW"),"",INDEX(B1978:B$2,-1+SUMPRODUCT(MAX(ROW(E1978:E$2)*(E1979=E1978:E$2)))))</f>
        <v> </v>
      </c>
      <c r="J1979" s="25" t="str">
        <f>IF(OR(E1979="",E1979="!!!",F1979="NEW"),"",COUNTBLANK(OFFSET(A$1,,,SUMPRODUCT(MAX(ROW(E$2:E1979)*(E1979=E$2:E1979)))))-COUNTBLANK(OFFSET(A$1,,,SUMPRODUCT(MAX(ROW(E$1:E1978)*(E2=E$1:E1978))))))</f>
        <v> </v>
      </c>
      <c r="K1979" s="25" t="str">
        <f>IF(OR(E1979="",E1979="!!!",F1979="NEW"),"",INDEX(J$1:J1978,SUMPRODUCT(MAX(ROW(E$1:E1978)*(E1979=E$1:E1978)))))</f>
        <v> </v>
      </c>
      <c r="L1979" s="26"/>
    </row>
    <row r="1980" spans="1:12">
      <c r="A1980" s="20" t="s">
        <v>1057</v>
      </c>
      <c r="E1980" s="21">
        <f>IF(D1980="?OLD","!!!","")</f>
        <v/>
      </c>
      <c r="F1980" s="22" t="str">
        <f>IF(OR(E1980="",E1980="!!!"),"",IF(NOT(ISNA(VLOOKUP(E1980,E$1:E1979,1,FALSE()))),"OLD",IF(AND(E1980&lt;&gt;"",E1980&lt;&gt;"!!!"),"NEW","")))</f>
        <v> </v>
      </c>
      <c r="G1980" s="23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4" t="str">
        <f>IF(J1980&lt;&gt;1,"",IF(I1980="SBJ","CB","?"))</f>
        <v> </v>
      </c>
      <c r="I1980" s="25" t="str">
        <f>IF(OR(E1980="",E1980="!!!",F1980="NEW"),"",INDEX(B1979:B$2,-1+SUMPRODUCT(MAX(ROW(E1979:E$2)*(E1980=E1979:E$2)))))</f>
        <v> </v>
      </c>
      <c r="J1980" s="25" t="str">
        <f>IF(OR(E1980="",E1980="!!!",F1980="NEW"),"",COUNTBLANK(OFFSET(A$1,,,SUMPRODUCT(MAX(ROW(E$2:E1980)*(E1980=E$2:E1980)))))-COUNTBLANK(OFFSET(A$1,,,SUMPRODUCT(MAX(ROW(E$1:E1979)*(E2=E$1:E1979))))))</f>
        <v> </v>
      </c>
      <c r="K1980" s="25" t="str">
        <f>IF(OR(E1980="",E1980="!!!",F1980="NEW"),"",INDEX(J$1:J1979,SUMPRODUCT(MAX(ROW(E$1:E1979)*(E1980=E$1:E1979)))))</f>
        <v> </v>
      </c>
      <c r="L1980" s="26"/>
    </row>
    <row r="1981" spans="1:12">
      <c r="A1981" s="20" t="s">
        <v>542</v>
      </c>
      <c r="E1981" s="21">
        <f>IF(D1981="?OLD","!!!","")</f>
        <v/>
      </c>
      <c r="F1981" s="22" t="str">
        <f>IF(OR(E1981="",E1981="!!!"),"",IF(NOT(ISNA(VLOOKUP(E1981,E$1:E1980,1,FALSE()))),"OLD",IF(AND(E1981&lt;&gt;"",E1981&lt;&gt;"!!!"),"NEW","")))</f>
        <v> </v>
      </c>
      <c r="G1981" s="23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4" t="str">
        <f>IF(J1981&lt;&gt;1,"",IF(I1981="SBJ","CB","?"))</f>
        <v> </v>
      </c>
      <c r="I1981" s="25" t="str">
        <f>IF(OR(E1981="",E1981="!!!",F1981="NEW"),"",INDEX(B1980:B$2,-1+SUMPRODUCT(MAX(ROW(E1980:E$2)*(E1981=E1980:E$2)))))</f>
        <v> </v>
      </c>
      <c r="J1981" s="25" t="str">
        <f>IF(OR(E1981="",E1981="!!!",F1981="NEW"),"",COUNTBLANK(OFFSET(A$1,,,SUMPRODUCT(MAX(ROW(E$2:E1981)*(E1981=E$2:E1981)))))-COUNTBLANK(OFFSET(A$1,,,SUMPRODUCT(MAX(ROW(E$1:E1980)*(E2=E$1:E1980))))))</f>
        <v> </v>
      </c>
      <c r="K1981" s="25" t="str">
        <f>IF(OR(E1981="",E1981="!!!",F1981="NEW"),"",INDEX(J$1:J1980,SUMPRODUCT(MAX(ROW(E$1:E1980)*(E1981=E$1:E1980)))))</f>
        <v> </v>
      </c>
      <c r="L1981" s="26"/>
    </row>
    <row r="1982" spans="1:12">
      <c r="A1982" s="20" t="s">
        <v>1261</v>
      </c>
      <c r="B1982" s="27" t="s">
        <v>597</v>
      </c>
      <c r="C1982" s="27" t="s">
        <v>545</v>
      </c>
      <c r="D1982" s="27" t="s">
        <v>524</v>
      </c>
      <c r="E1982" s="21">
        <f>IF(D1982="?OLD","!!!","")</f>
        <v/>
      </c>
      <c r="F1982" s="22" t="str">
        <f>IF(OR(E1982="",E1982="!!!"),"",IF(NOT(ISNA(VLOOKUP(E1982,E$1:E1981,1,FALSE()))),"OLD",IF(AND(E1982&lt;&gt;"",E1982&lt;&gt;"!!!"),"NEW","")))</f>
        <v> </v>
      </c>
      <c r="G1982" s="23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4" t="str">
        <f>IF(J1982&lt;&gt;1,"",IF(I1982="SBJ","CB","?"))</f>
        <v> </v>
      </c>
      <c r="I1982" s="25" t="str">
        <f>IF(OR(E1982="",E1982="!!!",F1982="NEW"),"",INDEX(B1981:B$2,-1+SUMPRODUCT(MAX(ROW(E1981:E$2)*(E1982=E1981:E$2)))))</f>
        <v> </v>
      </c>
      <c r="J1982" s="25" t="str">
        <f>IF(OR(E1982="",E1982="!!!",F1982="NEW"),"",COUNTBLANK(OFFSET(A$1,,,SUMPRODUCT(MAX(ROW(E$2:E1982)*(E1982=E$2:E1982)))))-COUNTBLANK(OFFSET(A$1,,,SUMPRODUCT(MAX(ROW(E$1:E1981)*(E2=E$1:E1981))))))</f>
        <v> </v>
      </c>
      <c r="K1982" s="25" t="str">
        <f>IF(OR(E1982="",E1982="!!!",F1982="NEW"),"",INDEX(J$1:J1981,SUMPRODUCT(MAX(ROW(E$1:E1981)*(E1982=E$1:E1981)))))</f>
        <v> </v>
      </c>
      <c r="L1982" s="26"/>
    </row>
    <row r="1983" spans="1:12">
      <c r="A1983" s="20" t="s">
        <v>565</v>
      </c>
      <c r="E1983" s="21">
        <f>IF(D1983="?OLD","!!!","")</f>
        <v/>
      </c>
      <c r="F1983" s="22" t="str">
        <f>IF(OR(E1983="",E1983="!!!"),"",IF(NOT(ISNA(VLOOKUP(E1983,E$1:E1982,1,FALSE()))),"OLD",IF(AND(E1983&lt;&gt;"",E1983&lt;&gt;"!!!"),"NEW","")))</f>
        <v> </v>
      </c>
      <c r="G1983" s="23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4" t="str">
        <f>IF(J1983&lt;&gt;1,"",IF(I1983="SBJ","CB","?"))</f>
        <v> </v>
      </c>
      <c r="I1983" s="25" t="str">
        <f>IF(OR(E1983="",E1983="!!!",F1983="NEW"),"",INDEX(B1982:B$2,-1+SUMPRODUCT(MAX(ROW(E1982:E$2)*(E1983=E1982:E$2)))))</f>
        <v> </v>
      </c>
      <c r="J1983" s="25" t="str">
        <f>IF(OR(E1983="",E1983="!!!",F1983="NEW"),"",COUNTBLANK(OFFSET(A$1,,,SUMPRODUCT(MAX(ROW(E$2:E1983)*(E1983=E$2:E1983)))))-COUNTBLANK(OFFSET(A$1,,,SUMPRODUCT(MAX(ROW(E$1:E1982)*(E2=E$1:E1982))))))</f>
        <v> </v>
      </c>
      <c r="K1983" s="25" t="str">
        <f>IF(OR(E1983="",E1983="!!!",F1983="NEW"),"",INDEX(J$1:J1982,SUMPRODUCT(MAX(ROW(E$1:E1982)*(E1983=E$1:E1982)))))</f>
        <v> </v>
      </c>
      <c r="L1983" s="26"/>
    </row>
    <row r="1984" spans="1:12">
      <c r="A1984" s="20" t="s">
        <v>528</v>
      </c>
      <c r="E1984" s="21">
        <f>IF(D1984="?OLD","!!!","")</f>
        <v/>
      </c>
      <c r="F1984" s="22" t="str">
        <f>IF(OR(E1984="",E1984="!!!"),"",IF(NOT(ISNA(VLOOKUP(E1984,E$1:E1983,1,FALSE()))),"OLD",IF(AND(E1984&lt;&gt;"",E1984&lt;&gt;"!!!"),"NEW","")))</f>
        <v> </v>
      </c>
      <c r="G1984" s="23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4" t="str">
        <f>IF(J1984&lt;&gt;1,"",IF(I1984="SBJ","CB","?"))</f>
        <v> </v>
      </c>
      <c r="I1984" s="25" t="str">
        <f>IF(OR(E1984="",E1984="!!!",F1984="NEW"),"",INDEX(B1983:B$2,-1+SUMPRODUCT(MAX(ROW(E1983:E$2)*(E1984=E1983:E$2)))))</f>
        <v> </v>
      </c>
      <c r="J1984" s="25" t="str">
        <f>IF(OR(E1984="",E1984="!!!",F1984="NEW"),"",COUNTBLANK(OFFSET(A$1,,,SUMPRODUCT(MAX(ROW(E$2:E1984)*(E1984=E$2:E1984)))))-COUNTBLANK(OFFSET(A$1,,,SUMPRODUCT(MAX(ROW(E$1:E1983)*(E2=E$1:E1983))))))</f>
        <v> </v>
      </c>
      <c r="K1984" s="25" t="str">
        <f>IF(OR(E1984="",E1984="!!!",F1984="NEW"),"",INDEX(J$1:J1983,SUMPRODUCT(MAX(ROW(E$1:E1983)*(E1984=E$1:E1983)))))</f>
        <v> </v>
      </c>
      <c r="L1984" s="26"/>
    </row>
    <row r="1985" spans="1:12">
      <c r="A1985" s="20" t="s">
        <v>1259</v>
      </c>
      <c r="B1985" s="27" t="s">
        <v>633</v>
      </c>
      <c r="C1985" s="27" t="s">
        <v>548</v>
      </c>
      <c r="D1985" s="27" t="s">
        <v>524</v>
      </c>
      <c r="E1985" s="21">
        <f>IF(D1985="?OLD","!!!","")</f>
        <v/>
      </c>
      <c r="F1985" s="22" t="str">
        <f>IF(OR(E1985="",E1985="!!!"),"",IF(NOT(ISNA(VLOOKUP(E1985,E$1:E1984,1,FALSE()))),"OLD",IF(AND(E1985&lt;&gt;"",E1985&lt;&gt;"!!!"),"NEW","")))</f>
        <v> </v>
      </c>
      <c r="G1985" s="23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4" t="str">
        <f>IF(J1985&lt;&gt;1,"",IF(I1985="SBJ","CB","?"))</f>
        <v> </v>
      </c>
      <c r="I1985" s="25" t="str">
        <f>IF(OR(E1985="",E1985="!!!",F1985="NEW"),"",INDEX(B1984:B$2,-1+SUMPRODUCT(MAX(ROW(E1984:E$2)*(E1985=E1984:E$2)))))</f>
        <v> </v>
      </c>
      <c r="J1985" s="25" t="str">
        <f>IF(OR(E1985="",E1985="!!!",F1985="NEW"),"",COUNTBLANK(OFFSET(A$1,,,SUMPRODUCT(MAX(ROW(E$2:E1985)*(E1985=E$2:E1985)))))-COUNTBLANK(OFFSET(A$1,,,SUMPRODUCT(MAX(ROW(E$1:E1984)*(E2=E$1:E1984))))))</f>
        <v> </v>
      </c>
      <c r="K1985" s="25" t="str">
        <f>IF(OR(E1985="",E1985="!!!",F1985="NEW"),"",INDEX(J$1:J1984,SUMPRODUCT(MAX(ROW(E$1:E1984)*(E1985=E$1:E1984)))))</f>
        <v> </v>
      </c>
      <c r="L1985" s="26"/>
    </row>
    <row r="1986" spans="1:12">
      <c r="A1986" s="20" t="s">
        <v>1262</v>
      </c>
      <c r="E1986" s="21">
        <f>IF(D1986="?OLD","!!!","")</f>
        <v/>
      </c>
      <c r="F1986" s="22" t="str">
        <f>IF(OR(E1986="",E1986="!!!"),"",IF(NOT(ISNA(VLOOKUP(E1986,E$1:E1985,1,FALSE()))),"OLD",IF(AND(E1986&lt;&gt;"",E1986&lt;&gt;"!!!"),"NEW","")))</f>
        <v> </v>
      </c>
      <c r="G1986" s="23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4" t="str">
        <f>IF(J1986&lt;&gt;1,"",IF(I1986="SBJ","CB","?"))</f>
        <v> </v>
      </c>
      <c r="I1986" s="25" t="str">
        <f>IF(OR(E1986="",E1986="!!!",F1986="NEW"),"",INDEX(B1985:B$2,-1+SUMPRODUCT(MAX(ROW(E1985:E$2)*(E1986=E1985:E$2)))))</f>
        <v> </v>
      </c>
      <c r="J1986" s="25" t="str">
        <f>IF(OR(E1986="",E1986="!!!",F1986="NEW"),"",COUNTBLANK(OFFSET(A$1,,,SUMPRODUCT(MAX(ROW(E$2:E1986)*(E1986=E$2:E1986)))))-COUNTBLANK(OFFSET(A$1,,,SUMPRODUCT(MAX(ROW(E$1:E1985)*(E2=E$1:E1985))))))</f>
        <v> </v>
      </c>
      <c r="K1986" s="25" t="str">
        <f>IF(OR(E1986="",E1986="!!!",F1986="NEW"),"",INDEX(J$1:J1985,SUMPRODUCT(MAX(ROW(E$1:E1985)*(E1986=E$1:E1985)))))</f>
        <v> </v>
      </c>
      <c r="L1986" s="26"/>
    </row>
    <row r="1987" spans="1:12">
      <c r="A1987" s="20" t="s">
        <v>565</v>
      </c>
      <c r="E1987" s="21">
        <f>IF(D1987="?OLD","!!!","")</f>
        <v/>
      </c>
      <c r="F1987" s="22" t="str">
        <f>IF(OR(E1987="",E1987="!!!"),"",IF(NOT(ISNA(VLOOKUP(E1987,E$1:E1986,1,FALSE()))),"OLD",IF(AND(E1987&lt;&gt;"",E1987&lt;&gt;"!!!"),"NEW","")))</f>
        <v> </v>
      </c>
      <c r="G1987" s="23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4" t="str">
        <f>IF(J1987&lt;&gt;1,"",IF(I1987="SBJ","CB","?"))</f>
        <v> </v>
      </c>
      <c r="I1987" s="25" t="str">
        <f>IF(OR(E1987="",E1987="!!!",F1987="NEW"),"",INDEX(B1986:B$2,-1+SUMPRODUCT(MAX(ROW(E1986:E$2)*(E1987=E1986:E$2)))))</f>
        <v> </v>
      </c>
      <c r="J1987" s="25" t="str">
        <f>IF(OR(E1987="",E1987="!!!",F1987="NEW"),"",COUNTBLANK(OFFSET(A$1,,,SUMPRODUCT(MAX(ROW(E$2:E1987)*(E1987=E$2:E1987)))))-COUNTBLANK(OFFSET(A$1,,,SUMPRODUCT(MAX(ROW(E$1:E1986)*(E2=E$1:E1986))))))</f>
        <v> </v>
      </c>
      <c r="K1987" s="25" t="str">
        <f>IF(OR(E1987="",E1987="!!!",F1987="NEW"),"",INDEX(J$1:J1986,SUMPRODUCT(MAX(ROW(E$1:E1986)*(E1987=E$1:E1986)))))</f>
        <v> </v>
      </c>
      <c r="L1987" s="26"/>
    </row>
    <row r="1988" spans="1:12">
      <c r="A1988" s="20" t="s">
        <v>1072</v>
      </c>
      <c r="E1988" s="21">
        <f>IF(D1988="?OLD","!!!","")</f>
        <v/>
      </c>
      <c r="F1988" s="22" t="str">
        <f>IF(OR(E1988="",E1988="!!!"),"",IF(NOT(ISNA(VLOOKUP(E1988,E$1:E1987,1,FALSE()))),"OLD",IF(AND(E1988&lt;&gt;"",E1988&lt;&gt;"!!!"),"NEW","")))</f>
        <v> </v>
      </c>
      <c r="G1988" s="23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4" t="str">
        <f>IF(J1988&lt;&gt;1,"",IF(I1988="SBJ","CB","?"))</f>
        <v> </v>
      </c>
      <c r="I1988" s="25" t="str">
        <f>IF(OR(E1988="",E1988="!!!",F1988="NEW"),"",INDEX(B1987:B$2,-1+SUMPRODUCT(MAX(ROW(E1987:E$2)*(E1988=E1987:E$2)))))</f>
        <v> </v>
      </c>
      <c r="J1988" s="25" t="str">
        <f>IF(OR(E1988="",E1988="!!!",F1988="NEW"),"",COUNTBLANK(OFFSET(A$1,,,SUMPRODUCT(MAX(ROW(E$2:E1988)*(E1988=E$2:E1988)))))-COUNTBLANK(OFFSET(A$1,,,SUMPRODUCT(MAX(ROW(E$1:E1987)*(E2=E$1:E1987))))))</f>
        <v> </v>
      </c>
      <c r="K1988" s="25" t="str">
        <f>IF(OR(E1988="",E1988="!!!",F1988="NEW"),"",INDEX(J$1:J1987,SUMPRODUCT(MAX(ROW(E$1:E1987)*(E1988=E$1:E1987)))))</f>
        <v> </v>
      </c>
      <c r="L1988" s="26"/>
    </row>
    <row r="1989" spans="1:12">
      <c r="A1989" s="20" t="s">
        <v>358</v>
      </c>
      <c r="B1989" s="27" t="s">
        <v>573</v>
      </c>
      <c r="C1989" s="27" t="s">
        <v>523</v>
      </c>
      <c r="D1989" s="27" t="s">
        <v>524</v>
      </c>
      <c r="E1989" s="21">
        <f>IF(D1989="?OLD","!!!","")</f>
        <v/>
      </c>
      <c r="F1989" s="22" t="str">
        <f>IF(OR(E1989="",E1989="!!!"),"",IF(NOT(ISNA(VLOOKUP(E1989,E$1:E1988,1,FALSE()))),"OLD",IF(AND(E1989&lt;&gt;"",E1989&lt;&gt;"!!!"),"NEW","")))</f>
        <v> </v>
      </c>
      <c r="G1989" s="23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4" t="str">
        <f>IF(J1989&lt;&gt;1,"",IF(I1989="SBJ","CB","?"))</f>
        <v> </v>
      </c>
      <c r="I1989" s="25" t="str">
        <f>IF(OR(E1989="",E1989="!!!",F1989="NEW"),"",INDEX(B1988:B$2,-1+SUMPRODUCT(MAX(ROW(E1988:E$2)*(E1989=E1988:E$2)))))</f>
        <v> </v>
      </c>
      <c r="J1989" s="25" t="str">
        <f>IF(OR(E1989="",E1989="!!!",F1989="NEW"),"",COUNTBLANK(OFFSET(A$1,,,SUMPRODUCT(MAX(ROW(E$2:E1989)*(E1989=E$2:E1989)))))-COUNTBLANK(OFFSET(A$1,,,SUMPRODUCT(MAX(ROW(E$1:E1988)*(E2=E$1:E1988))))))</f>
        <v> </v>
      </c>
      <c r="K1989" s="25" t="str">
        <f>IF(OR(E1989="",E1989="!!!",F1989="NEW"),"",INDEX(J$1:J1988,SUMPRODUCT(MAX(ROW(E$1:E1988)*(E1989=E$1:E1988)))))</f>
        <v> </v>
      </c>
      <c r="L1989" s="26"/>
    </row>
    <row r="1990" spans="1:12">
      <c r="A1990" s="20" t="s">
        <v>565</v>
      </c>
      <c r="E1990" s="21">
        <f>IF(D1990="?OLD","!!!","")</f>
        <v/>
      </c>
      <c r="F1990" s="22" t="str">
        <f>IF(OR(E1990="",E1990="!!!"),"",IF(NOT(ISNA(VLOOKUP(E1990,E$1:E1989,1,FALSE()))),"OLD",IF(AND(E1990&lt;&gt;"",E1990&lt;&gt;"!!!"),"NEW","")))</f>
        <v> </v>
      </c>
      <c r="G1990" s="23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4" t="str">
        <f>IF(J1990&lt;&gt;1,"",IF(I1990="SBJ","CB","?"))</f>
        <v> </v>
      </c>
      <c r="I1990" s="25" t="str">
        <f>IF(OR(E1990="",E1990="!!!",F1990="NEW"),"",INDEX(B1989:B$2,-1+SUMPRODUCT(MAX(ROW(E1989:E$2)*(E1990=E1989:E$2)))))</f>
        <v> </v>
      </c>
      <c r="J1990" s="25" t="str">
        <f>IF(OR(E1990="",E1990="!!!",F1990="NEW"),"",COUNTBLANK(OFFSET(A$1,,,SUMPRODUCT(MAX(ROW(E$2:E1990)*(E1990=E$2:E1990)))))-COUNTBLANK(OFFSET(A$1,,,SUMPRODUCT(MAX(ROW(E$1:E1989)*(E2=E$1:E1989))))))</f>
        <v> </v>
      </c>
      <c r="K1990" s="25" t="str">
        <f>IF(OR(E1990="",E1990="!!!",F1990="NEW"),"",INDEX(J$1:J1989,SUMPRODUCT(MAX(ROW(E$1:E1989)*(E1990=E$1:E1989)))))</f>
        <v> </v>
      </c>
      <c r="L1990" s="26"/>
    </row>
    <row r="1991" spans="1:12">
      <c r="A1991" s="20" t="s">
        <v>542</v>
      </c>
      <c r="E1991" s="21">
        <f>IF(D1991="?OLD","!!!","")</f>
        <v/>
      </c>
      <c r="F1991" s="22" t="str">
        <f>IF(OR(E1991="",E1991="!!!"),"",IF(NOT(ISNA(VLOOKUP(E1991,E$1:E1990,1,FALSE()))),"OLD",IF(AND(E1991&lt;&gt;"",E1991&lt;&gt;"!!!"),"NEW","")))</f>
        <v> </v>
      </c>
      <c r="G1991" s="23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4" t="str">
        <f>IF(J1991&lt;&gt;1,"",IF(I1991="SBJ","CB","?"))</f>
        <v> </v>
      </c>
      <c r="I1991" s="25" t="str">
        <f>IF(OR(E1991="",E1991="!!!",F1991="NEW"),"",INDEX(B1990:B$2,-1+SUMPRODUCT(MAX(ROW(E1990:E$2)*(E1991=E1990:E$2)))))</f>
        <v> </v>
      </c>
      <c r="J1991" s="25" t="str">
        <f>IF(OR(E1991="",E1991="!!!",F1991="NEW"),"",COUNTBLANK(OFFSET(A$1,,,SUMPRODUCT(MAX(ROW(E$2:E1991)*(E1991=E$2:E1991)))))-COUNTBLANK(OFFSET(A$1,,,SUMPRODUCT(MAX(ROW(E$1:E1990)*(E2=E$1:E1990))))))</f>
        <v> </v>
      </c>
      <c r="K1991" s="25" t="str">
        <f>IF(OR(E1991="",E1991="!!!",F1991="NEW"),"",INDEX(J$1:J1990,SUMPRODUCT(MAX(ROW(E$1:E1990)*(E1991=E$1:E1990)))))</f>
        <v> </v>
      </c>
      <c r="L1991" s="26"/>
    </row>
    <row r="1992" spans="1:12">
      <c r="A1992" s="20" t="s">
        <v>1041</v>
      </c>
      <c r="B1992" s="27" t="s">
        <v>641</v>
      </c>
      <c r="C1992" s="27" t="s">
        <v>540</v>
      </c>
      <c r="D1992" s="27" t="s">
        <v>524</v>
      </c>
      <c r="E1992" s="21">
        <f>IF(D1992="?OLD","!!!","")</f>
        <v/>
      </c>
      <c r="F1992" s="22" t="str">
        <f>IF(OR(E1992="",E1992="!!!"),"",IF(NOT(ISNA(VLOOKUP(E1992,E$1:E1991,1,FALSE()))),"OLD",IF(AND(E1992&lt;&gt;"",E1992&lt;&gt;"!!!"),"NEW","")))</f>
        <v> </v>
      </c>
      <c r="G1992" s="23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4" t="str">
        <f>IF(J1992&lt;&gt;1,"",IF(I1992="SBJ","CB","?"))</f>
        <v> </v>
      </c>
      <c r="I1992" s="25" t="str">
        <f>IF(OR(E1992="",E1992="!!!",F1992="NEW"),"",INDEX(B1991:B$2,-1+SUMPRODUCT(MAX(ROW(E1991:E$2)*(E1992=E1991:E$2)))))</f>
        <v> </v>
      </c>
      <c r="J1992" s="25" t="str">
        <f>IF(OR(E1992="",E1992="!!!",F1992="NEW"),"",COUNTBLANK(OFFSET(A$1,,,SUMPRODUCT(MAX(ROW(E$2:E1992)*(E1992=E$2:E1992)))))-COUNTBLANK(OFFSET(A$1,,,SUMPRODUCT(MAX(ROW(E$1:E1991)*(E2=E$1:E1991))))))</f>
        <v> </v>
      </c>
      <c r="K1992" s="25" t="str">
        <f>IF(OR(E1992="",E1992="!!!",F1992="NEW"),"",INDEX(J$1:J1991,SUMPRODUCT(MAX(ROW(E$1:E1991)*(E1992=E$1:E1991)))))</f>
        <v> </v>
      </c>
      <c r="L1992" s="26"/>
    </row>
    <row r="1993" spans="1:12">
      <c r="A1993" s="20" t="s">
        <v>1057</v>
      </c>
      <c r="E1993" s="21">
        <f>IF(D1993="?OLD","!!!","")</f>
        <v/>
      </c>
      <c r="F1993" s="22" t="str">
        <f>IF(OR(E1993="",E1993="!!!"),"",IF(NOT(ISNA(VLOOKUP(E1993,E$1:E1992,1,FALSE()))),"OLD",IF(AND(E1993&lt;&gt;"",E1993&lt;&gt;"!!!"),"NEW","")))</f>
        <v> </v>
      </c>
      <c r="G1993" s="23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4" t="str">
        <f>IF(J1993&lt;&gt;1,"",IF(I1993="SBJ","CB","?"))</f>
        <v> </v>
      </c>
      <c r="I1993" s="25" t="str">
        <f>IF(OR(E1993="",E1993="!!!",F1993="NEW"),"",INDEX(B1992:B$2,-1+SUMPRODUCT(MAX(ROW(E1992:E$2)*(E1993=E1992:E$2)))))</f>
        <v> </v>
      </c>
      <c r="J1993" s="25" t="str">
        <f>IF(OR(E1993="",E1993="!!!",F1993="NEW"),"",COUNTBLANK(OFFSET(A$1,,,SUMPRODUCT(MAX(ROW(E$2:E1993)*(E1993=E$2:E1993)))))-COUNTBLANK(OFFSET(A$1,,,SUMPRODUCT(MAX(ROW(E$1:E1992)*(E2=E$1:E1992))))))</f>
        <v> </v>
      </c>
      <c r="K1993" s="25" t="str">
        <f>IF(OR(E1993="",E1993="!!!",F1993="NEW"),"",INDEX(J$1:J1992,SUMPRODUCT(MAX(ROW(E$1:E1992)*(E1993=E$1:E1992)))))</f>
        <v> </v>
      </c>
      <c r="L1993" s="26"/>
    </row>
    <row r="1994" spans="1:12">
      <c r="A1994" s="20" t="s">
        <v>571</v>
      </c>
      <c r="E1994" s="21">
        <f>IF(D1994="?OLD","!!!","")</f>
        <v/>
      </c>
      <c r="F1994" s="22" t="str">
        <f>IF(OR(E1994="",E1994="!!!"),"",IF(NOT(ISNA(VLOOKUP(E1994,E$1:E1993,1,FALSE()))),"OLD",IF(AND(E1994&lt;&gt;"",E1994&lt;&gt;"!!!"),"NEW","")))</f>
        <v> </v>
      </c>
      <c r="G1994" s="23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4" t="str">
        <f>IF(J1994&lt;&gt;1,"",IF(I1994="SBJ","CB","?"))</f>
        <v> </v>
      </c>
      <c r="I1994" s="25" t="str">
        <f>IF(OR(E1994="",E1994="!!!",F1994="NEW"),"",INDEX(B1993:B$2,-1+SUMPRODUCT(MAX(ROW(E1993:E$2)*(E1994=E1993:E$2)))))</f>
        <v> </v>
      </c>
      <c r="J1994" s="25" t="str">
        <f>IF(OR(E1994="",E1994="!!!",F1994="NEW"),"",COUNTBLANK(OFFSET(A$1,,,SUMPRODUCT(MAX(ROW(E$2:E1994)*(E1994=E$2:E1994)))))-COUNTBLANK(OFFSET(A$1,,,SUMPRODUCT(MAX(ROW(E$1:E1993)*(E2=E$1:E1993))))))</f>
        <v> </v>
      </c>
      <c r="K1994" s="25" t="str">
        <f>IF(OR(E1994="",E1994="!!!",F1994="NEW"),"",INDEX(J$1:J1993,SUMPRODUCT(MAX(ROW(E$1:E1993)*(E1994=E$1:E1993)))))</f>
        <v> </v>
      </c>
      <c r="L1994" s="26"/>
    </row>
    <row r="1995" spans="1:12">
      <c r="A1995" s="20" t="s">
        <v>1263</v>
      </c>
      <c r="B1995" s="27" t="s">
        <v>699</v>
      </c>
      <c r="C1995" s="27" t="s">
        <v>545</v>
      </c>
      <c r="D1995" s="27" t="s">
        <v>524</v>
      </c>
      <c r="E1995" s="21">
        <f>IF(D1995="?OLD","!!!","")</f>
        <v/>
      </c>
      <c r="F1995" s="22" t="str">
        <f>IF(OR(E1995="",E1995="!!!"),"",IF(NOT(ISNA(VLOOKUP(E1995,E$1:E1994,1,FALSE()))),"OLD",IF(AND(E1995&lt;&gt;"",E1995&lt;&gt;"!!!"),"NEW","")))</f>
        <v> </v>
      </c>
      <c r="G1995" s="23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4" t="str">
        <f>IF(J1995&lt;&gt;1,"",IF(I1995="SBJ","CB","?"))</f>
        <v> </v>
      </c>
      <c r="I1995" s="25" t="str">
        <f>IF(OR(E1995="",E1995="!!!",F1995="NEW"),"",INDEX(B1994:B$2,-1+SUMPRODUCT(MAX(ROW(E1994:E$2)*(E1995=E1994:E$2)))))</f>
        <v> </v>
      </c>
      <c r="J1995" s="25" t="str">
        <f>IF(OR(E1995="",E1995="!!!",F1995="NEW"),"",COUNTBLANK(OFFSET(A$1,,,SUMPRODUCT(MAX(ROW(E$2:E1995)*(E1995=E$2:E1995)))))-COUNTBLANK(OFFSET(A$1,,,SUMPRODUCT(MAX(ROW(E$1:E1994)*(E2=E$1:E1994))))))</f>
        <v> </v>
      </c>
      <c r="K1995" s="25" t="str">
        <f>IF(OR(E1995="",E1995="!!!",F1995="NEW"),"",INDEX(J$1:J1994,SUMPRODUCT(MAX(ROW(E$1:E1994)*(E1995=E$1:E1994)))))</f>
        <v> </v>
      </c>
      <c r="L1995" s="26"/>
    </row>
    <row r="1996" spans="1:12">
      <c r="A1996" s="20" t="s">
        <v>1264</v>
      </c>
      <c r="E1996" s="21">
        <f>IF(D1996="?OLD","!!!","")</f>
        <v/>
      </c>
      <c r="F1996" s="22" t="str">
        <f>IF(OR(E1996="",E1996="!!!"),"",IF(NOT(ISNA(VLOOKUP(E1996,E$1:E1995,1,FALSE()))),"OLD",IF(AND(E1996&lt;&gt;"",E1996&lt;&gt;"!!!"),"NEW","")))</f>
        <v> </v>
      </c>
      <c r="G1996" s="23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4" t="str">
        <f>IF(J1996&lt;&gt;1,"",IF(I1996="SBJ","CB","?"))</f>
        <v> </v>
      </c>
      <c r="I1996" s="25" t="str">
        <f>IF(OR(E1996="",E1996="!!!",F1996="NEW"),"",INDEX(B1995:B$2,-1+SUMPRODUCT(MAX(ROW(E1995:E$2)*(E1996=E1995:E$2)))))</f>
        <v> </v>
      </c>
      <c r="J1996" s="25" t="str">
        <f>IF(OR(E1996="",E1996="!!!",F1996="NEW"),"",COUNTBLANK(OFFSET(A$1,,,SUMPRODUCT(MAX(ROW(E$2:E1996)*(E1996=E$2:E1996)))))-COUNTBLANK(OFFSET(A$1,,,SUMPRODUCT(MAX(ROW(E$1:E1995)*(E2=E$1:E1995))))))</f>
        <v> </v>
      </c>
      <c r="K1996" s="25" t="str">
        <f>IF(OR(E1996="",E1996="!!!",F1996="NEW"),"",INDEX(J$1:J1995,SUMPRODUCT(MAX(ROW(E$1:E1995)*(E1996=E$1:E1995)))))</f>
        <v> </v>
      </c>
      <c r="L1996" s="26"/>
    </row>
    <row r="1997" spans="1:12">
      <c r="A1997" s="20" t="s">
        <v>549</v>
      </c>
      <c r="E1997" s="21">
        <f>IF(D1997="?OLD","!!!","")</f>
        <v/>
      </c>
      <c r="F1997" s="22" t="str">
        <f>IF(OR(E1997="",E1997="!!!"),"",IF(NOT(ISNA(VLOOKUP(E1997,E$1:E1996,1,FALSE()))),"OLD",IF(AND(E1997&lt;&gt;"",E1997&lt;&gt;"!!!"),"NEW","")))</f>
        <v> </v>
      </c>
      <c r="G1997" s="23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4" t="str">
        <f>IF(J1997&lt;&gt;1,"",IF(I1997="SBJ","CB","?"))</f>
        <v> </v>
      </c>
      <c r="I1997" s="25" t="str">
        <f>IF(OR(E1997="",E1997="!!!",F1997="NEW"),"",INDEX(B1996:B$2,-1+SUMPRODUCT(MAX(ROW(E1996:E$2)*(E1997=E1996:E$2)))))</f>
        <v> </v>
      </c>
      <c r="J1997" s="25" t="str">
        <f>IF(OR(E1997="",E1997="!!!",F1997="NEW"),"",COUNTBLANK(OFFSET(A$1,,,SUMPRODUCT(MAX(ROW(E$2:E1997)*(E1997=E$2:E1997)))))-COUNTBLANK(OFFSET(A$1,,,SUMPRODUCT(MAX(ROW(E$1:E1996)*(E2=E$1:E1996))))))</f>
        <v> </v>
      </c>
      <c r="K1997" s="25" t="str">
        <f>IF(OR(E1997="",E1997="!!!",F1997="NEW"),"",INDEX(J$1:J1996,SUMPRODUCT(MAX(ROW(E$1:E1996)*(E1997=E$1:E1996)))))</f>
        <v> </v>
      </c>
      <c r="L1997" s="26"/>
    </row>
    <row r="1998" spans="1:12">
      <c r="A1998" s="20"/>
    </row>
    <row r="1999" spans="1:12">
      <c r="A1999" s="20" t="s">
        <v>1265</v>
      </c>
    </row>
    <row r="2000" spans="1:12">
      <c r="A2000" s="20" t="s">
        <v>1266</v>
      </c>
      <c r="E2000" s="21">
        <f>IF(D2000="?OLD","!!!","")</f>
        <v/>
      </c>
      <c r="F2000" s="22" t="str">
        <f>IF(OR(E2000="",E2000="!!!"),"",IF(NOT(ISNA(VLOOKUP(E2000,E$1:E1999,1,FALSE()))),"OLD",IF(AND(E2000&lt;&gt;"",E2000&lt;&gt;"!!!"),"NEW","")))</f>
        <v> </v>
      </c>
      <c r="G2000" s="23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4" t="str">
        <f>IF(J2000&lt;&gt;1,"",IF(I2000="SBJ","CB","?"))</f>
        <v> </v>
      </c>
      <c r="I2000" s="25" t="str">
        <f>IF(OR(E2000="",E2000="!!!",F2000="NEW"),"",INDEX(B1999:B$2,-1+SUMPRODUCT(MAX(ROW(E1999:E$2)*(E2000=E1999:E$2)))))</f>
        <v> </v>
      </c>
      <c r="J2000" s="25" t="str">
        <f>IF(OR(E2000="",E2000="!!!",F2000="NEW"),"",COUNTBLANK(OFFSET(A$1,,,SUMPRODUCT(MAX(ROW(E$2:E2000)*(E2000=E$2:E2000)))))-COUNTBLANK(OFFSET(A$1,,,SUMPRODUCT(MAX(ROW(E$1:E1999)*(E2=E$1:E1999))))))</f>
        <v> </v>
      </c>
      <c r="K2000" s="25" t="str">
        <f>IF(OR(E2000="",E2000="!!!",F2000="NEW"),"",INDEX(J$1:J1999,SUMPRODUCT(MAX(ROW(E$1:E1999)*(E2000=E$1:E1999)))))</f>
        <v> </v>
      </c>
      <c r="L2000" s="26"/>
    </row>
    <row r="2001" spans="1:12">
      <c r="A2001" s="20" t="s">
        <v>565</v>
      </c>
      <c r="E2001" s="21">
        <f>IF(D2001="?OLD","!!!","")</f>
        <v/>
      </c>
      <c r="F2001" s="22" t="str">
        <f>IF(OR(E2001="",E2001="!!!"),"",IF(NOT(ISNA(VLOOKUP(E2001,E$1:E2000,1,FALSE()))),"OLD",IF(AND(E2001&lt;&gt;"",E2001&lt;&gt;"!!!"),"NEW","")))</f>
        <v> </v>
      </c>
      <c r="G2001" s="23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4" t="str">
        <f>IF(J2001&lt;&gt;1,"",IF(I2001="SBJ","CB","?"))</f>
        <v> </v>
      </c>
      <c r="I2001" s="25" t="str">
        <f>IF(OR(E2001="",E2001="!!!",F2001="NEW"),"",INDEX(B2000:B$2,-1+SUMPRODUCT(MAX(ROW(E2000:E$2)*(E2001=E2000:E$2)))))</f>
        <v> </v>
      </c>
      <c r="J2001" s="25" t="str">
        <f>IF(OR(E2001="",E2001="!!!",F2001="NEW"),"",COUNTBLANK(OFFSET(A$1,,,SUMPRODUCT(MAX(ROW(E$2:E2001)*(E2001=E$2:E2001)))))-COUNTBLANK(OFFSET(A$1,,,SUMPRODUCT(MAX(ROW(E$1:E2000)*(E2=E$1:E2000))))))</f>
        <v> </v>
      </c>
      <c r="K2001" s="25" t="str">
        <f>IF(OR(E2001="",E2001="!!!",F2001="NEW"),"",INDEX(J$1:J2000,SUMPRODUCT(MAX(ROW(E$1:E2000)*(E2001=E$1:E2000)))))</f>
        <v> </v>
      </c>
      <c r="L2001" s="26"/>
    </row>
    <row r="2002" spans="1:12">
      <c r="A2002" s="20" t="s">
        <v>708</v>
      </c>
      <c r="E2002" s="21">
        <f>IF(D2002="?OLD","!!!","")</f>
        <v/>
      </c>
      <c r="F2002" s="22" t="str">
        <f>IF(OR(E2002="",E2002="!!!"),"",IF(NOT(ISNA(VLOOKUP(E2002,E$1:E2001,1,FALSE()))),"OLD",IF(AND(E2002&lt;&gt;"",E2002&lt;&gt;"!!!"),"NEW","")))</f>
        <v> </v>
      </c>
      <c r="G2002" s="23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4" t="str">
        <f>IF(J2002&lt;&gt;1,"",IF(I2002="SBJ","CB","?"))</f>
        <v> </v>
      </c>
      <c r="I2002" s="25" t="str">
        <f>IF(OR(E2002="",E2002="!!!",F2002="NEW"),"",INDEX(B2001:B$2,-1+SUMPRODUCT(MAX(ROW(E2001:E$2)*(E2002=E2001:E$2)))))</f>
        <v> </v>
      </c>
      <c r="J2002" s="25" t="str">
        <f>IF(OR(E2002="",E2002="!!!",F2002="NEW"),"",COUNTBLANK(OFFSET(A$1,,,SUMPRODUCT(MAX(ROW(E$2:E2002)*(E2002=E$2:E2002)))))-COUNTBLANK(OFFSET(A$1,,,SUMPRODUCT(MAX(ROW(E$1:E2001)*(E2=E$1:E2001))))))</f>
        <v> </v>
      </c>
      <c r="K2002" s="25" t="str">
        <f>IF(OR(E2002="",E2002="!!!",F2002="NEW"),"",INDEX(J$1:J2001,SUMPRODUCT(MAX(ROW(E$1:E2001)*(E2002=E$1:E2001)))))</f>
        <v> </v>
      </c>
      <c r="L2002" s="26"/>
    </row>
    <row r="2003" spans="1:12">
      <c r="A2003" s="20" t="s">
        <v>751</v>
      </c>
      <c r="E2003" s="21">
        <f>IF(D2003="?OLD","!!!","")</f>
        <v/>
      </c>
      <c r="F2003" s="22" t="str">
        <f>IF(OR(E2003="",E2003="!!!"),"",IF(NOT(ISNA(VLOOKUP(E2003,E$1:E2002,1,FALSE()))),"OLD",IF(AND(E2003&lt;&gt;"",E2003&lt;&gt;"!!!"),"NEW","")))</f>
        <v> </v>
      </c>
      <c r="G2003" s="23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4" t="str">
        <f>IF(J2003&lt;&gt;1,"",IF(I2003="SBJ","CB","?"))</f>
        <v> </v>
      </c>
      <c r="I2003" s="25" t="str">
        <f>IF(OR(E2003="",E2003="!!!",F2003="NEW"),"",INDEX(B2002:B$2,-1+SUMPRODUCT(MAX(ROW(E2002:E$2)*(E2003=E2002:E$2)))))</f>
        <v> </v>
      </c>
      <c r="J2003" s="25" t="str">
        <f>IF(OR(E2003="",E2003="!!!",F2003="NEW"),"",COUNTBLANK(OFFSET(A$1,,,SUMPRODUCT(MAX(ROW(E$2:E2003)*(E2003=E$2:E2003)))))-COUNTBLANK(OFFSET(A$1,,,SUMPRODUCT(MAX(ROW(E$1:E2002)*(E2=E$1:E2002))))))</f>
        <v> </v>
      </c>
      <c r="K2003" s="25" t="str">
        <f>IF(OR(E2003="",E2003="!!!",F2003="NEW"),"",INDEX(J$1:J2002,SUMPRODUCT(MAX(ROW(E$1:E2002)*(E2003=E$1:E2002)))))</f>
        <v> </v>
      </c>
      <c r="L2003" s="26"/>
    </row>
    <row r="2004" spans="1:12">
      <c r="A2004" s="20" t="s">
        <v>542</v>
      </c>
      <c r="E2004" s="21">
        <f>IF(D2004="?OLD","!!!","")</f>
        <v/>
      </c>
      <c r="F2004" s="22" t="str">
        <f>IF(OR(E2004="",E2004="!!!"),"",IF(NOT(ISNA(VLOOKUP(E2004,E$1:E2003,1,FALSE()))),"OLD",IF(AND(E2004&lt;&gt;"",E2004&lt;&gt;"!!!"),"NEW","")))</f>
        <v> </v>
      </c>
      <c r="G2004" s="23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4" t="str">
        <f>IF(J2004&lt;&gt;1,"",IF(I2004="SBJ","CB","?"))</f>
        <v> </v>
      </c>
      <c r="I2004" s="25" t="str">
        <f>IF(OR(E2004="",E2004="!!!",F2004="NEW"),"",INDEX(B2003:B$2,-1+SUMPRODUCT(MAX(ROW(E2003:E$2)*(E2004=E2003:E$2)))))</f>
        <v> </v>
      </c>
      <c r="J2004" s="25" t="str">
        <f>IF(OR(E2004="",E2004="!!!",F2004="NEW"),"",COUNTBLANK(OFFSET(A$1,,,SUMPRODUCT(MAX(ROW(E$2:E2004)*(E2004=E$2:E2004)))))-COUNTBLANK(OFFSET(A$1,,,SUMPRODUCT(MAX(ROW(E$1:E2003)*(E2=E$1:E2003))))))</f>
        <v> </v>
      </c>
      <c r="K2004" s="25" t="str">
        <f>IF(OR(E2004="",E2004="!!!",F2004="NEW"),"",INDEX(J$1:J2003,SUMPRODUCT(MAX(ROW(E$1:E2003)*(E2004=E$1:E2003)))))</f>
        <v> </v>
      </c>
      <c r="L2004" s="26"/>
    </row>
    <row r="2005" spans="1:12">
      <c r="A2005" s="20" t="s">
        <v>1267</v>
      </c>
      <c r="B2005" s="27" t="s">
        <v>592</v>
      </c>
      <c r="C2005" s="27" t="s">
        <v>545</v>
      </c>
      <c r="D2005" s="27" t="s">
        <v>524</v>
      </c>
      <c r="E2005" s="21">
        <f>IF(D2005="?OLD","!!!","")</f>
        <v/>
      </c>
      <c r="F2005" s="22" t="str">
        <f>IF(OR(E2005="",E2005="!!!"),"",IF(NOT(ISNA(VLOOKUP(E2005,E$1:E2004,1,FALSE()))),"OLD",IF(AND(E2005&lt;&gt;"",E2005&lt;&gt;"!!!"),"NEW","")))</f>
        <v> </v>
      </c>
      <c r="G2005" s="23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4" t="str">
        <f>IF(J2005&lt;&gt;1,"",IF(I2005="SBJ","CB","?"))</f>
        <v> </v>
      </c>
      <c r="I2005" s="25" t="str">
        <f>IF(OR(E2005="",E2005="!!!",F2005="NEW"),"",INDEX(B2004:B$2,-1+SUMPRODUCT(MAX(ROW(E2004:E$2)*(E2005=E2004:E$2)))))</f>
        <v> </v>
      </c>
      <c r="J2005" s="25" t="str">
        <f>IF(OR(E2005="",E2005="!!!",F2005="NEW"),"",COUNTBLANK(OFFSET(A$1,,,SUMPRODUCT(MAX(ROW(E$2:E2005)*(E2005=E$2:E2005)))))-COUNTBLANK(OFFSET(A$1,,,SUMPRODUCT(MAX(ROW(E$1:E2004)*(E2=E$1:E2004))))))</f>
        <v> </v>
      </c>
      <c r="K2005" s="25" t="str">
        <f>IF(OR(E2005="",E2005="!!!",F2005="NEW"),"",INDEX(J$1:J2004,SUMPRODUCT(MAX(ROW(E$1:E2004)*(E2005=E$1:E2004)))))</f>
        <v> </v>
      </c>
      <c r="L2005" s="26"/>
    </row>
    <row r="2006" spans="1:12">
      <c r="A2006" s="20" t="s">
        <v>429</v>
      </c>
      <c r="E2006" s="21">
        <f>IF(D2006="?OLD","!!!","")</f>
        <v/>
      </c>
      <c r="F2006" s="22" t="str">
        <f>IF(OR(E2006="",E2006="!!!"),"",IF(NOT(ISNA(VLOOKUP(E2006,E$1:E2005,1,FALSE()))),"OLD",IF(AND(E2006&lt;&gt;"",E2006&lt;&gt;"!!!"),"NEW","")))</f>
        <v> </v>
      </c>
      <c r="G2006" s="23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4" t="str">
        <f>IF(J2006&lt;&gt;1,"",IF(I2006="SBJ","CB","?"))</f>
        <v> </v>
      </c>
      <c r="I2006" s="25" t="str">
        <f>IF(OR(E2006="",E2006="!!!",F2006="NEW"),"",INDEX(B2005:B$2,-1+SUMPRODUCT(MAX(ROW(E2005:E$2)*(E2006=E2005:E$2)))))</f>
        <v> </v>
      </c>
      <c r="J2006" s="25" t="str">
        <f>IF(OR(E2006="",E2006="!!!",F2006="NEW"),"",COUNTBLANK(OFFSET(A$1,,,SUMPRODUCT(MAX(ROW(E$2:E2006)*(E2006=E$2:E2006)))))-COUNTBLANK(OFFSET(A$1,,,SUMPRODUCT(MAX(ROW(E$1:E2005)*(E2=E$1:E2005))))))</f>
        <v> </v>
      </c>
      <c r="K2006" s="25" t="str">
        <f>IF(OR(E2006="",E2006="!!!",F2006="NEW"),"",INDEX(J$1:J2005,SUMPRODUCT(MAX(ROW(E$1:E2005)*(E2006=E$1:E2005)))))</f>
        <v> </v>
      </c>
      <c r="L2006" s="26"/>
    </row>
    <row r="2007" spans="1:12">
      <c r="A2007" s="20" t="s">
        <v>630</v>
      </c>
      <c r="E2007" s="21">
        <f>IF(D2007="?OLD","!!!","")</f>
        <v/>
      </c>
      <c r="F2007" s="22" t="str">
        <f>IF(OR(E2007="",E2007="!!!"),"",IF(NOT(ISNA(VLOOKUP(E2007,E$1:E2006,1,FALSE()))),"OLD",IF(AND(E2007&lt;&gt;"",E2007&lt;&gt;"!!!"),"NEW","")))</f>
        <v> </v>
      </c>
      <c r="G2007" s="23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4" t="str">
        <f>IF(J2007&lt;&gt;1,"",IF(I2007="SBJ","CB","?"))</f>
        <v> </v>
      </c>
      <c r="I2007" s="25" t="str">
        <f>IF(OR(E2007="",E2007="!!!",F2007="NEW"),"",INDEX(B2006:B$2,-1+SUMPRODUCT(MAX(ROW(E2006:E$2)*(E2007=E2006:E$2)))))</f>
        <v> </v>
      </c>
      <c r="J2007" s="25" t="str">
        <f>IF(OR(E2007="",E2007="!!!",F2007="NEW"),"",COUNTBLANK(OFFSET(A$1,,,SUMPRODUCT(MAX(ROW(E$2:E2007)*(E2007=E$2:E2007)))))-COUNTBLANK(OFFSET(A$1,,,SUMPRODUCT(MAX(ROW(E$1:E2006)*(E2=E$1:E2006))))))</f>
        <v> </v>
      </c>
      <c r="K2007" s="25" t="str">
        <f>IF(OR(E2007="",E2007="!!!",F2007="NEW"),"",INDEX(J$1:J2006,SUMPRODUCT(MAX(ROW(E$1:E2006)*(E2007=E$1:E2006)))))</f>
        <v> </v>
      </c>
      <c r="L2007" s="26"/>
    </row>
    <row r="2008" spans="1:12">
      <c r="A2008" s="20" t="s">
        <v>528</v>
      </c>
      <c r="E2008" s="21">
        <f>IF(D2008="?OLD","!!!","")</f>
        <v/>
      </c>
      <c r="F2008" s="22" t="str">
        <f>IF(OR(E2008="",E2008="!!!"),"",IF(NOT(ISNA(VLOOKUP(E2008,E$1:E2007,1,FALSE()))),"OLD",IF(AND(E2008&lt;&gt;"",E2008&lt;&gt;"!!!"),"NEW","")))</f>
        <v> </v>
      </c>
      <c r="G2008" s="23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4" t="str">
        <f>IF(J2008&lt;&gt;1,"",IF(I2008="SBJ","CB","?"))</f>
        <v> </v>
      </c>
      <c r="I2008" s="25" t="str">
        <f>IF(OR(E2008="",E2008="!!!",F2008="NEW"),"",INDEX(B2007:B$2,-1+SUMPRODUCT(MAX(ROW(E2007:E$2)*(E2008=E2007:E$2)))))</f>
        <v> </v>
      </c>
      <c r="J2008" s="25" t="str">
        <f>IF(OR(E2008="",E2008="!!!",F2008="NEW"),"",COUNTBLANK(OFFSET(A$1,,,SUMPRODUCT(MAX(ROW(E$2:E2008)*(E2008=E$2:E2008)))))-COUNTBLANK(OFFSET(A$1,,,SUMPRODUCT(MAX(ROW(E$1:E2007)*(E2=E$1:E2007))))))</f>
        <v> </v>
      </c>
      <c r="K2008" s="25" t="str">
        <f>IF(OR(E2008="",E2008="!!!",F2008="NEW"),"",INDEX(J$1:J2007,SUMPRODUCT(MAX(ROW(E$1:E2007)*(E2008=E$1:E2007)))))</f>
        <v> </v>
      </c>
      <c r="L2008" s="26"/>
    </row>
    <row r="2009" spans="1:12">
      <c r="A2009" s="20" t="s">
        <v>1268</v>
      </c>
      <c r="E2009" s="21">
        <f>IF(D2009="?OLD","!!!","")</f>
        <v/>
      </c>
      <c r="F2009" s="22" t="str">
        <f>IF(OR(E2009="",E2009="!!!"),"",IF(NOT(ISNA(VLOOKUP(E2009,E$1:E2008,1,FALSE()))),"OLD",IF(AND(E2009&lt;&gt;"",E2009&lt;&gt;"!!!"),"NEW","")))</f>
        <v> </v>
      </c>
      <c r="G2009" s="23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4" t="str">
        <f>IF(J2009&lt;&gt;1,"",IF(I2009="SBJ","CB","?"))</f>
        <v> </v>
      </c>
      <c r="I2009" s="25" t="str">
        <f>IF(OR(E2009="",E2009="!!!",F2009="NEW"),"",INDEX(B2008:B$2,-1+SUMPRODUCT(MAX(ROW(E2008:E$2)*(E2009=E2008:E$2)))))</f>
        <v> </v>
      </c>
      <c r="J2009" s="25" t="str">
        <f>IF(OR(E2009="",E2009="!!!",F2009="NEW"),"",COUNTBLANK(OFFSET(A$1,,,SUMPRODUCT(MAX(ROW(E$2:E2009)*(E2009=E$2:E2009)))))-COUNTBLANK(OFFSET(A$1,,,SUMPRODUCT(MAX(ROW(E$1:E2008)*(E2=E$1:E2008))))))</f>
        <v> </v>
      </c>
      <c r="K2009" s="25" t="str">
        <f>IF(OR(E2009="",E2009="!!!",F2009="NEW"),"",INDEX(J$1:J2008,SUMPRODUCT(MAX(ROW(E$1:E2008)*(E2009=E$1:E2008)))))</f>
        <v> </v>
      </c>
      <c r="L2009" s="26"/>
    </row>
    <row r="2010" spans="1:12">
      <c r="A2010" s="20" t="s">
        <v>565</v>
      </c>
      <c r="E2010" s="21">
        <f>IF(D2010="?OLD","!!!","")</f>
        <v/>
      </c>
      <c r="F2010" s="22" t="str">
        <f>IF(OR(E2010="",E2010="!!!"),"",IF(NOT(ISNA(VLOOKUP(E2010,E$1:E2009,1,FALSE()))),"OLD",IF(AND(E2010&lt;&gt;"",E2010&lt;&gt;"!!!"),"NEW","")))</f>
        <v> </v>
      </c>
      <c r="G2010" s="23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4" t="str">
        <f>IF(J2010&lt;&gt;1,"",IF(I2010="SBJ","CB","?"))</f>
        <v> </v>
      </c>
      <c r="I2010" s="25" t="str">
        <f>IF(OR(E2010="",E2010="!!!",F2010="NEW"),"",INDEX(B2009:B$2,-1+SUMPRODUCT(MAX(ROW(E2009:E$2)*(E2010=E2009:E$2)))))</f>
        <v> </v>
      </c>
      <c r="J2010" s="25" t="str">
        <f>IF(OR(E2010="",E2010="!!!",F2010="NEW"),"",COUNTBLANK(OFFSET(A$1,,,SUMPRODUCT(MAX(ROW(E$2:E2010)*(E2010=E$2:E2010)))))-COUNTBLANK(OFFSET(A$1,,,SUMPRODUCT(MAX(ROW(E$1:E2009)*(E2=E$1:E2009))))))</f>
        <v> </v>
      </c>
      <c r="K2010" s="25" t="str">
        <f>IF(OR(E2010="",E2010="!!!",F2010="NEW"),"",INDEX(J$1:J2009,SUMPRODUCT(MAX(ROW(E$1:E2009)*(E2010=E$1:E2009)))))</f>
        <v> </v>
      </c>
      <c r="L2010" s="26"/>
    </row>
    <row r="2011" spans="1:12">
      <c r="A2011" s="20" t="s">
        <v>1269</v>
      </c>
      <c r="E2011" s="21">
        <f>IF(D2011="?OLD","!!!","")</f>
        <v/>
      </c>
      <c r="F2011" s="22" t="str">
        <f>IF(OR(E2011="",E2011="!!!"),"",IF(NOT(ISNA(VLOOKUP(E2011,E$1:E2010,1,FALSE()))),"OLD",IF(AND(E2011&lt;&gt;"",E2011&lt;&gt;"!!!"),"NEW","")))</f>
        <v> </v>
      </c>
      <c r="G2011" s="23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4" t="str">
        <f>IF(J2011&lt;&gt;1,"",IF(I2011="SBJ","CB","?"))</f>
        <v> </v>
      </c>
      <c r="I2011" s="25" t="str">
        <f>IF(OR(E2011="",E2011="!!!",F2011="NEW"),"",INDEX(B2010:B$2,-1+SUMPRODUCT(MAX(ROW(E2010:E$2)*(E2011=E2010:E$2)))))</f>
        <v> </v>
      </c>
      <c r="J2011" s="25" t="str">
        <f>IF(OR(E2011="",E2011="!!!",F2011="NEW"),"",COUNTBLANK(OFFSET(A$1,,,SUMPRODUCT(MAX(ROW(E$2:E2011)*(E2011=E$2:E2011)))))-COUNTBLANK(OFFSET(A$1,,,SUMPRODUCT(MAX(ROW(E$1:E2010)*(E2=E$1:E2010))))))</f>
        <v> </v>
      </c>
      <c r="K2011" s="25" t="str">
        <f>IF(OR(E2011="",E2011="!!!",F2011="NEW"),"",INDEX(J$1:J2010,SUMPRODUCT(MAX(ROW(E$1:E2010)*(E2011=E$1:E2010)))))</f>
        <v> </v>
      </c>
      <c r="L2011" s="26"/>
    </row>
    <row r="2012" spans="1:12">
      <c r="A2012" s="20" t="s">
        <v>1270</v>
      </c>
      <c r="B2012" s="27" t="s">
        <v>544</v>
      </c>
      <c r="C2012" s="27" t="s">
        <v>564</v>
      </c>
      <c r="E2012" s="21">
        <f>IF(D2012="?OLD","!!!","")</f>
        <v/>
      </c>
      <c r="F2012" s="22" t="str">
        <f>IF(OR(E2012="",E2012="!!!"),"",IF(NOT(ISNA(VLOOKUP(E2012,E$1:E2011,1,FALSE()))),"OLD",IF(AND(E2012&lt;&gt;"",E2012&lt;&gt;"!!!"),"NEW","")))</f>
        <v> </v>
      </c>
      <c r="G2012" s="23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4" t="str">
        <f>IF(J2012&lt;&gt;1,"",IF(I2012="SBJ","CB","?"))</f>
        <v> </v>
      </c>
      <c r="I2012" s="25" t="str">
        <f>IF(OR(E2012="",E2012="!!!",F2012="NEW"),"",INDEX(B2011:B$2,-1+SUMPRODUCT(MAX(ROW(E2011:E$2)*(E2012=E2011:E$2)))))</f>
        <v> </v>
      </c>
      <c r="J2012" s="25" t="str">
        <f>IF(OR(E2012="",E2012="!!!",F2012="NEW"),"",COUNTBLANK(OFFSET(A$1,,,SUMPRODUCT(MAX(ROW(E$2:E2012)*(E2012=E$2:E2012)))))-COUNTBLANK(OFFSET(A$1,,,SUMPRODUCT(MAX(ROW(E$1:E2011)*(E2=E$1:E2011))))))</f>
        <v> </v>
      </c>
      <c r="K2012" s="25" t="str">
        <f>IF(OR(E2012="",E2012="!!!",F2012="NEW"),"",INDEX(J$1:J2011,SUMPRODUCT(MAX(ROW(E$1:E2011)*(E2012=E$1:E2011)))))</f>
        <v> </v>
      </c>
      <c r="L2012" s="26"/>
    </row>
    <row r="2013" spans="1:12">
      <c r="A2013" s="20" t="s">
        <v>542</v>
      </c>
      <c r="E2013" s="21">
        <f>IF(D2013="?OLD","!!!","")</f>
        <v/>
      </c>
      <c r="F2013" s="22" t="str">
        <f>IF(OR(E2013="",E2013="!!!"),"",IF(NOT(ISNA(VLOOKUP(E2013,E$1:E2012,1,FALSE()))),"OLD",IF(AND(E2013&lt;&gt;"",E2013&lt;&gt;"!!!"),"NEW","")))</f>
        <v> </v>
      </c>
      <c r="G2013" s="23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4" t="str">
        <f>IF(J2013&lt;&gt;1,"",IF(I2013="SBJ","CB","?"))</f>
        <v> </v>
      </c>
      <c r="I2013" s="25" t="str">
        <f>IF(OR(E2013="",E2013="!!!",F2013="NEW"),"",INDEX(B2012:B$2,-1+SUMPRODUCT(MAX(ROW(E2012:E$2)*(E2013=E2012:E$2)))))</f>
        <v> </v>
      </c>
      <c r="J2013" s="25" t="str">
        <f>IF(OR(E2013="",E2013="!!!",F2013="NEW"),"",COUNTBLANK(OFFSET(A$1,,,SUMPRODUCT(MAX(ROW(E$2:E2013)*(E2013=E$2:E2013)))))-COUNTBLANK(OFFSET(A$1,,,SUMPRODUCT(MAX(ROW(E$1:E2012)*(E2=E$1:E2012))))))</f>
        <v> </v>
      </c>
      <c r="K2013" s="25" t="str">
        <f>IF(OR(E2013="",E2013="!!!",F2013="NEW"),"",INDEX(J$1:J2012,SUMPRODUCT(MAX(ROW(E$1:E2012)*(E2013=E$1:E2012)))))</f>
        <v> </v>
      </c>
      <c r="L2013" s="26"/>
    </row>
    <row r="2014" spans="1:12">
      <c r="A2014" s="20" t="s">
        <v>429</v>
      </c>
      <c r="E2014" s="21">
        <f>IF(D2014="?OLD","!!!","")</f>
        <v/>
      </c>
      <c r="F2014" s="22" t="str">
        <f>IF(OR(E2014="",E2014="!!!"),"",IF(NOT(ISNA(VLOOKUP(E2014,E$1:E2013,1,FALSE()))),"OLD",IF(AND(E2014&lt;&gt;"",E2014&lt;&gt;"!!!"),"NEW","")))</f>
        <v> </v>
      </c>
      <c r="G2014" s="23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4" t="str">
        <f>IF(J2014&lt;&gt;1,"",IF(I2014="SBJ","CB","?"))</f>
        <v> </v>
      </c>
      <c r="I2014" s="25" t="str">
        <f>IF(OR(E2014="",E2014="!!!",F2014="NEW"),"",INDEX(B2013:B$2,-1+SUMPRODUCT(MAX(ROW(E2013:E$2)*(E2014=E2013:E$2)))))</f>
        <v> </v>
      </c>
      <c r="J2014" s="25" t="str">
        <f>IF(OR(E2014="",E2014="!!!",F2014="NEW"),"",COUNTBLANK(OFFSET(A$1,,,SUMPRODUCT(MAX(ROW(E$2:E2014)*(E2014=E$2:E2014)))))-COUNTBLANK(OFFSET(A$1,,,SUMPRODUCT(MAX(ROW(E$1:E2013)*(E2=E$1:E2013))))))</f>
        <v> </v>
      </c>
      <c r="K2014" s="25" t="str">
        <f>IF(OR(E2014="",E2014="!!!",F2014="NEW"),"",INDEX(J$1:J2013,SUMPRODUCT(MAX(ROW(E$1:E2013)*(E2014=E$1:E2013)))))</f>
        <v> </v>
      </c>
      <c r="L2014" s="26"/>
    </row>
    <row r="2015" spans="1:12">
      <c r="A2015" s="20" t="s">
        <v>1271</v>
      </c>
      <c r="E2015" s="21">
        <f>IF(D2015="?OLD","!!!","")</f>
        <v/>
      </c>
      <c r="F2015" s="22" t="str">
        <f>IF(OR(E2015="",E2015="!!!"),"",IF(NOT(ISNA(VLOOKUP(E2015,E$1:E2014,1,FALSE()))),"OLD",IF(AND(E2015&lt;&gt;"",E2015&lt;&gt;"!!!"),"NEW","")))</f>
        <v> </v>
      </c>
      <c r="G2015" s="23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4" t="str">
        <f>IF(J2015&lt;&gt;1,"",IF(I2015="SBJ","CB","?"))</f>
        <v> </v>
      </c>
      <c r="I2015" s="25" t="str">
        <f>IF(OR(E2015="",E2015="!!!",F2015="NEW"),"",INDEX(B2014:B$2,-1+SUMPRODUCT(MAX(ROW(E2014:E$2)*(E2015=E2014:E$2)))))</f>
        <v> </v>
      </c>
      <c r="J2015" s="25" t="str">
        <f>IF(OR(E2015="",E2015="!!!",F2015="NEW"),"",COUNTBLANK(OFFSET(A$1,,,SUMPRODUCT(MAX(ROW(E$2:E2015)*(E2015=E$2:E2015)))))-COUNTBLANK(OFFSET(A$1,,,SUMPRODUCT(MAX(ROW(E$1:E2014)*(E2=E$1:E2014))))))</f>
        <v> </v>
      </c>
      <c r="K2015" s="25" t="str">
        <f>IF(OR(E2015="",E2015="!!!",F2015="NEW"),"",INDEX(J$1:J2014,SUMPRODUCT(MAX(ROW(E$1:E2014)*(E2015=E$1:E2014)))))</f>
        <v> </v>
      </c>
      <c r="L2015" s="26"/>
    </row>
    <row r="2016" spans="1:12">
      <c r="A2016" s="20" t="s">
        <v>528</v>
      </c>
      <c r="E2016" s="21">
        <f>IF(D2016="?OLD","!!!","")</f>
        <v/>
      </c>
      <c r="F2016" s="22" t="str">
        <f>IF(OR(E2016="",E2016="!!!"),"",IF(NOT(ISNA(VLOOKUP(E2016,E$1:E2015,1,FALSE()))),"OLD",IF(AND(E2016&lt;&gt;"",E2016&lt;&gt;"!!!"),"NEW","")))</f>
        <v> </v>
      </c>
      <c r="G2016" s="23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4" t="str">
        <f>IF(J2016&lt;&gt;1,"",IF(I2016="SBJ","CB","?"))</f>
        <v> </v>
      </c>
      <c r="I2016" s="25" t="str">
        <f>IF(OR(E2016="",E2016="!!!",F2016="NEW"),"",INDEX(B2015:B$2,-1+SUMPRODUCT(MAX(ROW(E2015:E$2)*(E2016=E2015:E$2)))))</f>
        <v> </v>
      </c>
      <c r="J2016" s="25" t="str">
        <f>IF(OR(E2016="",E2016="!!!",F2016="NEW"),"",COUNTBLANK(OFFSET(A$1,,,SUMPRODUCT(MAX(ROW(E$2:E2016)*(E2016=E$2:E2016)))))-COUNTBLANK(OFFSET(A$1,,,SUMPRODUCT(MAX(ROW(E$1:E2015)*(E2=E$1:E2015))))))</f>
        <v> </v>
      </c>
      <c r="K2016" s="25" t="str">
        <f>IF(OR(E2016="",E2016="!!!",F2016="NEW"),"",INDEX(J$1:J2015,SUMPRODUCT(MAX(ROW(E$1:E2015)*(E2016=E$1:E2015)))))</f>
        <v> </v>
      </c>
      <c r="L2016" s="26"/>
    </row>
    <row r="2017" spans="1:12">
      <c r="A2017" s="20" t="s">
        <v>1268</v>
      </c>
      <c r="E2017" s="21">
        <f>IF(D2017="?OLD","!!!","")</f>
        <v/>
      </c>
      <c r="F2017" s="22" t="str">
        <f>IF(OR(E2017="",E2017="!!!"),"",IF(NOT(ISNA(VLOOKUP(E2017,E$1:E2016,1,FALSE()))),"OLD",IF(AND(E2017&lt;&gt;"",E2017&lt;&gt;"!!!"),"NEW","")))</f>
        <v> </v>
      </c>
      <c r="G2017" s="23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4" t="str">
        <f>IF(J2017&lt;&gt;1,"",IF(I2017="SBJ","CB","?"))</f>
        <v> </v>
      </c>
      <c r="I2017" s="25" t="str">
        <f>IF(OR(E2017="",E2017="!!!",F2017="NEW"),"",INDEX(B2016:B$2,-1+SUMPRODUCT(MAX(ROW(E2016:E$2)*(E2017=E2016:E$2)))))</f>
        <v> </v>
      </c>
      <c r="J2017" s="25" t="str">
        <f>IF(OR(E2017="",E2017="!!!",F2017="NEW"),"",COUNTBLANK(OFFSET(A$1,,,SUMPRODUCT(MAX(ROW(E$2:E2017)*(E2017=E$2:E2017)))))-COUNTBLANK(OFFSET(A$1,,,SUMPRODUCT(MAX(ROW(E$1:E2016)*(E2=E$1:E2016))))))</f>
        <v> </v>
      </c>
      <c r="K2017" s="25" t="str">
        <f>IF(OR(E2017="",E2017="!!!",F2017="NEW"),"",INDEX(J$1:J2016,SUMPRODUCT(MAX(ROW(E$1:E2016)*(E2017=E$1:E2016)))))</f>
        <v> </v>
      </c>
      <c r="L2017" s="26"/>
    </row>
    <row r="2018" spans="1:12">
      <c r="A2018" s="20" t="s">
        <v>565</v>
      </c>
      <c r="E2018" s="21">
        <f>IF(D2018="?OLD","!!!","")</f>
        <v/>
      </c>
      <c r="F2018" s="22" t="str">
        <f>IF(OR(E2018="",E2018="!!!"),"",IF(NOT(ISNA(VLOOKUP(E2018,E$1:E2017,1,FALSE()))),"OLD",IF(AND(E2018&lt;&gt;"",E2018&lt;&gt;"!!!"),"NEW","")))</f>
        <v> </v>
      </c>
      <c r="G2018" s="23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4" t="str">
        <f>IF(J2018&lt;&gt;1,"",IF(I2018="SBJ","CB","?"))</f>
        <v> </v>
      </c>
      <c r="I2018" s="25" t="str">
        <f>IF(OR(E2018="",E2018="!!!",F2018="NEW"),"",INDEX(B2017:B$2,-1+SUMPRODUCT(MAX(ROW(E2017:E$2)*(E2018=E2017:E$2)))))</f>
        <v> </v>
      </c>
      <c r="J2018" s="25" t="str">
        <f>IF(OR(E2018="",E2018="!!!",F2018="NEW"),"",COUNTBLANK(OFFSET(A$1,,,SUMPRODUCT(MAX(ROW(E$2:E2018)*(E2018=E$2:E2018)))))-COUNTBLANK(OFFSET(A$1,,,SUMPRODUCT(MAX(ROW(E$1:E2017)*(E2=E$1:E2017))))))</f>
        <v> </v>
      </c>
      <c r="K2018" s="25" t="str">
        <f>IF(OR(E2018="",E2018="!!!",F2018="NEW"),"",INDEX(J$1:J2017,SUMPRODUCT(MAX(ROW(E$1:E2017)*(E2018=E$1:E2017)))))</f>
        <v> </v>
      </c>
      <c r="L2018" s="26"/>
    </row>
    <row r="2019" spans="1:12">
      <c r="A2019" s="20" t="s">
        <v>566</v>
      </c>
      <c r="E2019" s="21">
        <f>IF(D2019="?OLD","!!!","")</f>
        <v/>
      </c>
      <c r="F2019" s="22" t="str">
        <f>IF(OR(E2019="",E2019="!!!"),"",IF(NOT(ISNA(VLOOKUP(E2019,E$1:E2018,1,FALSE()))),"OLD",IF(AND(E2019&lt;&gt;"",E2019&lt;&gt;"!!!"),"NEW","")))</f>
        <v> </v>
      </c>
      <c r="G2019" s="23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4" t="str">
        <f>IF(J2019&lt;&gt;1,"",IF(I2019="SBJ","CB","?"))</f>
        <v> </v>
      </c>
      <c r="I2019" s="25" t="str">
        <f>IF(OR(E2019="",E2019="!!!",F2019="NEW"),"",INDEX(B2018:B$2,-1+SUMPRODUCT(MAX(ROW(E2018:E$2)*(E2019=E2018:E$2)))))</f>
        <v> </v>
      </c>
      <c r="J2019" s="25" t="str">
        <f>IF(OR(E2019="",E2019="!!!",F2019="NEW"),"",COUNTBLANK(OFFSET(A$1,,,SUMPRODUCT(MAX(ROW(E$2:E2019)*(E2019=E$2:E2019)))))-COUNTBLANK(OFFSET(A$1,,,SUMPRODUCT(MAX(ROW(E$1:E2018)*(E2=E$1:E2018))))))</f>
        <v> </v>
      </c>
      <c r="K2019" s="25" t="str">
        <f>IF(OR(E2019="",E2019="!!!",F2019="NEW"),"",INDEX(J$1:J2018,SUMPRODUCT(MAX(ROW(E$1:E2018)*(E2019=E$1:E2018)))))</f>
        <v> </v>
      </c>
      <c r="L2019" s="26"/>
    </row>
    <row r="2020" spans="1:12">
      <c r="A2020" s="20" t="s">
        <v>1229</v>
      </c>
      <c r="E2020" s="21">
        <f>IF(D2020="?OLD","!!!","")</f>
        <v/>
      </c>
      <c r="F2020" s="22" t="str">
        <f>IF(OR(E2020="",E2020="!!!"),"",IF(NOT(ISNA(VLOOKUP(E2020,E$1:E2019,1,FALSE()))),"OLD",IF(AND(E2020&lt;&gt;"",E2020&lt;&gt;"!!!"),"NEW","")))</f>
        <v> </v>
      </c>
      <c r="G2020" s="23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4" t="str">
        <f>IF(J2020&lt;&gt;1,"",IF(I2020="SBJ","CB","?"))</f>
        <v> </v>
      </c>
      <c r="I2020" s="25" t="str">
        <f>IF(OR(E2020="",E2020="!!!",F2020="NEW"),"",INDEX(B2019:B$2,-1+SUMPRODUCT(MAX(ROW(E2019:E$2)*(E2020=E2019:E$2)))))</f>
        <v> </v>
      </c>
      <c r="J2020" s="25" t="str">
        <f>IF(OR(E2020="",E2020="!!!",F2020="NEW"),"",COUNTBLANK(OFFSET(A$1,,,SUMPRODUCT(MAX(ROW(E$2:E2020)*(E2020=E$2:E2020)))))-COUNTBLANK(OFFSET(A$1,,,SUMPRODUCT(MAX(ROW(E$1:E2019)*(E2=E$1:E2019))))))</f>
        <v> </v>
      </c>
      <c r="K2020" s="25" t="str">
        <f>IF(OR(E2020="",E2020="!!!",F2020="NEW"),"",INDEX(J$1:J2019,SUMPRODUCT(MAX(ROW(E$1:E2019)*(E2020=E$1:E2019)))))</f>
        <v> </v>
      </c>
      <c r="L2020" s="26"/>
    </row>
    <row r="2021" spans="1:12">
      <c r="A2021" s="20" t="s">
        <v>1272</v>
      </c>
      <c r="B2021" s="27" t="s">
        <v>534</v>
      </c>
      <c r="C2021" s="27" t="s">
        <v>584</v>
      </c>
      <c r="D2021" s="27" t="s">
        <v>524</v>
      </c>
      <c r="E2021" s="21">
        <f>IF(D2021="?OLD","!!!","")</f>
        <v/>
      </c>
      <c r="F2021" s="22" t="str">
        <f>IF(OR(E2021="",E2021="!!!"),"",IF(NOT(ISNA(VLOOKUP(E2021,E$1:E2020,1,FALSE()))),"OLD",IF(AND(E2021&lt;&gt;"",E2021&lt;&gt;"!!!"),"NEW","")))</f>
        <v> </v>
      </c>
      <c r="G2021" s="23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4" t="str">
        <f>IF(J2021&lt;&gt;1,"",IF(I2021="SBJ","CB","?"))</f>
        <v> </v>
      </c>
      <c r="I2021" s="25" t="str">
        <f>IF(OR(E2021="",E2021="!!!",F2021="NEW"),"",INDEX(B2020:B$2,-1+SUMPRODUCT(MAX(ROW(E2020:E$2)*(E2021=E2020:E$2)))))</f>
        <v> </v>
      </c>
      <c r="J2021" s="25" t="str">
        <f>IF(OR(E2021="",E2021="!!!",F2021="NEW"),"",COUNTBLANK(OFFSET(A$1,,,SUMPRODUCT(MAX(ROW(E$2:E2021)*(E2021=E$2:E2021)))))-COUNTBLANK(OFFSET(A$1,,,SUMPRODUCT(MAX(ROW(E$1:E2020)*(E2=E$1:E2020))))))</f>
        <v> </v>
      </c>
      <c r="K2021" s="25" t="str">
        <f>IF(OR(E2021="",E2021="!!!",F2021="NEW"),"",INDEX(J$1:J2020,SUMPRODUCT(MAX(ROW(E$1:E2020)*(E2021=E$1:E2020)))))</f>
        <v> </v>
      </c>
      <c r="L2021" s="26"/>
    </row>
    <row r="2022" spans="1:12">
      <c r="A2022" s="20" t="s">
        <v>528</v>
      </c>
      <c r="E2022" s="21">
        <f>IF(D2022="?OLD","!!!","")</f>
        <v/>
      </c>
      <c r="F2022" s="22" t="str">
        <f>IF(OR(E2022="",E2022="!!!"),"",IF(NOT(ISNA(VLOOKUP(E2022,E$1:E2021,1,FALSE()))),"OLD",IF(AND(E2022&lt;&gt;"",E2022&lt;&gt;"!!!"),"NEW","")))</f>
        <v> </v>
      </c>
      <c r="G2022" s="23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4" t="str">
        <f>IF(J2022&lt;&gt;1,"",IF(I2022="SBJ","CB","?"))</f>
        <v> </v>
      </c>
      <c r="I2022" s="25" t="str">
        <f>IF(OR(E2022="",E2022="!!!",F2022="NEW"),"",INDEX(B2021:B$2,-1+SUMPRODUCT(MAX(ROW(E2021:E$2)*(E2022=E2021:E$2)))))</f>
        <v> </v>
      </c>
      <c r="J2022" s="25" t="str">
        <f>IF(OR(E2022="",E2022="!!!",F2022="NEW"),"",COUNTBLANK(OFFSET(A$1,,,SUMPRODUCT(MAX(ROW(E$2:E2022)*(E2022=E$2:E2022)))))-COUNTBLANK(OFFSET(A$1,,,SUMPRODUCT(MAX(ROW(E$1:E2021)*(E2=E$1:E2021))))))</f>
        <v> </v>
      </c>
      <c r="K2022" s="25" t="str">
        <f>IF(OR(E2022="",E2022="!!!",F2022="NEW"),"",INDEX(J$1:J2021,SUMPRODUCT(MAX(ROW(E$1:E2021)*(E2022=E$1:E2021)))))</f>
        <v> </v>
      </c>
      <c r="L2022" s="26"/>
    </row>
    <row r="2023" spans="1:12">
      <c r="A2023" s="20" t="s">
        <v>429</v>
      </c>
      <c r="E2023" s="21">
        <f>IF(D2023="?OLD","!!!","")</f>
        <v/>
      </c>
      <c r="F2023" s="22" t="str">
        <f>IF(OR(E2023="",E2023="!!!"),"",IF(NOT(ISNA(VLOOKUP(E2023,E$1:E2022,1,FALSE()))),"OLD",IF(AND(E2023&lt;&gt;"",E2023&lt;&gt;"!!!"),"NEW","")))</f>
        <v> </v>
      </c>
      <c r="G2023" s="23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4" t="str">
        <f>IF(J2023&lt;&gt;1,"",IF(I2023="SBJ","CB","?"))</f>
        <v> </v>
      </c>
      <c r="I2023" s="25" t="str">
        <f>IF(OR(E2023="",E2023="!!!",F2023="NEW"),"",INDEX(B2022:B$2,-1+SUMPRODUCT(MAX(ROW(E2022:E$2)*(E2023=E2022:E$2)))))</f>
        <v> </v>
      </c>
      <c r="J2023" s="25" t="str">
        <f>IF(OR(E2023="",E2023="!!!",F2023="NEW"),"",COUNTBLANK(OFFSET(A$1,,,SUMPRODUCT(MAX(ROW(E$2:E2023)*(E2023=E$2:E2023)))))-COUNTBLANK(OFFSET(A$1,,,SUMPRODUCT(MAX(ROW(E$1:E2022)*(E2=E$1:E2022))))))</f>
        <v> </v>
      </c>
      <c r="K2023" s="25" t="str">
        <f>IF(OR(E2023="",E2023="!!!",F2023="NEW"),"",INDEX(J$1:J2022,SUMPRODUCT(MAX(ROW(E$1:E2022)*(E2023=E$1:E2022)))))</f>
        <v> </v>
      </c>
      <c r="L2023" s="26"/>
    </row>
    <row r="2024" spans="1:12">
      <c r="A2024" s="20" t="s">
        <v>1273</v>
      </c>
      <c r="E2024" s="21">
        <f>IF(D2024="?OLD","!!!","")</f>
        <v/>
      </c>
      <c r="F2024" s="22" t="str">
        <f>IF(OR(E2024="",E2024="!!!"),"",IF(NOT(ISNA(VLOOKUP(E2024,E$1:E2023,1,FALSE()))),"OLD",IF(AND(E2024&lt;&gt;"",E2024&lt;&gt;"!!!"),"NEW","")))</f>
        <v> </v>
      </c>
      <c r="G2024" s="23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4" t="str">
        <f>IF(J2024&lt;&gt;1,"",IF(I2024="SBJ","CB","?"))</f>
        <v> </v>
      </c>
      <c r="I2024" s="25" t="str">
        <f>IF(OR(E2024="",E2024="!!!",F2024="NEW"),"",INDEX(B2023:B$2,-1+SUMPRODUCT(MAX(ROW(E2023:E$2)*(E2024=E2023:E$2)))))</f>
        <v> </v>
      </c>
      <c r="J2024" s="25" t="str">
        <f>IF(OR(E2024="",E2024="!!!",F2024="NEW"),"",COUNTBLANK(OFFSET(A$1,,,SUMPRODUCT(MAX(ROW(E$2:E2024)*(E2024=E$2:E2024)))))-COUNTBLANK(OFFSET(A$1,,,SUMPRODUCT(MAX(ROW(E$1:E2023)*(E2=E$1:E2023))))))</f>
        <v> </v>
      </c>
      <c r="K2024" s="25" t="str">
        <f>IF(OR(E2024="",E2024="!!!",F2024="NEW"),"",INDEX(J$1:J2023,SUMPRODUCT(MAX(ROW(E$1:E2023)*(E2024=E$1:E2023)))))</f>
        <v> </v>
      </c>
      <c r="L2024" s="26"/>
    </row>
    <row r="2025" spans="1:12">
      <c r="A2025" s="20" t="s">
        <v>843</v>
      </c>
      <c r="B2025" s="27" t="s">
        <v>716</v>
      </c>
      <c r="C2025" s="27" t="s">
        <v>523</v>
      </c>
      <c r="D2025" s="27" t="s">
        <v>524</v>
      </c>
      <c r="E2025" s="21">
        <f>IF(D2025="?OLD","!!!","")</f>
        <v/>
      </c>
      <c r="F2025" s="22" t="str">
        <f>IF(OR(E2025="",E2025="!!!"),"",IF(NOT(ISNA(VLOOKUP(E2025,E$1:E2024,1,FALSE()))),"OLD",IF(AND(E2025&lt;&gt;"",E2025&lt;&gt;"!!!"),"NEW","")))</f>
        <v> </v>
      </c>
      <c r="G2025" s="23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4" t="str">
        <f>IF(J2025&lt;&gt;1,"",IF(I2025="SBJ","CB","?"))</f>
        <v> </v>
      </c>
      <c r="I2025" s="25" t="str">
        <f>IF(OR(E2025="",E2025="!!!",F2025="NEW"),"",INDEX(B2024:B$2,-1+SUMPRODUCT(MAX(ROW(E2024:E$2)*(E2025=E2024:E$2)))))</f>
        <v> </v>
      </c>
      <c r="J2025" s="25" t="str">
        <f>IF(OR(E2025="",E2025="!!!",F2025="NEW"),"",COUNTBLANK(OFFSET(A$1,,,SUMPRODUCT(MAX(ROW(E$2:E2025)*(E2025=E$2:E2025)))))-COUNTBLANK(OFFSET(A$1,,,SUMPRODUCT(MAX(ROW(E$1:E2024)*(E2=E$1:E2024))))))</f>
        <v> </v>
      </c>
      <c r="K2025" s="25" t="str">
        <f>IF(OR(E2025="",E2025="!!!",F2025="NEW"),"",INDEX(J$1:J2024,SUMPRODUCT(MAX(ROW(E$1:E2024)*(E2025=E$1:E2024)))))</f>
        <v> </v>
      </c>
      <c r="L2025" s="26"/>
    </row>
    <row r="2026" spans="1:12">
      <c r="A2026" s="20" t="s">
        <v>1274</v>
      </c>
      <c r="E2026" s="21">
        <f>IF(D2026="?OLD","!!!","")</f>
        <v/>
      </c>
      <c r="F2026" s="22" t="str">
        <f>IF(OR(E2026="",E2026="!!!"),"",IF(NOT(ISNA(VLOOKUP(E2026,E$1:E2025,1,FALSE()))),"OLD",IF(AND(E2026&lt;&gt;"",E2026&lt;&gt;"!!!"),"NEW","")))</f>
        <v> </v>
      </c>
      <c r="G2026" s="23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4" t="str">
        <f>IF(J2026&lt;&gt;1,"",IF(I2026="SBJ","CB","?"))</f>
        <v> </v>
      </c>
      <c r="I2026" s="25" t="str">
        <f>IF(OR(E2026="",E2026="!!!",F2026="NEW"),"",INDEX(B2025:B$2,-1+SUMPRODUCT(MAX(ROW(E2025:E$2)*(E2026=E2025:E$2)))))</f>
        <v> </v>
      </c>
      <c r="J2026" s="25" t="str">
        <f>IF(OR(E2026="",E2026="!!!",F2026="NEW"),"",COUNTBLANK(OFFSET(A$1,,,SUMPRODUCT(MAX(ROW(E$2:E2026)*(E2026=E$2:E2026)))))-COUNTBLANK(OFFSET(A$1,,,SUMPRODUCT(MAX(ROW(E$1:E2025)*(E2=E$1:E2025))))))</f>
        <v> </v>
      </c>
      <c r="K2026" s="25" t="str">
        <f>IF(OR(E2026="",E2026="!!!",F2026="NEW"),"",INDEX(J$1:J2025,SUMPRODUCT(MAX(ROW(E$1:E2025)*(E2026=E$1:E2025)))))</f>
        <v> </v>
      </c>
      <c r="L2026" s="26"/>
    </row>
    <row r="2027" spans="1:12">
      <c r="A2027" s="20" t="s">
        <v>542</v>
      </c>
      <c r="E2027" s="21">
        <f>IF(D2027="?OLD","!!!","")</f>
        <v/>
      </c>
      <c r="F2027" s="22" t="str">
        <f>IF(OR(E2027="",E2027="!!!"),"",IF(NOT(ISNA(VLOOKUP(E2027,E$1:E2026,1,FALSE()))),"OLD",IF(AND(E2027&lt;&gt;"",E2027&lt;&gt;"!!!"),"NEW","")))</f>
        <v> </v>
      </c>
      <c r="G2027" s="23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4" t="str">
        <f>IF(J2027&lt;&gt;1,"",IF(I2027="SBJ","CB","?"))</f>
        <v> </v>
      </c>
      <c r="I2027" s="25" t="str">
        <f>IF(OR(E2027="",E2027="!!!",F2027="NEW"),"",INDEX(B2026:B$2,-1+SUMPRODUCT(MAX(ROW(E2026:E$2)*(E2027=E2026:E$2)))))</f>
        <v> </v>
      </c>
      <c r="J2027" s="25" t="str">
        <f>IF(OR(E2027="",E2027="!!!",F2027="NEW"),"",COUNTBLANK(OFFSET(A$1,,,SUMPRODUCT(MAX(ROW(E$2:E2027)*(E2027=E$2:E2027)))))-COUNTBLANK(OFFSET(A$1,,,SUMPRODUCT(MAX(ROW(E$1:E2026)*(E2=E$1:E2026))))))</f>
        <v> </v>
      </c>
      <c r="K2027" s="25" t="str">
        <f>IF(OR(E2027="",E2027="!!!",F2027="NEW"),"",INDEX(J$1:J2026,SUMPRODUCT(MAX(ROW(E$1:E2026)*(E2027=E$1:E2026)))))</f>
        <v> </v>
      </c>
      <c r="L2027" s="26"/>
    </row>
    <row r="2028" spans="1:12">
      <c r="A2028" s="20" t="s">
        <v>542</v>
      </c>
      <c r="E2028" s="21">
        <f>IF(D2028="?OLD","!!!","")</f>
        <v/>
      </c>
      <c r="F2028" s="22" t="str">
        <f>IF(OR(E2028="",E2028="!!!"),"",IF(NOT(ISNA(VLOOKUP(E2028,E$1:E2027,1,FALSE()))),"OLD",IF(AND(E2028&lt;&gt;"",E2028&lt;&gt;"!!!"),"NEW","")))</f>
        <v> </v>
      </c>
      <c r="G2028" s="23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4" t="str">
        <f>IF(J2028&lt;&gt;1,"",IF(I2028="SBJ","CB","?"))</f>
        <v> </v>
      </c>
      <c r="I2028" s="25" t="str">
        <f>IF(OR(E2028="",E2028="!!!",F2028="NEW"),"",INDEX(B2027:B$2,-1+SUMPRODUCT(MAX(ROW(E2027:E$2)*(E2028=E2027:E$2)))))</f>
        <v> </v>
      </c>
      <c r="J2028" s="25" t="str">
        <f>IF(OR(E2028="",E2028="!!!",F2028="NEW"),"",COUNTBLANK(OFFSET(A$1,,,SUMPRODUCT(MAX(ROW(E$2:E2028)*(E2028=E$2:E2028)))))-COUNTBLANK(OFFSET(A$1,,,SUMPRODUCT(MAX(ROW(E$1:E2027)*(E2=E$1:E2027))))))</f>
        <v> </v>
      </c>
      <c r="K2028" s="25" t="str">
        <f>IF(OR(E2028="",E2028="!!!",F2028="NEW"),"",INDEX(J$1:J2027,SUMPRODUCT(MAX(ROW(E$1:E2027)*(E2028=E$1:E2027)))))</f>
        <v> </v>
      </c>
      <c r="L2028" s="26"/>
    </row>
    <row r="2029" spans="1:12">
      <c r="A2029" s="20" t="s">
        <v>1275</v>
      </c>
      <c r="B2029" s="27" t="s">
        <v>653</v>
      </c>
      <c r="C2029" s="27" t="s">
        <v>545</v>
      </c>
      <c r="D2029" s="27" t="s">
        <v>524</v>
      </c>
      <c r="E2029" s="21">
        <f>IF(D2029="?OLD","!!!","")</f>
        <v/>
      </c>
      <c r="F2029" s="22" t="str">
        <f>IF(OR(E2029="",E2029="!!!"),"",IF(NOT(ISNA(VLOOKUP(E2029,E$1:E2028,1,FALSE()))),"OLD",IF(AND(E2029&lt;&gt;"",E2029&lt;&gt;"!!!"),"NEW","")))</f>
        <v> </v>
      </c>
      <c r="G2029" s="23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4" t="str">
        <f>IF(J2029&lt;&gt;1,"",IF(I2029="SBJ","CB","?"))</f>
        <v> </v>
      </c>
      <c r="I2029" s="25" t="str">
        <f>IF(OR(E2029="",E2029="!!!",F2029="NEW"),"",INDEX(B2028:B$2,-1+SUMPRODUCT(MAX(ROW(E2028:E$2)*(E2029=E2028:E$2)))))</f>
        <v> </v>
      </c>
      <c r="J2029" s="25" t="str">
        <f>IF(OR(E2029="",E2029="!!!",F2029="NEW"),"",COUNTBLANK(OFFSET(A$1,,,SUMPRODUCT(MAX(ROW(E$2:E2029)*(E2029=E$2:E2029)))))-COUNTBLANK(OFFSET(A$1,,,SUMPRODUCT(MAX(ROW(E$1:E2028)*(E2=E$1:E2028))))))</f>
        <v> </v>
      </c>
      <c r="K2029" s="25" t="str">
        <f>IF(OR(E2029="",E2029="!!!",F2029="NEW"),"",INDEX(J$1:J2028,SUMPRODUCT(MAX(ROW(E$1:E2028)*(E2029=E$1:E2028)))))</f>
        <v> </v>
      </c>
      <c r="L2029" s="26"/>
    </row>
    <row r="2030" spans="1:12">
      <c r="A2030" s="20" t="s">
        <v>549</v>
      </c>
      <c r="E2030" s="21">
        <f>IF(D2030="?OLD","!!!","")</f>
        <v/>
      </c>
      <c r="F2030" s="22" t="str">
        <f>IF(OR(E2030="",E2030="!!!"),"",IF(NOT(ISNA(VLOOKUP(E2030,E$1:E2029,1,FALSE()))),"OLD",IF(AND(E2030&lt;&gt;"",E2030&lt;&gt;"!!!"),"NEW","")))</f>
        <v> </v>
      </c>
      <c r="G2030" s="23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4" t="str">
        <f>IF(J2030&lt;&gt;1,"",IF(I2030="SBJ","CB","?"))</f>
        <v> </v>
      </c>
      <c r="I2030" s="25" t="str">
        <f>IF(OR(E2030="",E2030="!!!",F2030="NEW"),"",INDEX(B2029:B$2,-1+SUMPRODUCT(MAX(ROW(E2029:E$2)*(E2030=E2029:E$2)))))</f>
        <v> </v>
      </c>
      <c r="J2030" s="25" t="str">
        <f>IF(OR(E2030="",E2030="!!!",F2030="NEW"),"",COUNTBLANK(OFFSET(A$1,,,SUMPRODUCT(MAX(ROW(E$2:E2030)*(E2030=E$2:E2030)))))-COUNTBLANK(OFFSET(A$1,,,SUMPRODUCT(MAX(ROW(E$1:E2029)*(E2=E$1:E2029))))))</f>
        <v> </v>
      </c>
      <c r="K2030" s="25" t="str">
        <f>IF(OR(E2030="",E2030="!!!",F2030="NEW"),"",INDEX(J$1:J2029,SUMPRODUCT(MAX(ROW(E$1:E2029)*(E2030=E$1:E2029)))))</f>
        <v> </v>
      </c>
      <c r="L2030" s="26"/>
    </row>
    <row r="2031" spans="1:12">
      <c r="A2031" s="20"/>
    </row>
    <row r="2032" spans="1:12">
      <c r="A2032" s="20" t="s">
        <v>1276</v>
      </c>
    </row>
    <row r="2033" spans="1:12">
      <c r="A2033" s="20" t="s">
        <v>11</v>
      </c>
      <c r="E2033" s="21">
        <f>IF(D2033="?OLD","!!!","")</f>
        <v/>
      </c>
      <c r="F2033" s="22" t="str">
        <f>IF(OR(E2033="",E2033="!!!"),"",IF(NOT(ISNA(VLOOKUP(E2033,E$1:E2032,1,FALSE()))),"OLD",IF(AND(E2033&lt;&gt;"",E2033&lt;&gt;"!!!"),"NEW","")))</f>
        <v> </v>
      </c>
      <c r="G2033" s="23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4" t="str">
        <f>IF(J2033&lt;&gt;1,"",IF(I2033="SBJ","CB","?"))</f>
        <v> </v>
      </c>
      <c r="I2033" s="25" t="str">
        <f>IF(OR(E2033="",E2033="!!!",F2033="NEW"),"",INDEX(B2032:B$2,-1+SUMPRODUCT(MAX(ROW(E2032:E$2)*(E2033=E2032:E$2)))))</f>
        <v> </v>
      </c>
      <c r="J2033" s="25" t="str">
        <f>IF(OR(E2033="",E2033="!!!",F2033="NEW"),"",COUNTBLANK(OFFSET(A$1,,,SUMPRODUCT(MAX(ROW(E$2:E2033)*(E2033=E$2:E2033)))))-COUNTBLANK(OFFSET(A$1,,,SUMPRODUCT(MAX(ROW(E$1:E2032)*(E2=E$1:E2032))))))</f>
        <v> </v>
      </c>
      <c r="K2033" s="25" t="str">
        <f>IF(OR(E2033="",E2033="!!!",F2033="NEW"),"",INDEX(J$1:J2032,SUMPRODUCT(MAX(ROW(E$1:E2032)*(E2033=E$1:E2032)))))</f>
        <v> </v>
      </c>
      <c r="L2033" s="26"/>
    </row>
    <row r="2034" spans="1:12">
      <c r="A2034" s="20" t="s">
        <v>1277</v>
      </c>
      <c r="B2034" s="27" t="s">
        <v>680</v>
      </c>
      <c r="C2034" s="27" t="s">
        <v>545</v>
      </c>
      <c r="D2034" s="27" t="s">
        <v>524</v>
      </c>
      <c r="E2034" s="21">
        <f>IF(D2034="?OLD","!!!","")</f>
        <v/>
      </c>
      <c r="F2034" s="22" t="str">
        <f>IF(OR(E2034="",E2034="!!!"),"",IF(NOT(ISNA(VLOOKUP(E2034,E$1:E2033,1,FALSE()))),"OLD",IF(AND(E2034&lt;&gt;"",E2034&lt;&gt;"!!!"),"NEW","")))</f>
        <v> </v>
      </c>
      <c r="G2034" s="23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4" t="str">
        <f>IF(J2034&lt;&gt;1,"",IF(I2034="SBJ","CB","?"))</f>
        <v> </v>
      </c>
      <c r="I2034" s="25" t="str">
        <f>IF(OR(E2034="",E2034="!!!",F2034="NEW"),"",INDEX(B2033:B$2,-1+SUMPRODUCT(MAX(ROW(E2033:E$2)*(E2034=E2033:E$2)))))</f>
        <v> </v>
      </c>
      <c r="J2034" s="25" t="str">
        <f>IF(OR(E2034="",E2034="!!!",F2034="NEW"),"",COUNTBLANK(OFFSET(A$1,,,SUMPRODUCT(MAX(ROW(E$2:E2034)*(E2034=E$2:E2034)))))-COUNTBLANK(OFFSET(A$1,,,SUMPRODUCT(MAX(ROW(E$1:E2033)*(E2=E$1:E2033))))))</f>
        <v> </v>
      </c>
      <c r="K2034" s="25" t="str">
        <f>IF(OR(E2034="",E2034="!!!",F2034="NEW"),"",INDEX(J$1:J2033,SUMPRODUCT(MAX(ROW(E$1:E2033)*(E2034=E$1:E2033)))))</f>
        <v> </v>
      </c>
      <c r="L2034" s="26"/>
    </row>
    <row r="2035" spans="1:12">
      <c r="A2035" s="20" t="s">
        <v>751</v>
      </c>
      <c r="E2035" s="21">
        <f>IF(D2035="?OLD","!!!","")</f>
        <v/>
      </c>
      <c r="F2035" s="22" t="str">
        <f>IF(OR(E2035="",E2035="!!!"),"",IF(NOT(ISNA(VLOOKUP(E2035,E$1:E2034,1,FALSE()))),"OLD",IF(AND(E2035&lt;&gt;"",E2035&lt;&gt;"!!!"),"NEW","")))</f>
        <v> </v>
      </c>
      <c r="G2035" s="23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4" t="str">
        <f>IF(J2035&lt;&gt;1,"",IF(I2035="SBJ","CB","?"))</f>
        <v> </v>
      </c>
      <c r="I2035" s="25" t="str">
        <f>IF(OR(E2035="",E2035="!!!",F2035="NEW"),"",INDEX(B2034:B$2,-1+SUMPRODUCT(MAX(ROW(E2034:E$2)*(E2035=E2034:E$2)))))</f>
        <v> </v>
      </c>
      <c r="J2035" s="25" t="str">
        <f>IF(OR(E2035="",E2035="!!!",F2035="NEW"),"",COUNTBLANK(OFFSET(A$1,,,SUMPRODUCT(MAX(ROW(E$2:E2035)*(E2035=E$2:E2035)))))-COUNTBLANK(OFFSET(A$1,,,SUMPRODUCT(MAX(ROW(E$1:E2034)*(E2=E$1:E2034))))))</f>
        <v> </v>
      </c>
      <c r="K2035" s="25" t="str">
        <f>IF(OR(E2035="",E2035="!!!",F2035="NEW"),"",INDEX(J$1:J2034,SUMPRODUCT(MAX(ROW(E$1:E2034)*(E2035=E$1:E2034)))))</f>
        <v> </v>
      </c>
      <c r="L2035" s="26"/>
    </row>
    <row r="2036" spans="1:12">
      <c r="A2036" s="20" t="s">
        <v>542</v>
      </c>
      <c r="E2036" s="21">
        <f>IF(D2036="?OLD","!!!","")</f>
        <v/>
      </c>
      <c r="F2036" s="22" t="str">
        <f>IF(OR(E2036="",E2036="!!!"),"",IF(NOT(ISNA(VLOOKUP(E2036,E$1:E2035,1,FALSE()))),"OLD",IF(AND(E2036&lt;&gt;"",E2036&lt;&gt;"!!!"),"NEW","")))</f>
        <v> </v>
      </c>
      <c r="G2036" s="23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4" t="str">
        <f>IF(J2036&lt;&gt;1,"",IF(I2036="SBJ","CB","?"))</f>
        <v> </v>
      </c>
      <c r="I2036" s="25" t="str">
        <f>IF(OR(E2036="",E2036="!!!",F2036="NEW"),"",INDEX(B2035:B$2,-1+SUMPRODUCT(MAX(ROW(E2035:E$2)*(E2036=E2035:E$2)))))</f>
        <v> </v>
      </c>
      <c r="J2036" s="25" t="str">
        <f>IF(OR(E2036="",E2036="!!!",F2036="NEW"),"",COUNTBLANK(OFFSET(A$1,,,SUMPRODUCT(MAX(ROW(E$2:E2036)*(E2036=E$2:E2036)))))-COUNTBLANK(OFFSET(A$1,,,SUMPRODUCT(MAX(ROW(E$1:E2035)*(E2=E$1:E2035))))))</f>
        <v> </v>
      </c>
      <c r="K2036" s="25" t="str">
        <f>IF(OR(E2036="",E2036="!!!",F2036="NEW"),"",INDEX(J$1:J2035,SUMPRODUCT(MAX(ROW(E$1:E2035)*(E2036=E$1:E2035)))))</f>
        <v> </v>
      </c>
      <c r="L2036" s="26"/>
    </row>
    <row r="2037" spans="1:12">
      <c r="A2037" s="20" t="s">
        <v>1278</v>
      </c>
      <c r="B2037" s="27" t="s">
        <v>592</v>
      </c>
      <c r="C2037" s="27" t="s">
        <v>540</v>
      </c>
      <c r="D2037" s="27" t="s">
        <v>524</v>
      </c>
      <c r="E2037" s="21">
        <f>IF(D2037="?OLD","!!!","")</f>
        <v/>
      </c>
      <c r="F2037" s="22" t="str">
        <f>IF(OR(E2037="",E2037="!!!"),"",IF(NOT(ISNA(VLOOKUP(E2037,E$1:E2036,1,FALSE()))),"OLD",IF(AND(E2037&lt;&gt;"",E2037&lt;&gt;"!!!"),"NEW","")))</f>
        <v> </v>
      </c>
      <c r="G2037" s="23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4" t="str">
        <f>IF(J2037&lt;&gt;1,"",IF(I2037="SBJ","CB","?"))</f>
        <v> </v>
      </c>
      <c r="I2037" s="25" t="str">
        <f>IF(OR(E2037="",E2037="!!!",F2037="NEW"),"",INDEX(B2036:B$2,-1+SUMPRODUCT(MAX(ROW(E2036:E$2)*(E2037=E2036:E$2)))))</f>
        <v> </v>
      </c>
      <c r="J2037" s="25" t="str">
        <f>IF(OR(E2037="",E2037="!!!",F2037="NEW"),"",COUNTBLANK(OFFSET(A$1,,,SUMPRODUCT(MAX(ROW(E$2:E2037)*(E2037=E$2:E2037)))))-COUNTBLANK(OFFSET(A$1,,,SUMPRODUCT(MAX(ROW(E$1:E2036)*(E2=E$1:E2036))))))</f>
        <v> </v>
      </c>
      <c r="K2037" s="25" t="str">
        <f>IF(OR(E2037="",E2037="!!!",F2037="NEW"),"",INDEX(J$1:J2036,SUMPRODUCT(MAX(ROW(E$1:E2036)*(E2037=E$1:E2036)))))</f>
        <v> </v>
      </c>
      <c r="L2037" s="26"/>
    </row>
    <row r="2038" spans="1:12">
      <c r="A2038" s="20" t="s">
        <v>518</v>
      </c>
      <c r="E2038" s="21">
        <f>IF(D2038="?OLD","!!!","")</f>
        <v/>
      </c>
      <c r="F2038" s="22" t="str">
        <f>IF(OR(E2038="",E2038="!!!"),"",IF(NOT(ISNA(VLOOKUP(E2038,E$1:E2037,1,FALSE()))),"OLD",IF(AND(E2038&lt;&gt;"",E2038&lt;&gt;"!!!"),"NEW","")))</f>
        <v> </v>
      </c>
      <c r="G2038" s="23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4" t="str">
        <f>IF(J2038&lt;&gt;1,"",IF(I2038="SBJ","CB","?"))</f>
        <v> </v>
      </c>
      <c r="I2038" s="25" t="str">
        <f>IF(OR(E2038="",E2038="!!!",F2038="NEW"),"",INDEX(B2037:B$2,-1+SUMPRODUCT(MAX(ROW(E2037:E$2)*(E2038=E2037:E$2)))))</f>
        <v> </v>
      </c>
      <c r="J2038" s="25" t="str">
        <f>IF(OR(E2038="",E2038="!!!",F2038="NEW"),"",COUNTBLANK(OFFSET(A$1,,,SUMPRODUCT(MAX(ROW(E$2:E2038)*(E2038=E$2:E2038)))))-COUNTBLANK(OFFSET(A$1,,,SUMPRODUCT(MAX(ROW(E$1:E2037)*(E2=E$1:E2037))))))</f>
        <v> </v>
      </c>
      <c r="K2038" s="25" t="str">
        <f>IF(OR(E2038="",E2038="!!!",F2038="NEW"),"",INDEX(J$1:J2037,SUMPRODUCT(MAX(ROW(E$1:E2037)*(E2038=E$1:E2037)))))</f>
        <v> </v>
      </c>
      <c r="L2038" s="26"/>
    </row>
    <row r="2039" spans="1:12">
      <c r="A2039" s="20" t="s">
        <v>542</v>
      </c>
      <c r="E2039" s="21">
        <f>IF(D2039="?OLD","!!!","")</f>
        <v/>
      </c>
      <c r="F2039" s="22" t="str">
        <f>IF(OR(E2039="",E2039="!!!"),"",IF(NOT(ISNA(VLOOKUP(E2039,E$1:E2038,1,FALSE()))),"OLD",IF(AND(E2039&lt;&gt;"",E2039&lt;&gt;"!!!"),"NEW","")))</f>
        <v> </v>
      </c>
      <c r="G2039" s="23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4" t="str">
        <f>IF(J2039&lt;&gt;1,"",IF(I2039="SBJ","CB","?"))</f>
        <v> </v>
      </c>
      <c r="I2039" s="25" t="str">
        <f>IF(OR(E2039="",E2039="!!!",F2039="NEW"),"",INDEX(B2038:B$2,-1+SUMPRODUCT(MAX(ROW(E2038:E$2)*(E2039=E2038:E$2)))))</f>
        <v> </v>
      </c>
      <c r="J2039" s="25" t="str">
        <f>IF(OR(E2039="",E2039="!!!",F2039="NEW"),"",COUNTBLANK(OFFSET(A$1,,,SUMPRODUCT(MAX(ROW(E$2:E2039)*(E2039=E$2:E2039)))))-COUNTBLANK(OFFSET(A$1,,,SUMPRODUCT(MAX(ROW(E$1:E2038)*(E2=E$1:E2038))))))</f>
        <v> </v>
      </c>
      <c r="K2039" s="25" t="str">
        <f>IF(OR(E2039="",E2039="!!!",F2039="NEW"),"",INDEX(J$1:J2038,SUMPRODUCT(MAX(ROW(E$1:E2038)*(E2039=E$1:E2038)))))</f>
        <v> </v>
      </c>
      <c r="L2039" s="26"/>
    </row>
    <row r="2040" spans="1:12">
      <c r="A2040" s="20" t="s">
        <v>1279</v>
      </c>
      <c r="B2040" s="27" t="s">
        <v>592</v>
      </c>
      <c r="C2040" s="27" t="s">
        <v>545</v>
      </c>
      <c r="D2040" s="27" t="s">
        <v>524</v>
      </c>
      <c r="E2040" s="21">
        <f>IF(D2040="?OLD","!!!","")</f>
        <v/>
      </c>
      <c r="F2040" s="22" t="str">
        <f>IF(OR(E2040="",E2040="!!!"),"",IF(NOT(ISNA(VLOOKUP(E2040,E$1:E2039,1,FALSE()))),"OLD",IF(AND(E2040&lt;&gt;"",E2040&lt;&gt;"!!!"),"NEW","")))</f>
        <v> </v>
      </c>
      <c r="G2040" s="23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4" t="str">
        <f>IF(J2040&lt;&gt;1,"",IF(I2040="SBJ","CB","?"))</f>
        <v> </v>
      </c>
      <c r="I2040" s="25" t="str">
        <f>IF(OR(E2040="",E2040="!!!",F2040="NEW"),"",INDEX(B2039:B$2,-1+SUMPRODUCT(MAX(ROW(E2039:E$2)*(E2040=E2039:E$2)))))</f>
        <v> </v>
      </c>
      <c r="J2040" s="25" t="str">
        <f>IF(OR(E2040="",E2040="!!!",F2040="NEW"),"",COUNTBLANK(OFFSET(A$1,,,SUMPRODUCT(MAX(ROW(E$2:E2040)*(E2040=E$2:E2040)))))-COUNTBLANK(OFFSET(A$1,,,SUMPRODUCT(MAX(ROW(E$1:E2039)*(E2=E$1:E2039))))))</f>
        <v> </v>
      </c>
      <c r="K2040" s="25" t="str">
        <f>IF(OR(E2040="",E2040="!!!",F2040="NEW"),"",INDEX(J$1:J2039,SUMPRODUCT(MAX(ROW(E$1:E2039)*(E2040=E$1:E2039)))))</f>
        <v> </v>
      </c>
      <c r="L2040" s="26"/>
    </row>
    <row r="2041" spans="1:12">
      <c r="A2041" s="20" t="s">
        <v>549</v>
      </c>
      <c r="E2041" s="21">
        <f>IF(D2041="?OLD","!!!","")</f>
        <v/>
      </c>
      <c r="F2041" s="22" t="str">
        <f>IF(OR(E2041="",E2041="!!!"),"",IF(NOT(ISNA(VLOOKUP(E2041,E$1:E2040,1,FALSE()))),"OLD",IF(AND(E2041&lt;&gt;"",E2041&lt;&gt;"!!!"),"NEW","")))</f>
        <v> </v>
      </c>
      <c r="G2041" s="23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4" t="str">
        <f>IF(J2041&lt;&gt;1,"",IF(I2041="SBJ","CB","?"))</f>
        <v> </v>
      </c>
      <c r="I2041" s="25" t="str">
        <f>IF(OR(E2041="",E2041="!!!",F2041="NEW"),"",INDEX(B2040:B$2,-1+SUMPRODUCT(MAX(ROW(E2040:E$2)*(E2041=E2040:E$2)))))</f>
        <v> </v>
      </c>
      <c r="J2041" s="25" t="str">
        <f>IF(OR(E2041="",E2041="!!!",F2041="NEW"),"",COUNTBLANK(OFFSET(A$1,,,SUMPRODUCT(MAX(ROW(E$2:E2041)*(E2041=E$2:E2041)))))-COUNTBLANK(OFFSET(A$1,,,SUMPRODUCT(MAX(ROW(E$1:E2040)*(E2=E$1:E2040))))))</f>
        <v> </v>
      </c>
      <c r="K2041" s="25" t="str">
        <f>IF(OR(E2041="",E2041="!!!",F2041="NEW"),"",INDEX(J$1:J2040,SUMPRODUCT(MAX(ROW(E$1:E2040)*(E2041=E$1:E2040)))))</f>
        <v> </v>
      </c>
      <c r="L2041" s="26"/>
    </row>
    <row r="2042" spans="1:12">
      <c r="A2042" s="20"/>
    </row>
    <row r="2043" spans="1:12">
      <c r="A2043" s="20" t="s">
        <v>1280</v>
      </c>
    </row>
    <row r="2044" spans="1:12">
      <c r="A2044" s="20" t="s">
        <v>786</v>
      </c>
      <c r="E2044" s="21">
        <f>IF(D2044="?OLD","!!!","")</f>
        <v/>
      </c>
      <c r="F2044" s="22" t="str">
        <f>IF(OR(E2044="",E2044="!!!"),"",IF(NOT(ISNA(VLOOKUP(E2044,E$1:E2043,1,FALSE()))),"OLD",IF(AND(E2044&lt;&gt;"",E2044&lt;&gt;"!!!"),"NEW","")))</f>
        <v> </v>
      </c>
      <c r="G2044" s="23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4" t="str">
        <f>IF(J2044&lt;&gt;1,"",IF(I2044="SBJ","CB","?"))</f>
        <v> </v>
      </c>
      <c r="I2044" s="25" t="str">
        <f>IF(OR(E2044="",E2044="!!!",F2044="NEW"),"",INDEX(B2043:B$2,-1+SUMPRODUCT(MAX(ROW(E2043:E$2)*(E2044=E2043:E$2)))))</f>
        <v> </v>
      </c>
      <c r="J2044" s="25" t="str">
        <f>IF(OR(E2044="",E2044="!!!",F2044="NEW"),"",COUNTBLANK(OFFSET(A$1,,,SUMPRODUCT(MAX(ROW(E$2:E2044)*(E2044=E$2:E2044)))))-COUNTBLANK(OFFSET(A$1,,,SUMPRODUCT(MAX(ROW(E$1:E2043)*(E2=E$1:E2043))))))</f>
        <v> </v>
      </c>
      <c r="K2044" s="25" t="str">
        <f>IF(OR(E2044="",E2044="!!!",F2044="NEW"),"",INDEX(J$1:J2043,SUMPRODUCT(MAX(ROW(E$1:E2043)*(E2044=E$1:E2043)))))</f>
        <v> </v>
      </c>
      <c r="L2044" s="26"/>
    </row>
    <row r="2045" spans="1:12">
      <c r="A2045" s="20" t="s">
        <v>1281</v>
      </c>
      <c r="E2045" s="21">
        <f>IF(D2045="?OLD","!!!","")</f>
        <v/>
      </c>
      <c r="F2045" s="22" t="str">
        <f>IF(OR(E2045="",E2045="!!!"),"",IF(NOT(ISNA(VLOOKUP(E2045,E$1:E2044,1,FALSE()))),"OLD",IF(AND(E2045&lt;&gt;"",E2045&lt;&gt;"!!!"),"NEW","")))</f>
        <v> </v>
      </c>
      <c r="G2045" s="23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4" t="str">
        <f>IF(J2045&lt;&gt;1,"",IF(I2045="SBJ","CB","?"))</f>
        <v> </v>
      </c>
      <c r="I2045" s="25" t="str">
        <f>IF(OR(E2045="",E2045="!!!",F2045="NEW"),"",INDEX(B2044:B$2,-1+SUMPRODUCT(MAX(ROW(E2044:E$2)*(E2045=E2044:E$2)))))</f>
        <v> </v>
      </c>
      <c r="J2045" s="25" t="str">
        <f>IF(OR(E2045="",E2045="!!!",F2045="NEW"),"",COUNTBLANK(OFFSET(A$1,,,SUMPRODUCT(MAX(ROW(E$2:E2045)*(E2045=E$2:E2045)))))-COUNTBLANK(OFFSET(A$1,,,SUMPRODUCT(MAX(ROW(E$1:E2044)*(E2=E$1:E2044))))))</f>
        <v> </v>
      </c>
      <c r="K2045" s="25" t="str">
        <f>IF(OR(E2045="",E2045="!!!",F2045="NEW"),"",INDEX(J$1:J2044,SUMPRODUCT(MAX(ROW(E$1:E2044)*(E2045=E$1:E2044)))))</f>
        <v> </v>
      </c>
      <c r="L2045" s="26"/>
    </row>
    <row r="2046" spans="1:12">
      <c r="A2046" s="20" t="s">
        <v>518</v>
      </c>
      <c r="E2046" s="21">
        <f>IF(D2046="?OLD","!!!","")</f>
        <v/>
      </c>
      <c r="F2046" s="22" t="str">
        <f>IF(OR(E2046="",E2046="!!!"),"",IF(NOT(ISNA(VLOOKUP(E2046,E$1:E2045,1,FALSE()))),"OLD",IF(AND(E2046&lt;&gt;"",E2046&lt;&gt;"!!!"),"NEW","")))</f>
        <v> </v>
      </c>
      <c r="G2046" s="23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4" t="str">
        <f>IF(J2046&lt;&gt;1,"",IF(I2046="SBJ","CB","?"))</f>
        <v> </v>
      </c>
      <c r="I2046" s="25" t="str">
        <f>IF(OR(E2046="",E2046="!!!",F2046="NEW"),"",INDEX(B2045:B$2,-1+SUMPRODUCT(MAX(ROW(E2045:E$2)*(E2046=E2045:E$2)))))</f>
        <v> </v>
      </c>
      <c r="J2046" s="25" t="str">
        <f>IF(OR(E2046="",E2046="!!!",F2046="NEW"),"",COUNTBLANK(OFFSET(A$1,,,SUMPRODUCT(MAX(ROW(E$2:E2046)*(E2046=E$2:E2046)))))-COUNTBLANK(OFFSET(A$1,,,SUMPRODUCT(MAX(ROW(E$1:E2045)*(E2=E$1:E2045))))))</f>
        <v> </v>
      </c>
      <c r="K2046" s="25" t="str">
        <f>IF(OR(E2046="",E2046="!!!",F2046="NEW"),"",INDEX(J$1:J2045,SUMPRODUCT(MAX(ROW(E$1:E2045)*(E2046=E$1:E2045)))))</f>
        <v> </v>
      </c>
      <c r="L2046" s="26"/>
    </row>
    <row r="2047" spans="1:12">
      <c r="A2047" s="20" t="s">
        <v>571</v>
      </c>
      <c r="E2047" s="21">
        <f>IF(D2047="?OLD","!!!","")</f>
        <v/>
      </c>
      <c r="F2047" s="22" t="str">
        <f>IF(OR(E2047="",E2047="!!!"),"",IF(NOT(ISNA(VLOOKUP(E2047,E$1:E2046,1,FALSE()))),"OLD",IF(AND(E2047&lt;&gt;"",E2047&lt;&gt;"!!!"),"NEW","")))</f>
        <v> </v>
      </c>
      <c r="G2047" s="23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4" t="str">
        <f>IF(J2047&lt;&gt;1,"",IF(I2047="SBJ","CB","?"))</f>
        <v> </v>
      </c>
      <c r="I2047" s="25" t="str">
        <f>IF(OR(E2047="",E2047="!!!",F2047="NEW"),"",INDEX(B2046:B$2,-1+SUMPRODUCT(MAX(ROW(E2046:E$2)*(E2047=E2046:E$2)))))</f>
        <v> </v>
      </c>
      <c r="J2047" s="25" t="str">
        <f>IF(OR(E2047="",E2047="!!!",F2047="NEW"),"",COUNTBLANK(OFFSET(A$1,,,SUMPRODUCT(MAX(ROW(E$2:E2047)*(E2047=E$2:E2047)))))-COUNTBLANK(OFFSET(A$1,,,SUMPRODUCT(MAX(ROW(E$1:E2046)*(E2=E$1:E2046))))))</f>
        <v> </v>
      </c>
      <c r="K2047" s="25" t="str">
        <f>IF(OR(E2047="",E2047="!!!",F2047="NEW"),"",INDEX(J$1:J2046,SUMPRODUCT(MAX(ROW(E$1:E2046)*(E2047=E$1:E2046)))))</f>
        <v> </v>
      </c>
      <c r="L2047" s="26"/>
    </row>
    <row r="2048" spans="1:12">
      <c r="A2048" s="20" t="s">
        <v>1282</v>
      </c>
      <c r="B2048" s="27" t="s">
        <v>544</v>
      </c>
      <c r="C2048" s="27" t="s">
        <v>540</v>
      </c>
      <c r="D2048" s="27" t="s">
        <v>524</v>
      </c>
      <c r="E2048" s="21">
        <f>IF(D2048="?OLD","!!!","")</f>
        <v/>
      </c>
      <c r="F2048" s="22" t="str">
        <f>IF(OR(E2048="",E2048="!!!"),"",IF(NOT(ISNA(VLOOKUP(E2048,E$1:E2047,1,FALSE()))),"OLD",IF(AND(E2048&lt;&gt;"",E2048&lt;&gt;"!!!"),"NEW","")))</f>
        <v> </v>
      </c>
      <c r="G2048" s="23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4" t="str">
        <f>IF(J2048&lt;&gt;1,"",IF(I2048="SBJ","CB","?"))</f>
        <v> </v>
      </c>
      <c r="I2048" s="25" t="str">
        <f>IF(OR(E2048="",E2048="!!!",F2048="NEW"),"",INDEX(B2047:B$2,-1+SUMPRODUCT(MAX(ROW(E2047:E$2)*(E2048=E2047:E$2)))))</f>
        <v> </v>
      </c>
      <c r="J2048" s="25" t="str">
        <f>IF(OR(E2048="",E2048="!!!",F2048="NEW"),"",COUNTBLANK(OFFSET(A$1,,,SUMPRODUCT(MAX(ROW(E$2:E2048)*(E2048=E$2:E2048)))))-COUNTBLANK(OFFSET(A$1,,,SUMPRODUCT(MAX(ROW(E$1:E2047)*(E2=E$1:E2047))))))</f>
        <v> </v>
      </c>
      <c r="K2048" s="25" t="str">
        <f>IF(OR(E2048="",E2048="!!!",F2048="NEW"),"",INDEX(J$1:J2047,SUMPRODUCT(MAX(ROW(E$1:E2047)*(E2048=E$1:E2047)))))</f>
        <v> </v>
      </c>
      <c r="L2048" s="26"/>
    </row>
    <row r="2049" spans="1:12">
      <c r="A2049" s="20" t="s">
        <v>518</v>
      </c>
      <c r="E2049" s="21">
        <f>IF(D2049="?OLD","!!!","")</f>
        <v/>
      </c>
      <c r="F2049" s="22" t="str">
        <f>IF(OR(E2049="",E2049="!!!"),"",IF(NOT(ISNA(VLOOKUP(E2049,E$1:E2048,1,FALSE()))),"OLD",IF(AND(E2049&lt;&gt;"",E2049&lt;&gt;"!!!"),"NEW","")))</f>
        <v> </v>
      </c>
      <c r="G2049" s="23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4" t="str">
        <f>IF(J2049&lt;&gt;1,"",IF(I2049="SBJ","CB","?"))</f>
        <v> </v>
      </c>
      <c r="I2049" s="25" t="str">
        <f>IF(OR(E2049="",E2049="!!!",F2049="NEW"),"",INDEX(B2048:B$2,-1+SUMPRODUCT(MAX(ROW(E2048:E$2)*(E2049=E2048:E$2)))))</f>
        <v> </v>
      </c>
      <c r="J2049" s="25" t="str">
        <f>IF(OR(E2049="",E2049="!!!",F2049="NEW"),"",COUNTBLANK(OFFSET(A$1,,,SUMPRODUCT(MAX(ROW(E$2:E2049)*(E2049=E$2:E2049)))))-COUNTBLANK(OFFSET(A$1,,,SUMPRODUCT(MAX(ROW(E$1:E2048)*(E2=E$1:E2048))))))</f>
        <v> </v>
      </c>
      <c r="K2049" s="25" t="str">
        <f>IF(OR(E2049="",E2049="!!!",F2049="NEW"),"",INDEX(J$1:J2048,SUMPRODUCT(MAX(ROW(E$1:E2048)*(E2049=E$1:E2048)))))</f>
        <v> </v>
      </c>
      <c r="L2049" s="26"/>
    </row>
    <row r="2050" spans="1:12">
      <c r="A2050" s="20" t="s">
        <v>1259</v>
      </c>
      <c r="B2050" s="27" t="s">
        <v>534</v>
      </c>
      <c r="C2050" s="27" t="s">
        <v>548</v>
      </c>
      <c r="D2050" s="27" t="s">
        <v>524</v>
      </c>
      <c r="E2050" s="21">
        <f>IF(D2050="?OLD","!!!","")</f>
        <v/>
      </c>
      <c r="F2050" s="22" t="str">
        <f>IF(OR(E2050="",E2050="!!!"),"",IF(NOT(ISNA(VLOOKUP(E2050,E$1:E2049,1,FALSE()))),"OLD",IF(AND(E2050&lt;&gt;"",E2050&lt;&gt;"!!!"),"NEW","")))</f>
        <v> </v>
      </c>
      <c r="G2050" s="23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4" t="str">
        <f>IF(J2050&lt;&gt;1,"",IF(I2050="SBJ","CB","?"))</f>
        <v> </v>
      </c>
      <c r="I2050" s="25" t="str">
        <f>IF(OR(E2050="",E2050="!!!",F2050="NEW"),"",INDEX(B2049:B$2,-1+SUMPRODUCT(MAX(ROW(E2049:E$2)*(E2050=E2049:E$2)))))</f>
        <v> </v>
      </c>
      <c r="J2050" s="25" t="str">
        <f>IF(OR(E2050="",E2050="!!!",F2050="NEW"),"",COUNTBLANK(OFFSET(A$1,,,SUMPRODUCT(MAX(ROW(E$2:E2050)*(E2050=E$2:E2050)))))-COUNTBLANK(OFFSET(A$1,,,SUMPRODUCT(MAX(ROW(E$1:E2049)*(E2=E$1:E2049))))))</f>
        <v> </v>
      </c>
      <c r="K2050" s="25" t="str">
        <f>IF(OR(E2050="",E2050="!!!",F2050="NEW"),"",INDEX(J$1:J2049,SUMPRODUCT(MAX(ROW(E$1:E2049)*(E2050=E$1:E2049)))))</f>
        <v> </v>
      </c>
      <c r="L2050" s="26"/>
    </row>
    <row r="2051" spans="1:12">
      <c r="A2051" s="20" t="s">
        <v>565</v>
      </c>
      <c r="E2051" s="21">
        <f>IF(D2051="?OLD","!!!","")</f>
        <v/>
      </c>
      <c r="F2051" s="22" t="str">
        <f>IF(OR(E2051="",E2051="!!!"),"",IF(NOT(ISNA(VLOOKUP(E2051,E$1:E2050,1,FALSE()))),"OLD",IF(AND(E2051&lt;&gt;"",E2051&lt;&gt;"!!!"),"NEW","")))</f>
        <v> </v>
      </c>
      <c r="G2051" s="23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4" t="str">
        <f>IF(J2051&lt;&gt;1,"",IF(I2051="SBJ","CB","?"))</f>
        <v> </v>
      </c>
      <c r="I2051" s="25" t="str">
        <f>IF(OR(E2051="",E2051="!!!",F2051="NEW"),"",INDEX(B2050:B$2,-1+SUMPRODUCT(MAX(ROW(E2050:E$2)*(E2051=E2050:E$2)))))</f>
        <v> </v>
      </c>
      <c r="J2051" s="25" t="str">
        <f>IF(OR(E2051="",E2051="!!!",F2051="NEW"),"",COUNTBLANK(OFFSET(A$1,,,SUMPRODUCT(MAX(ROW(E$2:E2051)*(E2051=E$2:E2051)))))-COUNTBLANK(OFFSET(A$1,,,SUMPRODUCT(MAX(ROW(E$1:E2050)*(E2=E$1:E2050))))))</f>
        <v> </v>
      </c>
      <c r="K2051" s="25" t="str">
        <f>IF(OR(E2051="",E2051="!!!",F2051="NEW"),"",INDEX(J$1:J2050,SUMPRODUCT(MAX(ROW(E$1:E2050)*(E2051=E$1:E2050)))))</f>
        <v> </v>
      </c>
      <c r="L2051" s="26"/>
    </row>
    <row r="2052" spans="1:12">
      <c r="A2052" s="20" t="s">
        <v>1157</v>
      </c>
      <c r="E2052" s="21">
        <f>IF(D2052="?OLD","!!!","")</f>
        <v/>
      </c>
      <c r="F2052" s="22" t="str">
        <f>IF(OR(E2052="",E2052="!!!"),"",IF(NOT(ISNA(VLOOKUP(E2052,E$1:E2051,1,FALSE()))),"OLD",IF(AND(E2052&lt;&gt;"",E2052&lt;&gt;"!!!"),"NEW","")))</f>
        <v> </v>
      </c>
      <c r="G2052" s="23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4" t="str">
        <f>IF(J2052&lt;&gt;1,"",IF(I2052="SBJ","CB","?"))</f>
        <v> </v>
      </c>
      <c r="I2052" s="25" t="str">
        <f>IF(OR(E2052="",E2052="!!!",F2052="NEW"),"",INDEX(B2051:B$2,-1+SUMPRODUCT(MAX(ROW(E2051:E$2)*(E2052=E2051:E$2)))))</f>
        <v> </v>
      </c>
      <c r="J2052" s="25" t="str">
        <f>IF(OR(E2052="",E2052="!!!",F2052="NEW"),"",COUNTBLANK(OFFSET(A$1,,,SUMPRODUCT(MAX(ROW(E$2:E2052)*(E2052=E$2:E2052)))))-COUNTBLANK(OFFSET(A$1,,,SUMPRODUCT(MAX(ROW(E$1:E2051)*(E2=E$1:E2051))))))</f>
        <v> </v>
      </c>
      <c r="K2052" s="25" t="str">
        <f>IF(OR(E2052="",E2052="!!!",F2052="NEW"),"",INDEX(J$1:J2051,SUMPRODUCT(MAX(ROW(E$1:E2051)*(E2052=E$1:E2051)))))</f>
        <v> </v>
      </c>
      <c r="L2052" s="26"/>
    </row>
    <row r="2053" spans="1:12">
      <c r="A2053" s="20" t="s">
        <v>696</v>
      </c>
      <c r="B2053" s="27" t="s">
        <v>534</v>
      </c>
      <c r="C2053" s="27" t="s">
        <v>557</v>
      </c>
      <c r="E2053" s="21">
        <f>IF(D2053="?OLD","!!!","")</f>
        <v/>
      </c>
      <c r="F2053" s="22" t="str">
        <f>IF(OR(E2053="",E2053="!!!"),"",IF(NOT(ISNA(VLOOKUP(E2053,E$1:E2052,1,FALSE()))),"OLD",IF(AND(E2053&lt;&gt;"",E2053&lt;&gt;"!!!"),"NEW","")))</f>
        <v> </v>
      </c>
      <c r="G2053" s="23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4" t="str">
        <f>IF(J2053&lt;&gt;1,"",IF(I2053="SBJ","CB","?"))</f>
        <v> </v>
      </c>
      <c r="I2053" s="25" t="str">
        <f>IF(OR(E2053="",E2053="!!!",F2053="NEW"),"",INDEX(B2052:B$2,-1+SUMPRODUCT(MAX(ROW(E2052:E$2)*(E2053=E2052:E$2)))))</f>
        <v> </v>
      </c>
      <c r="J2053" s="25" t="str">
        <f>IF(OR(E2053="",E2053="!!!",F2053="NEW"),"",COUNTBLANK(OFFSET(A$1,,,SUMPRODUCT(MAX(ROW(E$2:E2053)*(E2053=E$2:E2053)))))-COUNTBLANK(OFFSET(A$1,,,SUMPRODUCT(MAX(ROW(E$1:E2052)*(E2=E$1:E2052))))))</f>
        <v> </v>
      </c>
      <c r="K2053" s="25" t="str">
        <f>IF(OR(E2053="",E2053="!!!",F2053="NEW"),"",INDEX(J$1:J2052,SUMPRODUCT(MAX(ROW(E$1:E2052)*(E2053=E$1:E2052)))))</f>
        <v> </v>
      </c>
      <c r="L2053" s="26"/>
    </row>
    <row r="2054" spans="1:12">
      <c r="A2054" s="20" t="s">
        <v>565</v>
      </c>
      <c r="E2054" s="21">
        <f>IF(D2054="?OLD","!!!","")</f>
        <v/>
      </c>
      <c r="F2054" s="22" t="str">
        <f>IF(OR(E2054="",E2054="!!!"),"",IF(NOT(ISNA(VLOOKUP(E2054,E$1:E2053,1,FALSE()))),"OLD",IF(AND(E2054&lt;&gt;"",E2054&lt;&gt;"!!!"),"NEW","")))</f>
        <v> </v>
      </c>
      <c r="G2054" s="23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4" t="str">
        <f>IF(J2054&lt;&gt;1,"",IF(I2054="SBJ","CB","?"))</f>
        <v> </v>
      </c>
      <c r="I2054" s="25" t="str">
        <f>IF(OR(E2054="",E2054="!!!",F2054="NEW"),"",INDEX(B2053:B$2,-1+SUMPRODUCT(MAX(ROW(E2053:E$2)*(E2054=E2053:E$2)))))</f>
        <v> </v>
      </c>
      <c r="J2054" s="25" t="str">
        <f>IF(OR(E2054="",E2054="!!!",F2054="NEW"),"",COUNTBLANK(OFFSET(A$1,,,SUMPRODUCT(MAX(ROW(E$2:E2054)*(E2054=E$2:E2054)))))-COUNTBLANK(OFFSET(A$1,,,SUMPRODUCT(MAX(ROW(E$1:E2053)*(E2=E$1:E2053))))))</f>
        <v> </v>
      </c>
      <c r="K2054" s="25" t="str">
        <f>IF(OR(E2054="",E2054="!!!",F2054="NEW"),"",INDEX(J$1:J2053,SUMPRODUCT(MAX(ROW(E$1:E2053)*(E2054=E$1:E2053)))))</f>
        <v> </v>
      </c>
      <c r="L2054" s="26"/>
    </row>
    <row r="2055" spans="1:12">
      <c r="A2055" s="20" t="s">
        <v>820</v>
      </c>
      <c r="E2055" s="21">
        <f>IF(D2055="?OLD","!!!","")</f>
        <v/>
      </c>
      <c r="F2055" s="22" t="str">
        <f>IF(OR(E2055="",E2055="!!!"),"",IF(NOT(ISNA(VLOOKUP(E2055,E$1:E2054,1,FALSE()))),"OLD",IF(AND(E2055&lt;&gt;"",E2055&lt;&gt;"!!!"),"NEW","")))</f>
        <v> </v>
      </c>
      <c r="G2055" s="23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4" t="str">
        <f>IF(J2055&lt;&gt;1,"",IF(I2055="SBJ","CB","?"))</f>
        <v> </v>
      </c>
      <c r="I2055" s="25" t="str">
        <f>IF(OR(E2055="",E2055="!!!",F2055="NEW"),"",INDEX(B2054:B$2,-1+SUMPRODUCT(MAX(ROW(E2054:E$2)*(E2055=E2054:E$2)))))</f>
        <v> </v>
      </c>
      <c r="J2055" s="25" t="str">
        <f>IF(OR(E2055="",E2055="!!!",F2055="NEW"),"",COUNTBLANK(OFFSET(A$1,,,SUMPRODUCT(MAX(ROW(E$2:E2055)*(E2055=E$2:E2055)))))-COUNTBLANK(OFFSET(A$1,,,SUMPRODUCT(MAX(ROW(E$1:E2054)*(E2=E$1:E2054))))))</f>
        <v> </v>
      </c>
      <c r="K2055" s="25" t="str">
        <f>IF(OR(E2055="",E2055="!!!",F2055="NEW"),"",INDEX(J$1:J2054,SUMPRODUCT(MAX(ROW(E$1:E2054)*(E2055=E$1:E2054)))))</f>
        <v> </v>
      </c>
      <c r="L2055" s="26"/>
    </row>
    <row r="2056" spans="1:12">
      <c r="A2056" s="20" t="s">
        <v>1283</v>
      </c>
      <c r="E2056" s="21">
        <f>IF(D2056="?OLD","!!!","")</f>
        <v/>
      </c>
      <c r="F2056" s="22" t="str">
        <f>IF(OR(E2056="",E2056="!!!"),"",IF(NOT(ISNA(VLOOKUP(E2056,E$1:E2055,1,FALSE()))),"OLD",IF(AND(E2056&lt;&gt;"",E2056&lt;&gt;"!!!"),"NEW","")))</f>
        <v> </v>
      </c>
      <c r="G2056" s="23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4" t="str">
        <f>IF(J2056&lt;&gt;1,"",IF(I2056="SBJ","CB","?"))</f>
        <v> </v>
      </c>
      <c r="I2056" s="25" t="str">
        <f>IF(OR(E2056="",E2056="!!!",F2056="NEW"),"",INDEX(B2055:B$2,-1+SUMPRODUCT(MAX(ROW(E2055:E$2)*(E2056=E2055:E$2)))))</f>
        <v> </v>
      </c>
      <c r="J2056" s="25" t="str">
        <f>IF(OR(E2056="",E2056="!!!",F2056="NEW"),"",COUNTBLANK(OFFSET(A$1,,,SUMPRODUCT(MAX(ROW(E$2:E2056)*(E2056=E$2:E2056)))))-COUNTBLANK(OFFSET(A$1,,,SUMPRODUCT(MAX(ROW(E$1:E2055)*(E2=E$1:E2055))))))</f>
        <v> </v>
      </c>
      <c r="K2056" s="25" t="str">
        <f>IF(OR(E2056="",E2056="!!!",F2056="NEW"),"",INDEX(J$1:J2055,SUMPRODUCT(MAX(ROW(E$1:E2055)*(E2056=E$1:E2055)))))</f>
        <v> </v>
      </c>
      <c r="L2056" s="26"/>
    </row>
    <row r="2057" spans="1:12">
      <c r="A2057" s="20" t="s">
        <v>528</v>
      </c>
      <c r="E2057" s="21">
        <f>IF(D2057="?OLD","!!!","")</f>
        <v/>
      </c>
      <c r="F2057" s="22" t="str">
        <f>IF(OR(E2057="",E2057="!!!"),"",IF(NOT(ISNA(VLOOKUP(E2057,E$1:E2056,1,FALSE()))),"OLD",IF(AND(E2057&lt;&gt;"",E2057&lt;&gt;"!!!"),"NEW","")))</f>
        <v> </v>
      </c>
      <c r="G2057" s="23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4" t="str">
        <f>IF(J2057&lt;&gt;1,"",IF(I2057="SBJ","CB","?"))</f>
        <v> </v>
      </c>
      <c r="I2057" s="25" t="str">
        <f>IF(OR(E2057="",E2057="!!!",F2057="NEW"),"",INDEX(B2056:B$2,-1+SUMPRODUCT(MAX(ROW(E2056:E$2)*(E2057=E2056:E$2)))))</f>
        <v> </v>
      </c>
      <c r="J2057" s="25" t="str">
        <f>IF(OR(E2057="",E2057="!!!",F2057="NEW"),"",COUNTBLANK(OFFSET(A$1,,,SUMPRODUCT(MAX(ROW(E$2:E2057)*(E2057=E$2:E2057)))))-COUNTBLANK(OFFSET(A$1,,,SUMPRODUCT(MAX(ROW(E$1:E2056)*(E2=E$1:E2056))))))</f>
        <v> </v>
      </c>
      <c r="K2057" s="25" t="str">
        <f>IF(OR(E2057="",E2057="!!!",F2057="NEW"),"",INDEX(J$1:J2056,SUMPRODUCT(MAX(ROW(E$1:E2056)*(E2057=E$1:E2056)))))</f>
        <v> </v>
      </c>
      <c r="L2057" s="26"/>
    </row>
    <row r="2058" spans="1:12">
      <c r="A2058" s="20" t="s">
        <v>542</v>
      </c>
      <c r="E2058" s="21">
        <f>IF(D2058="?OLD","!!!","")</f>
        <v/>
      </c>
      <c r="F2058" s="22" t="str">
        <f>IF(OR(E2058="",E2058="!!!"),"",IF(NOT(ISNA(VLOOKUP(E2058,E$1:E2057,1,FALSE()))),"OLD",IF(AND(E2058&lt;&gt;"",E2058&lt;&gt;"!!!"),"NEW","")))</f>
        <v> </v>
      </c>
      <c r="G2058" s="23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4" t="str">
        <f>IF(J2058&lt;&gt;1,"",IF(I2058="SBJ","CB","?"))</f>
        <v> </v>
      </c>
      <c r="I2058" s="25" t="str">
        <f>IF(OR(E2058="",E2058="!!!",F2058="NEW"),"",INDEX(B2057:B$2,-1+SUMPRODUCT(MAX(ROW(E2057:E$2)*(E2058=E2057:E$2)))))</f>
        <v> </v>
      </c>
      <c r="J2058" s="25" t="str">
        <f>IF(OR(E2058="",E2058="!!!",F2058="NEW"),"",COUNTBLANK(OFFSET(A$1,,,SUMPRODUCT(MAX(ROW(E$2:E2058)*(E2058=E$2:E2058)))))-COUNTBLANK(OFFSET(A$1,,,SUMPRODUCT(MAX(ROW(E$1:E2057)*(E2=E$1:E2057))))))</f>
        <v> </v>
      </c>
      <c r="K2058" s="25" t="str">
        <f>IF(OR(E2058="",E2058="!!!",F2058="NEW"),"",INDEX(J$1:J2057,SUMPRODUCT(MAX(ROW(E$1:E2057)*(E2058=E$1:E2057)))))</f>
        <v> </v>
      </c>
      <c r="L2058" s="26"/>
    </row>
    <row r="2059" spans="1:12">
      <c r="A2059" s="20" t="s">
        <v>1047</v>
      </c>
      <c r="B2059" s="27" t="s">
        <v>633</v>
      </c>
      <c r="C2059" s="27" t="s">
        <v>545</v>
      </c>
      <c r="D2059" s="27" t="s">
        <v>524</v>
      </c>
      <c r="E2059" s="21">
        <f>IF(D2059="?OLD","!!!","")</f>
        <v/>
      </c>
      <c r="F2059" s="22" t="str">
        <f>IF(OR(E2059="",E2059="!!!"),"",IF(NOT(ISNA(VLOOKUP(E2059,E$1:E2058,1,FALSE()))),"OLD",IF(AND(E2059&lt;&gt;"",E2059&lt;&gt;"!!!"),"NEW","")))</f>
        <v> </v>
      </c>
      <c r="G2059" s="23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4" t="str">
        <f>IF(J2059&lt;&gt;1,"",IF(I2059="SBJ","CB","?"))</f>
        <v> </v>
      </c>
      <c r="I2059" s="25" t="str">
        <f>IF(OR(E2059="",E2059="!!!",F2059="NEW"),"",INDEX(B2058:B$2,-1+SUMPRODUCT(MAX(ROW(E2058:E$2)*(E2059=E2058:E$2)))))</f>
        <v> </v>
      </c>
      <c r="J2059" s="25" t="str">
        <f>IF(OR(E2059="",E2059="!!!",F2059="NEW"),"",COUNTBLANK(OFFSET(A$1,,,SUMPRODUCT(MAX(ROW(E$2:E2059)*(E2059=E$2:E2059)))))-COUNTBLANK(OFFSET(A$1,,,SUMPRODUCT(MAX(ROW(E$1:E2058)*(E2=E$1:E2058))))))</f>
        <v> </v>
      </c>
      <c r="K2059" s="25" t="str">
        <f>IF(OR(E2059="",E2059="!!!",F2059="NEW"),"",INDEX(J$1:J2058,SUMPRODUCT(MAX(ROW(E$1:E2058)*(E2059=E$1:E2058)))))</f>
        <v> </v>
      </c>
      <c r="L2059" s="26"/>
    </row>
    <row r="2060" spans="1:12">
      <c r="A2060" s="20" t="s">
        <v>1048</v>
      </c>
      <c r="E2060" s="21">
        <f>IF(D2060="?OLD","!!!","")</f>
        <v/>
      </c>
      <c r="F2060" s="22" t="str">
        <f>IF(OR(E2060="",E2060="!!!"),"",IF(NOT(ISNA(VLOOKUP(E2060,E$1:E2059,1,FALSE()))),"OLD",IF(AND(E2060&lt;&gt;"",E2060&lt;&gt;"!!!"),"NEW","")))</f>
        <v> </v>
      </c>
      <c r="G2060" s="23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4" t="str">
        <f>IF(J2060&lt;&gt;1,"",IF(I2060="SBJ","CB","?"))</f>
        <v> </v>
      </c>
      <c r="I2060" s="25" t="str">
        <f>IF(OR(E2060="",E2060="!!!",F2060="NEW"),"",INDEX(B2059:B$2,-1+SUMPRODUCT(MAX(ROW(E2059:E$2)*(E2060=E2059:E$2)))))</f>
        <v> </v>
      </c>
      <c r="J2060" s="25" t="str">
        <f>IF(OR(E2060="",E2060="!!!",F2060="NEW"),"",COUNTBLANK(OFFSET(A$1,,,SUMPRODUCT(MAX(ROW(E$2:E2060)*(E2060=E$2:E2060)))))-COUNTBLANK(OFFSET(A$1,,,SUMPRODUCT(MAX(ROW(E$1:E2059)*(E2=E$1:E2059))))))</f>
        <v> </v>
      </c>
      <c r="K2060" s="25" t="str">
        <f>IF(OR(E2060="",E2060="!!!",F2060="NEW"),"",INDEX(J$1:J2059,SUMPRODUCT(MAX(ROW(E$1:E2059)*(E2060=E$1:E2059)))))</f>
        <v> </v>
      </c>
      <c r="L2060" s="26"/>
    </row>
    <row r="2061" spans="1:12">
      <c r="A2061" s="20" t="s">
        <v>541</v>
      </c>
      <c r="E2061" s="21">
        <f>IF(D2061="?OLD","!!!","")</f>
        <v/>
      </c>
      <c r="F2061" s="22" t="str">
        <f>IF(OR(E2061="",E2061="!!!"),"",IF(NOT(ISNA(VLOOKUP(E2061,E$1:E2060,1,FALSE()))),"OLD",IF(AND(E2061&lt;&gt;"",E2061&lt;&gt;"!!!"),"NEW","")))</f>
        <v> </v>
      </c>
      <c r="G2061" s="23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4" t="str">
        <f>IF(J2061&lt;&gt;1,"",IF(I2061="SBJ","CB","?"))</f>
        <v> </v>
      </c>
      <c r="I2061" s="25" t="str">
        <f>IF(OR(E2061="",E2061="!!!",F2061="NEW"),"",INDEX(B2060:B$2,-1+SUMPRODUCT(MAX(ROW(E2060:E$2)*(E2061=E2060:E$2)))))</f>
        <v> </v>
      </c>
      <c r="J2061" s="25" t="str">
        <f>IF(OR(E2061="",E2061="!!!",F2061="NEW"),"",COUNTBLANK(OFFSET(A$1,,,SUMPRODUCT(MAX(ROW(E$2:E2061)*(E2061=E$2:E2061)))))-COUNTBLANK(OFFSET(A$1,,,SUMPRODUCT(MAX(ROW(E$1:E2060)*(E2=E$1:E2060))))))</f>
        <v> </v>
      </c>
      <c r="K2061" s="25" t="str">
        <f>IF(OR(E2061="",E2061="!!!",F2061="NEW"),"",INDEX(J$1:J2060,SUMPRODUCT(MAX(ROW(E$1:E2060)*(E2061=E$1:E2060)))))</f>
        <v> </v>
      </c>
      <c r="L2061" s="26"/>
    </row>
    <row r="2062" spans="1:12">
      <c r="A2062" s="20" t="s">
        <v>1284</v>
      </c>
      <c r="E2062" s="21">
        <f>IF(D2062="?OLD","!!!","")</f>
        <v/>
      </c>
      <c r="F2062" s="22" t="str">
        <f>IF(OR(E2062="",E2062="!!!"),"",IF(NOT(ISNA(VLOOKUP(E2062,E$1:E2061,1,FALSE()))),"OLD",IF(AND(E2062&lt;&gt;"",E2062&lt;&gt;"!!!"),"NEW","")))</f>
        <v> </v>
      </c>
      <c r="G2062" s="23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4" t="str">
        <f>IF(J2062&lt;&gt;1,"",IF(I2062="SBJ","CB","?"))</f>
        <v> </v>
      </c>
      <c r="I2062" s="25" t="str">
        <f>IF(OR(E2062="",E2062="!!!",F2062="NEW"),"",INDEX(B2061:B$2,-1+SUMPRODUCT(MAX(ROW(E2061:E$2)*(E2062=E2061:E$2)))))</f>
        <v> </v>
      </c>
      <c r="J2062" s="25" t="str">
        <f>IF(OR(E2062="",E2062="!!!",F2062="NEW"),"",COUNTBLANK(OFFSET(A$1,,,SUMPRODUCT(MAX(ROW(E$2:E2062)*(E2062=E$2:E2062)))))-COUNTBLANK(OFFSET(A$1,,,SUMPRODUCT(MAX(ROW(E$1:E2061)*(E2=E$1:E2061))))))</f>
        <v> </v>
      </c>
      <c r="K2062" s="25" t="str">
        <f>IF(OR(E2062="",E2062="!!!",F2062="NEW"),"",INDEX(J$1:J2061,SUMPRODUCT(MAX(ROW(E$1:E2061)*(E2062=E$1:E2061)))))</f>
        <v> </v>
      </c>
      <c r="L2062" s="26"/>
    </row>
    <row r="2063" spans="1:12">
      <c r="A2063" s="20" t="s">
        <v>625</v>
      </c>
      <c r="E2063" s="21">
        <f>IF(D2063="?OLD","!!!","")</f>
        <v/>
      </c>
      <c r="F2063" s="22" t="str">
        <f>IF(OR(E2063="",E2063="!!!"),"",IF(NOT(ISNA(VLOOKUP(E2063,E$1:E2062,1,FALSE()))),"OLD",IF(AND(E2063&lt;&gt;"",E2063&lt;&gt;"!!!"),"NEW","")))</f>
        <v> </v>
      </c>
      <c r="G2063" s="23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4" t="str">
        <f>IF(J2063&lt;&gt;1,"",IF(I2063="SBJ","CB","?"))</f>
        <v> </v>
      </c>
      <c r="I2063" s="25" t="str">
        <f>IF(OR(E2063="",E2063="!!!",F2063="NEW"),"",INDEX(B2062:B$2,-1+SUMPRODUCT(MAX(ROW(E2062:E$2)*(E2063=E2062:E$2)))))</f>
        <v> </v>
      </c>
      <c r="J2063" s="25" t="str">
        <f>IF(OR(E2063="",E2063="!!!",F2063="NEW"),"",COUNTBLANK(OFFSET(A$1,,,SUMPRODUCT(MAX(ROW(E$2:E2063)*(E2063=E$2:E2063)))))-COUNTBLANK(OFFSET(A$1,,,SUMPRODUCT(MAX(ROW(E$1:E2062)*(E2=E$1:E2062))))))</f>
        <v> </v>
      </c>
      <c r="K2063" s="25" t="str">
        <f>IF(OR(E2063="",E2063="!!!",F2063="NEW"),"",INDEX(J$1:J2062,SUMPRODUCT(MAX(ROW(E$1:E2062)*(E2063=E$1:E2062)))))</f>
        <v> </v>
      </c>
      <c r="L2063" s="26"/>
    </row>
    <row r="2064" spans="1:12">
      <c r="A2064" s="20" t="s">
        <v>1285</v>
      </c>
      <c r="E2064" s="21">
        <f>IF(D2064="?OLD","!!!","")</f>
        <v/>
      </c>
      <c r="F2064" s="22" t="str">
        <f>IF(OR(E2064="",E2064="!!!"),"",IF(NOT(ISNA(VLOOKUP(E2064,E$1:E2063,1,FALSE()))),"OLD",IF(AND(E2064&lt;&gt;"",E2064&lt;&gt;"!!!"),"NEW","")))</f>
        <v> </v>
      </c>
      <c r="G2064" s="23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4" t="str">
        <f>IF(J2064&lt;&gt;1,"",IF(I2064="SBJ","CB","?"))</f>
        <v> </v>
      </c>
      <c r="I2064" s="25" t="str">
        <f>IF(OR(E2064="",E2064="!!!",F2064="NEW"),"",INDEX(B2063:B$2,-1+SUMPRODUCT(MAX(ROW(E2063:E$2)*(E2064=E2063:E$2)))))</f>
        <v> </v>
      </c>
      <c r="J2064" s="25" t="str">
        <f>IF(OR(E2064="",E2064="!!!",F2064="NEW"),"",COUNTBLANK(OFFSET(A$1,,,SUMPRODUCT(MAX(ROW(E$2:E2064)*(E2064=E$2:E2064)))))-COUNTBLANK(OFFSET(A$1,,,SUMPRODUCT(MAX(ROW(E$1:E2063)*(E2=E$1:E2063))))))</f>
        <v> </v>
      </c>
      <c r="K2064" s="25" t="str">
        <f>IF(OR(E2064="",E2064="!!!",F2064="NEW"),"",INDEX(J$1:J2063,SUMPRODUCT(MAX(ROW(E$1:E2063)*(E2064=E$1:E2063)))))</f>
        <v> </v>
      </c>
      <c r="L2064" s="26"/>
    </row>
    <row r="2065" spans="1:12">
      <c r="A2065" s="20" t="s">
        <v>771</v>
      </c>
      <c r="E2065" s="21">
        <f>IF(D2065="?OLD","!!!","")</f>
        <v/>
      </c>
      <c r="F2065" s="22" t="str">
        <f>IF(OR(E2065="",E2065="!!!"),"",IF(NOT(ISNA(VLOOKUP(E2065,E$1:E2064,1,FALSE()))),"OLD",IF(AND(E2065&lt;&gt;"",E2065&lt;&gt;"!!!"),"NEW","")))</f>
        <v> </v>
      </c>
      <c r="G2065" s="23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4" t="str">
        <f>IF(J2065&lt;&gt;1,"",IF(I2065="SBJ","CB","?"))</f>
        <v> </v>
      </c>
      <c r="I2065" s="25" t="str">
        <f>IF(OR(E2065="",E2065="!!!",F2065="NEW"),"",INDEX(B2064:B$2,-1+SUMPRODUCT(MAX(ROW(E2064:E$2)*(E2065=E2064:E$2)))))</f>
        <v> </v>
      </c>
      <c r="J2065" s="25" t="str">
        <f>IF(OR(E2065="",E2065="!!!",F2065="NEW"),"",COUNTBLANK(OFFSET(A$1,,,SUMPRODUCT(MAX(ROW(E$2:E2065)*(E2065=E$2:E2065)))))-COUNTBLANK(OFFSET(A$1,,,SUMPRODUCT(MAX(ROW(E$1:E2064)*(E2=E$1:E2064))))))</f>
        <v> </v>
      </c>
      <c r="K2065" s="25" t="str">
        <f>IF(OR(E2065="",E2065="!!!",F2065="NEW"),"",INDEX(J$1:J2064,SUMPRODUCT(MAX(ROW(E$1:E2064)*(E2065=E$1:E2064)))))</f>
        <v> </v>
      </c>
      <c r="L2065" s="26"/>
    </row>
    <row r="2066" spans="1:12">
      <c r="A2066" s="20" t="s">
        <v>528</v>
      </c>
      <c r="E2066" s="21">
        <f>IF(D2066="?OLD","!!!","")</f>
        <v/>
      </c>
      <c r="F2066" s="22" t="str">
        <f>IF(OR(E2066="",E2066="!!!"),"",IF(NOT(ISNA(VLOOKUP(E2066,E$1:E2065,1,FALSE()))),"OLD",IF(AND(E2066&lt;&gt;"",E2066&lt;&gt;"!!!"),"NEW","")))</f>
        <v> </v>
      </c>
      <c r="G2066" s="23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4" t="str">
        <f>IF(J2066&lt;&gt;1,"",IF(I2066="SBJ","CB","?"))</f>
        <v> </v>
      </c>
      <c r="I2066" s="25" t="str">
        <f>IF(OR(E2066="",E2066="!!!",F2066="NEW"),"",INDEX(B2065:B$2,-1+SUMPRODUCT(MAX(ROW(E2065:E$2)*(E2066=E2065:E$2)))))</f>
        <v> </v>
      </c>
      <c r="J2066" s="25" t="str">
        <f>IF(OR(E2066="",E2066="!!!",F2066="NEW"),"",COUNTBLANK(OFFSET(A$1,,,SUMPRODUCT(MAX(ROW(E$2:E2066)*(E2066=E$2:E2066)))))-COUNTBLANK(OFFSET(A$1,,,SUMPRODUCT(MAX(ROW(E$1:E2065)*(E2=E$1:E2065))))))</f>
        <v> </v>
      </c>
      <c r="K2066" s="25" t="str">
        <f>IF(OR(E2066="",E2066="!!!",F2066="NEW"),"",INDEX(J$1:J2065,SUMPRODUCT(MAX(ROW(E$1:E2065)*(E2066=E$1:E2065)))))</f>
        <v> </v>
      </c>
      <c r="L2066" s="26"/>
    </row>
    <row r="2067" spans="1:12">
      <c r="A2067" s="20" t="s">
        <v>332</v>
      </c>
      <c r="E2067" s="21">
        <f>IF(D2067="?OLD","!!!","")</f>
        <v/>
      </c>
      <c r="F2067" s="22" t="str">
        <f>IF(OR(E2067="",E2067="!!!"),"",IF(NOT(ISNA(VLOOKUP(E2067,E$1:E2066,1,FALSE()))),"OLD",IF(AND(E2067&lt;&gt;"",E2067&lt;&gt;"!!!"),"NEW","")))</f>
        <v> </v>
      </c>
      <c r="G2067" s="23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4" t="str">
        <f>IF(J2067&lt;&gt;1,"",IF(I2067="SBJ","CB","?"))</f>
        <v> </v>
      </c>
      <c r="I2067" s="25" t="str">
        <f>IF(OR(E2067="",E2067="!!!",F2067="NEW"),"",INDEX(B2066:B$2,-1+SUMPRODUCT(MAX(ROW(E2066:E$2)*(E2067=E2066:E$2)))))</f>
        <v> </v>
      </c>
      <c r="J2067" s="25" t="str">
        <f>IF(OR(E2067="",E2067="!!!",F2067="NEW"),"",COUNTBLANK(OFFSET(A$1,,,SUMPRODUCT(MAX(ROW(E$2:E2067)*(E2067=E$2:E2067)))))-COUNTBLANK(OFFSET(A$1,,,SUMPRODUCT(MAX(ROW(E$1:E2066)*(E2=E$1:E2066))))))</f>
        <v> </v>
      </c>
      <c r="K2067" s="25" t="str">
        <f>IF(OR(E2067="",E2067="!!!",F2067="NEW"),"",INDEX(J$1:J2066,SUMPRODUCT(MAX(ROW(E$1:E2066)*(E2067=E$1:E2066)))))</f>
        <v> </v>
      </c>
      <c r="L2067" s="26"/>
    </row>
    <row r="2068" spans="1:12">
      <c r="A2068" s="20" t="s">
        <v>520</v>
      </c>
      <c r="E2068" s="21">
        <f>IF(D2068="?OLD","!!!","")</f>
        <v/>
      </c>
      <c r="F2068" s="22" t="str">
        <f>IF(OR(E2068="",E2068="!!!"),"",IF(NOT(ISNA(VLOOKUP(E2068,E$1:E2067,1,FALSE()))),"OLD",IF(AND(E2068&lt;&gt;"",E2068&lt;&gt;"!!!"),"NEW","")))</f>
        <v> </v>
      </c>
      <c r="G2068" s="23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4" t="str">
        <f>IF(J2068&lt;&gt;1,"",IF(I2068="SBJ","CB","?"))</f>
        <v> </v>
      </c>
      <c r="I2068" s="25" t="str">
        <f>IF(OR(E2068="",E2068="!!!",F2068="NEW"),"",INDEX(B2067:B$2,-1+SUMPRODUCT(MAX(ROW(E2067:E$2)*(E2068=E2067:E$2)))))</f>
        <v> </v>
      </c>
      <c r="J2068" s="25" t="str">
        <f>IF(OR(E2068="",E2068="!!!",F2068="NEW"),"",COUNTBLANK(OFFSET(A$1,,,SUMPRODUCT(MAX(ROW(E$2:E2068)*(E2068=E$2:E2068)))))-COUNTBLANK(OFFSET(A$1,,,SUMPRODUCT(MAX(ROW(E$1:E2067)*(E2=E$1:E2067))))))</f>
        <v> </v>
      </c>
      <c r="K2068" s="25" t="str">
        <f>IF(OR(E2068="",E2068="!!!",F2068="NEW"),"",INDEX(J$1:J2067,SUMPRODUCT(MAX(ROW(E$1:E2067)*(E2068=E$1:E2067)))))</f>
        <v> </v>
      </c>
      <c r="L2068" s="26"/>
    </row>
    <row r="2069" spans="1:12">
      <c r="A2069" s="20" t="s">
        <v>542</v>
      </c>
      <c r="E2069" s="21">
        <f>IF(D2069="?OLD","!!!","")</f>
        <v/>
      </c>
      <c r="F2069" s="22" t="str">
        <f>IF(OR(E2069="",E2069="!!!"),"",IF(NOT(ISNA(VLOOKUP(E2069,E$1:E2068,1,FALSE()))),"OLD",IF(AND(E2069&lt;&gt;"",E2069&lt;&gt;"!!!"),"NEW","")))</f>
        <v> </v>
      </c>
      <c r="G2069" s="23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4" t="str">
        <f>IF(J2069&lt;&gt;1,"",IF(I2069="SBJ","CB","?"))</f>
        <v> </v>
      </c>
      <c r="I2069" s="25" t="str">
        <f>IF(OR(E2069="",E2069="!!!",F2069="NEW"),"",INDEX(B2068:B$2,-1+SUMPRODUCT(MAX(ROW(E2068:E$2)*(E2069=E2068:E$2)))))</f>
        <v> </v>
      </c>
      <c r="J2069" s="25" t="str">
        <f>IF(OR(E2069="",E2069="!!!",F2069="NEW"),"",COUNTBLANK(OFFSET(A$1,,,SUMPRODUCT(MAX(ROW(E$2:E2069)*(E2069=E$2:E2069)))))-COUNTBLANK(OFFSET(A$1,,,SUMPRODUCT(MAX(ROW(E$1:E2068)*(E2=E$1:E2068))))))</f>
        <v> </v>
      </c>
      <c r="K2069" s="25" t="str">
        <f>IF(OR(E2069="",E2069="!!!",F2069="NEW"),"",INDEX(J$1:J2068,SUMPRODUCT(MAX(ROW(E$1:E2068)*(E2069=E$1:E2068)))))</f>
        <v> </v>
      </c>
      <c r="L2069" s="26"/>
    </row>
    <row r="2070" spans="1:12">
      <c r="A2070" s="20" t="s">
        <v>1125</v>
      </c>
      <c r="B2070" s="27" t="s">
        <v>556</v>
      </c>
      <c r="C2070" s="27" t="s">
        <v>540</v>
      </c>
      <c r="D2070" s="27" t="s">
        <v>524</v>
      </c>
      <c r="E2070" s="21">
        <f>IF(D2070="?OLD","!!!","")</f>
        <v/>
      </c>
      <c r="F2070" s="22" t="str">
        <f>IF(OR(E2070="",E2070="!!!"),"",IF(NOT(ISNA(VLOOKUP(E2070,E$1:E2069,1,FALSE()))),"OLD",IF(AND(E2070&lt;&gt;"",E2070&lt;&gt;"!!!"),"NEW","")))</f>
        <v> </v>
      </c>
      <c r="G2070" s="23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4" t="str">
        <f>IF(J2070&lt;&gt;1,"",IF(I2070="SBJ","CB","?"))</f>
        <v> </v>
      </c>
      <c r="I2070" s="25" t="str">
        <f>IF(OR(E2070="",E2070="!!!",F2070="NEW"),"",INDEX(B2069:B$2,-1+SUMPRODUCT(MAX(ROW(E2069:E$2)*(E2070=E2069:E$2)))))</f>
        <v> </v>
      </c>
      <c r="J2070" s="25" t="str">
        <f>IF(OR(E2070="",E2070="!!!",F2070="NEW"),"",COUNTBLANK(OFFSET(A$1,,,SUMPRODUCT(MAX(ROW(E$2:E2070)*(E2070=E$2:E2070)))))-COUNTBLANK(OFFSET(A$1,,,SUMPRODUCT(MAX(ROW(E$1:E2069)*(E2=E$1:E2069))))))</f>
        <v> </v>
      </c>
      <c r="K2070" s="25" t="str">
        <f>IF(OR(E2070="",E2070="!!!",F2070="NEW"),"",INDEX(J$1:J2069,SUMPRODUCT(MAX(ROW(E$1:E2069)*(E2070=E$1:E2069)))))</f>
        <v> </v>
      </c>
      <c r="L2070" s="26"/>
    </row>
    <row r="2071" spans="1:12">
      <c r="A2071" s="20" t="s">
        <v>518</v>
      </c>
      <c r="E2071" s="21">
        <f>IF(D2071="?OLD","!!!","")</f>
        <v/>
      </c>
      <c r="F2071" s="22" t="str">
        <f>IF(OR(E2071="",E2071="!!!"),"",IF(NOT(ISNA(VLOOKUP(E2071,E$1:E2070,1,FALSE()))),"OLD",IF(AND(E2071&lt;&gt;"",E2071&lt;&gt;"!!!"),"NEW","")))</f>
        <v> </v>
      </c>
      <c r="G2071" s="23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4" t="str">
        <f>IF(J2071&lt;&gt;1,"",IF(I2071="SBJ","CB","?"))</f>
        <v> </v>
      </c>
      <c r="I2071" s="25" t="str">
        <f>IF(OR(E2071="",E2071="!!!",F2071="NEW"),"",INDEX(B2070:B$2,-1+SUMPRODUCT(MAX(ROW(E2070:E$2)*(E2071=E2070:E$2)))))</f>
        <v> </v>
      </c>
      <c r="J2071" s="25" t="str">
        <f>IF(OR(E2071="",E2071="!!!",F2071="NEW"),"",COUNTBLANK(OFFSET(A$1,,,SUMPRODUCT(MAX(ROW(E$2:E2071)*(E2071=E$2:E2071)))))-COUNTBLANK(OFFSET(A$1,,,SUMPRODUCT(MAX(ROW(E$1:E2070)*(E2=E$1:E2070))))))</f>
        <v> </v>
      </c>
      <c r="K2071" s="25" t="str">
        <f>IF(OR(E2071="",E2071="!!!",F2071="NEW"),"",INDEX(J$1:J2070,SUMPRODUCT(MAX(ROW(E$1:E2070)*(E2071=E$1:E2070)))))</f>
        <v> </v>
      </c>
      <c r="L2071" s="26"/>
    </row>
    <row r="2072" spans="1:12">
      <c r="A2072" s="20" t="s">
        <v>571</v>
      </c>
      <c r="E2072" s="21">
        <f>IF(D2072="?OLD","!!!","")</f>
        <v/>
      </c>
      <c r="F2072" s="22" t="str">
        <f>IF(OR(E2072="",E2072="!!!"),"",IF(NOT(ISNA(VLOOKUP(E2072,E$1:E2071,1,FALSE()))),"OLD",IF(AND(E2072&lt;&gt;"",E2072&lt;&gt;"!!!"),"NEW","")))</f>
        <v> </v>
      </c>
      <c r="G2072" s="23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4" t="str">
        <f>IF(J2072&lt;&gt;1,"",IF(I2072="SBJ","CB","?"))</f>
        <v> </v>
      </c>
      <c r="I2072" s="25" t="str">
        <f>IF(OR(E2072="",E2072="!!!",F2072="NEW"),"",INDEX(B2071:B$2,-1+SUMPRODUCT(MAX(ROW(E2071:E$2)*(E2072=E2071:E$2)))))</f>
        <v> </v>
      </c>
      <c r="J2072" s="25" t="str">
        <f>IF(OR(E2072="",E2072="!!!",F2072="NEW"),"",COUNTBLANK(OFFSET(A$1,,,SUMPRODUCT(MAX(ROW(E$2:E2072)*(E2072=E$2:E2072)))))-COUNTBLANK(OFFSET(A$1,,,SUMPRODUCT(MAX(ROW(E$1:E2071)*(E2=E$1:E2071))))))</f>
        <v> </v>
      </c>
      <c r="K2072" s="25" t="str">
        <f>IF(OR(E2072="",E2072="!!!",F2072="NEW"),"",INDEX(J$1:J2071,SUMPRODUCT(MAX(ROW(E$1:E2071)*(E2072=E$1:E2071)))))</f>
        <v> </v>
      </c>
      <c r="L2072" s="26"/>
    </row>
    <row r="2073" spans="1:12">
      <c r="A2073" s="20" t="s">
        <v>1286</v>
      </c>
      <c r="B2073" s="27" t="s">
        <v>534</v>
      </c>
      <c r="C2073" s="27" t="s">
        <v>545</v>
      </c>
      <c r="D2073" s="27" t="s">
        <v>524</v>
      </c>
      <c r="E2073" s="21">
        <f>IF(D2073="?OLD","!!!","")</f>
        <v/>
      </c>
      <c r="F2073" s="22" t="str">
        <f>IF(OR(E2073="",E2073="!!!"),"",IF(NOT(ISNA(VLOOKUP(E2073,E$1:E2072,1,FALSE()))),"OLD",IF(AND(E2073&lt;&gt;"",E2073&lt;&gt;"!!!"),"NEW","")))</f>
        <v> </v>
      </c>
      <c r="G2073" s="23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4" t="str">
        <f>IF(J2073&lt;&gt;1,"",IF(I2073="SBJ","CB","?"))</f>
        <v> </v>
      </c>
      <c r="I2073" s="25" t="str">
        <f>IF(OR(E2073="",E2073="!!!",F2073="NEW"),"",INDEX(B2072:B$2,-1+SUMPRODUCT(MAX(ROW(E2072:E$2)*(E2073=E2072:E$2)))))</f>
        <v> </v>
      </c>
      <c r="J2073" s="25" t="str">
        <f>IF(OR(E2073="",E2073="!!!",F2073="NEW"),"",COUNTBLANK(OFFSET(A$1,,,SUMPRODUCT(MAX(ROW(E$2:E2073)*(E2073=E$2:E2073)))))-COUNTBLANK(OFFSET(A$1,,,SUMPRODUCT(MAX(ROW(E$1:E2072)*(E2=E$1:E2072))))))</f>
        <v> </v>
      </c>
      <c r="K2073" s="25" t="str">
        <f>IF(OR(E2073="",E2073="!!!",F2073="NEW"),"",INDEX(J$1:J2072,SUMPRODUCT(MAX(ROW(E$1:E2072)*(E2073=E$1:E2072)))))</f>
        <v> </v>
      </c>
      <c r="L2073" s="26"/>
    </row>
    <row r="2074" spans="1:12">
      <c r="A2074" s="20" t="s">
        <v>1264</v>
      </c>
      <c r="E2074" s="21">
        <f>IF(D2074="?OLD","!!!","")</f>
        <v/>
      </c>
      <c r="F2074" s="22" t="str">
        <f>IF(OR(E2074="",E2074="!!!"),"",IF(NOT(ISNA(VLOOKUP(E2074,E$1:E2073,1,FALSE()))),"OLD",IF(AND(E2074&lt;&gt;"",E2074&lt;&gt;"!!!"),"NEW","")))</f>
        <v> </v>
      </c>
      <c r="G2074" s="23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4" t="str">
        <f>IF(J2074&lt;&gt;1,"",IF(I2074="SBJ","CB","?"))</f>
        <v> </v>
      </c>
      <c r="I2074" s="25" t="str">
        <f>IF(OR(E2074="",E2074="!!!",F2074="NEW"),"",INDEX(B2073:B$2,-1+SUMPRODUCT(MAX(ROW(E2073:E$2)*(E2074=E2073:E$2)))))</f>
        <v> </v>
      </c>
      <c r="J2074" s="25" t="str">
        <f>IF(OR(E2074="",E2074="!!!",F2074="NEW"),"",COUNTBLANK(OFFSET(A$1,,,SUMPRODUCT(MAX(ROW(E$2:E2074)*(E2074=E$2:E2074)))))-COUNTBLANK(OFFSET(A$1,,,SUMPRODUCT(MAX(ROW(E$1:E2073)*(E2=E$1:E2073))))))</f>
        <v> </v>
      </c>
      <c r="K2074" s="25" t="str">
        <f>IF(OR(E2074="",E2074="!!!",F2074="NEW"),"",INDEX(J$1:J2073,SUMPRODUCT(MAX(ROW(E$1:E2073)*(E2074=E$1:E2073)))))</f>
        <v> </v>
      </c>
      <c r="L2074" s="26"/>
    </row>
    <row r="2075" spans="1:12">
      <c r="A2075" s="20" t="s">
        <v>1287</v>
      </c>
      <c r="E2075" s="21">
        <f>IF(D2075="?OLD","!!!","")</f>
        <v/>
      </c>
      <c r="F2075" s="22" t="str">
        <f>IF(OR(E2075="",E2075="!!!"),"",IF(NOT(ISNA(VLOOKUP(E2075,E$1:E2074,1,FALSE()))),"OLD",IF(AND(E2075&lt;&gt;"",E2075&lt;&gt;"!!!"),"NEW","")))</f>
        <v> </v>
      </c>
      <c r="G2075" s="23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4" t="str">
        <f>IF(J2075&lt;&gt;1,"",IF(I2075="SBJ","CB","?"))</f>
        <v> </v>
      </c>
      <c r="I2075" s="25" t="str">
        <f>IF(OR(E2075="",E2075="!!!",F2075="NEW"),"",INDEX(B2074:B$2,-1+SUMPRODUCT(MAX(ROW(E2074:E$2)*(E2075=E2074:E$2)))))</f>
        <v> </v>
      </c>
      <c r="J2075" s="25" t="str">
        <f>IF(OR(E2075="",E2075="!!!",F2075="NEW"),"",COUNTBLANK(OFFSET(A$1,,,SUMPRODUCT(MAX(ROW(E$2:E2075)*(E2075=E$2:E2075)))))-COUNTBLANK(OFFSET(A$1,,,SUMPRODUCT(MAX(ROW(E$1:E2074)*(E2=E$1:E2074))))))</f>
        <v> </v>
      </c>
      <c r="K2075" s="25" t="str">
        <f>IF(OR(E2075="",E2075="!!!",F2075="NEW"),"",INDEX(J$1:J2074,SUMPRODUCT(MAX(ROW(E$1:E2074)*(E2075=E$1:E2074)))))</f>
        <v> </v>
      </c>
      <c r="L2075" s="26"/>
    </row>
    <row r="2076" spans="1:12">
      <c r="A2076" s="20" t="s">
        <v>518</v>
      </c>
      <c r="E2076" s="21">
        <f>IF(D2076="?OLD","!!!","")</f>
        <v/>
      </c>
      <c r="F2076" s="22" t="str">
        <f>IF(OR(E2076="",E2076="!!!"),"",IF(NOT(ISNA(VLOOKUP(E2076,E$1:E2075,1,FALSE()))),"OLD",IF(AND(E2076&lt;&gt;"",E2076&lt;&gt;"!!!"),"NEW","")))</f>
        <v> </v>
      </c>
      <c r="G2076" s="23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4" t="str">
        <f>IF(J2076&lt;&gt;1,"",IF(I2076="SBJ","CB","?"))</f>
        <v> </v>
      </c>
      <c r="I2076" s="25" t="str">
        <f>IF(OR(E2076="",E2076="!!!",F2076="NEW"),"",INDEX(B2075:B$2,-1+SUMPRODUCT(MAX(ROW(E2075:E$2)*(E2076=E2075:E$2)))))</f>
        <v> </v>
      </c>
      <c r="J2076" s="25" t="str">
        <f>IF(OR(E2076="",E2076="!!!",F2076="NEW"),"",COUNTBLANK(OFFSET(A$1,,,SUMPRODUCT(MAX(ROW(E$2:E2076)*(E2076=E$2:E2076)))))-COUNTBLANK(OFFSET(A$1,,,SUMPRODUCT(MAX(ROW(E$1:E2075)*(E2=E$1:E2075))))))</f>
        <v> </v>
      </c>
      <c r="K2076" s="25" t="str">
        <f>IF(OR(E2076="",E2076="!!!",F2076="NEW"),"",INDEX(J$1:J2075,SUMPRODUCT(MAX(ROW(E$1:E2075)*(E2076=E$1:E2075)))))</f>
        <v> </v>
      </c>
      <c r="L2076" s="26"/>
    </row>
    <row r="2077" spans="1:12">
      <c r="A2077" s="20" t="s">
        <v>682</v>
      </c>
      <c r="E2077" s="21">
        <f>IF(D2077="?OLD","!!!","")</f>
        <v/>
      </c>
      <c r="F2077" s="22" t="str">
        <f>IF(OR(E2077="",E2077="!!!"),"",IF(NOT(ISNA(VLOOKUP(E2077,E$1:E2076,1,FALSE()))),"OLD",IF(AND(E2077&lt;&gt;"",E2077&lt;&gt;"!!!"),"NEW","")))</f>
        <v> </v>
      </c>
      <c r="G2077" s="23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4" t="str">
        <f>IF(J2077&lt;&gt;1,"",IF(I2077="SBJ","CB","?"))</f>
        <v> </v>
      </c>
      <c r="I2077" s="25" t="str">
        <f>IF(OR(E2077="",E2077="!!!",F2077="NEW"),"",INDEX(B2076:B$2,-1+SUMPRODUCT(MAX(ROW(E2076:E$2)*(E2077=E2076:E$2)))))</f>
        <v> </v>
      </c>
      <c r="J2077" s="25" t="str">
        <f>IF(OR(E2077="",E2077="!!!",F2077="NEW"),"",COUNTBLANK(OFFSET(A$1,,,SUMPRODUCT(MAX(ROW(E$2:E2077)*(E2077=E$2:E2077)))))-COUNTBLANK(OFFSET(A$1,,,SUMPRODUCT(MAX(ROW(E$1:E2076)*(E2=E$1:E2076))))))</f>
        <v> </v>
      </c>
      <c r="K2077" s="25" t="str">
        <f>IF(OR(E2077="",E2077="!!!",F2077="NEW"),"",INDEX(J$1:J2076,SUMPRODUCT(MAX(ROW(E$1:E2076)*(E2077=E$1:E2076)))))</f>
        <v> </v>
      </c>
      <c r="L2077" s="26"/>
    </row>
    <row r="2078" spans="1:12">
      <c r="A2078" s="20" t="s">
        <v>1288</v>
      </c>
      <c r="B2078" s="27" t="s">
        <v>534</v>
      </c>
      <c r="C2078" s="27" t="s">
        <v>545</v>
      </c>
      <c r="D2078" s="27" t="s">
        <v>524</v>
      </c>
      <c r="E2078" s="21">
        <f>IF(D2078="?OLD","!!!","")</f>
        <v/>
      </c>
      <c r="F2078" s="22" t="str">
        <f>IF(OR(E2078="",E2078="!!!"),"",IF(NOT(ISNA(VLOOKUP(E2078,E$1:E2077,1,FALSE()))),"OLD",IF(AND(E2078&lt;&gt;"",E2078&lt;&gt;"!!!"),"NEW","")))</f>
        <v> </v>
      </c>
      <c r="G2078" s="23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4" t="str">
        <f>IF(J2078&lt;&gt;1,"",IF(I2078="SBJ","CB","?"))</f>
        <v> </v>
      </c>
      <c r="I2078" s="25" t="str">
        <f>IF(OR(E2078="",E2078="!!!",F2078="NEW"),"",INDEX(B2077:B$2,-1+SUMPRODUCT(MAX(ROW(E2077:E$2)*(E2078=E2077:E$2)))))</f>
        <v> </v>
      </c>
      <c r="J2078" s="25" t="str">
        <f>IF(OR(E2078="",E2078="!!!",F2078="NEW"),"",COUNTBLANK(OFFSET(A$1,,,SUMPRODUCT(MAX(ROW(E$2:E2078)*(E2078=E$2:E2078)))))-COUNTBLANK(OFFSET(A$1,,,SUMPRODUCT(MAX(ROW(E$1:E2077)*(E2=E$1:E2077))))))</f>
        <v> </v>
      </c>
      <c r="K2078" s="25" t="str">
        <f>IF(OR(E2078="",E2078="!!!",F2078="NEW"),"",INDEX(J$1:J2077,SUMPRODUCT(MAX(ROW(E$1:E2077)*(E2078=E$1:E2077)))))</f>
        <v> </v>
      </c>
      <c r="L2078" s="26"/>
    </row>
    <row r="2079" spans="1:12">
      <c r="A2079" s="20" t="s">
        <v>565</v>
      </c>
      <c r="E2079" s="21">
        <f>IF(D2079="?OLD","!!!","")</f>
        <v/>
      </c>
      <c r="F2079" s="22" t="str">
        <f>IF(OR(E2079="",E2079="!!!"),"",IF(NOT(ISNA(VLOOKUP(E2079,E$1:E2078,1,FALSE()))),"OLD",IF(AND(E2079&lt;&gt;"",E2079&lt;&gt;"!!!"),"NEW","")))</f>
        <v> </v>
      </c>
      <c r="G2079" s="23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4" t="str">
        <f>IF(J2079&lt;&gt;1,"",IF(I2079="SBJ","CB","?"))</f>
        <v> </v>
      </c>
      <c r="I2079" s="25" t="str">
        <f>IF(OR(E2079="",E2079="!!!",F2079="NEW"),"",INDEX(B2078:B$2,-1+SUMPRODUCT(MAX(ROW(E2078:E$2)*(E2079=E2078:E$2)))))</f>
        <v> </v>
      </c>
      <c r="J2079" s="25" t="str">
        <f>IF(OR(E2079="",E2079="!!!",F2079="NEW"),"",COUNTBLANK(OFFSET(A$1,,,SUMPRODUCT(MAX(ROW(E$2:E2079)*(E2079=E$2:E2079)))))-COUNTBLANK(OFFSET(A$1,,,SUMPRODUCT(MAX(ROW(E$1:E2078)*(E2=E$1:E2078))))))</f>
        <v> </v>
      </c>
      <c r="K2079" s="25" t="str">
        <f>IF(OR(E2079="",E2079="!!!",F2079="NEW"),"",INDEX(J$1:J2078,SUMPRODUCT(MAX(ROW(E$1:E2078)*(E2079=E$1:E2078)))))</f>
        <v> </v>
      </c>
      <c r="L2079" s="26"/>
    </row>
    <row r="2080" spans="1:12">
      <c r="A2080" s="20" t="s">
        <v>959</v>
      </c>
      <c r="E2080" s="21">
        <f>IF(D2080="?OLD","!!!","")</f>
        <v/>
      </c>
      <c r="F2080" s="22" t="str">
        <f>IF(OR(E2080="",E2080="!!!"),"",IF(NOT(ISNA(VLOOKUP(E2080,E$1:E2079,1,FALSE()))),"OLD",IF(AND(E2080&lt;&gt;"",E2080&lt;&gt;"!!!"),"NEW","")))</f>
        <v> </v>
      </c>
      <c r="G2080" s="23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4" t="str">
        <f>IF(J2080&lt;&gt;1,"",IF(I2080="SBJ","CB","?"))</f>
        <v> </v>
      </c>
      <c r="I2080" s="25" t="str">
        <f>IF(OR(E2080="",E2080="!!!",F2080="NEW"),"",INDEX(B2079:B$2,-1+SUMPRODUCT(MAX(ROW(E2079:E$2)*(E2080=E2079:E$2)))))</f>
        <v> </v>
      </c>
      <c r="J2080" s="25" t="str">
        <f>IF(OR(E2080="",E2080="!!!",F2080="NEW"),"",COUNTBLANK(OFFSET(A$1,,,SUMPRODUCT(MAX(ROW(E$2:E2080)*(E2080=E$2:E2080)))))-COUNTBLANK(OFFSET(A$1,,,SUMPRODUCT(MAX(ROW(E$1:E2079)*(E2=E$1:E2079))))))</f>
        <v> </v>
      </c>
      <c r="K2080" s="25" t="str">
        <f>IF(OR(E2080="",E2080="!!!",F2080="NEW"),"",INDEX(J$1:J2079,SUMPRODUCT(MAX(ROW(E$1:E2079)*(E2080=E$1:E2079)))))</f>
        <v> </v>
      </c>
      <c r="L2080" s="26"/>
    </row>
    <row r="2081" spans="1:12">
      <c r="A2081" s="20" t="s">
        <v>843</v>
      </c>
      <c r="B2081" s="27" t="s">
        <v>573</v>
      </c>
      <c r="C2081" s="27" t="s">
        <v>523</v>
      </c>
      <c r="D2081" s="27" t="s">
        <v>524</v>
      </c>
      <c r="E2081" s="21">
        <f>IF(D2081="?OLD","!!!","")</f>
        <v/>
      </c>
      <c r="F2081" s="22" t="str">
        <f>IF(OR(E2081="",E2081="!!!"),"",IF(NOT(ISNA(VLOOKUP(E2081,E$1:E2080,1,FALSE()))),"OLD",IF(AND(E2081&lt;&gt;"",E2081&lt;&gt;"!!!"),"NEW","")))</f>
        <v> </v>
      </c>
      <c r="G2081" s="23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4" t="str">
        <f>IF(J2081&lt;&gt;1,"",IF(I2081="SBJ","CB","?"))</f>
        <v> </v>
      </c>
      <c r="I2081" s="25" t="str">
        <f>IF(OR(E2081="",E2081="!!!",F2081="NEW"),"",INDEX(B2080:B$2,-1+SUMPRODUCT(MAX(ROW(E2080:E$2)*(E2081=E2080:E$2)))))</f>
        <v> </v>
      </c>
      <c r="J2081" s="25" t="str">
        <f>IF(OR(E2081="",E2081="!!!",F2081="NEW"),"",COUNTBLANK(OFFSET(A$1,,,SUMPRODUCT(MAX(ROW(E$2:E2081)*(E2081=E$2:E2081)))))-COUNTBLANK(OFFSET(A$1,,,SUMPRODUCT(MAX(ROW(E$1:E2080)*(E2=E$1:E2080))))))</f>
        <v> </v>
      </c>
      <c r="K2081" s="25" t="str">
        <f>IF(OR(E2081="",E2081="!!!",F2081="NEW"),"",INDEX(J$1:J2080,SUMPRODUCT(MAX(ROW(E$1:E2080)*(E2081=E$1:E2080)))))</f>
        <v> </v>
      </c>
      <c r="L2081" s="26"/>
    </row>
    <row r="2082" spans="1:12">
      <c r="A2082" s="20" t="s">
        <v>549</v>
      </c>
      <c r="E2082" s="21">
        <f>IF(D2082="?OLD","!!!","")</f>
        <v/>
      </c>
      <c r="F2082" s="22" t="str">
        <f>IF(OR(E2082="",E2082="!!!"),"",IF(NOT(ISNA(VLOOKUP(E2082,E$1:E2081,1,FALSE()))),"OLD",IF(AND(E2082&lt;&gt;"",E2082&lt;&gt;"!!!"),"NEW","")))</f>
        <v> </v>
      </c>
      <c r="G2082" s="23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4" t="str">
        <f>IF(J2082&lt;&gt;1,"",IF(I2082="SBJ","CB","?"))</f>
        <v> </v>
      </c>
      <c r="I2082" s="25" t="str">
        <f>IF(OR(E2082="",E2082="!!!",F2082="NEW"),"",INDEX(B2081:B$2,-1+SUMPRODUCT(MAX(ROW(E2081:E$2)*(E2082=E2081:E$2)))))</f>
        <v> </v>
      </c>
      <c r="J2082" s="25" t="str">
        <f>IF(OR(E2082="",E2082="!!!",F2082="NEW"),"",COUNTBLANK(OFFSET(A$1,,,SUMPRODUCT(MAX(ROW(E$2:E2082)*(E2082=E$2:E2082)))))-COUNTBLANK(OFFSET(A$1,,,SUMPRODUCT(MAX(ROW(E$1:E2081)*(E2=E$1:E2081))))))</f>
        <v> </v>
      </c>
      <c r="K2082" s="25" t="str">
        <f>IF(OR(E2082="",E2082="!!!",F2082="NEW"),"",INDEX(J$1:J2081,SUMPRODUCT(MAX(ROW(E$1:E2081)*(E2082=E$1:E2081)))))</f>
        <v> </v>
      </c>
      <c r="L2082" s="26"/>
    </row>
    <row r="2083" spans="1:12">
      <c r="A2083" s="20"/>
    </row>
    <row r="2084" spans="1:12">
      <c r="A2084" s="20" t="s">
        <v>1289</v>
      </c>
    </row>
    <row r="2085" spans="1:12">
      <c r="A2085" s="20" t="s">
        <v>1143</v>
      </c>
      <c r="E2085" s="21">
        <f>IF(D2085="?OLD","!!!","")</f>
        <v/>
      </c>
      <c r="F2085" s="22" t="str">
        <f>IF(OR(E2085="",E2085="!!!"),"",IF(NOT(ISNA(VLOOKUP(E2085,E$1:E2084,1,FALSE()))),"OLD",IF(AND(E2085&lt;&gt;"",E2085&lt;&gt;"!!!"),"NEW","")))</f>
        <v> </v>
      </c>
      <c r="G2085" s="23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4" t="str">
        <f>IF(J2085&lt;&gt;1,"",IF(I2085="SBJ","CB","?"))</f>
        <v> </v>
      </c>
      <c r="I2085" s="25" t="str">
        <f>IF(OR(E2085="",E2085="!!!",F2085="NEW"),"",INDEX(B2084:B$2,-1+SUMPRODUCT(MAX(ROW(E2084:E$2)*(E2085=E2084:E$2)))))</f>
        <v> </v>
      </c>
      <c r="J2085" s="25" t="str">
        <f>IF(OR(E2085="",E2085="!!!",F2085="NEW"),"",COUNTBLANK(OFFSET(A$1,,,SUMPRODUCT(MAX(ROW(E$2:E2085)*(E2085=E$2:E2085)))))-COUNTBLANK(OFFSET(A$1,,,SUMPRODUCT(MAX(ROW(E$1:E2084)*(E2=E$1:E2084))))))</f>
        <v> </v>
      </c>
      <c r="K2085" s="25" t="str">
        <f>IF(OR(E2085="",E2085="!!!",F2085="NEW"),"",INDEX(J$1:J2084,SUMPRODUCT(MAX(ROW(E$1:E2084)*(E2085=E$1:E2084)))))</f>
        <v> </v>
      </c>
      <c r="L2085" s="26"/>
    </row>
    <row r="2086" spans="1:12">
      <c r="A2086" s="20" t="s">
        <v>1290</v>
      </c>
      <c r="B2086" s="27" t="s">
        <v>597</v>
      </c>
      <c r="C2086" s="27" t="s">
        <v>564</v>
      </c>
      <c r="E2086" s="21">
        <f>IF(D2086="?OLD","!!!","")</f>
        <v/>
      </c>
      <c r="F2086" s="22" t="str">
        <f>IF(OR(E2086="",E2086="!!!"),"",IF(NOT(ISNA(VLOOKUP(E2086,E$1:E2085,1,FALSE()))),"OLD",IF(AND(E2086&lt;&gt;"",E2086&lt;&gt;"!!!"),"NEW","")))</f>
        <v> </v>
      </c>
      <c r="G2086" s="23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4" t="str">
        <f>IF(J2086&lt;&gt;1,"",IF(I2086="SBJ","CB","?"))</f>
        <v> </v>
      </c>
      <c r="I2086" s="25" t="str">
        <f>IF(OR(E2086="",E2086="!!!",F2086="NEW"),"",INDEX(B2085:B$2,-1+SUMPRODUCT(MAX(ROW(E2085:E$2)*(E2086=E2085:E$2)))))</f>
        <v> </v>
      </c>
      <c r="J2086" s="25" t="str">
        <f>IF(OR(E2086="",E2086="!!!",F2086="NEW"),"",COUNTBLANK(OFFSET(A$1,,,SUMPRODUCT(MAX(ROW(E$2:E2086)*(E2086=E$2:E2086)))))-COUNTBLANK(OFFSET(A$1,,,SUMPRODUCT(MAX(ROW(E$1:E2085)*(E2=E$1:E2085))))))</f>
        <v> </v>
      </c>
      <c r="K2086" s="25" t="str">
        <f>IF(OR(E2086="",E2086="!!!",F2086="NEW"),"",INDEX(J$1:J2085,SUMPRODUCT(MAX(ROW(E$1:E2085)*(E2086=E$1:E2085)))))</f>
        <v> </v>
      </c>
      <c r="L2086" s="26"/>
    </row>
    <row r="2087" spans="1:12">
      <c r="A2087" s="20" t="s">
        <v>565</v>
      </c>
      <c r="E2087" s="21">
        <f>IF(D2087="?OLD","!!!","")</f>
        <v/>
      </c>
      <c r="F2087" s="22" t="str">
        <f>IF(OR(E2087="",E2087="!!!"),"",IF(NOT(ISNA(VLOOKUP(E2087,E$1:E2086,1,FALSE()))),"OLD",IF(AND(E2087&lt;&gt;"",E2087&lt;&gt;"!!!"),"NEW","")))</f>
        <v> </v>
      </c>
      <c r="G2087" s="23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4" t="str">
        <f>IF(J2087&lt;&gt;1,"",IF(I2087="SBJ","CB","?"))</f>
        <v> </v>
      </c>
      <c r="I2087" s="25" t="str">
        <f>IF(OR(E2087="",E2087="!!!",F2087="NEW"),"",INDEX(B2086:B$2,-1+SUMPRODUCT(MAX(ROW(E2086:E$2)*(E2087=E2086:E$2)))))</f>
        <v> </v>
      </c>
      <c r="J2087" s="25" t="str">
        <f>IF(OR(E2087="",E2087="!!!",F2087="NEW"),"",COUNTBLANK(OFFSET(A$1,,,SUMPRODUCT(MAX(ROW(E$2:E2087)*(E2087=E$2:E2087)))))-COUNTBLANK(OFFSET(A$1,,,SUMPRODUCT(MAX(ROW(E$1:E2086)*(E2=E$1:E2086))))))</f>
        <v> </v>
      </c>
      <c r="K2087" s="25" t="str">
        <f>IF(OR(E2087="",E2087="!!!",F2087="NEW"),"",INDEX(J$1:J2086,SUMPRODUCT(MAX(ROW(E$1:E2086)*(E2087=E$1:E2086)))))</f>
        <v> </v>
      </c>
      <c r="L2087" s="26"/>
    </row>
    <row r="2088" spans="1:12">
      <c r="A2088" s="20" t="s">
        <v>542</v>
      </c>
      <c r="E2088" s="21">
        <f>IF(D2088="?OLD","!!!","")</f>
        <v/>
      </c>
      <c r="F2088" s="22" t="str">
        <f>IF(OR(E2088="",E2088="!!!"),"",IF(NOT(ISNA(VLOOKUP(E2088,E$1:E2087,1,FALSE()))),"OLD",IF(AND(E2088&lt;&gt;"",E2088&lt;&gt;"!!!"),"NEW","")))</f>
        <v> </v>
      </c>
      <c r="G2088" s="23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4" t="str">
        <f>IF(J2088&lt;&gt;1,"",IF(I2088="SBJ","CB","?"))</f>
        <v> </v>
      </c>
      <c r="I2088" s="25" t="str">
        <f>IF(OR(E2088="",E2088="!!!",F2088="NEW"),"",INDEX(B2087:B$2,-1+SUMPRODUCT(MAX(ROW(E2087:E$2)*(E2088=E2087:E$2)))))</f>
        <v> </v>
      </c>
      <c r="J2088" s="25" t="str">
        <f>IF(OR(E2088="",E2088="!!!",F2088="NEW"),"",COUNTBLANK(OFFSET(A$1,,,SUMPRODUCT(MAX(ROW(E$2:E2088)*(E2088=E$2:E2088)))))-COUNTBLANK(OFFSET(A$1,,,SUMPRODUCT(MAX(ROW(E$1:E2087)*(E2=E$1:E2087))))))</f>
        <v> </v>
      </c>
      <c r="K2088" s="25" t="str">
        <f>IF(OR(E2088="",E2088="!!!",F2088="NEW"),"",INDEX(J$1:J2087,SUMPRODUCT(MAX(ROW(E$1:E2087)*(E2088=E$1:E2087)))))</f>
        <v> </v>
      </c>
      <c r="L2088" s="26"/>
    </row>
    <row r="2089" spans="1:12">
      <c r="A2089" s="20" t="s">
        <v>1047</v>
      </c>
      <c r="B2089" s="27" t="s">
        <v>680</v>
      </c>
      <c r="C2089" s="27" t="s">
        <v>540</v>
      </c>
      <c r="D2089" s="27" t="s">
        <v>524</v>
      </c>
      <c r="E2089" s="21">
        <f>IF(D2089="?OLD","!!!","")</f>
        <v/>
      </c>
      <c r="F2089" s="22" t="str">
        <f>IF(OR(E2089="",E2089="!!!"),"",IF(NOT(ISNA(VLOOKUP(E2089,E$1:E2088,1,FALSE()))),"OLD",IF(AND(E2089&lt;&gt;"",E2089&lt;&gt;"!!!"),"NEW","")))</f>
        <v> </v>
      </c>
      <c r="G2089" s="23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4" t="str">
        <f>IF(J2089&lt;&gt;1,"",IF(I2089="SBJ","CB","?"))</f>
        <v> </v>
      </c>
      <c r="I2089" s="25" t="str">
        <f>IF(OR(E2089="",E2089="!!!",F2089="NEW"),"",INDEX(B2088:B$2,-1+SUMPRODUCT(MAX(ROW(E2088:E$2)*(E2089=E2088:E$2)))))</f>
        <v> </v>
      </c>
      <c r="J2089" s="25" t="str">
        <f>IF(OR(E2089="",E2089="!!!",F2089="NEW"),"",COUNTBLANK(OFFSET(A$1,,,SUMPRODUCT(MAX(ROW(E$2:E2089)*(E2089=E$2:E2089)))))-COUNTBLANK(OFFSET(A$1,,,SUMPRODUCT(MAX(ROW(E$1:E2088)*(E2=E$1:E2088))))))</f>
        <v> </v>
      </c>
      <c r="K2089" s="25" t="str">
        <f>IF(OR(E2089="",E2089="!!!",F2089="NEW"),"",INDEX(J$1:J2088,SUMPRODUCT(MAX(ROW(E$1:E2088)*(E2089=E$1:E2088)))))</f>
        <v> </v>
      </c>
      <c r="L2089" s="26"/>
    </row>
    <row r="2090" spans="1:12">
      <c r="A2090" s="20" t="s">
        <v>518</v>
      </c>
      <c r="E2090" s="21">
        <f>IF(D2090="?OLD","!!!","")</f>
        <v/>
      </c>
      <c r="F2090" s="22" t="str">
        <f>IF(OR(E2090="",E2090="!!!"),"",IF(NOT(ISNA(VLOOKUP(E2090,E$1:E2089,1,FALSE()))),"OLD",IF(AND(E2090&lt;&gt;"",E2090&lt;&gt;"!!!"),"NEW","")))</f>
        <v> </v>
      </c>
      <c r="G2090" s="23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4" t="str">
        <f>IF(J2090&lt;&gt;1,"",IF(I2090="SBJ","CB","?"))</f>
        <v> </v>
      </c>
      <c r="I2090" s="25" t="str">
        <f>IF(OR(E2090="",E2090="!!!",F2090="NEW"),"",INDEX(B2089:B$2,-1+SUMPRODUCT(MAX(ROW(E2089:E$2)*(E2090=E2089:E$2)))))</f>
        <v> </v>
      </c>
      <c r="J2090" s="25" t="str">
        <f>IF(OR(E2090="",E2090="!!!",F2090="NEW"),"",COUNTBLANK(OFFSET(A$1,,,SUMPRODUCT(MAX(ROW(E$2:E2090)*(E2090=E$2:E2090)))))-COUNTBLANK(OFFSET(A$1,,,SUMPRODUCT(MAX(ROW(E$1:E2089)*(E2=E$1:E2089))))))</f>
        <v> </v>
      </c>
      <c r="K2090" s="25" t="str">
        <f>IF(OR(E2090="",E2090="!!!",F2090="NEW"),"",INDEX(J$1:J2089,SUMPRODUCT(MAX(ROW(E$1:E2089)*(E2090=E$1:E2089)))))</f>
        <v> </v>
      </c>
      <c r="L2090" s="26"/>
    </row>
    <row r="2091" spans="1:12">
      <c r="A2091" s="20" t="s">
        <v>1291</v>
      </c>
      <c r="B2091" s="27" t="s">
        <v>597</v>
      </c>
      <c r="C2091" s="27" t="s">
        <v>564</v>
      </c>
      <c r="E2091" s="21">
        <f>IF(D2091="?OLD","!!!","")</f>
        <v/>
      </c>
      <c r="F2091" s="22" t="str">
        <f>IF(OR(E2091="",E2091="!!!"),"",IF(NOT(ISNA(VLOOKUP(E2091,E$1:E2090,1,FALSE()))),"OLD",IF(AND(E2091&lt;&gt;"",E2091&lt;&gt;"!!!"),"NEW","")))</f>
        <v> </v>
      </c>
      <c r="G2091" s="23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4" t="str">
        <f>IF(J2091&lt;&gt;1,"",IF(I2091="SBJ","CB","?"))</f>
        <v> </v>
      </c>
      <c r="I2091" s="25" t="str">
        <f>IF(OR(E2091="",E2091="!!!",F2091="NEW"),"",INDEX(B2090:B$2,-1+SUMPRODUCT(MAX(ROW(E2090:E$2)*(E2091=E2090:E$2)))))</f>
        <v> </v>
      </c>
      <c r="J2091" s="25" t="str">
        <f>IF(OR(E2091="",E2091="!!!",F2091="NEW"),"",COUNTBLANK(OFFSET(A$1,,,SUMPRODUCT(MAX(ROW(E$2:E2091)*(E2091=E$2:E2091)))))-COUNTBLANK(OFFSET(A$1,,,SUMPRODUCT(MAX(ROW(E$1:E2090)*(E2=E$1:E2090))))))</f>
        <v> </v>
      </c>
      <c r="K2091" s="25" t="str">
        <f>IF(OR(E2091="",E2091="!!!",F2091="NEW"),"",INDEX(J$1:J2090,SUMPRODUCT(MAX(ROW(E$1:E2090)*(E2091=E$1:E2090)))))</f>
        <v> </v>
      </c>
      <c r="L2091" s="26"/>
    </row>
    <row r="2092" spans="1:12">
      <c r="A2092" s="20" t="s">
        <v>565</v>
      </c>
      <c r="E2092" s="21">
        <f>IF(D2092="?OLD","!!!","")</f>
        <v/>
      </c>
      <c r="F2092" s="22" t="str">
        <f>IF(OR(E2092="",E2092="!!!"),"",IF(NOT(ISNA(VLOOKUP(E2092,E$1:E2091,1,FALSE()))),"OLD",IF(AND(E2092&lt;&gt;"",E2092&lt;&gt;"!!!"),"NEW","")))</f>
        <v> </v>
      </c>
      <c r="G2092" s="23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4" t="str">
        <f>IF(J2092&lt;&gt;1,"",IF(I2092="SBJ","CB","?"))</f>
        <v> </v>
      </c>
      <c r="I2092" s="25" t="str">
        <f>IF(OR(E2092="",E2092="!!!",F2092="NEW"),"",INDEX(B2091:B$2,-1+SUMPRODUCT(MAX(ROW(E2091:E$2)*(E2092=E2091:E$2)))))</f>
        <v> </v>
      </c>
      <c r="J2092" s="25" t="str">
        <f>IF(OR(E2092="",E2092="!!!",F2092="NEW"),"",COUNTBLANK(OFFSET(A$1,,,SUMPRODUCT(MAX(ROW(E$2:E2092)*(E2092=E$2:E2092)))))-COUNTBLANK(OFFSET(A$1,,,SUMPRODUCT(MAX(ROW(E$1:E2091)*(E2=E$1:E2091))))))</f>
        <v> </v>
      </c>
      <c r="K2092" s="25" t="str">
        <f>IF(OR(E2092="",E2092="!!!",F2092="NEW"),"",INDEX(J$1:J2091,SUMPRODUCT(MAX(ROW(E$1:E2091)*(E2092=E$1:E2091)))))</f>
        <v> </v>
      </c>
      <c r="L2092" s="26"/>
    </row>
    <row r="2093" spans="1:12">
      <c r="A2093" s="20" t="s">
        <v>518</v>
      </c>
      <c r="E2093" s="21">
        <f>IF(D2093="?OLD","!!!","")</f>
        <v/>
      </c>
      <c r="F2093" s="22" t="str">
        <f>IF(OR(E2093="",E2093="!!!"),"",IF(NOT(ISNA(VLOOKUP(E2093,E$1:E2092,1,FALSE()))),"OLD",IF(AND(E2093&lt;&gt;"",E2093&lt;&gt;"!!!"),"NEW","")))</f>
        <v> </v>
      </c>
      <c r="G2093" s="23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4" t="str">
        <f>IF(J2093&lt;&gt;1,"",IF(I2093="SBJ","CB","?"))</f>
        <v> </v>
      </c>
      <c r="I2093" s="25" t="str">
        <f>IF(OR(E2093="",E2093="!!!",F2093="NEW"),"",INDEX(B2092:B$2,-1+SUMPRODUCT(MAX(ROW(E2092:E$2)*(E2093=E2092:E$2)))))</f>
        <v> </v>
      </c>
      <c r="J2093" s="25" t="str">
        <f>IF(OR(E2093="",E2093="!!!",F2093="NEW"),"",COUNTBLANK(OFFSET(A$1,,,SUMPRODUCT(MAX(ROW(E$2:E2093)*(E2093=E$2:E2093)))))-COUNTBLANK(OFFSET(A$1,,,SUMPRODUCT(MAX(ROW(E$1:E2092)*(E2=E$1:E2092))))))</f>
        <v> </v>
      </c>
      <c r="K2093" s="25" t="str">
        <f>IF(OR(E2093="",E2093="!!!",F2093="NEW"),"",INDEX(J$1:J2092,SUMPRODUCT(MAX(ROW(E$1:E2092)*(E2093=E$1:E2092)))))</f>
        <v> </v>
      </c>
      <c r="L2093" s="26"/>
    </row>
    <row r="2094" spans="1:12">
      <c r="A2094" s="20" t="s">
        <v>1054</v>
      </c>
      <c r="B2094" s="27" t="s">
        <v>597</v>
      </c>
      <c r="C2094" s="27" t="s">
        <v>564</v>
      </c>
      <c r="E2094" s="21">
        <f>IF(D2094="?OLD","!!!","")</f>
        <v/>
      </c>
      <c r="F2094" s="22" t="str">
        <f>IF(OR(E2094="",E2094="!!!"),"",IF(NOT(ISNA(VLOOKUP(E2094,E$1:E2093,1,FALSE()))),"OLD",IF(AND(E2094&lt;&gt;"",E2094&lt;&gt;"!!!"),"NEW","")))</f>
        <v> </v>
      </c>
      <c r="G2094" s="23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4" t="str">
        <f>IF(J2094&lt;&gt;1,"",IF(I2094="SBJ","CB","?"))</f>
        <v> </v>
      </c>
      <c r="I2094" s="25" t="str">
        <f>IF(OR(E2094="",E2094="!!!",F2094="NEW"),"",INDEX(B2093:B$2,-1+SUMPRODUCT(MAX(ROW(E2093:E$2)*(E2094=E2093:E$2)))))</f>
        <v> </v>
      </c>
      <c r="J2094" s="25" t="str">
        <f>IF(OR(E2094="",E2094="!!!",F2094="NEW"),"",COUNTBLANK(OFFSET(A$1,,,SUMPRODUCT(MAX(ROW(E$2:E2094)*(E2094=E$2:E2094)))))-COUNTBLANK(OFFSET(A$1,,,SUMPRODUCT(MAX(ROW(E$1:E2093)*(E2=E$1:E2093))))))</f>
        <v> </v>
      </c>
      <c r="K2094" s="25" t="str">
        <f>IF(OR(E2094="",E2094="!!!",F2094="NEW"),"",INDEX(J$1:J2093,SUMPRODUCT(MAX(ROW(E$1:E2093)*(E2094=E$1:E2093)))))</f>
        <v> </v>
      </c>
      <c r="L2094" s="26"/>
    </row>
    <row r="2095" spans="1:12">
      <c r="A2095" s="20" t="s">
        <v>565</v>
      </c>
      <c r="E2095" s="21">
        <f>IF(D2095="?OLD","!!!","")</f>
        <v/>
      </c>
      <c r="F2095" s="22" t="str">
        <f>IF(OR(E2095="",E2095="!!!"),"",IF(NOT(ISNA(VLOOKUP(E2095,E$1:E2094,1,FALSE()))),"OLD",IF(AND(E2095&lt;&gt;"",E2095&lt;&gt;"!!!"),"NEW","")))</f>
        <v> </v>
      </c>
      <c r="G2095" s="23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4" t="str">
        <f>IF(J2095&lt;&gt;1,"",IF(I2095="SBJ","CB","?"))</f>
        <v> </v>
      </c>
      <c r="I2095" s="25" t="str">
        <f>IF(OR(E2095="",E2095="!!!",F2095="NEW"),"",INDEX(B2094:B$2,-1+SUMPRODUCT(MAX(ROW(E2094:E$2)*(E2095=E2094:E$2)))))</f>
        <v> </v>
      </c>
      <c r="J2095" s="25" t="str">
        <f>IF(OR(E2095="",E2095="!!!",F2095="NEW"),"",COUNTBLANK(OFFSET(A$1,,,SUMPRODUCT(MAX(ROW(E$2:E2095)*(E2095=E$2:E2095)))))-COUNTBLANK(OFFSET(A$1,,,SUMPRODUCT(MAX(ROW(E$1:E2094)*(E2=E$1:E2094))))))</f>
        <v> </v>
      </c>
      <c r="K2095" s="25" t="str">
        <f>IF(OR(E2095="",E2095="!!!",F2095="NEW"),"",INDEX(J$1:J2094,SUMPRODUCT(MAX(ROW(E$1:E2094)*(E2095=E$1:E2094)))))</f>
        <v> </v>
      </c>
      <c r="L2095" s="26"/>
    </row>
    <row r="2096" spans="1:12">
      <c r="A2096" s="20" t="s">
        <v>751</v>
      </c>
      <c r="E2096" s="21">
        <f>IF(D2096="?OLD","!!!","")</f>
        <v/>
      </c>
      <c r="F2096" s="22" t="str">
        <f>IF(OR(E2096="",E2096="!!!"),"",IF(NOT(ISNA(VLOOKUP(E2096,E$1:E2095,1,FALSE()))),"OLD",IF(AND(E2096&lt;&gt;"",E2096&lt;&gt;"!!!"),"NEW","")))</f>
        <v> </v>
      </c>
      <c r="G2096" s="23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4" t="str">
        <f>IF(J2096&lt;&gt;1,"",IF(I2096="SBJ","CB","?"))</f>
        <v> </v>
      </c>
      <c r="I2096" s="25" t="str">
        <f>IF(OR(E2096="",E2096="!!!",F2096="NEW"),"",INDEX(B2095:B$2,-1+SUMPRODUCT(MAX(ROW(E2095:E$2)*(E2096=E2095:E$2)))))</f>
        <v> </v>
      </c>
      <c r="J2096" s="25" t="str">
        <f>IF(OR(E2096="",E2096="!!!",F2096="NEW"),"",COUNTBLANK(OFFSET(A$1,,,SUMPRODUCT(MAX(ROW(E$2:E2096)*(E2096=E$2:E2096)))))-COUNTBLANK(OFFSET(A$1,,,SUMPRODUCT(MAX(ROW(E$1:E2095)*(E2=E$1:E2095))))))</f>
        <v> </v>
      </c>
      <c r="K2096" s="25" t="str">
        <f>IF(OR(E2096="",E2096="!!!",F2096="NEW"),"",INDEX(J$1:J2095,SUMPRODUCT(MAX(ROW(E$1:E2095)*(E2096=E$1:E2095)))))</f>
        <v> </v>
      </c>
      <c r="L2096" s="26"/>
    </row>
    <row r="2097" spans="1:12">
      <c r="A2097" s="20" t="s">
        <v>542</v>
      </c>
      <c r="E2097" s="21">
        <f>IF(D2097="?OLD","!!!","")</f>
        <v/>
      </c>
      <c r="F2097" s="22" t="str">
        <f>IF(OR(E2097="",E2097="!!!"),"",IF(NOT(ISNA(VLOOKUP(E2097,E$1:E2096,1,FALSE()))),"OLD",IF(AND(E2097&lt;&gt;"",E2097&lt;&gt;"!!!"),"NEW","")))</f>
        <v> </v>
      </c>
      <c r="G2097" s="23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4" t="str">
        <f>IF(J2097&lt;&gt;1,"",IF(I2097="SBJ","CB","?"))</f>
        <v> </v>
      </c>
      <c r="I2097" s="25" t="str">
        <f>IF(OR(E2097="",E2097="!!!",F2097="NEW"),"",INDEX(B2096:B$2,-1+SUMPRODUCT(MAX(ROW(E2096:E$2)*(E2097=E2096:E$2)))))</f>
        <v> </v>
      </c>
      <c r="J2097" s="25" t="str">
        <f>IF(OR(E2097="",E2097="!!!",F2097="NEW"),"",COUNTBLANK(OFFSET(A$1,,,SUMPRODUCT(MAX(ROW(E$2:E2097)*(E2097=E$2:E2097)))))-COUNTBLANK(OFFSET(A$1,,,SUMPRODUCT(MAX(ROW(E$1:E2096)*(E2=E$1:E2096))))))</f>
        <v> </v>
      </c>
      <c r="K2097" s="25" t="str">
        <f>IF(OR(E2097="",E2097="!!!",F2097="NEW"),"",INDEX(J$1:J2096,SUMPRODUCT(MAX(ROW(E$1:E2096)*(E2097=E$1:E2096)))))</f>
        <v> </v>
      </c>
      <c r="L2097" s="26"/>
    </row>
    <row r="2098" spans="1:12">
      <c r="A2098" s="20" t="s">
        <v>1051</v>
      </c>
      <c r="B2098" s="27" t="s">
        <v>592</v>
      </c>
      <c r="C2098" s="27" t="s">
        <v>540</v>
      </c>
      <c r="D2098" s="27" t="s">
        <v>524</v>
      </c>
      <c r="E2098" s="21">
        <f>IF(D2098="?OLD","!!!","")</f>
        <v/>
      </c>
      <c r="F2098" s="22" t="str">
        <f>IF(OR(E2098="",E2098="!!!"),"",IF(NOT(ISNA(VLOOKUP(E2098,E$1:E2097,1,FALSE()))),"OLD",IF(AND(E2098&lt;&gt;"",E2098&lt;&gt;"!!!"),"NEW","")))</f>
        <v> </v>
      </c>
      <c r="G2098" s="23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4" t="str">
        <f>IF(J2098&lt;&gt;1,"",IF(I2098="SBJ","CB","?"))</f>
        <v> </v>
      </c>
      <c r="I2098" s="25" t="str">
        <f>IF(OR(E2098="",E2098="!!!",F2098="NEW"),"",INDEX(B2097:B$2,-1+SUMPRODUCT(MAX(ROW(E2097:E$2)*(E2098=E2097:E$2)))))</f>
        <v> </v>
      </c>
      <c r="J2098" s="25" t="str">
        <f>IF(OR(E2098="",E2098="!!!",F2098="NEW"),"",COUNTBLANK(OFFSET(A$1,,,SUMPRODUCT(MAX(ROW(E$2:E2098)*(E2098=E$2:E2098)))))-COUNTBLANK(OFFSET(A$1,,,SUMPRODUCT(MAX(ROW(E$1:E2097)*(E2=E$1:E2097))))))</f>
        <v> </v>
      </c>
      <c r="K2098" s="25" t="str">
        <f>IF(OR(E2098="",E2098="!!!",F2098="NEW"),"",INDEX(J$1:J2097,SUMPRODUCT(MAX(ROW(E$1:E2097)*(E2098=E$1:E2097)))))</f>
        <v> </v>
      </c>
      <c r="L2098" s="26"/>
    </row>
    <row r="2099" spans="1:12">
      <c r="A2099" s="20" t="s">
        <v>518</v>
      </c>
      <c r="E2099" s="21">
        <f>IF(D2099="?OLD","!!!","")</f>
        <v/>
      </c>
      <c r="F2099" s="22" t="str">
        <f>IF(OR(E2099="",E2099="!!!"),"",IF(NOT(ISNA(VLOOKUP(E2099,E$1:E2098,1,FALSE()))),"OLD",IF(AND(E2099&lt;&gt;"",E2099&lt;&gt;"!!!"),"NEW","")))</f>
        <v> </v>
      </c>
      <c r="G2099" s="23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4" t="str">
        <f>IF(J2099&lt;&gt;1,"",IF(I2099="SBJ","CB","?"))</f>
        <v> </v>
      </c>
      <c r="I2099" s="25" t="str">
        <f>IF(OR(E2099="",E2099="!!!",F2099="NEW"),"",INDEX(B2098:B$2,-1+SUMPRODUCT(MAX(ROW(E2098:E$2)*(E2099=E2098:E$2)))))</f>
        <v> </v>
      </c>
      <c r="J2099" s="25" t="str">
        <f>IF(OR(E2099="",E2099="!!!",F2099="NEW"),"",COUNTBLANK(OFFSET(A$1,,,SUMPRODUCT(MAX(ROW(E$2:E2099)*(E2099=E$2:E2099)))))-COUNTBLANK(OFFSET(A$1,,,SUMPRODUCT(MAX(ROW(E$1:E2098)*(E2=E$1:E2098))))))</f>
        <v> </v>
      </c>
      <c r="K2099" s="25" t="str">
        <f>IF(OR(E2099="",E2099="!!!",F2099="NEW"),"",INDEX(J$1:J2098,SUMPRODUCT(MAX(ROW(E$1:E2098)*(E2099=E$1:E2098)))))</f>
        <v> </v>
      </c>
      <c r="L2099" s="26"/>
    </row>
    <row r="2100" spans="1:12">
      <c r="A2100" s="20" t="s">
        <v>730</v>
      </c>
      <c r="E2100" s="21">
        <f>IF(D2100="?OLD","!!!","")</f>
        <v/>
      </c>
      <c r="F2100" s="22" t="str">
        <f>IF(OR(E2100="",E2100="!!!"),"",IF(NOT(ISNA(VLOOKUP(E2100,E$1:E2099,1,FALSE()))),"OLD",IF(AND(E2100&lt;&gt;"",E2100&lt;&gt;"!!!"),"NEW","")))</f>
        <v> </v>
      </c>
      <c r="G2100" s="23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4" t="str">
        <f>IF(J2100&lt;&gt;1,"",IF(I2100="SBJ","CB","?"))</f>
        <v> </v>
      </c>
      <c r="I2100" s="25" t="str">
        <f>IF(OR(E2100="",E2100="!!!",F2100="NEW"),"",INDEX(B2099:B$2,-1+SUMPRODUCT(MAX(ROW(E2099:E$2)*(E2100=E2099:E$2)))))</f>
        <v> </v>
      </c>
      <c r="J2100" s="25" t="str">
        <f>IF(OR(E2100="",E2100="!!!",F2100="NEW"),"",COUNTBLANK(OFFSET(A$1,,,SUMPRODUCT(MAX(ROW(E$2:E2100)*(E2100=E$2:E2100)))))-COUNTBLANK(OFFSET(A$1,,,SUMPRODUCT(MAX(ROW(E$1:E2099)*(E2=E$1:E2099))))))</f>
        <v> </v>
      </c>
      <c r="K2100" s="25" t="str">
        <f>IF(OR(E2100="",E2100="!!!",F2100="NEW"),"",INDEX(J$1:J2099,SUMPRODUCT(MAX(ROW(E$1:E2099)*(E2100=E$1:E2099)))))</f>
        <v> </v>
      </c>
      <c r="L2100" s="26"/>
    </row>
    <row r="2101" spans="1:12">
      <c r="A2101" s="20" t="s">
        <v>1017</v>
      </c>
      <c r="B2101" s="27" t="s">
        <v>592</v>
      </c>
      <c r="C2101" s="27" t="s">
        <v>545</v>
      </c>
      <c r="D2101" s="27" t="s">
        <v>524</v>
      </c>
      <c r="E2101" s="21">
        <f>IF(D2101="?OLD","!!!","")</f>
        <v/>
      </c>
      <c r="F2101" s="22" t="str">
        <f>IF(OR(E2101="",E2101="!!!"),"",IF(NOT(ISNA(VLOOKUP(E2101,E$1:E2100,1,FALSE()))),"OLD",IF(AND(E2101&lt;&gt;"",E2101&lt;&gt;"!!!"),"NEW","")))</f>
        <v> </v>
      </c>
      <c r="G2101" s="23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4" t="str">
        <f>IF(J2101&lt;&gt;1,"",IF(I2101="SBJ","CB","?"))</f>
        <v> </v>
      </c>
      <c r="I2101" s="25" t="str">
        <f>IF(OR(E2101="",E2101="!!!",F2101="NEW"),"",INDEX(B2100:B$2,-1+SUMPRODUCT(MAX(ROW(E2100:E$2)*(E2101=E2100:E$2)))))</f>
        <v> </v>
      </c>
      <c r="J2101" s="25" t="str">
        <f>IF(OR(E2101="",E2101="!!!",F2101="NEW"),"",COUNTBLANK(OFFSET(A$1,,,SUMPRODUCT(MAX(ROW(E$2:E2101)*(E2101=E$2:E2101)))))-COUNTBLANK(OFFSET(A$1,,,SUMPRODUCT(MAX(ROW(E$1:E2100)*(E2=E$1:E2100))))))</f>
        <v> </v>
      </c>
      <c r="K2101" s="25" t="str">
        <f>IF(OR(E2101="",E2101="!!!",F2101="NEW"),"",INDEX(J$1:J2100,SUMPRODUCT(MAX(ROW(E$1:E2100)*(E2101=E$1:E2100)))))</f>
        <v> </v>
      </c>
      <c r="L2101" s="26"/>
    </row>
    <row r="2102" spans="1:12">
      <c r="A2102" s="20" t="s">
        <v>1292</v>
      </c>
      <c r="E2102" s="21">
        <f>IF(D2102="?OLD","!!!","")</f>
        <v/>
      </c>
      <c r="F2102" s="22" t="str">
        <f>IF(OR(E2102="",E2102="!!!"),"",IF(NOT(ISNA(VLOOKUP(E2102,E$1:E2101,1,FALSE()))),"OLD",IF(AND(E2102&lt;&gt;"",E2102&lt;&gt;"!!!"),"NEW","")))</f>
        <v> </v>
      </c>
      <c r="G2102" s="23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4" t="str">
        <f>IF(J2102&lt;&gt;1,"",IF(I2102="SBJ","CB","?"))</f>
        <v> </v>
      </c>
      <c r="I2102" s="25" t="str">
        <f>IF(OR(E2102="",E2102="!!!",F2102="NEW"),"",INDEX(B2101:B$2,-1+SUMPRODUCT(MAX(ROW(E2101:E$2)*(E2102=E2101:E$2)))))</f>
        <v> </v>
      </c>
      <c r="J2102" s="25" t="str">
        <f>IF(OR(E2102="",E2102="!!!",F2102="NEW"),"",COUNTBLANK(OFFSET(A$1,,,SUMPRODUCT(MAX(ROW(E$2:E2102)*(E2102=E$2:E2102)))))-COUNTBLANK(OFFSET(A$1,,,SUMPRODUCT(MAX(ROW(E$1:E2101)*(E2=E$1:E2101))))))</f>
        <v> </v>
      </c>
      <c r="K2102" s="25" t="str">
        <f>IF(OR(E2102="",E2102="!!!",F2102="NEW"),"",INDEX(J$1:J2101,SUMPRODUCT(MAX(ROW(E$1:E2101)*(E2102=E$1:E2101)))))</f>
        <v> </v>
      </c>
      <c r="L2102" s="26"/>
    </row>
    <row r="2103" spans="1:12">
      <c r="A2103" s="20" t="s">
        <v>549</v>
      </c>
      <c r="E2103" s="21">
        <f>IF(D2103="?OLD","!!!","")</f>
        <v/>
      </c>
      <c r="F2103" s="22" t="str">
        <f>IF(OR(E2103="",E2103="!!!"),"",IF(NOT(ISNA(VLOOKUP(E2103,E$1:E2102,1,FALSE()))),"OLD",IF(AND(E2103&lt;&gt;"",E2103&lt;&gt;"!!!"),"NEW","")))</f>
        <v> </v>
      </c>
      <c r="G2103" s="23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4" t="str">
        <f>IF(J2103&lt;&gt;1,"",IF(I2103="SBJ","CB","?"))</f>
        <v> </v>
      </c>
      <c r="I2103" s="25" t="str">
        <f>IF(OR(E2103="",E2103="!!!",F2103="NEW"),"",INDEX(B2102:B$2,-1+SUMPRODUCT(MAX(ROW(E2102:E$2)*(E2103=E2102:E$2)))))</f>
        <v> </v>
      </c>
      <c r="J2103" s="25" t="str">
        <f>IF(OR(E2103="",E2103="!!!",F2103="NEW"),"",COUNTBLANK(OFFSET(A$1,,,SUMPRODUCT(MAX(ROW(E$2:E2103)*(E2103=E$2:E2103)))))-COUNTBLANK(OFFSET(A$1,,,SUMPRODUCT(MAX(ROW(E$1:E2102)*(E2=E$1:E2102))))))</f>
        <v> </v>
      </c>
      <c r="K2103" s="25" t="str">
        <f>IF(OR(E2103="",E2103="!!!",F2103="NEW"),"",INDEX(J$1:J2102,SUMPRODUCT(MAX(ROW(E$1:E2102)*(E2103=E$1:E2102)))))</f>
        <v> </v>
      </c>
      <c r="L2103" s="26"/>
    </row>
    <row r="2104" spans="1:12">
      <c r="A2104" s="20"/>
    </row>
    <row r="2105" spans="1:12">
      <c r="A2105" s="20" t="s">
        <v>1293</v>
      </c>
    </row>
    <row r="2106" spans="1:12">
      <c r="A2106" s="20" t="s">
        <v>964</v>
      </c>
      <c r="E2106" s="21">
        <f>IF(D2106="?OLD","!!!","")</f>
        <v/>
      </c>
      <c r="F2106" s="22" t="str">
        <f>IF(OR(E2106="",E2106="!!!"),"",IF(NOT(ISNA(VLOOKUP(E2106,E$1:E2105,1,FALSE()))),"OLD",IF(AND(E2106&lt;&gt;"",E2106&lt;&gt;"!!!"),"NEW","")))</f>
        <v> </v>
      </c>
      <c r="G2106" s="23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4" t="str">
        <f>IF(J2106&lt;&gt;1,"",IF(I2106="SBJ","CB","?"))</f>
        <v> </v>
      </c>
      <c r="I2106" s="25" t="str">
        <f>IF(OR(E2106="",E2106="!!!",F2106="NEW"),"",INDEX(B2105:B$2,-1+SUMPRODUCT(MAX(ROW(E2105:E$2)*(E2106=E2105:E$2)))))</f>
        <v> </v>
      </c>
      <c r="J2106" s="25" t="str">
        <f>IF(OR(E2106="",E2106="!!!",F2106="NEW"),"",COUNTBLANK(OFFSET(A$1,,,SUMPRODUCT(MAX(ROW(E$2:E2106)*(E2106=E$2:E2106)))))-COUNTBLANK(OFFSET(A$1,,,SUMPRODUCT(MAX(ROW(E$1:E2105)*(E2=E$1:E2105))))))</f>
        <v> </v>
      </c>
      <c r="K2106" s="25" t="str">
        <f>IF(OR(E2106="",E2106="!!!",F2106="NEW"),"",INDEX(J$1:J2105,SUMPRODUCT(MAX(ROW(E$1:E2105)*(E2106=E$1:E2105)))))</f>
        <v> </v>
      </c>
      <c r="L2106" s="26"/>
    </row>
    <row r="2107" spans="1:12">
      <c r="A2107" s="20" t="s">
        <v>1192</v>
      </c>
      <c r="E2107" s="21">
        <f>IF(D2107="?OLD","!!!","")</f>
        <v/>
      </c>
      <c r="F2107" s="22" t="str">
        <f>IF(OR(E2107="",E2107="!!!"),"",IF(NOT(ISNA(VLOOKUP(E2107,E$1:E2106,1,FALSE()))),"OLD",IF(AND(E2107&lt;&gt;"",E2107&lt;&gt;"!!!"),"NEW","")))</f>
        <v> </v>
      </c>
      <c r="G2107" s="23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4" t="str">
        <f>IF(J2107&lt;&gt;1,"",IF(I2107="SBJ","CB","?"))</f>
        <v> </v>
      </c>
      <c r="I2107" s="25" t="str">
        <f>IF(OR(E2107="",E2107="!!!",F2107="NEW"),"",INDEX(B2106:B$2,-1+SUMPRODUCT(MAX(ROW(E2106:E$2)*(E2107=E2106:E$2)))))</f>
        <v> </v>
      </c>
      <c r="J2107" s="25" t="str">
        <f>IF(OR(E2107="",E2107="!!!",F2107="NEW"),"",COUNTBLANK(OFFSET(A$1,,,SUMPRODUCT(MAX(ROW(E$2:E2107)*(E2107=E$2:E2107)))))-COUNTBLANK(OFFSET(A$1,,,SUMPRODUCT(MAX(ROW(E$1:E2106)*(E2=E$1:E2106))))))</f>
        <v> </v>
      </c>
      <c r="K2107" s="25" t="str">
        <f>IF(OR(E2107="",E2107="!!!",F2107="NEW"),"",INDEX(J$1:J2106,SUMPRODUCT(MAX(ROW(E$1:E2106)*(E2107=E$1:E2106)))))</f>
        <v> </v>
      </c>
      <c r="L2107" s="26"/>
    </row>
    <row r="2108" spans="1:12">
      <c r="A2108" s="20" t="s">
        <v>565</v>
      </c>
      <c r="E2108" s="21">
        <f>IF(D2108="?OLD","!!!","")</f>
        <v/>
      </c>
      <c r="F2108" s="22" t="str">
        <f>IF(OR(E2108="",E2108="!!!"),"",IF(NOT(ISNA(VLOOKUP(E2108,E$1:E2107,1,FALSE()))),"OLD",IF(AND(E2108&lt;&gt;"",E2108&lt;&gt;"!!!"),"NEW","")))</f>
        <v> </v>
      </c>
      <c r="G2108" s="23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4" t="str">
        <f>IF(J2108&lt;&gt;1,"",IF(I2108="SBJ","CB","?"))</f>
        <v> </v>
      </c>
      <c r="I2108" s="25" t="str">
        <f>IF(OR(E2108="",E2108="!!!",F2108="NEW"),"",INDEX(B2107:B$2,-1+SUMPRODUCT(MAX(ROW(E2107:E$2)*(E2108=E2107:E$2)))))</f>
        <v> </v>
      </c>
      <c r="J2108" s="25" t="str">
        <f>IF(OR(E2108="",E2108="!!!",F2108="NEW"),"",COUNTBLANK(OFFSET(A$1,,,SUMPRODUCT(MAX(ROW(E$2:E2108)*(E2108=E$2:E2108)))))-COUNTBLANK(OFFSET(A$1,,,SUMPRODUCT(MAX(ROW(E$1:E2107)*(E2=E$1:E2107))))))</f>
        <v> </v>
      </c>
      <c r="K2108" s="25" t="str">
        <f>IF(OR(E2108="",E2108="!!!",F2108="NEW"),"",INDEX(J$1:J2107,SUMPRODUCT(MAX(ROW(E$1:E2107)*(E2108=E$1:E2107)))))</f>
        <v> </v>
      </c>
      <c r="L2108" s="26"/>
    </row>
    <row r="2109" spans="1:12">
      <c r="A2109" s="20" t="s">
        <v>536</v>
      </c>
      <c r="E2109" s="21">
        <f>IF(D2109="?OLD","!!!","")</f>
        <v/>
      </c>
      <c r="F2109" s="22" t="str">
        <f>IF(OR(E2109="",E2109="!!!"),"",IF(NOT(ISNA(VLOOKUP(E2109,E$1:E2108,1,FALSE()))),"OLD",IF(AND(E2109&lt;&gt;"",E2109&lt;&gt;"!!!"),"NEW","")))</f>
        <v> </v>
      </c>
      <c r="G2109" s="23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4" t="str">
        <f>IF(J2109&lt;&gt;1,"",IF(I2109="SBJ","CB","?"))</f>
        <v> </v>
      </c>
      <c r="I2109" s="25" t="str">
        <f>IF(OR(E2109="",E2109="!!!",F2109="NEW"),"",INDEX(B2108:B$2,-1+SUMPRODUCT(MAX(ROW(E2108:E$2)*(E2109=E2108:E$2)))))</f>
        <v> </v>
      </c>
      <c r="J2109" s="25" t="str">
        <f>IF(OR(E2109="",E2109="!!!",F2109="NEW"),"",COUNTBLANK(OFFSET(A$1,,,SUMPRODUCT(MAX(ROW(E$2:E2109)*(E2109=E$2:E2109)))))-COUNTBLANK(OFFSET(A$1,,,SUMPRODUCT(MAX(ROW(E$1:E2108)*(E2=E$1:E2108))))))</f>
        <v> </v>
      </c>
      <c r="K2109" s="25" t="str">
        <f>IF(OR(E2109="",E2109="!!!",F2109="NEW"),"",INDEX(J$1:J2108,SUMPRODUCT(MAX(ROW(E$1:E2108)*(E2109=E$1:E2108)))))</f>
        <v> </v>
      </c>
      <c r="L2109" s="26"/>
    </row>
    <row r="2110" spans="1:12">
      <c r="A2110" s="20" t="s">
        <v>708</v>
      </c>
      <c r="E2110" s="21">
        <f>IF(D2110="?OLD","!!!","")</f>
        <v/>
      </c>
      <c r="F2110" s="22" t="str">
        <f>IF(OR(E2110="",E2110="!!!"),"",IF(NOT(ISNA(VLOOKUP(E2110,E$1:E2109,1,FALSE()))),"OLD",IF(AND(E2110&lt;&gt;"",E2110&lt;&gt;"!!!"),"NEW","")))</f>
        <v> </v>
      </c>
      <c r="G2110" s="23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4" t="str">
        <f>IF(J2110&lt;&gt;1,"",IF(I2110="SBJ","CB","?"))</f>
        <v> </v>
      </c>
      <c r="I2110" s="25" t="str">
        <f>IF(OR(E2110="",E2110="!!!",F2110="NEW"),"",INDEX(B2109:B$2,-1+SUMPRODUCT(MAX(ROW(E2109:E$2)*(E2110=E2109:E$2)))))</f>
        <v> </v>
      </c>
      <c r="J2110" s="25" t="str">
        <f>IF(OR(E2110="",E2110="!!!",F2110="NEW"),"",COUNTBLANK(OFFSET(A$1,,,SUMPRODUCT(MAX(ROW(E$2:E2110)*(E2110=E$2:E2110)))))-COUNTBLANK(OFFSET(A$1,,,SUMPRODUCT(MAX(ROW(E$1:E2109)*(E2=E$1:E2109))))))</f>
        <v> </v>
      </c>
      <c r="K2110" s="25" t="str">
        <f>IF(OR(E2110="",E2110="!!!",F2110="NEW"),"",INDEX(J$1:J2109,SUMPRODUCT(MAX(ROW(E$1:E2109)*(E2110=E$1:E2109)))))</f>
        <v> </v>
      </c>
      <c r="L2110" s="26"/>
    </row>
    <row r="2111" spans="1:12">
      <c r="A2111" s="20" t="s">
        <v>1294</v>
      </c>
      <c r="E2111" s="21">
        <f>IF(D2111="?OLD","!!!","")</f>
        <v/>
      </c>
      <c r="F2111" s="22" t="str">
        <f>IF(OR(E2111="",E2111="!!!"),"",IF(NOT(ISNA(VLOOKUP(E2111,E$1:E2110,1,FALSE()))),"OLD",IF(AND(E2111&lt;&gt;"",E2111&lt;&gt;"!!!"),"NEW","")))</f>
        <v> </v>
      </c>
      <c r="G2111" s="23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4" t="str">
        <f>IF(J2111&lt;&gt;1,"",IF(I2111="SBJ","CB","?"))</f>
        <v> </v>
      </c>
      <c r="I2111" s="25" t="str">
        <f>IF(OR(E2111="",E2111="!!!",F2111="NEW"),"",INDEX(B2110:B$2,-1+SUMPRODUCT(MAX(ROW(E2110:E$2)*(E2111=E2110:E$2)))))</f>
        <v> </v>
      </c>
      <c r="J2111" s="25" t="str">
        <f>IF(OR(E2111="",E2111="!!!",F2111="NEW"),"",COUNTBLANK(OFFSET(A$1,,,SUMPRODUCT(MAX(ROW(E$2:E2111)*(E2111=E$2:E2111)))))-COUNTBLANK(OFFSET(A$1,,,SUMPRODUCT(MAX(ROW(E$1:E2110)*(E2=E$1:E2110))))))</f>
        <v> </v>
      </c>
      <c r="K2111" s="25" t="str">
        <f>IF(OR(E2111="",E2111="!!!",F2111="NEW"),"",INDEX(J$1:J2110,SUMPRODUCT(MAX(ROW(E$1:E2110)*(E2111=E$1:E2110)))))</f>
        <v> </v>
      </c>
      <c r="L2111" s="26"/>
    </row>
    <row r="2112" spans="1:12">
      <c r="A2112" s="20" t="s">
        <v>1295</v>
      </c>
      <c r="B2112" s="27" t="s">
        <v>522</v>
      </c>
      <c r="C2112" s="27" t="s">
        <v>564</v>
      </c>
      <c r="E2112" s="21">
        <f>IF(D2112="?OLD","!!!","")</f>
        <v/>
      </c>
      <c r="F2112" s="22" t="str">
        <f>IF(OR(E2112="",E2112="!!!"),"",IF(NOT(ISNA(VLOOKUP(E2112,E$1:E2111,1,FALSE()))),"OLD",IF(AND(E2112&lt;&gt;"",E2112&lt;&gt;"!!!"),"NEW","")))</f>
        <v> </v>
      </c>
      <c r="G2112" s="23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4" t="str">
        <f>IF(J2112&lt;&gt;1,"",IF(I2112="SBJ","CB","?"))</f>
        <v> </v>
      </c>
      <c r="I2112" s="25" t="str">
        <f>IF(OR(E2112="",E2112="!!!",F2112="NEW"),"",INDEX(B2111:B$2,-1+SUMPRODUCT(MAX(ROW(E2111:E$2)*(E2112=E2111:E$2)))))</f>
        <v> </v>
      </c>
      <c r="J2112" s="25" t="str">
        <f>IF(OR(E2112="",E2112="!!!",F2112="NEW"),"",COUNTBLANK(OFFSET(A$1,,,SUMPRODUCT(MAX(ROW(E$2:E2112)*(E2112=E$2:E2112)))))-COUNTBLANK(OFFSET(A$1,,,SUMPRODUCT(MAX(ROW(E$1:E2111)*(E2=E$1:E2111))))))</f>
        <v> </v>
      </c>
      <c r="K2112" s="25" t="str">
        <f>IF(OR(E2112="",E2112="!!!",F2112="NEW"),"",INDEX(J$1:J2111,SUMPRODUCT(MAX(ROW(E$1:E2111)*(E2112=E$1:E2111)))))</f>
        <v> </v>
      </c>
      <c r="L2112" s="26"/>
    </row>
    <row r="2113" spans="1:12">
      <c r="A2113" s="20" t="s">
        <v>565</v>
      </c>
      <c r="E2113" s="21">
        <f>IF(D2113="?OLD","!!!","")</f>
        <v/>
      </c>
      <c r="F2113" s="22" t="str">
        <f>IF(OR(E2113="",E2113="!!!"),"",IF(NOT(ISNA(VLOOKUP(E2113,E$1:E2112,1,FALSE()))),"OLD",IF(AND(E2113&lt;&gt;"",E2113&lt;&gt;"!!!"),"NEW","")))</f>
        <v> </v>
      </c>
      <c r="G2113" s="23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4" t="str">
        <f>IF(J2113&lt;&gt;1,"",IF(I2113="SBJ","CB","?"))</f>
        <v> </v>
      </c>
      <c r="I2113" s="25" t="str">
        <f>IF(OR(E2113="",E2113="!!!",F2113="NEW"),"",INDEX(B2112:B$2,-1+SUMPRODUCT(MAX(ROW(E2112:E$2)*(E2113=E2112:E$2)))))</f>
        <v> </v>
      </c>
      <c r="J2113" s="25" t="str">
        <f>IF(OR(E2113="",E2113="!!!",F2113="NEW"),"",COUNTBLANK(OFFSET(A$1,,,SUMPRODUCT(MAX(ROW(E$2:E2113)*(E2113=E$2:E2113)))))-COUNTBLANK(OFFSET(A$1,,,SUMPRODUCT(MAX(ROW(E$1:E2112)*(E2=E$1:E2112))))))</f>
        <v> </v>
      </c>
      <c r="K2113" s="25" t="str">
        <f>IF(OR(E2113="",E2113="!!!",F2113="NEW"),"",INDEX(J$1:J2112,SUMPRODUCT(MAX(ROW(E$1:E2112)*(E2113=E$1:E2112)))))</f>
        <v> </v>
      </c>
      <c r="L2113" s="26"/>
    </row>
    <row r="2114" spans="1:12">
      <c r="A2114" s="20" t="s">
        <v>708</v>
      </c>
      <c r="E2114" s="21">
        <f>IF(D2114="?OLD","!!!","")</f>
        <v/>
      </c>
      <c r="F2114" s="22" t="str">
        <f>IF(OR(E2114="",E2114="!!!"),"",IF(NOT(ISNA(VLOOKUP(E2114,E$1:E2113,1,FALSE()))),"OLD",IF(AND(E2114&lt;&gt;"",E2114&lt;&gt;"!!!"),"NEW","")))</f>
        <v> </v>
      </c>
      <c r="G2114" s="23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4" t="str">
        <f>IF(J2114&lt;&gt;1,"",IF(I2114="SBJ","CB","?"))</f>
        <v> </v>
      </c>
      <c r="I2114" s="25" t="str">
        <f>IF(OR(E2114="",E2114="!!!",F2114="NEW"),"",INDEX(B2113:B$2,-1+SUMPRODUCT(MAX(ROW(E2113:E$2)*(E2114=E2113:E$2)))))</f>
        <v> </v>
      </c>
      <c r="J2114" s="25" t="str">
        <f>IF(OR(E2114="",E2114="!!!",F2114="NEW"),"",COUNTBLANK(OFFSET(A$1,,,SUMPRODUCT(MAX(ROW(E$2:E2114)*(E2114=E$2:E2114)))))-COUNTBLANK(OFFSET(A$1,,,SUMPRODUCT(MAX(ROW(E$1:E2113)*(E2=E$1:E2113))))))</f>
        <v> </v>
      </c>
      <c r="K2114" s="25" t="str">
        <f>IF(OR(E2114="",E2114="!!!",F2114="NEW"),"",INDEX(J$1:J2113,SUMPRODUCT(MAX(ROW(E$1:E2113)*(E2114=E$1:E2113)))))</f>
        <v> </v>
      </c>
      <c r="L2114" s="26"/>
    </row>
    <row r="2115" spans="1:12">
      <c r="A2115" s="20" t="s">
        <v>1296</v>
      </c>
      <c r="E2115" s="21">
        <f>IF(D2115="?OLD","!!!","")</f>
        <v/>
      </c>
      <c r="F2115" s="22" t="str">
        <f>IF(OR(E2115="",E2115="!!!"),"",IF(NOT(ISNA(VLOOKUP(E2115,E$1:E2114,1,FALSE()))),"OLD",IF(AND(E2115&lt;&gt;"",E2115&lt;&gt;"!!!"),"NEW","")))</f>
        <v> </v>
      </c>
      <c r="G2115" s="23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4" t="str">
        <f>IF(J2115&lt;&gt;1,"",IF(I2115="SBJ","CB","?"))</f>
        <v> </v>
      </c>
      <c r="I2115" s="25" t="str">
        <f>IF(OR(E2115="",E2115="!!!",F2115="NEW"),"",INDEX(B2114:B$2,-1+SUMPRODUCT(MAX(ROW(E2114:E$2)*(E2115=E2114:E$2)))))</f>
        <v> </v>
      </c>
      <c r="J2115" s="25" t="str">
        <f>IF(OR(E2115="",E2115="!!!",F2115="NEW"),"",COUNTBLANK(OFFSET(A$1,,,SUMPRODUCT(MAX(ROW(E$2:E2115)*(E2115=E$2:E2115)))))-COUNTBLANK(OFFSET(A$1,,,SUMPRODUCT(MAX(ROW(E$1:E2114)*(E2=E$1:E2114))))))</f>
        <v> </v>
      </c>
      <c r="K2115" s="25" t="str">
        <f>IF(OR(E2115="",E2115="!!!",F2115="NEW"),"",INDEX(J$1:J2114,SUMPRODUCT(MAX(ROW(E$1:E2114)*(E2115=E$1:E2114)))))</f>
        <v> </v>
      </c>
      <c r="L2115" s="26"/>
    </row>
    <row r="2116" spans="1:12">
      <c r="A2116" s="20" t="s">
        <v>1063</v>
      </c>
      <c r="E2116" s="21">
        <f>IF(D2116="?OLD","!!!","")</f>
        <v/>
      </c>
      <c r="F2116" s="22" t="str">
        <f>IF(OR(E2116="",E2116="!!!"),"",IF(NOT(ISNA(VLOOKUP(E2116,E$1:E2115,1,FALSE()))),"OLD",IF(AND(E2116&lt;&gt;"",E2116&lt;&gt;"!!!"),"NEW","")))</f>
        <v> </v>
      </c>
      <c r="G2116" s="23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4" t="str">
        <f>IF(J2116&lt;&gt;1,"",IF(I2116="SBJ","CB","?"))</f>
        <v> </v>
      </c>
      <c r="I2116" s="25" t="str">
        <f>IF(OR(E2116="",E2116="!!!",F2116="NEW"),"",INDEX(B2115:B$2,-1+SUMPRODUCT(MAX(ROW(E2115:E$2)*(E2116=E2115:E$2)))))</f>
        <v> </v>
      </c>
      <c r="J2116" s="25" t="str">
        <f>IF(OR(E2116="",E2116="!!!",F2116="NEW"),"",COUNTBLANK(OFFSET(A$1,,,SUMPRODUCT(MAX(ROW(E$2:E2116)*(E2116=E$2:E2116)))))-COUNTBLANK(OFFSET(A$1,,,SUMPRODUCT(MAX(ROW(E$1:E2115)*(E2=E$1:E2115))))))</f>
        <v> </v>
      </c>
      <c r="K2116" s="25" t="str">
        <f>IF(OR(E2116="",E2116="!!!",F2116="NEW"),"",INDEX(J$1:J2115,SUMPRODUCT(MAX(ROW(E$1:E2115)*(E2116=E$1:E2115)))))</f>
        <v> </v>
      </c>
      <c r="L2116" s="26"/>
    </row>
    <row r="2117" spans="1:12">
      <c r="A2117" s="20" t="s">
        <v>518</v>
      </c>
      <c r="E2117" s="21">
        <f>IF(D2117="?OLD","!!!","")</f>
        <v/>
      </c>
      <c r="F2117" s="22" t="str">
        <f>IF(OR(E2117="",E2117="!!!"),"",IF(NOT(ISNA(VLOOKUP(E2117,E$1:E2116,1,FALSE()))),"OLD",IF(AND(E2117&lt;&gt;"",E2117&lt;&gt;"!!!"),"NEW","")))</f>
        <v> </v>
      </c>
      <c r="G2117" s="23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4" t="str">
        <f>IF(J2117&lt;&gt;1,"",IF(I2117="SBJ","CB","?"))</f>
        <v> </v>
      </c>
      <c r="I2117" s="25" t="str">
        <f>IF(OR(E2117="",E2117="!!!",F2117="NEW"),"",INDEX(B2116:B$2,-1+SUMPRODUCT(MAX(ROW(E2116:E$2)*(E2117=E2116:E$2)))))</f>
        <v> </v>
      </c>
      <c r="J2117" s="25" t="str">
        <f>IF(OR(E2117="",E2117="!!!",F2117="NEW"),"",COUNTBLANK(OFFSET(A$1,,,SUMPRODUCT(MAX(ROW(E$2:E2117)*(E2117=E$2:E2117)))))-COUNTBLANK(OFFSET(A$1,,,SUMPRODUCT(MAX(ROW(E$1:E2116)*(E2=E$1:E2116))))))</f>
        <v> </v>
      </c>
      <c r="K2117" s="25" t="str">
        <f>IF(OR(E2117="",E2117="!!!",F2117="NEW"),"",INDEX(J$1:J2116,SUMPRODUCT(MAX(ROW(E$1:E2116)*(E2117=E$1:E2116)))))</f>
        <v> </v>
      </c>
      <c r="L2117" s="26"/>
    </row>
    <row r="2118" spans="1:12">
      <c r="A2118" s="20" t="s">
        <v>528</v>
      </c>
      <c r="E2118" s="21">
        <f>IF(D2118="?OLD","!!!","")</f>
        <v/>
      </c>
      <c r="F2118" s="22" t="str">
        <f>IF(OR(E2118="",E2118="!!!"),"",IF(NOT(ISNA(VLOOKUP(E2118,E$1:E2117,1,FALSE()))),"OLD",IF(AND(E2118&lt;&gt;"",E2118&lt;&gt;"!!!"),"NEW","")))</f>
        <v> </v>
      </c>
      <c r="G2118" s="23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4" t="str">
        <f>IF(J2118&lt;&gt;1,"",IF(I2118="SBJ","CB","?"))</f>
        <v> </v>
      </c>
      <c r="I2118" s="25" t="str">
        <f>IF(OR(E2118="",E2118="!!!",F2118="NEW"),"",INDEX(B2117:B$2,-1+SUMPRODUCT(MAX(ROW(E2117:E$2)*(E2118=E2117:E$2)))))</f>
        <v> </v>
      </c>
      <c r="J2118" s="25" t="str">
        <f>IF(OR(E2118="",E2118="!!!",F2118="NEW"),"",COUNTBLANK(OFFSET(A$1,,,SUMPRODUCT(MAX(ROW(E$2:E2118)*(E2118=E$2:E2118)))))-COUNTBLANK(OFFSET(A$1,,,SUMPRODUCT(MAX(ROW(E$1:E2117)*(E2=E$1:E2117))))))</f>
        <v> </v>
      </c>
      <c r="K2118" s="25" t="str">
        <f>IF(OR(E2118="",E2118="!!!",F2118="NEW"),"",INDEX(J$1:J2117,SUMPRODUCT(MAX(ROW(E$1:E2117)*(E2118=E$1:E2117)))))</f>
        <v> </v>
      </c>
      <c r="L2118" s="26"/>
    </row>
    <row r="2119" spans="1:12">
      <c r="A2119" s="20" t="s">
        <v>1297</v>
      </c>
      <c r="E2119" s="21">
        <f>IF(D2119="?OLD","!!!","")</f>
        <v/>
      </c>
      <c r="F2119" s="22" t="str">
        <f>IF(OR(E2119="",E2119="!!!"),"",IF(NOT(ISNA(VLOOKUP(E2119,E$1:E2118,1,FALSE()))),"OLD",IF(AND(E2119&lt;&gt;"",E2119&lt;&gt;"!!!"),"NEW","")))</f>
        <v> </v>
      </c>
      <c r="G2119" s="23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4" t="str">
        <f>IF(J2119&lt;&gt;1,"",IF(I2119="SBJ","CB","?"))</f>
        <v> </v>
      </c>
      <c r="I2119" s="25" t="str">
        <f>IF(OR(E2119="",E2119="!!!",F2119="NEW"),"",INDEX(B2118:B$2,-1+SUMPRODUCT(MAX(ROW(E2118:E$2)*(E2119=E2118:E$2)))))</f>
        <v> </v>
      </c>
      <c r="J2119" s="25" t="str">
        <f>IF(OR(E2119="",E2119="!!!",F2119="NEW"),"",COUNTBLANK(OFFSET(A$1,,,SUMPRODUCT(MAX(ROW(E$2:E2119)*(E2119=E$2:E2119)))))-COUNTBLANK(OFFSET(A$1,,,SUMPRODUCT(MAX(ROW(E$1:E2118)*(E2=E$1:E2118))))))</f>
        <v> </v>
      </c>
      <c r="K2119" s="25" t="str">
        <f>IF(OR(E2119="",E2119="!!!",F2119="NEW"),"",INDEX(J$1:J2118,SUMPRODUCT(MAX(ROW(E$1:E2118)*(E2119=E$1:E2118)))))</f>
        <v> </v>
      </c>
      <c r="L2119" s="26"/>
    </row>
    <row r="2120" spans="1:12">
      <c r="A2120" s="20" t="s">
        <v>1298</v>
      </c>
      <c r="E2120" s="21">
        <f>IF(D2120="?OLD","!!!","")</f>
        <v/>
      </c>
      <c r="F2120" s="22" t="str">
        <f>IF(OR(E2120="",E2120="!!!"),"",IF(NOT(ISNA(VLOOKUP(E2120,E$1:E2119,1,FALSE()))),"OLD",IF(AND(E2120&lt;&gt;"",E2120&lt;&gt;"!!!"),"NEW","")))</f>
        <v> </v>
      </c>
      <c r="G2120" s="23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4" t="str">
        <f>IF(J2120&lt;&gt;1,"",IF(I2120="SBJ","CB","?"))</f>
        <v> </v>
      </c>
      <c r="I2120" s="25" t="str">
        <f>IF(OR(E2120="",E2120="!!!",F2120="NEW"),"",INDEX(B2119:B$2,-1+SUMPRODUCT(MAX(ROW(E2119:E$2)*(E2120=E2119:E$2)))))</f>
        <v> </v>
      </c>
      <c r="J2120" s="25" t="str">
        <f>IF(OR(E2120="",E2120="!!!",F2120="NEW"),"",COUNTBLANK(OFFSET(A$1,,,SUMPRODUCT(MAX(ROW(E$2:E2120)*(E2120=E$2:E2120)))))-COUNTBLANK(OFFSET(A$1,,,SUMPRODUCT(MAX(ROW(E$1:E2119)*(E2=E$1:E2119))))))</f>
        <v> </v>
      </c>
      <c r="K2120" s="25" t="str">
        <f>IF(OR(E2120="",E2120="!!!",F2120="NEW"),"",INDEX(J$1:J2119,SUMPRODUCT(MAX(ROW(E$1:E2119)*(E2120=E$1:E2119)))))</f>
        <v> </v>
      </c>
      <c r="L2120" s="26"/>
    </row>
    <row r="2121" spans="1:12">
      <c r="A2121" s="20" t="s">
        <v>549</v>
      </c>
      <c r="E2121" s="21">
        <f>IF(D2121="?OLD","!!!","")</f>
        <v/>
      </c>
      <c r="F2121" s="22" t="str">
        <f>IF(OR(E2121="",E2121="!!!"),"",IF(NOT(ISNA(VLOOKUP(E2121,E$1:E2120,1,FALSE()))),"OLD",IF(AND(E2121&lt;&gt;"",E2121&lt;&gt;"!!!"),"NEW","")))</f>
        <v> </v>
      </c>
      <c r="G2121" s="23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4" t="str">
        <f>IF(J2121&lt;&gt;1,"",IF(I2121="SBJ","CB","?"))</f>
        <v> </v>
      </c>
      <c r="I2121" s="25" t="str">
        <f>IF(OR(E2121="",E2121="!!!",F2121="NEW"),"",INDEX(B2120:B$2,-1+SUMPRODUCT(MAX(ROW(E2120:E$2)*(E2121=E2120:E$2)))))</f>
        <v> </v>
      </c>
      <c r="J2121" s="25" t="str">
        <f>IF(OR(E2121="",E2121="!!!",F2121="NEW"),"",COUNTBLANK(OFFSET(A$1,,,SUMPRODUCT(MAX(ROW(E$2:E2121)*(E2121=E$2:E2121)))))-COUNTBLANK(OFFSET(A$1,,,SUMPRODUCT(MAX(ROW(E$1:E2120)*(E2=E$1:E2120))))))</f>
        <v> </v>
      </c>
      <c r="K2121" s="25" t="str">
        <f>IF(OR(E2121="",E2121="!!!",F2121="NEW"),"",INDEX(J$1:J2120,SUMPRODUCT(MAX(ROW(E$1:E2120)*(E2121=E$1:E2120)))))</f>
        <v> </v>
      </c>
      <c r="L2121" s="26"/>
    </row>
    <row r="2122" spans="1:12">
      <c r="A2122" s="20"/>
    </row>
    <row r="2123" spans="1:12">
      <c r="A2123" s="20" t="s">
        <v>1299</v>
      </c>
    </row>
    <row r="2124" spans="1:12">
      <c r="A2124" s="20" t="s">
        <v>1036</v>
      </c>
      <c r="E2124" s="21">
        <f>IF(D2124="?OLD","!!!","")</f>
        <v/>
      </c>
      <c r="F2124" s="22" t="str">
        <f>IF(OR(E2124="",E2124="!!!"),"",IF(NOT(ISNA(VLOOKUP(E2124,E$1:E2123,1,FALSE()))),"OLD",IF(AND(E2124&lt;&gt;"",E2124&lt;&gt;"!!!"),"NEW","")))</f>
        <v> </v>
      </c>
      <c r="G2124" s="23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4" t="str">
        <f>IF(J2124&lt;&gt;1,"",IF(I2124="SBJ","CB","?"))</f>
        <v> </v>
      </c>
      <c r="I2124" s="25" t="str">
        <f>IF(OR(E2124="",E2124="!!!",F2124="NEW"),"",INDEX(B2123:B$2,-1+SUMPRODUCT(MAX(ROW(E2123:E$2)*(E2124=E2123:E$2)))))</f>
        <v> </v>
      </c>
      <c r="J2124" s="25" t="str">
        <f>IF(OR(E2124="",E2124="!!!",F2124="NEW"),"",COUNTBLANK(OFFSET(A$1,,,SUMPRODUCT(MAX(ROW(E$2:E2124)*(E2124=E$2:E2124)))))-COUNTBLANK(OFFSET(A$1,,,SUMPRODUCT(MAX(ROW(E$1:E2123)*(E2=E$1:E2123))))))</f>
        <v> </v>
      </c>
      <c r="K2124" s="25" t="str">
        <f>IF(OR(E2124="",E2124="!!!",F2124="NEW"),"",INDEX(J$1:J2123,SUMPRODUCT(MAX(ROW(E$1:E2123)*(E2124=E$1:E2123)))))</f>
        <v> </v>
      </c>
      <c r="L2124" s="26"/>
    </row>
    <row r="2125" spans="1:12">
      <c r="A2125" s="20" t="s">
        <v>1233</v>
      </c>
      <c r="E2125" s="21">
        <f>IF(D2125="?OLD","!!!","")</f>
        <v/>
      </c>
      <c r="F2125" s="22" t="str">
        <f>IF(OR(E2125="",E2125="!!!"),"",IF(NOT(ISNA(VLOOKUP(E2125,E$1:E2124,1,FALSE()))),"OLD",IF(AND(E2125&lt;&gt;"",E2125&lt;&gt;"!!!"),"NEW","")))</f>
        <v> </v>
      </c>
      <c r="G2125" s="23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4" t="str">
        <f>IF(J2125&lt;&gt;1,"",IF(I2125="SBJ","CB","?"))</f>
        <v> </v>
      </c>
      <c r="I2125" s="25" t="str">
        <f>IF(OR(E2125="",E2125="!!!",F2125="NEW"),"",INDEX(B2124:B$2,-1+SUMPRODUCT(MAX(ROW(E2124:E$2)*(E2125=E2124:E$2)))))</f>
        <v> </v>
      </c>
      <c r="J2125" s="25" t="str">
        <f>IF(OR(E2125="",E2125="!!!",F2125="NEW"),"",COUNTBLANK(OFFSET(A$1,,,SUMPRODUCT(MAX(ROW(E$2:E2125)*(E2125=E$2:E2125)))))-COUNTBLANK(OFFSET(A$1,,,SUMPRODUCT(MAX(ROW(E$1:E2124)*(E2=E$1:E2124))))))</f>
        <v> </v>
      </c>
      <c r="K2125" s="25" t="str">
        <f>IF(OR(E2125="",E2125="!!!",F2125="NEW"),"",INDEX(J$1:J2124,SUMPRODUCT(MAX(ROW(E$1:E2124)*(E2125=E$1:E2124)))))</f>
        <v> </v>
      </c>
      <c r="L2125" s="26"/>
    </row>
    <row r="2126" spans="1:12">
      <c r="A2126" s="20" t="s">
        <v>856</v>
      </c>
      <c r="B2126" s="27" t="s">
        <v>592</v>
      </c>
      <c r="C2126" s="27" t="s">
        <v>584</v>
      </c>
      <c r="D2126" s="27" t="s">
        <v>524</v>
      </c>
      <c r="E2126" s="21">
        <f>IF(D2126="?OLD","!!!","")</f>
        <v/>
      </c>
      <c r="F2126" s="22" t="str">
        <f>IF(OR(E2126="",E2126="!!!"),"",IF(NOT(ISNA(VLOOKUP(E2126,E$1:E2125,1,FALSE()))),"OLD",IF(AND(E2126&lt;&gt;"",E2126&lt;&gt;"!!!"),"NEW","")))</f>
        <v> </v>
      </c>
      <c r="G2126" s="23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4" t="str">
        <f>IF(J2126&lt;&gt;1,"",IF(I2126="SBJ","CB","?"))</f>
        <v> </v>
      </c>
      <c r="I2126" s="25" t="str">
        <f>IF(OR(E2126="",E2126="!!!",F2126="NEW"),"",INDEX(B2125:B$2,-1+SUMPRODUCT(MAX(ROW(E2125:E$2)*(E2126=E2125:E$2)))))</f>
        <v> </v>
      </c>
      <c r="J2126" s="25" t="str">
        <f>IF(OR(E2126="",E2126="!!!",F2126="NEW"),"",COUNTBLANK(OFFSET(A$1,,,SUMPRODUCT(MAX(ROW(E$2:E2126)*(E2126=E$2:E2126)))))-COUNTBLANK(OFFSET(A$1,,,SUMPRODUCT(MAX(ROW(E$1:E2125)*(E2=E$1:E2125))))))</f>
        <v> </v>
      </c>
      <c r="K2126" s="25" t="str">
        <f>IF(OR(E2126="",E2126="!!!",F2126="NEW"),"",INDEX(J$1:J2125,SUMPRODUCT(MAX(ROW(E$1:E2125)*(E2126=E$1:E2125)))))</f>
        <v> </v>
      </c>
      <c r="L2126" s="26"/>
    </row>
    <row r="2127" spans="1:12">
      <c r="A2127" s="20" t="s">
        <v>528</v>
      </c>
      <c r="B2127" s="27" t="s">
        <v>522</v>
      </c>
      <c r="E2127" s="21">
        <f>IF(D2127="?OLD","!!!","")</f>
        <v/>
      </c>
      <c r="F2127" s="22" t="str">
        <f>IF(OR(E2127="",E2127="!!!"),"",IF(NOT(ISNA(VLOOKUP(E2127,E$1:E2126,1,FALSE()))),"OLD",IF(AND(E2127&lt;&gt;"",E2127&lt;&gt;"!!!"),"NEW","")))</f>
        <v> </v>
      </c>
      <c r="G2127" s="23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4" t="str">
        <f>IF(J2127&lt;&gt;1,"",IF(I2127="SBJ","CB","?"))</f>
        <v> </v>
      </c>
      <c r="I2127" s="25" t="str">
        <f>IF(OR(E2127="",E2127="!!!",F2127="NEW"),"",INDEX(B2126:B$2,-1+SUMPRODUCT(MAX(ROW(E2126:E$2)*(E2127=E2126:E$2)))))</f>
        <v> </v>
      </c>
      <c r="J2127" s="25" t="str">
        <f>IF(OR(E2127="",E2127="!!!",F2127="NEW"),"",COUNTBLANK(OFFSET(A$1,,,SUMPRODUCT(MAX(ROW(E$2:E2127)*(E2127=E$2:E2127)))))-COUNTBLANK(OFFSET(A$1,,,SUMPRODUCT(MAX(ROW(E$1:E2126)*(E2=E$1:E2126))))))</f>
        <v> </v>
      </c>
      <c r="K2127" s="25" t="str">
        <f>IF(OR(E2127="",E2127="!!!",F2127="NEW"),"",INDEX(J$1:J2126,SUMPRODUCT(MAX(ROW(E$1:E2126)*(E2127=E$1:E2126)))))</f>
        <v> </v>
      </c>
      <c r="L2127" s="26"/>
    </row>
    <row r="2128" spans="1:12">
      <c r="A2128" s="20" t="s">
        <v>542</v>
      </c>
      <c r="E2128" s="21">
        <f>IF(D2128="?OLD","!!!","")</f>
        <v/>
      </c>
      <c r="F2128" s="22" t="str">
        <f>IF(OR(E2128="",E2128="!!!"),"",IF(NOT(ISNA(VLOOKUP(E2128,E$1:E2127,1,FALSE()))),"OLD",IF(AND(E2128&lt;&gt;"",E2128&lt;&gt;"!!!"),"NEW","")))</f>
        <v> </v>
      </c>
      <c r="G2128" s="23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4" t="str">
        <f>IF(J2128&lt;&gt;1,"",IF(I2128="SBJ","CB","?"))</f>
        <v> </v>
      </c>
      <c r="I2128" s="25" t="str">
        <f>IF(OR(E2128="",E2128="!!!",F2128="NEW"),"",INDEX(B2127:B$2,-1+SUMPRODUCT(MAX(ROW(E2127:E$2)*(E2128=E2127:E$2)))))</f>
        <v> </v>
      </c>
      <c r="J2128" s="25" t="str">
        <f>IF(OR(E2128="",E2128="!!!",F2128="NEW"),"",COUNTBLANK(OFFSET(A$1,,,SUMPRODUCT(MAX(ROW(E$2:E2128)*(E2128=E$2:E2128)))))-COUNTBLANK(OFFSET(A$1,,,SUMPRODUCT(MAX(ROW(E$1:E2127)*(E2=E$1:E2127))))))</f>
        <v> </v>
      </c>
      <c r="K2128" s="25" t="str">
        <f>IF(OR(E2128="",E2128="!!!",F2128="NEW"),"",INDEX(J$1:J2127,SUMPRODUCT(MAX(ROW(E$1:E2127)*(E2128=E$1:E2127)))))</f>
        <v> </v>
      </c>
      <c r="L2128" s="26"/>
    </row>
    <row r="2129" spans="1:12">
      <c r="A2129" s="20" t="s">
        <v>1058</v>
      </c>
      <c r="B2129" s="27" t="s">
        <v>667</v>
      </c>
      <c r="C2129" s="27" t="s">
        <v>545</v>
      </c>
      <c r="D2129" s="27" t="s">
        <v>524</v>
      </c>
      <c r="E2129" s="21">
        <f>IF(D2129="?OLD","!!!","")</f>
        <v/>
      </c>
      <c r="F2129" s="22" t="str">
        <f>IF(OR(E2129="",E2129="!!!"),"",IF(NOT(ISNA(VLOOKUP(E2129,E$1:E2128,1,FALSE()))),"OLD",IF(AND(E2129&lt;&gt;"",E2129&lt;&gt;"!!!"),"NEW","")))</f>
        <v> </v>
      </c>
      <c r="G2129" s="23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4" t="str">
        <f>IF(J2129&lt;&gt;1,"",IF(I2129="SBJ","CB","?"))</f>
        <v> </v>
      </c>
      <c r="I2129" s="25" t="str">
        <f>IF(OR(E2129="",E2129="!!!",F2129="NEW"),"",INDEX(B2128:B$2,-1+SUMPRODUCT(MAX(ROW(E2128:E$2)*(E2129=E2128:E$2)))))</f>
        <v> </v>
      </c>
      <c r="J2129" s="25" t="str">
        <f>IF(OR(E2129="",E2129="!!!",F2129="NEW"),"",COUNTBLANK(OFFSET(A$1,,,SUMPRODUCT(MAX(ROW(E$2:E2129)*(E2129=E$2:E2129)))))-COUNTBLANK(OFFSET(A$1,,,SUMPRODUCT(MAX(ROW(E$1:E2128)*(E2=E$1:E2128))))))</f>
        <v> </v>
      </c>
      <c r="K2129" s="25" t="str">
        <f>IF(OR(E2129="",E2129="!!!",F2129="NEW"),"",INDEX(J$1:J2128,SUMPRODUCT(MAX(ROW(E$1:E2128)*(E2129=E$1:E2128)))))</f>
        <v> </v>
      </c>
      <c r="L2129" s="26"/>
    </row>
    <row r="2130" spans="1:12">
      <c r="A2130" s="20" t="s">
        <v>577</v>
      </c>
      <c r="E2130" s="21">
        <f>IF(D2130="?OLD","!!!","")</f>
        <v/>
      </c>
      <c r="F2130" s="22" t="str">
        <f>IF(OR(E2130="",E2130="!!!"),"",IF(NOT(ISNA(VLOOKUP(E2130,E$1:E2129,1,FALSE()))),"OLD",IF(AND(E2130&lt;&gt;"",E2130&lt;&gt;"!!!"),"NEW","")))</f>
        <v> </v>
      </c>
      <c r="G2130" s="23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4" t="str">
        <f>IF(J2130&lt;&gt;1,"",IF(I2130="SBJ","CB","?"))</f>
        <v> </v>
      </c>
      <c r="I2130" s="25" t="str">
        <f>IF(OR(E2130="",E2130="!!!",F2130="NEW"),"",INDEX(B2129:B$2,-1+SUMPRODUCT(MAX(ROW(E2129:E$2)*(E2130=E2129:E$2)))))</f>
        <v> </v>
      </c>
      <c r="J2130" s="25" t="str">
        <f>IF(OR(E2130="",E2130="!!!",F2130="NEW"),"",COUNTBLANK(OFFSET(A$1,,,SUMPRODUCT(MAX(ROW(E$2:E2130)*(E2130=E$2:E2130)))))-COUNTBLANK(OFFSET(A$1,,,SUMPRODUCT(MAX(ROW(E$1:E2129)*(E2=E$1:E2129))))))</f>
        <v> </v>
      </c>
      <c r="K2130" s="25" t="str">
        <f>IF(OR(E2130="",E2130="!!!",F2130="NEW"),"",INDEX(J$1:J2129,SUMPRODUCT(MAX(ROW(E$1:E2129)*(E2130=E$1:E2129)))))</f>
        <v> </v>
      </c>
      <c r="L2130" s="26"/>
    </row>
    <row r="2131" spans="1:12">
      <c r="A2131" s="20" t="s">
        <v>682</v>
      </c>
      <c r="B2131" s="27" t="s">
        <v>597</v>
      </c>
      <c r="C2131" s="27" t="s">
        <v>584</v>
      </c>
      <c r="D2131" s="27" t="s">
        <v>524</v>
      </c>
      <c r="E2131" s="21">
        <f>IF(D2131="?OLD","!!!","")</f>
        <v/>
      </c>
      <c r="F2131" s="22" t="str">
        <f>IF(OR(E2131="",E2131="!!!"),"",IF(NOT(ISNA(VLOOKUP(E2131,E$1:E2130,1,FALSE()))),"OLD",IF(AND(E2131&lt;&gt;"",E2131&lt;&gt;"!!!"),"NEW","")))</f>
        <v> </v>
      </c>
      <c r="G2131" s="23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4" t="str">
        <f>IF(J2131&lt;&gt;1,"",IF(I2131="SBJ","CB","?"))</f>
        <v> </v>
      </c>
      <c r="I2131" s="25" t="str">
        <f>IF(OR(E2131="",E2131="!!!",F2131="NEW"),"",INDEX(B2130:B$2,-1+SUMPRODUCT(MAX(ROW(E2130:E$2)*(E2131=E2130:E$2)))))</f>
        <v> </v>
      </c>
      <c r="J2131" s="25" t="str">
        <f>IF(OR(E2131="",E2131="!!!",F2131="NEW"),"",COUNTBLANK(OFFSET(A$1,,,SUMPRODUCT(MAX(ROW(E$2:E2131)*(E2131=E$2:E2131)))))-COUNTBLANK(OFFSET(A$1,,,SUMPRODUCT(MAX(ROW(E$1:E2130)*(E2=E$1:E2130))))))</f>
        <v> </v>
      </c>
      <c r="K2131" s="25" t="str">
        <f>IF(OR(E2131="",E2131="!!!",F2131="NEW"),"",INDEX(J$1:J2130,SUMPRODUCT(MAX(ROW(E$1:E2130)*(E2131=E$1:E2130)))))</f>
        <v> </v>
      </c>
      <c r="L2131" s="26"/>
    </row>
    <row r="2132" spans="1:12">
      <c r="A2132" s="20" t="s">
        <v>1300</v>
      </c>
      <c r="E2132" s="21">
        <f>IF(D2132="?OLD","!!!","")</f>
        <v/>
      </c>
      <c r="F2132" s="22" t="str">
        <f>IF(OR(E2132="",E2132="!!!"),"",IF(NOT(ISNA(VLOOKUP(E2132,E$1:E2131,1,FALSE()))),"OLD",IF(AND(E2132&lt;&gt;"",E2132&lt;&gt;"!!!"),"NEW","")))</f>
        <v> </v>
      </c>
      <c r="G2132" s="23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4" t="str">
        <f>IF(J2132&lt;&gt;1,"",IF(I2132="SBJ","CB","?"))</f>
        <v> </v>
      </c>
      <c r="I2132" s="25" t="str">
        <f>IF(OR(E2132="",E2132="!!!",F2132="NEW"),"",INDEX(B2131:B$2,-1+SUMPRODUCT(MAX(ROW(E2131:E$2)*(E2132=E2131:E$2)))))</f>
        <v> </v>
      </c>
      <c r="J2132" s="25" t="str">
        <f>IF(OR(E2132="",E2132="!!!",F2132="NEW"),"",COUNTBLANK(OFFSET(A$1,,,SUMPRODUCT(MAX(ROW(E$2:E2132)*(E2132=E$2:E2132)))))-COUNTBLANK(OFFSET(A$1,,,SUMPRODUCT(MAX(ROW(E$1:E2131)*(E2=E$1:E2131))))))</f>
        <v> </v>
      </c>
      <c r="K2132" s="25" t="str">
        <f>IF(OR(E2132="",E2132="!!!",F2132="NEW"),"",INDEX(J$1:J2131,SUMPRODUCT(MAX(ROW(E$1:E2131)*(E2132=E$1:E2131)))))</f>
        <v> </v>
      </c>
      <c r="L2132" s="26"/>
    </row>
    <row r="2133" spans="1:12">
      <c r="A2133" s="20" t="s">
        <v>565</v>
      </c>
      <c r="E2133" s="21">
        <f>IF(D2133="?OLD","!!!","")</f>
        <v/>
      </c>
      <c r="F2133" s="22" t="str">
        <f>IF(OR(E2133="",E2133="!!!"),"",IF(NOT(ISNA(VLOOKUP(E2133,E$1:E2132,1,FALSE()))),"OLD",IF(AND(E2133&lt;&gt;"",E2133&lt;&gt;"!!!"),"NEW","")))</f>
        <v> </v>
      </c>
      <c r="G2133" s="23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4" t="str">
        <f>IF(J2133&lt;&gt;1,"",IF(I2133="SBJ","CB","?"))</f>
        <v> </v>
      </c>
      <c r="I2133" s="25" t="str">
        <f>IF(OR(E2133="",E2133="!!!",F2133="NEW"),"",INDEX(B2132:B$2,-1+SUMPRODUCT(MAX(ROW(E2132:E$2)*(E2133=E2132:E$2)))))</f>
        <v> </v>
      </c>
      <c r="J2133" s="25" t="str">
        <f>IF(OR(E2133="",E2133="!!!",F2133="NEW"),"",COUNTBLANK(OFFSET(A$1,,,SUMPRODUCT(MAX(ROW(E$2:E2133)*(E2133=E$2:E2133)))))-COUNTBLANK(OFFSET(A$1,,,SUMPRODUCT(MAX(ROW(E$1:E2132)*(E2=E$1:E2132))))))</f>
        <v> </v>
      </c>
      <c r="K2133" s="25" t="str">
        <f>IF(OR(E2133="",E2133="!!!",F2133="NEW"),"",INDEX(J$1:J2132,SUMPRODUCT(MAX(ROW(E$1:E2132)*(E2133=E$1:E2132)))))</f>
        <v> </v>
      </c>
      <c r="L2133" s="26"/>
    </row>
    <row r="2134" spans="1:12">
      <c r="A2134" s="20" t="s">
        <v>538</v>
      </c>
      <c r="E2134" s="21">
        <f>IF(D2134="?OLD","!!!","")</f>
        <v/>
      </c>
      <c r="F2134" s="22" t="str">
        <f>IF(OR(E2134="",E2134="!!!"),"",IF(NOT(ISNA(VLOOKUP(E2134,E$1:E2133,1,FALSE()))),"OLD",IF(AND(E2134&lt;&gt;"",E2134&lt;&gt;"!!!"),"NEW","")))</f>
        <v> </v>
      </c>
      <c r="G2134" s="23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4" t="str">
        <f>IF(J2134&lt;&gt;1,"",IF(I2134="SBJ","CB","?"))</f>
        <v> </v>
      </c>
      <c r="I2134" s="25" t="str">
        <f>IF(OR(E2134="",E2134="!!!",F2134="NEW"),"",INDEX(B2133:B$2,-1+SUMPRODUCT(MAX(ROW(E2133:E$2)*(E2134=E2133:E$2)))))</f>
        <v> </v>
      </c>
      <c r="J2134" s="25" t="str">
        <f>IF(OR(E2134="",E2134="!!!",F2134="NEW"),"",COUNTBLANK(OFFSET(A$1,,,SUMPRODUCT(MAX(ROW(E$2:E2134)*(E2134=E$2:E2134)))))-COUNTBLANK(OFFSET(A$1,,,SUMPRODUCT(MAX(ROW(E$1:E2133)*(E2=E$1:E2133))))))</f>
        <v> </v>
      </c>
      <c r="K2134" s="25" t="str">
        <f>IF(OR(E2134="",E2134="!!!",F2134="NEW"),"",INDEX(J$1:J2133,SUMPRODUCT(MAX(ROW(E$1:E2133)*(E2134=E$1:E2133)))))</f>
        <v> </v>
      </c>
      <c r="L2134" s="26"/>
    </row>
    <row r="2135" spans="1:12">
      <c r="A2135" s="20" t="s">
        <v>1301</v>
      </c>
      <c r="B2135" s="27" t="s">
        <v>680</v>
      </c>
      <c r="C2135" s="27" t="s">
        <v>540</v>
      </c>
      <c r="D2135" s="27" t="s">
        <v>524</v>
      </c>
      <c r="E2135" s="21">
        <f>IF(D2135="?OLD","!!!","")</f>
        <v/>
      </c>
      <c r="F2135" s="22" t="str">
        <f>IF(OR(E2135="",E2135="!!!"),"",IF(NOT(ISNA(VLOOKUP(E2135,E$1:E2134,1,FALSE()))),"OLD",IF(AND(E2135&lt;&gt;"",E2135&lt;&gt;"!!!"),"NEW","")))</f>
        <v> </v>
      </c>
      <c r="G2135" s="23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4" t="str">
        <f>IF(J2135&lt;&gt;1,"",IF(I2135="SBJ","CB","?"))</f>
        <v> </v>
      </c>
      <c r="I2135" s="25" t="str">
        <f>IF(OR(E2135="",E2135="!!!",F2135="NEW"),"",INDEX(B2134:B$2,-1+SUMPRODUCT(MAX(ROW(E2134:E$2)*(E2135=E2134:E$2)))))</f>
        <v> </v>
      </c>
      <c r="J2135" s="25" t="str">
        <f>IF(OR(E2135="",E2135="!!!",F2135="NEW"),"",COUNTBLANK(OFFSET(A$1,,,SUMPRODUCT(MAX(ROW(E$2:E2135)*(E2135=E$2:E2135)))))-COUNTBLANK(OFFSET(A$1,,,SUMPRODUCT(MAX(ROW(E$1:E2134)*(E2=E$1:E2134))))))</f>
        <v> </v>
      </c>
      <c r="K2135" s="25" t="str">
        <f>IF(OR(E2135="",E2135="!!!",F2135="NEW"),"",INDEX(J$1:J2134,SUMPRODUCT(MAX(ROW(E$1:E2134)*(E2135=E$1:E2134)))))</f>
        <v> </v>
      </c>
      <c r="L2135" s="26"/>
    </row>
    <row r="2136" spans="1:12">
      <c r="A2136" s="20" t="s">
        <v>518</v>
      </c>
      <c r="E2136" s="21">
        <f>IF(D2136="?OLD","!!!","")</f>
        <v/>
      </c>
      <c r="F2136" s="22" t="str">
        <f>IF(OR(E2136="",E2136="!!!"),"",IF(NOT(ISNA(VLOOKUP(E2136,E$1:E2135,1,FALSE()))),"OLD",IF(AND(E2136&lt;&gt;"",E2136&lt;&gt;"!!!"),"NEW","")))</f>
        <v> </v>
      </c>
      <c r="G2136" s="23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4" t="str">
        <f>IF(J2136&lt;&gt;1,"",IF(I2136="SBJ","CB","?"))</f>
        <v> </v>
      </c>
      <c r="I2136" s="25" t="str">
        <f>IF(OR(E2136="",E2136="!!!",F2136="NEW"),"",INDEX(B2135:B$2,-1+SUMPRODUCT(MAX(ROW(E2135:E$2)*(E2136=E2135:E$2)))))</f>
        <v> </v>
      </c>
      <c r="J2136" s="25" t="str">
        <f>IF(OR(E2136="",E2136="!!!",F2136="NEW"),"",COUNTBLANK(OFFSET(A$1,,,SUMPRODUCT(MAX(ROW(E$2:E2136)*(E2136=E$2:E2136)))))-COUNTBLANK(OFFSET(A$1,,,SUMPRODUCT(MAX(ROW(E$1:E2135)*(E2=E$1:E2135))))))</f>
        <v> </v>
      </c>
      <c r="K2136" s="25" t="str">
        <f>IF(OR(E2136="",E2136="!!!",F2136="NEW"),"",INDEX(J$1:J2135,SUMPRODUCT(MAX(ROW(E$1:E2135)*(E2136=E$1:E2135)))))</f>
        <v> </v>
      </c>
      <c r="L2136" s="26"/>
    </row>
    <row r="2137" spans="1:12">
      <c r="A2137" s="20" t="s">
        <v>775</v>
      </c>
      <c r="B2137" s="27" t="s">
        <v>597</v>
      </c>
      <c r="C2137" s="27" t="s">
        <v>564</v>
      </c>
      <c r="E2137" s="21">
        <f>IF(D2137="?OLD","!!!","")</f>
        <v/>
      </c>
      <c r="F2137" s="22" t="str">
        <f>IF(OR(E2137="",E2137="!!!"),"",IF(NOT(ISNA(VLOOKUP(E2137,E$1:E2136,1,FALSE()))),"OLD",IF(AND(E2137&lt;&gt;"",E2137&lt;&gt;"!!!"),"NEW","")))</f>
        <v> </v>
      </c>
      <c r="G2137" s="23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4" t="str">
        <f>IF(J2137&lt;&gt;1,"",IF(I2137="SBJ","CB","?"))</f>
        <v> </v>
      </c>
      <c r="I2137" s="25" t="str">
        <f>IF(OR(E2137="",E2137="!!!",F2137="NEW"),"",INDEX(B2136:B$2,-1+SUMPRODUCT(MAX(ROW(E2136:E$2)*(E2137=E2136:E$2)))))</f>
        <v> </v>
      </c>
      <c r="J2137" s="25" t="str">
        <f>IF(OR(E2137="",E2137="!!!",F2137="NEW"),"",COUNTBLANK(OFFSET(A$1,,,SUMPRODUCT(MAX(ROW(E$2:E2137)*(E2137=E$2:E2137)))))-COUNTBLANK(OFFSET(A$1,,,SUMPRODUCT(MAX(ROW(E$1:E2136)*(E2=E$1:E2136))))))</f>
        <v> </v>
      </c>
      <c r="K2137" s="25" t="str">
        <f>IF(OR(E2137="",E2137="!!!",F2137="NEW"),"",INDEX(J$1:J2136,SUMPRODUCT(MAX(ROW(E$1:E2136)*(E2137=E$1:E2136)))))</f>
        <v> </v>
      </c>
      <c r="L2137" s="26"/>
    </row>
    <row r="2138" spans="1:12">
      <c r="A2138" s="20" t="s">
        <v>1302</v>
      </c>
      <c r="E2138" s="21">
        <f>IF(D2138="?OLD","!!!","")</f>
        <v/>
      </c>
      <c r="F2138" s="22" t="str">
        <f>IF(OR(E2138="",E2138="!!!"),"",IF(NOT(ISNA(VLOOKUP(E2138,E$1:E2137,1,FALSE()))),"OLD",IF(AND(E2138&lt;&gt;"",E2138&lt;&gt;"!!!"),"NEW","")))</f>
        <v> </v>
      </c>
      <c r="G2138" s="23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4" t="str">
        <f>IF(J2138&lt;&gt;1,"",IF(I2138="SBJ","CB","?"))</f>
        <v> </v>
      </c>
      <c r="I2138" s="25" t="str">
        <f>IF(OR(E2138="",E2138="!!!",F2138="NEW"),"",INDEX(B2137:B$2,-1+SUMPRODUCT(MAX(ROW(E2137:E$2)*(E2138=E2137:E$2)))))</f>
        <v> </v>
      </c>
      <c r="J2138" s="25" t="str">
        <f>IF(OR(E2138="",E2138="!!!",F2138="NEW"),"",COUNTBLANK(OFFSET(A$1,,,SUMPRODUCT(MAX(ROW(E$2:E2138)*(E2138=E$2:E2138)))))-COUNTBLANK(OFFSET(A$1,,,SUMPRODUCT(MAX(ROW(E$1:E2137)*(E2=E$1:E2137))))))</f>
        <v> </v>
      </c>
      <c r="K2138" s="25" t="str">
        <f>IF(OR(E2138="",E2138="!!!",F2138="NEW"),"",INDEX(J$1:J2137,SUMPRODUCT(MAX(ROW(E$1:E2137)*(E2138=E$1:E2137)))))</f>
        <v> </v>
      </c>
      <c r="L2138" s="26"/>
    </row>
    <row r="2139" spans="1:12">
      <c r="A2139" s="20" t="s">
        <v>565</v>
      </c>
      <c r="E2139" s="21">
        <f>IF(D2139="?OLD","!!!","")</f>
        <v/>
      </c>
      <c r="F2139" s="22" t="str">
        <f>IF(OR(E2139="",E2139="!!!"),"",IF(NOT(ISNA(VLOOKUP(E2139,E$1:E2138,1,FALSE()))),"OLD",IF(AND(E2139&lt;&gt;"",E2139&lt;&gt;"!!!"),"NEW","")))</f>
        <v> </v>
      </c>
      <c r="G2139" s="23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4" t="str">
        <f>IF(J2139&lt;&gt;1,"",IF(I2139="SBJ","CB","?"))</f>
        <v> </v>
      </c>
      <c r="I2139" s="25" t="str">
        <f>IF(OR(E2139="",E2139="!!!",F2139="NEW"),"",INDEX(B2138:B$2,-1+SUMPRODUCT(MAX(ROW(E2138:E$2)*(E2139=E2138:E$2)))))</f>
        <v> </v>
      </c>
      <c r="J2139" s="25" t="str">
        <f>IF(OR(E2139="",E2139="!!!",F2139="NEW"),"",COUNTBLANK(OFFSET(A$1,,,SUMPRODUCT(MAX(ROW(E$2:E2139)*(E2139=E$2:E2139)))))-COUNTBLANK(OFFSET(A$1,,,SUMPRODUCT(MAX(ROW(E$1:E2138)*(E2=E$1:E2138))))))</f>
        <v> </v>
      </c>
      <c r="K2139" s="25" t="str">
        <f>IF(OR(E2139="",E2139="!!!",F2139="NEW"),"",INDEX(J$1:J2138,SUMPRODUCT(MAX(ROW(E$1:E2138)*(E2139=E$1:E2138)))))</f>
        <v> </v>
      </c>
      <c r="L2139" s="26"/>
    </row>
    <row r="2140" spans="1:12">
      <c r="A2140" s="20" t="s">
        <v>538</v>
      </c>
      <c r="E2140" s="21">
        <f>IF(D2140="?OLD","!!!","")</f>
        <v/>
      </c>
      <c r="F2140" s="22" t="str">
        <f>IF(OR(E2140="",E2140="!!!"),"",IF(NOT(ISNA(VLOOKUP(E2140,E$1:E2139,1,FALSE()))),"OLD",IF(AND(E2140&lt;&gt;"",E2140&lt;&gt;"!!!"),"NEW","")))</f>
        <v> </v>
      </c>
      <c r="G2140" s="23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4" t="str">
        <f>IF(J2140&lt;&gt;1,"",IF(I2140="SBJ","CB","?"))</f>
        <v> </v>
      </c>
      <c r="I2140" s="25" t="str">
        <f>IF(OR(E2140="",E2140="!!!",F2140="NEW"),"",INDEX(B2139:B$2,-1+SUMPRODUCT(MAX(ROW(E2139:E$2)*(E2140=E2139:E$2)))))</f>
        <v> </v>
      </c>
      <c r="J2140" s="25" t="str">
        <f>IF(OR(E2140="",E2140="!!!",F2140="NEW"),"",COUNTBLANK(OFFSET(A$1,,,SUMPRODUCT(MAX(ROW(E$2:E2140)*(E2140=E$2:E2140)))))-COUNTBLANK(OFFSET(A$1,,,SUMPRODUCT(MAX(ROW(E$1:E2139)*(E2=E$1:E2139))))))</f>
        <v> </v>
      </c>
      <c r="K2140" s="25" t="str">
        <f>IF(OR(E2140="",E2140="!!!",F2140="NEW"),"",INDEX(J$1:J2139,SUMPRODUCT(MAX(ROW(E$1:E2139)*(E2140=E$1:E2139)))))</f>
        <v> </v>
      </c>
      <c r="L2140" s="26"/>
    </row>
    <row r="2141" spans="1:12">
      <c r="A2141" s="20" t="s">
        <v>1301</v>
      </c>
      <c r="B2141" s="27" t="s">
        <v>597</v>
      </c>
      <c r="C2141" s="27" t="s">
        <v>540</v>
      </c>
      <c r="D2141" s="27" t="s">
        <v>524</v>
      </c>
      <c r="E2141" s="21">
        <f>IF(D2141="?OLD","!!!","")</f>
        <v/>
      </c>
      <c r="F2141" s="22" t="str">
        <f>IF(OR(E2141="",E2141="!!!"),"",IF(NOT(ISNA(VLOOKUP(E2141,E$1:E2140,1,FALSE()))),"OLD",IF(AND(E2141&lt;&gt;"",E2141&lt;&gt;"!!!"),"NEW","")))</f>
        <v> </v>
      </c>
      <c r="G2141" s="23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4" t="str">
        <f>IF(J2141&lt;&gt;1,"",IF(I2141="SBJ","CB","?"))</f>
        <v> </v>
      </c>
      <c r="I2141" s="25" t="str">
        <f>IF(OR(E2141="",E2141="!!!",F2141="NEW"),"",INDEX(B2140:B$2,-1+SUMPRODUCT(MAX(ROW(E2140:E$2)*(E2141=E2140:E$2)))))</f>
        <v> </v>
      </c>
      <c r="J2141" s="25" t="str">
        <f>IF(OR(E2141="",E2141="!!!",F2141="NEW"),"",COUNTBLANK(OFFSET(A$1,,,SUMPRODUCT(MAX(ROW(E$2:E2141)*(E2141=E$2:E2141)))))-COUNTBLANK(OFFSET(A$1,,,SUMPRODUCT(MAX(ROW(E$1:E2140)*(E2=E$1:E2140))))))</f>
        <v> </v>
      </c>
      <c r="K2141" s="25" t="str">
        <f>IF(OR(E2141="",E2141="!!!",F2141="NEW"),"",INDEX(J$1:J2140,SUMPRODUCT(MAX(ROW(E$1:E2140)*(E2141=E$1:E2140)))))</f>
        <v> </v>
      </c>
      <c r="L2141" s="26"/>
    </row>
    <row r="2142" spans="1:12">
      <c r="A2142" s="20" t="s">
        <v>518</v>
      </c>
      <c r="E2142" s="21">
        <f>IF(D2142="?OLD","!!!","")</f>
        <v/>
      </c>
      <c r="F2142" s="22" t="str">
        <f>IF(OR(E2142="",E2142="!!!"),"",IF(NOT(ISNA(VLOOKUP(E2142,E$1:E2141,1,FALSE()))),"OLD",IF(AND(E2142&lt;&gt;"",E2142&lt;&gt;"!!!"),"NEW","")))</f>
        <v> </v>
      </c>
      <c r="G2142" s="23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4" t="str">
        <f>IF(J2142&lt;&gt;1,"",IF(I2142="SBJ","CB","?"))</f>
        <v> </v>
      </c>
      <c r="I2142" s="25" t="str">
        <f>IF(OR(E2142="",E2142="!!!",F2142="NEW"),"",INDEX(B2141:B$2,-1+SUMPRODUCT(MAX(ROW(E2141:E$2)*(E2142=E2141:E$2)))))</f>
        <v> </v>
      </c>
      <c r="J2142" s="25" t="str">
        <f>IF(OR(E2142="",E2142="!!!",F2142="NEW"),"",COUNTBLANK(OFFSET(A$1,,,SUMPRODUCT(MAX(ROW(E$2:E2142)*(E2142=E$2:E2142)))))-COUNTBLANK(OFFSET(A$1,,,SUMPRODUCT(MAX(ROW(E$1:E2141)*(E2=E$1:E2141))))))</f>
        <v> </v>
      </c>
      <c r="K2142" s="25" t="str">
        <f>IF(OR(E2142="",E2142="!!!",F2142="NEW"),"",INDEX(J$1:J2141,SUMPRODUCT(MAX(ROW(E$1:E2141)*(E2142=E$1:E2141)))))</f>
        <v> </v>
      </c>
      <c r="L2142" s="26"/>
    </row>
    <row r="2143" spans="1:12">
      <c r="A2143" s="20" t="s">
        <v>571</v>
      </c>
      <c r="E2143" s="21">
        <f>IF(D2143="?OLD","!!!","")</f>
        <v/>
      </c>
      <c r="F2143" s="22" t="str">
        <f>IF(OR(E2143="",E2143="!!!"),"",IF(NOT(ISNA(VLOOKUP(E2143,E$1:E2142,1,FALSE()))),"OLD",IF(AND(E2143&lt;&gt;"",E2143&lt;&gt;"!!!"),"NEW","")))</f>
        <v> </v>
      </c>
      <c r="G2143" s="23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4" t="str">
        <f>IF(J2143&lt;&gt;1,"",IF(I2143="SBJ","CB","?"))</f>
        <v> </v>
      </c>
      <c r="I2143" s="25" t="str">
        <f>IF(OR(E2143="",E2143="!!!",F2143="NEW"),"",INDEX(B2142:B$2,-1+SUMPRODUCT(MAX(ROW(E2142:E$2)*(E2143=E2142:E$2)))))</f>
        <v> </v>
      </c>
      <c r="J2143" s="25" t="str">
        <f>IF(OR(E2143="",E2143="!!!",F2143="NEW"),"",COUNTBLANK(OFFSET(A$1,,,SUMPRODUCT(MAX(ROW(E$2:E2143)*(E2143=E$2:E2143)))))-COUNTBLANK(OFFSET(A$1,,,SUMPRODUCT(MAX(ROW(E$1:E2142)*(E2=E$1:E2142))))))</f>
        <v> </v>
      </c>
      <c r="K2143" s="25" t="str">
        <f>IF(OR(E2143="",E2143="!!!",F2143="NEW"),"",INDEX(J$1:J2142,SUMPRODUCT(MAX(ROW(E$1:E2142)*(E2143=E$1:E2142)))))</f>
        <v> </v>
      </c>
      <c r="L2143" s="26"/>
    </row>
    <row r="2144" spans="1:12">
      <c r="A2144" s="20" t="s">
        <v>1050</v>
      </c>
      <c r="B2144" s="27" t="s">
        <v>534</v>
      </c>
      <c r="C2144" s="27" t="s">
        <v>669</v>
      </c>
      <c r="D2144" s="27" t="s">
        <v>524</v>
      </c>
      <c r="E2144" s="21">
        <f>IF(D2144="?OLD","!!!","")</f>
        <v/>
      </c>
      <c r="F2144" s="22" t="str">
        <f>IF(OR(E2144="",E2144="!!!"),"",IF(NOT(ISNA(VLOOKUP(E2144,E$1:E2143,1,FALSE()))),"OLD",IF(AND(E2144&lt;&gt;"",E2144&lt;&gt;"!!!"),"NEW","")))</f>
        <v> </v>
      </c>
      <c r="G2144" s="23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4" t="str">
        <f>IF(J2144&lt;&gt;1,"",IF(I2144="SBJ","CB","?"))</f>
        <v> </v>
      </c>
      <c r="I2144" s="25" t="str">
        <f>IF(OR(E2144="",E2144="!!!",F2144="NEW"),"",INDEX(B2143:B$2,-1+SUMPRODUCT(MAX(ROW(E2143:E$2)*(E2144=E2143:E$2)))))</f>
        <v> </v>
      </c>
      <c r="J2144" s="25" t="str">
        <f>IF(OR(E2144="",E2144="!!!",F2144="NEW"),"",COUNTBLANK(OFFSET(A$1,,,SUMPRODUCT(MAX(ROW(E$2:E2144)*(E2144=E$2:E2144)))))-COUNTBLANK(OFFSET(A$1,,,SUMPRODUCT(MAX(ROW(E$1:E2143)*(E2=E$1:E2143))))))</f>
        <v> </v>
      </c>
      <c r="K2144" s="25" t="str">
        <f>IF(OR(E2144="",E2144="!!!",F2144="NEW"),"",INDEX(J$1:J2143,SUMPRODUCT(MAX(ROW(E$1:E2143)*(E2144=E$1:E2143)))))</f>
        <v> </v>
      </c>
      <c r="L2144" s="26"/>
    </row>
    <row r="2145" spans="1:12">
      <c r="A2145" s="20" t="s">
        <v>814</v>
      </c>
      <c r="B2145" s="27" t="s">
        <v>544</v>
      </c>
      <c r="C2145" s="27" t="s">
        <v>545</v>
      </c>
      <c r="D2145" s="27" t="s">
        <v>524</v>
      </c>
      <c r="E2145" s="21">
        <f>IF(D2145="?OLD","!!!","")</f>
        <v/>
      </c>
      <c r="F2145" s="22" t="str">
        <f>IF(OR(E2145="",E2145="!!!"),"",IF(NOT(ISNA(VLOOKUP(E2145,E$1:E2144,1,FALSE()))),"OLD",IF(AND(E2145&lt;&gt;"",E2145&lt;&gt;"!!!"),"NEW","")))</f>
        <v> </v>
      </c>
      <c r="G2145" s="23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4" t="str">
        <f>IF(J2145&lt;&gt;1,"",IF(I2145="SBJ","CB","?"))</f>
        <v> </v>
      </c>
      <c r="I2145" s="25" t="str">
        <f>IF(OR(E2145="",E2145="!!!",F2145="NEW"),"",INDEX(B2144:B$2,-1+SUMPRODUCT(MAX(ROW(E2144:E$2)*(E2145=E2144:E$2)))))</f>
        <v> </v>
      </c>
      <c r="J2145" s="25" t="str">
        <f>IF(OR(E2145="",E2145="!!!",F2145="NEW"),"",COUNTBLANK(OFFSET(A$1,,,SUMPRODUCT(MAX(ROW(E$2:E2145)*(E2145=E$2:E2145)))))-COUNTBLANK(OFFSET(A$1,,,SUMPRODUCT(MAX(ROW(E$1:E2144)*(E2=E$1:E2144))))))</f>
        <v> </v>
      </c>
      <c r="K2145" s="25" t="str">
        <f>IF(OR(E2145="",E2145="!!!",F2145="NEW"),"",INDEX(J$1:J2144,SUMPRODUCT(MAX(ROW(E$1:E2144)*(E2145=E$1:E2144)))))</f>
        <v> </v>
      </c>
      <c r="L2145" s="26"/>
    </row>
    <row r="2146" spans="1:12">
      <c r="A2146" s="20" t="s">
        <v>549</v>
      </c>
      <c r="E2146" s="21">
        <f>IF(D2146="?OLD","!!!","")</f>
        <v/>
      </c>
      <c r="F2146" s="22" t="str">
        <f>IF(OR(E2146="",E2146="!!!"),"",IF(NOT(ISNA(VLOOKUP(E2146,E$1:E2145,1,FALSE()))),"OLD",IF(AND(E2146&lt;&gt;"",E2146&lt;&gt;"!!!"),"NEW","")))</f>
        <v> </v>
      </c>
      <c r="G2146" s="23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4" t="str">
        <f>IF(J2146&lt;&gt;1,"",IF(I2146="SBJ","CB","?"))</f>
        <v> </v>
      </c>
      <c r="I2146" s="25" t="str">
        <f>IF(OR(E2146="",E2146="!!!",F2146="NEW"),"",INDEX(B2145:B$2,-1+SUMPRODUCT(MAX(ROW(E2145:E$2)*(E2146=E2145:E$2)))))</f>
        <v> </v>
      </c>
      <c r="J2146" s="25" t="str">
        <f>IF(OR(E2146="",E2146="!!!",F2146="NEW"),"",COUNTBLANK(OFFSET(A$1,,,SUMPRODUCT(MAX(ROW(E$2:E2146)*(E2146=E$2:E2146)))))-COUNTBLANK(OFFSET(A$1,,,SUMPRODUCT(MAX(ROW(E$1:E2145)*(E2=E$1:E2145))))))</f>
        <v> </v>
      </c>
      <c r="K2146" s="25" t="str">
        <f>IF(OR(E2146="",E2146="!!!",F2146="NEW"),"",INDEX(J$1:J2145,SUMPRODUCT(MAX(ROW(E$1:E2145)*(E2146=E$1:E2145)))))</f>
        <v> </v>
      </c>
      <c r="L2146" s="26"/>
    </row>
    <row r="2147" spans="1:12">
      <c r="A2147" s="20"/>
    </row>
    <row r="2148" spans="1:12">
      <c r="A2148" s="20" t="s">
        <v>1303</v>
      </c>
    </row>
    <row r="2149" spans="1:12">
      <c r="A2149" s="20" t="s">
        <v>738</v>
      </c>
      <c r="E2149" s="21">
        <f>IF(D2149="?OLD","!!!","")</f>
        <v/>
      </c>
      <c r="F2149" s="22" t="str">
        <f>IF(OR(E2149="",E2149="!!!"),"",IF(NOT(ISNA(VLOOKUP(E2149,E$1:E2148,1,FALSE()))),"OLD",IF(AND(E2149&lt;&gt;"",E2149&lt;&gt;"!!!"),"NEW","")))</f>
        <v> </v>
      </c>
      <c r="G2149" s="23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4" t="str">
        <f>IF(J2149&lt;&gt;1,"",IF(I2149="SBJ","CB","?"))</f>
        <v> </v>
      </c>
      <c r="I2149" s="25" t="str">
        <f>IF(OR(E2149="",E2149="!!!",F2149="NEW"),"",INDEX(B2148:B$2,-1+SUMPRODUCT(MAX(ROW(E2148:E$2)*(E2149=E2148:E$2)))))</f>
        <v> </v>
      </c>
      <c r="J2149" s="25" t="str">
        <f>IF(OR(E2149="",E2149="!!!",F2149="NEW"),"",COUNTBLANK(OFFSET(A$1,,,SUMPRODUCT(MAX(ROW(E$2:E2149)*(E2149=E$2:E2149)))))-COUNTBLANK(OFFSET(A$1,,,SUMPRODUCT(MAX(ROW(E$1:E2148)*(E2=E$1:E2148))))))</f>
        <v> </v>
      </c>
      <c r="K2149" s="25" t="str">
        <f>IF(OR(E2149="",E2149="!!!",F2149="NEW"),"",INDEX(J$1:J2148,SUMPRODUCT(MAX(ROW(E$1:E2148)*(E2149=E$1:E2148)))))</f>
        <v> </v>
      </c>
      <c r="L2149" s="26"/>
    </row>
    <row r="2150" spans="1:12">
      <c r="A2150" s="20" t="s">
        <v>565</v>
      </c>
      <c r="E2150" s="21">
        <f>IF(D2150="?OLD","!!!","")</f>
        <v/>
      </c>
      <c r="F2150" s="22" t="str">
        <f>IF(OR(E2150="",E2150="!!!"),"",IF(NOT(ISNA(VLOOKUP(E2150,E$1:E2149,1,FALSE()))),"OLD",IF(AND(E2150&lt;&gt;"",E2150&lt;&gt;"!!!"),"NEW","")))</f>
        <v> </v>
      </c>
      <c r="G2150" s="23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4" t="str">
        <f>IF(J2150&lt;&gt;1,"",IF(I2150="SBJ","CB","?"))</f>
        <v> </v>
      </c>
      <c r="I2150" s="25" t="str">
        <f>IF(OR(E2150="",E2150="!!!",F2150="NEW"),"",INDEX(B2149:B$2,-1+SUMPRODUCT(MAX(ROW(E2149:E$2)*(E2150=E2149:E$2)))))</f>
        <v> </v>
      </c>
      <c r="J2150" s="25" t="str">
        <f>IF(OR(E2150="",E2150="!!!",F2150="NEW"),"",COUNTBLANK(OFFSET(A$1,,,SUMPRODUCT(MAX(ROW(E$2:E2150)*(E2150=E$2:E2150)))))-COUNTBLANK(OFFSET(A$1,,,SUMPRODUCT(MAX(ROW(E$1:E2149)*(E2=E$1:E2149))))))</f>
        <v> </v>
      </c>
      <c r="K2150" s="25" t="str">
        <f>IF(OR(E2150="",E2150="!!!",F2150="NEW"),"",INDEX(J$1:J2149,SUMPRODUCT(MAX(ROW(E$1:E2149)*(E2150=E$1:E2149)))))</f>
        <v> </v>
      </c>
      <c r="L2150" s="26"/>
    </row>
    <row r="2151" spans="1:12">
      <c r="A2151" s="20" t="s">
        <v>820</v>
      </c>
      <c r="E2151" s="21">
        <f>IF(D2151="?OLD","!!!","")</f>
        <v/>
      </c>
      <c r="F2151" s="22" t="str">
        <f>IF(OR(E2151="",E2151="!!!"),"",IF(NOT(ISNA(VLOOKUP(E2151,E$1:E2150,1,FALSE()))),"OLD",IF(AND(E2151&lt;&gt;"",E2151&lt;&gt;"!!!"),"NEW","")))</f>
        <v> </v>
      </c>
      <c r="G2151" s="23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4" t="str">
        <f>IF(J2151&lt;&gt;1,"",IF(I2151="SBJ","CB","?"))</f>
        <v> </v>
      </c>
      <c r="I2151" s="25" t="str">
        <f>IF(OR(E2151="",E2151="!!!",F2151="NEW"),"",INDEX(B2150:B$2,-1+SUMPRODUCT(MAX(ROW(E2150:E$2)*(E2151=E2150:E$2)))))</f>
        <v> </v>
      </c>
      <c r="J2151" s="25" t="str">
        <f>IF(OR(E2151="",E2151="!!!",F2151="NEW"),"",COUNTBLANK(OFFSET(A$1,,,SUMPRODUCT(MAX(ROW(E$2:E2151)*(E2151=E$2:E2151)))))-COUNTBLANK(OFFSET(A$1,,,SUMPRODUCT(MAX(ROW(E$1:E2150)*(E2=E$1:E2150))))))</f>
        <v> </v>
      </c>
      <c r="K2151" s="25" t="str">
        <f>IF(OR(E2151="",E2151="!!!",F2151="NEW"),"",INDEX(J$1:J2150,SUMPRODUCT(MAX(ROW(E$1:E2150)*(E2151=E$1:E2150)))))</f>
        <v> </v>
      </c>
      <c r="L2151" s="26"/>
    </row>
    <row r="2152" spans="1:12">
      <c r="A2152" s="20" t="s">
        <v>934</v>
      </c>
      <c r="E2152" s="21">
        <f>IF(D2152="?OLD","!!!","")</f>
        <v/>
      </c>
      <c r="F2152" s="22" t="str">
        <f>IF(OR(E2152="",E2152="!!!"),"",IF(NOT(ISNA(VLOOKUP(E2152,E$1:E2151,1,FALSE()))),"OLD",IF(AND(E2152&lt;&gt;"",E2152&lt;&gt;"!!!"),"NEW","")))</f>
        <v> </v>
      </c>
      <c r="G2152" s="23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4" t="str">
        <f>IF(J2152&lt;&gt;1,"",IF(I2152="SBJ","CB","?"))</f>
        <v> </v>
      </c>
      <c r="I2152" s="25" t="str">
        <f>IF(OR(E2152="",E2152="!!!",F2152="NEW"),"",INDEX(B2151:B$2,-1+SUMPRODUCT(MAX(ROW(E2151:E$2)*(E2152=E2151:E$2)))))</f>
        <v> </v>
      </c>
      <c r="J2152" s="25" t="str">
        <f>IF(OR(E2152="",E2152="!!!",F2152="NEW"),"",COUNTBLANK(OFFSET(A$1,,,SUMPRODUCT(MAX(ROW(E$2:E2152)*(E2152=E$2:E2152)))))-COUNTBLANK(OFFSET(A$1,,,SUMPRODUCT(MAX(ROW(E$1:E2151)*(E2=E$1:E2151))))))</f>
        <v> </v>
      </c>
      <c r="K2152" s="25" t="str">
        <f>IF(OR(E2152="",E2152="!!!",F2152="NEW"),"",INDEX(J$1:J2151,SUMPRODUCT(MAX(ROW(E$1:E2151)*(E2152=E$1:E2151)))))</f>
        <v> </v>
      </c>
      <c r="L2152" s="26"/>
    </row>
    <row r="2153" spans="1:12">
      <c r="A2153" s="20" t="s">
        <v>525</v>
      </c>
      <c r="E2153" s="21">
        <f>IF(D2153="?OLD","!!!","")</f>
        <v/>
      </c>
      <c r="F2153" s="22" t="str">
        <f>IF(OR(E2153="",E2153="!!!"),"",IF(NOT(ISNA(VLOOKUP(E2153,E$1:E2152,1,FALSE()))),"OLD",IF(AND(E2153&lt;&gt;"",E2153&lt;&gt;"!!!"),"NEW","")))</f>
        <v> </v>
      </c>
      <c r="G2153" s="23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4" t="str">
        <f>IF(J2153&lt;&gt;1,"",IF(I2153="SBJ","CB","?"))</f>
        <v> </v>
      </c>
      <c r="I2153" s="25" t="str">
        <f>IF(OR(E2153="",E2153="!!!",F2153="NEW"),"",INDEX(B2152:B$2,-1+SUMPRODUCT(MAX(ROW(E2152:E$2)*(E2153=E2152:E$2)))))</f>
        <v> </v>
      </c>
      <c r="J2153" s="25" t="str">
        <f>IF(OR(E2153="",E2153="!!!",F2153="NEW"),"",COUNTBLANK(OFFSET(A$1,,,SUMPRODUCT(MAX(ROW(E$2:E2153)*(E2153=E$2:E2153)))))-COUNTBLANK(OFFSET(A$1,,,SUMPRODUCT(MAX(ROW(E$1:E2152)*(E2=E$1:E2152))))))</f>
        <v> </v>
      </c>
      <c r="K2153" s="25" t="str">
        <f>IF(OR(E2153="",E2153="!!!",F2153="NEW"),"",INDEX(J$1:J2152,SUMPRODUCT(MAX(ROW(E$1:E2152)*(E2153=E$1:E2152)))))</f>
        <v> </v>
      </c>
      <c r="L2153" s="26"/>
    </row>
    <row r="2154" spans="1:12">
      <c r="A2154" s="20" t="s">
        <v>1304</v>
      </c>
      <c r="B2154" s="27" t="s">
        <v>522</v>
      </c>
      <c r="C2154" s="27" t="s">
        <v>527</v>
      </c>
      <c r="E2154" s="21">
        <f>IF(D2154="?OLD","!!!","")</f>
        <v/>
      </c>
      <c r="F2154" s="22" t="str">
        <f>IF(OR(E2154="",E2154="!!!"),"",IF(NOT(ISNA(VLOOKUP(E2154,E$1:E2153,1,FALSE()))),"OLD",IF(AND(E2154&lt;&gt;"",E2154&lt;&gt;"!!!"),"NEW","")))</f>
        <v> </v>
      </c>
      <c r="G2154" s="23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4" t="str">
        <f>IF(J2154&lt;&gt;1,"",IF(I2154="SBJ","CB","?"))</f>
        <v> </v>
      </c>
      <c r="I2154" s="25" t="str">
        <f>IF(OR(E2154="",E2154="!!!",F2154="NEW"),"",INDEX(B2153:B$2,-1+SUMPRODUCT(MAX(ROW(E2153:E$2)*(E2154=E2153:E$2)))))</f>
        <v> </v>
      </c>
      <c r="J2154" s="25" t="str">
        <f>IF(OR(E2154="",E2154="!!!",F2154="NEW"),"",COUNTBLANK(OFFSET(A$1,,,SUMPRODUCT(MAX(ROW(E$2:E2154)*(E2154=E$2:E2154)))))-COUNTBLANK(OFFSET(A$1,,,SUMPRODUCT(MAX(ROW(E$1:E2153)*(E2=E$1:E2153))))))</f>
        <v> </v>
      </c>
      <c r="K2154" s="25" t="str">
        <f>IF(OR(E2154="",E2154="!!!",F2154="NEW"),"",INDEX(J$1:J2153,SUMPRODUCT(MAX(ROW(E$1:E2153)*(E2154=E$1:E2153)))))</f>
        <v> </v>
      </c>
      <c r="L2154" s="26"/>
    </row>
    <row r="2155" spans="1:12">
      <c r="A2155" s="20" t="s">
        <v>542</v>
      </c>
      <c r="E2155" s="21">
        <f>IF(D2155="?OLD","!!!","")</f>
        <v/>
      </c>
      <c r="F2155" s="22" t="str">
        <f>IF(OR(E2155="",E2155="!!!"),"",IF(NOT(ISNA(VLOOKUP(E2155,E$1:E2154,1,FALSE()))),"OLD",IF(AND(E2155&lt;&gt;"",E2155&lt;&gt;"!!!"),"NEW","")))</f>
        <v> </v>
      </c>
      <c r="G2155" s="23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4" t="str">
        <f>IF(J2155&lt;&gt;1,"",IF(I2155="SBJ","CB","?"))</f>
        <v> </v>
      </c>
      <c r="I2155" s="25" t="str">
        <f>IF(OR(E2155="",E2155="!!!",F2155="NEW"),"",INDEX(B2154:B$2,-1+SUMPRODUCT(MAX(ROW(E2154:E$2)*(E2155=E2154:E$2)))))</f>
        <v> </v>
      </c>
      <c r="J2155" s="25" t="str">
        <f>IF(OR(E2155="",E2155="!!!",F2155="NEW"),"",COUNTBLANK(OFFSET(A$1,,,SUMPRODUCT(MAX(ROW(E$2:E2155)*(E2155=E$2:E2155)))))-COUNTBLANK(OFFSET(A$1,,,SUMPRODUCT(MAX(ROW(E$1:E2154)*(E2=E$1:E2154))))))</f>
        <v> </v>
      </c>
      <c r="K2155" s="25" t="str">
        <f>IF(OR(E2155="",E2155="!!!",F2155="NEW"),"",INDEX(J$1:J2154,SUMPRODUCT(MAX(ROW(E$1:E2154)*(E2155=E$1:E2154)))))</f>
        <v> </v>
      </c>
      <c r="L2155" s="26"/>
    </row>
    <row r="2156" spans="1:12">
      <c r="A2156" s="20" t="s">
        <v>775</v>
      </c>
      <c r="B2156" s="27" t="s">
        <v>522</v>
      </c>
      <c r="C2156" s="27" t="s">
        <v>564</v>
      </c>
      <c r="E2156" s="21">
        <f>IF(D2156="?OLD","!!!","")</f>
        <v/>
      </c>
      <c r="F2156" s="22" t="str">
        <f>IF(OR(E2156="",E2156="!!!"),"",IF(NOT(ISNA(VLOOKUP(E2156,E$1:E2155,1,FALSE()))),"OLD",IF(AND(E2156&lt;&gt;"",E2156&lt;&gt;"!!!"),"NEW","")))</f>
        <v> </v>
      </c>
      <c r="G2156" s="23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4" t="str">
        <f>IF(J2156&lt;&gt;1,"",IF(I2156="SBJ","CB","?"))</f>
        <v> </v>
      </c>
      <c r="I2156" s="25" t="str">
        <f>IF(OR(E2156="",E2156="!!!",F2156="NEW"),"",INDEX(B2155:B$2,-1+SUMPRODUCT(MAX(ROW(E2155:E$2)*(E2156=E2155:E$2)))))</f>
        <v> </v>
      </c>
      <c r="J2156" s="25" t="str">
        <f>IF(OR(E2156="",E2156="!!!",F2156="NEW"),"",COUNTBLANK(OFFSET(A$1,,,SUMPRODUCT(MAX(ROW(E$2:E2156)*(E2156=E$2:E2156)))))-COUNTBLANK(OFFSET(A$1,,,SUMPRODUCT(MAX(ROW(E$1:E2155)*(E2=E$1:E2155))))))</f>
        <v> </v>
      </c>
      <c r="K2156" s="25" t="str">
        <f>IF(OR(E2156="",E2156="!!!",F2156="NEW"),"",INDEX(J$1:J2155,SUMPRODUCT(MAX(ROW(E$1:E2155)*(E2156=E$1:E2155)))))</f>
        <v> </v>
      </c>
      <c r="L2156" s="26"/>
    </row>
    <row r="2157" spans="1:12">
      <c r="A2157" s="20" t="s">
        <v>1302</v>
      </c>
      <c r="E2157" s="21">
        <f>IF(D2157="?OLD","!!!","")</f>
        <v/>
      </c>
      <c r="F2157" s="22" t="str">
        <f>IF(OR(E2157="",E2157="!!!"),"",IF(NOT(ISNA(VLOOKUP(E2157,E$1:E2156,1,FALSE()))),"OLD",IF(AND(E2157&lt;&gt;"",E2157&lt;&gt;"!!!"),"NEW","")))</f>
        <v> </v>
      </c>
      <c r="G2157" s="23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4" t="str">
        <f>IF(J2157&lt;&gt;1,"",IF(I2157="SBJ","CB","?"))</f>
        <v> </v>
      </c>
      <c r="I2157" s="25" t="str">
        <f>IF(OR(E2157="",E2157="!!!",F2157="NEW"),"",INDEX(B2156:B$2,-1+SUMPRODUCT(MAX(ROW(E2156:E$2)*(E2157=E2156:E$2)))))</f>
        <v> </v>
      </c>
      <c r="J2157" s="25" t="str">
        <f>IF(OR(E2157="",E2157="!!!",F2157="NEW"),"",COUNTBLANK(OFFSET(A$1,,,SUMPRODUCT(MAX(ROW(E$2:E2157)*(E2157=E$2:E2157)))))-COUNTBLANK(OFFSET(A$1,,,SUMPRODUCT(MAX(ROW(E$1:E2156)*(E2=E$1:E2156))))))</f>
        <v> </v>
      </c>
      <c r="K2157" s="25" t="str">
        <f>IF(OR(E2157="",E2157="!!!",F2157="NEW"),"",INDEX(J$1:J2156,SUMPRODUCT(MAX(ROW(E$1:E2156)*(E2157=E$1:E2156)))))</f>
        <v> </v>
      </c>
      <c r="L2157" s="26"/>
    </row>
    <row r="2158" spans="1:12">
      <c r="A2158" s="20" t="s">
        <v>549</v>
      </c>
      <c r="E2158" s="21">
        <f>IF(D2158="?OLD","!!!","")</f>
        <v/>
      </c>
      <c r="F2158" s="22" t="str">
        <f>IF(OR(E2158="",E2158="!!!"),"",IF(NOT(ISNA(VLOOKUP(E2158,E$1:E2157,1,FALSE()))),"OLD",IF(AND(E2158&lt;&gt;"",E2158&lt;&gt;"!!!"),"NEW","")))</f>
        <v> </v>
      </c>
      <c r="G2158" s="23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4" t="str">
        <f>IF(J2158&lt;&gt;1,"",IF(I2158="SBJ","CB","?"))</f>
        <v> </v>
      </c>
      <c r="I2158" s="25" t="str">
        <f>IF(OR(E2158="",E2158="!!!",F2158="NEW"),"",INDEX(B2157:B$2,-1+SUMPRODUCT(MAX(ROW(E2157:E$2)*(E2158=E2157:E$2)))))</f>
        <v> </v>
      </c>
      <c r="J2158" s="25" t="str">
        <f>IF(OR(E2158="",E2158="!!!",F2158="NEW"),"",COUNTBLANK(OFFSET(A$1,,,SUMPRODUCT(MAX(ROW(E$2:E2158)*(E2158=E$2:E2158)))))-COUNTBLANK(OFFSET(A$1,,,SUMPRODUCT(MAX(ROW(E$1:E2157)*(E2=E$1:E2157))))))</f>
        <v> </v>
      </c>
      <c r="K2158" s="25" t="str">
        <f>IF(OR(E2158="",E2158="!!!",F2158="NEW"),"",INDEX(J$1:J2157,SUMPRODUCT(MAX(ROW(E$1:E2157)*(E2158=E$1:E2157)))))</f>
        <v> </v>
      </c>
      <c r="L2158" s="26"/>
    </row>
    <row r="2159" spans="1:12">
      <c r="A2159" s="20"/>
    </row>
    <row r="2160" spans="1:12">
      <c r="A2160" s="20" t="s">
        <v>1305</v>
      </c>
    </row>
    <row r="2161" spans="1:12">
      <c r="A2161" s="20" t="s">
        <v>1306</v>
      </c>
      <c r="E2161" s="21">
        <f>IF(D2161="?OLD","!!!","")</f>
        <v/>
      </c>
      <c r="F2161" s="22" t="str">
        <f>IF(OR(E2161="",E2161="!!!"),"",IF(NOT(ISNA(VLOOKUP(E2161,E$1:E2160,1,FALSE()))),"OLD",IF(AND(E2161&lt;&gt;"",E2161&lt;&gt;"!!!"),"NEW","")))</f>
        <v> </v>
      </c>
      <c r="G2161" s="23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4" t="str">
        <f>IF(J2161&lt;&gt;1,"",IF(I2161="SBJ","CB","?"))</f>
        <v> </v>
      </c>
      <c r="I2161" s="25" t="str">
        <f>IF(OR(E2161="",E2161="!!!",F2161="NEW"),"",INDEX(B2160:B$2,-1+SUMPRODUCT(MAX(ROW(E2160:E$2)*(E2161=E2160:E$2)))))</f>
        <v> </v>
      </c>
      <c r="J2161" s="25" t="str">
        <f>IF(OR(E2161="",E2161="!!!",F2161="NEW"),"",COUNTBLANK(OFFSET(A$1,,,SUMPRODUCT(MAX(ROW(E$2:E2161)*(E2161=E$2:E2161)))))-COUNTBLANK(OFFSET(A$1,,,SUMPRODUCT(MAX(ROW(E$1:E2160)*(E2=E$1:E2160))))))</f>
        <v> </v>
      </c>
      <c r="K2161" s="25" t="str">
        <f>IF(OR(E2161="",E2161="!!!",F2161="NEW"),"",INDEX(J$1:J2160,SUMPRODUCT(MAX(ROW(E$1:E2160)*(E2161=E$1:E2160)))))</f>
        <v> </v>
      </c>
      <c r="L2161" s="26"/>
    </row>
    <row r="2162" spans="1:12">
      <c r="A2162" s="20" t="s">
        <v>1307</v>
      </c>
      <c r="E2162" s="21">
        <f>IF(D2162="?OLD","!!!","")</f>
        <v/>
      </c>
      <c r="F2162" s="22" t="str">
        <f>IF(OR(E2162="",E2162="!!!"),"",IF(NOT(ISNA(VLOOKUP(E2162,E$1:E2161,1,FALSE()))),"OLD",IF(AND(E2162&lt;&gt;"",E2162&lt;&gt;"!!!"),"NEW","")))</f>
        <v> </v>
      </c>
      <c r="G2162" s="23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4" t="str">
        <f>IF(J2162&lt;&gt;1,"",IF(I2162="SBJ","CB","?"))</f>
        <v> </v>
      </c>
      <c r="I2162" s="25" t="str">
        <f>IF(OR(E2162="",E2162="!!!",F2162="NEW"),"",INDEX(B2161:B$2,-1+SUMPRODUCT(MAX(ROW(E2161:E$2)*(E2162=E2161:E$2)))))</f>
        <v> </v>
      </c>
      <c r="J2162" s="25" t="str">
        <f>IF(OR(E2162="",E2162="!!!",F2162="NEW"),"",COUNTBLANK(OFFSET(A$1,,,SUMPRODUCT(MAX(ROW(E$2:E2162)*(E2162=E$2:E2162)))))-COUNTBLANK(OFFSET(A$1,,,SUMPRODUCT(MAX(ROW(E$1:E2161)*(E2=E$1:E2161))))))</f>
        <v> </v>
      </c>
      <c r="K2162" s="25" t="str">
        <f>IF(OR(E2162="",E2162="!!!",F2162="NEW"),"",INDEX(J$1:J2161,SUMPRODUCT(MAX(ROW(E$1:E2161)*(E2162=E$1:E2161)))))</f>
        <v> </v>
      </c>
      <c r="L2162" s="26"/>
    </row>
    <row r="2163" spans="1:12">
      <c r="A2163" s="20" t="s">
        <v>542</v>
      </c>
      <c r="E2163" s="21">
        <f>IF(D2163="?OLD","!!!","")</f>
        <v/>
      </c>
      <c r="F2163" s="22" t="str">
        <f>IF(OR(E2163="",E2163="!!!"),"",IF(NOT(ISNA(VLOOKUP(E2163,E$1:E2162,1,FALSE()))),"OLD",IF(AND(E2163&lt;&gt;"",E2163&lt;&gt;"!!!"),"NEW","")))</f>
        <v> </v>
      </c>
      <c r="G2163" s="23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4" t="str">
        <f>IF(J2163&lt;&gt;1,"",IF(I2163="SBJ","CB","?"))</f>
        <v> </v>
      </c>
      <c r="I2163" s="25" t="str">
        <f>IF(OR(E2163="",E2163="!!!",F2163="NEW"),"",INDEX(B2162:B$2,-1+SUMPRODUCT(MAX(ROW(E2162:E$2)*(E2163=E2162:E$2)))))</f>
        <v> </v>
      </c>
      <c r="J2163" s="25" t="str">
        <f>IF(OR(E2163="",E2163="!!!",F2163="NEW"),"",COUNTBLANK(OFFSET(A$1,,,SUMPRODUCT(MAX(ROW(E$2:E2163)*(E2163=E$2:E2163)))))-COUNTBLANK(OFFSET(A$1,,,SUMPRODUCT(MAX(ROW(E$1:E2162)*(E2=E$1:E2162))))))</f>
        <v> </v>
      </c>
      <c r="K2163" s="25" t="str">
        <f>IF(OR(E2163="",E2163="!!!",F2163="NEW"),"",INDEX(J$1:J2162,SUMPRODUCT(MAX(ROW(E$1:E2162)*(E2163=E$1:E2162)))))</f>
        <v> </v>
      </c>
      <c r="L2163" s="26"/>
    </row>
    <row r="2164" spans="1:12">
      <c r="A2164" s="20" t="s">
        <v>1058</v>
      </c>
      <c r="B2164" s="27" t="s">
        <v>522</v>
      </c>
      <c r="C2164" s="27" t="s">
        <v>545</v>
      </c>
      <c r="D2164" s="27" t="s">
        <v>524</v>
      </c>
      <c r="E2164" s="21">
        <f>IF(D2164="?OLD","!!!","")</f>
        <v/>
      </c>
      <c r="F2164" s="22" t="str">
        <f>IF(OR(E2164="",E2164="!!!"),"",IF(NOT(ISNA(VLOOKUP(E2164,E$1:E2163,1,FALSE()))),"OLD",IF(AND(E2164&lt;&gt;"",E2164&lt;&gt;"!!!"),"NEW","")))</f>
        <v> </v>
      </c>
      <c r="G2164" s="23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4" t="str">
        <f>IF(J2164&lt;&gt;1,"",IF(I2164="SBJ","CB","?"))</f>
        <v> </v>
      </c>
      <c r="I2164" s="25" t="str">
        <f>IF(OR(E2164="",E2164="!!!",F2164="NEW"),"",INDEX(B2163:B$2,-1+SUMPRODUCT(MAX(ROW(E2163:E$2)*(E2164=E2163:E$2)))))</f>
        <v> </v>
      </c>
      <c r="J2164" s="25" t="str">
        <f>IF(OR(E2164="",E2164="!!!",F2164="NEW"),"",COUNTBLANK(OFFSET(A$1,,,SUMPRODUCT(MAX(ROW(E$2:E2164)*(E2164=E$2:E2164)))))-COUNTBLANK(OFFSET(A$1,,,SUMPRODUCT(MAX(ROW(E$1:E2163)*(E2=E$1:E2163))))))</f>
        <v> </v>
      </c>
      <c r="K2164" s="25" t="str">
        <f>IF(OR(E2164="",E2164="!!!",F2164="NEW"),"",INDEX(J$1:J2163,SUMPRODUCT(MAX(ROW(E$1:E2163)*(E2164=E$1:E2163)))))</f>
        <v> </v>
      </c>
      <c r="L2164" s="26"/>
    </row>
    <row r="2165" spans="1:12">
      <c r="A2165" s="20" t="s">
        <v>719</v>
      </c>
      <c r="E2165" s="21">
        <f>IF(D2165="?OLD","!!!","")</f>
        <v/>
      </c>
      <c r="F2165" s="22" t="str">
        <f>IF(OR(E2165="",E2165="!!!"),"",IF(NOT(ISNA(VLOOKUP(E2165,E$1:E2164,1,FALSE()))),"OLD",IF(AND(E2165&lt;&gt;"",E2165&lt;&gt;"!!!"),"NEW","")))</f>
        <v> </v>
      </c>
      <c r="G2165" s="23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4" t="str">
        <f>IF(J2165&lt;&gt;1,"",IF(I2165="SBJ","CB","?"))</f>
        <v> </v>
      </c>
      <c r="I2165" s="25" t="str">
        <f>IF(OR(E2165="",E2165="!!!",F2165="NEW"),"",INDEX(B2164:B$2,-1+SUMPRODUCT(MAX(ROW(E2164:E$2)*(E2165=E2164:E$2)))))</f>
        <v> </v>
      </c>
      <c r="J2165" s="25" t="str">
        <f>IF(OR(E2165="",E2165="!!!",F2165="NEW"),"",COUNTBLANK(OFFSET(A$1,,,SUMPRODUCT(MAX(ROW(E$2:E2165)*(E2165=E$2:E2165)))))-COUNTBLANK(OFFSET(A$1,,,SUMPRODUCT(MAX(ROW(E$1:E2164)*(E2=E$1:E2164))))))</f>
        <v> </v>
      </c>
      <c r="K2165" s="25" t="str">
        <f>IF(OR(E2165="",E2165="!!!",F2165="NEW"),"",INDEX(J$1:J2164,SUMPRODUCT(MAX(ROW(E$1:E2164)*(E2165=E$1:E2164)))))</f>
        <v> </v>
      </c>
      <c r="L2165" s="26"/>
    </row>
    <row r="2166" spans="1:12">
      <c r="A2166" s="20" t="s">
        <v>555</v>
      </c>
      <c r="B2166" s="27" t="s">
        <v>597</v>
      </c>
      <c r="C2166" s="27" t="s">
        <v>557</v>
      </c>
      <c r="E2166" s="21">
        <f>IF(D2166="?OLD","!!!","")</f>
        <v/>
      </c>
      <c r="F2166" s="22" t="str">
        <f>IF(OR(E2166="",E2166="!!!"),"",IF(NOT(ISNA(VLOOKUP(E2166,E$1:E2165,1,FALSE()))),"OLD",IF(AND(E2166&lt;&gt;"",E2166&lt;&gt;"!!!"),"NEW","")))</f>
        <v> </v>
      </c>
      <c r="G2166" s="23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4" t="str">
        <f>IF(J2166&lt;&gt;1,"",IF(I2166="SBJ","CB","?"))</f>
        <v> </v>
      </c>
      <c r="I2166" s="25" t="str">
        <f>IF(OR(E2166="",E2166="!!!",F2166="NEW"),"",INDEX(B2165:B$2,-1+SUMPRODUCT(MAX(ROW(E2165:E$2)*(E2166=E2165:E$2)))))</f>
        <v> </v>
      </c>
      <c r="J2166" s="25" t="str">
        <f>IF(OR(E2166="",E2166="!!!",F2166="NEW"),"",COUNTBLANK(OFFSET(A$1,,,SUMPRODUCT(MAX(ROW(E$2:E2166)*(E2166=E$2:E2166)))))-COUNTBLANK(OFFSET(A$1,,,SUMPRODUCT(MAX(ROW(E$1:E2165)*(E2=E$1:E2165))))))</f>
        <v> </v>
      </c>
      <c r="K2166" s="25" t="str">
        <f>IF(OR(E2166="",E2166="!!!",F2166="NEW"),"",INDEX(J$1:J2165,SUMPRODUCT(MAX(ROW(E$1:E2165)*(E2166=E$1:E2165)))))</f>
        <v> </v>
      </c>
      <c r="L2166" s="26"/>
    </row>
    <row r="2167" spans="1:12">
      <c r="A2167" s="20" t="s">
        <v>429</v>
      </c>
      <c r="E2167" s="21">
        <f>IF(D2167="?OLD","!!!","")</f>
        <v/>
      </c>
      <c r="F2167" s="22" t="str">
        <f>IF(OR(E2167="",E2167="!!!"),"",IF(NOT(ISNA(VLOOKUP(E2167,E$1:E2166,1,FALSE()))),"OLD",IF(AND(E2167&lt;&gt;"",E2167&lt;&gt;"!!!"),"NEW","")))</f>
        <v> </v>
      </c>
      <c r="G2167" s="23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4" t="str">
        <f>IF(J2167&lt;&gt;1,"",IF(I2167="SBJ","CB","?"))</f>
        <v> </v>
      </c>
      <c r="I2167" s="25" t="str">
        <f>IF(OR(E2167="",E2167="!!!",F2167="NEW"),"",INDEX(B2166:B$2,-1+SUMPRODUCT(MAX(ROW(E2166:E$2)*(E2167=E2166:E$2)))))</f>
        <v> </v>
      </c>
      <c r="J2167" s="25" t="str">
        <f>IF(OR(E2167="",E2167="!!!",F2167="NEW"),"",COUNTBLANK(OFFSET(A$1,,,SUMPRODUCT(MAX(ROW(E$2:E2167)*(E2167=E$2:E2167)))))-COUNTBLANK(OFFSET(A$1,,,SUMPRODUCT(MAX(ROW(E$1:E2166)*(E2=E$1:E2166))))))</f>
        <v> </v>
      </c>
      <c r="K2167" s="25" t="str">
        <f>IF(OR(E2167="",E2167="!!!",F2167="NEW"),"",INDEX(J$1:J2166,SUMPRODUCT(MAX(ROW(E$1:E2166)*(E2167=E$1:E2166)))))</f>
        <v> </v>
      </c>
      <c r="L2167" s="26"/>
    </row>
    <row r="2168" spans="1:12">
      <c r="A2168" s="20" t="s">
        <v>518</v>
      </c>
      <c r="E2168" s="21">
        <f>IF(D2168="?OLD","!!!","")</f>
        <v/>
      </c>
      <c r="F2168" s="22" t="str">
        <f>IF(OR(E2168="",E2168="!!!"),"",IF(NOT(ISNA(VLOOKUP(E2168,E$1:E2167,1,FALSE()))),"OLD",IF(AND(E2168&lt;&gt;"",E2168&lt;&gt;"!!!"),"NEW","")))</f>
        <v> </v>
      </c>
      <c r="G2168" s="23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4" t="str">
        <f>IF(J2168&lt;&gt;1,"",IF(I2168="SBJ","CB","?"))</f>
        <v> </v>
      </c>
      <c r="I2168" s="25" t="str">
        <f>IF(OR(E2168="",E2168="!!!",F2168="NEW"),"",INDEX(B2167:B$2,-1+SUMPRODUCT(MAX(ROW(E2167:E$2)*(E2168=E2167:E$2)))))</f>
        <v> </v>
      </c>
      <c r="J2168" s="25" t="str">
        <f>IF(OR(E2168="",E2168="!!!",F2168="NEW"),"",COUNTBLANK(OFFSET(A$1,,,SUMPRODUCT(MAX(ROW(E$2:E2168)*(E2168=E$2:E2168)))))-COUNTBLANK(OFFSET(A$1,,,SUMPRODUCT(MAX(ROW(E$1:E2167)*(E2=E$1:E2167))))))</f>
        <v> </v>
      </c>
      <c r="K2168" s="25" t="str">
        <f>IF(OR(E2168="",E2168="!!!",F2168="NEW"),"",INDEX(J$1:J2167,SUMPRODUCT(MAX(ROW(E$1:E2167)*(E2168=E$1:E2167)))))</f>
        <v> </v>
      </c>
      <c r="L2168" s="26"/>
    </row>
    <row r="2169" spans="1:12">
      <c r="A2169" s="20" t="s">
        <v>571</v>
      </c>
      <c r="B2169" s="27" t="s">
        <v>699</v>
      </c>
      <c r="C2169" s="27" t="s">
        <v>584</v>
      </c>
      <c r="D2169" s="27" t="s">
        <v>524</v>
      </c>
      <c r="E2169" s="21">
        <f>IF(D2169="?OLD","!!!","")</f>
        <v/>
      </c>
      <c r="F2169" s="22" t="str">
        <f>IF(OR(E2169="",E2169="!!!"),"",IF(NOT(ISNA(VLOOKUP(E2169,E$1:E2168,1,FALSE()))),"OLD",IF(AND(E2169&lt;&gt;"",E2169&lt;&gt;"!!!"),"NEW","")))</f>
        <v> </v>
      </c>
      <c r="G2169" s="23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4" t="str">
        <f>IF(J2169&lt;&gt;1,"",IF(I2169="SBJ","CB","?"))</f>
        <v> </v>
      </c>
      <c r="I2169" s="25" t="str">
        <f>IF(OR(E2169="",E2169="!!!",F2169="NEW"),"",INDEX(B2168:B$2,-1+SUMPRODUCT(MAX(ROW(E2168:E$2)*(E2169=E2168:E$2)))))</f>
        <v> </v>
      </c>
      <c r="J2169" s="25" t="str">
        <f>IF(OR(E2169="",E2169="!!!",F2169="NEW"),"",COUNTBLANK(OFFSET(A$1,,,SUMPRODUCT(MAX(ROW(E$2:E2169)*(E2169=E$2:E2169)))))-COUNTBLANK(OFFSET(A$1,,,SUMPRODUCT(MAX(ROW(E$1:E2168)*(E2=E$1:E2168))))))</f>
        <v> </v>
      </c>
      <c r="K2169" s="25" t="str">
        <f>IF(OR(E2169="",E2169="!!!",F2169="NEW"),"",INDEX(J$1:J2168,SUMPRODUCT(MAX(ROW(E$1:E2168)*(E2169=E$1:E2168)))))</f>
        <v> </v>
      </c>
      <c r="L2169" s="26"/>
    </row>
    <row r="2170" spans="1:12">
      <c r="A2170" s="20" t="s">
        <v>528</v>
      </c>
      <c r="E2170" s="21">
        <f>IF(D2170="?OLD","!!!","")</f>
        <v/>
      </c>
      <c r="F2170" s="22" t="str">
        <f>IF(OR(E2170="",E2170="!!!"),"",IF(NOT(ISNA(VLOOKUP(E2170,E$1:E2169,1,FALSE()))),"OLD",IF(AND(E2170&lt;&gt;"",E2170&lt;&gt;"!!!"),"NEW","")))</f>
        <v> </v>
      </c>
      <c r="G2170" s="23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4" t="str">
        <f>IF(J2170&lt;&gt;1,"",IF(I2170="SBJ","CB","?"))</f>
        <v> </v>
      </c>
      <c r="I2170" s="25" t="str">
        <f>IF(OR(E2170="",E2170="!!!",F2170="NEW"),"",INDEX(B2169:B$2,-1+SUMPRODUCT(MAX(ROW(E2169:E$2)*(E2170=E2169:E$2)))))</f>
        <v> </v>
      </c>
      <c r="J2170" s="25" t="str">
        <f>IF(OR(E2170="",E2170="!!!",F2170="NEW"),"",COUNTBLANK(OFFSET(A$1,,,SUMPRODUCT(MAX(ROW(E$2:E2170)*(E2170=E$2:E2170)))))-COUNTBLANK(OFFSET(A$1,,,SUMPRODUCT(MAX(ROW(E$1:E2169)*(E2=E$1:E2169))))))</f>
        <v> </v>
      </c>
      <c r="K2170" s="25" t="str">
        <f>IF(OR(E2170="",E2170="!!!",F2170="NEW"),"",INDEX(J$1:J2169,SUMPRODUCT(MAX(ROW(E$1:E2169)*(E2170=E$1:E2169)))))</f>
        <v> </v>
      </c>
      <c r="L2170" s="26"/>
    </row>
    <row r="2171" spans="1:12">
      <c r="A2171" s="20" t="s">
        <v>1308</v>
      </c>
      <c r="E2171" s="21">
        <f>IF(D2171="?OLD","!!!","")</f>
        <v/>
      </c>
      <c r="F2171" s="22" t="str">
        <f>IF(OR(E2171="",E2171="!!!"),"",IF(NOT(ISNA(VLOOKUP(E2171,E$1:E2170,1,FALSE()))),"OLD",IF(AND(E2171&lt;&gt;"",E2171&lt;&gt;"!!!"),"NEW","")))</f>
        <v> </v>
      </c>
      <c r="G2171" s="23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4" t="str">
        <f>IF(J2171&lt;&gt;1,"",IF(I2171="SBJ","CB","?"))</f>
        <v> </v>
      </c>
      <c r="I2171" s="25" t="str">
        <f>IF(OR(E2171="",E2171="!!!",F2171="NEW"),"",INDEX(B2170:B$2,-1+SUMPRODUCT(MAX(ROW(E2170:E$2)*(E2171=E2170:E$2)))))</f>
        <v> </v>
      </c>
      <c r="J2171" s="25" t="str">
        <f>IF(OR(E2171="",E2171="!!!",F2171="NEW"),"",COUNTBLANK(OFFSET(A$1,,,SUMPRODUCT(MAX(ROW(E$2:E2171)*(E2171=E$2:E2171)))))-COUNTBLANK(OFFSET(A$1,,,SUMPRODUCT(MAX(ROW(E$1:E2170)*(E2=E$1:E2170))))))</f>
        <v> </v>
      </c>
      <c r="K2171" s="25" t="str">
        <f>IF(OR(E2171="",E2171="!!!",F2171="NEW"),"",INDEX(J$1:J2170,SUMPRODUCT(MAX(ROW(E$1:E2170)*(E2171=E$1:E2170)))))</f>
        <v> </v>
      </c>
      <c r="L2171" s="26"/>
    </row>
    <row r="2172" spans="1:12">
      <c r="A2172" s="20" t="s">
        <v>1309</v>
      </c>
      <c r="B2172" s="27" t="s">
        <v>534</v>
      </c>
      <c r="C2172" s="27" t="s">
        <v>564</v>
      </c>
      <c r="E2172" s="21">
        <f>IF(D2172="?OLD","!!!","")</f>
        <v/>
      </c>
      <c r="F2172" s="22" t="str">
        <f>IF(OR(E2172="",E2172="!!!"),"",IF(NOT(ISNA(VLOOKUP(E2172,E$1:E2171,1,FALSE()))),"OLD",IF(AND(E2172&lt;&gt;"",E2172&lt;&gt;"!!!"),"NEW","")))</f>
        <v> </v>
      </c>
      <c r="G2172" s="23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4" t="str">
        <f>IF(J2172&lt;&gt;1,"",IF(I2172="SBJ","CB","?"))</f>
        <v> </v>
      </c>
      <c r="I2172" s="25" t="str">
        <f>IF(OR(E2172="",E2172="!!!",F2172="NEW"),"",INDEX(B2171:B$2,-1+SUMPRODUCT(MAX(ROW(E2171:E$2)*(E2172=E2171:E$2)))))</f>
        <v> </v>
      </c>
      <c r="J2172" s="25" t="str">
        <f>IF(OR(E2172="",E2172="!!!",F2172="NEW"),"",COUNTBLANK(OFFSET(A$1,,,SUMPRODUCT(MAX(ROW(E$2:E2172)*(E2172=E$2:E2172)))))-COUNTBLANK(OFFSET(A$1,,,SUMPRODUCT(MAX(ROW(E$1:E2171)*(E2=E$1:E2171))))))</f>
        <v> </v>
      </c>
      <c r="K2172" s="25" t="str">
        <f>IF(OR(E2172="",E2172="!!!",F2172="NEW"),"",INDEX(J$1:J2171,SUMPRODUCT(MAX(ROW(E$1:E2171)*(E2172=E$1:E2171)))))</f>
        <v> </v>
      </c>
      <c r="L2172" s="26"/>
    </row>
    <row r="2173" spans="1:12">
      <c r="A2173" s="20" t="s">
        <v>549</v>
      </c>
      <c r="E2173" s="21">
        <f>IF(D2173="?OLD","!!!","")</f>
        <v/>
      </c>
      <c r="F2173" s="22" t="str">
        <f>IF(OR(E2173="",E2173="!!!"),"",IF(NOT(ISNA(VLOOKUP(E2173,E$1:E2172,1,FALSE()))),"OLD",IF(AND(E2173&lt;&gt;"",E2173&lt;&gt;"!!!"),"NEW","")))</f>
        <v> </v>
      </c>
      <c r="G2173" s="23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4" t="str">
        <f>IF(J2173&lt;&gt;1,"",IF(I2173="SBJ","CB","?"))</f>
        <v> </v>
      </c>
      <c r="I2173" s="25" t="str">
        <f>IF(OR(E2173="",E2173="!!!",F2173="NEW"),"",INDEX(B2172:B$2,-1+SUMPRODUCT(MAX(ROW(E2172:E$2)*(E2173=E2172:E$2)))))</f>
        <v> </v>
      </c>
      <c r="J2173" s="25" t="str">
        <f>IF(OR(E2173="",E2173="!!!",F2173="NEW"),"",COUNTBLANK(OFFSET(A$1,,,SUMPRODUCT(MAX(ROW(E$2:E2173)*(E2173=E$2:E2173)))))-COUNTBLANK(OFFSET(A$1,,,SUMPRODUCT(MAX(ROW(E$1:E2172)*(E2=E$1:E2172))))))</f>
        <v> </v>
      </c>
      <c r="K2173" s="25" t="str">
        <f>IF(OR(E2173="",E2173="!!!",F2173="NEW"),"",INDEX(J$1:J2172,SUMPRODUCT(MAX(ROW(E$1:E2172)*(E2173=E$1:E2172)))))</f>
        <v> </v>
      </c>
      <c r="L2173" s="26"/>
    </row>
    <row r="2174" spans="1:12">
      <c r="A2174" s="20"/>
    </row>
    <row r="2175" spans="1:12">
      <c r="A2175" s="20" t="s">
        <v>1310</v>
      </c>
    </row>
    <row r="2176" spans="1:12">
      <c r="A2176" s="20" t="s">
        <v>1036</v>
      </c>
      <c r="E2176" s="21">
        <f>IF(D2176="?OLD","!!!","")</f>
        <v/>
      </c>
      <c r="F2176" s="22" t="str">
        <f>IF(OR(E2176="",E2176="!!!"),"",IF(NOT(ISNA(VLOOKUP(E2176,E$1:E2175,1,FALSE()))),"OLD",IF(AND(E2176&lt;&gt;"",E2176&lt;&gt;"!!!"),"NEW","")))</f>
        <v> </v>
      </c>
      <c r="G2176" s="23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4" t="str">
        <f>IF(J2176&lt;&gt;1,"",IF(I2176="SBJ","CB","?"))</f>
        <v> </v>
      </c>
      <c r="I2176" s="25" t="str">
        <f>IF(OR(E2176="",E2176="!!!",F2176="NEW"),"",INDEX(B2175:B$2,-1+SUMPRODUCT(MAX(ROW(E2175:E$2)*(E2176=E2175:E$2)))))</f>
        <v> </v>
      </c>
      <c r="J2176" s="25" t="str">
        <f>IF(OR(E2176="",E2176="!!!",F2176="NEW"),"",COUNTBLANK(OFFSET(A$1,,,SUMPRODUCT(MAX(ROW(E$2:E2176)*(E2176=E$2:E2176)))))-COUNTBLANK(OFFSET(A$1,,,SUMPRODUCT(MAX(ROW(E$1:E2175)*(E2=E$1:E2175))))))</f>
        <v> </v>
      </c>
      <c r="K2176" s="25" t="str">
        <f>IF(OR(E2176="",E2176="!!!",F2176="NEW"),"",INDEX(J$1:J2175,SUMPRODUCT(MAX(ROW(E$1:E2175)*(E2176=E$1:E2175)))))</f>
        <v> </v>
      </c>
      <c r="L2176" s="26"/>
    </row>
    <row r="2177" spans="1:12">
      <c r="A2177" s="20" t="s">
        <v>1311</v>
      </c>
      <c r="E2177" s="21">
        <f>IF(D2177="?OLD","!!!","")</f>
        <v/>
      </c>
      <c r="F2177" s="22" t="str">
        <f>IF(OR(E2177="",E2177="!!!"),"",IF(NOT(ISNA(VLOOKUP(E2177,E$1:E2176,1,FALSE()))),"OLD",IF(AND(E2177&lt;&gt;"",E2177&lt;&gt;"!!!"),"NEW","")))</f>
        <v> </v>
      </c>
      <c r="G2177" s="23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4" t="str">
        <f>IF(J2177&lt;&gt;1,"",IF(I2177="SBJ","CB","?"))</f>
        <v> </v>
      </c>
      <c r="I2177" s="25" t="str">
        <f>IF(OR(E2177="",E2177="!!!",F2177="NEW"),"",INDEX(B2176:B$2,-1+SUMPRODUCT(MAX(ROW(E2176:E$2)*(E2177=E2176:E$2)))))</f>
        <v> </v>
      </c>
      <c r="J2177" s="25" t="str">
        <f>IF(OR(E2177="",E2177="!!!",F2177="NEW"),"",COUNTBLANK(OFFSET(A$1,,,SUMPRODUCT(MAX(ROW(E$2:E2177)*(E2177=E$2:E2177)))))-COUNTBLANK(OFFSET(A$1,,,SUMPRODUCT(MAX(ROW(E$1:E2176)*(E2=E$1:E2176))))))</f>
        <v> </v>
      </c>
      <c r="K2177" s="25" t="str">
        <f>IF(OR(E2177="",E2177="!!!",F2177="NEW"),"",INDEX(J$1:J2176,SUMPRODUCT(MAX(ROW(E$1:E2176)*(E2177=E$1:E2176)))))</f>
        <v> </v>
      </c>
      <c r="L2177" s="26"/>
    </row>
    <row r="2178" spans="1:12">
      <c r="A2178" s="20" t="s">
        <v>1312</v>
      </c>
      <c r="E2178" s="21">
        <f>IF(D2178="?OLD","!!!","")</f>
        <v/>
      </c>
      <c r="F2178" s="22" t="str">
        <f>IF(OR(E2178="",E2178="!!!"),"",IF(NOT(ISNA(VLOOKUP(E2178,E$1:E2177,1,FALSE()))),"OLD",IF(AND(E2178&lt;&gt;"",E2178&lt;&gt;"!!!"),"NEW","")))</f>
        <v> </v>
      </c>
      <c r="G2178" s="23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4" t="str">
        <f>IF(J2178&lt;&gt;1,"",IF(I2178="SBJ","CB","?"))</f>
        <v> </v>
      </c>
      <c r="I2178" s="25" t="str">
        <f>IF(OR(E2178="",E2178="!!!",F2178="NEW"),"",INDEX(B2177:B$2,-1+SUMPRODUCT(MAX(ROW(E2177:E$2)*(E2178=E2177:E$2)))))</f>
        <v> </v>
      </c>
      <c r="J2178" s="25" t="str">
        <f>IF(OR(E2178="",E2178="!!!",F2178="NEW"),"",COUNTBLANK(OFFSET(A$1,,,SUMPRODUCT(MAX(ROW(E$2:E2178)*(E2178=E$2:E2178)))))-COUNTBLANK(OFFSET(A$1,,,SUMPRODUCT(MAX(ROW(E$1:E2177)*(E2=E$1:E2177))))))</f>
        <v> </v>
      </c>
      <c r="K2178" s="25" t="str">
        <f>IF(OR(E2178="",E2178="!!!",F2178="NEW"),"",INDEX(J$1:J2177,SUMPRODUCT(MAX(ROW(E$1:E2177)*(E2178=E$1:E2177)))))</f>
        <v> </v>
      </c>
      <c r="L2178" s="26"/>
    </row>
    <row r="2179" spans="1:12">
      <c r="A2179" s="20" t="s">
        <v>1240</v>
      </c>
      <c r="B2179" s="27" t="s">
        <v>522</v>
      </c>
      <c r="C2179" s="27" t="s">
        <v>523</v>
      </c>
      <c r="D2179" s="27" t="s">
        <v>524</v>
      </c>
      <c r="E2179" s="21">
        <f>IF(D2179="?OLD","!!!","")</f>
        <v/>
      </c>
      <c r="F2179" s="22" t="str">
        <f>IF(OR(E2179="",E2179="!!!"),"",IF(NOT(ISNA(VLOOKUP(E2179,E$1:E2178,1,FALSE()))),"OLD",IF(AND(E2179&lt;&gt;"",E2179&lt;&gt;"!!!"),"NEW","")))</f>
        <v> </v>
      </c>
      <c r="G2179" s="23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4" t="str">
        <f>IF(J2179&lt;&gt;1,"",IF(I2179="SBJ","CB","?"))</f>
        <v> </v>
      </c>
      <c r="I2179" s="25" t="str">
        <f>IF(OR(E2179="",E2179="!!!",F2179="NEW"),"",INDEX(B2178:B$2,-1+SUMPRODUCT(MAX(ROW(E2178:E$2)*(E2179=E2178:E$2)))))</f>
        <v> </v>
      </c>
      <c r="J2179" s="25" t="str">
        <f>IF(OR(E2179="",E2179="!!!",F2179="NEW"),"",COUNTBLANK(OFFSET(A$1,,,SUMPRODUCT(MAX(ROW(E$2:E2179)*(E2179=E$2:E2179)))))-COUNTBLANK(OFFSET(A$1,,,SUMPRODUCT(MAX(ROW(E$1:E2178)*(E2=E$1:E2178))))))</f>
        <v> </v>
      </c>
      <c r="K2179" s="25" t="str">
        <f>IF(OR(E2179="",E2179="!!!",F2179="NEW"),"",INDEX(J$1:J2178,SUMPRODUCT(MAX(ROW(E$1:E2178)*(E2179=E$1:E2178)))))</f>
        <v> </v>
      </c>
      <c r="L2179" s="26"/>
    </row>
    <row r="2180" spans="1:12">
      <c r="A2180" s="20" t="s">
        <v>719</v>
      </c>
      <c r="E2180" s="21">
        <f>IF(D2180="?OLD","!!!","")</f>
        <v/>
      </c>
      <c r="F2180" s="22" t="str">
        <f>IF(OR(E2180="",E2180="!!!"),"",IF(NOT(ISNA(VLOOKUP(E2180,E$1:E2179,1,FALSE()))),"OLD",IF(AND(E2180&lt;&gt;"",E2180&lt;&gt;"!!!"),"NEW","")))</f>
        <v> </v>
      </c>
      <c r="G2180" s="23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4" t="str">
        <f>IF(J2180&lt;&gt;1,"",IF(I2180="SBJ","CB","?"))</f>
        <v> </v>
      </c>
      <c r="I2180" s="25" t="str">
        <f>IF(OR(E2180="",E2180="!!!",F2180="NEW"),"",INDEX(B2179:B$2,-1+SUMPRODUCT(MAX(ROW(E2179:E$2)*(E2180=E2179:E$2)))))</f>
        <v> </v>
      </c>
      <c r="J2180" s="25" t="str">
        <f>IF(OR(E2180="",E2180="!!!",F2180="NEW"),"",COUNTBLANK(OFFSET(A$1,,,SUMPRODUCT(MAX(ROW(E$2:E2180)*(E2180=E$2:E2180)))))-COUNTBLANK(OFFSET(A$1,,,SUMPRODUCT(MAX(ROW(E$1:E2179)*(E2=E$1:E2179))))))</f>
        <v> </v>
      </c>
      <c r="K2180" s="25" t="str">
        <f>IF(OR(E2180="",E2180="!!!",F2180="NEW"),"",INDEX(J$1:J2179,SUMPRODUCT(MAX(ROW(E$1:E2179)*(E2180=E$1:E2179)))))</f>
        <v> </v>
      </c>
      <c r="L2180" s="26"/>
    </row>
    <row r="2181" spans="1:12">
      <c r="A2181" s="20" t="s">
        <v>1275</v>
      </c>
      <c r="B2181" s="27" t="s">
        <v>597</v>
      </c>
      <c r="C2181" s="27" t="s">
        <v>564</v>
      </c>
      <c r="E2181" s="21">
        <f>IF(D2181="?OLD","!!!","")</f>
        <v/>
      </c>
      <c r="F2181" s="22" t="str">
        <f>IF(OR(E2181="",E2181="!!!"),"",IF(NOT(ISNA(VLOOKUP(E2181,E$1:E2180,1,FALSE()))),"OLD",IF(AND(E2181&lt;&gt;"",E2181&lt;&gt;"!!!"),"NEW","")))</f>
        <v> </v>
      </c>
      <c r="G2181" s="23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4" t="str">
        <f>IF(J2181&lt;&gt;1,"",IF(I2181="SBJ","CB","?"))</f>
        <v> </v>
      </c>
      <c r="I2181" s="25" t="str">
        <f>IF(OR(E2181="",E2181="!!!",F2181="NEW"),"",INDEX(B2180:B$2,-1+SUMPRODUCT(MAX(ROW(E2180:E$2)*(E2181=E2180:E$2)))))</f>
        <v> </v>
      </c>
      <c r="J2181" s="25" t="str">
        <f>IF(OR(E2181="",E2181="!!!",F2181="NEW"),"",COUNTBLANK(OFFSET(A$1,,,SUMPRODUCT(MAX(ROW(E$2:E2181)*(E2181=E$2:E2181)))))-COUNTBLANK(OFFSET(A$1,,,SUMPRODUCT(MAX(ROW(E$1:E2180)*(E2=E$1:E2180))))))</f>
        <v> </v>
      </c>
      <c r="K2181" s="25" t="str">
        <f>IF(OR(E2181="",E2181="!!!",F2181="NEW"),"",INDEX(J$1:J2180,SUMPRODUCT(MAX(ROW(E$1:E2180)*(E2181=E$1:E2180)))))</f>
        <v> </v>
      </c>
      <c r="L2181" s="26"/>
    </row>
    <row r="2182" spans="1:12">
      <c r="A2182" s="20" t="s">
        <v>549</v>
      </c>
      <c r="E2182" s="21">
        <f>IF(D2182="?OLD","!!!","")</f>
        <v/>
      </c>
      <c r="F2182" s="22" t="str">
        <f>IF(OR(E2182="",E2182="!!!"),"",IF(NOT(ISNA(VLOOKUP(E2182,E$1:E2181,1,FALSE()))),"OLD",IF(AND(E2182&lt;&gt;"",E2182&lt;&gt;"!!!"),"NEW","")))</f>
        <v> </v>
      </c>
      <c r="G2182" s="23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4" t="str">
        <f>IF(J2182&lt;&gt;1,"",IF(I2182="SBJ","CB","?"))</f>
        <v> </v>
      </c>
      <c r="I2182" s="25" t="str">
        <f>IF(OR(E2182="",E2182="!!!",F2182="NEW"),"",INDEX(B2181:B$2,-1+SUMPRODUCT(MAX(ROW(E2181:E$2)*(E2182=E2181:E$2)))))</f>
        <v> </v>
      </c>
      <c r="J2182" s="25" t="str">
        <f>IF(OR(E2182="",E2182="!!!",F2182="NEW"),"",COUNTBLANK(OFFSET(A$1,,,SUMPRODUCT(MAX(ROW(E$2:E2182)*(E2182=E$2:E2182)))))-COUNTBLANK(OFFSET(A$1,,,SUMPRODUCT(MAX(ROW(E$1:E2181)*(E2=E$1:E2181))))))</f>
        <v> </v>
      </c>
      <c r="K2182" s="25" t="str">
        <f>IF(OR(E2182="",E2182="!!!",F2182="NEW"),"",INDEX(J$1:J2181,SUMPRODUCT(MAX(ROW(E$1:E2181)*(E2182=E$1:E2181)))))</f>
        <v> </v>
      </c>
      <c r="L2182" s="26"/>
    </row>
    <row r="2183" spans="1:12">
      <c r="A2183" s="20"/>
    </row>
    <row r="2184" spans="1:12">
      <c r="A2184" s="20" t="s">
        <v>1313</v>
      </c>
    </row>
    <row r="2185" spans="1:12">
      <c r="A2185" s="20" t="s">
        <v>786</v>
      </c>
      <c r="E2185" s="21">
        <f>IF(D2185="?OLD","!!!","")</f>
        <v/>
      </c>
      <c r="F2185" s="22" t="str">
        <f>IF(OR(E2185="",E2185="!!!"),"",IF(NOT(ISNA(VLOOKUP(E2185,E$1:E2184,1,FALSE()))),"OLD",IF(AND(E2185&lt;&gt;"",E2185&lt;&gt;"!!!"),"NEW","")))</f>
        <v> </v>
      </c>
      <c r="G2185" s="23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4" t="str">
        <f>IF(J2185&lt;&gt;1,"",IF(I2185="SBJ","CB","?"))</f>
        <v> </v>
      </c>
      <c r="I2185" s="25" t="str">
        <f>IF(OR(E2185="",E2185="!!!",F2185="NEW"),"",INDEX(B2184:B$2,-1+SUMPRODUCT(MAX(ROW(E2184:E$2)*(E2185=E2184:E$2)))))</f>
        <v> </v>
      </c>
      <c r="J2185" s="25" t="str">
        <f>IF(OR(E2185="",E2185="!!!",F2185="NEW"),"",COUNTBLANK(OFFSET(A$1,,,SUMPRODUCT(MAX(ROW(E$2:E2185)*(E2185=E$2:E2185)))))-COUNTBLANK(OFFSET(A$1,,,SUMPRODUCT(MAX(ROW(E$1:E2184)*(E2=E$1:E2184))))))</f>
        <v> </v>
      </c>
      <c r="K2185" s="25" t="str">
        <f>IF(OR(E2185="",E2185="!!!",F2185="NEW"),"",INDEX(J$1:J2184,SUMPRODUCT(MAX(ROW(E$1:E2184)*(E2185=E$1:E2184)))))</f>
        <v> </v>
      </c>
      <c r="L2185" s="26"/>
    </row>
    <row r="2186" spans="1:12">
      <c r="A2186" s="20" t="s">
        <v>1058</v>
      </c>
      <c r="B2186" s="27" t="s">
        <v>680</v>
      </c>
      <c r="C2186" s="27" t="s">
        <v>545</v>
      </c>
      <c r="D2186" s="27" t="s">
        <v>524</v>
      </c>
      <c r="E2186" s="21">
        <f>IF(D2186="?OLD","!!!","")</f>
        <v/>
      </c>
      <c r="F2186" s="22" t="str">
        <f>IF(OR(E2186="",E2186="!!!"),"",IF(NOT(ISNA(VLOOKUP(E2186,E$1:E2185,1,FALSE()))),"OLD",IF(AND(E2186&lt;&gt;"",E2186&lt;&gt;"!!!"),"NEW","")))</f>
        <v> </v>
      </c>
      <c r="G2186" s="23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4" t="str">
        <f>IF(J2186&lt;&gt;1,"",IF(I2186="SBJ","CB","?"))</f>
        <v> </v>
      </c>
      <c r="I2186" s="25" t="str">
        <f>IF(OR(E2186="",E2186="!!!",F2186="NEW"),"",INDEX(B2185:B$2,-1+SUMPRODUCT(MAX(ROW(E2185:E$2)*(E2186=E2185:E$2)))))</f>
        <v> </v>
      </c>
      <c r="J2186" s="25" t="str">
        <f>IF(OR(E2186="",E2186="!!!",F2186="NEW"),"",COUNTBLANK(OFFSET(A$1,,,SUMPRODUCT(MAX(ROW(E$2:E2186)*(E2186=E$2:E2186)))))-COUNTBLANK(OFFSET(A$1,,,SUMPRODUCT(MAX(ROW(E$1:E2185)*(E2=E$1:E2185))))))</f>
        <v> </v>
      </c>
      <c r="K2186" s="25" t="str">
        <f>IF(OR(E2186="",E2186="!!!",F2186="NEW"),"",INDEX(J$1:J2185,SUMPRODUCT(MAX(ROW(E$1:E2185)*(E2186=E$1:E2185)))))</f>
        <v> </v>
      </c>
      <c r="L2186" s="26"/>
    </row>
    <row r="2187" spans="1:12">
      <c r="A2187" s="20" t="s">
        <v>751</v>
      </c>
      <c r="E2187" s="21">
        <f>IF(D2187="?OLD","!!!","")</f>
        <v/>
      </c>
      <c r="F2187" s="22" t="str">
        <f>IF(OR(E2187="",E2187="!!!"),"",IF(NOT(ISNA(VLOOKUP(E2187,E$1:E2186,1,FALSE()))),"OLD",IF(AND(E2187&lt;&gt;"",E2187&lt;&gt;"!!!"),"NEW","")))</f>
        <v> </v>
      </c>
      <c r="G2187" s="23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4" t="str">
        <f>IF(J2187&lt;&gt;1,"",IF(I2187="SBJ","CB","?"))</f>
        <v> </v>
      </c>
      <c r="I2187" s="25" t="str">
        <f>IF(OR(E2187="",E2187="!!!",F2187="NEW"),"",INDEX(B2186:B$2,-1+SUMPRODUCT(MAX(ROW(E2186:E$2)*(E2187=E2186:E$2)))))</f>
        <v> </v>
      </c>
      <c r="J2187" s="25" t="str">
        <f>IF(OR(E2187="",E2187="!!!",F2187="NEW"),"",COUNTBLANK(OFFSET(A$1,,,SUMPRODUCT(MAX(ROW(E$2:E2187)*(E2187=E$2:E2187)))))-COUNTBLANK(OFFSET(A$1,,,SUMPRODUCT(MAX(ROW(E$1:E2186)*(E2=E$1:E2186))))))</f>
        <v> </v>
      </c>
      <c r="K2187" s="25" t="str">
        <f>IF(OR(E2187="",E2187="!!!",F2187="NEW"),"",INDEX(J$1:J2186,SUMPRODUCT(MAX(ROW(E$1:E2186)*(E2187=E$1:E2186)))))</f>
        <v> </v>
      </c>
      <c r="L2187" s="26"/>
    </row>
    <row r="2188" spans="1:12">
      <c r="A2188" s="20" t="s">
        <v>1275</v>
      </c>
      <c r="E2188" s="21">
        <f>IF(D2188="?OLD","!!!","")</f>
        <v/>
      </c>
      <c r="F2188" s="22" t="str">
        <f>IF(OR(E2188="",E2188="!!!"),"",IF(NOT(ISNA(VLOOKUP(E2188,E$1:E2187,1,FALSE()))),"OLD",IF(AND(E2188&lt;&gt;"",E2188&lt;&gt;"!!!"),"NEW","")))</f>
        <v> </v>
      </c>
      <c r="G2188" s="23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4" t="str">
        <f>IF(J2188&lt;&gt;1,"",IF(I2188="SBJ","CB","?"))</f>
        <v> </v>
      </c>
      <c r="I2188" s="25" t="str">
        <f>IF(OR(E2188="",E2188="!!!",F2188="NEW"),"",INDEX(B2187:B$2,-1+SUMPRODUCT(MAX(ROW(E2187:E$2)*(E2188=E2187:E$2)))))</f>
        <v> </v>
      </c>
      <c r="J2188" s="25" t="str">
        <f>IF(OR(E2188="",E2188="!!!",F2188="NEW"),"",COUNTBLANK(OFFSET(A$1,,,SUMPRODUCT(MAX(ROW(E$2:E2188)*(E2188=E$2:E2188)))))-COUNTBLANK(OFFSET(A$1,,,SUMPRODUCT(MAX(ROW(E$1:E2187)*(E2=E$1:E2187))))))</f>
        <v> </v>
      </c>
      <c r="K2188" s="25" t="str">
        <f>IF(OR(E2188="",E2188="!!!",F2188="NEW"),"",INDEX(J$1:J2187,SUMPRODUCT(MAX(ROW(E$1:E2187)*(E2188=E$1:E2187)))))</f>
        <v> </v>
      </c>
      <c r="L2188" s="26"/>
    </row>
    <row r="2189" spans="1:12">
      <c r="A2189" s="20" t="s">
        <v>542</v>
      </c>
      <c r="E2189" s="21">
        <f>IF(D2189="?OLD","!!!","")</f>
        <v/>
      </c>
      <c r="F2189" s="22" t="str">
        <f>IF(OR(E2189="",E2189="!!!"),"",IF(NOT(ISNA(VLOOKUP(E2189,E$1:E2188,1,FALSE()))),"OLD",IF(AND(E2189&lt;&gt;"",E2189&lt;&gt;"!!!"),"NEW","")))</f>
        <v> </v>
      </c>
      <c r="G2189" s="23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4" t="str">
        <f>IF(J2189&lt;&gt;1,"",IF(I2189="SBJ","CB","?"))</f>
        <v> </v>
      </c>
      <c r="I2189" s="25" t="str">
        <f>IF(OR(E2189="",E2189="!!!",F2189="NEW"),"",INDEX(B2188:B$2,-1+SUMPRODUCT(MAX(ROW(E2188:E$2)*(E2189=E2188:E$2)))))</f>
        <v> </v>
      </c>
      <c r="J2189" s="25" t="str">
        <f>IF(OR(E2189="",E2189="!!!",F2189="NEW"),"",COUNTBLANK(OFFSET(A$1,,,SUMPRODUCT(MAX(ROW(E$2:E2189)*(E2189=E$2:E2189)))))-COUNTBLANK(OFFSET(A$1,,,SUMPRODUCT(MAX(ROW(E$1:E2188)*(E2=E$1:E2188))))))</f>
        <v> </v>
      </c>
      <c r="K2189" s="25" t="str">
        <f>IF(OR(E2189="",E2189="!!!",F2189="NEW"),"",INDEX(J$1:J2188,SUMPRODUCT(MAX(ROW(E$1:E2188)*(E2189=E$1:E2188)))))</f>
        <v> </v>
      </c>
      <c r="L2189" s="26"/>
    </row>
    <row r="2190" spans="1:12">
      <c r="A2190" s="20" t="s">
        <v>542</v>
      </c>
      <c r="E2190" s="21">
        <f>IF(D2190="?OLD","!!!","")</f>
        <v/>
      </c>
      <c r="F2190" s="22" t="str">
        <f>IF(OR(E2190="",E2190="!!!"),"",IF(NOT(ISNA(VLOOKUP(E2190,E$1:E2189,1,FALSE()))),"OLD",IF(AND(E2190&lt;&gt;"",E2190&lt;&gt;"!!!"),"NEW","")))</f>
        <v> </v>
      </c>
      <c r="G2190" s="23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4" t="str">
        <f>IF(J2190&lt;&gt;1,"",IF(I2190="SBJ","CB","?"))</f>
        <v> </v>
      </c>
      <c r="I2190" s="25" t="str">
        <f>IF(OR(E2190="",E2190="!!!",F2190="NEW"),"",INDEX(B2189:B$2,-1+SUMPRODUCT(MAX(ROW(E2189:E$2)*(E2190=E2189:E$2)))))</f>
        <v> </v>
      </c>
      <c r="J2190" s="25" t="str">
        <f>IF(OR(E2190="",E2190="!!!",F2190="NEW"),"",COUNTBLANK(OFFSET(A$1,,,SUMPRODUCT(MAX(ROW(E$2:E2190)*(E2190=E$2:E2190)))))-COUNTBLANK(OFFSET(A$1,,,SUMPRODUCT(MAX(ROW(E$1:E2189)*(E2=E$1:E2189))))))</f>
        <v> </v>
      </c>
      <c r="K2190" s="25" t="str">
        <f>IF(OR(E2190="",E2190="!!!",F2190="NEW"),"",INDEX(J$1:J2189,SUMPRODUCT(MAX(ROW(E$1:E2189)*(E2190=E$1:E2189)))))</f>
        <v> </v>
      </c>
      <c r="L2190" s="26"/>
    </row>
    <row r="2191" spans="1:12">
      <c r="A2191" s="20" t="s">
        <v>1314</v>
      </c>
      <c r="E2191" s="21">
        <f>IF(D2191="?OLD","!!!","")</f>
        <v/>
      </c>
      <c r="F2191" s="22" t="str">
        <f>IF(OR(E2191="",E2191="!!!"),"",IF(NOT(ISNA(VLOOKUP(E2191,E$1:E2190,1,FALSE()))),"OLD",IF(AND(E2191&lt;&gt;"",E2191&lt;&gt;"!!!"),"NEW","")))</f>
        <v> </v>
      </c>
      <c r="G2191" s="23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4" t="str">
        <f>IF(J2191&lt;&gt;1,"",IF(I2191="SBJ","CB","?"))</f>
        <v> </v>
      </c>
      <c r="I2191" s="25" t="str">
        <f>IF(OR(E2191="",E2191="!!!",F2191="NEW"),"",INDEX(B2190:B$2,-1+SUMPRODUCT(MAX(ROW(E2190:E$2)*(E2191=E2190:E$2)))))</f>
        <v> </v>
      </c>
      <c r="J2191" s="25" t="str">
        <f>IF(OR(E2191="",E2191="!!!",F2191="NEW"),"",COUNTBLANK(OFFSET(A$1,,,SUMPRODUCT(MAX(ROW(E$2:E2191)*(E2191=E$2:E2191)))))-COUNTBLANK(OFFSET(A$1,,,SUMPRODUCT(MAX(ROW(E$1:E2190)*(E2=E$1:E2190))))))</f>
        <v> </v>
      </c>
      <c r="K2191" s="25" t="str">
        <f>IF(OR(E2191="",E2191="!!!",F2191="NEW"),"",INDEX(J$1:J2190,SUMPRODUCT(MAX(ROW(E$1:E2190)*(E2191=E$1:E2190)))))</f>
        <v> </v>
      </c>
      <c r="L2191" s="26"/>
    </row>
    <row r="2192" spans="1:12">
      <c r="A2192" s="20" t="s">
        <v>927</v>
      </c>
      <c r="E2192" s="21">
        <f>IF(D2192="?OLD","!!!","")</f>
        <v/>
      </c>
      <c r="F2192" s="22" t="str">
        <f>IF(OR(E2192="",E2192="!!!"),"",IF(NOT(ISNA(VLOOKUP(E2192,E$1:E2191,1,FALSE()))),"OLD",IF(AND(E2192&lt;&gt;"",E2192&lt;&gt;"!!!"),"NEW","")))</f>
        <v> </v>
      </c>
      <c r="G2192" s="23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4" t="str">
        <f>IF(J2192&lt;&gt;1,"",IF(I2192="SBJ","CB","?"))</f>
        <v> </v>
      </c>
      <c r="I2192" s="25" t="str">
        <f>IF(OR(E2192="",E2192="!!!",F2192="NEW"),"",INDEX(B2191:B$2,-1+SUMPRODUCT(MAX(ROW(E2191:E$2)*(E2192=E2191:E$2)))))</f>
        <v> </v>
      </c>
      <c r="J2192" s="25" t="str">
        <f>IF(OR(E2192="",E2192="!!!",F2192="NEW"),"",COUNTBLANK(OFFSET(A$1,,,SUMPRODUCT(MAX(ROW(E$2:E2192)*(E2192=E$2:E2192)))))-COUNTBLANK(OFFSET(A$1,,,SUMPRODUCT(MAX(ROW(E$1:E2191)*(E2=E$1:E2191))))))</f>
        <v> </v>
      </c>
      <c r="K2192" s="25" t="str">
        <f>IF(OR(E2192="",E2192="!!!",F2192="NEW"),"",INDEX(J$1:J2191,SUMPRODUCT(MAX(ROW(E$1:E2191)*(E2192=E$1:E2191)))))</f>
        <v> </v>
      </c>
      <c r="L2192" s="26"/>
    </row>
    <row r="2193" spans="1:12">
      <c r="A2193" s="20" t="s">
        <v>708</v>
      </c>
      <c r="E2193" s="21">
        <f>IF(D2193="?OLD","!!!","")</f>
        <v/>
      </c>
      <c r="F2193" s="22" t="str">
        <f>IF(OR(E2193="",E2193="!!!"),"",IF(NOT(ISNA(VLOOKUP(E2193,E$1:E2192,1,FALSE()))),"OLD",IF(AND(E2193&lt;&gt;"",E2193&lt;&gt;"!!!"),"NEW","")))</f>
        <v> </v>
      </c>
      <c r="G2193" s="23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4" t="str">
        <f>IF(J2193&lt;&gt;1,"",IF(I2193="SBJ","CB","?"))</f>
        <v> </v>
      </c>
      <c r="I2193" s="25" t="str">
        <f>IF(OR(E2193="",E2193="!!!",F2193="NEW"),"",INDEX(B2192:B$2,-1+SUMPRODUCT(MAX(ROW(E2192:E$2)*(E2193=E2192:E$2)))))</f>
        <v> </v>
      </c>
      <c r="J2193" s="25" t="str">
        <f>IF(OR(E2193="",E2193="!!!",F2193="NEW"),"",COUNTBLANK(OFFSET(A$1,,,SUMPRODUCT(MAX(ROW(E$2:E2193)*(E2193=E$2:E2193)))))-COUNTBLANK(OFFSET(A$1,,,SUMPRODUCT(MAX(ROW(E$1:E2192)*(E2=E$1:E2192))))))</f>
        <v> </v>
      </c>
      <c r="K2193" s="25" t="str">
        <f>IF(OR(E2193="",E2193="!!!",F2193="NEW"),"",INDEX(J$1:J2192,SUMPRODUCT(MAX(ROW(E$1:E2192)*(E2193=E$1:E2192)))))</f>
        <v> </v>
      </c>
      <c r="L2193" s="26"/>
    </row>
    <row r="2194" spans="1:12">
      <c r="A2194" s="20" t="s">
        <v>577</v>
      </c>
      <c r="E2194" s="21">
        <f>IF(D2194="?OLD","!!!","")</f>
        <v/>
      </c>
      <c r="F2194" s="22" t="str">
        <f>IF(OR(E2194="",E2194="!!!"),"",IF(NOT(ISNA(VLOOKUP(E2194,E$1:E2193,1,FALSE()))),"OLD",IF(AND(E2194&lt;&gt;"",E2194&lt;&gt;"!!!"),"NEW","")))</f>
        <v> </v>
      </c>
      <c r="G2194" s="23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4" t="str">
        <f>IF(J2194&lt;&gt;1,"",IF(I2194="SBJ","CB","?"))</f>
        <v> </v>
      </c>
      <c r="I2194" s="25" t="str">
        <f>IF(OR(E2194="",E2194="!!!",F2194="NEW"),"",INDEX(B2193:B$2,-1+SUMPRODUCT(MAX(ROW(E2193:E$2)*(E2194=E2193:E$2)))))</f>
        <v> </v>
      </c>
      <c r="J2194" s="25" t="str">
        <f>IF(OR(E2194="",E2194="!!!",F2194="NEW"),"",COUNTBLANK(OFFSET(A$1,,,SUMPRODUCT(MAX(ROW(E$2:E2194)*(E2194=E$2:E2194)))))-COUNTBLANK(OFFSET(A$1,,,SUMPRODUCT(MAX(ROW(E$1:E2193)*(E2=E$1:E2193))))))</f>
        <v> </v>
      </c>
      <c r="K2194" s="25" t="str">
        <f>IF(OR(E2194="",E2194="!!!",F2194="NEW"),"",INDEX(J$1:J2193,SUMPRODUCT(MAX(ROW(E$1:E2193)*(E2194=E$1:E2193)))))</f>
        <v> </v>
      </c>
      <c r="L2194" s="26"/>
    </row>
    <row r="2195" spans="1:12">
      <c r="A2195" s="20" t="s">
        <v>682</v>
      </c>
      <c r="E2195" s="21">
        <f>IF(D2195="?OLD","!!!","")</f>
        <v/>
      </c>
      <c r="F2195" s="22" t="str">
        <f>IF(OR(E2195="",E2195="!!!"),"",IF(NOT(ISNA(VLOOKUP(E2195,E$1:E2194,1,FALSE()))),"OLD",IF(AND(E2195&lt;&gt;"",E2195&lt;&gt;"!!!"),"NEW","")))</f>
        <v> </v>
      </c>
      <c r="G2195" s="23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4" t="str">
        <f>IF(J2195&lt;&gt;1,"",IF(I2195="SBJ","CB","?"))</f>
        <v> </v>
      </c>
      <c r="I2195" s="25" t="str">
        <f>IF(OR(E2195="",E2195="!!!",F2195="NEW"),"",INDEX(B2194:B$2,-1+SUMPRODUCT(MAX(ROW(E2194:E$2)*(E2195=E2194:E$2)))))</f>
        <v> </v>
      </c>
      <c r="J2195" s="25" t="str">
        <f>IF(OR(E2195="",E2195="!!!",F2195="NEW"),"",COUNTBLANK(OFFSET(A$1,,,SUMPRODUCT(MAX(ROW(E$2:E2195)*(E2195=E$2:E2195)))))-COUNTBLANK(OFFSET(A$1,,,SUMPRODUCT(MAX(ROW(E$1:E2194)*(E2=E$1:E2194))))))</f>
        <v> </v>
      </c>
      <c r="K2195" s="25" t="str">
        <f>IF(OR(E2195="",E2195="!!!",F2195="NEW"),"",INDEX(J$1:J2194,SUMPRODUCT(MAX(ROW(E$1:E2194)*(E2195=E$1:E2194)))))</f>
        <v> </v>
      </c>
      <c r="L2195" s="26"/>
    </row>
    <row r="2196" spans="1:12">
      <c r="A2196" s="20" t="s">
        <v>1315</v>
      </c>
      <c r="B2196" s="27" t="s">
        <v>592</v>
      </c>
      <c r="C2196" s="27" t="s">
        <v>540</v>
      </c>
      <c r="D2196" s="27" t="s">
        <v>524</v>
      </c>
      <c r="E2196" s="21">
        <f>IF(D2196="?OLD","!!!","")</f>
        <v/>
      </c>
      <c r="F2196" s="22" t="str">
        <f>IF(OR(E2196="",E2196="!!!"),"",IF(NOT(ISNA(VLOOKUP(E2196,E$1:E2195,1,FALSE()))),"OLD",IF(AND(E2196&lt;&gt;"",E2196&lt;&gt;"!!!"),"NEW","")))</f>
        <v> </v>
      </c>
      <c r="G2196" s="23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4" t="str">
        <f>IF(J2196&lt;&gt;1,"",IF(I2196="SBJ","CB","?"))</f>
        <v> </v>
      </c>
      <c r="I2196" s="25" t="str">
        <f>IF(OR(E2196="",E2196="!!!",F2196="NEW"),"",INDEX(B2195:B$2,-1+SUMPRODUCT(MAX(ROW(E2195:E$2)*(E2196=E2195:E$2)))))</f>
        <v> </v>
      </c>
      <c r="J2196" s="25" t="str">
        <f>IF(OR(E2196="",E2196="!!!",F2196="NEW"),"",COUNTBLANK(OFFSET(A$1,,,SUMPRODUCT(MAX(ROW(E$2:E2196)*(E2196=E$2:E2196)))))-COUNTBLANK(OFFSET(A$1,,,SUMPRODUCT(MAX(ROW(E$1:E2195)*(E2=E$1:E2195))))))</f>
        <v> </v>
      </c>
      <c r="K2196" s="25" t="str">
        <f>IF(OR(E2196="",E2196="!!!",F2196="NEW"),"",INDEX(J$1:J2195,SUMPRODUCT(MAX(ROW(E$1:E2195)*(E2196=E$1:E2195)))))</f>
        <v> </v>
      </c>
      <c r="L2196" s="26"/>
    </row>
    <row r="2197" spans="1:12">
      <c r="A2197" s="20" t="s">
        <v>549</v>
      </c>
      <c r="E2197" s="21">
        <f>IF(D2197="?OLD","!!!","")</f>
        <v/>
      </c>
      <c r="F2197" s="22" t="str">
        <f>IF(OR(E2197="",E2197="!!!"),"",IF(NOT(ISNA(VLOOKUP(E2197,E$1:E2196,1,FALSE()))),"OLD",IF(AND(E2197&lt;&gt;"",E2197&lt;&gt;"!!!"),"NEW","")))</f>
        <v> </v>
      </c>
      <c r="G2197" s="23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4" t="str">
        <f>IF(J2197&lt;&gt;1,"",IF(I2197="SBJ","CB","?"))</f>
        <v> </v>
      </c>
      <c r="I2197" s="25" t="str">
        <f>IF(OR(E2197="",E2197="!!!",F2197="NEW"),"",INDEX(B2196:B$2,-1+SUMPRODUCT(MAX(ROW(E2196:E$2)*(E2197=E2196:E$2)))))</f>
        <v> </v>
      </c>
      <c r="J2197" s="25" t="str">
        <f>IF(OR(E2197="",E2197="!!!",F2197="NEW"),"",COUNTBLANK(OFFSET(A$1,,,SUMPRODUCT(MAX(ROW(E$2:E2197)*(E2197=E$2:E2197)))))-COUNTBLANK(OFFSET(A$1,,,SUMPRODUCT(MAX(ROW(E$1:E2196)*(E2=E$1:E2196))))))</f>
        <v> </v>
      </c>
      <c r="K2197" s="25" t="str">
        <f>IF(OR(E2197="",E2197="!!!",F2197="NEW"),"",INDEX(J$1:J2196,SUMPRODUCT(MAX(ROW(E$1:E2196)*(E2197=E$1:E2196)))))</f>
        <v> </v>
      </c>
      <c r="L2197" s="26"/>
    </row>
    <row r="2198" spans="1:12">
      <c r="A2198" s="20"/>
    </row>
    <row r="2199" spans="1:12">
      <c r="A2199" s="20" t="s">
        <v>1316</v>
      </c>
    </row>
    <row r="2200" spans="1:12">
      <c r="A2200" s="20" t="s">
        <v>632</v>
      </c>
      <c r="B2200" s="27" t="s">
        <v>680</v>
      </c>
      <c r="C2200" s="27" t="s">
        <v>523</v>
      </c>
      <c r="D2200" s="27" t="s">
        <v>524</v>
      </c>
      <c r="E2200" s="21">
        <f>IF(D2200="?OLD","!!!","")</f>
        <v/>
      </c>
      <c r="F2200" s="22" t="str">
        <f>IF(OR(E2200="",E2200="!!!"),"",IF(NOT(ISNA(VLOOKUP(E2200,E$1:E2199,1,FALSE()))),"OLD",IF(AND(E2200&lt;&gt;"",E2200&lt;&gt;"!!!"),"NEW","")))</f>
        <v> </v>
      </c>
      <c r="G2200" s="23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4" t="str">
        <f>IF(J2200&lt;&gt;1,"",IF(I2200="SBJ","CB","?"))</f>
        <v> </v>
      </c>
      <c r="I2200" s="25" t="str">
        <f>IF(OR(E2200="",E2200="!!!",F2200="NEW"),"",INDEX(B2199:B$2,-1+SUMPRODUCT(MAX(ROW(E2199:E$2)*(E2200=E2199:E$2)))))</f>
        <v> </v>
      </c>
      <c r="J2200" s="25" t="str">
        <f>IF(OR(E2200="",E2200="!!!",F2200="NEW"),"",COUNTBLANK(OFFSET(A$1,,,SUMPRODUCT(MAX(ROW(E$2:E2200)*(E2200=E$2:E2200)))))-COUNTBLANK(OFFSET(A$1,,,SUMPRODUCT(MAX(ROW(E$1:E2199)*(E2=E$1:E2199))))))</f>
        <v> </v>
      </c>
      <c r="K2200" s="25" t="str">
        <f>IF(OR(E2200="",E2200="!!!",F2200="NEW"),"",INDEX(J$1:J2199,SUMPRODUCT(MAX(ROW(E$1:E2199)*(E2200=E$1:E2199)))))</f>
        <v> </v>
      </c>
      <c r="L2200" s="26"/>
    </row>
    <row r="2201" spans="1:12">
      <c r="A2201" s="20" t="s">
        <v>1072</v>
      </c>
      <c r="E2201" s="21">
        <f>IF(D2201="?OLD","!!!","")</f>
        <v/>
      </c>
      <c r="F2201" s="22" t="str">
        <f>IF(OR(E2201="",E2201="!!!"),"",IF(NOT(ISNA(VLOOKUP(E2201,E$1:E2200,1,FALSE()))),"OLD",IF(AND(E2201&lt;&gt;"",E2201&lt;&gt;"!!!"),"NEW","")))</f>
        <v> </v>
      </c>
      <c r="G2201" s="23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4" t="str">
        <f>IF(J2201&lt;&gt;1,"",IF(I2201="SBJ","CB","?"))</f>
        <v> </v>
      </c>
      <c r="I2201" s="25" t="str">
        <f>IF(OR(E2201="",E2201="!!!",F2201="NEW"),"",INDEX(B2200:B$2,-1+SUMPRODUCT(MAX(ROW(E2200:E$2)*(E2201=E2200:E$2)))))</f>
        <v> </v>
      </c>
      <c r="J2201" s="25" t="str">
        <f>IF(OR(E2201="",E2201="!!!",F2201="NEW"),"",COUNTBLANK(OFFSET(A$1,,,SUMPRODUCT(MAX(ROW(E$2:E2201)*(E2201=E$2:E2201)))))-COUNTBLANK(OFFSET(A$1,,,SUMPRODUCT(MAX(ROW(E$1:E2200)*(E2=E$1:E2200))))))</f>
        <v> </v>
      </c>
      <c r="K2201" s="25" t="str">
        <f>IF(OR(E2201="",E2201="!!!",F2201="NEW"),"",INDEX(J$1:J2200,SUMPRODUCT(MAX(ROW(E$1:E2200)*(E2201=E$1:E2200)))))</f>
        <v> </v>
      </c>
      <c r="L2201" s="26"/>
    </row>
    <row r="2202" spans="1:12">
      <c r="A2202" s="20" t="s">
        <v>528</v>
      </c>
      <c r="E2202" s="21">
        <f>IF(D2202="?OLD","!!!","")</f>
        <v/>
      </c>
      <c r="F2202" s="22" t="str">
        <f>IF(OR(E2202="",E2202="!!!"),"",IF(NOT(ISNA(VLOOKUP(E2202,E$1:E2201,1,FALSE()))),"OLD",IF(AND(E2202&lt;&gt;"",E2202&lt;&gt;"!!!"),"NEW","")))</f>
        <v> </v>
      </c>
      <c r="G2202" s="23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4" t="str">
        <f>IF(J2202&lt;&gt;1,"",IF(I2202="SBJ","CB","?"))</f>
        <v> </v>
      </c>
      <c r="I2202" s="25" t="str">
        <f>IF(OR(E2202="",E2202="!!!",F2202="NEW"),"",INDEX(B2201:B$2,-1+SUMPRODUCT(MAX(ROW(E2201:E$2)*(E2202=E2201:E$2)))))</f>
        <v> </v>
      </c>
      <c r="J2202" s="25" t="str">
        <f>IF(OR(E2202="",E2202="!!!",F2202="NEW"),"",COUNTBLANK(OFFSET(A$1,,,SUMPRODUCT(MAX(ROW(E$2:E2202)*(E2202=E$2:E2202)))))-COUNTBLANK(OFFSET(A$1,,,SUMPRODUCT(MAX(ROW(E$1:E2201)*(E2=E$1:E2201))))))</f>
        <v> </v>
      </c>
      <c r="K2202" s="25" t="str">
        <f>IF(OR(E2202="",E2202="!!!",F2202="NEW"),"",INDEX(J$1:J2201,SUMPRODUCT(MAX(ROW(E$1:E2201)*(E2202=E$1:E2201)))))</f>
        <v> </v>
      </c>
      <c r="L2202" s="26"/>
    </row>
    <row r="2203" spans="1:12">
      <c r="A2203" s="20" t="s">
        <v>542</v>
      </c>
      <c r="E2203" s="21">
        <f>IF(D2203="?OLD","!!!","")</f>
        <v/>
      </c>
      <c r="F2203" s="22" t="str">
        <f>IF(OR(E2203="",E2203="!!!"),"",IF(NOT(ISNA(VLOOKUP(E2203,E$1:E2202,1,FALSE()))),"OLD",IF(AND(E2203&lt;&gt;"",E2203&lt;&gt;"!!!"),"NEW","")))</f>
        <v> </v>
      </c>
      <c r="G2203" s="23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4" t="str">
        <f>IF(J2203&lt;&gt;1,"",IF(I2203="SBJ","CB","?"))</f>
        <v> </v>
      </c>
      <c r="I2203" s="25" t="str">
        <f>IF(OR(E2203="",E2203="!!!",F2203="NEW"),"",INDEX(B2202:B$2,-1+SUMPRODUCT(MAX(ROW(E2202:E$2)*(E2203=E2202:E$2)))))</f>
        <v> </v>
      </c>
      <c r="J2203" s="25" t="str">
        <f>IF(OR(E2203="",E2203="!!!",F2203="NEW"),"",COUNTBLANK(OFFSET(A$1,,,SUMPRODUCT(MAX(ROW(E$2:E2203)*(E2203=E$2:E2203)))))-COUNTBLANK(OFFSET(A$1,,,SUMPRODUCT(MAX(ROW(E$1:E2202)*(E2=E$1:E2202))))))</f>
        <v> </v>
      </c>
      <c r="K2203" s="25" t="str">
        <f>IF(OR(E2203="",E2203="!!!",F2203="NEW"),"",INDEX(J$1:J2202,SUMPRODUCT(MAX(ROW(E$1:E2202)*(E2203=E$1:E2202)))))</f>
        <v> </v>
      </c>
      <c r="L2203" s="26"/>
    </row>
    <row r="2204" spans="1:12">
      <c r="A2204" s="20" t="s">
        <v>1051</v>
      </c>
      <c r="E2204" s="21">
        <f>IF(D2204="?OLD","!!!","")</f>
        <v/>
      </c>
      <c r="F2204" s="22" t="str">
        <f>IF(OR(E2204="",E2204="!!!"),"",IF(NOT(ISNA(VLOOKUP(E2204,E$1:E2203,1,FALSE()))),"OLD",IF(AND(E2204&lt;&gt;"",E2204&lt;&gt;"!!!"),"NEW","")))</f>
        <v> </v>
      </c>
      <c r="G2204" s="23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4" t="str">
        <f>IF(J2204&lt;&gt;1,"",IF(I2204="SBJ","CB","?"))</f>
        <v> </v>
      </c>
      <c r="I2204" s="25" t="str">
        <f>IF(OR(E2204="",E2204="!!!",F2204="NEW"),"",INDEX(B2203:B$2,-1+SUMPRODUCT(MAX(ROW(E2203:E$2)*(E2204=E2203:E$2)))))</f>
        <v> </v>
      </c>
      <c r="J2204" s="25" t="str">
        <f>IF(OR(E2204="",E2204="!!!",F2204="NEW"),"",COUNTBLANK(OFFSET(A$1,,,SUMPRODUCT(MAX(ROW(E$2:E2204)*(E2204=E$2:E2204)))))-COUNTBLANK(OFFSET(A$1,,,SUMPRODUCT(MAX(ROW(E$1:E2203)*(E2=E$1:E2203))))))</f>
        <v> </v>
      </c>
      <c r="K2204" s="25" t="str">
        <f>IF(OR(E2204="",E2204="!!!",F2204="NEW"),"",INDEX(J$1:J2203,SUMPRODUCT(MAX(ROW(E$1:E2203)*(E2204=E$1:E2203)))))</f>
        <v> </v>
      </c>
      <c r="L2204" s="26"/>
    </row>
    <row r="2205" spans="1:12">
      <c r="A2205" s="20" t="s">
        <v>1058</v>
      </c>
      <c r="B2205" s="27" t="s">
        <v>667</v>
      </c>
      <c r="C2205" s="27" t="s">
        <v>545</v>
      </c>
      <c r="D2205" s="27" t="s">
        <v>524</v>
      </c>
      <c r="E2205" s="21">
        <f>IF(D2205="?OLD","!!!","")</f>
        <v/>
      </c>
      <c r="F2205" s="22" t="str">
        <f>IF(OR(E2205="",E2205="!!!"),"",IF(NOT(ISNA(VLOOKUP(E2205,E$1:E2204,1,FALSE()))),"OLD",IF(AND(E2205&lt;&gt;"",E2205&lt;&gt;"!!!"),"NEW","")))</f>
        <v> </v>
      </c>
      <c r="G2205" s="23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4" t="str">
        <f>IF(J2205&lt;&gt;1,"",IF(I2205="SBJ","CB","?"))</f>
        <v> </v>
      </c>
      <c r="I2205" s="25" t="str">
        <f>IF(OR(E2205="",E2205="!!!",F2205="NEW"),"",INDEX(B2204:B$2,-1+SUMPRODUCT(MAX(ROW(E2204:E$2)*(E2205=E2204:E$2)))))</f>
        <v> </v>
      </c>
      <c r="J2205" s="25" t="str">
        <f>IF(OR(E2205="",E2205="!!!",F2205="NEW"),"",COUNTBLANK(OFFSET(A$1,,,SUMPRODUCT(MAX(ROW(E$2:E2205)*(E2205=E$2:E2205)))))-COUNTBLANK(OFFSET(A$1,,,SUMPRODUCT(MAX(ROW(E$1:E2204)*(E2=E$1:E2204))))))</f>
        <v> </v>
      </c>
      <c r="K2205" s="25" t="str">
        <f>IF(OR(E2205="",E2205="!!!",F2205="NEW"),"",INDEX(J$1:J2204,SUMPRODUCT(MAX(ROW(E$1:E2204)*(E2205=E$1:E2204)))))</f>
        <v> </v>
      </c>
      <c r="L2205" s="26"/>
    </row>
    <row r="2206" spans="1:12">
      <c r="A2206" s="20" t="s">
        <v>528</v>
      </c>
      <c r="B2206" s="27" t="s">
        <v>529</v>
      </c>
      <c r="E2206" s="21">
        <f>IF(D2206="?OLD","!!!","")</f>
        <v/>
      </c>
      <c r="F2206" s="22" t="str">
        <f>IF(OR(E2206="",E2206="!!!"),"",IF(NOT(ISNA(VLOOKUP(E2206,E$1:E2205,1,FALSE()))),"OLD",IF(AND(E2206&lt;&gt;"",E2206&lt;&gt;"!!!"),"NEW","")))</f>
        <v> </v>
      </c>
      <c r="G2206" s="23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4" t="str">
        <f>IF(J2206&lt;&gt;1,"",IF(I2206="SBJ","CB","?"))</f>
        <v> </v>
      </c>
      <c r="I2206" s="25" t="str">
        <f>IF(OR(E2206="",E2206="!!!",F2206="NEW"),"",INDEX(B2205:B$2,-1+SUMPRODUCT(MAX(ROW(E2205:E$2)*(E2206=E2205:E$2)))))</f>
        <v> </v>
      </c>
      <c r="J2206" s="25" t="str">
        <f>IF(OR(E2206="",E2206="!!!",F2206="NEW"),"",COUNTBLANK(OFFSET(A$1,,,SUMPRODUCT(MAX(ROW(E$2:E2206)*(E2206=E$2:E2206)))))-COUNTBLANK(OFFSET(A$1,,,SUMPRODUCT(MAX(ROW(E$1:E2205)*(E2=E$1:E2205))))))</f>
        <v> </v>
      </c>
      <c r="K2206" s="25" t="str">
        <f>IF(OR(E2206="",E2206="!!!",F2206="NEW"),"",INDEX(J$1:J2205,SUMPRODUCT(MAX(ROW(E$1:E2205)*(E2206=E$1:E2205)))))</f>
        <v> </v>
      </c>
      <c r="L2206" s="26"/>
    </row>
    <row r="2207" spans="1:12">
      <c r="A2207" s="20" t="s">
        <v>1317</v>
      </c>
      <c r="E2207" s="21">
        <f>IF(D2207="?OLD","!!!","")</f>
        <v/>
      </c>
      <c r="F2207" s="22" t="str">
        <f>IF(OR(E2207="",E2207="!!!"),"",IF(NOT(ISNA(VLOOKUP(E2207,E$1:E2206,1,FALSE()))),"OLD",IF(AND(E2207&lt;&gt;"",E2207&lt;&gt;"!!!"),"NEW","")))</f>
        <v> </v>
      </c>
      <c r="G2207" s="23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4" t="str">
        <f>IF(J2207&lt;&gt;1,"",IF(I2207="SBJ","CB","?"))</f>
        <v> </v>
      </c>
      <c r="I2207" s="25" t="str">
        <f>IF(OR(E2207="",E2207="!!!",F2207="NEW"),"",INDEX(B2206:B$2,-1+SUMPRODUCT(MAX(ROW(E2206:E$2)*(E2207=E2206:E$2)))))</f>
        <v> </v>
      </c>
      <c r="J2207" s="25" t="str">
        <f>IF(OR(E2207="",E2207="!!!",F2207="NEW"),"",COUNTBLANK(OFFSET(A$1,,,SUMPRODUCT(MAX(ROW(E$2:E2207)*(E2207=E$2:E2207)))))-COUNTBLANK(OFFSET(A$1,,,SUMPRODUCT(MAX(ROW(E$1:E2206)*(E2=E$1:E2206))))))</f>
        <v> </v>
      </c>
      <c r="K2207" s="25" t="str">
        <f>IF(OR(E2207="",E2207="!!!",F2207="NEW"),"",INDEX(J$1:J2206,SUMPRODUCT(MAX(ROW(E$1:E2206)*(E2207=E$1:E2206)))))</f>
        <v> </v>
      </c>
      <c r="L2207" s="26"/>
    </row>
    <row r="2208" spans="1:12">
      <c r="A2208" s="20" t="s">
        <v>541</v>
      </c>
      <c r="E2208" s="21">
        <f>IF(D2208="?OLD","!!!","")</f>
        <v/>
      </c>
      <c r="F2208" s="22" t="str">
        <f>IF(OR(E2208="",E2208="!!!"),"",IF(NOT(ISNA(VLOOKUP(E2208,E$1:E2207,1,FALSE()))),"OLD",IF(AND(E2208&lt;&gt;"",E2208&lt;&gt;"!!!"),"NEW","")))</f>
        <v> </v>
      </c>
      <c r="G2208" s="23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4" t="str">
        <f>IF(J2208&lt;&gt;1,"",IF(I2208="SBJ","CB","?"))</f>
        <v> </v>
      </c>
      <c r="I2208" s="25" t="str">
        <f>IF(OR(E2208="",E2208="!!!",F2208="NEW"),"",INDEX(B2207:B$2,-1+SUMPRODUCT(MAX(ROW(E2207:E$2)*(E2208=E2207:E$2)))))</f>
        <v> </v>
      </c>
      <c r="J2208" s="25" t="str">
        <f>IF(OR(E2208="",E2208="!!!",F2208="NEW"),"",COUNTBLANK(OFFSET(A$1,,,SUMPRODUCT(MAX(ROW(E$2:E2208)*(E2208=E$2:E2208)))))-COUNTBLANK(OFFSET(A$1,,,SUMPRODUCT(MAX(ROW(E$1:E2207)*(E2=E$1:E2207))))))</f>
        <v> </v>
      </c>
      <c r="K2208" s="25" t="str">
        <f>IF(OR(E2208="",E2208="!!!",F2208="NEW"),"",INDEX(J$1:J2207,SUMPRODUCT(MAX(ROW(E$1:E2207)*(E2208=E$1:E2207)))))</f>
        <v> </v>
      </c>
      <c r="L2208" s="26"/>
    </row>
    <row r="2209" spans="1:12">
      <c r="A2209" s="20" t="s">
        <v>775</v>
      </c>
      <c r="B2209" s="27" t="s">
        <v>534</v>
      </c>
      <c r="C2209" s="27" t="s">
        <v>564</v>
      </c>
      <c r="E2209" s="21">
        <f>IF(D2209="?OLD","!!!","")</f>
        <v/>
      </c>
      <c r="F2209" s="22" t="str">
        <f>IF(OR(E2209="",E2209="!!!"),"",IF(NOT(ISNA(VLOOKUP(E2209,E$1:E2208,1,FALSE()))),"OLD",IF(AND(E2209&lt;&gt;"",E2209&lt;&gt;"!!!"),"NEW","")))</f>
        <v> </v>
      </c>
      <c r="G2209" s="23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4" t="str">
        <f>IF(J2209&lt;&gt;1,"",IF(I2209="SBJ","CB","?"))</f>
        <v> </v>
      </c>
      <c r="I2209" s="25" t="str">
        <f>IF(OR(E2209="",E2209="!!!",F2209="NEW"),"",INDEX(B2208:B$2,-1+SUMPRODUCT(MAX(ROW(E2208:E$2)*(E2209=E2208:E$2)))))</f>
        <v> </v>
      </c>
      <c r="J2209" s="25" t="str">
        <f>IF(OR(E2209="",E2209="!!!",F2209="NEW"),"",COUNTBLANK(OFFSET(A$1,,,SUMPRODUCT(MAX(ROW(E$2:E2209)*(E2209=E$2:E2209)))))-COUNTBLANK(OFFSET(A$1,,,SUMPRODUCT(MAX(ROW(E$1:E2208)*(E2=E$1:E2208))))))</f>
        <v> </v>
      </c>
      <c r="K2209" s="25" t="str">
        <f>IF(OR(E2209="",E2209="!!!",F2209="NEW"),"",INDEX(J$1:J2208,SUMPRODUCT(MAX(ROW(E$1:E2208)*(E2209=E$1:E2208)))))</f>
        <v> </v>
      </c>
      <c r="L2209" s="26"/>
    </row>
    <row r="2210" spans="1:12">
      <c r="A2210" s="20" t="s">
        <v>1302</v>
      </c>
      <c r="E2210" s="21">
        <f>IF(D2210="?OLD","!!!","")</f>
        <v/>
      </c>
      <c r="F2210" s="22" t="str">
        <f>IF(OR(E2210="",E2210="!!!"),"",IF(NOT(ISNA(VLOOKUP(E2210,E$1:E2209,1,FALSE()))),"OLD",IF(AND(E2210&lt;&gt;"",E2210&lt;&gt;"!!!"),"NEW","")))</f>
        <v> </v>
      </c>
      <c r="G2210" s="23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4" t="str">
        <f>IF(J2210&lt;&gt;1,"",IF(I2210="SBJ","CB","?"))</f>
        <v> </v>
      </c>
      <c r="I2210" s="25" t="str">
        <f>IF(OR(E2210="",E2210="!!!",F2210="NEW"),"",INDEX(B2209:B$2,-1+SUMPRODUCT(MAX(ROW(E2209:E$2)*(E2210=E2209:E$2)))))</f>
        <v> </v>
      </c>
      <c r="J2210" s="25" t="str">
        <f>IF(OR(E2210="",E2210="!!!",F2210="NEW"),"",COUNTBLANK(OFFSET(A$1,,,SUMPRODUCT(MAX(ROW(E$2:E2210)*(E2210=E$2:E2210)))))-COUNTBLANK(OFFSET(A$1,,,SUMPRODUCT(MAX(ROW(E$1:E2209)*(E2=E$1:E2209))))))</f>
        <v> </v>
      </c>
      <c r="K2210" s="25" t="str">
        <f>IF(OR(E2210="",E2210="!!!",F2210="NEW"),"",INDEX(J$1:J2209,SUMPRODUCT(MAX(ROW(E$1:E2209)*(E2210=E$1:E2209)))))</f>
        <v> </v>
      </c>
      <c r="L2210" s="26"/>
    </row>
    <row r="2211" spans="1:12">
      <c r="A2211" s="20" t="s">
        <v>751</v>
      </c>
      <c r="E2211" s="21">
        <f>IF(D2211="?OLD","!!!","")</f>
        <v/>
      </c>
      <c r="F2211" s="22" t="str">
        <f>IF(OR(E2211="",E2211="!!!"),"",IF(NOT(ISNA(VLOOKUP(E2211,E$1:E2210,1,FALSE()))),"OLD",IF(AND(E2211&lt;&gt;"",E2211&lt;&gt;"!!!"),"NEW","")))</f>
        <v> </v>
      </c>
      <c r="G2211" s="23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4" t="str">
        <f>IF(J2211&lt;&gt;1,"",IF(I2211="SBJ","CB","?"))</f>
        <v> </v>
      </c>
      <c r="I2211" s="25" t="str">
        <f>IF(OR(E2211="",E2211="!!!",F2211="NEW"),"",INDEX(B2210:B$2,-1+SUMPRODUCT(MAX(ROW(E2210:E$2)*(E2211=E2210:E$2)))))</f>
        <v> </v>
      </c>
      <c r="J2211" s="25" t="str">
        <f>IF(OR(E2211="",E2211="!!!",F2211="NEW"),"",COUNTBLANK(OFFSET(A$1,,,SUMPRODUCT(MAX(ROW(E$2:E2211)*(E2211=E$2:E2211)))))-COUNTBLANK(OFFSET(A$1,,,SUMPRODUCT(MAX(ROW(E$1:E2210)*(E2=E$1:E2210))))))</f>
        <v> </v>
      </c>
      <c r="K2211" s="25" t="str">
        <f>IF(OR(E2211="",E2211="!!!",F2211="NEW"),"",INDEX(J$1:J2210,SUMPRODUCT(MAX(ROW(E$1:E2210)*(E2211=E$1:E2210)))))</f>
        <v> </v>
      </c>
      <c r="L2211" s="26"/>
    </row>
    <row r="2212" spans="1:12">
      <c r="A2212" s="20" t="s">
        <v>542</v>
      </c>
      <c r="E2212" s="21">
        <f>IF(D2212="?OLD","!!!","")</f>
        <v/>
      </c>
      <c r="F2212" s="22" t="str">
        <f>IF(OR(E2212="",E2212="!!!"),"",IF(NOT(ISNA(VLOOKUP(E2212,E$1:E2211,1,FALSE()))),"OLD",IF(AND(E2212&lt;&gt;"",E2212&lt;&gt;"!!!"),"NEW","")))</f>
        <v> </v>
      </c>
      <c r="G2212" s="23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4" t="str">
        <f>IF(J2212&lt;&gt;1,"",IF(I2212="SBJ","CB","?"))</f>
        <v> </v>
      </c>
      <c r="I2212" s="25" t="str">
        <f>IF(OR(E2212="",E2212="!!!",F2212="NEW"),"",INDEX(B2211:B$2,-1+SUMPRODUCT(MAX(ROW(E2211:E$2)*(E2212=E2211:E$2)))))</f>
        <v> </v>
      </c>
      <c r="J2212" s="25" t="str">
        <f>IF(OR(E2212="",E2212="!!!",F2212="NEW"),"",COUNTBLANK(OFFSET(A$1,,,SUMPRODUCT(MAX(ROW(E$2:E2212)*(E2212=E$2:E2212)))))-COUNTBLANK(OFFSET(A$1,,,SUMPRODUCT(MAX(ROW(E$1:E2211)*(E2=E$1:E2211))))))</f>
        <v> </v>
      </c>
      <c r="K2212" s="25" t="str">
        <f>IF(OR(E2212="",E2212="!!!",F2212="NEW"),"",INDEX(J$1:J2211,SUMPRODUCT(MAX(ROW(E$1:E2211)*(E2212=E$1:E2211)))))</f>
        <v> </v>
      </c>
      <c r="L2212" s="26"/>
    </row>
    <row r="2213" spans="1:12">
      <c r="A2213" s="20" t="s">
        <v>1081</v>
      </c>
      <c r="B2213" s="27" t="s">
        <v>592</v>
      </c>
      <c r="C2213" s="27" t="s">
        <v>540</v>
      </c>
      <c r="D2213" s="27" t="s">
        <v>524</v>
      </c>
      <c r="E2213" s="21">
        <f>IF(D2213="?OLD","!!!","")</f>
        <v/>
      </c>
      <c r="F2213" s="22" t="str">
        <f>IF(OR(E2213="",E2213="!!!"),"",IF(NOT(ISNA(VLOOKUP(E2213,E$1:E2212,1,FALSE()))),"OLD",IF(AND(E2213&lt;&gt;"",E2213&lt;&gt;"!!!"),"NEW","")))</f>
        <v> </v>
      </c>
      <c r="G2213" s="23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4" t="str">
        <f>IF(J2213&lt;&gt;1,"",IF(I2213="SBJ","CB","?"))</f>
        <v> </v>
      </c>
      <c r="I2213" s="25" t="str">
        <f>IF(OR(E2213="",E2213="!!!",F2213="NEW"),"",INDEX(B2212:B$2,-1+SUMPRODUCT(MAX(ROW(E2212:E$2)*(E2213=E2212:E$2)))))</f>
        <v> </v>
      </c>
      <c r="J2213" s="25" t="str">
        <f>IF(OR(E2213="",E2213="!!!",F2213="NEW"),"",COUNTBLANK(OFFSET(A$1,,,SUMPRODUCT(MAX(ROW(E$2:E2213)*(E2213=E$2:E2213)))))-COUNTBLANK(OFFSET(A$1,,,SUMPRODUCT(MAX(ROW(E$1:E2212)*(E2=E$1:E2212))))))</f>
        <v> </v>
      </c>
      <c r="K2213" s="25" t="str">
        <f>IF(OR(E2213="",E2213="!!!",F2213="NEW"),"",INDEX(J$1:J2212,SUMPRODUCT(MAX(ROW(E$1:E2212)*(E2213=E$1:E2212)))))</f>
        <v> </v>
      </c>
      <c r="L2213" s="26"/>
    </row>
    <row r="2214" spans="1:12">
      <c r="A2214" s="20" t="s">
        <v>518</v>
      </c>
      <c r="E2214" s="21">
        <f>IF(D2214="?OLD","!!!","")</f>
        <v/>
      </c>
      <c r="F2214" s="22" t="str">
        <f>IF(OR(E2214="",E2214="!!!"),"",IF(NOT(ISNA(VLOOKUP(E2214,E$1:E2213,1,FALSE()))),"OLD",IF(AND(E2214&lt;&gt;"",E2214&lt;&gt;"!!!"),"NEW","")))</f>
        <v> </v>
      </c>
      <c r="G2214" s="23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4" t="str">
        <f>IF(J2214&lt;&gt;1,"",IF(I2214="SBJ","CB","?"))</f>
        <v> </v>
      </c>
      <c r="I2214" s="25" t="str">
        <f>IF(OR(E2214="",E2214="!!!",F2214="NEW"),"",INDEX(B2213:B$2,-1+SUMPRODUCT(MAX(ROW(E2213:E$2)*(E2214=E2213:E$2)))))</f>
        <v> </v>
      </c>
      <c r="J2214" s="25" t="str">
        <f>IF(OR(E2214="",E2214="!!!",F2214="NEW"),"",COUNTBLANK(OFFSET(A$1,,,SUMPRODUCT(MAX(ROW(E$2:E2214)*(E2214=E$2:E2214)))))-COUNTBLANK(OFFSET(A$1,,,SUMPRODUCT(MAX(ROW(E$1:E2213)*(E2=E$1:E2213))))))</f>
        <v> </v>
      </c>
      <c r="K2214" s="25" t="str">
        <f>IF(OR(E2214="",E2214="!!!",F2214="NEW"),"",INDEX(J$1:J2213,SUMPRODUCT(MAX(ROW(E$1:E2213)*(E2214=E$1:E2213)))))</f>
        <v> </v>
      </c>
      <c r="L2214" s="26"/>
    </row>
    <row r="2215" spans="1:12">
      <c r="A2215" s="20" t="s">
        <v>1318</v>
      </c>
      <c r="B2215" s="27" t="s">
        <v>597</v>
      </c>
      <c r="C2215" s="27" t="s">
        <v>564</v>
      </c>
      <c r="E2215" s="21">
        <f>IF(D2215="?OLD","!!!","")</f>
        <v/>
      </c>
      <c r="F2215" s="22" t="str">
        <f>IF(OR(E2215="",E2215="!!!"),"",IF(NOT(ISNA(VLOOKUP(E2215,E$1:E2214,1,FALSE()))),"OLD",IF(AND(E2215&lt;&gt;"",E2215&lt;&gt;"!!!"),"NEW","")))</f>
        <v> </v>
      </c>
      <c r="G2215" s="23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4" t="str">
        <f>IF(J2215&lt;&gt;1,"",IF(I2215="SBJ","CB","?"))</f>
        <v> </v>
      </c>
      <c r="I2215" s="25" t="str">
        <f>IF(OR(E2215="",E2215="!!!",F2215="NEW"),"",INDEX(B2214:B$2,-1+SUMPRODUCT(MAX(ROW(E2214:E$2)*(E2215=E2214:E$2)))))</f>
        <v> </v>
      </c>
      <c r="J2215" s="25" t="str">
        <f>IF(OR(E2215="",E2215="!!!",F2215="NEW"),"",COUNTBLANK(OFFSET(A$1,,,SUMPRODUCT(MAX(ROW(E$2:E2215)*(E2215=E$2:E2215)))))-COUNTBLANK(OFFSET(A$1,,,SUMPRODUCT(MAX(ROW(E$1:E2214)*(E2=E$1:E2214))))))</f>
        <v> </v>
      </c>
      <c r="K2215" s="25" t="str">
        <f>IF(OR(E2215="",E2215="!!!",F2215="NEW"),"",INDEX(J$1:J2214,SUMPRODUCT(MAX(ROW(E$1:E2214)*(E2215=E$1:E2214)))))</f>
        <v> </v>
      </c>
      <c r="L2215" s="26"/>
    </row>
    <row r="2216" spans="1:12">
      <c r="A2216" s="20" t="s">
        <v>549</v>
      </c>
      <c r="E2216" s="21">
        <f>IF(D2216="?OLD","!!!","")</f>
        <v/>
      </c>
      <c r="F2216" s="22" t="str">
        <f>IF(OR(E2216="",E2216="!!!"),"",IF(NOT(ISNA(VLOOKUP(E2216,E$1:E2215,1,FALSE()))),"OLD",IF(AND(E2216&lt;&gt;"",E2216&lt;&gt;"!!!"),"NEW","")))</f>
        <v> </v>
      </c>
      <c r="G2216" s="23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4" t="str">
        <f>IF(J2216&lt;&gt;1,"",IF(I2216="SBJ","CB","?"))</f>
        <v> </v>
      </c>
      <c r="I2216" s="25" t="str">
        <f>IF(OR(E2216="",E2216="!!!",F2216="NEW"),"",INDEX(B2215:B$2,-1+SUMPRODUCT(MAX(ROW(E2215:E$2)*(E2216=E2215:E$2)))))</f>
        <v> </v>
      </c>
      <c r="J2216" s="25" t="str">
        <f>IF(OR(E2216="",E2216="!!!",F2216="NEW"),"",COUNTBLANK(OFFSET(A$1,,,SUMPRODUCT(MAX(ROW(E$2:E2216)*(E2216=E$2:E2216)))))-COUNTBLANK(OFFSET(A$1,,,SUMPRODUCT(MAX(ROW(E$1:E2215)*(E2=E$1:E2215))))))</f>
        <v> </v>
      </c>
      <c r="K2216" s="25" t="str">
        <f>IF(OR(E2216="",E2216="!!!",F2216="NEW"),"",INDEX(J$1:J2215,SUMPRODUCT(MAX(ROW(E$1:E2215)*(E2216=E$1:E2215)))))</f>
        <v> </v>
      </c>
      <c r="L2216" s="26"/>
    </row>
    <row r="2217" spans="1:12">
      <c r="A2217" s="20"/>
    </row>
    <row r="2218" spans="1:12">
      <c r="A2218" s="20" t="s">
        <v>1319</v>
      </c>
    </row>
    <row r="2219" spans="1:12">
      <c r="A2219" s="20" t="s">
        <v>1320</v>
      </c>
      <c r="B2219" s="27" t="s">
        <v>680</v>
      </c>
      <c r="C2219" s="27" t="s">
        <v>1321</v>
      </c>
      <c r="E2219" s="21">
        <f>IF(D2219="?OLD","!!!","")</f>
        <v/>
      </c>
      <c r="F2219" s="22" t="str">
        <f>IF(OR(E2219="",E2219="!!!"),"",IF(NOT(ISNA(VLOOKUP(E2219,E$1:E2218,1,FALSE()))),"OLD",IF(AND(E2219&lt;&gt;"",E2219&lt;&gt;"!!!"),"NEW","")))</f>
        <v> </v>
      </c>
      <c r="G2219" s="23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4" t="str">
        <f>IF(J2219&lt;&gt;1,"",IF(I2219="SBJ","CB","?"))</f>
        <v> </v>
      </c>
      <c r="I2219" s="25" t="str">
        <f>IF(OR(E2219="",E2219="!!!",F2219="NEW"),"",INDEX(B2218:B$2,-1+SUMPRODUCT(MAX(ROW(E2218:E$2)*(E2219=E2218:E$2)))))</f>
        <v> </v>
      </c>
      <c r="J2219" s="25" t="str">
        <f>IF(OR(E2219="",E2219="!!!",F2219="NEW"),"",COUNTBLANK(OFFSET(A$1,,,SUMPRODUCT(MAX(ROW(E$2:E2219)*(E2219=E$2:E2219)))))-COUNTBLANK(OFFSET(A$1,,,SUMPRODUCT(MAX(ROW(E$1:E2218)*(E2=E$1:E2218))))))</f>
        <v> </v>
      </c>
      <c r="K2219" s="25" t="str">
        <f>IF(OR(E2219="",E2219="!!!",F2219="NEW"),"",INDEX(J$1:J2218,SUMPRODUCT(MAX(ROW(E$1:E2218)*(E2219=E$1:E2218)))))</f>
        <v> </v>
      </c>
      <c r="L2219" s="26"/>
    </row>
    <row r="2220" spans="1:12">
      <c r="A2220" s="20" t="s">
        <v>751</v>
      </c>
      <c r="E2220" s="21">
        <f>IF(D2220="?OLD","!!!","")</f>
        <v/>
      </c>
      <c r="F2220" s="22" t="str">
        <f>IF(OR(E2220="",E2220="!!!"),"",IF(NOT(ISNA(VLOOKUP(E2220,E$1:E2219,1,FALSE()))),"OLD",IF(AND(E2220&lt;&gt;"",E2220&lt;&gt;"!!!"),"NEW","")))</f>
        <v> </v>
      </c>
      <c r="G2220" s="23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4" t="str">
        <f>IF(J2220&lt;&gt;1,"",IF(I2220="SBJ","CB","?"))</f>
        <v> </v>
      </c>
      <c r="I2220" s="25" t="str">
        <f>IF(OR(E2220="",E2220="!!!",F2220="NEW"),"",INDEX(B2219:B$2,-1+SUMPRODUCT(MAX(ROW(E2219:E$2)*(E2220=E2219:E$2)))))</f>
        <v> </v>
      </c>
      <c r="J2220" s="25" t="str">
        <f>IF(OR(E2220="",E2220="!!!",F2220="NEW"),"",COUNTBLANK(OFFSET(A$1,,,SUMPRODUCT(MAX(ROW(E$2:E2220)*(E2220=E$2:E2220)))))-COUNTBLANK(OFFSET(A$1,,,SUMPRODUCT(MAX(ROW(E$1:E2219)*(E2=E$1:E2219))))))</f>
        <v> </v>
      </c>
      <c r="K2220" s="25" t="str">
        <f>IF(OR(E2220="",E2220="!!!",F2220="NEW"),"",INDEX(J$1:J2219,SUMPRODUCT(MAX(ROW(E$1:E2219)*(E2220=E$1:E2219)))))</f>
        <v> </v>
      </c>
      <c r="L2220" s="26"/>
    </row>
    <row r="2221" spans="1:12">
      <c r="A2221" s="20" t="s">
        <v>528</v>
      </c>
      <c r="E2221" s="21">
        <f>IF(D2221="?OLD","!!!","")</f>
        <v/>
      </c>
      <c r="F2221" s="22" t="str">
        <f>IF(OR(E2221="",E2221="!!!"),"",IF(NOT(ISNA(VLOOKUP(E2221,E$1:E2220,1,FALSE()))),"OLD",IF(AND(E2221&lt;&gt;"",E2221&lt;&gt;"!!!"),"NEW","")))</f>
        <v> </v>
      </c>
      <c r="G2221" s="23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4" t="str">
        <f>IF(J2221&lt;&gt;1,"",IF(I2221="SBJ","CB","?"))</f>
        <v> </v>
      </c>
      <c r="I2221" s="25" t="str">
        <f>IF(OR(E2221="",E2221="!!!",F2221="NEW"),"",INDEX(B2220:B$2,-1+SUMPRODUCT(MAX(ROW(E2220:E$2)*(E2221=E2220:E$2)))))</f>
        <v> </v>
      </c>
      <c r="J2221" s="25" t="str">
        <f>IF(OR(E2221="",E2221="!!!",F2221="NEW"),"",COUNTBLANK(OFFSET(A$1,,,SUMPRODUCT(MAX(ROW(E$2:E2221)*(E2221=E$2:E2221)))))-COUNTBLANK(OFFSET(A$1,,,SUMPRODUCT(MAX(ROW(E$1:E2220)*(E2=E$1:E2220))))))</f>
        <v> </v>
      </c>
      <c r="K2221" s="25" t="str">
        <f>IF(OR(E2221="",E2221="!!!",F2221="NEW"),"",INDEX(J$1:J2220,SUMPRODUCT(MAX(ROW(E$1:E2220)*(E2221=E$1:E2220)))))</f>
        <v> </v>
      </c>
      <c r="L2221" s="26"/>
    </row>
    <row r="2222" spans="1:12">
      <c r="A2222" s="20" t="s">
        <v>751</v>
      </c>
      <c r="E2222" s="21">
        <f>IF(D2222="?OLD","!!!","")</f>
        <v/>
      </c>
      <c r="F2222" s="22" t="str">
        <f>IF(OR(E2222="",E2222="!!!"),"",IF(NOT(ISNA(VLOOKUP(E2222,E$1:E2221,1,FALSE()))),"OLD",IF(AND(E2222&lt;&gt;"",E2222&lt;&gt;"!!!"),"NEW","")))</f>
        <v> </v>
      </c>
      <c r="G2222" s="23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4" t="str">
        <f>IF(J2222&lt;&gt;1,"",IF(I2222="SBJ","CB","?"))</f>
        <v> </v>
      </c>
      <c r="I2222" s="25" t="str">
        <f>IF(OR(E2222="",E2222="!!!",F2222="NEW"),"",INDEX(B2221:B$2,-1+SUMPRODUCT(MAX(ROW(E2221:E$2)*(E2222=E2221:E$2)))))</f>
        <v> </v>
      </c>
      <c r="J2222" s="25" t="str">
        <f>IF(OR(E2222="",E2222="!!!",F2222="NEW"),"",COUNTBLANK(OFFSET(A$1,,,SUMPRODUCT(MAX(ROW(E$2:E2222)*(E2222=E$2:E2222)))))-COUNTBLANK(OFFSET(A$1,,,SUMPRODUCT(MAX(ROW(E$1:E2221)*(E2=E$1:E2221))))))</f>
        <v> </v>
      </c>
      <c r="K2222" s="25" t="str">
        <f>IF(OR(E2222="",E2222="!!!",F2222="NEW"),"",INDEX(J$1:J2221,SUMPRODUCT(MAX(ROW(E$1:E2221)*(E2222=E$1:E2221)))))</f>
        <v> </v>
      </c>
      <c r="L2222" s="26"/>
    </row>
    <row r="2223" spans="1:12">
      <c r="A2223" s="20" t="s">
        <v>1322</v>
      </c>
      <c r="E2223" s="21">
        <f>IF(D2223="?OLD","!!!","")</f>
        <v/>
      </c>
      <c r="F2223" s="22" t="str">
        <f>IF(OR(E2223="",E2223="!!!"),"",IF(NOT(ISNA(VLOOKUP(E2223,E$1:E2222,1,FALSE()))),"OLD",IF(AND(E2223&lt;&gt;"",E2223&lt;&gt;"!!!"),"NEW","")))</f>
        <v> </v>
      </c>
      <c r="G2223" s="23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4" t="str">
        <f>IF(J2223&lt;&gt;1,"",IF(I2223="SBJ","CB","?"))</f>
        <v> </v>
      </c>
      <c r="I2223" s="25" t="str">
        <f>IF(OR(E2223="",E2223="!!!",F2223="NEW"),"",INDEX(B2222:B$2,-1+SUMPRODUCT(MAX(ROW(E2222:E$2)*(E2223=E2222:E$2)))))</f>
        <v> </v>
      </c>
      <c r="J2223" s="25" t="str">
        <f>IF(OR(E2223="",E2223="!!!",F2223="NEW"),"",COUNTBLANK(OFFSET(A$1,,,SUMPRODUCT(MAX(ROW(E$2:E2223)*(E2223=E$2:E2223)))))-COUNTBLANK(OFFSET(A$1,,,SUMPRODUCT(MAX(ROW(E$1:E2222)*(E2=E$1:E2222))))))</f>
        <v> </v>
      </c>
      <c r="K2223" s="25" t="str">
        <f>IF(OR(E2223="",E2223="!!!",F2223="NEW"),"",INDEX(J$1:J2222,SUMPRODUCT(MAX(ROW(E$1:E2222)*(E2223=E$1:E2222)))))</f>
        <v> </v>
      </c>
      <c r="L2223" s="26"/>
    </row>
    <row r="2224" spans="1:12">
      <c r="A2224" s="20" t="s">
        <v>815</v>
      </c>
      <c r="E2224" s="21">
        <f>IF(D2224="?OLD","!!!","")</f>
        <v/>
      </c>
      <c r="F2224" s="22" t="str">
        <f>IF(OR(E2224="",E2224="!!!"),"",IF(NOT(ISNA(VLOOKUP(E2224,E$1:E2223,1,FALSE()))),"OLD",IF(AND(E2224&lt;&gt;"",E2224&lt;&gt;"!!!"),"NEW","")))</f>
        <v> </v>
      </c>
      <c r="G2224" s="23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4" t="str">
        <f>IF(J2224&lt;&gt;1,"",IF(I2224="SBJ","CB","?"))</f>
        <v> </v>
      </c>
      <c r="I2224" s="25" t="str">
        <f>IF(OR(E2224="",E2224="!!!",F2224="NEW"),"",INDEX(B2223:B$2,-1+SUMPRODUCT(MAX(ROW(E2223:E$2)*(E2224=E2223:E$2)))))</f>
        <v> </v>
      </c>
      <c r="J2224" s="25" t="str">
        <f>IF(OR(E2224="",E2224="!!!",F2224="NEW"),"",COUNTBLANK(OFFSET(A$1,,,SUMPRODUCT(MAX(ROW(E$2:E2224)*(E2224=E$2:E2224)))))-COUNTBLANK(OFFSET(A$1,,,SUMPRODUCT(MAX(ROW(E$1:E2223)*(E2=E$1:E2223))))))</f>
        <v> </v>
      </c>
      <c r="K2224" s="25" t="str">
        <f>IF(OR(E2224="",E2224="!!!",F2224="NEW"),"",INDEX(J$1:J2223,SUMPRODUCT(MAX(ROW(E$1:E2223)*(E2224=E$1:E2223)))))</f>
        <v> </v>
      </c>
      <c r="L2224" s="26"/>
    </row>
    <row r="2225" spans="1:12">
      <c r="A2225" s="20"/>
    </row>
    <row r="2226" spans="1:12">
      <c r="A2226" s="20" t="s">
        <v>1323</v>
      </c>
    </row>
    <row r="2227" spans="1:12">
      <c r="A2227" s="20" t="s">
        <v>1324</v>
      </c>
      <c r="E2227" s="21">
        <f>IF(D2227="?OLD","!!!","")</f>
        <v/>
      </c>
      <c r="F2227" s="22" t="str">
        <f>IF(OR(E2227="",E2227="!!!"),"",IF(NOT(ISNA(VLOOKUP(E2227,E$1:E2226,1,FALSE()))),"OLD",IF(AND(E2227&lt;&gt;"",E2227&lt;&gt;"!!!"),"NEW","")))</f>
        <v> </v>
      </c>
      <c r="G2227" s="23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4" t="str">
        <f>IF(J2227&lt;&gt;1,"",IF(I2227="SBJ","CB","?"))</f>
        <v> </v>
      </c>
      <c r="I2227" s="25" t="str">
        <f>IF(OR(E2227="",E2227="!!!",F2227="NEW"),"",INDEX(B2226:B$2,-1+SUMPRODUCT(MAX(ROW(E2226:E$2)*(E2227=E2226:E$2)))))</f>
        <v> </v>
      </c>
      <c r="J2227" s="25" t="str">
        <f>IF(OR(E2227="",E2227="!!!",F2227="NEW"),"",COUNTBLANK(OFFSET(A$1,,,SUMPRODUCT(MAX(ROW(E$2:E2227)*(E2227=E$2:E2227)))))-COUNTBLANK(OFFSET(A$1,,,SUMPRODUCT(MAX(ROW(E$1:E2226)*(E2=E$1:E2226))))))</f>
        <v> </v>
      </c>
      <c r="K2227" s="25" t="str">
        <f>IF(OR(E2227="",E2227="!!!",F2227="NEW"),"",INDEX(J$1:J2226,SUMPRODUCT(MAX(ROW(E$1:E2226)*(E2227=E$1:E2226)))))</f>
        <v> </v>
      </c>
      <c r="L2227" s="26"/>
    </row>
    <row r="2228" spans="1:12">
      <c r="A2228" s="20" t="s">
        <v>751</v>
      </c>
      <c r="E2228" s="21">
        <f>IF(D2228="?OLD","!!!","")</f>
        <v/>
      </c>
      <c r="F2228" s="22" t="str">
        <f>IF(OR(E2228="",E2228="!!!"),"",IF(NOT(ISNA(VLOOKUP(E2228,E$1:E2227,1,FALSE()))),"OLD",IF(AND(E2228&lt;&gt;"",E2228&lt;&gt;"!!!"),"NEW","")))</f>
        <v> </v>
      </c>
      <c r="G2228" s="23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4" t="str">
        <f>IF(J2228&lt;&gt;1,"",IF(I2228="SBJ","CB","?"))</f>
        <v> </v>
      </c>
      <c r="I2228" s="25" t="str">
        <f>IF(OR(E2228="",E2228="!!!",F2228="NEW"),"",INDEX(B2227:B$2,-1+SUMPRODUCT(MAX(ROW(E2227:E$2)*(E2228=E2227:E$2)))))</f>
        <v> </v>
      </c>
      <c r="J2228" s="25" t="str">
        <f>IF(OR(E2228="",E2228="!!!",F2228="NEW"),"",COUNTBLANK(OFFSET(A$1,,,SUMPRODUCT(MAX(ROW(E$2:E2228)*(E2228=E$2:E2228)))))-COUNTBLANK(OFFSET(A$1,,,SUMPRODUCT(MAX(ROW(E$1:E2227)*(E2=E$1:E2227))))))</f>
        <v> </v>
      </c>
      <c r="K2228" s="25" t="str">
        <f>IF(OR(E2228="",E2228="!!!",F2228="NEW"),"",INDEX(J$1:J2227,SUMPRODUCT(MAX(ROW(E$1:E2227)*(E2228=E$1:E2227)))))</f>
        <v> </v>
      </c>
      <c r="L2228" s="26"/>
    </row>
    <row r="2229" spans="1:12">
      <c r="A2229" s="20" t="s">
        <v>525</v>
      </c>
      <c r="E2229" s="21">
        <f>IF(D2229="?OLD","!!!","")</f>
        <v/>
      </c>
      <c r="F2229" s="22" t="str">
        <f>IF(OR(E2229="",E2229="!!!"),"",IF(NOT(ISNA(VLOOKUP(E2229,E$1:E2228,1,FALSE()))),"OLD",IF(AND(E2229&lt;&gt;"",E2229&lt;&gt;"!!!"),"NEW","")))</f>
        <v> </v>
      </c>
      <c r="G2229" s="23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4" t="str">
        <f>IF(J2229&lt;&gt;1,"",IF(I2229="SBJ","CB","?"))</f>
        <v> </v>
      </c>
      <c r="I2229" s="25" t="str">
        <f>IF(OR(E2229="",E2229="!!!",F2229="NEW"),"",INDEX(B2228:B$2,-1+SUMPRODUCT(MAX(ROW(E2228:E$2)*(E2229=E2228:E$2)))))</f>
        <v> </v>
      </c>
      <c r="J2229" s="25" t="str">
        <f>IF(OR(E2229="",E2229="!!!",F2229="NEW"),"",COUNTBLANK(OFFSET(A$1,,,SUMPRODUCT(MAX(ROW(E$2:E2229)*(E2229=E$2:E2229)))))-COUNTBLANK(OFFSET(A$1,,,SUMPRODUCT(MAX(ROW(E$1:E2228)*(E2=E$1:E2228))))))</f>
        <v> </v>
      </c>
      <c r="K2229" s="25" t="str">
        <f>IF(OR(E2229="",E2229="!!!",F2229="NEW"),"",INDEX(J$1:J2228,SUMPRODUCT(MAX(ROW(E$1:E2228)*(E2229=E$1:E2228)))))</f>
        <v> </v>
      </c>
      <c r="L2229" s="26"/>
    </row>
    <row r="2230" spans="1:12">
      <c r="A2230" s="20" t="s">
        <v>804</v>
      </c>
      <c r="B2230" s="27" t="s">
        <v>680</v>
      </c>
      <c r="C2230" s="27" t="s">
        <v>527</v>
      </c>
      <c r="E2230" s="21">
        <f>IF(D2230="?OLD","!!!","")</f>
        <v/>
      </c>
      <c r="F2230" s="22" t="str">
        <f>IF(OR(E2230="",E2230="!!!"),"",IF(NOT(ISNA(VLOOKUP(E2230,E$1:E2229,1,FALSE()))),"OLD",IF(AND(E2230&lt;&gt;"",E2230&lt;&gt;"!!!"),"NEW","")))</f>
        <v> </v>
      </c>
      <c r="G2230" s="23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4" t="str">
        <f>IF(J2230&lt;&gt;1,"",IF(I2230="SBJ","CB","?"))</f>
        <v> </v>
      </c>
      <c r="I2230" s="25" t="str">
        <f>IF(OR(E2230="",E2230="!!!",F2230="NEW"),"",INDEX(B2229:B$2,-1+SUMPRODUCT(MAX(ROW(E2229:E$2)*(E2230=E2229:E$2)))))</f>
        <v> </v>
      </c>
      <c r="J2230" s="25" t="str">
        <f>IF(OR(E2230="",E2230="!!!",F2230="NEW"),"",COUNTBLANK(OFFSET(A$1,,,SUMPRODUCT(MAX(ROW(E$2:E2230)*(E2230=E$2:E2230)))))-COUNTBLANK(OFFSET(A$1,,,SUMPRODUCT(MAX(ROW(E$1:E2229)*(E2=E$1:E2229))))))</f>
        <v> </v>
      </c>
      <c r="K2230" s="25" t="str">
        <f>IF(OR(E2230="",E2230="!!!",F2230="NEW"),"",INDEX(J$1:J2229,SUMPRODUCT(MAX(ROW(E$1:E2229)*(E2230=E$1:E2229)))))</f>
        <v> </v>
      </c>
      <c r="L2230" s="26"/>
    </row>
    <row r="2231" spans="1:12">
      <c r="A2231" s="20" t="s">
        <v>528</v>
      </c>
      <c r="B2231" s="27" t="s">
        <v>633</v>
      </c>
      <c r="E2231" s="21">
        <f>IF(D2231="?OLD","!!!","")</f>
        <v/>
      </c>
      <c r="F2231" s="22" t="str">
        <f>IF(OR(E2231="",E2231="!!!"),"",IF(NOT(ISNA(VLOOKUP(E2231,E$1:E2230,1,FALSE()))),"OLD",IF(AND(E2231&lt;&gt;"",E2231&lt;&gt;"!!!"),"NEW","")))</f>
        <v> </v>
      </c>
      <c r="G2231" s="23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4" t="str">
        <f>IF(J2231&lt;&gt;1,"",IF(I2231="SBJ","CB","?"))</f>
        <v> </v>
      </c>
      <c r="I2231" s="25" t="str">
        <f>IF(OR(E2231="",E2231="!!!",F2231="NEW"),"",INDEX(B2230:B$2,-1+SUMPRODUCT(MAX(ROW(E2230:E$2)*(E2231=E2230:E$2)))))</f>
        <v> </v>
      </c>
      <c r="J2231" s="25" t="str">
        <f>IF(OR(E2231="",E2231="!!!",F2231="NEW"),"",COUNTBLANK(OFFSET(A$1,,,SUMPRODUCT(MAX(ROW(E$2:E2231)*(E2231=E$2:E2231)))))-COUNTBLANK(OFFSET(A$1,,,SUMPRODUCT(MAX(ROW(E$1:E2230)*(E2=E$1:E2230))))))</f>
        <v> </v>
      </c>
      <c r="K2231" s="25" t="str">
        <f>IF(OR(E2231="",E2231="!!!",F2231="NEW"),"",INDEX(J$1:J2230,SUMPRODUCT(MAX(ROW(E$1:E2230)*(E2231=E$1:E2230)))))</f>
        <v> </v>
      </c>
      <c r="L2231" s="26"/>
    </row>
    <row r="2232" spans="1:12">
      <c r="A2232" s="20" t="s">
        <v>708</v>
      </c>
      <c r="E2232" s="21">
        <f>IF(D2232="?OLD","!!!","")</f>
        <v/>
      </c>
      <c r="F2232" s="22" t="str">
        <f>IF(OR(E2232="",E2232="!!!"),"",IF(NOT(ISNA(VLOOKUP(E2232,E$1:E2231,1,FALSE()))),"OLD",IF(AND(E2232&lt;&gt;"",E2232&lt;&gt;"!!!"),"NEW","")))</f>
        <v> </v>
      </c>
      <c r="G2232" s="23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4" t="str">
        <f>IF(J2232&lt;&gt;1,"",IF(I2232="SBJ","CB","?"))</f>
        <v> </v>
      </c>
      <c r="I2232" s="25" t="str">
        <f>IF(OR(E2232="",E2232="!!!",F2232="NEW"),"",INDEX(B2231:B$2,-1+SUMPRODUCT(MAX(ROW(E2231:E$2)*(E2232=E2231:E$2)))))</f>
        <v> </v>
      </c>
      <c r="J2232" s="25" t="str">
        <f>IF(OR(E2232="",E2232="!!!",F2232="NEW"),"",COUNTBLANK(OFFSET(A$1,,,SUMPRODUCT(MAX(ROW(E$2:E2232)*(E2232=E$2:E2232)))))-COUNTBLANK(OFFSET(A$1,,,SUMPRODUCT(MAX(ROW(E$1:E2231)*(E2=E$1:E2231))))))</f>
        <v> </v>
      </c>
      <c r="K2232" s="25" t="str">
        <f>IF(OR(E2232="",E2232="!!!",F2232="NEW"),"",INDEX(J$1:J2231,SUMPRODUCT(MAX(ROW(E$1:E2231)*(E2232=E$1:E2231)))))</f>
        <v> </v>
      </c>
      <c r="L2232" s="26"/>
    </row>
    <row r="2233" spans="1:12">
      <c r="A2233" s="20" t="s">
        <v>1214</v>
      </c>
      <c r="E2233" s="21">
        <f>IF(D2233="?OLD","!!!","")</f>
        <v/>
      </c>
      <c r="F2233" s="22" t="str">
        <f>IF(OR(E2233="",E2233="!!!"),"",IF(NOT(ISNA(VLOOKUP(E2233,E$1:E2232,1,FALSE()))),"OLD",IF(AND(E2233&lt;&gt;"",E2233&lt;&gt;"!!!"),"NEW","")))</f>
        <v> </v>
      </c>
      <c r="G2233" s="23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4" t="str">
        <f>IF(J2233&lt;&gt;1,"",IF(I2233="SBJ","CB","?"))</f>
        <v> </v>
      </c>
      <c r="I2233" s="25" t="str">
        <f>IF(OR(E2233="",E2233="!!!",F2233="NEW"),"",INDEX(B2232:B$2,-1+SUMPRODUCT(MAX(ROW(E2232:E$2)*(E2233=E2232:E$2)))))</f>
        <v> </v>
      </c>
      <c r="J2233" s="25" t="str">
        <f>IF(OR(E2233="",E2233="!!!",F2233="NEW"),"",COUNTBLANK(OFFSET(A$1,,,SUMPRODUCT(MAX(ROW(E$2:E2233)*(E2233=E$2:E2233)))))-COUNTBLANK(OFFSET(A$1,,,SUMPRODUCT(MAX(ROW(E$1:E2232)*(E2=E$1:E2232))))))</f>
        <v> </v>
      </c>
      <c r="K2233" s="25" t="str">
        <f>IF(OR(E2233="",E2233="!!!",F2233="NEW"),"",INDEX(J$1:J2232,SUMPRODUCT(MAX(ROW(E$1:E2232)*(E2233=E$1:E2232)))))</f>
        <v> </v>
      </c>
      <c r="L2233" s="26"/>
    </row>
    <row r="2234" spans="1:12">
      <c r="A2234" s="20" t="s">
        <v>549</v>
      </c>
      <c r="E2234" s="21">
        <f>IF(D2234="?OLD","!!!","")</f>
        <v/>
      </c>
      <c r="F2234" s="22" t="str">
        <f>IF(OR(E2234="",E2234="!!!"),"",IF(NOT(ISNA(VLOOKUP(E2234,E$1:E2233,1,FALSE()))),"OLD",IF(AND(E2234&lt;&gt;"",E2234&lt;&gt;"!!!"),"NEW","")))</f>
        <v> </v>
      </c>
      <c r="G2234" s="23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4" t="str">
        <f>IF(J2234&lt;&gt;1,"",IF(I2234="SBJ","CB","?"))</f>
        <v> </v>
      </c>
      <c r="I2234" s="25" t="str">
        <f>IF(OR(E2234="",E2234="!!!",F2234="NEW"),"",INDEX(B2233:B$2,-1+SUMPRODUCT(MAX(ROW(E2233:E$2)*(E2234=E2233:E$2)))))</f>
        <v> </v>
      </c>
      <c r="J2234" s="25" t="str">
        <f>IF(OR(E2234="",E2234="!!!",F2234="NEW"),"",COUNTBLANK(OFFSET(A$1,,,SUMPRODUCT(MAX(ROW(E$2:E2234)*(E2234=E$2:E2234)))))-COUNTBLANK(OFFSET(A$1,,,SUMPRODUCT(MAX(ROW(E$1:E2233)*(E2=E$1:E2233))))))</f>
        <v> </v>
      </c>
      <c r="K2234" s="25" t="str">
        <f>IF(OR(E2234="",E2234="!!!",F2234="NEW"),"",INDEX(J$1:J2233,SUMPRODUCT(MAX(ROW(E$1:E2233)*(E2234=E$1:E2233)))))</f>
        <v> </v>
      </c>
      <c r="L2234" s="26"/>
    </row>
    <row r="2235" spans="1:12">
      <c r="A2235" s="20"/>
    </row>
    <row r="2236" spans="1:12">
      <c r="A2236" s="20" t="s">
        <v>1325</v>
      </c>
    </row>
    <row r="2237" spans="1:12">
      <c r="A2237" s="20" t="s">
        <v>1326</v>
      </c>
      <c r="E2237" s="21">
        <f>IF(D2237="?OLD","!!!","")</f>
        <v/>
      </c>
      <c r="F2237" s="22" t="str">
        <f>IF(OR(E2237="",E2237="!!!"),"",IF(NOT(ISNA(VLOOKUP(E2237,E$1:E2236,1,FALSE()))),"OLD",IF(AND(E2237&lt;&gt;"",E2237&lt;&gt;"!!!"),"NEW","")))</f>
        <v> </v>
      </c>
      <c r="G2237" s="23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4" t="str">
        <f>IF(J2237&lt;&gt;1,"",IF(I2237="SBJ","CB","?"))</f>
        <v> </v>
      </c>
      <c r="I2237" s="25" t="str">
        <f>IF(OR(E2237="",E2237="!!!",F2237="NEW"),"",INDEX(B2236:B$2,-1+SUMPRODUCT(MAX(ROW(E2236:E$2)*(E2237=E2236:E$2)))))</f>
        <v> </v>
      </c>
      <c r="J2237" s="25" t="str">
        <f>IF(OR(E2237="",E2237="!!!",F2237="NEW"),"",COUNTBLANK(OFFSET(A$1,,,SUMPRODUCT(MAX(ROW(E$2:E2237)*(E2237=E$2:E2237)))))-COUNTBLANK(OFFSET(A$1,,,SUMPRODUCT(MAX(ROW(E$1:E2236)*(E2=E$1:E2236))))))</f>
        <v> </v>
      </c>
      <c r="K2237" s="25" t="str">
        <f>IF(OR(E2237="",E2237="!!!",F2237="NEW"),"",INDEX(J$1:J2236,SUMPRODUCT(MAX(ROW(E$1:E2236)*(E2237=E$1:E2236)))))</f>
        <v> </v>
      </c>
      <c r="L2237" s="26"/>
    </row>
    <row r="2238" spans="1:12">
      <c r="A2238" s="20" t="s">
        <v>1327</v>
      </c>
      <c r="E2238" s="21">
        <f>IF(D2238="?OLD","!!!","")</f>
        <v/>
      </c>
      <c r="F2238" s="22" t="str">
        <f>IF(OR(E2238="",E2238="!!!"),"",IF(NOT(ISNA(VLOOKUP(E2238,E$1:E2237,1,FALSE()))),"OLD",IF(AND(E2238&lt;&gt;"",E2238&lt;&gt;"!!!"),"NEW","")))</f>
        <v> </v>
      </c>
      <c r="G2238" s="23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4" t="str">
        <f>IF(J2238&lt;&gt;1,"",IF(I2238="SBJ","CB","?"))</f>
        <v> </v>
      </c>
      <c r="I2238" s="25" t="str">
        <f>IF(OR(E2238="",E2238="!!!",F2238="NEW"),"",INDEX(B2237:B$2,-1+SUMPRODUCT(MAX(ROW(E2237:E$2)*(E2238=E2237:E$2)))))</f>
        <v> </v>
      </c>
      <c r="J2238" s="25" t="str">
        <f>IF(OR(E2238="",E2238="!!!",F2238="NEW"),"",COUNTBLANK(OFFSET(A$1,,,SUMPRODUCT(MAX(ROW(E$2:E2238)*(E2238=E$2:E2238)))))-COUNTBLANK(OFFSET(A$1,,,SUMPRODUCT(MAX(ROW(E$1:E2237)*(E2=E$1:E2237))))))</f>
        <v> </v>
      </c>
      <c r="K2238" s="25" t="str">
        <f>IF(OR(E2238="",E2238="!!!",F2238="NEW"),"",INDEX(J$1:J2237,SUMPRODUCT(MAX(ROW(E$1:E2237)*(E2238=E$1:E2237)))))</f>
        <v> </v>
      </c>
      <c r="L2238" s="26"/>
    </row>
    <row r="2239" spans="1:12">
      <c r="A2239" s="20" t="s">
        <v>549</v>
      </c>
      <c r="E2239" s="21">
        <f>IF(D2239="?OLD","!!!","")</f>
        <v/>
      </c>
      <c r="F2239" s="22" t="str">
        <f>IF(OR(E2239="",E2239="!!!"),"",IF(NOT(ISNA(VLOOKUP(E2239,E$1:E2238,1,FALSE()))),"OLD",IF(AND(E2239&lt;&gt;"",E2239&lt;&gt;"!!!"),"NEW","")))</f>
        <v> </v>
      </c>
      <c r="G2239" s="23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4" t="str">
        <f>IF(J2239&lt;&gt;1,"",IF(I2239="SBJ","CB","?"))</f>
        <v> </v>
      </c>
      <c r="I2239" s="25" t="str">
        <f>IF(OR(E2239="",E2239="!!!",F2239="NEW"),"",INDEX(B2238:B$2,-1+SUMPRODUCT(MAX(ROW(E2238:E$2)*(E2239=E2238:E$2)))))</f>
        <v> </v>
      </c>
      <c r="J2239" s="25" t="str">
        <f>IF(OR(E2239="",E2239="!!!",F2239="NEW"),"",COUNTBLANK(OFFSET(A$1,,,SUMPRODUCT(MAX(ROW(E$2:E2239)*(E2239=E$2:E2239)))))-COUNTBLANK(OFFSET(A$1,,,SUMPRODUCT(MAX(ROW(E$1:E2238)*(E2=E$1:E2238))))))</f>
        <v> </v>
      </c>
      <c r="K2239" s="25" t="str">
        <f>IF(OR(E2239="",E2239="!!!",F2239="NEW"),"",INDEX(J$1:J2238,SUMPRODUCT(MAX(ROW(E$1:E2238)*(E2239=E$1:E2238)))))</f>
        <v> </v>
      </c>
      <c r="L2239" s="26"/>
    </row>
    <row r="2240" spans="1:12">
      <c r="A2240" s="20"/>
    </row>
    <row r="2241" spans="1:12">
      <c r="A2241" s="20" t="s">
        <v>1328</v>
      </c>
    </row>
    <row r="2242" spans="1:12">
      <c r="A2242" s="20" t="s">
        <v>1326</v>
      </c>
      <c r="E2242" s="21">
        <f>IF(D2242="?OLD","!!!","")</f>
        <v/>
      </c>
      <c r="F2242" s="22" t="str">
        <f>IF(OR(E2242="",E2242="!!!"),"",IF(NOT(ISNA(VLOOKUP(E2242,E$1:E2241,1,FALSE()))),"OLD",IF(AND(E2242&lt;&gt;"",E2242&lt;&gt;"!!!"),"NEW","")))</f>
        <v> </v>
      </c>
      <c r="G2242" s="23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4" t="str">
        <f>IF(J2242&lt;&gt;1,"",IF(I2242="SBJ","CB","?"))</f>
        <v> </v>
      </c>
      <c r="I2242" s="25" t="str">
        <f>IF(OR(E2242="",E2242="!!!",F2242="NEW"),"",INDEX(B2241:B$2,-1+SUMPRODUCT(MAX(ROW(E2241:E$2)*(E2242=E2241:E$2)))))</f>
        <v> </v>
      </c>
      <c r="J2242" s="25" t="str">
        <f>IF(OR(E2242="",E2242="!!!",F2242="NEW"),"",COUNTBLANK(OFFSET(A$1,,,SUMPRODUCT(MAX(ROW(E$2:E2242)*(E2242=E$2:E2242)))))-COUNTBLANK(OFFSET(A$1,,,SUMPRODUCT(MAX(ROW(E$1:E2241)*(E2=E$1:E2241))))))</f>
        <v> </v>
      </c>
      <c r="K2242" s="25" t="str">
        <f>IF(OR(E2242="",E2242="!!!",F2242="NEW"),"",INDEX(J$1:J2241,SUMPRODUCT(MAX(ROW(E$1:E2241)*(E2242=E$1:E2241)))))</f>
        <v> </v>
      </c>
      <c r="L2242" s="26"/>
    </row>
    <row r="2243" spans="1:12">
      <c r="A2243" s="20" t="s">
        <v>1329</v>
      </c>
      <c r="E2243" s="21">
        <f>IF(D2243="?OLD","!!!","")</f>
        <v/>
      </c>
      <c r="F2243" s="22" t="str">
        <f>IF(OR(E2243="",E2243="!!!"),"",IF(NOT(ISNA(VLOOKUP(E2243,E$1:E2242,1,FALSE()))),"OLD",IF(AND(E2243&lt;&gt;"",E2243&lt;&gt;"!!!"),"NEW","")))</f>
        <v> </v>
      </c>
      <c r="G2243" s="23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4" t="str">
        <f>IF(J2243&lt;&gt;1,"",IF(I2243="SBJ","CB","?"))</f>
        <v> </v>
      </c>
      <c r="I2243" s="25" t="str">
        <f>IF(OR(E2243="",E2243="!!!",F2243="NEW"),"",INDEX(B2242:B$2,-1+SUMPRODUCT(MAX(ROW(E2242:E$2)*(E2243=E2242:E$2)))))</f>
        <v> </v>
      </c>
      <c r="J2243" s="25" t="str">
        <f>IF(OR(E2243="",E2243="!!!",F2243="NEW"),"",COUNTBLANK(OFFSET(A$1,,,SUMPRODUCT(MAX(ROW(E$2:E2243)*(E2243=E$2:E2243)))))-COUNTBLANK(OFFSET(A$1,,,SUMPRODUCT(MAX(ROW(E$1:E2242)*(E2=E$1:E2242))))))</f>
        <v> </v>
      </c>
      <c r="K2243" s="25" t="str">
        <f>IF(OR(E2243="",E2243="!!!",F2243="NEW"),"",INDEX(J$1:J2242,SUMPRODUCT(MAX(ROW(E$1:E2242)*(E2243=E$1:E2242)))))</f>
        <v> </v>
      </c>
      <c r="L2243" s="26"/>
    </row>
    <row r="2244" spans="1:12">
      <c r="A2244" s="20" t="s">
        <v>549</v>
      </c>
      <c r="E2244" s="21">
        <f>IF(D2244="?OLD","!!!","")</f>
        <v/>
      </c>
      <c r="F2244" s="22" t="str">
        <f>IF(OR(E2244="",E2244="!!!"),"",IF(NOT(ISNA(VLOOKUP(E2244,E$1:E2243,1,FALSE()))),"OLD",IF(AND(E2244&lt;&gt;"",E2244&lt;&gt;"!!!"),"NEW","")))</f>
        <v> </v>
      </c>
      <c r="G2244" s="23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4" t="str">
        <f>IF(J2244&lt;&gt;1,"",IF(I2244="SBJ","CB","?"))</f>
        <v> </v>
      </c>
      <c r="I2244" s="25" t="str">
        <f>IF(OR(E2244="",E2244="!!!",F2244="NEW"),"",INDEX(B2243:B$2,-1+SUMPRODUCT(MAX(ROW(E2243:E$2)*(E2244=E2243:E$2)))))</f>
        <v> </v>
      </c>
      <c r="J2244" s="25" t="str">
        <f>IF(OR(E2244="",E2244="!!!",F2244="NEW"),"",COUNTBLANK(OFFSET(A$1,,,SUMPRODUCT(MAX(ROW(E$2:E2244)*(E2244=E$2:E2244)))))-COUNTBLANK(OFFSET(A$1,,,SUMPRODUCT(MAX(ROW(E$1:E2243)*(E2=E$1:E2243))))))</f>
        <v> </v>
      </c>
      <c r="K2244" s="25" t="str">
        <f>IF(OR(E2244="",E2244="!!!",F2244="NEW"),"",INDEX(J$1:J2243,SUMPRODUCT(MAX(ROW(E$1:E2243)*(E2244=E$1:E2243)))))</f>
        <v> </v>
      </c>
      <c r="L2244" s="26"/>
    </row>
    <row r="2245" spans="1:12">
      <c r="A2245" s="20"/>
    </row>
    <row r="2246" spans="1:12">
      <c r="A2246" s="20" t="s">
        <v>1330</v>
      </c>
    </row>
    <row r="2247" spans="1:12">
      <c r="A2247" s="20" t="s">
        <v>824</v>
      </c>
      <c r="E2247" s="21">
        <f>IF(D2247="?OLD","!!!","")</f>
        <v/>
      </c>
      <c r="F2247" s="22" t="str">
        <f>IF(OR(E2247="",E2247="!!!"),"",IF(NOT(ISNA(VLOOKUP(E2247,E$1:E2246,1,FALSE()))),"OLD",IF(AND(E2247&lt;&gt;"",E2247&lt;&gt;"!!!"),"NEW","")))</f>
        <v> </v>
      </c>
      <c r="G2247" s="23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4" t="str">
        <f>IF(J2247&lt;&gt;1,"",IF(I2247="SBJ","CB","?"))</f>
        <v> </v>
      </c>
      <c r="I2247" s="25" t="str">
        <f>IF(OR(E2247="",E2247="!!!",F2247="NEW"),"",INDEX(B2246:B$2,-1+SUMPRODUCT(MAX(ROW(E2246:E$2)*(E2247=E2246:E$2)))))</f>
        <v> </v>
      </c>
      <c r="J2247" s="25" t="str">
        <f>IF(OR(E2247="",E2247="!!!",F2247="NEW"),"",COUNTBLANK(OFFSET(A$1,,,SUMPRODUCT(MAX(ROW(E$2:E2247)*(E2247=E$2:E2247)))))-COUNTBLANK(OFFSET(A$1,,,SUMPRODUCT(MAX(ROW(E$1:E2246)*(E2=E$1:E2246))))))</f>
        <v> </v>
      </c>
      <c r="K2247" s="25" t="str">
        <f>IF(OR(E2247="",E2247="!!!",F2247="NEW"),"",INDEX(J$1:J2246,SUMPRODUCT(MAX(ROW(E$1:E2246)*(E2247=E$1:E2246)))))</f>
        <v> </v>
      </c>
      <c r="L2247" s="26"/>
    </row>
    <row r="2248" spans="1:12">
      <c r="A2248" s="20" t="s">
        <v>1214</v>
      </c>
      <c r="E2248" s="21">
        <f>IF(D2248="?OLD","!!!","")</f>
        <v/>
      </c>
      <c r="F2248" s="22" t="str">
        <f>IF(OR(E2248="",E2248="!!!"),"",IF(NOT(ISNA(VLOOKUP(E2248,E$1:E2247,1,FALSE()))),"OLD",IF(AND(E2248&lt;&gt;"",E2248&lt;&gt;"!!!"),"NEW","")))</f>
        <v> </v>
      </c>
      <c r="G2248" s="23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4" t="str">
        <f>IF(J2248&lt;&gt;1,"",IF(I2248="SBJ","CB","?"))</f>
        <v> </v>
      </c>
      <c r="I2248" s="25" t="str">
        <f>IF(OR(E2248="",E2248="!!!",F2248="NEW"),"",INDEX(B2247:B$2,-1+SUMPRODUCT(MAX(ROW(E2247:E$2)*(E2248=E2247:E$2)))))</f>
        <v> </v>
      </c>
      <c r="J2248" s="25" t="str">
        <f>IF(OR(E2248="",E2248="!!!",F2248="NEW"),"",COUNTBLANK(OFFSET(A$1,,,SUMPRODUCT(MAX(ROW(E$2:E2248)*(E2248=E$2:E2248)))))-COUNTBLANK(OFFSET(A$1,,,SUMPRODUCT(MAX(ROW(E$1:E2247)*(E2=E$1:E2247))))))</f>
        <v> </v>
      </c>
      <c r="K2248" s="25" t="str">
        <f>IF(OR(E2248="",E2248="!!!",F2248="NEW"),"",INDEX(J$1:J2247,SUMPRODUCT(MAX(ROW(E$1:E2247)*(E2248=E$1:E2247)))))</f>
        <v> </v>
      </c>
      <c r="L2248" s="26"/>
    </row>
    <row r="2249" spans="1:12">
      <c r="A2249" s="20" t="s">
        <v>1322</v>
      </c>
      <c r="E2249" s="21">
        <f>IF(D2249="?OLD","!!!","")</f>
        <v/>
      </c>
      <c r="F2249" s="22" t="str">
        <f>IF(OR(E2249="",E2249="!!!"),"",IF(NOT(ISNA(VLOOKUP(E2249,E$1:E2248,1,FALSE()))),"OLD",IF(AND(E2249&lt;&gt;"",E2249&lt;&gt;"!!!"),"NEW","")))</f>
        <v> </v>
      </c>
      <c r="G2249" s="23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4" t="str">
        <f>IF(J2249&lt;&gt;1,"",IF(I2249="SBJ","CB","?"))</f>
        <v> </v>
      </c>
      <c r="I2249" s="25" t="str">
        <f>IF(OR(E2249="",E2249="!!!",F2249="NEW"),"",INDEX(B2248:B$2,-1+SUMPRODUCT(MAX(ROW(E2248:E$2)*(E2249=E2248:E$2)))))</f>
        <v> </v>
      </c>
      <c r="J2249" s="25" t="str">
        <f>IF(OR(E2249="",E2249="!!!",F2249="NEW"),"",COUNTBLANK(OFFSET(A$1,,,SUMPRODUCT(MAX(ROW(E$2:E2249)*(E2249=E$2:E2249)))))-COUNTBLANK(OFFSET(A$1,,,SUMPRODUCT(MAX(ROW(E$1:E2248)*(E2=E$1:E2248))))))</f>
        <v> </v>
      </c>
      <c r="K2249" s="25" t="str">
        <f>IF(OR(E2249="",E2249="!!!",F2249="NEW"),"",INDEX(J$1:J2248,SUMPRODUCT(MAX(ROW(E$1:E2248)*(E2249=E$1:E2248)))))</f>
        <v> </v>
      </c>
      <c r="L2249" s="26"/>
    </row>
    <row r="2250" spans="1:12">
      <c r="A2250" s="20" t="s">
        <v>549</v>
      </c>
      <c r="E2250" s="21">
        <f>IF(D2250="?OLD","!!!","")</f>
        <v/>
      </c>
      <c r="F2250" s="22" t="str">
        <f>IF(OR(E2250="",E2250="!!!"),"",IF(NOT(ISNA(VLOOKUP(E2250,E$1:E2249,1,FALSE()))),"OLD",IF(AND(E2250&lt;&gt;"",E2250&lt;&gt;"!!!"),"NEW","")))</f>
        <v> </v>
      </c>
      <c r="G2250" s="23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4" t="str">
        <f>IF(J2250&lt;&gt;1,"",IF(I2250="SBJ","CB","?"))</f>
        <v> </v>
      </c>
      <c r="I2250" s="25" t="str">
        <f>IF(OR(E2250="",E2250="!!!",F2250="NEW"),"",INDEX(B2249:B$2,-1+SUMPRODUCT(MAX(ROW(E2249:E$2)*(E2250=E2249:E$2)))))</f>
        <v> </v>
      </c>
      <c r="J2250" s="25" t="str">
        <f>IF(OR(E2250="",E2250="!!!",F2250="NEW"),"",COUNTBLANK(OFFSET(A$1,,,SUMPRODUCT(MAX(ROW(E$2:E2250)*(E2250=E$2:E2250)))))-COUNTBLANK(OFFSET(A$1,,,SUMPRODUCT(MAX(ROW(E$1:E2249)*(E2=E$1:E2249))))))</f>
        <v> </v>
      </c>
      <c r="K2250" s="25" t="str">
        <f>IF(OR(E2250="",E2250="!!!",F2250="NEW"),"",INDEX(J$1:J2249,SUMPRODUCT(MAX(ROW(E$1:E2249)*(E2250=E$1:E2249)))))</f>
        <v> </v>
      </c>
      <c r="L2250" s="26"/>
    </row>
    <row r="2251" spans="1:12">
      <c r="A2251" s="20"/>
    </row>
    <row r="2252" spans="1:12">
      <c r="A2252" s="20" t="s">
        <v>1331</v>
      </c>
    </row>
    <row r="2253" spans="1:12">
      <c r="A2253" s="20" t="s">
        <v>1332</v>
      </c>
      <c r="E2253" s="21">
        <f>IF(D2253="?OLD","!!!","")</f>
        <v/>
      </c>
      <c r="F2253" s="22" t="str">
        <f>IF(OR(E2253="",E2253="!!!"),"",IF(NOT(ISNA(VLOOKUP(E2253,E$1:E2252,1,FALSE()))),"OLD",IF(AND(E2253&lt;&gt;"",E2253&lt;&gt;"!!!"),"NEW","")))</f>
        <v> </v>
      </c>
      <c r="G2253" s="23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4" t="str">
        <f>IF(J2253&lt;&gt;1,"",IF(I2253="SBJ","CB","?"))</f>
        <v> </v>
      </c>
      <c r="I2253" s="25" t="str">
        <f>IF(OR(E2253="",E2253="!!!",F2253="NEW"),"",INDEX(B2252:B$2,-1+SUMPRODUCT(MAX(ROW(E2252:E$2)*(E2253=E2252:E$2)))))</f>
        <v> </v>
      </c>
      <c r="J2253" s="25" t="str">
        <f>IF(OR(E2253="",E2253="!!!",F2253="NEW"),"",COUNTBLANK(OFFSET(A$1,,,SUMPRODUCT(MAX(ROW(E$2:E2253)*(E2253=E$2:E2253)))))-COUNTBLANK(OFFSET(A$1,,,SUMPRODUCT(MAX(ROW(E$1:E2252)*(E2=E$1:E2252))))))</f>
        <v> </v>
      </c>
      <c r="K2253" s="25" t="str">
        <f>IF(OR(E2253="",E2253="!!!",F2253="NEW"),"",INDEX(J$1:J2252,SUMPRODUCT(MAX(ROW(E$1:E2252)*(E2253=E$1:E2252)))))</f>
        <v> </v>
      </c>
      <c r="L2253" s="26"/>
    </row>
    <row r="2254" spans="1:12">
      <c r="A2254" s="20" t="s">
        <v>1169</v>
      </c>
      <c r="E2254" s="21">
        <f>IF(D2254="?OLD","!!!","")</f>
        <v/>
      </c>
      <c r="F2254" s="22" t="str">
        <f>IF(OR(E2254="",E2254="!!!"),"",IF(NOT(ISNA(VLOOKUP(E2254,E$1:E2253,1,FALSE()))),"OLD",IF(AND(E2254&lt;&gt;"",E2254&lt;&gt;"!!!"),"NEW","")))</f>
        <v> </v>
      </c>
      <c r="G2254" s="23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4" t="str">
        <f>IF(J2254&lt;&gt;1,"",IF(I2254="SBJ","CB","?"))</f>
        <v> </v>
      </c>
      <c r="I2254" s="25" t="str">
        <f>IF(OR(E2254="",E2254="!!!",F2254="NEW"),"",INDEX(B2253:B$2,-1+SUMPRODUCT(MAX(ROW(E2253:E$2)*(E2254=E2253:E$2)))))</f>
        <v> </v>
      </c>
      <c r="J2254" s="25" t="str">
        <f>IF(OR(E2254="",E2254="!!!",F2254="NEW"),"",COUNTBLANK(OFFSET(A$1,,,SUMPRODUCT(MAX(ROW(E$2:E2254)*(E2254=E$2:E2254)))))-COUNTBLANK(OFFSET(A$1,,,SUMPRODUCT(MAX(ROW(E$1:E2253)*(E2=E$1:E2253))))))</f>
        <v> </v>
      </c>
      <c r="K2254" s="25" t="str">
        <f>IF(OR(E2254="",E2254="!!!",F2254="NEW"),"",INDEX(J$1:J2253,SUMPRODUCT(MAX(ROW(E$1:E2253)*(E2254=E$1:E2253)))))</f>
        <v> </v>
      </c>
      <c r="L2254" s="26"/>
    </row>
    <row r="2255" spans="1:12">
      <c r="A2255" s="20" t="s">
        <v>718</v>
      </c>
      <c r="B2255" s="27" t="s">
        <v>667</v>
      </c>
      <c r="C2255" s="27" t="s">
        <v>637</v>
      </c>
      <c r="D2255" s="27" t="s">
        <v>524</v>
      </c>
      <c r="E2255" s="21">
        <f>IF(D2255="?OLD","!!!","")</f>
        <v/>
      </c>
      <c r="F2255" s="22" t="str">
        <f>IF(OR(E2255="",E2255="!!!"),"",IF(NOT(ISNA(VLOOKUP(E2255,E$1:E2254,1,FALSE()))),"OLD",IF(AND(E2255&lt;&gt;"",E2255&lt;&gt;"!!!"),"NEW","")))</f>
        <v> </v>
      </c>
      <c r="G2255" s="23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4" t="str">
        <f>IF(J2255&lt;&gt;1,"",IF(I2255="SBJ","CB","?"))</f>
        <v> </v>
      </c>
      <c r="I2255" s="25" t="str">
        <f>IF(OR(E2255="",E2255="!!!",F2255="NEW"),"",INDEX(B2254:B$2,-1+SUMPRODUCT(MAX(ROW(E2254:E$2)*(E2255=E2254:E$2)))))</f>
        <v> </v>
      </c>
      <c r="J2255" s="25" t="str">
        <f>IF(OR(E2255="",E2255="!!!",F2255="NEW"),"",COUNTBLANK(OFFSET(A$1,,,SUMPRODUCT(MAX(ROW(E$2:E2255)*(E2255=E$2:E2255)))))-COUNTBLANK(OFFSET(A$1,,,SUMPRODUCT(MAX(ROW(E$1:E2254)*(E2=E$1:E2254))))))</f>
        <v> </v>
      </c>
      <c r="K2255" s="25" t="str">
        <f>IF(OR(E2255="",E2255="!!!",F2255="NEW"),"",INDEX(J$1:J2254,SUMPRODUCT(MAX(ROW(E$1:E2254)*(E2255=E$1:E2254)))))</f>
        <v> </v>
      </c>
      <c r="L2255" s="26"/>
    </row>
    <row r="2256" spans="1:12">
      <c r="A2256" s="20" t="s">
        <v>1333</v>
      </c>
      <c r="E2256" s="21">
        <f>IF(D2256="?OLD","!!!","")</f>
        <v/>
      </c>
      <c r="F2256" s="22" t="str">
        <f>IF(OR(E2256="",E2256="!!!"),"",IF(NOT(ISNA(VLOOKUP(E2256,E$1:E2255,1,FALSE()))),"OLD",IF(AND(E2256&lt;&gt;"",E2256&lt;&gt;"!!!"),"NEW","")))</f>
        <v> </v>
      </c>
      <c r="G2256" s="23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4" t="str">
        <f>IF(J2256&lt;&gt;1,"",IF(I2256="SBJ","CB","?"))</f>
        <v> </v>
      </c>
      <c r="I2256" s="25" t="str">
        <f>IF(OR(E2256="",E2256="!!!",F2256="NEW"),"",INDEX(B2255:B$2,-1+SUMPRODUCT(MAX(ROW(E2255:E$2)*(E2256=E2255:E$2)))))</f>
        <v> </v>
      </c>
      <c r="J2256" s="25" t="str">
        <f>IF(OR(E2256="",E2256="!!!",F2256="NEW"),"",COUNTBLANK(OFFSET(A$1,,,SUMPRODUCT(MAX(ROW(E$2:E2256)*(E2256=E$2:E2256)))))-COUNTBLANK(OFFSET(A$1,,,SUMPRODUCT(MAX(ROW(E$1:E2255)*(E2=E$1:E2255))))))</f>
        <v> </v>
      </c>
      <c r="K2256" s="25" t="str">
        <f>IF(OR(E2256="",E2256="!!!",F2256="NEW"),"",INDEX(J$1:J2255,SUMPRODUCT(MAX(ROW(E$1:E2255)*(E2256=E$1:E2255)))))</f>
        <v> </v>
      </c>
      <c r="L2256" s="26"/>
    </row>
    <row r="2257" spans="1:12">
      <c r="A2257" s="20" t="s">
        <v>1334</v>
      </c>
      <c r="E2257" s="21">
        <f>IF(D2257="?OLD","!!!","")</f>
        <v/>
      </c>
      <c r="F2257" s="22" t="str">
        <f>IF(OR(E2257="",E2257="!!!"),"",IF(NOT(ISNA(VLOOKUP(E2257,E$1:E2256,1,FALSE()))),"OLD",IF(AND(E2257&lt;&gt;"",E2257&lt;&gt;"!!!"),"NEW","")))</f>
        <v> </v>
      </c>
      <c r="G2257" s="23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4" t="str">
        <f>IF(J2257&lt;&gt;1,"",IF(I2257="SBJ","CB","?"))</f>
        <v> </v>
      </c>
      <c r="I2257" s="25" t="str">
        <f>IF(OR(E2257="",E2257="!!!",F2257="NEW"),"",INDEX(B2256:B$2,-1+SUMPRODUCT(MAX(ROW(E2256:E$2)*(E2257=E2256:E$2)))))</f>
        <v> </v>
      </c>
      <c r="J2257" s="25" t="str">
        <f>IF(OR(E2257="",E2257="!!!",F2257="NEW"),"",COUNTBLANK(OFFSET(A$1,,,SUMPRODUCT(MAX(ROW(E$2:E2257)*(E2257=E$2:E2257)))))-COUNTBLANK(OFFSET(A$1,,,SUMPRODUCT(MAX(ROW(E$1:E2256)*(E2=E$1:E2256))))))</f>
        <v> </v>
      </c>
      <c r="K2257" s="25" t="str">
        <f>IF(OR(E2257="",E2257="!!!",F2257="NEW"),"",INDEX(J$1:J2256,SUMPRODUCT(MAX(ROW(E$1:E2256)*(E2257=E$1:E2256)))))</f>
        <v> </v>
      </c>
      <c r="L2257" s="26"/>
    </row>
    <row r="2258" spans="1:12">
      <c r="A2258" s="20" t="s">
        <v>565</v>
      </c>
      <c r="E2258" s="21">
        <f>IF(D2258="?OLD","!!!","")</f>
        <v/>
      </c>
      <c r="F2258" s="22" t="str">
        <f>IF(OR(E2258="",E2258="!!!"),"",IF(NOT(ISNA(VLOOKUP(E2258,E$1:E2257,1,FALSE()))),"OLD",IF(AND(E2258&lt;&gt;"",E2258&lt;&gt;"!!!"),"NEW","")))</f>
        <v> </v>
      </c>
      <c r="G2258" s="23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4" t="str">
        <f>IF(J2258&lt;&gt;1,"",IF(I2258="SBJ","CB","?"))</f>
        <v> </v>
      </c>
      <c r="I2258" s="25" t="str">
        <f>IF(OR(E2258="",E2258="!!!",F2258="NEW"),"",INDEX(B2257:B$2,-1+SUMPRODUCT(MAX(ROW(E2257:E$2)*(E2258=E2257:E$2)))))</f>
        <v> </v>
      </c>
      <c r="J2258" s="25" t="str">
        <f>IF(OR(E2258="",E2258="!!!",F2258="NEW"),"",COUNTBLANK(OFFSET(A$1,,,SUMPRODUCT(MAX(ROW(E$2:E2258)*(E2258=E$2:E2258)))))-COUNTBLANK(OFFSET(A$1,,,SUMPRODUCT(MAX(ROW(E$1:E2257)*(E2=E$1:E2257))))))</f>
        <v> </v>
      </c>
      <c r="K2258" s="25" t="str">
        <f>IF(OR(E2258="",E2258="!!!",F2258="NEW"),"",INDEX(J$1:J2257,SUMPRODUCT(MAX(ROW(E$1:E2257)*(E2258=E$1:E2257)))))</f>
        <v> </v>
      </c>
      <c r="L2258" s="26"/>
    </row>
    <row r="2259" spans="1:12">
      <c r="A2259" s="20" t="s">
        <v>1335</v>
      </c>
      <c r="E2259" s="21">
        <f>IF(D2259="?OLD","!!!","")</f>
        <v/>
      </c>
      <c r="F2259" s="22" t="str">
        <f>IF(OR(E2259="",E2259="!!!"),"",IF(NOT(ISNA(VLOOKUP(E2259,E$1:E2258,1,FALSE()))),"OLD",IF(AND(E2259&lt;&gt;"",E2259&lt;&gt;"!!!"),"NEW","")))</f>
        <v> </v>
      </c>
      <c r="G2259" s="23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4" t="str">
        <f>IF(J2259&lt;&gt;1,"",IF(I2259="SBJ","CB","?"))</f>
        <v> </v>
      </c>
      <c r="I2259" s="25" t="str">
        <f>IF(OR(E2259="",E2259="!!!",F2259="NEW"),"",INDEX(B2258:B$2,-1+SUMPRODUCT(MAX(ROW(E2258:E$2)*(E2259=E2258:E$2)))))</f>
        <v> </v>
      </c>
      <c r="J2259" s="25" t="str">
        <f>IF(OR(E2259="",E2259="!!!",F2259="NEW"),"",COUNTBLANK(OFFSET(A$1,,,SUMPRODUCT(MAX(ROW(E$2:E2259)*(E2259=E$2:E2259)))))-COUNTBLANK(OFFSET(A$1,,,SUMPRODUCT(MAX(ROW(E$1:E2258)*(E2=E$1:E2258))))))</f>
        <v> </v>
      </c>
      <c r="K2259" s="25" t="str">
        <f>IF(OR(E2259="",E2259="!!!",F2259="NEW"),"",INDEX(J$1:J2258,SUMPRODUCT(MAX(ROW(E$1:E2258)*(E2259=E$1:E2258)))))</f>
        <v> </v>
      </c>
      <c r="L2259" s="26"/>
    </row>
    <row r="2260" spans="1:12">
      <c r="A2260" s="20" t="s">
        <v>518</v>
      </c>
      <c r="E2260" s="21">
        <f>IF(D2260="?OLD","!!!","")</f>
        <v/>
      </c>
      <c r="F2260" s="22" t="str">
        <f>IF(OR(E2260="",E2260="!!!"),"",IF(NOT(ISNA(VLOOKUP(E2260,E$1:E2259,1,FALSE()))),"OLD",IF(AND(E2260&lt;&gt;"",E2260&lt;&gt;"!!!"),"NEW","")))</f>
        <v> </v>
      </c>
      <c r="G2260" s="23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4" t="str">
        <f>IF(J2260&lt;&gt;1,"",IF(I2260="SBJ","CB","?"))</f>
        <v> </v>
      </c>
      <c r="I2260" s="25" t="str">
        <f>IF(OR(E2260="",E2260="!!!",F2260="NEW"),"",INDEX(B2259:B$2,-1+SUMPRODUCT(MAX(ROW(E2259:E$2)*(E2260=E2259:E$2)))))</f>
        <v> </v>
      </c>
      <c r="J2260" s="25" t="str">
        <f>IF(OR(E2260="",E2260="!!!",F2260="NEW"),"",COUNTBLANK(OFFSET(A$1,,,SUMPRODUCT(MAX(ROW(E$2:E2260)*(E2260=E$2:E2260)))))-COUNTBLANK(OFFSET(A$1,,,SUMPRODUCT(MAX(ROW(E$1:E2259)*(E2=E$1:E2259))))))</f>
        <v> </v>
      </c>
      <c r="K2260" s="25" t="str">
        <f>IF(OR(E2260="",E2260="!!!",F2260="NEW"),"",INDEX(J$1:J2259,SUMPRODUCT(MAX(ROW(E$1:E2259)*(E2260=E$1:E2259)))))</f>
        <v> </v>
      </c>
      <c r="L2260" s="26"/>
    </row>
    <row r="2261" spans="1:12">
      <c r="A2261" s="20" t="s">
        <v>542</v>
      </c>
      <c r="E2261" s="21">
        <f>IF(D2261="?OLD","!!!","")</f>
        <v/>
      </c>
      <c r="F2261" s="22" t="str">
        <f>IF(OR(E2261="",E2261="!!!"),"",IF(NOT(ISNA(VLOOKUP(E2261,E$1:E2260,1,FALSE()))),"OLD",IF(AND(E2261&lt;&gt;"",E2261&lt;&gt;"!!!"),"NEW","")))</f>
        <v> </v>
      </c>
      <c r="G2261" s="23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4" t="str">
        <f>IF(J2261&lt;&gt;1,"",IF(I2261="SBJ","CB","?"))</f>
        <v> </v>
      </c>
      <c r="I2261" s="25" t="str">
        <f>IF(OR(E2261="",E2261="!!!",F2261="NEW"),"",INDEX(B2260:B$2,-1+SUMPRODUCT(MAX(ROW(E2260:E$2)*(E2261=E2260:E$2)))))</f>
        <v> </v>
      </c>
      <c r="J2261" s="25" t="str">
        <f>IF(OR(E2261="",E2261="!!!",F2261="NEW"),"",COUNTBLANK(OFFSET(A$1,,,SUMPRODUCT(MAX(ROW(E$2:E2261)*(E2261=E$2:E2261)))))-COUNTBLANK(OFFSET(A$1,,,SUMPRODUCT(MAX(ROW(E$1:E2260)*(E2=E$1:E2260))))))</f>
        <v> </v>
      </c>
      <c r="K2261" s="25" t="str">
        <f>IF(OR(E2261="",E2261="!!!",F2261="NEW"),"",INDEX(J$1:J2260,SUMPRODUCT(MAX(ROW(E$1:E2260)*(E2261=E$1:E2260)))))</f>
        <v> </v>
      </c>
      <c r="L2261" s="26"/>
    </row>
    <row r="2262" spans="1:12">
      <c r="A2262" s="20" t="s">
        <v>1336</v>
      </c>
      <c r="E2262" s="21">
        <f>IF(D2262="?OLD","!!!","")</f>
        <v/>
      </c>
      <c r="F2262" s="22" t="str">
        <f>IF(OR(E2262="",E2262="!!!"),"",IF(NOT(ISNA(VLOOKUP(E2262,E$1:E2261,1,FALSE()))),"OLD",IF(AND(E2262&lt;&gt;"",E2262&lt;&gt;"!!!"),"NEW","")))</f>
        <v> </v>
      </c>
      <c r="G2262" s="23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4" t="str">
        <f>IF(J2262&lt;&gt;1,"",IF(I2262="SBJ","CB","?"))</f>
        <v> </v>
      </c>
      <c r="I2262" s="25" t="str">
        <f>IF(OR(E2262="",E2262="!!!",F2262="NEW"),"",INDEX(B2261:B$2,-1+SUMPRODUCT(MAX(ROW(E2261:E$2)*(E2262=E2261:E$2)))))</f>
        <v> </v>
      </c>
      <c r="J2262" s="25" t="str">
        <f>IF(OR(E2262="",E2262="!!!",F2262="NEW"),"",COUNTBLANK(OFFSET(A$1,,,SUMPRODUCT(MAX(ROW(E$2:E2262)*(E2262=E$2:E2262)))))-COUNTBLANK(OFFSET(A$1,,,SUMPRODUCT(MAX(ROW(E$1:E2261)*(E2=E$1:E2261))))))</f>
        <v> </v>
      </c>
      <c r="K2262" s="25" t="str">
        <f>IF(OR(E2262="",E2262="!!!",F2262="NEW"),"",INDEX(J$1:J2261,SUMPRODUCT(MAX(ROW(E$1:E2261)*(E2262=E$1:E2261)))))</f>
        <v> </v>
      </c>
      <c r="L2262" s="26"/>
    </row>
    <row r="2263" spans="1:12">
      <c r="A2263" s="20" t="s">
        <v>815</v>
      </c>
      <c r="E2263" s="21">
        <f>IF(D2263="?OLD","!!!","")</f>
        <v/>
      </c>
      <c r="F2263" s="22" t="str">
        <f>IF(OR(E2263="",E2263="!!!"),"",IF(NOT(ISNA(VLOOKUP(E2263,E$1:E2262,1,FALSE()))),"OLD",IF(AND(E2263&lt;&gt;"",E2263&lt;&gt;"!!!"),"NEW","")))</f>
        <v> </v>
      </c>
      <c r="G2263" s="23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4" t="str">
        <f>IF(J2263&lt;&gt;1,"",IF(I2263="SBJ","CB","?"))</f>
        <v> </v>
      </c>
      <c r="I2263" s="25" t="str">
        <f>IF(OR(E2263="",E2263="!!!",F2263="NEW"),"",INDEX(B2262:B$2,-1+SUMPRODUCT(MAX(ROW(E2262:E$2)*(E2263=E2262:E$2)))))</f>
        <v> </v>
      </c>
      <c r="J2263" s="25" t="str">
        <f>IF(OR(E2263="",E2263="!!!",F2263="NEW"),"",COUNTBLANK(OFFSET(A$1,,,SUMPRODUCT(MAX(ROW(E$2:E2263)*(E2263=E$2:E2263)))))-COUNTBLANK(OFFSET(A$1,,,SUMPRODUCT(MAX(ROW(E$1:E2262)*(E2=E$1:E2262))))))</f>
        <v> </v>
      </c>
      <c r="K2263" s="25" t="str">
        <f>IF(OR(E2263="",E2263="!!!",F2263="NEW"),"",INDEX(J$1:J2262,SUMPRODUCT(MAX(ROW(E$1:E2262)*(E2263=E$1:E2262)))))</f>
        <v> </v>
      </c>
      <c r="L2263" s="26"/>
    </row>
    <row r="2264" spans="1:12">
      <c r="A2264" s="20"/>
    </row>
    <row r="2265" spans="1:12">
      <c r="A2265" s="20" t="s">
        <v>1337</v>
      </c>
    </row>
    <row r="2266" spans="1:12">
      <c r="A2266" s="20" t="s">
        <v>1338</v>
      </c>
      <c r="E2266" s="21">
        <f>IF(D2266="?OLD","!!!","")</f>
        <v/>
      </c>
      <c r="F2266" s="22" t="str">
        <f>IF(OR(E2266="",E2266="!!!"),"",IF(NOT(ISNA(VLOOKUP(E2266,E$1:E2265,1,FALSE()))),"OLD",IF(AND(E2266&lt;&gt;"",E2266&lt;&gt;"!!!"),"NEW","")))</f>
        <v> </v>
      </c>
      <c r="G2266" s="23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4" t="str">
        <f>IF(J2266&lt;&gt;1,"",IF(I2266="SBJ","CB","?"))</f>
        <v> </v>
      </c>
      <c r="I2266" s="25" t="str">
        <f>IF(OR(E2266="",E2266="!!!",F2266="NEW"),"",INDEX(B2265:B$2,-1+SUMPRODUCT(MAX(ROW(E2265:E$2)*(E2266=E2265:E$2)))))</f>
        <v> </v>
      </c>
      <c r="J2266" s="25" t="str">
        <f>IF(OR(E2266="",E2266="!!!",F2266="NEW"),"",COUNTBLANK(OFFSET(A$1,,,SUMPRODUCT(MAX(ROW(E$2:E2266)*(E2266=E$2:E2266)))))-COUNTBLANK(OFFSET(A$1,,,SUMPRODUCT(MAX(ROW(E$1:E2265)*(E2=E$1:E2265))))))</f>
        <v> </v>
      </c>
      <c r="K2266" s="25" t="str">
        <f>IF(OR(E2266="",E2266="!!!",F2266="NEW"),"",INDEX(J$1:J2265,SUMPRODUCT(MAX(ROW(E$1:E2265)*(E2266=E$1:E2265)))))</f>
        <v> </v>
      </c>
      <c r="L2266" s="26"/>
    </row>
    <row r="2267" spans="1:12">
      <c r="A2267" s="20" t="s">
        <v>1339</v>
      </c>
      <c r="B2267" s="27" t="s">
        <v>592</v>
      </c>
      <c r="C2267" s="27" t="s">
        <v>564</v>
      </c>
      <c r="E2267" s="21">
        <f>IF(D2267="?OLD","!!!","")</f>
        <v/>
      </c>
      <c r="F2267" s="22" t="str">
        <f>IF(OR(E2267="",E2267="!!!"),"",IF(NOT(ISNA(VLOOKUP(E2267,E$1:E2266,1,FALSE()))),"OLD",IF(AND(E2267&lt;&gt;"",E2267&lt;&gt;"!!!"),"NEW","")))</f>
        <v> </v>
      </c>
      <c r="G2267" s="23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4" t="str">
        <f>IF(J2267&lt;&gt;1,"",IF(I2267="SBJ","CB","?"))</f>
        <v> </v>
      </c>
      <c r="I2267" s="25" t="str">
        <f>IF(OR(E2267="",E2267="!!!",F2267="NEW"),"",INDEX(B2266:B$2,-1+SUMPRODUCT(MAX(ROW(E2266:E$2)*(E2267=E2266:E$2)))))</f>
        <v> </v>
      </c>
      <c r="J2267" s="25" t="str">
        <f>IF(OR(E2267="",E2267="!!!",F2267="NEW"),"",COUNTBLANK(OFFSET(A$1,,,SUMPRODUCT(MAX(ROW(E$2:E2267)*(E2267=E$2:E2267)))))-COUNTBLANK(OFFSET(A$1,,,SUMPRODUCT(MAX(ROW(E$1:E2266)*(E2=E$1:E2266))))))</f>
        <v> </v>
      </c>
      <c r="K2267" s="25" t="str">
        <f>IF(OR(E2267="",E2267="!!!",F2267="NEW"),"",INDEX(J$1:J2266,SUMPRODUCT(MAX(ROW(E$1:E2266)*(E2267=E$1:E2266)))))</f>
        <v> </v>
      </c>
      <c r="L2267" s="26"/>
    </row>
    <row r="2268" spans="1:12">
      <c r="A2268" s="20" t="s">
        <v>1340</v>
      </c>
      <c r="E2268" s="21">
        <f>IF(D2268="?OLD","!!!","")</f>
        <v/>
      </c>
      <c r="F2268" s="22" t="str">
        <f>IF(OR(E2268="",E2268="!!!"),"",IF(NOT(ISNA(VLOOKUP(E2268,E$1:E2267,1,FALSE()))),"OLD",IF(AND(E2268&lt;&gt;"",E2268&lt;&gt;"!!!"),"NEW","")))</f>
        <v> </v>
      </c>
      <c r="G2268" s="23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4" t="str">
        <f>IF(J2268&lt;&gt;1,"",IF(I2268="SBJ","CB","?"))</f>
        <v> </v>
      </c>
      <c r="I2268" s="25" t="str">
        <f>IF(OR(E2268="",E2268="!!!",F2268="NEW"),"",INDEX(B2267:B$2,-1+SUMPRODUCT(MAX(ROW(E2267:E$2)*(E2268=E2267:E$2)))))</f>
        <v> </v>
      </c>
      <c r="J2268" s="25" t="str">
        <f>IF(OR(E2268="",E2268="!!!",F2268="NEW"),"",COUNTBLANK(OFFSET(A$1,,,SUMPRODUCT(MAX(ROW(E$2:E2268)*(E2268=E$2:E2268)))))-COUNTBLANK(OFFSET(A$1,,,SUMPRODUCT(MAX(ROW(E$1:E2267)*(E2=E$1:E2267))))))</f>
        <v> </v>
      </c>
      <c r="K2268" s="25" t="str">
        <f>IF(OR(E2268="",E2268="!!!",F2268="NEW"),"",INDEX(J$1:J2267,SUMPRODUCT(MAX(ROW(E$1:E2267)*(E2268=E$1:E2267)))))</f>
        <v> </v>
      </c>
      <c r="L2268" s="26"/>
    </row>
    <row r="2269" spans="1:12">
      <c r="A2269" s="20"/>
    </row>
    <row r="2270" spans="1:12">
      <c r="A2270" s="20" t="s">
        <v>1341</v>
      </c>
    </row>
    <row r="2271" spans="1:12">
      <c r="A2271" s="20" t="s">
        <v>824</v>
      </c>
      <c r="E2271" s="21">
        <f>IF(D2271="?OLD","!!!","")</f>
        <v/>
      </c>
      <c r="F2271" s="22" t="str">
        <f>IF(OR(E2271="",E2271="!!!"),"",IF(NOT(ISNA(VLOOKUP(E2271,E$1:E2270,1,FALSE()))),"OLD",IF(AND(E2271&lt;&gt;"",E2271&lt;&gt;"!!!"),"NEW","")))</f>
        <v> </v>
      </c>
      <c r="G2271" s="23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4" t="str">
        <f>IF(J2271&lt;&gt;1,"",IF(I2271="SBJ","CB","?"))</f>
        <v> </v>
      </c>
      <c r="I2271" s="25" t="str">
        <f>IF(OR(E2271="",E2271="!!!",F2271="NEW"),"",INDEX(B2270:B$2,-1+SUMPRODUCT(MAX(ROW(E2270:E$2)*(E2271=E2270:E$2)))))</f>
        <v> </v>
      </c>
      <c r="J2271" s="25" t="str">
        <f>IF(OR(E2271="",E2271="!!!",F2271="NEW"),"",COUNTBLANK(OFFSET(A$1,,,SUMPRODUCT(MAX(ROW(E$2:E2271)*(E2271=E$2:E2271)))))-COUNTBLANK(OFFSET(A$1,,,SUMPRODUCT(MAX(ROW(E$1:E2270)*(E2=E$1:E2270))))))</f>
        <v> </v>
      </c>
      <c r="K2271" s="25" t="str">
        <f>IF(OR(E2271="",E2271="!!!",F2271="NEW"),"",INDEX(J$1:J2270,SUMPRODUCT(MAX(ROW(E$1:E2270)*(E2271=E$1:E2270)))))</f>
        <v> </v>
      </c>
      <c r="L2271" s="26"/>
    </row>
    <row r="2272" spans="1:12">
      <c r="A2272" s="20" t="s">
        <v>645</v>
      </c>
      <c r="B2272" s="27" t="s">
        <v>743</v>
      </c>
      <c r="C2272" s="27" t="s">
        <v>523</v>
      </c>
      <c r="D2272" s="27" t="s">
        <v>524</v>
      </c>
      <c r="E2272" s="21">
        <f>IF(D2272="?OLD","!!!","")</f>
        <v/>
      </c>
      <c r="F2272" s="22" t="str">
        <f>IF(OR(E2272="",E2272="!!!"),"",IF(NOT(ISNA(VLOOKUP(E2272,E$1:E2271,1,FALSE()))),"OLD",IF(AND(E2272&lt;&gt;"",E2272&lt;&gt;"!!!"),"NEW","")))</f>
        <v> </v>
      </c>
      <c r="G2272" s="23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4" t="str">
        <f>IF(J2272&lt;&gt;1,"",IF(I2272="SBJ","CB","?"))</f>
        <v> </v>
      </c>
      <c r="I2272" s="25" t="str">
        <f>IF(OR(E2272="",E2272="!!!",F2272="NEW"),"",INDEX(B2271:B$2,-1+SUMPRODUCT(MAX(ROW(E2271:E$2)*(E2272=E2271:E$2)))))</f>
        <v> </v>
      </c>
      <c r="J2272" s="25" t="str">
        <f>IF(OR(E2272="",E2272="!!!",F2272="NEW"),"",COUNTBLANK(OFFSET(A$1,,,SUMPRODUCT(MAX(ROW(E$2:E2272)*(E2272=E$2:E2272)))))-COUNTBLANK(OFFSET(A$1,,,SUMPRODUCT(MAX(ROW(E$1:E2271)*(E2=E$1:E2271))))))</f>
        <v> </v>
      </c>
      <c r="K2272" s="25" t="str">
        <f>IF(OR(E2272="",E2272="!!!",F2272="NEW"),"",INDEX(J$1:J2271,SUMPRODUCT(MAX(ROW(E$1:E2271)*(E2272=E$1:E2271)))))</f>
        <v> </v>
      </c>
      <c r="L2272" s="26"/>
    </row>
    <row r="2273" spans="1:12">
      <c r="A2273" s="20" t="s">
        <v>1342</v>
      </c>
      <c r="E2273" s="21">
        <f>IF(D2273="?OLD","!!!","")</f>
        <v/>
      </c>
      <c r="F2273" s="22" t="str">
        <f>IF(OR(E2273="",E2273="!!!"),"",IF(NOT(ISNA(VLOOKUP(E2273,E$1:E2272,1,FALSE()))),"OLD",IF(AND(E2273&lt;&gt;"",E2273&lt;&gt;"!!!"),"NEW","")))</f>
        <v> </v>
      </c>
      <c r="G2273" s="23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4" t="str">
        <f>IF(J2273&lt;&gt;1,"",IF(I2273="SBJ","CB","?"))</f>
        <v> </v>
      </c>
      <c r="I2273" s="25" t="str">
        <f>IF(OR(E2273="",E2273="!!!",F2273="NEW"),"",INDEX(B2272:B$2,-1+SUMPRODUCT(MAX(ROW(E2272:E$2)*(E2273=E2272:E$2)))))</f>
        <v> </v>
      </c>
      <c r="J2273" s="25" t="str">
        <f>IF(OR(E2273="",E2273="!!!",F2273="NEW"),"",COUNTBLANK(OFFSET(A$1,,,SUMPRODUCT(MAX(ROW(E$2:E2273)*(E2273=E$2:E2273)))))-COUNTBLANK(OFFSET(A$1,,,SUMPRODUCT(MAX(ROW(E$1:E2272)*(E2=E$1:E2272))))))</f>
        <v> </v>
      </c>
      <c r="K2273" s="25" t="str">
        <f>IF(OR(E2273="",E2273="!!!",F2273="NEW"),"",INDEX(J$1:J2272,SUMPRODUCT(MAX(ROW(E$1:E2272)*(E2273=E$1:E2272)))))</f>
        <v> </v>
      </c>
      <c r="L2273" s="26"/>
    </row>
    <row r="2274" spans="1:12">
      <c r="A2274" s="20" t="s">
        <v>549</v>
      </c>
      <c r="E2274" s="21">
        <f>IF(D2274="?OLD","!!!","")</f>
        <v/>
      </c>
      <c r="F2274" s="22" t="str">
        <f>IF(OR(E2274="",E2274="!!!"),"",IF(NOT(ISNA(VLOOKUP(E2274,E$1:E2273,1,FALSE()))),"OLD",IF(AND(E2274&lt;&gt;"",E2274&lt;&gt;"!!!"),"NEW","")))</f>
        <v> </v>
      </c>
      <c r="G2274" s="23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4" t="str">
        <f>IF(J2274&lt;&gt;1,"",IF(I2274="SBJ","CB","?"))</f>
        <v> </v>
      </c>
      <c r="I2274" s="25" t="str">
        <f>IF(OR(E2274="",E2274="!!!",F2274="NEW"),"",INDEX(B2273:B$2,-1+SUMPRODUCT(MAX(ROW(E2273:E$2)*(E2274=E2273:E$2)))))</f>
        <v> </v>
      </c>
      <c r="J2274" s="25" t="str">
        <f>IF(OR(E2274="",E2274="!!!",F2274="NEW"),"",COUNTBLANK(OFFSET(A$1,,,SUMPRODUCT(MAX(ROW(E$2:E2274)*(E2274=E$2:E2274)))))-COUNTBLANK(OFFSET(A$1,,,SUMPRODUCT(MAX(ROW(E$1:E2273)*(E2=E$1:E2273))))))</f>
        <v> </v>
      </c>
      <c r="K2274" s="25" t="str">
        <f>IF(OR(E2274="",E2274="!!!",F2274="NEW"),"",INDEX(J$1:J2273,SUMPRODUCT(MAX(ROW(E$1:E2273)*(E2274=E$1:E2273)))))</f>
        <v> </v>
      </c>
      <c r="L2274" s="26"/>
    </row>
    <row r="2275" spans="1:12">
      <c r="A2275" s="20"/>
    </row>
    <row r="2276" spans="1:12">
      <c r="A2276" s="20" t="s">
        <v>1343</v>
      </c>
    </row>
    <row r="2277" spans="1:12">
      <c r="A2277" s="20" t="s">
        <v>1332</v>
      </c>
      <c r="E2277" s="21">
        <f>IF(D2277="?OLD","!!!","")</f>
        <v/>
      </c>
      <c r="F2277" s="22" t="str">
        <f>IF(OR(E2277="",E2277="!!!"),"",IF(NOT(ISNA(VLOOKUP(E2277,E$1:E2276,1,FALSE()))),"OLD",IF(AND(E2277&lt;&gt;"",E2277&lt;&gt;"!!!"),"NEW","")))</f>
        <v> </v>
      </c>
      <c r="G2277" s="23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4" t="str">
        <f>IF(J2277&lt;&gt;1,"",IF(I2277="SBJ","CB","?"))</f>
        <v> </v>
      </c>
      <c r="I2277" s="25" t="str">
        <f>IF(OR(E2277="",E2277="!!!",F2277="NEW"),"",INDEX(B2276:B$2,-1+SUMPRODUCT(MAX(ROW(E2276:E$2)*(E2277=E2276:E$2)))))</f>
        <v> </v>
      </c>
      <c r="J2277" s="25" t="str">
        <f>IF(OR(E2277="",E2277="!!!",F2277="NEW"),"",COUNTBLANK(OFFSET(A$1,,,SUMPRODUCT(MAX(ROW(E$2:E2277)*(E2277=E$2:E2277)))))-COUNTBLANK(OFFSET(A$1,,,SUMPRODUCT(MAX(ROW(E$1:E2276)*(E2=E$1:E2276))))))</f>
        <v> </v>
      </c>
      <c r="K2277" s="25" t="str">
        <f>IF(OR(E2277="",E2277="!!!",F2277="NEW"),"",INDEX(J$1:J2276,SUMPRODUCT(MAX(ROW(E$1:E2276)*(E2277=E$1:E2276)))))</f>
        <v> </v>
      </c>
      <c r="L2277" s="26"/>
    </row>
    <row r="2278" spans="1:12">
      <c r="A2278" s="20" t="s">
        <v>1247</v>
      </c>
      <c r="E2278" s="21">
        <f>IF(D2278="?OLD","!!!","")</f>
        <v/>
      </c>
      <c r="F2278" s="22" t="str">
        <f>IF(OR(E2278="",E2278="!!!"),"",IF(NOT(ISNA(VLOOKUP(E2278,E$1:E2277,1,FALSE()))),"OLD",IF(AND(E2278&lt;&gt;"",E2278&lt;&gt;"!!!"),"NEW","")))</f>
        <v> </v>
      </c>
      <c r="G2278" s="23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4" t="str">
        <f>IF(J2278&lt;&gt;1,"",IF(I2278="SBJ","CB","?"))</f>
        <v> </v>
      </c>
      <c r="I2278" s="25" t="str">
        <f>IF(OR(E2278="",E2278="!!!",F2278="NEW"),"",INDEX(B2277:B$2,-1+SUMPRODUCT(MAX(ROW(E2277:E$2)*(E2278=E2277:E$2)))))</f>
        <v> </v>
      </c>
      <c r="J2278" s="25" t="str">
        <f>IF(OR(E2278="",E2278="!!!",F2278="NEW"),"",COUNTBLANK(OFFSET(A$1,,,SUMPRODUCT(MAX(ROW(E$2:E2278)*(E2278=E$2:E2278)))))-COUNTBLANK(OFFSET(A$1,,,SUMPRODUCT(MAX(ROW(E$1:E2277)*(E2=E$1:E2277))))))</f>
        <v> </v>
      </c>
      <c r="K2278" s="25" t="str">
        <f>IF(OR(E2278="",E2278="!!!",F2278="NEW"),"",INDEX(J$1:J2277,SUMPRODUCT(MAX(ROW(E$1:E2277)*(E2278=E$1:E2277)))))</f>
        <v> </v>
      </c>
      <c r="L2278" s="26"/>
    </row>
    <row r="2279" spans="1:12">
      <c r="A2279" s="20" t="s">
        <v>179</v>
      </c>
      <c r="E2279" s="21">
        <f>IF(D2279="?OLD","!!!","")</f>
        <v/>
      </c>
      <c r="F2279" s="22" t="str">
        <f>IF(OR(E2279="",E2279="!!!"),"",IF(NOT(ISNA(VLOOKUP(E2279,E$1:E2278,1,FALSE()))),"OLD",IF(AND(E2279&lt;&gt;"",E2279&lt;&gt;"!!!"),"NEW","")))</f>
        <v> </v>
      </c>
      <c r="G2279" s="23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4" t="str">
        <f>IF(J2279&lt;&gt;1,"",IF(I2279="SBJ","CB","?"))</f>
        <v> </v>
      </c>
      <c r="I2279" s="25" t="str">
        <f>IF(OR(E2279="",E2279="!!!",F2279="NEW"),"",INDEX(B2278:B$2,-1+SUMPRODUCT(MAX(ROW(E2278:E$2)*(E2279=E2278:E$2)))))</f>
        <v> </v>
      </c>
      <c r="J2279" s="25" t="str">
        <f>IF(OR(E2279="",E2279="!!!",F2279="NEW"),"",COUNTBLANK(OFFSET(A$1,,,SUMPRODUCT(MAX(ROW(E$2:E2279)*(E2279=E$2:E2279)))))-COUNTBLANK(OFFSET(A$1,,,SUMPRODUCT(MAX(ROW(E$1:E2278)*(E2=E$1:E2278))))))</f>
        <v> </v>
      </c>
      <c r="K2279" s="25" t="str">
        <f>IF(OR(E2279="",E2279="!!!",F2279="NEW"),"",INDEX(J$1:J2278,SUMPRODUCT(MAX(ROW(E$1:E2278)*(E2279=E$1:E2278)))))</f>
        <v> </v>
      </c>
      <c r="L2279" s="26"/>
    </row>
    <row r="2280" spans="1:12">
      <c r="A2280" s="20" t="s">
        <v>874</v>
      </c>
      <c r="E2280" s="21">
        <f>IF(D2280="?OLD","!!!","")</f>
        <v/>
      </c>
      <c r="F2280" s="22" t="str">
        <f>IF(OR(E2280="",E2280="!!!"),"",IF(NOT(ISNA(VLOOKUP(E2280,E$1:E2279,1,FALSE()))),"OLD",IF(AND(E2280&lt;&gt;"",E2280&lt;&gt;"!!!"),"NEW","")))</f>
        <v> </v>
      </c>
      <c r="G2280" s="23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4" t="str">
        <f>IF(J2280&lt;&gt;1,"",IF(I2280="SBJ","CB","?"))</f>
        <v> </v>
      </c>
      <c r="I2280" s="25" t="str">
        <f>IF(OR(E2280="",E2280="!!!",F2280="NEW"),"",INDEX(B2279:B$2,-1+SUMPRODUCT(MAX(ROW(E2279:E$2)*(E2280=E2279:E$2)))))</f>
        <v> </v>
      </c>
      <c r="J2280" s="25" t="str">
        <f>IF(OR(E2280="",E2280="!!!",F2280="NEW"),"",COUNTBLANK(OFFSET(A$1,,,SUMPRODUCT(MAX(ROW(E$2:E2280)*(E2280=E$2:E2280)))))-COUNTBLANK(OFFSET(A$1,,,SUMPRODUCT(MAX(ROW(E$1:E2279)*(E2=E$1:E2279))))))</f>
        <v> </v>
      </c>
      <c r="K2280" s="25" t="str">
        <f>IF(OR(E2280="",E2280="!!!",F2280="NEW"),"",INDEX(J$1:J2279,SUMPRODUCT(MAX(ROW(E$1:E2279)*(E2280=E$1:E2279)))))</f>
        <v> </v>
      </c>
      <c r="L2280" s="26"/>
    </row>
    <row r="2281" spans="1:12">
      <c r="A2281" s="20" t="s">
        <v>1344</v>
      </c>
      <c r="B2281" s="27" t="s">
        <v>573</v>
      </c>
      <c r="C2281" s="27" t="s">
        <v>637</v>
      </c>
      <c r="D2281" s="27" t="s">
        <v>524</v>
      </c>
      <c r="E2281" s="21">
        <f>IF(D2281="?OLD","!!!","")</f>
        <v/>
      </c>
      <c r="F2281" s="22" t="str">
        <f>IF(OR(E2281="",E2281="!!!"),"",IF(NOT(ISNA(VLOOKUP(E2281,E$1:E2280,1,FALSE()))),"OLD",IF(AND(E2281&lt;&gt;"",E2281&lt;&gt;"!!!"),"NEW","")))</f>
        <v> </v>
      </c>
      <c r="G2281" s="23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4" t="str">
        <f>IF(J2281&lt;&gt;1,"",IF(I2281="SBJ","CB","?"))</f>
        <v> </v>
      </c>
      <c r="I2281" s="25" t="str">
        <f>IF(OR(E2281="",E2281="!!!",F2281="NEW"),"",INDEX(B2280:B$2,-1+SUMPRODUCT(MAX(ROW(E2280:E$2)*(E2281=E2280:E$2)))))</f>
        <v> </v>
      </c>
      <c r="J2281" s="25" t="str">
        <f>IF(OR(E2281="",E2281="!!!",F2281="NEW"),"",COUNTBLANK(OFFSET(A$1,,,SUMPRODUCT(MAX(ROW(E$2:E2281)*(E2281=E$2:E2281)))))-COUNTBLANK(OFFSET(A$1,,,SUMPRODUCT(MAX(ROW(E$1:E2280)*(E2=E$1:E2280))))))</f>
        <v> </v>
      </c>
      <c r="K2281" s="25" t="str">
        <f>IF(OR(E2281="",E2281="!!!",F2281="NEW"),"",INDEX(J$1:J2280,SUMPRODUCT(MAX(ROW(E$1:E2280)*(E2281=E$1:E2280)))))</f>
        <v> </v>
      </c>
      <c r="L2281" s="26"/>
    </row>
    <row r="2282" spans="1:12">
      <c r="A2282" s="20" t="s">
        <v>518</v>
      </c>
      <c r="E2282" s="21">
        <f>IF(D2282="?OLD","!!!","")</f>
        <v/>
      </c>
      <c r="F2282" s="22" t="str">
        <f>IF(OR(E2282="",E2282="!!!"),"",IF(NOT(ISNA(VLOOKUP(E2282,E$1:E2281,1,FALSE()))),"OLD",IF(AND(E2282&lt;&gt;"",E2282&lt;&gt;"!!!"),"NEW","")))</f>
        <v> </v>
      </c>
      <c r="G2282" s="23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4" t="str">
        <f>IF(J2282&lt;&gt;1,"",IF(I2282="SBJ","CB","?"))</f>
        <v> </v>
      </c>
      <c r="I2282" s="25" t="str">
        <f>IF(OR(E2282="",E2282="!!!",F2282="NEW"),"",INDEX(B2281:B$2,-1+SUMPRODUCT(MAX(ROW(E2281:E$2)*(E2282=E2281:E$2)))))</f>
        <v> </v>
      </c>
      <c r="J2282" s="25" t="str">
        <f>IF(OR(E2282="",E2282="!!!",F2282="NEW"),"",COUNTBLANK(OFFSET(A$1,,,SUMPRODUCT(MAX(ROW(E$2:E2282)*(E2282=E$2:E2282)))))-COUNTBLANK(OFFSET(A$1,,,SUMPRODUCT(MAX(ROW(E$1:E2281)*(E2=E$1:E2281))))))</f>
        <v> </v>
      </c>
      <c r="K2282" s="25" t="str">
        <f>IF(OR(E2282="",E2282="!!!",F2282="NEW"),"",INDEX(J$1:J2281,SUMPRODUCT(MAX(ROW(E$1:E2281)*(E2282=E$1:E2281)))))</f>
        <v> </v>
      </c>
      <c r="L2282" s="26"/>
    </row>
    <row r="2283" spans="1:12">
      <c r="A2283" s="20" t="s">
        <v>1345</v>
      </c>
      <c r="B2283" s="27" t="s">
        <v>641</v>
      </c>
      <c r="C2283" s="27" t="s">
        <v>540</v>
      </c>
      <c r="D2283" s="27" t="s">
        <v>524</v>
      </c>
      <c r="E2283" s="21">
        <f>IF(D2283="?OLD","!!!","")</f>
        <v/>
      </c>
      <c r="F2283" s="22" t="str">
        <f>IF(OR(E2283="",E2283="!!!"),"",IF(NOT(ISNA(VLOOKUP(E2283,E$1:E2282,1,FALSE()))),"OLD",IF(AND(E2283&lt;&gt;"",E2283&lt;&gt;"!!!"),"NEW","")))</f>
        <v> </v>
      </c>
      <c r="G2283" s="23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4" t="str">
        <f>IF(J2283&lt;&gt;1,"",IF(I2283="SBJ","CB","?"))</f>
        <v> </v>
      </c>
      <c r="I2283" s="25" t="str">
        <f>IF(OR(E2283="",E2283="!!!",F2283="NEW"),"",INDEX(B2282:B$2,-1+SUMPRODUCT(MAX(ROW(E2282:E$2)*(E2283=E2282:E$2)))))</f>
        <v> </v>
      </c>
      <c r="J2283" s="25" t="str">
        <f>IF(OR(E2283="",E2283="!!!",F2283="NEW"),"",COUNTBLANK(OFFSET(A$1,,,SUMPRODUCT(MAX(ROW(E$2:E2283)*(E2283=E$2:E2283)))))-COUNTBLANK(OFFSET(A$1,,,SUMPRODUCT(MAX(ROW(E$1:E2282)*(E2=E$1:E2282))))))</f>
        <v> </v>
      </c>
      <c r="K2283" s="25" t="str">
        <f>IF(OR(E2283="",E2283="!!!",F2283="NEW"),"",INDEX(J$1:J2282,SUMPRODUCT(MAX(ROW(E$1:E2282)*(E2283=E$1:E2282)))))</f>
        <v> </v>
      </c>
      <c r="L2283" s="26"/>
    </row>
    <row r="2284" spans="1:12">
      <c r="A2284" s="20" t="s">
        <v>518</v>
      </c>
      <c r="E2284" s="21">
        <f>IF(D2284="?OLD","!!!","")</f>
        <v/>
      </c>
      <c r="F2284" s="22" t="str">
        <f>IF(OR(E2284="",E2284="!!!"),"",IF(NOT(ISNA(VLOOKUP(E2284,E$1:E2283,1,FALSE()))),"OLD",IF(AND(E2284&lt;&gt;"",E2284&lt;&gt;"!!!"),"NEW","")))</f>
        <v> </v>
      </c>
      <c r="G2284" s="23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4" t="str">
        <f>IF(J2284&lt;&gt;1,"",IF(I2284="SBJ","CB","?"))</f>
        <v> </v>
      </c>
      <c r="I2284" s="25" t="str">
        <f>IF(OR(E2284="",E2284="!!!",F2284="NEW"),"",INDEX(B2283:B$2,-1+SUMPRODUCT(MAX(ROW(E2283:E$2)*(E2284=E2283:E$2)))))</f>
        <v> </v>
      </c>
      <c r="J2284" s="25" t="str">
        <f>IF(OR(E2284="",E2284="!!!",F2284="NEW"),"",COUNTBLANK(OFFSET(A$1,,,SUMPRODUCT(MAX(ROW(E$2:E2284)*(E2284=E$2:E2284)))))-COUNTBLANK(OFFSET(A$1,,,SUMPRODUCT(MAX(ROW(E$1:E2283)*(E2=E$1:E2283))))))</f>
        <v> </v>
      </c>
      <c r="K2284" s="25" t="str">
        <f>IF(OR(E2284="",E2284="!!!",F2284="NEW"),"",INDEX(J$1:J2283,SUMPRODUCT(MAX(ROW(E$1:E2283)*(E2284=E$1:E2283)))))</f>
        <v> </v>
      </c>
      <c r="L2284" s="26"/>
    </row>
    <row r="2285" spans="1:12">
      <c r="A2285" s="20" t="s">
        <v>542</v>
      </c>
      <c r="E2285" s="21">
        <f>IF(D2285="?OLD","!!!","")</f>
        <v/>
      </c>
      <c r="F2285" s="22" t="str">
        <f>IF(OR(E2285="",E2285="!!!"),"",IF(NOT(ISNA(VLOOKUP(E2285,E$1:E2284,1,FALSE()))),"OLD",IF(AND(E2285&lt;&gt;"",E2285&lt;&gt;"!!!"),"NEW","")))</f>
        <v> </v>
      </c>
      <c r="G2285" s="23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4" t="str">
        <f>IF(J2285&lt;&gt;1,"",IF(I2285="SBJ","CB","?"))</f>
        <v> </v>
      </c>
      <c r="I2285" s="25" t="str">
        <f>IF(OR(E2285="",E2285="!!!",F2285="NEW"),"",INDEX(B2284:B$2,-1+SUMPRODUCT(MAX(ROW(E2284:E$2)*(E2285=E2284:E$2)))))</f>
        <v> </v>
      </c>
      <c r="J2285" s="25" t="str">
        <f>IF(OR(E2285="",E2285="!!!",F2285="NEW"),"",COUNTBLANK(OFFSET(A$1,,,SUMPRODUCT(MAX(ROW(E$2:E2285)*(E2285=E$2:E2285)))))-COUNTBLANK(OFFSET(A$1,,,SUMPRODUCT(MAX(ROW(E$1:E2284)*(E2=E$1:E2284))))))</f>
        <v> </v>
      </c>
      <c r="K2285" s="25" t="str">
        <f>IF(OR(E2285="",E2285="!!!",F2285="NEW"),"",INDEX(J$1:J2284,SUMPRODUCT(MAX(ROW(E$1:E2284)*(E2285=E$1:E2284)))))</f>
        <v> </v>
      </c>
      <c r="L2285" s="26"/>
    </row>
    <row r="2286" spans="1:12">
      <c r="A2286" s="20" t="s">
        <v>1318</v>
      </c>
      <c r="B2286" s="27" t="s">
        <v>699</v>
      </c>
      <c r="C2286" s="27" t="s">
        <v>540</v>
      </c>
      <c r="D2286" s="27" t="s">
        <v>524</v>
      </c>
      <c r="E2286" s="21">
        <f>IF(D2286="?OLD","!!!","")</f>
        <v/>
      </c>
      <c r="F2286" s="22" t="str">
        <f>IF(OR(E2286="",E2286="!!!"),"",IF(NOT(ISNA(VLOOKUP(E2286,E$1:E2285,1,FALSE()))),"OLD",IF(AND(E2286&lt;&gt;"",E2286&lt;&gt;"!!!"),"NEW","")))</f>
        <v> </v>
      </c>
      <c r="G2286" s="23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4" t="str">
        <f>IF(J2286&lt;&gt;1,"",IF(I2286="SBJ","CB","?"))</f>
        <v> </v>
      </c>
      <c r="I2286" s="25" t="str">
        <f>IF(OR(E2286="",E2286="!!!",F2286="NEW"),"",INDEX(B2285:B$2,-1+SUMPRODUCT(MAX(ROW(E2285:E$2)*(E2286=E2285:E$2)))))</f>
        <v> </v>
      </c>
      <c r="J2286" s="25" t="str">
        <f>IF(OR(E2286="",E2286="!!!",F2286="NEW"),"",COUNTBLANK(OFFSET(A$1,,,SUMPRODUCT(MAX(ROW(E$2:E2286)*(E2286=E$2:E2286)))))-COUNTBLANK(OFFSET(A$1,,,SUMPRODUCT(MAX(ROW(E$1:E2285)*(E2=E$1:E2285))))))</f>
        <v> </v>
      </c>
      <c r="K2286" s="25" t="str">
        <f>IF(OR(E2286="",E2286="!!!",F2286="NEW"),"",INDEX(J$1:J2285,SUMPRODUCT(MAX(ROW(E$1:E2285)*(E2286=E$1:E2285)))))</f>
        <v> </v>
      </c>
      <c r="L2286" s="26"/>
    </row>
    <row r="2287" spans="1:12">
      <c r="A2287" s="20" t="s">
        <v>541</v>
      </c>
      <c r="E2287" s="21">
        <f>IF(D2287="?OLD","!!!","")</f>
        <v/>
      </c>
      <c r="F2287" s="22" t="str">
        <f>IF(OR(E2287="",E2287="!!!"),"",IF(NOT(ISNA(VLOOKUP(E2287,E$1:E2286,1,FALSE()))),"OLD",IF(AND(E2287&lt;&gt;"",E2287&lt;&gt;"!!!"),"NEW","")))</f>
        <v> </v>
      </c>
      <c r="G2287" s="23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4" t="str">
        <f>IF(J2287&lt;&gt;1,"",IF(I2287="SBJ","CB","?"))</f>
        <v> </v>
      </c>
      <c r="I2287" s="25" t="str">
        <f>IF(OR(E2287="",E2287="!!!",F2287="NEW"),"",INDEX(B2286:B$2,-1+SUMPRODUCT(MAX(ROW(E2286:E$2)*(E2287=E2286:E$2)))))</f>
        <v> </v>
      </c>
      <c r="J2287" s="25" t="str">
        <f>IF(OR(E2287="",E2287="!!!",F2287="NEW"),"",COUNTBLANK(OFFSET(A$1,,,SUMPRODUCT(MAX(ROW(E$2:E2287)*(E2287=E$2:E2287)))))-COUNTBLANK(OFFSET(A$1,,,SUMPRODUCT(MAX(ROW(E$1:E2286)*(E2=E$1:E2286))))))</f>
        <v> </v>
      </c>
      <c r="K2287" s="25" t="str">
        <f>IF(OR(E2287="",E2287="!!!",F2287="NEW"),"",INDEX(J$1:J2286,SUMPRODUCT(MAX(ROW(E$1:E2286)*(E2287=E$1:E2286)))))</f>
        <v> </v>
      </c>
      <c r="L2287" s="26"/>
    </row>
    <row r="2288" spans="1:12">
      <c r="A2288" s="20" t="s">
        <v>993</v>
      </c>
      <c r="B2288" s="27" t="s">
        <v>658</v>
      </c>
      <c r="C2288" s="27" t="s">
        <v>564</v>
      </c>
      <c r="E2288" s="21">
        <f>IF(D2288="?OLD","!!!","")</f>
        <v/>
      </c>
      <c r="F2288" s="22" t="str">
        <f>IF(OR(E2288="",E2288="!!!"),"",IF(NOT(ISNA(VLOOKUP(E2288,E$1:E2287,1,FALSE()))),"OLD",IF(AND(E2288&lt;&gt;"",E2288&lt;&gt;"!!!"),"NEW","")))</f>
        <v> </v>
      </c>
      <c r="G2288" s="23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4" t="str">
        <f>IF(J2288&lt;&gt;1,"",IF(I2288="SBJ","CB","?"))</f>
        <v> </v>
      </c>
      <c r="I2288" s="25" t="str">
        <f>IF(OR(E2288="",E2288="!!!",F2288="NEW"),"",INDEX(B2287:B$2,-1+SUMPRODUCT(MAX(ROW(E2287:E$2)*(E2288=E2287:E$2)))))</f>
        <v> </v>
      </c>
      <c r="J2288" s="25" t="str">
        <f>IF(OR(E2288="",E2288="!!!",F2288="NEW"),"",COUNTBLANK(OFFSET(A$1,,,SUMPRODUCT(MAX(ROW(E$2:E2288)*(E2288=E$2:E2288)))))-COUNTBLANK(OFFSET(A$1,,,SUMPRODUCT(MAX(ROW(E$1:E2287)*(E2=E$1:E2287))))))</f>
        <v> </v>
      </c>
      <c r="K2288" s="25" t="str">
        <f>IF(OR(E2288="",E2288="!!!",F2288="NEW"),"",INDEX(J$1:J2287,SUMPRODUCT(MAX(ROW(E$1:E2287)*(E2288=E$1:E2287)))))</f>
        <v> </v>
      </c>
      <c r="L2288" s="26"/>
    </row>
    <row r="2289" spans="1:12">
      <c r="A2289" s="20" t="s">
        <v>565</v>
      </c>
      <c r="E2289" s="21">
        <f>IF(D2289="?OLD","!!!","")</f>
        <v/>
      </c>
      <c r="F2289" s="22" t="str">
        <f>IF(OR(E2289="",E2289="!!!"),"",IF(NOT(ISNA(VLOOKUP(E2289,E$1:E2288,1,FALSE()))),"OLD",IF(AND(E2289&lt;&gt;"",E2289&lt;&gt;"!!!"),"NEW","")))</f>
        <v> </v>
      </c>
      <c r="G2289" s="23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4" t="str">
        <f>IF(J2289&lt;&gt;1,"",IF(I2289="SBJ","CB","?"))</f>
        <v> </v>
      </c>
      <c r="I2289" s="25" t="str">
        <f>IF(OR(E2289="",E2289="!!!",F2289="NEW"),"",INDEX(B2288:B$2,-1+SUMPRODUCT(MAX(ROW(E2288:E$2)*(E2289=E2288:E$2)))))</f>
        <v> </v>
      </c>
      <c r="J2289" s="25" t="str">
        <f>IF(OR(E2289="",E2289="!!!",F2289="NEW"),"",COUNTBLANK(OFFSET(A$1,,,SUMPRODUCT(MAX(ROW(E$2:E2289)*(E2289=E$2:E2289)))))-COUNTBLANK(OFFSET(A$1,,,SUMPRODUCT(MAX(ROW(E$1:E2288)*(E2=E$1:E2288))))))</f>
        <v> </v>
      </c>
      <c r="K2289" s="25" t="str">
        <f>IF(OR(E2289="",E2289="!!!",F2289="NEW"),"",INDEX(J$1:J2288,SUMPRODUCT(MAX(ROW(E$1:E2288)*(E2289=E$1:E2288)))))</f>
        <v> </v>
      </c>
      <c r="L2289" s="26"/>
    </row>
    <row r="2290" spans="1:12">
      <c r="A2290" s="20" t="s">
        <v>814</v>
      </c>
      <c r="E2290" s="21">
        <f>IF(D2290="?OLD","!!!","")</f>
        <v/>
      </c>
      <c r="F2290" s="22" t="str">
        <f>IF(OR(E2290="",E2290="!!!"),"",IF(NOT(ISNA(VLOOKUP(E2290,E$1:E2289,1,FALSE()))),"OLD",IF(AND(E2290&lt;&gt;"",E2290&lt;&gt;"!!!"),"NEW","")))</f>
        <v> </v>
      </c>
      <c r="G2290" s="23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4" t="str">
        <f>IF(J2290&lt;&gt;1,"",IF(I2290="SBJ","CB","?"))</f>
        <v> </v>
      </c>
      <c r="I2290" s="25" t="str">
        <f>IF(OR(E2290="",E2290="!!!",F2290="NEW"),"",INDEX(B2289:B$2,-1+SUMPRODUCT(MAX(ROW(E2289:E$2)*(E2290=E2289:E$2)))))</f>
        <v> </v>
      </c>
      <c r="J2290" s="25" t="str">
        <f>IF(OR(E2290="",E2290="!!!",F2290="NEW"),"",COUNTBLANK(OFFSET(A$1,,,SUMPRODUCT(MAX(ROW(E$2:E2290)*(E2290=E$2:E2290)))))-COUNTBLANK(OFFSET(A$1,,,SUMPRODUCT(MAX(ROW(E$1:E2289)*(E2=E$1:E2289))))))</f>
        <v> </v>
      </c>
      <c r="K2290" s="25" t="str">
        <f>IF(OR(E2290="",E2290="!!!",F2290="NEW"),"",INDEX(J$1:J2289,SUMPRODUCT(MAX(ROW(E$1:E2289)*(E2290=E$1:E2289)))))</f>
        <v> </v>
      </c>
      <c r="L2290" s="26"/>
    </row>
    <row r="2291" spans="1:12">
      <c r="A2291" s="20" t="s">
        <v>565</v>
      </c>
      <c r="E2291" s="21">
        <f>IF(D2291="?OLD","!!!","")</f>
        <v/>
      </c>
      <c r="F2291" s="22" t="str">
        <f>IF(OR(E2291="",E2291="!!!"),"",IF(NOT(ISNA(VLOOKUP(E2291,E$1:E2290,1,FALSE()))),"OLD",IF(AND(E2291&lt;&gt;"",E2291&lt;&gt;"!!!"),"NEW","")))</f>
        <v> </v>
      </c>
      <c r="G2291" s="23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4" t="str">
        <f>IF(J2291&lt;&gt;1,"",IF(I2291="SBJ","CB","?"))</f>
        <v> </v>
      </c>
      <c r="I2291" s="25" t="str">
        <f>IF(OR(E2291="",E2291="!!!",F2291="NEW"),"",INDEX(B2290:B$2,-1+SUMPRODUCT(MAX(ROW(E2290:E$2)*(E2291=E2290:E$2)))))</f>
        <v> </v>
      </c>
      <c r="J2291" s="25" t="str">
        <f>IF(OR(E2291="",E2291="!!!",F2291="NEW"),"",COUNTBLANK(OFFSET(A$1,,,SUMPRODUCT(MAX(ROW(E$2:E2291)*(E2291=E$2:E2291)))))-COUNTBLANK(OFFSET(A$1,,,SUMPRODUCT(MAX(ROW(E$1:E2290)*(E2=E$1:E2290))))))</f>
        <v> </v>
      </c>
      <c r="K2291" s="25" t="str">
        <f>IF(OR(E2291="",E2291="!!!",F2291="NEW"),"",INDEX(J$1:J2290,SUMPRODUCT(MAX(ROW(E$1:E2290)*(E2291=E$1:E2290)))))</f>
        <v> </v>
      </c>
      <c r="L2291" s="26"/>
    </row>
    <row r="2292" spans="1:12">
      <c r="A2292" s="20" t="s">
        <v>926</v>
      </c>
      <c r="E2292" s="21">
        <f>IF(D2292="?OLD","!!!","")</f>
        <v/>
      </c>
      <c r="F2292" s="22" t="str">
        <f>IF(OR(E2292="",E2292="!!!"),"",IF(NOT(ISNA(VLOOKUP(E2292,E$1:E2291,1,FALSE()))),"OLD",IF(AND(E2292&lt;&gt;"",E2292&lt;&gt;"!!!"),"NEW","")))</f>
        <v> </v>
      </c>
      <c r="G2292" s="23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4" t="str">
        <f>IF(J2292&lt;&gt;1,"",IF(I2292="SBJ","CB","?"))</f>
        <v> </v>
      </c>
      <c r="I2292" s="25" t="str">
        <f>IF(OR(E2292="",E2292="!!!",F2292="NEW"),"",INDEX(B2291:B$2,-1+SUMPRODUCT(MAX(ROW(E2291:E$2)*(E2292=E2291:E$2)))))</f>
        <v> </v>
      </c>
      <c r="J2292" s="25" t="str">
        <f>IF(OR(E2292="",E2292="!!!",F2292="NEW"),"",COUNTBLANK(OFFSET(A$1,,,SUMPRODUCT(MAX(ROW(E$2:E2292)*(E2292=E$2:E2292)))))-COUNTBLANK(OFFSET(A$1,,,SUMPRODUCT(MAX(ROW(E$1:E2291)*(E2=E$1:E2291))))))</f>
        <v> </v>
      </c>
      <c r="K2292" s="25" t="str">
        <f>IF(OR(E2292="",E2292="!!!",F2292="NEW"),"",INDEX(J$1:J2291,SUMPRODUCT(MAX(ROW(E$1:E2291)*(E2292=E$1:E2291)))))</f>
        <v> </v>
      </c>
      <c r="L2292" s="26"/>
    </row>
    <row r="2293" spans="1:12">
      <c r="A2293" s="20" t="s">
        <v>542</v>
      </c>
      <c r="E2293" s="21">
        <f>IF(D2293="?OLD","!!!","")</f>
        <v/>
      </c>
      <c r="F2293" s="22" t="str">
        <f>IF(OR(E2293="",E2293="!!!"),"",IF(NOT(ISNA(VLOOKUP(E2293,E$1:E2292,1,FALSE()))),"OLD",IF(AND(E2293&lt;&gt;"",E2293&lt;&gt;"!!!"),"NEW","")))</f>
        <v> </v>
      </c>
      <c r="G2293" s="23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4" t="str">
        <f>IF(J2293&lt;&gt;1,"",IF(I2293="SBJ","CB","?"))</f>
        <v> </v>
      </c>
      <c r="I2293" s="25" t="str">
        <f>IF(OR(E2293="",E2293="!!!",F2293="NEW"),"",INDEX(B2292:B$2,-1+SUMPRODUCT(MAX(ROW(E2292:E$2)*(E2293=E2292:E$2)))))</f>
        <v> </v>
      </c>
      <c r="J2293" s="25" t="str">
        <f>IF(OR(E2293="",E2293="!!!",F2293="NEW"),"",COUNTBLANK(OFFSET(A$1,,,SUMPRODUCT(MAX(ROW(E$2:E2293)*(E2293=E$2:E2293)))))-COUNTBLANK(OFFSET(A$1,,,SUMPRODUCT(MAX(ROW(E$1:E2292)*(E2=E$1:E2292))))))</f>
        <v> </v>
      </c>
      <c r="K2293" s="25" t="str">
        <f>IF(OR(E2293="",E2293="!!!",F2293="NEW"),"",INDEX(J$1:J2292,SUMPRODUCT(MAX(ROW(E$1:E2292)*(E2293=E$1:E2292)))))</f>
        <v> </v>
      </c>
      <c r="L2293" s="26"/>
    </row>
    <row r="2294" spans="1:12">
      <c r="A2294" s="20" t="s">
        <v>542</v>
      </c>
      <c r="E2294" s="21">
        <f>IF(D2294="?OLD","!!!","")</f>
        <v/>
      </c>
      <c r="F2294" s="22" t="str">
        <f>IF(OR(E2294="",E2294="!!!"),"",IF(NOT(ISNA(VLOOKUP(E2294,E$1:E2293,1,FALSE()))),"OLD",IF(AND(E2294&lt;&gt;"",E2294&lt;&gt;"!!!"),"NEW","")))</f>
        <v> </v>
      </c>
      <c r="G2294" s="23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4" t="str">
        <f>IF(J2294&lt;&gt;1,"",IF(I2294="SBJ","CB","?"))</f>
        <v> </v>
      </c>
      <c r="I2294" s="25" t="str">
        <f>IF(OR(E2294="",E2294="!!!",F2294="NEW"),"",INDEX(B2293:B$2,-1+SUMPRODUCT(MAX(ROW(E2293:E$2)*(E2294=E2293:E$2)))))</f>
        <v> </v>
      </c>
      <c r="J2294" s="25" t="str">
        <f>IF(OR(E2294="",E2294="!!!",F2294="NEW"),"",COUNTBLANK(OFFSET(A$1,,,SUMPRODUCT(MAX(ROW(E$2:E2294)*(E2294=E$2:E2294)))))-COUNTBLANK(OFFSET(A$1,,,SUMPRODUCT(MAX(ROW(E$1:E2293)*(E2=E$1:E2293))))))</f>
        <v> </v>
      </c>
      <c r="K2294" s="25" t="str">
        <f>IF(OR(E2294="",E2294="!!!",F2294="NEW"),"",INDEX(J$1:J2293,SUMPRODUCT(MAX(ROW(E$1:E2293)*(E2294=E$1:E2293)))))</f>
        <v> </v>
      </c>
      <c r="L2294" s="26"/>
    </row>
    <row r="2295" spans="1:12">
      <c r="A2295" s="20" t="s">
        <v>1346</v>
      </c>
      <c r="B2295" s="27" t="s">
        <v>641</v>
      </c>
      <c r="C2295" s="27" t="s">
        <v>540</v>
      </c>
      <c r="D2295" s="27" t="s">
        <v>524</v>
      </c>
      <c r="E2295" s="21">
        <f>IF(D2295="?OLD","!!!","")</f>
        <v/>
      </c>
      <c r="F2295" s="22" t="str">
        <f>IF(OR(E2295="",E2295="!!!"),"",IF(NOT(ISNA(VLOOKUP(E2295,E$1:E2294,1,FALSE()))),"OLD",IF(AND(E2295&lt;&gt;"",E2295&lt;&gt;"!!!"),"NEW","")))</f>
        <v> </v>
      </c>
      <c r="G2295" s="23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4" t="str">
        <f>IF(J2295&lt;&gt;1,"",IF(I2295="SBJ","CB","?"))</f>
        <v> </v>
      </c>
      <c r="I2295" s="25" t="str">
        <f>IF(OR(E2295="",E2295="!!!",F2295="NEW"),"",INDEX(B2294:B$2,-1+SUMPRODUCT(MAX(ROW(E2294:E$2)*(E2295=E2294:E$2)))))</f>
        <v> </v>
      </c>
      <c r="J2295" s="25" t="str">
        <f>IF(OR(E2295="",E2295="!!!",F2295="NEW"),"",COUNTBLANK(OFFSET(A$1,,,SUMPRODUCT(MAX(ROW(E$2:E2295)*(E2295=E$2:E2295)))))-COUNTBLANK(OFFSET(A$1,,,SUMPRODUCT(MAX(ROW(E$1:E2294)*(E2=E$1:E2294))))))</f>
        <v> </v>
      </c>
      <c r="K2295" s="25" t="str">
        <f>IF(OR(E2295="",E2295="!!!",F2295="NEW"),"",INDEX(J$1:J2294,SUMPRODUCT(MAX(ROW(E$1:E2294)*(E2295=E$1:E2294)))))</f>
        <v> </v>
      </c>
      <c r="L2295" s="26"/>
    </row>
    <row r="2296" spans="1:12">
      <c r="A2296" s="20" t="s">
        <v>518</v>
      </c>
      <c r="E2296" s="21">
        <f>IF(D2296="?OLD","!!!","")</f>
        <v/>
      </c>
      <c r="F2296" s="22" t="str">
        <f>IF(OR(E2296="",E2296="!!!"),"",IF(NOT(ISNA(VLOOKUP(E2296,E$1:E2295,1,FALSE()))),"OLD",IF(AND(E2296&lt;&gt;"",E2296&lt;&gt;"!!!"),"NEW","")))</f>
        <v> </v>
      </c>
      <c r="G2296" s="23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4" t="str">
        <f>IF(J2296&lt;&gt;1,"",IF(I2296="SBJ","CB","?"))</f>
        <v> </v>
      </c>
      <c r="I2296" s="25" t="str">
        <f>IF(OR(E2296="",E2296="!!!",F2296="NEW"),"",INDEX(B2295:B$2,-1+SUMPRODUCT(MAX(ROW(E2295:E$2)*(E2296=E2295:E$2)))))</f>
        <v> </v>
      </c>
      <c r="J2296" s="25" t="str">
        <f>IF(OR(E2296="",E2296="!!!",F2296="NEW"),"",COUNTBLANK(OFFSET(A$1,,,SUMPRODUCT(MAX(ROW(E$2:E2296)*(E2296=E$2:E2296)))))-COUNTBLANK(OFFSET(A$1,,,SUMPRODUCT(MAX(ROW(E$1:E2295)*(E2=E$1:E2295))))))</f>
        <v> </v>
      </c>
      <c r="K2296" s="25" t="str">
        <f>IF(OR(E2296="",E2296="!!!",F2296="NEW"),"",INDEX(J$1:J2295,SUMPRODUCT(MAX(ROW(E$1:E2295)*(E2296=E$1:E2295)))))</f>
        <v> </v>
      </c>
      <c r="L2296" s="26"/>
    </row>
    <row r="2297" spans="1:12">
      <c r="A2297" s="20" t="s">
        <v>1051</v>
      </c>
      <c r="E2297" s="21">
        <f>IF(D2297="?OLD","!!!","")</f>
        <v/>
      </c>
      <c r="F2297" s="22" t="str">
        <f>IF(OR(E2297="",E2297="!!!"),"",IF(NOT(ISNA(VLOOKUP(E2297,E$1:E2296,1,FALSE()))),"OLD",IF(AND(E2297&lt;&gt;"",E2297&lt;&gt;"!!!"),"NEW","")))</f>
        <v> </v>
      </c>
      <c r="G2297" s="23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4" t="str">
        <f>IF(J2297&lt;&gt;1,"",IF(I2297="SBJ","CB","?"))</f>
        <v> </v>
      </c>
      <c r="I2297" s="25" t="str">
        <f>IF(OR(E2297="",E2297="!!!",F2297="NEW"),"",INDEX(B2296:B$2,-1+SUMPRODUCT(MAX(ROW(E2296:E$2)*(E2297=E2296:E$2)))))</f>
        <v> </v>
      </c>
      <c r="J2297" s="25" t="str">
        <f>IF(OR(E2297="",E2297="!!!",F2297="NEW"),"",COUNTBLANK(OFFSET(A$1,,,SUMPRODUCT(MAX(ROW(E$2:E2297)*(E2297=E$2:E2297)))))-COUNTBLANK(OFFSET(A$1,,,SUMPRODUCT(MAX(ROW(E$1:E2296)*(E2=E$1:E2296))))))</f>
        <v> </v>
      </c>
      <c r="K2297" s="25" t="str">
        <f>IF(OR(E2297="",E2297="!!!",F2297="NEW"),"",INDEX(J$1:J2296,SUMPRODUCT(MAX(ROW(E$1:E2296)*(E2297=E$1:E2296)))))</f>
        <v> </v>
      </c>
      <c r="L2297" s="26"/>
    </row>
    <row r="2298" spans="1:12">
      <c r="A2298" s="20" t="s">
        <v>1347</v>
      </c>
      <c r="B2298" s="27" t="s">
        <v>699</v>
      </c>
      <c r="C2298" s="27" t="s">
        <v>564</v>
      </c>
      <c r="E2298" s="21">
        <f>IF(D2298="?OLD","!!!","")</f>
        <v/>
      </c>
      <c r="F2298" s="22" t="str">
        <f>IF(OR(E2298="",E2298="!!!"),"",IF(NOT(ISNA(VLOOKUP(E2298,E$1:E2297,1,FALSE()))),"OLD",IF(AND(E2298&lt;&gt;"",E2298&lt;&gt;"!!!"),"NEW","")))</f>
        <v> </v>
      </c>
      <c r="G2298" s="23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4" t="str">
        <f>IF(J2298&lt;&gt;1,"",IF(I2298="SBJ","CB","?"))</f>
        <v> </v>
      </c>
      <c r="I2298" s="25" t="str">
        <f>IF(OR(E2298="",E2298="!!!",F2298="NEW"),"",INDEX(B2297:B$2,-1+SUMPRODUCT(MAX(ROW(E2297:E$2)*(E2298=E2297:E$2)))))</f>
        <v> </v>
      </c>
      <c r="J2298" s="25" t="str">
        <f>IF(OR(E2298="",E2298="!!!",F2298="NEW"),"",COUNTBLANK(OFFSET(A$1,,,SUMPRODUCT(MAX(ROW(E$2:E2298)*(E2298=E$2:E2298)))))-COUNTBLANK(OFFSET(A$1,,,SUMPRODUCT(MAX(ROW(E$1:E2297)*(E2=E$1:E2297))))))</f>
        <v> </v>
      </c>
      <c r="K2298" s="25" t="str">
        <f>IF(OR(E2298="",E2298="!!!",F2298="NEW"),"",INDEX(J$1:J2297,SUMPRODUCT(MAX(ROW(E$1:E2297)*(E2298=E$1:E2297)))))</f>
        <v> </v>
      </c>
      <c r="L2298" s="26"/>
    </row>
    <row r="2299" spans="1:12">
      <c r="A2299" s="20" t="s">
        <v>565</v>
      </c>
      <c r="E2299" s="21">
        <f>IF(D2299="?OLD","!!!","")</f>
        <v/>
      </c>
      <c r="F2299" s="22" t="str">
        <f>IF(OR(E2299="",E2299="!!!"),"",IF(NOT(ISNA(VLOOKUP(E2299,E$1:E2298,1,FALSE()))),"OLD",IF(AND(E2299&lt;&gt;"",E2299&lt;&gt;"!!!"),"NEW","")))</f>
        <v> </v>
      </c>
      <c r="G2299" s="23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4" t="str">
        <f>IF(J2299&lt;&gt;1,"",IF(I2299="SBJ","CB","?"))</f>
        <v> </v>
      </c>
      <c r="I2299" s="25" t="str">
        <f>IF(OR(E2299="",E2299="!!!",F2299="NEW"),"",INDEX(B2298:B$2,-1+SUMPRODUCT(MAX(ROW(E2298:E$2)*(E2299=E2298:E$2)))))</f>
        <v> </v>
      </c>
      <c r="J2299" s="25" t="str">
        <f>IF(OR(E2299="",E2299="!!!",F2299="NEW"),"",COUNTBLANK(OFFSET(A$1,,,SUMPRODUCT(MAX(ROW(E$2:E2299)*(E2299=E$2:E2299)))))-COUNTBLANK(OFFSET(A$1,,,SUMPRODUCT(MAX(ROW(E$1:E2298)*(E2=E$1:E2298))))))</f>
        <v> </v>
      </c>
      <c r="K2299" s="25" t="str">
        <f>IF(OR(E2299="",E2299="!!!",F2299="NEW"),"",INDEX(J$1:J2298,SUMPRODUCT(MAX(ROW(E$1:E2298)*(E2299=E$1:E2298)))))</f>
        <v> </v>
      </c>
      <c r="L2299" s="26"/>
    </row>
    <row r="2300" spans="1:12">
      <c r="A2300" s="20" t="s">
        <v>1348</v>
      </c>
      <c r="E2300" s="21">
        <f>IF(D2300="?OLD","!!!","")</f>
        <v/>
      </c>
      <c r="F2300" s="22" t="str">
        <f>IF(OR(E2300="",E2300="!!!"),"",IF(NOT(ISNA(VLOOKUP(E2300,E$1:E2299,1,FALSE()))),"OLD",IF(AND(E2300&lt;&gt;"",E2300&lt;&gt;"!!!"),"NEW","")))</f>
        <v> </v>
      </c>
      <c r="G2300" s="23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4" t="str">
        <f>IF(J2300&lt;&gt;1,"",IF(I2300="SBJ","CB","?"))</f>
        <v> </v>
      </c>
      <c r="I2300" s="25" t="str">
        <f>IF(OR(E2300="",E2300="!!!",F2300="NEW"),"",INDEX(B2299:B$2,-1+SUMPRODUCT(MAX(ROW(E2299:E$2)*(E2300=E2299:E$2)))))</f>
        <v> </v>
      </c>
      <c r="J2300" s="25" t="str">
        <f>IF(OR(E2300="",E2300="!!!",F2300="NEW"),"",COUNTBLANK(OFFSET(A$1,,,SUMPRODUCT(MAX(ROW(E$2:E2300)*(E2300=E$2:E2300)))))-COUNTBLANK(OFFSET(A$1,,,SUMPRODUCT(MAX(ROW(E$1:E2299)*(E2=E$1:E2299))))))</f>
        <v> </v>
      </c>
      <c r="K2300" s="25" t="str">
        <f>IF(OR(E2300="",E2300="!!!",F2300="NEW"),"",INDEX(J$1:J2299,SUMPRODUCT(MAX(ROW(E$1:E2299)*(E2300=E$1:E2299)))))</f>
        <v> </v>
      </c>
      <c r="L2300" s="26"/>
    </row>
    <row r="2301" spans="1:12">
      <c r="A2301" s="20" t="s">
        <v>1349</v>
      </c>
      <c r="E2301" s="21">
        <f>IF(D2301="?OLD","!!!","")</f>
        <v/>
      </c>
      <c r="F2301" s="22" t="str">
        <f>IF(OR(E2301="",E2301="!!!"),"",IF(NOT(ISNA(VLOOKUP(E2301,E$1:E2300,1,FALSE()))),"OLD",IF(AND(E2301&lt;&gt;"",E2301&lt;&gt;"!!!"),"NEW","")))</f>
        <v> </v>
      </c>
      <c r="G2301" s="23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4" t="str">
        <f>IF(J2301&lt;&gt;1,"",IF(I2301="SBJ","CB","?"))</f>
        <v> </v>
      </c>
      <c r="I2301" s="25" t="str">
        <f>IF(OR(E2301="",E2301="!!!",F2301="NEW"),"",INDEX(B2300:B$2,-1+SUMPRODUCT(MAX(ROW(E2300:E$2)*(E2301=E2300:E$2)))))</f>
        <v> </v>
      </c>
      <c r="J2301" s="25" t="str">
        <f>IF(OR(E2301="",E2301="!!!",F2301="NEW"),"",COUNTBLANK(OFFSET(A$1,,,SUMPRODUCT(MAX(ROW(E$2:E2301)*(E2301=E$2:E2301)))))-COUNTBLANK(OFFSET(A$1,,,SUMPRODUCT(MAX(ROW(E$1:E2300)*(E2=E$1:E2300))))))</f>
        <v> </v>
      </c>
      <c r="K2301" s="25" t="str">
        <f>IF(OR(E2301="",E2301="!!!",F2301="NEW"),"",INDEX(J$1:J2300,SUMPRODUCT(MAX(ROW(E$1:E2300)*(E2301=E$1:E2300)))))</f>
        <v> </v>
      </c>
      <c r="L2301" s="26"/>
    </row>
    <row r="2302" spans="1:12">
      <c r="A2302" s="20" t="s">
        <v>571</v>
      </c>
      <c r="E2302" s="21">
        <f>IF(D2302="?OLD","!!!","")</f>
        <v/>
      </c>
      <c r="F2302" s="22" t="str">
        <f>IF(OR(E2302="",E2302="!!!"),"",IF(NOT(ISNA(VLOOKUP(E2302,E$1:E2301,1,FALSE()))),"OLD",IF(AND(E2302&lt;&gt;"",E2302&lt;&gt;"!!!"),"NEW","")))</f>
        <v> </v>
      </c>
      <c r="G2302" s="23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4" t="str">
        <f>IF(J2302&lt;&gt;1,"",IF(I2302="SBJ","CB","?"))</f>
        <v> </v>
      </c>
      <c r="I2302" s="25" t="str">
        <f>IF(OR(E2302="",E2302="!!!",F2302="NEW"),"",INDEX(B2301:B$2,-1+SUMPRODUCT(MAX(ROW(E2301:E$2)*(E2302=E2301:E$2)))))</f>
        <v> </v>
      </c>
      <c r="J2302" s="25" t="str">
        <f>IF(OR(E2302="",E2302="!!!",F2302="NEW"),"",COUNTBLANK(OFFSET(A$1,,,SUMPRODUCT(MAX(ROW(E$2:E2302)*(E2302=E$2:E2302)))))-COUNTBLANK(OFFSET(A$1,,,SUMPRODUCT(MAX(ROW(E$1:E2301)*(E2=E$1:E2301))))))</f>
        <v> </v>
      </c>
      <c r="K2302" s="25" t="str">
        <f>IF(OR(E2302="",E2302="!!!",F2302="NEW"),"",INDEX(J$1:J2301,SUMPRODUCT(MAX(ROW(E$1:E2301)*(E2302=E$1:E2301)))))</f>
        <v> </v>
      </c>
      <c r="L2302" s="26"/>
    </row>
    <row r="2303" spans="1:12">
      <c r="A2303" s="20" t="s">
        <v>814</v>
      </c>
      <c r="B2303" s="27" t="s">
        <v>522</v>
      </c>
      <c r="C2303" s="27" t="s">
        <v>540</v>
      </c>
      <c r="D2303" s="27" t="s">
        <v>524</v>
      </c>
      <c r="E2303" s="21">
        <f>IF(D2303="?OLD","!!!","")</f>
        <v/>
      </c>
      <c r="F2303" s="22" t="str">
        <f>IF(OR(E2303="",E2303="!!!"),"",IF(NOT(ISNA(VLOOKUP(E2303,E$1:E2302,1,FALSE()))),"OLD",IF(AND(E2303&lt;&gt;"",E2303&lt;&gt;"!!!"),"NEW","")))</f>
        <v> </v>
      </c>
      <c r="G2303" s="23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4" t="str">
        <f>IF(J2303&lt;&gt;1,"",IF(I2303="SBJ","CB","?"))</f>
        <v> </v>
      </c>
      <c r="I2303" s="25" t="str">
        <f>IF(OR(E2303="",E2303="!!!",F2303="NEW"),"",INDEX(B2302:B$2,-1+SUMPRODUCT(MAX(ROW(E2302:E$2)*(E2303=E2302:E$2)))))</f>
        <v> </v>
      </c>
      <c r="J2303" s="25" t="str">
        <f>IF(OR(E2303="",E2303="!!!",F2303="NEW"),"",COUNTBLANK(OFFSET(A$1,,,SUMPRODUCT(MAX(ROW(E$2:E2303)*(E2303=E$2:E2303)))))-COUNTBLANK(OFFSET(A$1,,,SUMPRODUCT(MAX(ROW(E$1:E2302)*(E2=E$1:E2302))))))</f>
        <v> </v>
      </c>
      <c r="K2303" s="25" t="str">
        <f>IF(OR(E2303="",E2303="!!!",F2303="NEW"),"",INDEX(J$1:J2302,SUMPRODUCT(MAX(ROW(E$1:E2302)*(E2303=E$1:E2302)))))</f>
        <v> </v>
      </c>
      <c r="L2303" s="26"/>
    </row>
    <row r="2304" spans="1:12">
      <c r="A2304" s="20" t="s">
        <v>518</v>
      </c>
      <c r="E2304" s="21">
        <f>IF(D2304="?OLD","!!!","")</f>
        <v/>
      </c>
      <c r="F2304" s="22" t="str">
        <f>IF(OR(E2304="",E2304="!!!"),"",IF(NOT(ISNA(VLOOKUP(E2304,E$1:E2303,1,FALSE()))),"OLD",IF(AND(E2304&lt;&gt;"",E2304&lt;&gt;"!!!"),"NEW","")))</f>
        <v> </v>
      </c>
      <c r="G2304" s="23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4" t="str">
        <f>IF(J2304&lt;&gt;1,"",IF(I2304="SBJ","CB","?"))</f>
        <v> </v>
      </c>
      <c r="I2304" s="25" t="str">
        <f>IF(OR(E2304="",E2304="!!!",F2304="NEW"),"",INDEX(B2303:B$2,-1+SUMPRODUCT(MAX(ROW(E2303:E$2)*(E2304=E2303:E$2)))))</f>
        <v> </v>
      </c>
      <c r="J2304" s="25" t="str">
        <f>IF(OR(E2304="",E2304="!!!",F2304="NEW"),"",COUNTBLANK(OFFSET(A$1,,,SUMPRODUCT(MAX(ROW(E$2:E2304)*(E2304=E$2:E2304)))))-COUNTBLANK(OFFSET(A$1,,,SUMPRODUCT(MAX(ROW(E$1:E2303)*(E2=E$1:E2303))))))</f>
        <v> </v>
      </c>
      <c r="K2304" s="25" t="str">
        <f>IF(OR(E2304="",E2304="!!!",F2304="NEW"),"",INDEX(J$1:J2303,SUMPRODUCT(MAX(ROW(E$1:E2303)*(E2304=E$1:E2303)))))</f>
        <v> </v>
      </c>
      <c r="L2304" s="26"/>
    </row>
    <row r="2305" spans="1:12">
      <c r="A2305" s="20" t="s">
        <v>1350</v>
      </c>
      <c r="E2305" s="21">
        <f>IF(D2305="?OLD","!!!","")</f>
        <v/>
      </c>
      <c r="F2305" s="22" t="str">
        <f>IF(OR(E2305="",E2305="!!!"),"",IF(NOT(ISNA(VLOOKUP(E2305,E$1:E2304,1,FALSE()))),"OLD",IF(AND(E2305&lt;&gt;"",E2305&lt;&gt;"!!!"),"NEW","")))</f>
        <v> </v>
      </c>
      <c r="G2305" s="23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4" t="str">
        <f>IF(J2305&lt;&gt;1,"",IF(I2305="SBJ","CB","?"))</f>
        <v> </v>
      </c>
      <c r="I2305" s="25" t="str">
        <f>IF(OR(E2305="",E2305="!!!",F2305="NEW"),"",INDEX(B2304:B$2,-1+SUMPRODUCT(MAX(ROW(E2304:E$2)*(E2305=E2304:E$2)))))</f>
        <v> </v>
      </c>
      <c r="J2305" s="25" t="str">
        <f>IF(OR(E2305="",E2305="!!!",F2305="NEW"),"",COUNTBLANK(OFFSET(A$1,,,SUMPRODUCT(MAX(ROW(E$2:E2305)*(E2305=E$2:E2305)))))-COUNTBLANK(OFFSET(A$1,,,SUMPRODUCT(MAX(ROW(E$1:E2304)*(E2=E$1:E2304))))))</f>
        <v> </v>
      </c>
      <c r="K2305" s="25" t="str">
        <f>IF(OR(E2305="",E2305="!!!",F2305="NEW"),"",INDEX(J$1:J2304,SUMPRODUCT(MAX(ROW(E$1:E2304)*(E2305=E$1:E2304)))))</f>
        <v> </v>
      </c>
      <c r="L2305" s="26"/>
    </row>
    <row r="2306" spans="1:12">
      <c r="A2306" s="20" t="s">
        <v>866</v>
      </c>
      <c r="B2306" s="27" t="s">
        <v>544</v>
      </c>
      <c r="C2306" s="27" t="s">
        <v>535</v>
      </c>
      <c r="E2306" s="21">
        <f>IF(D2306="?OLD","!!!","")</f>
        <v/>
      </c>
      <c r="F2306" s="22" t="str">
        <f>IF(OR(E2306="",E2306="!!!"),"",IF(NOT(ISNA(VLOOKUP(E2306,E$1:E2305,1,FALSE()))),"OLD",IF(AND(E2306&lt;&gt;"",E2306&lt;&gt;"!!!"),"NEW","")))</f>
        <v> </v>
      </c>
      <c r="G2306" s="23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4" t="str">
        <f>IF(J2306&lt;&gt;1,"",IF(I2306="SBJ","CB","?"))</f>
        <v> </v>
      </c>
      <c r="I2306" s="25" t="str">
        <f>IF(OR(E2306="",E2306="!!!",F2306="NEW"),"",INDEX(B2305:B$2,-1+SUMPRODUCT(MAX(ROW(E2305:E$2)*(E2306=E2305:E$2)))))</f>
        <v> </v>
      </c>
      <c r="J2306" s="25" t="str">
        <f>IF(OR(E2306="",E2306="!!!",F2306="NEW"),"",COUNTBLANK(OFFSET(A$1,,,SUMPRODUCT(MAX(ROW(E$2:E2306)*(E2306=E$2:E2306)))))-COUNTBLANK(OFFSET(A$1,,,SUMPRODUCT(MAX(ROW(E$1:E2305)*(E2=E$1:E2305))))))</f>
        <v> </v>
      </c>
      <c r="K2306" s="25" t="str">
        <f>IF(OR(E2306="",E2306="!!!",F2306="NEW"),"",INDEX(J$1:J2305,SUMPRODUCT(MAX(ROW(E$1:E2305)*(E2306=E$1:E2305)))))</f>
        <v> </v>
      </c>
      <c r="L2306" s="26"/>
    </row>
    <row r="2307" spans="1:12">
      <c r="A2307" s="20" t="s">
        <v>429</v>
      </c>
      <c r="E2307" s="21">
        <f>IF(D2307="?OLD","!!!","")</f>
        <v/>
      </c>
      <c r="F2307" s="22" t="str">
        <f>IF(OR(E2307="",E2307="!!!"),"",IF(NOT(ISNA(VLOOKUP(E2307,E$1:E2306,1,FALSE()))),"OLD",IF(AND(E2307&lt;&gt;"",E2307&lt;&gt;"!!!"),"NEW","")))</f>
        <v> </v>
      </c>
      <c r="G2307" s="23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4" t="str">
        <f>IF(J2307&lt;&gt;1,"",IF(I2307="SBJ","CB","?"))</f>
        <v> </v>
      </c>
      <c r="I2307" s="25" t="str">
        <f>IF(OR(E2307="",E2307="!!!",F2307="NEW"),"",INDEX(B2306:B$2,-1+SUMPRODUCT(MAX(ROW(E2306:E$2)*(E2307=E2306:E$2)))))</f>
        <v> </v>
      </c>
      <c r="J2307" s="25" t="str">
        <f>IF(OR(E2307="",E2307="!!!",F2307="NEW"),"",COUNTBLANK(OFFSET(A$1,,,SUMPRODUCT(MAX(ROW(E$2:E2307)*(E2307=E$2:E2307)))))-COUNTBLANK(OFFSET(A$1,,,SUMPRODUCT(MAX(ROW(E$1:E2306)*(E2=E$1:E2306))))))</f>
        <v> </v>
      </c>
      <c r="K2307" s="25" t="str">
        <f>IF(OR(E2307="",E2307="!!!",F2307="NEW"),"",INDEX(J$1:J2306,SUMPRODUCT(MAX(ROW(E$1:E2306)*(E2307=E$1:E2306)))))</f>
        <v> </v>
      </c>
      <c r="L2307" s="26"/>
    </row>
    <row r="2308" spans="1:12">
      <c r="A2308" s="20" t="s">
        <v>565</v>
      </c>
      <c r="E2308" s="21">
        <f>IF(D2308="?OLD","!!!","")</f>
        <v/>
      </c>
      <c r="F2308" s="22" t="str">
        <f>IF(OR(E2308="",E2308="!!!"),"",IF(NOT(ISNA(VLOOKUP(E2308,E$1:E2307,1,FALSE()))),"OLD",IF(AND(E2308&lt;&gt;"",E2308&lt;&gt;"!!!"),"NEW","")))</f>
        <v> </v>
      </c>
      <c r="G2308" s="23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4" t="str">
        <f>IF(J2308&lt;&gt;1,"",IF(I2308="SBJ","CB","?"))</f>
        <v> </v>
      </c>
      <c r="I2308" s="25" t="str">
        <f>IF(OR(E2308="",E2308="!!!",F2308="NEW"),"",INDEX(B2307:B$2,-1+SUMPRODUCT(MAX(ROW(E2307:E$2)*(E2308=E2307:E$2)))))</f>
        <v> </v>
      </c>
      <c r="J2308" s="25" t="str">
        <f>IF(OR(E2308="",E2308="!!!",F2308="NEW"),"",COUNTBLANK(OFFSET(A$1,,,SUMPRODUCT(MAX(ROW(E$2:E2308)*(E2308=E$2:E2308)))))-COUNTBLANK(OFFSET(A$1,,,SUMPRODUCT(MAX(ROW(E$1:E2307)*(E2=E$1:E2307))))))</f>
        <v> </v>
      </c>
      <c r="K2308" s="25" t="str">
        <f>IF(OR(E2308="",E2308="!!!",F2308="NEW"),"",INDEX(J$1:J2307,SUMPRODUCT(MAX(ROW(E$1:E2307)*(E2308=E$1:E2307)))))</f>
        <v> </v>
      </c>
      <c r="L2308" s="26"/>
    </row>
    <row r="2309" spans="1:12">
      <c r="A2309" s="20" t="s">
        <v>1351</v>
      </c>
      <c r="E2309" s="21">
        <f>IF(D2309="?OLD","!!!","")</f>
        <v/>
      </c>
      <c r="F2309" s="22" t="str">
        <f>IF(OR(E2309="",E2309="!!!"),"",IF(NOT(ISNA(VLOOKUP(E2309,E$1:E2308,1,FALSE()))),"OLD",IF(AND(E2309&lt;&gt;"",E2309&lt;&gt;"!!!"),"NEW","")))</f>
        <v> </v>
      </c>
      <c r="G2309" s="23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4" t="str">
        <f>IF(J2309&lt;&gt;1,"",IF(I2309="SBJ","CB","?"))</f>
        <v> </v>
      </c>
      <c r="I2309" s="25" t="str">
        <f>IF(OR(E2309="",E2309="!!!",F2309="NEW"),"",INDEX(B2308:B$2,-1+SUMPRODUCT(MAX(ROW(E2308:E$2)*(E2309=E2308:E$2)))))</f>
        <v> </v>
      </c>
      <c r="J2309" s="25" t="str">
        <f>IF(OR(E2309="",E2309="!!!",F2309="NEW"),"",COUNTBLANK(OFFSET(A$1,,,SUMPRODUCT(MAX(ROW(E$2:E2309)*(E2309=E$2:E2309)))))-COUNTBLANK(OFFSET(A$1,,,SUMPRODUCT(MAX(ROW(E$1:E2308)*(E2=E$1:E2308))))))</f>
        <v> </v>
      </c>
      <c r="K2309" s="25" t="str">
        <f>IF(OR(E2309="",E2309="!!!",F2309="NEW"),"",INDEX(J$1:J2308,SUMPRODUCT(MAX(ROW(E$1:E2308)*(E2309=E$1:E2308)))))</f>
        <v> </v>
      </c>
      <c r="L2309" s="26"/>
    </row>
    <row r="2310" spans="1:12">
      <c r="A2310" s="20" t="s">
        <v>730</v>
      </c>
      <c r="E2310" s="21">
        <f>IF(D2310="?OLD","!!!","")</f>
        <v/>
      </c>
      <c r="F2310" s="22" t="str">
        <f>IF(OR(E2310="",E2310="!!!"),"",IF(NOT(ISNA(VLOOKUP(E2310,E$1:E2309,1,FALSE()))),"OLD",IF(AND(E2310&lt;&gt;"",E2310&lt;&gt;"!!!"),"NEW","")))</f>
        <v> </v>
      </c>
      <c r="G2310" s="23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4" t="str">
        <f>IF(J2310&lt;&gt;1,"",IF(I2310="SBJ","CB","?"))</f>
        <v> </v>
      </c>
      <c r="I2310" s="25" t="str">
        <f>IF(OR(E2310="",E2310="!!!",F2310="NEW"),"",INDEX(B2309:B$2,-1+SUMPRODUCT(MAX(ROW(E2309:E$2)*(E2310=E2309:E$2)))))</f>
        <v> </v>
      </c>
      <c r="J2310" s="25" t="str">
        <f>IF(OR(E2310="",E2310="!!!",F2310="NEW"),"",COUNTBLANK(OFFSET(A$1,,,SUMPRODUCT(MAX(ROW(E$2:E2310)*(E2310=E$2:E2310)))))-COUNTBLANK(OFFSET(A$1,,,SUMPRODUCT(MAX(ROW(E$1:E2309)*(E2=E$1:E2309))))))</f>
        <v> </v>
      </c>
      <c r="K2310" s="25" t="str">
        <f>IF(OR(E2310="",E2310="!!!",F2310="NEW"),"",INDEX(J$1:J2309,SUMPRODUCT(MAX(ROW(E$1:E2309)*(E2310=E$1:E2309)))))</f>
        <v> </v>
      </c>
      <c r="L2310" s="26"/>
    </row>
    <row r="2311" spans="1:12">
      <c r="A2311" s="20" t="s">
        <v>542</v>
      </c>
      <c r="B2311" s="27" t="s">
        <v>556</v>
      </c>
      <c r="C2311" s="27" t="s">
        <v>523</v>
      </c>
      <c r="D2311" s="27" t="s">
        <v>524</v>
      </c>
      <c r="E2311" s="21">
        <f>IF(D2311="?OLD","!!!","")</f>
        <v/>
      </c>
      <c r="F2311" s="22" t="str">
        <f>IF(OR(E2311="",E2311="!!!"),"",IF(NOT(ISNA(VLOOKUP(E2311,E$1:E2310,1,FALSE()))),"OLD",IF(AND(E2311&lt;&gt;"",E2311&lt;&gt;"!!!"),"NEW","")))</f>
        <v> </v>
      </c>
      <c r="G2311" s="23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4" t="str">
        <f>IF(J2311&lt;&gt;1,"",IF(I2311="SBJ","CB","?"))</f>
        <v> </v>
      </c>
      <c r="I2311" s="25" t="str">
        <f>IF(OR(E2311="",E2311="!!!",F2311="NEW"),"",INDEX(B2310:B$2,-1+SUMPRODUCT(MAX(ROW(E2310:E$2)*(E2311=E2310:E$2)))))</f>
        <v> </v>
      </c>
      <c r="J2311" s="25" t="str">
        <f>IF(OR(E2311="",E2311="!!!",F2311="NEW"),"",COUNTBLANK(OFFSET(A$1,,,SUMPRODUCT(MAX(ROW(E$2:E2311)*(E2311=E$2:E2311)))))-COUNTBLANK(OFFSET(A$1,,,SUMPRODUCT(MAX(ROW(E$1:E2310)*(E2=E$1:E2310))))))</f>
        <v> </v>
      </c>
      <c r="K2311" s="25" t="str">
        <f>IF(OR(E2311="",E2311="!!!",F2311="NEW"),"",INDEX(J$1:J2310,SUMPRODUCT(MAX(ROW(E$1:E2310)*(E2311=E$1:E2310)))))</f>
        <v> </v>
      </c>
      <c r="L2311" s="26"/>
    </row>
    <row r="2312" spans="1:12">
      <c r="A2312" s="20" t="s">
        <v>1352</v>
      </c>
      <c r="E2312" s="21">
        <f>IF(D2312="?OLD","!!!","")</f>
        <v/>
      </c>
      <c r="F2312" s="22" t="str">
        <f>IF(OR(E2312="",E2312="!!!"),"",IF(NOT(ISNA(VLOOKUP(E2312,E$1:E2311,1,FALSE()))),"OLD",IF(AND(E2312&lt;&gt;"",E2312&lt;&gt;"!!!"),"NEW","")))</f>
        <v> </v>
      </c>
      <c r="G2312" s="23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4" t="str">
        <f>IF(J2312&lt;&gt;1,"",IF(I2312="SBJ","CB","?"))</f>
        <v> </v>
      </c>
      <c r="I2312" s="25" t="str">
        <f>IF(OR(E2312="",E2312="!!!",F2312="NEW"),"",INDEX(B2311:B$2,-1+SUMPRODUCT(MAX(ROW(E2311:E$2)*(E2312=E2311:E$2)))))</f>
        <v> </v>
      </c>
      <c r="J2312" s="25" t="str">
        <f>IF(OR(E2312="",E2312="!!!",F2312="NEW"),"",COUNTBLANK(OFFSET(A$1,,,SUMPRODUCT(MAX(ROW(E$2:E2312)*(E2312=E$2:E2312)))))-COUNTBLANK(OFFSET(A$1,,,SUMPRODUCT(MAX(ROW(E$1:E2311)*(E2=E$1:E2311))))))</f>
        <v> </v>
      </c>
      <c r="K2312" s="25" t="str">
        <f>IF(OR(E2312="",E2312="!!!",F2312="NEW"),"",INDEX(J$1:J2311,SUMPRODUCT(MAX(ROW(E$1:E2311)*(E2312=E$1:E2311)))))</f>
        <v> </v>
      </c>
      <c r="L2312" s="26"/>
    </row>
    <row r="2313" spans="1:12">
      <c r="A2313" s="20" t="s">
        <v>520</v>
      </c>
      <c r="E2313" s="21">
        <f>IF(D2313="?OLD","!!!","")</f>
        <v/>
      </c>
      <c r="F2313" s="22" t="str">
        <f>IF(OR(E2313="",E2313="!!!"),"",IF(NOT(ISNA(VLOOKUP(E2313,E$1:E2312,1,FALSE()))),"OLD",IF(AND(E2313&lt;&gt;"",E2313&lt;&gt;"!!!"),"NEW","")))</f>
        <v> </v>
      </c>
      <c r="G2313" s="23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4" t="str">
        <f>IF(J2313&lt;&gt;1,"",IF(I2313="SBJ","CB","?"))</f>
        <v> </v>
      </c>
      <c r="I2313" s="25" t="str">
        <f>IF(OR(E2313="",E2313="!!!",F2313="NEW"),"",INDEX(B2312:B$2,-1+SUMPRODUCT(MAX(ROW(E2312:E$2)*(E2313=E2312:E$2)))))</f>
        <v> </v>
      </c>
      <c r="J2313" s="25" t="str">
        <f>IF(OR(E2313="",E2313="!!!",F2313="NEW"),"",COUNTBLANK(OFFSET(A$1,,,SUMPRODUCT(MAX(ROW(E$2:E2313)*(E2313=E$2:E2313)))))-COUNTBLANK(OFFSET(A$1,,,SUMPRODUCT(MAX(ROW(E$1:E2312)*(E2=E$1:E2312))))))</f>
        <v> </v>
      </c>
      <c r="K2313" s="25" t="str">
        <f>IF(OR(E2313="",E2313="!!!",F2313="NEW"),"",INDEX(J$1:J2312,SUMPRODUCT(MAX(ROW(E$1:E2312)*(E2313=E$1:E2312)))))</f>
        <v> </v>
      </c>
      <c r="L2313" s="26"/>
    </row>
    <row r="2314" spans="1:12">
      <c r="A2314" s="20" t="s">
        <v>730</v>
      </c>
      <c r="E2314" s="21">
        <f>IF(D2314="?OLD","!!!","")</f>
        <v/>
      </c>
      <c r="F2314" s="22" t="str">
        <f>IF(OR(E2314="",E2314="!!!"),"",IF(NOT(ISNA(VLOOKUP(E2314,E$1:E2313,1,FALSE()))),"OLD",IF(AND(E2314&lt;&gt;"",E2314&lt;&gt;"!!!"),"NEW","")))</f>
        <v> </v>
      </c>
      <c r="G2314" s="23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4" t="str">
        <f>IF(J2314&lt;&gt;1,"",IF(I2314="SBJ","CB","?"))</f>
        <v> </v>
      </c>
      <c r="I2314" s="25" t="str">
        <f>IF(OR(E2314="",E2314="!!!",F2314="NEW"),"",INDEX(B2313:B$2,-1+SUMPRODUCT(MAX(ROW(E2313:E$2)*(E2314=E2313:E$2)))))</f>
        <v> </v>
      </c>
      <c r="J2314" s="25" t="str">
        <f>IF(OR(E2314="",E2314="!!!",F2314="NEW"),"",COUNTBLANK(OFFSET(A$1,,,SUMPRODUCT(MAX(ROW(E$2:E2314)*(E2314=E$2:E2314)))))-COUNTBLANK(OFFSET(A$1,,,SUMPRODUCT(MAX(ROW(E$1:E2313)*(E2=E$1:E2313))))))</f>
        <v> </v>
      </c>
      <c r="K2314" s="25" t="str">
        <f>IF(OR(E2314="",E2314="!!!",F2314="NEW"),"",INDEX(J$1:J2313,SUMPRODUCT(MAX(ROW(E$1:E2313)*(E2314=E$1:E2313)))))</f>
        <v> </v>
      </c>
      <c r="L2314" s="26"/>
    </row>
    <row r="2315" spans="1:12">
      <c r="A2315" s="20" t="s">
        <v>1016</v>
      </c>
      <c r="B2315" s="27" t="s">
        <v>641</v>
      </c>
      <c r="C2315" s="27" t="s">
        <v>669</v>
      </c>
      <c r="D2315" s="27" t="s">
        <v>524</v>
      </c>
      <c r="E2315" s="21">
        <f>IF(D2315="?OLD","!!!","")</f>
        <v/>
      </c>
      <c r="F2315" s="22" t="str">
        <f>IF(OR(E2315="",E2315="!!!"),"",IF(NOT(ISNA(VLOOKUP(E2315,E$1:E2314,1,FALSE()))),"OLD",IF(AND(E2315&lt;&gt;"",E2315&lt;&gt;"!!!"),"NEW","")))</f>
        <v> </v>
      </c>
      <c r="G2315" s="23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4" t="str">
        <f>IF(J2315&lt;&gt;1,"",IF(I2315="SBJ","CB","?"))</f>
        <v> </v>
      </c>
      <c r="I2315" s="25" t="str">
        <f>IF(OR(E2315="",E2315="!!!",F2315="NEW"),"",INDEX(B2314:B$2,-1+SUMPRODUCT(MAX(ROW(E2314:E$2)*(E2315=E2314:E$2)))))</f>
        <v> </v>
      </c>
      <c r="J2315" s="25" t="str">
        <f>IF(OR(E2315="",E2315="!!!",F2315="NEW"),"",COUNTBLANK(OFFSET(A$1,,,SUMPRODUCT(MAX(ROW(E$2:E2315)*(E2315=E$2:E2315)))))-COUNTBLANK(OFFSET(A$1,,,SUMPRODUCT(MAX(ROW(E$1:E2314)*(E2=E$1:E2314))))))</f>
        <v> </v>
      </c>
      <c r="K2315" s="25" t="str">
        <f>IF(OR(E2315="",E2315="!!!",F2315="NEW"),"",INDEX(J$1:J2314,SUMPRODUCT(MAX(ROW(E$1:E2314)*(E2315=E$1:E2314)))))</f>
        <v> </v>
      </c>
      <c r="L2315" s="26"/>
    </row>
    <row r="2316" spans="1:12">
      <c r="A2316" s="20" t="s">
        <v>1353</v>
      </c>
      <c r="B2316" s="27" t="s">
        <v>534</v>
      </c>
      <c r="C2316" s="27" t="s">
        <v>545</v>
      </c>
      <c r="D2316" s="27" t="s">
        <v>524</v>
      </c>
      <c r="E2316" s="21">
        <f>IF(D2316="?OLD","!!!","")</f>
        <v/>
      </c>
      <c r="F2316" s="22" t="str">
        <f>IF(OR(E2316="",E2316="!!!"),"",IF(NOT(ISNA(VLOOKUP(E2316,E$1:E2315,1,FALSE()))),"OLD",IF(AND(E2316&lt;&gt;"",E2316&lt;&gt;"!!!"),"NEW","")))</f>
        <v> </v>
      </c>
      <c r="G2316" s="23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4" t="str">
        <f>IF(J2316&lt;&gt;1,"",IF(I2316="SBJ","CB","?"))</f>
        <v> </v>
      </c>
      <c r="I2316" s="25" t="str">
        <f>IF(OR(E2316="",E2316="!!!",F2316="NEW"),"",INDEX(B2315:B$2,-1+SUMPRODUCT(MAX(ROW(E2315:E$2)*(E2316=E2315:E$2)))))</f>
        <v> </v>
      </c>
      <c r="J2316" s="25" t="str">
        <f>IF(OR(E2316="",E2316="!!!",F2316="NEW"),"",COUNTBLANK(OFFSET(A$1,,,SUMPRODUCT(MAX(ROW(E$2:E2316)*(E2316=E$2:E2316)))))-COUNTBLANK(OFFSET(A$1,,,SUMPRODUCT(MAX(ROW(E$1:E2315)*(E2=E$1:E2315))))))</f>
        <v> </v>
      </c>
      <c r="K2316" s="25" t="str">
        <f>IF(OR(E2316="",E2316="!!!",F2316="NEW"),"",INDEX(J$1:J2315,SUMPRODUCT(MAX(ROW(E$1:E2315)*(E2316=E$1:E2315)))))</f>
        <v> </v>
      </c>
      <c r="L2316" s="26"/>
    </row>
    <row r="2317" spans="1:12">
      <c r="A2317" s="20" t="s">
        <v>625</v>
      </c>
      <c r="E2317" s="21">
        <f>IF(D2317="?OLD","!!!","")</f>
        <v/>
      </c>
      <c r="F2317" s="22" t="str">
        <f>IF(OR(E2317="",E2317="!!!"),"",IF(NOT(ISNA(VLOOKUP(E2317,E$1:E2316,1,FALSE()))),"OLD",IF(AND(E2317&lt;&gt;"",E2317&lt;&gt;"!!!"),"NEW","")))</f>
        <v> </v>
      </c>
      <c r="G2317" s="23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4" t="str">
        <f>IF(J2317&lt;&gt;1,"",IF(I2317="SBJ","CB","?"))</f>
        <v> </v>
      </c>
      <c r="I2317" s="25" t="str">
        <f>IF(OR(E2317="",E2317="!!!",F2317="NEW"),"",INDEX(B2316:B$2,-1+SUMPRODUCT(MAX(ROW(E2316:E$2)*(E2317=E2316:E$2)))))</f>
        <v> </v>
      </c>
      <c r="J2317" s="25" t="str">
        <f>IF(OR(E2317="",E2317="!!!",F2317="NEW"),"",COUNTBLANK(OFFSET(A$1,,,SUMPRODUCT(MAX(ROW(E$2:E2317)*(E2317=E$2:E2317)))))-COUNTBLANK(OFFSET(A$1,,,SUMPRODUCT(MAX(ROW(E$1:E2316)*(E2=E$1:E2316))))))</f>
        <v> </v>
      </c>
      <c r="K2317" s="25" t="str">
        <f>IF(OR(E2317="",E2317="!!!",F2317="NEW"),"",INDEX(J$1:J2316,SUMPRODUCT(MAX(ROW(E$1:E2316)*(E2317=E$1:E2316)))))</f>
        <v> </v>
      </c>
      <c r="L2317" s="26"/>
    </row>
    <row r="2318" spans="1:12">
      <c r="A2318" s="20" t="s">
        <v>1354</v>
      </c>
      <c r="E2318" s="21">
        <f>IF(D2318="?OLD","!!!","")</f>
        <v/>
      </c>
      <c r="F2318" s="22" t="str">
        <f>IF(OR(E2318="",E2318="!!!"),"",IF(NOT(ISNA(VLOOKUP(E2318,E$1:E2317,1,FALSE()))),"OLD",IF(AND(E2318&lt;&gt;"",E2318&lt;&gt;"!!!"),"NEW","")))</f>
        <v> </v>
      </c>
      <c r="G2318" s="23" t="str">
        <f>IF(OR(E2318="",E2318="!!!"),"",IF(OR(J2318=0,AND(J2318=1,K2318=1),AND(J2318=1,I2318="SBJ"),AND(J2318=1,I2318=0)),"?IN_FOCUS",IF(J2318&lt;=2,"?ACTIVATED",IF(J2318&lt;&gt;"","?FAMILIAR",IF(F2318="NEW",IF(ISNA(VLOOKUP(E2318,#REF!,1,FALSE())),"?TYPE_IDENTIFIABLE","?REFERENTIAL"),"_")))))</f>
        <v> </v>
      </c>
      <c r="H2318" s="24" t="str">
        <f>IF(J2318&lt;&gt;1,"",IF(I2318="SBJ","CB","?"))</f>
        <v> </v>
      </c>
      <c r="I2318" s="25" t="str">
        <f>IF(OR(E2318="",E2318="!!!",F2318="NEW"),"",INDEX(B2317:B$2,-1+SUMPRODUCT(MAX(ROW(E2317:E$2)*(E2318=E2317:E$2)))))</f>
        <v> </v>
      </c>
      <c r="J2318" s="25" t="str">
        <f>IF(OR(E2318="",E2318="!!!",F2318="NEW"),"",COUNTBLANK(OFFSET(A$1,,,SUMPRODUCT(MAX(ROW(E$2:E2318)*(E2318=E$2:E2318)))))-COUNTBLANK(OFFSET(A$1,,,SUMPRODUCT(MAX(ROW(E$1:E2317)*(E2=E$1:E2317))))))</f>
        <v> </v>
      </c>
      <c r="K2318" s="25" t="str">
        <f>IF(OR(E2318="",E2318="!!!",F2318="NEW"),"",INDEX(J$1:J2317,SUMPRODUCT(MAX(ROW(E$1:E2317)*(E2318=E$1:E2317)))))</f>
        <v> </v>
      </c>
      <c r="L2318" s="26"/>
    </row>
    <row r="2319" spans="1:12">
      <c r="A2319" s="20" t="s">
        <v>1017</v>
      </c>
      <c r="B2319" s="27" t="s">
        <v>573</v>
      </c>
      <c r="C2319" s="27" t="s">
        <v>540</v>
      </c>
      <c r="D2319" s="27" t="s">
        <v>524</v>
      </c>
      <c r="E2319" s="21">
        <f>IF(D2319="?OLD","!!!","")</f>
        <v/>
      </c>
      <c r="F2319" s="22" t="str">
        <f>IF(OR(E2319="",E2319="!!!"),"",IF(NOT(ISNA(VLOOKUP(E2319,E$1:E2318,1,FALSE()))),"OLD",IF(AND(E2319&lt;&gt;"",E2319&lt;&gt;"!!!"),"NEW","")))</f>
        <v> </v>
      </c>
      <c r="G2319" s="23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4" t="str">
        <f>IF(J2319&lt;&gt;1,"",IF(I2319="SBJ","CB","?"))</f>
        <v> </v>
      </c>
      <c r="I2319" s="25" t="str">
        <f>IF(OR(E2319="",E2319="!!!",F2319="NEW"),"",INDEX(B2318:B$2,-1+SUMPRODUCT(MAX(ROW(E2318:E$2)*(E2319=E2318:E$2)))))</f>
        <v> </v>
      </c>
      <c r="J2319" s="25" t="str">
        <f>IF(OR(E2319="",E2319="!!!",F2319="NEW"),"",COUNTBLANK(OFFSET(A$1,,,SUMPRODUCT(MAX(ROW(E$2:E2319)*(E2319=E$2:E2319)))))-COUNTBLANK(OFFSET(A$1,,,SUMPRODUCT(MAX(ROW(E$1:E2318)*(E2=E$1:E2318))))))</f>
        <v> </v>
      </c>
      <c r="K2319" s="25" t="str">
        <f>IF(OR(E2319="",E2319="!!!",F2319="NEW"),"",INDEX(J$1:J2318,SUMPRODUCT(MAX(ROW(E$1:E2318)*(E2319=E$1:E2318)))))</f>
        <v> </v>
      </c>
      <c r="L2319" s="26"/>
    </row>
    <row r="2320" spans="1:12">
      <c r="A2320" s="20" t="s">
        <v>541</v>
      </c>
      <c r="E2320" s="21">
        <f>IF(D2320="?OLD","!!!","")</f>
        <v/>
      </c>
      <c r="F2320" s="22" t="str">
        <f>IF(OR(E2320="",E2320="!!!"),"",IF(NOT(ISNA(VLOOKUP(E2320,E$1:E2319,1,FALSE()))),"OLD",IF(AND(E2320&lt;&gt;"",E2320&lt;&gt;"!!!"),"NEW","")))</f>
        <v> </v>
      </c>
      <c r="G2320" s="23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4" t="str">
        <f>IF(J2320&lt;&gt;1,"",IF(I2320="SBJ","CB","?"))</f>
        <v> </v>
      </c>
      <c r="I2320" s="25" t="str">
        <f>IF(OR(E2320="",E2320="!!!",F2320="NEW"),"",INDEX(B2319:B$2,-1+SUMPRODUCT(MAX(ROW(E2319:E$2)*(E2320=E2319:E$2)))))</f>
        <v> </v>
      </c>
      <c r="J2320" s="25" t="str">
        <f>IF(OR(E2320="",E2320="!!!",F2320="NEW"),"",COUNTBLANK(OFFSET(A$1,,,SUMPRODUCT(MAX(ROW(E$2:E2320)*(E2320=E$2:E2320)))))-COUNTBLANK(OFFSET(A$1,,,SUMPRODUCT(MAX(ROW(E$1:E2319)*(E2=E$1:E2319))))))</f>
        <v> </v>
      </c>
      <c r="K2320" s="25" t="str">
        <f>IF(OR(E2320="",E2320="!!!",F2320="NEW"),"",INDEX(J$1:J2319,SUMPRODUCT(MAX(ROW(E$1:E2319)*(E2320=E$1:E2319)))))</f>
        <v> </v>
      </c>
      <c r="L2320" s="26"/>
    </row>
    <row r="2321" spans="1:12">
      <c r="A2321" s="20" t="s">
        <v>542</v>
      </c>
      <c r="E2321" s="21">
        <f>IF(D2321="?OLD","!!!","")</f>
        <v/>
      </c>
      <c r="F2321" s="22" t="str">
        <f>IF(OR(E2321="",E2321="!!!"),"",IF(NOT(ISNA(VLOOKUP(E2321,E$1:E2320,1,FALSE()))),"OLD",IF(AND(E2321&lt;&gt;"",E2321&lt;&gt;"!!!"),"NEW","")))</f>
        <v> </v>
      </c>
      <c r="G2321" s="23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4" t="str">
        <f>IF(J2321&lt;&gt;1,"",IF(I2321="SBJ","CB","?"))</f>
        <v> </v>
      </c>
      <c r="I2321" s="25" t="str">
        <f>IF(OR(E2321="",E2321="!!!",F2321="NEW"),"",INDEX(B2320:B$2,-1+SUMPRODUCT(MAX(ROW(E2320:E$2)*(E2321=E2320:E$2)))))</f>
        <v> </v>
      </c>
      <c r="J2321" s="25" t="str">
        <f>IF(OR(E2321="",E2321="!!!",F2321="NEW"),"",COUNTBLANK(OFFSET(A$1,,,SUMPRODUCT(MAX(ROW(E$2:E2321)*(E2321=E$2:E2321)))))-COUNTBLANK(OFFSET(A$1,,,SUMPRODUCT(MAX(ROW(E$1:E2320)*(E2=E$1:E2320))))))</f>
        <v> </v>
      </c>
      <c r="K2321" s="25" t="str">
        <f>IF(OR(E2321="",E2321="!!!",F2321="NEW"),"",INDEX(J$1:J2320,SUMPRODUCT(MAX(ROW(E$1:E2320)*(E2321=E$1:E2320)))))</f>
        <v> </v>
      </c>
      <c r="L2321" s="26"/>
    </row>
    <row r="2322" spans="1:12">
      <c r="A2322" s="20" t="s">
        <v>1208</v>
      </c>
      <c r="B2322" s="27" t="s">
        <v>641</v>
      </c>
      <c r="C2322" s="27" t="s">
        <v>545</v>
      </c>
      <c r="D2322" s="27" t="s">
        <v>524</v>
      </c>
      <c r="E2322" s="21">
        <f>IF(D2322="?OLD","!!!","")</f>
        <v/>
      </c>
      <c r="F2322" s="22" t="str">
        <f>IF(OR(E2322="",E2322="!!!"),"",IF(NOT(ISNA(VLOOKUP(E2322,E$1:E2321,1,FALSE()))),"OLD",IF(AND(E2322&lt;&gt;"",E2322&lt;&gt;"!!!"),"NEW","")))</f>
        <v> </v>
      </c>
      <c r="G2322" s="23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4" t="str">
        <f>IF(J2322&lt;&gt;1,"",IF(I2322="SBJ","CB","?"))</f>
        <v> </v>
      </c>
      <c r="I2322" s="25" t="str">
        <f>IF(OR(E2322="",E2322="!!!",F2322="NEW"),"",INDEX(B2321:B$2,-1+SUMPRODUCT(MAX(ROW(E2321:E$2)*(E2322=E2321:E$2)))))</f>
        <v> </v>
      </c>
      <c r="J2322" s="25" t="str">
        <f>IF(OR(E2322="",E2322="!!!",F2322="NEW"),"",COUNTBLANK(OFFSET(A$1,,,SUMPRODUCT(MAX(ROW(E$2:E2322)*(E2322=E$2:E2322)))))-COUNTBLANK(OFFSET(A$1,,,SUMPRODUCT(MAX(ROW(E$1:E2321)*(E2=E$1:E2321))))))</f>
        <v> </v>
      </c>
      <c r="K2322" s="25" t="str">
        <f>IF(OR(E2322="",E2322="!!!",F2322="NEW"),"",INDEX(J$1:J2321,SUMPRODUCT(MAX(ROW(E$1:E2321)*(E2322=E$1:E2321)))))</f>
        <v> </v>
      </c>
      <c r="L2322" s="26"/>
    </row>
    <row r="2323" spans="1:12">
      <c r="A2323" s="20" t="s">
        <v>549</v>
      </c>
      <c r="E2323" s="21">
        <f>IF(D2323="?OLD","!!!","")</f>
        <v/>
      </c>
      <c r="F2323" s="22" t="str">
        <f>IF(OR(E2323="",E2323="!!!"),"",IF(NOT(ISNA(VLOOKUP(E2323,E$1:E2322,1,FALSE()))),"OLD",IF(AND(E2323&lt;&gt;"",E2323&lt;&gt;"!!!"),"NEW","")))</f>
        <v> </v>
      </c>
      <c r="G2323" s="23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4" t="str">
        <f>IF(J2323&lt;&gt;1,"",IF(I2323="SBJ","CB","?"))</f>
        <v> </v>
      </c>
      <c r="I2323" s="25" t="str">
        <f>IF(OR(E2323="",E2323="!!!",F2323="NEW"),"",INDEX(B2322:B$2,-1+SUMPRODUCT(MAX(ROW(E2322:E$2)*(E2323=E2322:E$2)))))</f>
        <v> </v>
      </c>
      <c r="J2323" s="25" t="str">
        <f>IF(OR(E2323="",E2323="!!!",F2323="NEW"),"",COUNTBLANK(OFFSET(A$1,,,SUMPRODUCT(MAX(ROW(E$2:E2323)*(E2323=E$2:E2323)))))-COUNTBLANK(OFFSET(A$1,,,SUMPRODUCT(MAX(ROW(E$1:E2322)*(E2=E$1:E2322))))))</f>
        <v> </v>
      </c>
      <c r="K2323" s="25" t="str">
        <f>IF(OR(E2323="",E2323="!!!",F2323="NEW"),"",INDEX(J$1:J2322,SUMPRODUCT(MAX(ROW(E$1:E2322)*(E2323=E$1:E2322)))))</f>
        <v> </v>
      </c>
      <c r="L2323" s="26"/>
    </row>
    <row r="2324" spans="1:12">
      <c r="A2324" s="20"/>
    </row>
    <row r="2325" spans="1:12">
      <c r="A2325" s="20" t="s">
        <v>1355</v>
      </c>
    </row>
    <row r="2326" spans="1:12">
      <c r="A2326" s="20" t="s">
        <v>1356</v>
      </c>
      <c r="E2326" s="21">
        <f>IF(D2326="?OLD","!!!","")</f>
        <v/>
      </c>
      <c r="F2326" s="22" t="str">
        <f>IF(OR(E2326="",E2326="!!!"),"",IF(NOT(ISNA(VLOOKUP(E2326,E$1:E2325,1,FALSE()))),"OLD",IF(AND(E2326&lt;&gt;"",E2326&lt;&gt;"!!!"),"NEW","")))</f>
        <v> </v>
      </c>
      <c r="G2326" s="23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4" t="str">
        <f>IF(J2326&lt;&gt;1,"",IF(I2326="SBJ","CB","?"))</f>
        <v> </v>
      </c>
      <c r="I2326" s="25" t="str">
        <f>IF(OR(E2326="",E2326="!!!",F2326="NEW"),"",INDEX(B2325:B$2,-1+SUMPRODUCT(MAX(ROW(E2325:E$2)*(E2326=E2325:E$2)))))</f>
        <v> </v>
      </c>
      <c r="J2326" s="25" t="str">
        <f>IF(OR(E2326="",E2326="!!!",F2326="NEW"),"",COUNTBLANK(OFFSET(A$1,,,SUMPRODUCT(MAX(ROW(E$2:E2326)*(E2326=E$2:E2326)))))-COUNTBLANK(OFFSET(A$1,,,SUMPRODUCT(MAX(ROW(E$1:E2325)*(E2=E$1:E2325))))))</f>
        <v> </v>
      </c>
      <c r="K2326" s="25" t="str">
        <f>IF(OR(E2326="",E2326="!!!",F2326="NEW"),"",INDEX(J$1:J2325,SUMPRODUCT(MAX(ROW(E$1:E2325)*(E2326=E$1:E2325)))))</f>
        <v> </v>
      </c>
      <c r="L2326" s="26"/>
    </row>
    <row r="2327" spans="1:12">
      <c r="A2327" s="20" t="s">
        <v>1357</v>
      </c>
      <c r="B2327" s="27" t="s">
        <v>680</v>
      </c>
      <c r="C2327" s="27" t="s">
        <v>545</v>
      </c>
      <c r="D2327" s="27" t="s">
        <v>524</v>
      </c>
      <c r="E2327" s="21">
        <f>IF(D2327="?OLD","!!!","")</f>
        <v/>
      </c>
      <c r="F2327" s="22" t="str">
        <f>IF(OR(E2327="",E2327="!!!"),"",IF(NOT(ISNA(VLOOKUP(E2327,E$1:E2326,1,FALSE()))),"OLD",IF(AND(E2327&lt;&gt;"",E2327&lt;&gt;"!!!"),"NEW","")))</f>
        <v> </v>
      </c>
      <c r="G2327" s="23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4" t="str">
        <f>IF(J2327&lt;&gt;1,"",IF(I2327="SBJ","CB","?"))</f>
        <v> </v>
      </c>
      <c r="I2327" s="25" t="str">
        <f>IF(OR(E2327="",E2327="!!!",F2327="NEW"),"",INDEX(B2326:B$2,-1+SUMPRODUCT(MAX(ROW(E2326:E$2)*(E2327=E2326:E$2)))))</f>
        <v> </v>
      </c>
      <c r="J2327" s="25" t="str">
        <f>IF(OR(E2327="",E2327="!!!",F2327="NEW"),"",COUNTBLANK(OFFSET(A$1,,,SUMPRODUCT(MAX(ROW(E$2:E2327)*(E2327=E$2:E2327)))))-COUNTBLANK(OFFSET(A$1,,,SUMPRODUCT(MAX(ROW(E$1:E2326)*(E2=E$1:E2326))))))</f>
        <v> </v>
      </c>
      <c r="K2327" s="25" t="str">
        <f>IF(OR(E2327="",E2327="!!!",F2327="NEW"),"",INDEX(J$1:J2326,SUMPRODUCT(MAX(ROW(E$1:E2326)*(E2327=E$1:E2326)))))</f>
        <v> </v>
      </c>
      <c r="L2327" s="26"/>
    </row>
    <row r="2328" spans="1:12">
      <c r="A2328" s="20" t="s">
        <v>1358</v>
      </c>
      <c r="E2328" s="21">
        <f>IF(D2328="?OLD","!!!","")</f>
        <v/>
      </c>
      <c r="F2328" s="22" t="str">
        <f>IF(OR(E2328="",E2328="!!!"),"",IF(NOT(ISNA(VLOOKUP(E2328,E$1:E2327,1,FALSE()))),"OLD",IF(AND(E2328&lt;&gt;"",E2328&lt;&gt;"!!!"),"NEW","")))</f>
        <v> </v>
      </c>
      <c r="G2328" s="23" t="str">
        <f>IF(OR(E2328="",E2328="!!!"),"",IF(OR(J2328=0,AND(J2328=1,K2328=1),AND(J2328=1,I2328="SBJ"),AND(J2328=1,I2328=0)),"?IN_FOCUS",IF(J2328&lt;=2,"?ACTIVATED",IF(J2328&lt;&gt;"","?FAMILIAR",IF(F2328="NEW",IF(ISNA(VLOOKUP(E2328,#REF!,1,FALSE())),"?TYPE_IDENTIFIABLE","?REFERENTIAL"),"_")))))</f>
        <v> </v>
      </c>
      <c r="H2328" s="24" t="str">
        <f>IF(J2328&lt;&gt;1,"",IF(I2328="SBJ","CB","?"))</f>
        <v> </v>
      </c>
      <c r="I2328" s="25" t="str">
        <f>IF(OR(E2328="",E2328="!!!",F2328="NEW"),"",INDEX(B2327:B$2,-1+SUMPRODUCT(MAX(ROW(E2327:E$2)*(E2328=E2327:E$2)))))</f>
        <v> </v>
      </c>
      <c r="J2328" s="25" t="str">
        <f>IF(OR(E2328="",E2328="!!!",F2328="NEW"),"",COUNTBLANK(OFFSET(A$1,,,SUMPRODUCT(MAX(ROW(E$2:E2328)*(E2328=E$2:E2328)))))-COUNTBLANK(OFFSET(A$1,,,SUMPRODUCT(MAX(ROW(E$1:E2327)*(E2=E$1:E2327))))))</f>
        <v> </v>
      </c>
      <c r="K2328" s="25" t="str">
        <f>IF(OR(E2328="",E2328="!!!",F2328="NEW"),"",INDEX(J$1:J2327,SUMPRODUCT(MAX(ROW(E$1:E2327)*(E2328=E$1:E2327)))))</f>
        <v> </v>
      </c>
      <c r="L2328" s="26"/>
    </row>
    <row r="2329" spans="1:12">
      <c r="A2329" s="20" t="s">
        <v>1237</v>
      </c>
      <c r="B2329" s="27" t="s">
        <v>743</v>
      </c>
      <c r="C2329" s="27" t="s">
        <v>523</v>
      </c>
      <c r="D2329" s="27" t="s">
        <v>524</v>
      </c>
      <c r="E2329" s="21">
        <f>IF(D2329="?OLD","!!!","")</f>
        <v/>
      </c>
      <c r="F2329" s="22" t="str">
        <f>IF(OR(E2329="",E2329="!!!"),"",IF(NOT(ISNA(VLOOKUP(E2329,E$1:E2328,1,FALSE()))),"OLD",IF(AND(E2329&lt;&gt;"",E2329&lt;&gt;"!!!"),"NEW","")))</f>
        <v> </v>
      </c>
      <c r="G2329" s="23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4" t="str">
        <f>IF(J2329&lt;&gt;1,"",IF(I2329="SBJ","CB","?"))</f>
        <v> </v>
      </c>
      <c r="I2329" s="25" t="str">
        <f>IF(OR(E2329="",E2329="!!!",F2329="NEW"),"",INDEX(B2328:B$2,-1+SUMPRODUCT(MAX(ROW(E2328:E$2)*(E2329=E2328:E$2)))))</f>
        <v> </v>
      </c>
      <c r="J2329" s="25" t="str">
        <f>IF(OR(E2329="",E2329="!!!",F2329="NEW"),"",COUNTBLANK(OFFSET(A$1,,,SUMPRODUCT(MAX(ROW(E$2:E2329)*(E2329=E$2:E2329)))))-COUNTBLANK(OFFSET(A$1,,,SUMPRODUCT(MAX(ROW(E$1:E2328)*(E2=E$1:E2328))))))</f>
        <v> </v>
      </c>
      <c r="K2329" s="25" t="str">
        <f>IF(OR(E2329="",E2329="!!!",F2329="NEW"),"",INDEX(J$1:J2328,SUMPRODUCT(MAX(ROW(E$1:E2328)*(E2329=E$1:E2328)))))</f>
        <v> </v>
      </c>
      <c r="L2329" s="26"/>
    </row>
    <row r="2330" spans="1:12">
      <c r="A2330" s="20" t="s">
        <v>528</v>
      </c>
      <c r="E2330" s="21">
        <f>IF(D2330="?OLD","!!!","")</f>
        <v/>
      </c>
      <c r="F2330" s="22" t="str">
        <f>IF(OR(E2330="",E2330="!!!"),"",IF(NOT(ISNA(VLOOKUP(E2330,E$1:E2329,1,FALSE()))),"OLD",IF(AND(E2330&lt;&gt;"",E2330&lt;&gt;"!!!"),"NEW","")))</f>
        <v> </v>
      </c>
      <c r="G2330" s="23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4" t="str">
        <f>IF(J2330&lt;&gt;1,"",IF(I2330="SBJ","CB","?"))</f>
        <v> </v>
      </c>
      <c r="I2330" s="25" t="str">
        <f>IF(OR(E2330="",E2330="!!!",F2330="NEW"),"",INDEX(B2329:B$2,-1+SUMPRODUCT(MAX(ROW(E2329:E$2)*(E2330=E2329:E$2)))))</f>
        <v> </v>
      </c>
      <c r="J2330" s="25" t="str">
        <f>IF(OR(E2330="",E2330="!!!",F2330="NEW"),"",COUNTBLANK(OFFSET(A$1,,,SUMPRODUCT(MAX(ROW(E$2:E2330)*(E2330=E$2:E2330)))))-COUNTBLANK(OFFSET(A$1,,,SUMPRODUCT(MAX(ROW(E$1:E2329)*(E2=E$1:E2329))))))</f>
        <v> </v>
      </c>
      <c r="K2330" s="25" t="str">
        <f>IF(OR(E2330="",E2330="!!!",F2330="NEW"),"",INDEX(J$1:J2329,SUMPRODUCT(MAX(ROW(E$1:E2329)*(E2330=E$1:E2329)))))</f>
        <v> </v>
      </c>
      <c r="L2330" s="26"/>
    </row>
    <row r="2331" spans="1:12">
      <c r="A2331" s="20" t="s">
        <v>525</v>
      </c>
      <c r="E2331" s="21">
        <f>IF(D2331="?OLD","!!!","")</f>
        <v/>
      </c>
      <c r="F2331" s="22" t="str">
        <f>IF(OR(E2331="",E2331="!!!"),"",IF(NOT(ISNA(VLOOKUP(E2331,E$1:E2330,1,FALSE()))),"OLD",IF(AND(E2331&lt;&gt;"",E2331&lt;&gt;"!!!"),"NEW","")))</f>
        <v> </v>
      </c>
      <c r="G2331" s="23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4" t="str">
        <f>IF(J2331&lt;&gt;1,"",IF(I2331="SBJ","CB","?"))</f>
        <v> </v>
      </c>
      <c r="I2331" s="25" t="str">
        <f>IF(OR(E2331="",E2331="!!!",F2331="NEW"),"",INDEX(B2330:B$2,-1+SUMPRODUCT(MAX(ROW(E2330:E$2)*(E2331=E2330:E$2)))))</f>
        <v> </v>
      </c>
      <c r="J2331" s="25" t="str">
        <f>IF(OR(E2331="",E2331="!!!",F2331="NEW"),"",COUNTBLANK(OFFSET(A$1,,,SUMPRODUCT(MAX(ROW(E$2:E2331)*(E2331=E$2:E2331)))))-COUNTBLANK(OFFSET(A$1,,,SUMPRODUCT(MAX(ROW(E$1:E2330)*(E2=E$1:E2330))))))</f>
        <v> </v>
      </c>
      <c r="K2331" s="25" t="str">
        <f>IF(OR(E2331="",E2331="!!!",F2331="NEW"),"",INDEX(J$1:J2330,SUMPRODUCT(MAX(ROW(E$1:E2330)*(E2331=E$1:E2330)))))</f>
        <v> </v>
      </c>
      <c r="L2331" s="26"/>
    </row>
    <row r="2332" spans="1:12">
      <c r="A2332" s="20" t="s">
        <v>804</v>
      </c>
      <c r="B2332" s="27" t="s">
        <v>667</v>
      </c>
      <c r="C2332" s="27" t="s">
        <v>540</v>
      </c>
      <c r="D2332" s="27" t="s">
        <v>524</v>
      </c>
      <c r="E2332" s="21">
        <f>IF(D2332="?OLD","!!!","")</f>
        <v/>
      </c>
      <c r="F2332" s="22" t="str">
        <f>IF(OR(E2332="",E2332="!!!"),"",IF(NOT(ISNA(VLOOKUP(E2332,E$1:E2331,1,FALSE()))),"OLD",IF(AND(E2332&lt;&gt;"",E2332&lt;&gt;"!!!"),"NEW","")))</f>
        <v> </v>
      </c>
      <c r="G2332" s="23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4" t="str">
        <f>IF(J2332&lt;&gt;1,"",IF(I2332="SBJ","CB","?"))</f>
        <v> </v>
      </c>
      <c r="I2332" s="25" t="str">
        <f>IF(OR(E2332="",E2332="!!!",F2332="NEW"),"",INDEX(B2331:B$2,-1+SUMPRODUCT(MAX(ROW(E2331:E$2)*(E2332=E2331:E$2)))))</f>
        <v> </v>
      </c>
      <c r="J2332" s="25" t="str">
        <f>IF(OR(E2332="",E2332="!!!",F2332="NEW"),"",COUNTBLANK(OFFSET(A$1,,,SUMPRODUCT(MAX(ROW(E$2:E2332)*(E2332=E$2:E2332)))))-COUNTBLANK(OFFSET(A$1,,,SUMPRODUCT(MAX(ROW(E$1:E2331)*(E2=E$1:E2331))))))</f>
        <v> </v>
      </c>
      <c r="K2332" s="25" t="str">
        <f>IF(OR(E2332="",E2332="!!!",F2332="NEW"),"",INDEX(J$1:J2331,SUMPRODUCT(MAX(ROW(E$1:E2331)*(E2332=E$1:E2331)))))</f>
        <v> </v>
      </c>
      <c r="L2332" s="26"/>
    </row>
    <row r="2333" spans="1:12">
      <c r="A2333" s="20" t="s">
        <v>528</v>
      </c>
      <c r="B2333" s="27" t="s">
        <v>573</v>
      </c>
      <c r="E2333" s="21">
        <f>IF(D2333="?OLD","!!!","")</f>
        <v/>
      </c>
      <c r="F2333" s="22" t="str">
        <f>IF(OR(E2333="",E2333="!!!"),"",IF(NOT(ISNA(VLOOKUP(E2333,E$1:E2332,1,FALSE()))),"OLD",IF(AND(E2333&lt;&gt;"",E2333&lt;&gt;"!!!"),"NEW","")))</f>
        <v> </v>
      </c>
      <c r="G2333" s="23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4" t="str">
        <f>IF(J2333&lt;&gt;1,"",IF(I2333="SBJ","CB","?"))</f>
        <v> </v>
      </c>
      <c r="I2333" s="25" t="str">
        <f>IF(OR(E2333="",E2333="!!!",F2333="NEW"),"",INDEX(B2332:B$2,-1+SUMPRODUCT(MAX(ROW(E2332:E$2)*(E2333=E2332:E$2)))))</f>
        <v> </v>
      </c>
      <c r="J2333" s="25" t="str">
        <f>IF(OR(E2333="",E2333="!!!",F2333="NEW"),"",COUNTBLANK(OFFSET(A$1,,,SUMPRODUCT(MAX(ROW(E$2:E2333)*(E2333=E$2:E2333)))))-COUNTBLANK(OFFSET(A$1,,,SUMPRODUCT(MAX(ROW(E$1:E2332)*(E2=E$1:E2332))))))</f>
        <v> </v>
      </c>
      <c r="K2333" s="25" t="str">
        <f>IF(OR(E2333="",E2333="!!!",F2333="NEW"),"",INDEX(J$1:J2332,SUMPRODUCT(MAX(ROW(E$1:E2332)*(E2333=E$1:E2332)))))</f>
        <v> </v>
      </c>
      <c r="L2333" s="26"/>
    </row>
    <row r="2334" spans="1:12">
      <c r="A2334" s="20" t="s">
        <v>775</v>
      </c>
      <c r="B2334" s="27" t="s">
        <v>529</v>
      </c>
      <c r="C2334" s="27" t="s">
        <v>523</v>
      </c>
      <c r="D2334" s="27" t="s">
        <v>524</v>
      </c>
      <c r="E2334" s="21">
        <f>IF(D2334="?OLD","!!!","")</f>
        <v/>
      </c>
      <c r="F2334" s="22" t="str">
        <f>IF(OR(E2334="",E2334="!!!"),"",IF(NOT(ISNA(VLOOKUP(E2334,E$1:E2333,1,FALSE()))),"OLD",IF(AND(E2334&lt;&gt;"",E2334&lt;&gt;"!!!"),"NEW","")))</f>
        <v> </v>
      </c>
      <c r="G2334" s="23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4" t="str">
        <f>IF(J2334&lt;&gt;1,"",IF(I2334="SBJ","CB","?"))</f>
        <v> </v>
      </c>
      <c r="I2334" s="25" t="str">
        <f>IF(OR(E2334="",E2334="!!!",F2334="NEW"),"",INDEX(B2333:B$2,-1+SUMPRODUCT(MAX(ROW(E2333:E$2)*(E2334=E2333:E$2)))))</f>
        <v> </v>
      </c>
      <c r="J2334" s="25" t="str">
        <f>IF(OR(E2334="",E2334="!!!",F2334="NEW"),"",COUNTBLANK(OFFSET(A$1,,,SUMPRODUCT(MAX(ROW(E$2:E2334)*(E2334=E$2:E2334)))))-COUNTBLANK(OFFSET(A$1,,,SUMPRODUCT(MAX(ROW(E$1:E2333)*(E2=E$1:E2333))))))</f>
        <v> </v>
      </c>
      <c r="K2334" s="25" t="str">
        <f>IF(OR(E2334="",E2334="!!!",F2334="NEW"),"",INDEX(J$1:J2333,SUMPRODUCT(MAX(ROW(E$1:E2333)*(E2334=E$1:E2333)))))</f>
        <v> </v>
      </c>
      <c r="L2334" s="26"/>
    </row>
    <row r="2335" spans="1:12">
      <c r="A2335" s="20" t="s">
        <v>565</v>
      </c>
      <c r="E2335" s="21">
        <f>IF(D2335="?OLD","!!!","")</f>
        <v/>
      </c>
      <c r="F2335" s="22" t="str">
        <f>IF(OR(E2335="",E2335="!!!"),"",IF(NOT(ISNA(VLOOKUP(E2335,E$1:E2334,1,FALSE()))),"OLD",IF(AND(E2335&lt;&gt;"",E2335&lt;&gt;"!!!"),"NEW","")))</f>
        <v> </v>
      </c>
      <c r="G2335" s="23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4" t="str">
        <f>IF(J2335&lt;&gt;1,"",IF(I2335="SBJ","CB","?"))</f>
        <v> </v>
      </c>
      <c r="I2335" s="25" t="str">
        <f>IF(OR(E2335="",E2335="!!!",F2335="NEW"),"",INDEX(B2334:B$2,-1+SUMPRODUCT(MAX(ROW(E2334:E$2)*(E2335=E2334:E$2)))))</f>
        <v> </v>
      </c>
      <c r="J2335" s="25" t="str">
        <f>IF(OR(E2335="",E2335="!!!",F2335="NEW"),"",COUNTBLANK(OFFSET(A$1,,,SUMPRODUCT(MAX(ROW(E$2:E2335)*(E2335=E$2:E2335)))))-COUNTBLANK(OFFSET(A$1,,,SUMPRODUCT(MAX(ROW(E$1:E2334)*(E2=E$1:E2334))))))</f>
        <v> </v>
      </c>
      <c r="K2335" s="25" t="str">
        <f>IF(OR(E2335="",E2335="!!!",F2335="NEW"),"",INDEX(J$1:J2334,SUMPRODUCT(MAX(ROW(E$1:E2334)*(E2335=E$1:E2334)))))</f>
        <v> </v>
      </c>
      <c r="L2335" s="26"/>
    </row>
    <row r="2336" spans="1:12">
      <c r="A2336" s="20" t="s">
        <v>719</v>
      </c>
      <c r="E2336" s="21">
        <f>IF(D2336="?OLD","!!!","")</f>
        <v/>
      </c>
      <c r="F2336" s="22" t="str">
        <f>IF(OR(E2336="",E2336="!!!"),"",IF(NOT(ISNA(VLOOKUP(E2336,E$1:E2335,1,FALSE()))),"OLD",IF(AND(E2336&lt;&gt;"",E2336&lt;&gt;"!!!"),"NEW","")))</f>
        <v> </v>
      </c>
      <c r="G2336" s="23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4" t="str">
        <f>IF(J2336&lt;&gt;1,"",IF(I2336="SBJ","CB","?"))</f>
        <v> </v>
      </c>
      <c r="I2336" s="25" t="str">
        <f>IF(OR(E2336="",E2336="!!!",F2336="NEW"),"",INDEX(B2335:B$2,-1+SUMPRODUCT(MAX(ROW(E2335:E$2)*(E2336=E2335:E$2)))))</f>
        <v> </v>
      </c>
      <c r="J2336" s="25" t="str">
        <f>IF(OR(E2336="",E2336="!!!",F2336="NEW"),"",COUNTBLANK(OFFSET(A$1,,,SUMPRODUCT(MAX(ROW(E$2:E2336)*(E2336=E$2:E2336)))))-COUNTBLANK(OFFSET(A$1,,,SUMPRODUCT(MAX(ROW(E$1:E2335)*(E2=E$1:E2335))))))</f>
        <v> </v>
      </c>
      <c r="K2336" s="25" t="str">
        <f>IF(OR(E2336="",E2336="!!!",F2336="NEW"),"",INDEX(J$1:J2335,SUMPRODUCT(MAX(ROW(E$1:E2335)*(E2336=E$1:E2335)))))</f>
        <v> </v>
      </c>
      <c r="L2336" s="26"/>
    </row>
    <row r="2337" spans="1:12">
      <c r="A2337" s="20" t="s">
        <v>1359</v>
      </c>
      <c r="B2337" s="27" t="s">
        <v>641</v>
      </c>
      <c r="C2337" s="27" t="s">
        <v>564</v>
      </c>
      <c r="E2337" s="21">
        <f>IF(D2337="?OLD","!!!","")</f>
        <v/>
      </c>
      <c r="F2337" s="22" t="str">
        <f>IF(OR(E2337="",E2337="!!!"),"",IF(NOT(ISNA(VLOOKUP(E2337,E$1:E2336,1,FALSE()))),"OLD",IF(AND(E2337&lt;&gt;"",E2337&lt;&gt;"!!!"),"NEW","")))</f>
        <v> </v>
      </c>
      <c r="G2337" s="23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4" t="str">
        <f>IF(J2337&lt;&gt;1,"",IF(I2337="SBJ","CB","?"))</f>
        <v> </v>
      </c>
      <c r="I2337" s="25" t="str">
        <f>IF(OR(E2337="",E2337="!!!",F2337="NEW"),"",INDEX(B2336:B$2,-1+SUMPRODUCT(MAX(ROW(E2336:E$2)*(E2337=E2336:E$2)))))</f>
        <v> </v>
      </c>
      <c r="J2337" s="25" t="str">
        <f>IF(OR(E2337="",E2337="!!!",F2337="NEW"),"",COUNTBLANK(OFFSET(A$1,,,SUMPRODUCT(MAX(ROW(E$2:E2337)*(E2337=E$2:E2337)))))-COUNTBLANK(OFFSET(A$1,,,SUMPRODUCT(MAX(ROW(E$1:E2336)*(E2=E$1:E2336))))))</f>
        <v> </v>
      </c>
      <c r="K2337" s="25" t="str">
        <f>IF(OR(E2337="",E2337="!!!",F2337="NEW"),"",INDEX(J$1:J2336,SUMPRODUCT(MAX(ROW(E$1:E2336)*(E2337=E$1:E2336)))))</f>
        <v> </v>
      </c>
      <c r="L2337" s="26"/>
    </row>
    <row r="2338" spans="1:12">
      <c r="A2338" s="20" t="s">
        <v>1360</v>
      </c>
      <c r="E2338" s="21">
        <f>IF(D2338="?OLD","!!!","")</f>
        <v/>
      </c>
      <c r="F2338" s="22" t="str">
        <f>IF(OR(E2338="",E2338="!!!"),"",IF(NOT(ISNA(VLOOKUP(E2338,E$1:E2337,1,FALSE()))),"OLD",IF(AND(E2338&lt;&gt;"",E2338&lt;&gt;"!!!"),"NEW","")))</f>
        <v> </v>
      </c>
      <c r="G2338" s="23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4" t="str">
        <f>IF(J2338&lt;&gt;1,"",IF(I2338="SBJ","CB","?"))</f>
        <v> </v>
      </c>
      <c r="I2338" s="25" t="str">
        <f>IF(OR(E2338="",E2338="!!!",F2338="NEW"),"",INDEX(B2337:B$2,-1+SUMPRODUCT(MAX(ROW(E2337:E$2)*(E2338=E2337:E$2)))))</f>
        <v> </v>
      </c>
      <c r="J2338" s="25" t="str">
        <f>IF(OR(E2338="",E2338="!!!",F2338="NEW"),"",COUNTBLANK(OFFSET(A$1,,,SUMPRODUCT(MAX(ROW(E$2:E2338)*(E2338=E$2:E2338)))))-COUNTBLANK(OFFSET(A$1,,,SUMPRODUCT(MAX(ROW(E$1:E2337)*(E2=E$1:E2337))))))</f>
        <v> </v>
      </c>
      <c r="K2338" s="25" t="str">
        <f>IF(OR(E2338="",E2338="!!!",F2338="NEW"),"",INDEX(J$1:J2337,SUMPRODUCT(MAX(ROW(E$1:E2337)*(E2338=E$1:E2337)))))</f>
        <v> </v>
      </c>
      <c r="L2338" s="26"/>
    </row>
    <row r="2339" spans="1:12">
      <c r="A2339" s="20" t="s">
        <v>565</v>
      </c>
      <c r="E2339" s="21">
        <f>IF(D2339="?OLD","!!!","")</f>
        <v/>
      </c>
      <c r="F2339" s="22" t="str">
        <f>IF(OR(E2339="",E2339="!!!"),"",IF(NOT(ISNA(VLOOKUP(E2339,E$1:E2338,1,FALSE()))),"OLD",IF(AND(E2339&lt;&gt;"",E2339&lt;&gt;"!!!"),"NEW","")))</f>
        <v> </v>
      </c>
      <c r="G2339" s="23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4" t="str">
        <f>IF(J2339&lt;&gt;1,"",IF(I2339="SBJ","CB","?"))</f>
        <v> </v>
      </c>
      <c r="I2339" s="25" t="str">
        <f>IF(OR(E2339="",E2339="!!!",F2339="NEW"),"",INDEX(B2338:B$2,-1+SUMPRODUCT(MAX(ROW(E2338:E$2)*(E2339=E2338:E$2)))))</f>
        <v> </v>
      </c>
      <c r="J2339" s="25" t="str">
        <f>IF(OR(E2339="",E2339="!!!",F2339="NEW"),"",COUNTBLANK(OFFSET(A$1,,,SUMPRODUCT(MAX(ROW(E$2:E2339)*(E2339=E$2:E2339)))))-COUNTBLANK(OFFSET(A$1,,,SUMPRODUCT(MAX(ROW(E$1:E2338)*(E2=E$1:E2338))))))</f>
        <v> </v>
      </c>
      <c r="K2339" s="25" t="str">
        <f>IF(OR(E2339="",E2339="!!!",F2339="NEW"),"",INDEX(J$1:J2338,SUMPRODUCT(MAX(ROW(E$1:E2338)*(E2339=E$1:E2338)))))</f>
        <v> </v>
      </c>
      <c r="L2339" s="26"/>
    </row>
    <row r="2340" spans="1:12">
      <c r="A2340" s="20" t="s">
        <v>559</v>
      </c>
      <c r="E2340" s="21">
        <f>IF(D2340="?OLD","!!!","")</f>
        <v/>
      </c>
      <c r="F2340" s="22" t="str">
        <f>IF(OR(E2340="",E2340="!!!"),"",IF(NOT(ISNA(VLOOKUP(E2340,E$1:E2339,1,FALSE()))),"OLD",IF(AND(E2340&lt;&gt;"",E2340&lt;&gt;"!!!"),"NEW","")))</f>
        <v> </v>
      </c>
      <c r="G2340" s="23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4" t="str">
        <f>IF(J2340&lt;&gt;1,"",IF(I2340="SBJ","CB","?"))</f>
        <v> </v>
      </c>
      <c r="I2340" s="25" t="str">
        <f>IF(OR(E2340="",E2340="!!!",F2340="NEW"),"",INDEX(B2339:B$2,-1+SUMPRODUCT(MAX(ROW(E2339:E$2)*(E2340=E2339:E$2)))))</f>
        <v> </v>
      </c>
      <c r="J2340" s="25" t="str">
        <f>IF(OR(E2340="",E2340="!!!",F2340="NEW"),"",COUNTBLANK(OFFSET(A$1,,,SUMPRODUCT(MAX(ROW(E$2:E2340)*(E2340=E$2:E2340)))))-COUNTBLANK(OFFSET(A$1,,,SUMPRODUCT(MAX(ROW(E$1:E2339)*(E2=E$1:E2339))))))</f>
        <v> </v>
      </c>
      <c r="K2340" s="25" t="str">
        <f>IF(OR(E2340="",E2340="!!!",F2340="NEW"),"",INDEX(J$1:J2339,SUMPRODUCT(MAX(ROW(E$1:E2339)*(E2340=E$1:E2339)))))</f>
        <v> </v>
      </c>
      <c r="L2340" s="26"/>
    </row>
    <row r="2341" spans="1:12">
      <c r="A2341" s="20" t="s">
        <v>1361</v>
      </c>
      <c r="E2341" s="21">
        <f>IF(D2341="?OLD","!!!","")</f>
        <v/>
      </c>
      <c r="F2341" s="22" t="str">
        <f>IF(OR(E2341="",E2341="!!!"),"",IF(NOT(ISNA(VLOOKUP(E2341,E$1:E2340,1,FALSE()))),"OLD",IF(AND(E2341&lt;&gt;"",E2341&lt;&gt;"!!!"),"NEW","")))</f>
        <v> </v>
      </c>
      <c r="G2341" s="23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4" t="str">
        <f>IF(J2341&lt;&gt;1,"",IF(I2341="SBJ","CB","?"))</f>
        <v> </v>
      </c>
      <c r="I2341" s="25" t="str">
        <f>IF(OR(E2341="",E2341="!!!",F2341="NEW"),"",INDEX(B2340:B$2,-1+SUMPRODUCT(MAX(ROW(E2340:E$2)*(E2341=E2340:E$2)))))</f>
        <v> </v>
      </c>
      <c r="J2341" s="25" t="str">
        <f>IF(OR(E2341="",E2341="!!!",F2341="NEW"),"",COUNTBLANK(OFFSET(A$1,,,SUMPRODUCT(MAX(ROW(E$2:E2341)*(E2341=E$2:E2341)))))-COUNTBLANK(OFFSET(A$1,,,SUMPRODUCT(MAX(ROW(E$1:E2340)*(E2=E$1:E2340))))))</f>
        <v> </v>
      </c>
      <c r="K2341" s="25" t="str">
        <f>IF(OR(E2341="",E2341="!!!",F2341="NEW"),"",INDEX(J$1:J2340,SUMPRODUCT(MAX(ROW(E$1:E2340)*(E2341=E$1:E2340)))))</f>
        <v> </v>
      </c>
      <c r="L2341" s="26"/>
    </row>
    <row r="2342" spans="1:12">
      <c r="A2342" s="20" t="s">
        <v>518</v>
      </c>
      <c r="E2342" s="21">
        <f>IF(D2342="?OLD","!!!","")</f>
        <v/>
      </c>
      <c r="F2342" s="22" t="str">
        <f>IF(OR(E2342="",E2342="!!!"),"",IF(NOT(ISNA(VLOOKUP(E2342,E$1:E2341,1,FALSE()))),"OLD",IF(AND(E2342&lt;&gt;"",E2342&lt;&gt;"!!!"),"NEW","")))</f>
        <v> </v>
      </c>
      <c r="G2342" s="23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4" t="str">
        <f>IF(J2342&lt;&gt;1,"",IF(I2342="SBJ","CB","?"))</f>
        <v> </v>
      </c>
      <c r="I2342" s="25" t="str">
        <f>IF(OR(E2342="",E2342="!!!",F2342="NEW"),"",INDEX(B2341:B$2,-1+SUMPRODUCT(MAX(ROW(E2341:E$2)*(E2342=E2341:E$2)))))</f>
        <v> </v>
      </c>
      <c r="J2342" s="25" t="str">
        <f>IF(OR(E2342="",E2342="!!!",F2342="NEW"),"",COUNTBLANK(OFFSET(A$1,,,SUMPRODUCT(MAX(ROW(E$2:E2342)*(E2342=E$2:E2342)))))-COUNTBLANK(OFFSET(A$1,,,SUMPRODUCT(MAX(ROW(E$1:E2341)*(E2=E$1:E2341))))))</f>
        <v> </v>
      </c>
      <c r="K2342" s="25" t="str">
        <f>IF(OR(E2342="",E2342="!!!",F2342="NEW"),"",INDEX(J$1:J2341,SUMPRODUCT(MAX(ROW(E$1:E2341)*(E2342=E$1:E2341)))))</f>
        <v> </v>
      </c>
      <c r="L2342" s="26"/>
    </row>
    <row r="2343" spans="1:12">
      <c r="A2343" s="20" t="s">
        <v>542</v>
      </c>
      <c r="E2343" s="21">
        <f>IF(D2343="?OLD","!!!","")</f>
        <v/>
      </c>
      <c r="F2343" s="22" t="str">
        <f>IF(OR(E2343="",E2343="!!!"),"",IF(NOT(ISNA(VLOOKUP(E2343,E$1:E2342,1,FALSE()))),"OLD",IF(AND(E2343&lt;&gt;"",E2343&lt;&gt;"!!!"),"NEW","")))</f>
        <v> </v>
      </c>
      <c r="G2343" s="23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4" t="str">
        <f>IF(J2343&lt;&gt;1,"",IF(I2343="SBJ","CB","?"))</f>
        <v> </v>
      </c>
      <c r="I2343" s="25" t="str">
        <f>IF(OR(E2343="",E2343="!!!",F2343="NEW"),"",INDEX(B2342:B$2,-1+SUMPRODUCT(MAX(ROW(E2342:E$2)*(E2343=E2342:E$2)))))</f>
        <v> </v>
      </c>
      <c r="J2343" s="25" t="str">
        <f>IF(OR(E2343="",E2343="!!!",F2343="NEW"),"",COUNTBLANK(OFFSET(A$1,,,SUMPRODUCT(MAX(ROW(E$2:E2343)*(E2343=E$2:E2343)))))-COUNTBLANK(OFFSET(A$1,,,SUMPRODUCT(MAX(ROW(E$1:E2342)*(E2=E$1:E2342))))))</f>
        <v> </v>
      </c>
      <c r="K2343" s="25" t="str">
        <f>IF(OR(E2343="",E2343="!!!",F2343="NEW"),"",INDEX(J$1:J2342,SUMPRODUCT(MAX(ROW(E$1:E2342)*(E2343=E$1:E2342)))))</f>
        <v> </v>
      </c>
      <c r="L2343" s="26"/>
    </row>
    <row r="2344" spans="1:12">
      <c r="A2344" s="20" t="s">
        <v>787</v>
      </c>
      <c r="B2344" s="27" t="s">
        <v>534</v>
      </c>
      <c r="C2344" s="27" t="s">
        <v>669</v>
      </c>
      <c r="D2344" s="27" t="s">
        <v>524</v>
      </c>
      <c r="E2344" s="21">
        <f>IF(D2344="?OLD","!!!","")</f>
        <v/>
      </c>
      <c r="F2344" s="22" t="str">
        <f>IF(OR(E2344="",E2344="!!!"),"",IF(NOT(ISNA(VLOOKUP(E2344,E$1:E2343,1,FALSE()))),"OLD",IF(AND(E2344&lt;&gt;"",E2344&lt;&gt;"!!!"),"NEW","")))</f>
        <v> </v>
      </c>
      <c r="G2344" s="23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4" t="str">
        <f>IF(J2344&lt;&gt;1,"",IF(I2344="SBJ","CB","?"))</f>
        <v> </v>
      </c>
      <c r="I2344" s="25" t="str">
        <f>IF(OR(E2344="",E2344="!!!",F2344="NEW"),"",INDEX(B2343:B$2,-1+SUMPRODUCT(MAX(ROW(E2343:E$2)*(E2344=E2343:E$2)))))</f>
        <v> </v>
      </c>
      <c r="J2344" s="25" t="str">
        <f>IF(OR(E2344="",E2344="!!!",F2344="NEW"),"",COUNTBLANK(OFFSET(A$1,,,SUMPRODUCT(MAX(ROW(E$2:E2344)*(E2344=E$2:E2344)))))-COUNTBLANK(OFFSET(A$1,,,SUMPRODUCT(MAX(ROW(E$1:E2343)*(E2=E$1:E2343))))))</f>
        <v> </v>
      </c>
      <c r="K2344" s="25" t="str">
        <f>IF(OR(E2344="",E2344="!!!",F2344="NEW"),"",INDEX(J$1:J2343,SUMPRODUCT(MAX(ROW(E$1:E2343)*(E2344=E$1:E2343)))))</f>
        <v> </v>
      </c>
      <c r="L2344" s="26"/>
    </row>
    <row r="2345" spans="1:12">
      <c r="A2345" s="20" t="s">
        <v>1208</v>
      </c>
      <c r="B2345" s="27" t="s">
        <v>544</v>
      </c>
      <c r="C2345" s="27" t="s">
        <v>545</v>
      </c>
      <c r="D2345" s="27" t="s">
        <v>524</v>
      </c>
      <c r="E2345" s="21">
        <f>IF(D2345="?OLD","!!!","")</f>
        <v/>
      </c>
      <c r="F2345" s="22" t="str">
        <f>IF(OR(E2345="",E2345="!!!"),"",IF(NOT(ISNA(VLOOKUP(E2345,E$1:E2344,1,FALSE()))),"OLD",IF(AND(E2345&lt;&gt;"",E2345&lt;&gt;"!!!"),"NEW","")))</f>
        <v> </v>
      </c>
      <c r="G2345" s="23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4" t="str">
        <f>IF(J2345&lt;&gt;1,"",IF(I2345="SBJ","CB","?"))</f>
        <v> </v>
      </c>
      <c r="I2345" s="25" t="str">
        <f>IF(OR(E2345="",E2345="!!!",F2345="NEW"),"",INDEX(B2344:B$2,-1+SUMPRODUCT(MAX(ROW(E2344:E$2)*(E2345=E2344:E$2)))))</f>
        <v> </v>
      </c>
      <c r="J2345" s="25" t="str">
        <f>IF(OR(E2345="",E2345="!!!",F2345="NEW"),"",COUNTBLANK(OFFSET(A$1,,,SUMPRODUCT(MAX(ROW(E$2:E2345)*(E2345=E$2:E2345)))))-COUNTBLANK(OFFSET(A$1,,,SUMPRODUCT(MAX(ROW(E$1:E2344)*(E2=E$1:E2344))))))</f>
        <v> </v>
      </c>
      <c r="K2345" s="25" t="str">
        <f>IF(OR(E2345="",E2345="!!!",F2345="NEW"),"",INDEX(J$1:J2344,SUMPRODUCT(MAX(ROW(E$1:E2344)*(E2345=E$1:E2344)))))</f>
        <v> </v>
      </c>
      <c r="L2345" s="26"/>
    </row>
    <row r="2346" spans="1:12">
      <c r="A2346" s="20" t="s">
        <v>751</v>
      </c>
      <c r="E2346" s="21">
        <f>IF(D2346="?OLD","!!!","")</f>
        <v/>
      </c>
      <c r="F2346" s="22" t="str">
        <f>IF(OR(E2346="",E2346="!!!"),"",IF(NOT(ISNA(VLOOKUP(E2346,E$1:E2345,1,FALSE()))),"OLD",IF(AND(E2346&lt;&gt;"",E2346&lt;&gt;"!!!"),"NEW","")))</f>
        <v> </v>
      </c>
      <c r="G2346" s="23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4" t="str">
        <f>IF(J2346&lt;&gt;1,"",IF(I2346="SBJ","CB","?"))</f>
        <v> </v>
      </c>
      <c r="I2346" s="25" t="str">
        <f>IF(OR(E2346="",E2346="!!!",F2346="NEW"),"",INDEX(B2345:B$2,-1+SUMPRODUCT(MAX(ROW(E2345:E$2)*(E2346=E2345:E$2)))))</f>
        <v> </v>
      </c>
      <c r="J2346" s="25" t="str">
        <f>IF(OR(E2346="",E2346="!!!",F2346="NEW"),"",COUNTBLANK(OFFSET(A$1,,,SUMPRODUCT(MAX(ROW(E$2:E2346)*(E2346=E$2:E2346)))))-COUNTBLANK(OFFSET(A$1,,,SUMPRODUCT(MAX(ROW(E$1:E2345)*(E2=E$1:E2345))))))</f>
        <v> </v>
      </c>
      <c r="K2346" s="25" t="str">
        <f>IF(OR(E2346="",E2346="!!!",F2346="NEW"),"",INDEX(J$1:J2345,SUMPRODUCT(MAX(ROW(E$1:E2345)*(E2346=E$1:E2345)))))</f>
        <v> </v>
      </c>
      <c r="L2346" s="26"/>
    </row>
    <row r="2347" spans="1:12">
      <c r="A2347" s="20" t="s">
        <v>230</v>
      </c>
      <c r="E2347" s="21">
        <f>IF(D2347="?OLD","!!!","")</f>
        <v/>
      </c>
      <c r="F2347" s="22" t="str">
        <f>IF(OR(E2347="",E2347="!!!"),"",IF(NOT(ISNA(VLOOKUP(E2347,E$1:E2346,1,FALSE()))),"OLD",IF(AND(E2347&lt;&gt;"",E2347&lt;&gt;"!!!"),"NEW","")))</f>
        <v> </v>
      </c>
      <c r="G2347" s="23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4" t="str">
        <f>IF(J2347&lt;&gt;1,"",IF(I2347="SBJ","CB","?"))</f>
        <v> </v>
      </c>
      <c r="I2347" s="25" t="str">
        <f>IF(OR(E2347="",E2347="!!!",F2347="NEW"),"",INDEX(B2346:B$2,-1+SUMPRODUCT(MAX(ROW(E2346:E$2)*(E2347=E2346:E$2)))))</f>
        <v> </v>
      </c>
      <c r="J2347" s="25" t="str">
        <f>IF(OR(E2347="",E2347="!!!",F2347="NEW"),"",COUNTBLANK(OFFSET(A$1,,,SUMPRODUCT(MAX(ROW(E$2:E2347)*(E2347=E$2:E2347)))))-COUNTBLANK(OFFSET(A$1,,,SUMPRODUCT(MAX(ROW(E$1:E2346)*(E2=E$1:E2346))))))</f>
        <v> </v>
      </c>
      <c r="K2347" s="25" t="str">
        <f>IF(OR(E2347="",E2347="!!!",F2347="NEW"),"",INDEX(J$1:J2346,SUMPRODUCT(MAX(ROW(E$1:E2346)*(E2347=E$1:E2346)))))</f>
        <v> </v>
      </c>
      <c r="L2347" s="26"/>
    </row>
    <row r="2348" spans="1:12">
      <c r="A2348" s="20" t="s">
        <v>1249</v>
      </c>
      <c r="E2348" s="21">
        <f>IF(D2348="?OLD","!!!","")</f>
        <v/>
      </c>
      <c r="F2348" s="22" t="str">
        <f>IF(OR(E2348="",E2348="!!!"),"",IF(NOT(ISNA(VLOOKUP(E2348,E$1:E2347,1,FALSE()))),"OLD",IF(AND(E2348&lt;&gt;"",E2348&lt;&gt;"!!!"),"NEW","")))</f>
        <v> </v>
      </c>
      <c r="G2348" s="23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4" t="str">
        <f>IF(J2348&lt;&gt;1,"",IF(I2348="SBJ","CB","?"))</f>
        <v> </v>
      </c>
      <c r="I2348" s="25" t="str">
        <f>IF(OR(E2348="",E2348="!!!",F2348="NEW"),"",INDEX(B2347:B$2,-1+SUMPRODUCT(MAX(ROW(E2347:E$2)*(E2348=E2347:E$2)))))</f>
        <v> </v>
      </c>
      <c r="J2348" s="25" t="str">
        <f>IF(OR(E2348="",E2348="!!!",F2348="NEW"),"",COUNTBLANK(OFFSET(A$1,,,SUMPRODUCT(MAX(ROW(E$2:E2348)*(E2348=E$2:E2348)))))-COUNTBLANK(OFFSET(A$1,,,SUMPRODUCT(MAX(ROW(E$1:E2347)*(E2=E$1:E2347))))))</f>
        <v> </v>
      </c>
      <c r="K2348" s="25" t="str">
        <f>IF(OR(E2348="",E2348="!!!",F2348="NEW"),"",INDEX(J$1:J2347,SUMPRODUCT(MAX(ROW(E$1:E2347)*(E2348=E$1:E2347)))))</f>
        <v> </v>
      </c>
      <c r="L2348" s="26"/>
    </row>
    <row r="2349" spans="1:12">
      <c r="A2349" s="20" t="s">
        <v>565</v>
      </c>
      <c r="E2349" s="21">
        <f>IF(D2349="?OLD","!!!","")</f>
        <v/>
      </c>
      <c r="F2349" s="22" t="str">
        <f>IF(OR(E2349="",E2349="!!!"),"",IF(NOT(ISNA(VLOOKUP(E2349,E$1:E2348,1,FALSE()))),"OLD",IF(AND(E2349&lt;&gt;"",E2349&lt;&gt;"!!!"),"NEW","")))</f>
        <v> </v>
      </c>
      <c r="G2349" s="23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4" t="str">
        <f>IF(J2349&lt;&gt;1,"",IF(I2349="SBJ","CB","?"))</f>
        <v> </v>
      </c>
      <c r="I2349" s="25" t="str">
        <f>IF(OR(E2349="",E2349="!!!",F2349="NEW"),"",INDEX(B2348:B$2,-1+SUMPRODUCT(MAX(ROW(E2348:E$2)*(E2349=E2348:E$2)))))</f>
        <v> </v>
      </c>
      <c r="J2349" s="25" t="str">
        <f>IF(OR(E2349="",E2349="!!!",F2349="NEW"),"",COUNTBLANK(OFFSET(A$1,,,SUMPRODUCT(MAX(ROW(E$2:E2349)*(E2349=E$2:E2349)))))-COUNTBLANK(OFFSET(A$1,,,SUMPRODUCT(MAX(ROW(E$1:E2348)*(E2=E$1:E2348))))))</f>
        <v> </v>
      </c>
      <c r="K2349" s="25" t="str">
        <f>IF(OR(E2349="",E2349="!!!",F2349="NEW"),"",INDEX(J$1:J2348,SUMPRODUCT(MAX(ROW(E$1:E2348)*(E2349=E$1:E2348)))))</f>
        <v> </v>
      </c>
      <c r="L2349" s="26"/>
    </row>
    <row r="2350" spans="1:12">
      <c r="A2350" s="20" t="s">
        <v>230</v>
      </c>
      <c r="E2350" s="21">
        <f>IF(D2350="?OLD","!!!","")</f>
        <v/>
      </c>
      <c r="F2350" s="22" t="str">
        <f>IF(OR(E2350="",E2350="!!!"),"",IF(NOT(ISNA(VLOOKUP(E2350,E$1:E2349,1,FALSE()))),"OLD",IF(AND(E2350&lt;&gt;"",E2350&lt;&gt;"!!!"),"NEW","")))</f>
        <v> </v>
      </c>
      <c r="G2350" s="23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4" t="str">
        <f>IF(J2350&lt;&gt;1,"",IF(I2350="SBJ","CB","?"))</f>
        <v> </v>
      </c>
      <c r="I2350" s="25" t="str">
        <f>IF(OR(E2350="",E2350="!!!",F2350="NEW"),"",INDEX(B2349:B$2,-1+SUMPRODUCT(MAX(ROW(E2349:E$2)*(E2350=E2349:E$2)))))</f>
        <v> </v>
      </c>
      <c r="J2350" s="25" t="str">
        <f>IF(OR(E2350="",E2350="!!!",F2350="NEW"),"",COUNTBLANK(OFFSET(A$1,,,SUMPRODUCT(MAX(ROW(E$2:E2350)*(E2350=E$2:E2350)))))-COUNTBLANK(OFFSET(A$1,,,SUMPRODUCT(MAX(ROW(E$1:E2349)*(E2=E$1:E2349))))))</f>
        <v> </v>
      </c>
      <c r="K2350" s="25" t="str">
        <f>IF(OR(E2350="",E2350="!!!",F2350="NEW"),"",INDEX(J$1:J2349,SUMPRODUCT(MAX(ROW(E$1:E2349)*(E2350=E$1:E2349)))))</f>
        <v> </v>
      </c>
      <c r="L2350" s="26"/>
    </row>
    <row r="2351" spans="1:12">
      <c r="A2351" s="20" t="s">
        <v>631</v>
      </c>
      <c r="E2351" s="21">
        <f>IF(D2351="?OLD","!!!","")</f>
        <v/>
      </c>
      <c r="F2351" s="22" t="str">
        <f>IF(OR(E2351="",E2351="!!!"),"",IF(NOT(ISNA(VLOOKUP(E2351,E$1:E2350,1,FALSE()))),"OLD",IF(AND(E2351&lt;&gt;"",E2351&lt;&gt;"!!!"),"NEW","")))</f>
        <v> </v>
      </c>
      <c r="G2351" s="23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4" t="str">
        <f>IF(J2351&lt;&gt;1,"",IF(I2351="SBJ","CB","?"))</f>
        <v> </v>
      </c>
      <c r="I2351" s="25" t="str">
        <f>IF(OR(E2351="",E2351="!!!",F2351="NEW"),"",INDEX(B2350:B$2,-1+SUMPRODUCT(MAX(ROW(E2350:E$2)*(E2351=E2350:E$2)))))</f>
        <v> </v>
      </c>
      <c r="J2351" s="25" t="str">
        <f>IF(OR(E2351="",E2351="!!!",F2351="NEW"),"",COUNTBLANK(OFFSET(A$1,,,SUMPRODUCT(MAX(ROW(E$2:E2351)*(E2351=E$2:E2351)))))-COUNTBLANK(OFFSET(A$1,,,SUMPRODUCT(MAX(ROW(E$1:E2350)*(E2=E$1:E2350))))))</f>
        <v> </v>
      </c>
      <c r="K2351" s="25" t="str">
        <f>IF(OR(E2351="",E2351="!!!",F2351="NEW"),"",INDEX(J$1:J2350,SUMPRODUCT(MAX(ROW(E$1:E2350)*(E2351=E$1:E2350)))))</f>
        <v> </v>
      </c>
      <c r="L2351" s="26"/>
    </row>
    <row r="2352" spans="1:12">
      <c r="A2352" s="20" t="s">
        <v>518</v>
      </c>
      <c r="E2352" s="21">
        <f>IF(D2352="?OLD","!!!","")</f>
        <v/>
      </c>
      <c r="F2352" s="22" t="str">
        <f>IF(OR(E2352="",E2352="!!!"),"",IF(NOT(ISNA(VLOOKUP(E2352,E$1:E2351,1,FALSE()))),"OLD",IF(AND(E2352&lt;&gt;"",E2352&lt;&gt;"!!!"),"NEW","")))</f>
        <v> </v>
      </c>
      <c r="G2352" s="23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4" t="str">
        <f>IF(J2352&lt;&gt;1,"",IF(I2352="SBJ","CB","?"))</f>
        <v> </v>
      </c>
      <c r="I2352" s="25" t="str">
        <f>IF(OR(E2352="",E2352="!!!",F2352="NEW"),"",INDEX(B2351:B$2,-1+SUMPRODUCT(MAX(ROW(E2351:E$2)*(E2352=E2351:E$2)))))</f>
        <v> </v>
      </c>
      <c r="J2352" s="25" t="str">
        <f>IF(OR(E2352="",E2352="!!!",F2352="NEW"),"",COUNTBLANK(OFFSET(A$1,,,SUMPRODUCT(MAX(ROW(E$2:E2352)*(E2352=E$2:E2352)))))-COUNTBLANK(OFFSET(A$1,,,SUMPRODUCT(MAX(ROW(E$1:E2351)*(E2=E$1:E2351))))))</f>
        <v> </v>
      </c>
      <c r="K2352" s="25" t="str">
        <f>IF(OR(E2352="",E2352="!!!",F2352="NEW"),"",INDEX(J$1:J2351,SUMPRODUCT(MAX(ROW(E$1:E2351)*(E2352=E$1:E2351)))))</f>
        <v> </v>
      </c>
      <c r="L2352" s="26"/>
    </row>
    <row r="2353" spans="1:12">
      <c r="A2353" s="20" t="s">
        <v>1362</v>
      </c>
      <c r="E2353" s="21">
        <f>IF(D2353="?OLD","!!!","")</f>
        <v/>
      </c>
      <c r="F2353" s="22" t="str">
        <f>IF(OR(E2353="",E2353="!!!"),"",IF(NOT(ISNA(VLOOKUP(E2353,E$1:E2352,1,FALSE()))),"OLD",IF(AND(E2353&lt;&gt;"",E2353&lt;&gt;"!!!"),"NEW","")))</f>
        <v> </v>
      </c>
      <c r="G2353" s="23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4" t="str">
        <f>IF(J2353&lt;&gt;1,"",IF(I2353="SBJ","CB","?"))</f>
        <v> </v>
      </c>
      <c r="I2353" s="25" t="str">
        <f>IF(OR(E2353="",E2353="!!!",F2353="NEW"),"",INDEX(B2352:B$2,-1+SUMPRODUCT(MAX(ROW(E2352:E$2)*(E2353=E2352:E$2)))))</f>
        <v> </v>
      </c>
      <c r="J2353" s="25" t="str">
        <f>IF(OR(E2353="",E2353="!!!",F2353="NEW"),"",COUNTBLANK(OFFSET(A$1,,,SUMPRODUCT(MAX(ROW(E$2:E2353)*(E2353=E$2:E2353)))))-COUNTBLANK(OFFSET(A$1,,,SUMPRODUCT(MAX(ROW(E$1:E2352)*(E2=E$1:E2352))))))</f>
        <v> </v>
      </c>
      <c r="K2353" s="25" t="str">
        <f>IF(OR(E2353="",E2353="!!!",F2353="NEW"),"",INDEX(J$1:J2352,SUMPRODUCT(MAX(ROW(E$1:E2352)*(E2353=E$1:E2352)))))</f>
        <v> </v>
      </c>
      <c r="L2353" s="26"/>
    </row>
    <row r="2354" spans="1:12">
      <c r="A2354" s="20" t="s">
        <v>549</v>
      </c>
      <c r="E2354" s="21">
        <f>IF(D2354="?OLD","!!!","")</f>
        <v/>
      </c>
      <c r="F2354" s="22" t="str">
        <f>IF(OR(E2354="",E2354="!!!"),"",IF(NOT(ISNA(VLOOKUP(E2354,E$1:E2353,1,FALSE()))),"OLD",IF(AND(E2354&lt;&gt;"",E2354&lt;&gt;"!!!"),"NEW","")))</f>
        <v> </v>
      </c>
      <c r="G2354" s="23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4" t="str">
        <f>IF(J2354&lt;&gt;1,"",IF(I2354="SBJ","CB","?"))</f>
        <v> </v>
      </c>
      <c r="I2354" s="25" t="str">
        <f>IF(OR(E2354="",E2354="!!!",F2354="NEW"),"",INDEX(B2353:B$2,-1+SUMPRODUCT(MAX(ROW(E2353:E$2)*(E2354=E2353:E$2)))))</f>
        <v> </v>
      </c>
      <c r="J2354" s="25" t="str">
        <f>IF(OR(E2354="",E2354="!!!",F2354="NEW"),"",COUNTBLANK(OFFSET(A$1,,,SUMPRODUCT(MAX(ROW(E$2:E2354)*(E2354=E$2:E2354)))))-COUNTBLANK(OFFSET(A$1,,,SUMPRODUCT(MAX(ROW(E$1:E2353)*(E2=E$1:E2353))))))</f>
        <v> </v>
      </c>
      <c r="K2354" s="25" t="str">
        <f>IF(OR(E2354="",E2354="!!!",F2354="NEW"),"",INDEX(J$1:J2353,SUMPRODUCT(MAX(ROW(E$1:E2353)*(E2354=E$1:E2353)))))</f>
        <v> </v>
      </c>
      <c r="L2354" s="26"/>
    </row>
    <row r="2355" spans="1:12">
      <c r="A2355" s="20"/>
    </row>
    <row r="2356" spans="1:12">
      <c r="A2356" s="20" t="s">
        <v>1363</v>
      </c>
    </row>
    <row r="2357" spans="1:12">
      <c r="A2357" s="20" t="s">
        <v>1153</v>
      </c>
      <c r="E2357" s="21">
        <f>IF(D2357="?OLD","!!!","")</f>
        <v/>
      </c>
      <c r="F2357" s="22" t="str">
        <f>IF(OR(E2357="",E2357="!!!"),"",IF(NOT(ISNA(VLOOKUP(E2357,E$1:E2356,1,FALSE()))),"OLD",IF(AND(E2357&lt;&gt;"",E2357&lt;&gt;"!!!"),"NEW","")))</f>
        <v> </v>
      </c>
      <c r="G2357" s="23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4" t="str">
        <f>IF(J2357&lt;&gt;1,"",IF(I2357="SBJ","CB","?"))</f>
        <v> </v>
      </c>
      <c r="I2357" s="25" t="str">
        <f>IF(OR(E2357="",E2357="!!!",F2357="NEW"),"",INDEX(B2356:B$2,-1+SUMPRODUCT(MAX(ROW(E2356:E$2)*(E2357=E2356:E$2)))))</f>
        <v> </v>
      </c>
      <c r="J2357" s="25" t="str">
        <f>IF(OR(E2357="",E2357="!!!",F2357="NEW"),"",COUNTBLANK(OFFSET(A$1,,,SUMPRODUCT(MAX(ROW(E$2:E2357)*(E2357=E$2:E2357)))))-COUNTBLANK(OFFSET(A$1,,,SUMPRODUCT(MAX(ROW(E$1:E2356)*(E2=E$1:E2356))))))</f>
        <v> </v>
      </c>
      <c r="K2357" s="25" t="str">
        <f>IF(OR(E2357="",E2357="!!!",F2357="NEW"),"",INDEX(J$1:J2356,SUMPRODUCT(MAX(ROW(E$1:E2356)*(E2357=E$1:E2356)))))</f>
        <v> </v>
      </c>
      <c r="L2357" s="26"/>
    </row>
    <row r="2358" spans="1:12">
      <c r="A2358" s="20" t="s">
        <v>1364</v>
      </c>
      <c r="B2358" s="27" t="s">
        <v>743</v>
      </c>
      <c r="C2358" s="27" t="s">
        <v>564</v>
      </c>
      <c r="E2358" s="21">
        <f>IF(D2358="?OLD","!!!","")</f>
        <v/>
      </c>
      <c r="F2358" s="22" t="str">
        <f>IF(OR(E2358="",E2358="!!!"),"",IF(NOT(ISNA(VLOOKUP(E2358,E$1:E2357,1,FALSE()))),"OLD",IF(AND(E2358&lt;&gt;"",E2358&lt;&gt;"!!!"),"NEW","")))</f>
        <v> </v>
      </c>
      <c r="G2358" s="23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4" t="str">
        <f>IF(J2358&lt;&gt;1,"",IF(I2358="SBJ","CB","?"))</f>
        <v> </v>
      </c>
      <c r="I2358" s="25" t="str">
        <f>IF(OR(E2358="",E2358="!!!",F2358="NEW"),"",INDEX(B2357:B$2,-1+SUMPRODUCT(MAX(ROW(E2357:E$2)*(E2358=E2357:E$2)))))</f>
        <v> </v>
      </c>
      <c r="J2358" s="25" t="str">
        <f>IF(OR(E2358="",E2358="!!!",F2358="NEW"),"",COUNTBLANK(OFFSET(A$1,,,SUMPRODUCT(MAX(ROW(E$2:E2358)*(E2358=E$2:E2358)))))-COUNTBLANK(OFFSET(A$1,,,SUMPRODUCT(MAX(ROW(E$1:E2357)*(E2=E$1:E2357))))))</f>
        <v> </v>
      </c>
      <c r="K2358" s="25" t="str">
        <f>IF(OR(E2358="",E2358="!!!",F2358="NEW"),"",INDEX(J$1:J2357,SUMPRODUCT(MAX(ROW(E$1:E2357)*(E2358=E$1:E2357)))))</f>
        <v> </v>
      </c>
      <c r="L2358" s="26"/>
    </row>
    <row r="2359" spans="1:12">
      <c r="A2359" s="20" t="s">
        <v>518</v>
      </c>
      <c r="E2359" s="21">
        <f>IF(D2359="?OLD","!!!","")</f>
        <v/>
      </c>
      <c r="F2359" s="22" t="str">
        <f>IF(OR(E2359="",E2359="!!!"),"",IF(NOT(ISNA(VLOOKUP(E2359,E$1:E2358,1,FALSE()))),"OLD",IF(AND(E2359&lt;&gt;"",E2359&lt;&gt;"!!!"),"NEW","")))</f>
        <v> </v>
      </c>
      <c r="G2359" s="23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4" t="str">
        <f>IF(J2359&lt;&gt;1,"",IF(I2359="SBJ","CB","?"))</f>
        <v> </v>
      </c>
      <c r="I2359" s="25" t="str">
        <f>IF(OR(E2359="",E2359="!!!",F2359="NEW"),"",INDEX(B2358:B$2,-1+SUMPRODUCT(MAX(ROW(E2358:E$2)*(E2359=E2358:E$2)))))</f>
        <v> </v>
      </c>
      <c r="J2359" s="25" t="str">
        <f>IF(OR(E2359="",E2359="!!!",F2359="NEW"),"",COUNTBLANK(OFFSET(A$1,,,SUMPRODUCT(MAX(ROW(E$2:E2359)*(E2359=E$2:E2359)))))-COUNTBLANK(OFFSET(A$1,,,SUMPRODUCT(MAX(ROW(E$1:E2358)*(E2=E$1:E2358))))))</f>
        <v> </v>
      </c>
      <c r="K2359" s="25" t="str">
        <f>IF(OR(E2359="",E2359="!!!",F2359="NEW"),"",INDEX(J$1:J2358,SUMPRODUCT(MAX(ROW(E$1:E2358)*(E2359=E$1:E2358)))))</f>
        <v> </v>
      </c>
      <c r="L2359" s="26"/>
    </row>
    <row r="2360" spans="1:12">
      <c r="A2360" s="20" t="s">
        <v>528</v>
      </c>
      <c r="E2360" s="21">
        <f>IF(D2360="?OLD","!!!","")</f>
        <v/>
      </c>
      <c r="F2360" s="22" t="str">
        <f>IF(OR(E2360="",E2360="!!!"),"",IF(NOT(ISNA(VLOOKUP(E2360,E$1:E2359,1,FALSE()))),"OLD",IF(AND(E2360&lt;&gt;"",E2360&lt;&gt;"!!!"),"NEW","")))</f>
        <v> </v>
      </c>
      <c r="G2360" s="23" t="str">
        <f>IF(OR(E2360="",E2360="!!!"),"",IF(OR(J2360=0,AND(J2360=1,K2360=1),AND(J2360=1,I2360="SBJ"),AND(J2360=1,I2360=0)),"?IN_FOCUS",IF(J2360&lt;=2,"?ACTIVATED",IF(J2360&lt;&gt;"","?FAMILIAR",IF(F2360="NEW",IF(ISNA(VLOOKUP(E2360,#REF!,1,FALSE())),"?TYPE_IDENTIFIABLE","?REFERENTIAL"),"_")))))</f>
        <v> </v>
      </c>
      <c r="H2360" s="24" t="str">
        <f>IF(J2360&lt;&gt;1,"",IF(I2360="SBJ","CB","?"))</f>
        <v> </v>
      </c>
      <c r="I2360" s="25" t="str">
        <f>IF(OR(E2360="",E2360="!!!",F2360="NEW"),"",INDEX(B2359:B$2,-1+SUMPRODUCT(MAX(ROW(E2359:E$2)*(E2360=E2359:E$2)))))</f>
        <v> </v>
      </c>
      <c r="J2360" s="25" t="str">
        <f>IF(OR(E2360="",E2360="!!!",F2360="NEW"),"",COUNTBLANK(OFFSET(A$1,,,SUMPRODUCT(MAX(ROW(E$2:E2360)*(E2360=E$2:E2360)))))-COUNTBLANK(OFFSET(A$1,,,SUMPRODUCT(MAX(ROW(E$1:E2359)*(E2=E$1:E2359))))))</f>
        <v> </v>
      </c>
      <c r="K2360" s="25" t="str">
        <f>IF(OR(E2360="",E2360="!!!",F2360="NEW"),"",INDEX(J$1:J2359,SUMPRODUCT(MAX(ROW(E$1:E2359)*(E2360=E$1:E2359)))))</f>
        <v> </v>
      </c>
      <c r="L2360" s="26"/>
    </row>
    <row r="2361" spans="1:12">
      <c r="A2361" s="20" t="s">
        <v>571</v>
      </c>
      <c r="E2361" s="21">
        <f>IF(D2361="?OLD","!!!","")</f>
        <v/>
      </c>
      <c r="F2361" s="22" t="str">
        <f>IF(OR(E2361="",E2361="!!!"),"",IF(NOT(ISNA(VLOOKUP(E2361,E$1:E2360,1,FALSE()))),"OLD",IF(AND(E2361&lt;&gt;"",E2361&lt;&gt;"!!!"),"NEW","")))</f>
        <v> </v>
      </c>
      <c r="G2361" s="23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4" t="str">
        <f>IF(J2361&lt;&gt;1,"",IF(I2361="SBJ","CB","?"))</f>
        <v> </v>
      </c>
      <c r="I2361" s="25" t="str">
        <f>IF(OR(E2361="",E2361="!!!",F2361="NEW"),"",INDEX(B2360:B$2,-1+SUMPRODUCT(MAX(ROW(E2360:E$2)*(E2361=E2360:E$2)))))</f>
        <v> </v>
      </c>
      <c r="J2361" s="25" t="str">
        <f>IF(OR(E2361="",E2361="!!!",F2361="NEW"),"",COUNTBLANK(OFFSET(A$1,,,SUMPRODUCT(MAX(ROW(E$2:E2361)*(E2361=E$2:E2361)))))-COUNTBLANK(OFFSET(A$1,,,SUMPRODUCT(MAX(ROW(E$1:E2360)*(E2=E$1:E2360))))))</f>
        <v> </v>
      </c>
      <c r="K2361" s="25" t="str">
        <f>IF(OR(E2361="",E2361="!!!",F2361="NEW"),"",INDEX(J$1:J2360,SUMPRODUCT(MAX(ROW(E$1:E2360)*(E2361=E$1:E2360)))))</f>
        <v> </v>
      </c>
      <c r="L2361" s="26"/>
    </row>
    <row r="2362" spans="1:12">
      <c r="A2362" s="20" t="s">
        <v>1365</v>
      </c>
      <c r="B2362" s="27" t="s">
        <v>633</v>
      </c>
      <c r="C2362" s="27" t="s">
        <v>548</v>
      </c>
      <c r="D2362" s="27" t="s">
        <v>524</v>
      </c>
      <c r="E2362" s="21">
        <f>IF(D2362="?OLD","!!!","")</f>
        <v/>
      </c>
      <c r="F2362" s="22" t="str">
        <f>IF(OR(E2362="",E2362="!!!"),"",IF(NOT(ISNA(VLOOKUP(E2362,E$1:E2361,1,FALSE()))),"OLD",IF(AND(E2362&lt;&gt;"",E2362&lt;&gt;"!!!"),"NEW","")))</f>
        <v> </v>
      </c>
      <c r="G2362" s="23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4" t="str">
        <f>IF(J2362&lt;&gt;1,"",IF(I2362="SBJ","CB","?"))</f>
        <v> </v>
      </c>
      <c r="I2362" s="25" t="str">
        <f>IF(OR(E2362="",E2362="!!!",F2362="NEW"),"",INDEX(B2361:B$2,-1+SUMPRODUCT(MAX(ROW(E2361:E$2)*(E2362=E2361:E$2)))))</f>
        <v> </v>
      </c>
      <c r="J2362" s="25" t="str">
        <f>IF(OR(E2362="",E2362="!!!",F2362="NEW"),"",COUNTBLANK(OFFSET(A$1,,,SUMPRODUCT(MAX(ROW(E$2:E2362)*(E2362=E$2:E2362)))))-COUNTBLANK(OFFSET(A$1,,,SUMPRODUCT(MAX(ROW(E$1:E2361)*(E2=E$1:E2361))))))</f>
        <v> </v>
      </c>
      <c r="K2362" s="25" t="str">
        <f>IF(OR(E2362="",E2362="!!!",F2362="NEW"),"",INDEX(J$1:J2361,SUMPRODUCT(MAX(ROW(E$1:E2361)*(E2362=E$1:E2361)))))</f>
        <v> </v>
      </c>
      <c r="L2362" s="26"/>
    </row>
    <row r="2363" spans="1:12">
      <c r="A2363" s="20" t="s">
        <v>518</v>
      </c>
      <c r="E2363" s="21">
        <f>IF(D2363="?OLD","!!!","")</f>
        <v/>
      </c>
      <c r="F2363" s="22" t="str">
        <f>IF(OR(E2363="",E2363="!!!"),"",IF(NOT(ISNA(VLOOKUP(E2363,E$1:E2362,1,FALSE()))),"OLD",IF(AND(E2363&lt;&gt;"",E2363&lt;&gt;"!!!"),"NEW","")))</f>
        <v> </v>
      </c>
      <c r="G2363" s="23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4" t="str">
        <f>IF(J2363&lt;&gt;1,"",IF(I2363="SBJ","CB","?"))</f>
        <v> </v>
      </c>
      <c r="I2363" s="25" t="str">
        <f>IF(OR(E2363="",E2363="!!!",F2363="NEW"),"",INDEX(B2362:B$2,-1+SUMPRODUCT(MAX(ROW(E2362:E$2)*(E2363=E2362:E$2)))))</f>
        <v> </v>
      </c>
      <c r="J2363" s="25" t="str">
        <f>IF(OR(E2363="",E2363="!!!",F2363="NEW"),"",COUNTBLANK(OFFSET(A$1,,,SUMPRODUCT(MAX(ROW(E$2:E2363)*(E2363=E$2:E2363)))))-COUNTBLANK(OFFSET(A$1,,,SUMPRODUCT(MAX(ROW(E$1:E2362)*(E2=E$1:E2362))))))</f>
        <v> </v>
      </c>
      <c r="K2363" s="25" t="str">
        <f>IF(OR(E2363="",E2363="!!!",F2363="NEW"),"",INDEX(J$1:J2362,SUMPRODUCT(MAX(ROW(E$1:E2362)*(E2363=E$1:E2362)))))</f>
        <v> </v>
      </c>
      <c r="L2363" s="26"/>
    </row>
    <row r="2364" spans="1:12">
      <c r="A2364" s="20" t="s">
        <v>1366</v>
      </c>
      <c r="B2364" s="27" t="s">
        <v>534</v>
      </c>
      <c r="C2364" s="27" t="s">
        <v>548</v>
      </c>
      <c r="D2364" s="27" t="s">
        <v>524</v>
      </c>
      <c r="E2364" s="21">
        <f>IF(D2364="?OLD","!!!","")</f>
        <v/>
      </c>
      <c r="F2364" s="22" t="str">
        <f>IF(OR(E2364="",E2364="!!!"),"",IF(NOT(ISNA(VLOOKUP(E2364,E$1:E2363,1,FALSE()))),"OLD",IF(AND(E2364&lt;&gt;"",E2364&lt;&gt;"!!!"),"NEW","")))</f>
        <v> </v>
      </c>
      <c r="G2364" s="23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4" t="str">
        <f>IF(J2364&lt;&gt;1,"",IF(I2364="SBJ","CB","?"))</f>
        <v> </v>
      </c>
      <c r="I2364" s="25" t="str">
        <f>IF(OR(E2364="",E2364="!!!",F2364="NEW"),"",INDEX(B2363:B$2,-1+SUMPRODUCT(MAX(ROW(E2363:E$2)*(E2364=E2363:E$2)))))</f>
        <v> </v>
      </c>
      <c r="J2364" s="25" t="str">
        <f>IF(OR(E2364="",E2364="!!!",F2364="NEW"),"",COUNTBLANK(OFFSET(A$1,,,SUMPRODUCT(MAX(ROW(E$2:E2364)*(E2364=E$2:E2364)))))-COUNTBLANK(OFFSET(A$1,,,SUMPRODUCT(MAX(ROW(E$1:E2363)*(E2=E$1:E2363))))))</f>
        <v> </v>
      </c>
      <c r="K2364" s="25" t="str">
        <f>IF(OR(E2364="",E2364="!!!",F2364="NEW"),"",INDEX(J$1:J2363,SUMPRODUCT(MAX(ROW(E$1:E2363)*(E2364=E$1:E2363)))))</f>
        <v> </v>
      </c>
      <c r="L2364" s="26"/>
    </row>
    <row r="2365" spans="1:12">
      <c r="A2365" s="20" t="s">
        <v>565</v>
      </c>
      <c r="E2365" s="21">
        <f>IF(D2365="?OLD","!!!","")</f>
        <v/>
      </c>
      <c r="F2365" s="22" t="str">
        <f>IF(OR(E2365="",E2365="!!!"),"",IF(NOT(ISNA(VLOOKUP(E2365,E$1:E2364,1,FALSE()))),"OLD",IF(AND(E2365&lt;&gt;"",E2365&lt;&gt;"!!!"),"NEW","")))</f>
        <v> </v>
      </c>
      <c r="G2365" s="23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4" t="str">
        <f>IF(J2365&lt;&gt;1,"",IF(I2365="SBJ","CB","?"))</f>
        <v> </v>
      </c>
      <c r="I2365" s="25" t="str">
        <f>IF(OR(E2365="",E2365="!!!",F2365="NEW"),"",INDEX(B2364:B$2,-1+SUMPRODUCT(MAX(ROW(E2364:E$2)*(E2365=E2364:E$2)))))</f>
        <v> </v>
      </c>
      <c r="J2365" s="25" t="str">
        <f>IF(OR(E2365="",E2365="!!!",F2365="NEW"),"",COUNTBLANK(OFFSET(A$1,,,SUMPRODUCT(MAX(ROW(E$2:E2365)*(E2365=E$2:E2365)))))-COUNTBLANK(OFFSET(A$1,,,SUMPRODUCT(MAX(ROW(E$1:E2364)*(E2=E$1:E2364))))))</f>
        <v> </v>
      </c>
      <c r="K2365" s="25" t="str">
        <f>IF(OR(E2365="",E2365="!!!",F2365="NEW"),"",INDEX(J$1:J2364,SUMPRODUCT(MAX(ROW(E$1:E2364)*(E2365=E$1:E2364)))))</f>
        <v> </v>
      </c>
      <c r="L2365" s="26"/>
    </row>
    <row r="2366" spans="1:12">
      <c r="A2366" s="20" t="s">
        <v>531</v>
      </c>
      <c r="E2366" s="21">
        <f>IF(D2366="?OLD","!!!","")</f>
        <v/>
      </c>
      <c r="F2366" s="22" t="str">
        <f>IF(OR(E2366="",E2366="!!!"),"",IF(NOT(ISNA(VLOOKUP(E2366,E$1:E2365,1,FALSE()))),"OLD",IF(AND(E2366&lt;&gt;"",E2366&lt;&gt;"!!!"),"NEW","")))</f>
        <v> </v>
      </c>
      <c r="G2366" s="23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4" t="str">
        <f>IF(J2366&lt;&gt;1,"",IF(I2366="SBJ","CB","?"))</f>
        <v> </v>
      </c>
      <c r="I2366" s="25" t="str">
        <f>IF(OR(E2366="",E2366="!!!",F2366="NEW"),"",INDEX(B2365:B$2,-1+SUMPRODUCT(MAX(ROW(E2365:E$2)*(E2366=E2365:E$2)))))</f>
        <v> </v>
      </c>
      <c r="J2366" s="25" t="str">
        <f>IF(OR(E2366="",E2366="!!!",F2366="NEW"),"",COUNTBLANK(OFFSET(A$1,,,SUMPRODUCT(MAX(ROW(E$2:E2366)*(E2366=E$2:E2366)))))-COUNTBLANK(OFFSET(A$1,,,SUMPRODUCT(MAX(ROW(E$1:E2365)*(E2=E$1:E2365))))))</f>
        <v> </v>
      </c>
      <c r="K2366" s="25" t="str">
        <f>IF(OR(E2366="",E2366="!!!",F2366="NEW"),"",INDEX(J$1:J2365,SUMPRODUCT(MAX(ROW(E$1:E2365)*(E2366=E$1:E2365)))))</f>
        <v> </v>
      </c>
      <c r="L2366" s="26"/>
    </row>
    <row r="2367" spans="1:12">
      <c r="A2367" s="20" t="s">
        <v>1367</v>
      </c>
      <c r="E2367" s="21">
        <f>IF(D2367="?OLD","!!!","")</f>
        <v/>
      </c>
      <c r="F2367" s="22" t="str">
        <f>IF(OR(E2367="",E2367="!!!"),"",IF(NOT(ISNA(VLOOKUP(E2367,E$1:E2366,1,FALSE()))),"OLD",IF(AND(E2367&lt;&gt;"",E2367&lt;&gt;"!!!"),"NEW","")))</f>
        <v> </v>
      </c>
      <c r="G2367" s="23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4" t="str">
        <f>IF(J2367&lt;&gt;1,"",IF(I2367="SBJ","CB","?"))</f>
        <v> </v>
      </c>
      <c r="I2367" s="25" t="str">
        <f>IF(OR(E2367="",E2367="!!!",F2367="NEW"),"",INDEX(B2366:B$2,-1+SUMPRODUCT(MAX(ROW(E2366:E$2)*(E2367=E2366:E$2)))))</f>
        <v> </v>
      </c>
      <c r="J2367" s="25" t="str">
        <f>IF(OR(E2367="",E2367="!!!",F2367="NEW"),"",COUNTBLANK(OFFSET(A$1,,,SUMPRODUCT(MAX(ROW(E$2:E2367)*(E2367=E$2:E2367)))))-COUNTBLANK(OFFSET(A$1,,,SUMPRODUCT(MAX(ROW(E$1:E2366)*(E2=E$1:E2366))))))</f>
        <v> </v>
      </c>
      <c r="K2367" s="25" t="str">
        <f>IF(OR(E2367="",E2367="!!!",F2367="NEW"),"",INDEX(J$1:J2366,SUMPRODUCT(MAX(ROW(E$1:E2366)*(E2367=E$1:E2366)))))</f>
        <v> </v>
      </c>
      <c r="L2367" s="26"/>
    </row>
    <row r="2368" spans="1:12">
      <c r="A2368" s="20" t="s">
        <v>518</v>
      </c>
      <c r="E2368" s="21">
        <f>IF(D2368="?OLD","!!!","")</f>
        <v/>
      </c>
      <c r="F2368" s="22" t="str">
        <f>IF(OR(E2368="",E2368="!!!"),"",IF(NOT(ISNA(VLOOKUP(E2368,E$1:E2367,1,FALSE()))),"OLD",IF(AND(E2368&lt;&gt;"",E2368&lt;&gt;"!!!"),"NEW","")))</f>
        <v> </v>
      </c>
      <c r="G2368" s="23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4" t="str">
        <f>IF(J2368&lt;&gt;1,"",IF(I2368="SBJ","CB","?"))</f>
        <v> </v>
      </c>
      <c r="I2368" s="25" t="str">
        <f>IF(OR(E2368="",E2368="!!!",F2368="NEW"),"",INDEX(B2367:B$2,-1+SUMPRODUCT(MAX(ROW(E2367:E$2)*(E2368=E2367:E$2)))))</f>
        <v> </v>
      </c>
      <c r="J2368" s="25" t="str">
        <f>IF(OR(E2368="",E2368="!!!",F2368="NEW"),"",COUNTBLANK(OFFSET(A$1,,,SUMPRODUCT(MAX(ROW(E$2:E2368)*(E2368=E$2:E2368)))))-COUNTBLANK(OFFSET(A$1,,,SUMPRODUCT(MAX(ROW(E$1:E2367)*(E2=E$1:E2367))))))</f>
        <v> </v>
      </c>
      <c r="K2368" s="25" t="str">
        <f>IF(OR(E2368="",E2368="!!!",F2368="NEW"),"",INDEX(J$1:J2367,SUMPRODUCT(MAX(ROW(E$1:E2367)*(E2368=E$1:E2367)))))</f>
        <v> </v>
      </c>
      <c r="L2368" s="26"/>
    </row>
    <row r="2369" spans="1:12">
      <c r="A2369" s="20" t="s">
        <v>1368</v>
      </c>
      <c r="E2369" s="21">
        <f>IF(D2369="?OLD","!!!","")</f>
        <v/>
      </c>
      <c r="F2369" s="22" t="str">
        <f>IF(OR(E2369="",E2369="!!!"),"",IF(NOT(ISNA(VLOOKUP(E2369,E$1:E2368,1,FALSE()))),"OLD",IF(AND(E2369&lt;&gt;"",E2369&lt;&gt;"!!!"),"NEW","")))</f>
        <v> </v>
      </c>
      <c r="G2369" s="23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4" t="str">
        <f>IF(J2369&lt;&gt;1,"",IF(I2369="SBJ","CB","?"))</f>
        <v> </v>
      </c>
      <c r="I2369" s="25" t="str">
        <f>IF(OR(E2369="",E2369="!!!",F2369="NEW"),"",INDEX(B2368:B$2,-1+SUMPRODUCT(MAX(ROW(E2368:E$2)*(E2369=E2368:E$2)))))</f>
        <v> </v>
      </c>
      <c r="J2369" s="25" t="str">
        <f>IF(OR(E2369="",E2369="!!!",F2369="NEW"),"",COUNTBLANK(OFFSET(A$1,,,SUMPRODUCT(MAX(ROW(E$2:E2369)*(E2369=E$2:E2369)))))-COUNTBLANK(OFFSET(A$1,,,SUMPRODUCT(MAX(ROW(E$1:E2368)*(E2=E$1:E2368))))))</f>
        <v> </v>
      </c>
      <c r="K2369" s="25" t="str">
        <f>IF(OR(E2369="",E2369="!!!",F2369="NEW"),"",INDEX(J$1:J2368,SUMPRODUCT(MAX(ROW(E$1:E2368)*(E2369=E$1:E2368)))))</f>
        <v> </v>
      </c>
      <c r="L2369" s="26"/>
    </row>
    <row r="2370" spans="1:12">
      <c r="A2370" s="20" t="s">
        <v>1369</v>
      </c>
      <c r="E2370" s="21">
        <f>IF(D2370="?OLD","!!!","")</f>
        <v/>
      </c>
      <c r="F2370" s="22" t="str">
        <f>IF(OR(E2370="",E2370="!!!"),"",IF(NOT(ISNA(VLOOKUP(E2370,E$1:E2369,1,FALSE()))),"OLD",IF(AND(E2370&lt;&gt;"",E2370&lt;&gt;"!!!"),"NEW","")))</f>
        <v> </v>
      </c>
      <c r="G2370" s="23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4" t="str">
        <f>IF(J2370&lt;&gt;1,"",IF(I2370="SBJ","CB","?"))</f>
        <v> </v>
      </c>
      <c r="I2370" s="25" t="str">
        <f>IF(OR(E2370="",E2370="!!!",F2370="NEW"),"",INDEX(B2369:B$2,-1+SUMPRODUCT(MAX(ROW(E2369:E$2)*(E2370=E2369:E$2)))))</f>
        <v> </v>
      </c>
      <c r="J2370" s="25" t="str">
        <f>IF(OR(E2370="",E2370="!!!",F2370="NEW"),"",COUNTBLANK(OFFSET(A$1,,,SUMPRODUCT(MAX(ROW(E$2:E2370)*(E2370=E$2:E2370)))))-COUNTBLANK(OFFSET(A$1,,,SUMPRODUCT(MAX(ROW(E$1:E2369)*(E2=E$1:E2369))))))</f>
        <v> </v>
      </c>
      <c r="K2370" s="25" t="str">
        <f>IF(OR(E2370="",E2370="!!!",F2370="NEW"),"",INDEX(J$1:J2369,SUMPRODUCT(MAX(ROW(E$1:E2369)*(E2370=E$1:E2369)))))</f>
        <v> </v>
      </c>
      <c r="L2370" s="26"/>
    </row>
    <row r="2371" spans="1:12">
      <c r="A2371" s="20" t="s">
        <v>683</v>
      </c>
      <c r="B2371" s="27" t="s">
        <v>608</v>
      </c>
      <c r="C2371" s="27" t="s">
        <v>908</v>
      </c>
      <c r="E2371" s="21">
        <f>IF(D2371="?OLD","!!!","")</f>
        <v/>
      </c>
      <c r="F2371" s="22" t="str">
        <f>IF(OR(E2371="",E2371="!!!"),"",IF(NOT(ISNA(VLOOKUP(E2371,E$1:E2370,1,FALSE()))),"OLD",IF(AND(E2371&lt;&gt;"",E2371&lt;&gt;"!!!"),"NEW","")))</f>
        <v> </v>
      </c>
      <c r="G2371" s="23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4" t="str">
        <f>IF(J2371&lt;&gt;1,"",IF(I2371="SBJ","CB","?"))</f>
        <v> </v>
      </c>
      <c r="I2371" s="25" t="str">
        <f>IF(OR(E2371="",E2371="!!!",F2371="NEW"),"",INDEX(B2370:B$2,-1+SUMPRODUCT(MAX(ROW(E2370:E$2)*(E2371=E2370:E$2)))))</f>
        <v> </v>
      </c>
      <c r="J2371" s="25" t="str">
        <f>IF(OR(E2371="",E2371="!!!",F2371="NEW"),"",COUNTBLANK(OFFSET(A$1,,,SUMPRODUCT(MAX(ROW(E$2:E2371)*(E2371=E$2:E2371)))))-COUNTBLANK(OFFSET(A$1,,,SUMPRODUCT(MAX(ROW(E$1:E2370)*(E2=E$1:E2370))))))</f>
        <v> </v>
      </c>
      <c r="K2371" s="25" t="str">
        <f>IF(OR(E2371="",E2371="!!!",F2371="NEW"),"",INDEX(J$1:J2370,SUMPRODUCT(MAX(ROW(E$1:E2370)*(E2371=E$1:E2370)))))</f>
        <v> </v>
      </c>
      <c r="L2371" s="26"/>
    </row>
    <row r="2372" spans="1:12">
      <c r="A2372" s="20" t="s">
        <v>565</v>
      </c>
      <c r="E2372" s="21">
        <f>IF(D2372="?OLD","!!!","")</f>
        <v/>
      </c>
      <c r="F2372" s="22" t="str">
        <f>IF(OR(E2372="",E2372="!!!"),"",IF(NOT(ISNA(VLOOKUP(E2372,E$1:E2371,1,FALSE()))),"OLD",IF(AND(E2372&lt;&gt;"",E2372&lt;&gt;"!!!"),"NEW","")))</f>
        <v> </v>
      </c>
      <c r="G2372" s="23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4" t="str">
        <f>IF(J2372&lt;&gt;1,"",IF(I2372="SBJ","CB","?"))</f>
        <v> </v>
      </c>
      <c r="I2372" s="25" t="str">
        <f>IF(OR(E2372="",E2372="!!!",F2372="NEW"),"",INDEX(B2371:B$2,-1+SUMPRODUCT(MAX(ROW(E2371:E$2)*(E2372=E2371:E$2)))))</f>
        <v> </v>
      </c>
      <c r="J2372" s="25" t="str">
        <f>IF(OR(E2372="",E2372="!!!",F2372="NEW"),"",COUNTBLANK(OFFSET(A$1,,,SUMPRODUCT(MAX(ROW(E$2:E2372)*(E2372=E$2:E2372)))))-COUNTBLANK(OFFSET(A$1,,,SUMPRODUCT(MAX(ROW(E$1:E2371)*(E2=E$1:E2371))))))</f>
        <v> </v>
      </c>
      <c r="K2372" s="25" t="str">
        <f>IF(OR(E2372="",E2372="!!!",F2372="NEW"),"",INDEX(J$1:J2371,SUMPRODUCT(MAX(ROW(E$1:E2371)*(E2372=E$1:E2371)))))</f>
        <v> </v>
      </c>
      <c r="L2372" s="26"/>
    </row>
    <row r="2373" spans="1:12">
      <c r="A2373" s="20" t="s">
        <v>1370</v>
      </c>
      <c r="E2373" s="21">
        <f>IF(D2373="?OLD","!!!","")</f>
        <v/>
      </c>
      <c r="F2373" s="22" t="str">
        <f>IF(OR(E2373="",E2373="!!!"),"",IF(NOT(ISNA(VLOOKUP(E2373,E$1:E2372,1,FALSE()))),"OLD",IF(AND(E2373&lt;&gt;"",E2373&lt;&gt;"!!!"),"NEW","")))</f>
        <v> </v>
      </c>
      <c r="G2373" s="23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4" t="str">
        <f>IF(J2373&lt;&gt;1,"",IF(I2373="SBJ","CB","?"))</f>
        <v> </v>
      </c>
      <c r="I2373" s="25" t="str">
        <f>IF(OR(E2373="",E2373="!!!",F2373="NEW"),"",INDEX(B2372:B$2,-1+SUMPRODUCT(MAX(ROW(E2372:E$2)*(E2373=E2372:E$2)))))</f>
        <v> </v>
      </c>
      <c r="J2373" s="25" t="str">
        <f>IF(OR(E2373="",E2373="!!!",F2373="NEW"),"",COUNTBLANK(OFFSET(A$1,,,SUMPRODUCT(MAX(ROW(E$2:E2373)*(E2373=E$2:E2373)))))-COUNTBLANK(OFFSET(A$1,,,SUMPRODUCT(MAX(ROW(E$1:E2372)*(E2=E$1:E2372))))))</f>
        <v> </v>
      </c>
      <c r="K2373" s="25" t="str">
        <f>IF(OR(E2373="",E2373="!!!",F2373="NEW"),"",INDEX(J$1:J2372,SUMPRODUCT(MAX(ROW(E$1:E2372)*(E2373=E$1:E2372)))))</f>
        <v> </v>
      </c>
      <c r="L2373" s="26"/>
    </row>
    <row r="2374" spans="1:12">
      <c r="A2374" s="20" t="s">
        <v>682</v>
      </c>
      <c r="E2374" s="21">
        <f>IF(D2374="?OLD","!!!","")</f>
        <v/>
      </c>
      <c r="F2374" s="22" t="str">
        <f>IF(OR(E2374="",E2374="!!!"),"",IF(NOT(ISNA(VLOOKUP(E2374,E$1:E2373,1,FALSE()))),"OLD",IF(AND(E2374&lt;&gt;"",E2374&lt;&gt;"!!!"),"NEW","")))</f>
        <v> </v>
      </c>
      <c r="G2374" s="23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4" t="str">
        <f>IF(J2374&lt;&gt;1,"",IF(I2374="SBJ","CB","?"))</f>
        <v> </v>
      </c>
      <c r="I2374" s="25" t="str">
        <f>IF(OR(E2374="",E2374="!!!",F2374="NEW"),"",INDEX(B2373:B$2,-1+SUMPRODUCT(MAX(ROW(E2373:E$2)*(E2374=E2373:E$2)))))</f>
        <v> </v>
      </c>
      <c r="J2374" s="25" t="str">
        <f>IF(OR(E2374="",E2374="!!!",F2374="NEW"),"",COUNTBLANK(OFFSET(A$1,,,SUMPRODUCT(MAX(ROW(E$2:E2374)*(E2374=E$2:E2374)))))-COUNTBLANK(OFFSET(A$1,,,SUMPRODUCT(MAX(ROW(E$1:E2373)*(E2=E$1:E2373))))))</f>
        <v> </v>
      </c>
      <c r="K2374" s="25" t="str">
        <f>IF(OR(E2374="",E2374="!!!",F2374="NEW"),"",INDEX(J$1:J2373,SUMPRODUCT(MAX(ROW(E$1:E2373)*(E2374=E$1:E2373)))))</f>
        <v> </v>
      </c>
      <c r="L2374" s="26"/>
    </row>
    <row r="2375" spans="1:12">
      <c r="A2375" s="20" t="s">
        <v>1371</v>
      </c>
      <c r="B2375" s="27" t="s">
        <v>544</v>
      </c>
      <c r="C2375" s="27" t="s">
        <v>669</v>
      </c>
      <c r="D2375" s="27" t="s">
        <v>524</v>
      </c>
      <c r="E2375" s="21">
        <f>IF(D2375="?OLD","!!!","")</f>
        <v/>
      </c>
      <c r="F2375" s="22" t="str">
        <f>IF(OR(E2375="",E2375="!!!"),"",IF(NOT(ISNA(VLOOKUP(E2375,E$1:E2374,1,FALSE()))),"OLD",IF(AND(E2375&lt;&gt;"",E2375&lt;&gt;"!!!"),"NEW","")))</f>
        <v> </v>
      </c>
      <c r="G2375" s="23" t="str">
        <f>IF(OR(E2375="",E2375="!!!"),"",IF(OR(J2375=0,AND(J2375=1,K2375=1),AND(J2375=1,I2375="SBJ"),AND(J2375=1,I2375=0)),"?IN_FOCUS",IF(J2375&lt;=2,"?ACTIVATED",IF(J2375&lt;&gt;"","?FAMILIAR",IF(F2375="NEW",IF(ISNA(VLOOKUP(E2375,#REF!,1,FALSE())),"?TYPE_IDENTIFIABLE","?REFERENTIAL"),"_")))))</f>
        <v> </v>
      </c>
      <c r="H2375" s="24" t="str">
        <f>IF(J2375&lt;&gt;1,"",IF(I2375="SBJ","CB","?"))</f>
        <v> </v>
      </c>
      <c r="I2375" s="25" t="str">
        <f>IF(OR(E2375="",E2375="!!!",F2375="NEW"),"",INDEX(B2374:B$2,-1+SUMPRODUCT(MAX(ROW(E2374:E$2)*(E2375=E2374:E$2)))))</f>
        <v> </v>
      </c>
      <c r="J2375" s="25" t="str">
        <f>IF(OR(E2375="",E2375="!!!",F2375="NEW"),"",COUNTBLANK(OFFSET(A$1,,,SUMPRODUCT(MAX(ROW(E$2:E2375)*(E2375=E$2:E2375)))))-COUNTBLANK(OFFSET(A$1,,,SUMPRODUCT(MAX(ROW(E$1:E2374)*(E2=E$1:E2374))))))</f>
        <v> </v>
      </c>
      <c r="K2375" s="25" t="str">
        <f>IF(OR(E2375="",E2375="!!!",F2375="NEW"),"",INDEX(J$1:J2374,SUMPRODUCT(MAX(ROW(E$1:E2374)*(E2375=E$1:E2374)))))</f>
        <v> </v>
      </c>
      <c r="L2375" s="26"/>
    </row>
    <row r="2376" spans="1:12">
      <c r="A2376" s="20" t="s">
        <v>1372</v>
      </c>
      <c r="B2376" s="27" t="s">
        <v>667</v>
      </c>
      <c r="C2376" s="27" t="s">
        <v>545</v>
      </c>
      <c r="D2376" s="27" t="s">
        <v>524</v>
      </c>
      <c r="E2376" s="21">
        <f>IF(D2376="?OLD","!!!","")</f>
        <v/>
      </c>
      <c r="F2376" s="22" t="str">
        <f>IF(OR(E2376="",E2376="!!!"),"",IF(NOT(ISNA(VLOOKUP(E2376,E$1:E2375,1,FALSE()))),"OLD",IF(AND(E2376&lt;&gt;"",E2376&lt;&gt;"!!!"),"NEW","")))</f>
        <v> </v>
      </c>
      <c r="G2376" s="23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4" t="str">
        <f>IF(J2376&lt;&gt;1,"",IF(I2376="SBJ","CB","?"))</f>
        <v> </v>
      </c>
      <c r="I2376" s="25" t="str">
        <f>IF(OR(E2376="",E2376="!!!",F2376="NEW"),"",INDEX(B2375:B$2,-1+SUMPRODUCT(MAX(ROW(E2375:E$2)*(E2376=E2375:E$2)))))</f>
        <v> </v>
      </c>
      <c r="J2376" s="25" t="str">
        <f>IF(OR(E2376="",E2376="!!!",F2376="NEW"),"",COUNTBLANK(OFFSET(A$1,,,SUMPRODUCT(MAX(ROW(E$2:E2376)*(E2376=E$2:E2376)))))-COUNTBLANK(OFFSET(A$1,,,SUMPRODUCT(MAX(ROW(E$1:E2375)*(E2=E$1:E2375))))))</f>
        <v> </v>
      </c>
      <c r="K2376" s="25" t="str">
        <f>IF(OR(E2376="",E2376="!!!",F2376="NEW"),"",INDEX(J$1:J2375,SUMPRODUCT(MAX(ROW(E$1:E2375)*(E2376=E$1:E2375)))))</f>
        <v> </v>
      </c>
      <c r="L2376" s="26"/>
    </row>
    <row r="2377" spans="1:12">
      <c r="A2377" s="20" t="s">
        <v>625</v>
      </c>
      <c r="E2377" s="21">
        <f>IF(D2377="?OLD","!!!","")</f>
        <v/>
      </c>
      <c r="F2377" s="22" t="str">
        <f>IF(OR(E2377="",E2377="!!!"),"",IF(NOT(ISNA(VLOOKUP(E2377,E$1:E2376,1,FALSE()))),"OLD",IF(AND(E2377&lt;&gt;"",E2377&lt;&gt;"!!!"),"NEW","")))</f>
        <v> </v>
      </c>
      <c r="G2377" s="23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4" t="str">
        <f>IF(J2377&lt;&gt;1,"",IF(I2377="SBJ","CB","?"))</f>
        <v> </v>
      </c>
      <c r="I2377" s="25" t="str">
        <f>IF(OR(E2377="",E2377="!!!",F2377="NEW"),"",INDEX(B2376:B$2,-1+SUMPRODUCT(MAX(ROW(E2376:E$2)*(E2377=E2376:E$2)))))</f>
        <v> </v>
      </c>
      <c r="J2377" s="25" t="str">
        <f>IF(OR(E2377="",E2377="!!!",F2377="NEW"),"",COUNTBLANK(OFFSET(A$1,,,SUMPRODUCT(MAX(ROW(E$2:E2377)*(E2377=E$2:E2377)))))-COUNTBLANK(OFFSET(A$1,,,SUMPRODUCT(MAX(ROW(E$1:E2376)*(E2=E$1:E2376))))))</f>
        <v> </v>
      </c>
      <c r="K2377" s="25" t="str">
        <f>IF(OR(E2377="",E2377="!!!",F2377="NEW"),"",INDEX(J$1:J2376,SUMPRODUCT(MAX(ROW(E$1:E2376)*(E2377=E$1:E2376)))))</f>
        <v> </v>
      </c>
      <c r="L2377" s="26"/>
    </row>
    <row r="2378" spans="1:12">
      <c r="A2378" s="20" t="s">
        <v>898</v>
      </c>
      <c r="B2378" s="27" t="s">
        <v>544</v>
      </c>
      <c r="C2378" s="27" t="s">
        <v>584</v>
      </c>
      <c r="D2378" s="27" t="s">
        <v>524</v>
      </c>
      <c r="E2378" s="21">
        <f>IF(D2378="?OLD","!!!","")</f>
        <v/>
      </c>
      <c r="F2378" s="22" t="str">
        <f>IF(OR(E2378="",E2378="!!!"),"",IF(NOT(ISNA(VLOOKUP(E2378,E$1:E2377,1,FALSE()))),"OLD",IF(AND(E2378&lt;&gt;"",E2378&lt;&gt;"!!!"),"NEW","")))</f>
        <v> </v>
      </c>
      <c r="G2378" s="23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4" t="str">
        <f>IF(J2378&lt;&gt;1,"",IF(I2378="SBJ","CB","?"))</f>
        <v> </v>
      </c>
      <c r="I2378" s="25" t="str">
        <f>IF(OR(E2378="",E2378="!!!",F2378="NEW"),"",INDEX(B2377:B$2,-1+SUMPRODUCT(MAX(ROW(E2377:E$2)*(E2378=E2377:E$2)))))</f>
        <v> </v>
      </c>
      <c r="J2378" s="25" t="str">
        <f>IF(OR(E2378="",E2378="!!!",F2378="NEW"),"",COUNTBLANK(OFFSET(A$1,,,SUMPRODUCT(MAX(ROW(E$2:E2378)*(E2378=E$2:E2378)))))-COUNTBLANK(OFFSET(A$1,,,SUMPRODUCT(MAX(ROW(E$1:E2377)*(E2=E$1:E2377))))))</f>
        <v> </v>
      </c>
      <c r="K2378" s="25" t="str">
        <f>IF(OR(E2378="",E2378="!!!",F2378="NEW"),"",INDEX(J$1:J2377,SUMPRODUCT(MAX(ROW(E$1:E2377)*(E2378=E$1:E2377)))))</f>
        <v> </v>
      </c>
      <c r="L2378" s="26"/>
    </row>
    <row r="2379" spans="1:12">
      <c r="A2379" s="20" t="s">
        <v>528</v>
      </c>
      <c r="B2379" s="27" t="s">
        <v>529</v>
      </c>
      <c r="E2379" s="21">
        <f>IF(D2379="?OLD","!!!","")</f>
        <v/>
      </c>
      <c r="F2379" s="22" t="str">
        <f>IF(OR(E2379="",E2379="!!!"),"",IF(NOT(ISNA(VLOOKUP(E2379,E$1:E2378,1,FALSE()))),"OLD",IF(AND(E2379&lt;&gt;"",E2379&lt;&gt;"!!!"),"NEW","")))</f>
        <v> </v>
      </c>
      <c r="G2379" s="23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4" t="str">
        <f>IF(J2379&lt;&gt;1,"",IF(I2379="SBJ","CB","?"))</f>
        <v> </v>
      </c>
      <c r="I2379" s="25" t="str">
        <f>IF(OR(E2379="",E2379="!!!",F2379="NEW"),"",INDEX(B2378:B$2,-1+SUMPRODUCT(MAX(ROW(E2378:E$2)*(E2379=E2378:E$2)))))</f>
        <v> </v>
      </c>
      <c r="J2379" s="25" t="str">
        <f>IF(OR(E2379="",E2379="!!!",F2379="NEW"),"",COUNTBLANK(OFFSET(A$1,,,SUMPRODUCT(MAX(ROW(E$2:E2379)*(E2379=E$2:E2379)))))-COUNTBLANK(OFFSET(A$1,,,SUMPRODUCT(MAX(ROW(E$1:E2378)*(E2=E$1:E2378))))))</f>
        <v> </v>
      </c>
      <c r="K2379" s="25" t="str">
        <f>IF(OR(E2379="",E2379="!!!",F2379="NEW"),"",INDEX(J$1:J2378,SUMPRODUCT(MAX(ROW(E$1:E2378)*(E2379=E$1:E2378)))))</f>
        <v> </v>
      </c>
      <c r="L2379" s="26"/>
    </row>
    <row r="2380" spans="1:12">
      <c r="A2380" s="20" t="s">
        <v>1373</v>
      </c>
      <c r="E2380" s="21">
        <f>IF(D2380="?OLD","!!!","")</f>
        <v/>
      </c>
      <c r="F2380" s="22" t="str">
        <f>IF(OR(E2380="",E2380="!!!"),"",IF(NOT(ISNA(VLOOKUP(E2380,E$1:E2379,1,FALSE()))),"OLD",IF(AND(E2380&lt;&gt;"",E2380&lt;&gt;"!!!"),"NEW","")))</f>
        <v> </v>
      </c>
      <c r="G2380" s="23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4" t="str">
        <f>IF(J2380&lt;&gt;1,"",IF(I2380="SBJ","CB","?"))</f>
        <v> </v>
      </c>
      <c r="I2380" s="25" t="str">
        <f>IF(OR(E2380="",E2380="!!!",F2380="NEW"),"",INDEX(B2379:B$2,-1+SUMPRODUCT(MAX(ROW(E2379:E$2)*(E2380=E2379:E$2)))))</f>
        <v> </v>
      </c>
      <c r="J2380" s="25" t="str">
        <f>IF(OR(E2380="",E2380="!!!",F2380="NEW"),"",COUNTBLANK(OFFSET(A$1,,,SUMPRODUCT(MAX(ROW(E$2:E2380)*(E2380=E$2:E2380)))))-COUNTBLANK(OFFSET(A$1,,,SUMPRODUCT(MAX(ROW(E$1:E2379)*(E2=E$1:E2379))))))</f>
        <v> </v>
      </c>
      <c r="K2380" s="25" t="str">
        <f>IF(OR(E2380="",E2380="!!!",F2380="NEW"),"",INDEX(J$1:J2379,SUMPRODUCT(MAX(ROW(E$1:E2379)*(E2380=E$1:E2379)))))</f>
        <v> </v>
      </c>
      <c r="L2380" s="26"/>
    </row>
    <row r="2381" spans="1:12">
      <c r="A2381" s="20" t="s">
        <v>1374</v>
      </c>
      <c r="B2381" s="27" t="s">
        <v>573</v>
      </c>
      <c r="C2381" s="27" t="s">
        <v>564</v>
      </c>
      <c r="E2381" s="21">
        <f>IF(D2381="?OLD","!!!","")</f>
        <v/>
      </c>
      <c r="F2381" s="22" t="str">
        <f>IF(OR(E2381="",E2381="!!!"),"",IF(NOT(ISNA(VLOOKUP(E2381,E$1:E2380,1,FALSE()))),"OLD",IF(AND(E2381&lt;&gt;"",E2381&lt;&gt;"!!!"),"NEW","")))</f>
        <v> </v>
      </c>
      <c r="G2381" s="23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4" t="str">
        <f>IF(J2381&lt;&gt;1,"",IF(I2381="SBJ","CB","?"))</f>
        <v> </v>
      </c>
      <c r="I2381" s="25" t="str">
        <f>IF(OR(E2381="",E2381="!!!",F2381="NEW"),"",INDEX(B2380:B$2,-1+SUMPRODUCT(MAX(ROW(E2380:E$2)*(E2381=E2380:E$2)))))</f>
        <v> </v>
      </c>
      <c r="J2381" s="25" t="str">
        <f>IF(OR(E2381="",E2381="!!!",F2381="NEW"),"",COUNTBLANK(OFFSET(A$1,,,SUMPRODUCT(MAX(ROW(E$2:E2381)*(E2381=E$2:E2381)))))-COUNTBLANK(OFFSET(A$1,,,SUMPRODUCT(MAX(ROW(E$1:E2380)*(E2=E$1:E2380))))))</f>
        <v> </v>
      </c>
      <c r="K2381" s="25" t="str">
        <f>IF(OR(E2381="",E2381="!!!",F2381="NEW"),"",INDEX(J$1:J2380,SUMPRODUCT(MAX(ROW(E$1:E2380)*(E2381=E$1:E2380)))))</f>
        <v> </v>
      </c>
      <c r="L2381" s="26"/>
    </row>
    <row r="2382" spans="1:12">
      <c r="A2382" s="20" t="s">
        <v>1375</v>
      </c>
      <c r="E2382" s="21">
        <f>IF(D2382="?OLD","!!!","")</f>
        <v/>
      </c>
      <c r="F2382" s="22" t="str">
        <f>IF(OR(E2382="",E2382="!!!"),"",IF(NOT(ISNA(VLOOKUP(E2382,E$1:E2381,1,FALSE()))),"OLD",IF(AND(E2382&lt;&gt;"",E2382&lt;&gt;"!!!"),"NEW","")))</f>
        <v> </v>
      </c>
      <c r="G2382" s="23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4" t="str">
        <f>IF(J2382&lt;&gt;1,"",IF(I2382="SBJ","CB","?"))</f>
        <v> </v>
      </c>
      <c r="I2382" s="25" t="str">
        <f>IF(OR(E2382="",E2382="!!!",F2382="NEW"),"",INDEX(B2381:B$2,-1+SUMPRODUCT(MAX(ROW(E2381:E$2)*(E2382=E2381:E$2)))))</f>
        <v> </v>
      </c>
      <c r="J2382" s="25" t="str">
        <f>IF(OR(E2382="",E2382="!!!",F2382="NEW"),"",COUNTBLANK(OFFSET(A$1,,,SUMPRODUCT(MAX(ROW(E$2:E2382)*(E2382=E$2:E2382)))))-COUNTBLANK(OFFSET(A$1,,,SUMPRODUCT(MAX(ROW(E$1:E2381)*(E2=E$1:E2381))))))</f>
        <v> </v>
      </c>
      <c r="K2382" s="25" t="str">
        <f>IF(OR(E2382="",E2382="!!!",F2382="NEW"),"",INDEX(J$1:J2381,SUMPRODUCT(MAX(ROW(E$1:E2381)*(E2382=E$1:E2381)))))</f>
        <v> </v>
      </c>
      <c r="L2382" s="26"/>
    </row>
    <row r="2383" spans="1:12">
      <c r="A2383" s="20" t="s">
        <v>565</v>
      </c>
      <c r="E2383" s="21">
        <f>IF(D2383="?OLD","!!!","")</f>
        <v/>
      </c>
      <c r="F2383" s="22" t="str">
        <f>IF(OR(E2383="",E2383="!!!"),"",IF(NOT(ISNA(VLOOKUP(E2383,E$1:E2382,1,FALSE()))),"OLD",IF(AND(E2383&lt;&gt;"",E2383&lt;&gt;"!!!"),"NEW","")))</f>
        <v> </v>
      </c>
      <c r="G2383" s="23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4" t="str">
        <f>IF(J2383&lt;&gt;1,"",IF(I2383="SBJ","CB","?"))</f>
        <v> </v>
      </c>
      <c r="I2383" s="25" t="str">
        <f>IF(OR(E2383="",E2383="!!!",F2383="NEW"),"",INDEX(B2382:B$2,-1+SUMPRODUCT(MAX(ROW(E2382:E$2)*(E2383=E2382:E$2)))))</f>
        <v> </v>
      </c>
      <c r="J2383" s="25" t="str">
        <f>IF(OR(E2383="",E2383="!!!",F2383="NEW"),"",COUNTBLANK(OFFSET(A$1,,,SUMPRODUCT(MAX(ROW(E$2:E2383)*(E2383=E$2:E2383)))))-COUNTBLANK(OFFSET(A$1,,,SUMPRODUCT(MAX(ROW(E$1:E2382)*(E2=E$1:E2382))))))</f>
        <v> </v>
      </c>
      <c r="K2383" s="25" t="str">
        <f>IF(OR(E2383="",E2383="!!!",F2383="NEW"),"",INDEX(J$1:J2382,SUMPRODUCT(MAX(ROW(E$1:E2382)*(E2383=E$1:E2382)))))</f>
        <v> </v>
      </c>
      <c r="L2383" s="26"/>
    </row>
    <row r="2384" spans="1:12">
      <c r="A2384" s="20" t="s">
        <v>625</v>
      </c>
      <c r="E2384" s="21">
        <f>IF(D2384="?OLD","!!!","")</f>
        <v/>
      </c>
      <c r="F2384" s="22" t="str">
        <f>IF(OR(E2384="",E2384="!!!"),"",IF(NOT(ISNA(VLOOKUP(E2384,E$1:E2383,1,FALSE()))),"OLD",IF(AND(E2384&lt;&gt;"",E2384&lt;&gt;"!!!"),"NEW","")))</f>
        <v> </v>
      </c>
      <c r="G2384" s="23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4" t="str">
        <f>IF(J2384&lt;&gt;1,"",IF(I2384="SBJ","CB","?"))</f>
        <v> </v>
      </c>
      <c r="I2384" s="25" t="str">
        <f>IF(OR(E2384="",E2384="!!!",F2384="NEW"),"",INDEX(B2383:B$2,-1+SUMPRODUCT(MAX(ROW(E2383:E$2)*(E2384=E2383:E$2)))))</f>
        <v> </v>
      </c>
      <c r="J2384" s="25" t="str">
        <f>IF(OR(E2384="",E2384="!!!",F2384="NEW"),"",COUNTBLANK(OFFSET(A$1,,,SUMPRODUCT(MAX(ROW(E$2:E2384)*(E2384=E$2:E2384)))))-COUNTBLANK(OFFSET(A$1,,,SUMPRODUCT(MAX(ROW(E$1:E2383)*(E2=E$1:E2383))))))</f>
        <v> </v>
      </c>
      <c r="K2384" s="25" t="str">
        <f>IF(OR(E2384="",E2384="!!!",F2384="NEW"),"",INDEX(J$1:J2383,SUMPRODUCT(MAX(ROW(E$1:E2383)*(E2384=E$1:E2383)))))</f>
        <v> </v>
      </c>
      <c r="L2384" s="26"/>
    </row>
    <row r="2385" spans="1:12">
      <c r="A2385" s="20" t="s">
        <v>1192</v>
      </c>
      <c r="E2385" s="21">
        <f>IF(D2385="?OLD","!!!","")</f>
        <v/>
      </c>
      <c r="F2385" s="22" t="str">
        <f>IF(OR(E2385="",E2385="!!!"),"",IF(NOT(ISNA(VLOOKUP(E2385,E$1:E2384,1,FALSE()))),"OLD",IF(AND(E2385&lt;&gt;"",E2385&lt;&gt;"!!!"),"NEW","")))</f>
        <v> </v>
      </c>
      <c r="G2385" s="23" t="str">
        <f>IF(OR(E2385="",E2385="!!!"),"",IF(OR(J2385=0,AND(J2385=1,K2385=1),AND(J2385=1,I2385="SBJ"),AND(J2385=1,I2385=0)),"?IN_FOCUS",IF(J2385&lt;=2,"?ACTIVATED",IF(J2385&lt;&gt;"","?FAMILIAR",IF(F2385="NEW",IF(ISNA(VLOOKUP(E2385,#REF!,1,FALSE())),"?TYPE_IDENTIFIABLE","?REFERENTIAL"),"_")))))</f>
        <v> </v>
      </c>
      <c r="H2385" s="24" t="str">
        <f>IF(J2385&lt;&gt;1,"",IF(I2385="SBJ","CB","?"))</f>
        <v> </v>
      </c>
      <c r="I2385" s="25" t="str">
        <f>IF(OR(E2385="",E2385="!!!",F2385="NEW"),"",INDEX(B2384:B$2,-1+SUMPRODUCT(MAX(ROW(E2384:E$2)*(E2385=E2384:E$2)))))</f>
        <v> </v>
      </c>
      <c r="J2385" s="25" t="str">
        <f>IF(OR(E2385="",E2385="!!!",F2385="NEW"),"",COUNTBLANK(OFFSET(A$1,,,SUMPRODUCT(MAX(ROW(E$2:E2385)*(E2385=E$2:E2385)))))-COUNTBLANK(OFFSET(A$1,,,SUMPRODUCT(MAX(ROW(E$1:E2384)*(E2=E$1:E2384))))))</f>
        <v> </v>
      </c>
      <c r="K2385" s="25" t="str">
        <f>IF(OR(E2385="",E2385="!!!",F2385="NEW"),"",INDEX(J$1:J2384,SUMPRODUCT(MAX(ROW(E$1:E2384)*(E2385=E$1:E2384)))))</f>
        <v> </v>
      </c>
      <c r="L2385" s="26"/>
    </row>
    <row r="2386" spans="1:12">
      <c r="A2386" s="20" t="s">
        <v>565</v>
      </c>
      <c r="E2386" s="21">
        <f>IF(D2386="?OLD","!!!","")</f>
        <v/>
      </c>
      <c r="F2386" s="22" t="str">
        <f>IF(OR(E2386="",E2386="!!!"),"",IF(NOT(ISNA(VLOOKUP(E2386,E$1:E2385,1,FALSE()))),"OLD",IF(AND(E2386&lt;&gt;"",E2386&lt;&gt;"!!!"),"NEW","")))</f>
        <v> </v>
      </c>
      <c r="G2386" s="23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4" t="str">
        <f>IF(J2386&lt;&gt;1,"",IF(I2386="SBJ","CB","?"))</f>
        <v> </v>
      </c>
      <c r="I2386" s="25" t="str">
        <f>IF(OR(E2386="",E2386="!!!",F2386="NEW"),"",INDEX(B2385:B$2,-1+SUMPRODUCT(MAX(ROW(E2385:E$2)*(E2386=E2385:E$2)))))</f>
        <v> </v>
      </c>
      <c r="J2386" s="25" t="str">
        <f>IF(OR(E2386="",E2386="!!!",F2386="NEW"),"",COUNTBLANK(OFFSET(A$1,,,SUMPRODUCT(MAX(ROW(E$2:E2386)*(E2386=E$2:E2386)))))-COUNTBLANK(OFFSET(A$1,,,SUMPRODUCT(MAX(ROW(E$1:E2385)*(E2=E$1:E2385))))))</f>
        <v> </v>
      </c>
      <c r="K2386" s="25" t="str">
        <f>IF(OR(E2386="",E2386="!!!",F2386="NEW"),"",INDEX(J$1:J2385,SUMPRODUCT(MAX(ROW(E$1:E2385)*(E2386=E$1:E2385)))))</f>
        <v> </v>
      </c>
      <c r="L2386" s="26"/>
    </row>
    <row r="2387" spans="1:12">
      <c r="A2387" s="20" t="s">
        <v>1376</v>
      </c>
      <c r="E2387" s="21">
        <f>IF(D2387="?OLD","!!!","")</f>
        <v/>
      </c>
      <c r="F2387" s="22" t="str">
        <f>IF(OR(E2387="",E2387="!!!"),"",IF(NOT(ISNA(VLOOKUP(E2387,E$1:E2386,1,FALSE()))),"OLD",IF(AND(E2387&lt;&gt;"",E2387&lt;&gt;"!!!"),"NEW","")))</f>
        <v> </v>
      </c>
      <c r="G2387" s="23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4" t="str">
        <f>IF(J2387&lt;&gt;1,"",IF(I2387="SBJ","CB","?"))</f>
        <v> </v>
      </c>
      <c r="I2387" s="25" t="str">
        <f>IF(OR(E2387="",E2387="!!!",F2387="NEW"),"",INDEX(B2386:B$2,-1+SUMPRODUCT(MAX(ROW(E2386:E$2)*(E2387=E2386:E$2)))))</f>
        <v> </v>
      </c>
      <c r="J2387" s="25" t="str">
        <f>IF(OR(E2387="",E2387="!!!",F2387="NEW"),"",COUNTBLANK(OFFSET(A$1,,,SUMPRODUCT(MAX(ROW(E$2:E2387)*(E2387=E$2:E2387)))))-COUNTBLANK(OFFSET(A$1,,,SUMPRODUCT(MAX(ROW(E$1:E2386)*(E2=E$1:E2386))))))</f>
        <v> </v>
      </c>
      <c r="K2387" s="25" t="str">
        <f>IF(OR(E2387="",E2387="!!!",F2387="NEW"),"",INDEX(J$1:J2386,SUMPRODUCT(MAX(ROW(E$1:E2386)*(E2387=E$1:E2386)))))</f>
        <v> </v>
      </c>
      <c r="L2387" s="26"/>
    </row>
    <row r="2388" spans="1:12">
      <c r="A2388" s="20" t="s">
        <v>528</v>
      </c>
      <c r="E2388" s="21">
        <f>IF(D2388="?OLD","!!!","")</f>
        <v/>
      </c>
      <c r="F2388" s="22" t="str">
        <f>IF(OR(E2388="",E2388="!!!"),"",IF(NOT(ISNA(VLOOKUP(E2388,E$1:E2387,1,FALSE()))),"OLD",IF(AND(E2388&lt;&gt;"",E2388&lt;&gt;"!!!"),"NEW","")))</f>
        <v> </v>
      </c>
      <c r="G2388" s="23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4" t="str">
        <f>IF(J2388&lt;&gt;1,"",IF(I2388="SBJ","CB","?"))</f>
        <v> </v>
      </c>
      <c r="I2388" s="25" t="str">
        <f>IF(OR(E2388="",E2388="!!!",F2388="NEW"),"",INDEX(B2387:B$2,-1+SUMPRODUCT(MAX(ROW(E2387:E$2)*(E2388=E2387:E$2)))))</f>
        <v> </v>
      </c>
      <c r="J2388" s="25" t="str">
        <f>IF(OR(E2388="",E2388="!!!",F2388="NEW"),"",COUNTBLANK(OFFSET(A$1,,,SUMPRODUCT(MAX(ROW(E$2:E2388)*(E2388=E$2:E2388)))))-COUNTBLANK(OFFSET(A$1,,,SUMPRODUCT(MAX(ROW(E$1:E2387)*(E2=E$1:E2387))))))</f>
        <v> </v>
      </c>
      <c r="K2388" s="25" t="str">
        <f>IF(OR(E2388="",E2388="!!!",F2388="NEW"),"",INDEX(J$1:J2387,SUMPRODUCT(MAX(ROW(E$1:E2387)*(E2388=E$1:E2387)))))</f>
        <v> </v>
      </c>
      <c r="L2388" s="26"/>
    </row>
    <row r="2389" spans="1:12">
      <c r="A2389" s="20" t="s">
        <v>542</v>
      </c>
      <c r="E2389" s="21">
        <f>IF(D2389="?OLD","!!!","")</f>
        <v/>
      </c>
      <c r="F2389" s="22" t="str">
        <f>IF(OR(E2389="",E2389="!!!"),"",IF(NOT(ISNA(VLOOKUP(E2389,E$1:E2388,1,FALSE()))),"OLD",IF(AND(E2389&lt;&gt;"",E2389&lt;&gt;"!!!"),"NEW","")))</f>
        <v> </v>
      </c>
      <c r="G2389" s="23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4" t="str">
        <f>IF(J2389&lt;&gt;1,"",IF(I2389="SBJ","CB","?"))</f>
        <v> </v>
      </c>
      <c r="I2389" s="25" t="str">
        <f>IF(OR(E2389="",E2389="!!!",F2389="NEW"),"",INDEX(B2388:B$2,-1+SUMPRODUCT(MAX(ROW(E2388:E$2)*(E2389=E2388:E$2)))))</f>
        <v> </v>
      </c>
      <c r="J2389" s="25" t="str">
        <f>IF(OR(E2389="",E2389="!!!",F2389="NEW"),"",COUNTBLANK(OFFSET(A$1,,,SUMPRODUCT(MAX(ROW(E$2:E2389)*(E2389=E$2:E2389)))))-COUNTBLANK(OFFSET(A$1,,,SUMPRODUCT(MAX(ROW(E$1:E2388)*(E2=E$1:E2388))))))</f>
        <v> </v>
      </c>
      <c r="K2389" s="25" t="str">
        <f>IF(OR(E2389="",E2389="!!!",F2389="NEW"),"",INDEX(J$1:J2388,SUMPRODUCT(MAX(ROW(E$1:E2388)*(E2389=E$1:E2388)))))</f>
        <v> </v>
      </c>
      <c r="L2389" s="26"/>
    </row>
    <row r="2390" spans="1:12">
      <c r="A2390" s="20" t="s">
        <v>961</v>
      </c>
      <c r="B2390" s="27" t="s">
        <v>633</v>
      </c>
      <c r="C2390" s="27" t="s">
        <v>540</v>
      </c>
      <c r="D2390" s="27" t="s">
        <v>524</v>
      </c>
      <c r="E2390" s="21">
        <f>IF(D2390="?OLD","!!!","")</f>
        <v/>
      </c>
      <c r="F2390" s="22" t="str">
        <f>IF(OR(E2390="",E2390="!!!"),"",IF(NOT(ISNA(VLOOKUP(E2390,E$1:E2389,1,FALSE()))),"OLD",IF(AND(E2390&lt;&gt;"",E2390&lt;&gt;"!!!"),"NEW","")))</f>
        <v> </v>
      </c>
      <c r="G2390" s="23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4" t="str">
        <f>IF(J2390&lt;&gt;1,"",IF(I2390="SBJ","CB","?"))</f>
        <v> </v>
      </c>
      <c r="I2390" s="25" t="str">
        <f>IF(OR(E2390="",E2390="!!!",F2390="NEW"),"",INDEX(B2389:B$2,-1+SUMPRODUCT(MAX(ROW(E2389:E$2)*(E2390=E2389:E$2)))))</f>
        <v> </v>
      </c>
      <c r="J2390" s="25" t="str">
        <f>IF(OR(E2390="",E2390="!!!",F2390="NEW"),"",COUNTBLANK(OFFSET(A$1,,,SUMPRODUCT(MAX(ROW(E$2:E2390)*(E2390=E$2:E2390)))))-COUNTBLANK(OFFSET(A$1,,,SUMPRODUCT(MAX(ROW(E$1:E2389)*(E2=E$1:E2389))))))</f>
        <v> </v>
      </c>
      <c r="K2390" s="25" t="str">
        <f>IF(OR(E2390="",E2390="!!!",F2390="NEW"),"",INDEX(J$1:J2389,SUMPRODUCT(MAX(ROW(E$1:E2389)*(E2390=E$1:E2389)))))</f>
        <v> </v>
      </c>
      <c r="L2390" s="26"/>
    </row>
    <row r="2391" spans="1:12">
      <c r="A2391" s="20" t="s">
        <v>518</v>
      </c>
      <c r="E2391" s="21">
        <f>IF(D2391="?OLD","!!!","")</f>
        <v/>
      </c>
      <c r="F2391" s="22" t="str">
        <f>IF(OR(E2391="",E2391="!!!"),"",IF(NOT(ISNA(VLOOKUP(E2391,E$1:E2390,1,FALSE()))),"OLD",IF(AND(E2391&lt;&gt;"",E2391&lt;&gt;"!!!"),"NEW","")))</f>
        <v> </v>
      </c>
      <c r="G2391" s="23" t="str">
        <f>IF(OR(E2391="",E2391="!!!"),"",IF(OR(J2391=0,AND(J2391=1,K2391=1),AND(J2391=1,I2391="SBJ"),AND(J2391=1,I2391=0)),"?IN_FOCUS",IF(J2391&lt;=2,"?ACTIVATED",IF(J2391&lt;&gt;"","?FAMILIAR",IF(F2391="NEW",IF(ISNA(VLOOKUP(E2391,#REF!,1,FALSE())),"?TYPE_IDENTIFIABLE","?REFERENTIAL"),"_")))))</f>
        <v> </v>
      </c>
      <c r="H2391" s="24" t="str">
        <f>IF(J2391&lt;&gt;1,"",IF(I2391="SBJ","CB","?"))</f>
        <v> </v>
      </c>
      <c r="I2391" s="25" t="str">
        <f>IF(OR(E2391="",E2391="!!!",F2391="NEW"),"",INDEX(B2390:B$2,-1+SUMPRODUCT(MAX(ROW(E2390:E$2)*(E2391=E2390:E$2)))))</f>
        <v> </v>
      </c>
      <c r="J2391" s="25" t="str">
        <f>IF(OR(E2391="",E2391="!!!",F2391="NEW"),"",COUNTBLANK(OFFSET(A$1,,,SUMPRODUCT(MAX(ROW(E$2:E2391)*(E2391=E$2:E2391)))))-COUNTBLANK(OFFSET(A$1,,,SUMPRODUCT(MAX(ROW(E$1:E2390)*(E2=E$1:E2390))))))</f>
        <v> </v>
      </c>
      <c r="K2391" s="25" t="str">
        <f>IF(OR(E2391="",E2391="!!!",F2391="NEW"),"",INDEX(J$1:J2390,SUMPRODUCT(MAX(ROW(E$1:E2390)*(E2391=E$1:E2390)))))</f>
        <v> </v>
      </c>
      <c r="L2391" s="26"/>
    </row>
    <row r="2392" spans="1:12">
      <c r="A2392" s="20" t="s">
        <v>1377</v>
      </c>
      <c r="B2392" s="27" t="s">
        <v>534</v>
      </c>
      <c r="C2392" s="27" t="s">
        <v>540</v>
      </c>
      <c r="D2392" s="27" t="s">
        <v>524</v>
      </c>
      <c r="E2392" s="21">
        <f>IF(D2392="?OLD","!!!","")</f>
        <v/>
      </c>
      <c r="F2392" s="22" t="str">
        <f>IF(OR(E2392="",E2392="!!!"),"",IF(NOT(ISNA(VLOOKUP(E2392,E$1:E2391,1,FALSE()))),"OLD",IF(AND(E2392&lt;&gt;"",E2392&lt;&gt;"!!!"),"NEW","")))</f>
        <v> </v>
      </c>
      <c r="G2392" s="23" t="str">
        <f>IF(OR(E2392="",E2392="!!!"),"",IF(OR(J2392=0,AND(J2392=1,K2392=1),AND(J2392=1,I2392="SBJ"),AND(J2392=1,I2392=0)),"?IN_FOCUS",IF(J2392&lt;=2,"?ACTIVATED",IF(J2392&lt;&gt;"","?FAMILIAR",IF(F2392="NEW",IF(ISNA(VLOOKUP(E2392,#REF!,1,FALSE())),"?TYPE_IDENTIFIABLE","?REFERENTIAL"),"_")))))</f>
        <v> </v>
      </c>
      <c r="H2392" s="24" t="str">
        <f>IF(J2392&lt;&gt;1,"",IF(I2392="SBJ","CB","?"))</f>
        <v> </v>
      </c>
      <c r="I2392" s="25" t="str">
        <f>IF(OR(E2392="",E2392="!!!",F2392="NEW"),"",INDEX(B2391:B$2,-1+SUMPRODUCT(MAX(ROW(E2391:E$2)*(E2392=E2391:E$2)))))</f>
        <v> </v>
      </c>
      <c r="J2392" s="25" t="str">
        <f>IF(OR(E2392="",E2392="!!!",F2392="NEW"),"",COUNTBLANK(OFFSET(A$1,,,SUMPRODUCT(MAX(ROW(E$2:E2392)*(E2392=E$2:E2392)))))-COUNTBLANK(OFFSET(A$1,,,SUMPRODUCT(MAX(ROW(E$1:E2391)*(E2=E$1:E2391))))))</f>
        <v> </v>
      </c>
      <c r="K2392" s="25" t="str">
        <f>IF(OR(E2392="",E2392="!!!",F2392="NEW"),"",INDEX(J$1:J2391,SUMPRODUCT(MAX(ROW(E$1:E2391)*(E2392=E$1:E2391)))))</f>
        <v> </v>
      </c>
      <c r="L2392" s="26"/>
    </row>
    <row r="2393" spans="1:12">
      <c r="A2393" s="20" t="s">
        <v>518</v>
      </c>
      <c r="E2393" s="21">
        <f>IF(D2393="?OLD","!!!","")</f>
        <v/>
      </c>
      <c r="F2393" s="22" t="str">
        <f>IF(OR(E2393="",E2393="!!!"),"",IF(NOT(ISNA(VLOOKUP(E2393,E$1:E2392,1,FALSE()))),"OLD",IF(AND(E2393&lt;&gt;"",E2393&lt;&gt;"!!!"),"NEW","")))</f>
        <v> </v>
      </c>
      <c r="G2393" s="23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4" t="str">
        <f>IF(J2393&lt;&gt;1,"",IF(I2393="SBJ","CB","?"))</f>
        <v> </v>
      </c>
      <c r="I2393" s="25" t="str">
        <f>IF(OR(E2393="",E2393="!!!",F2393="NEW"),"",INDEX(B2392:B$2,-1+SUMPRODUCT(MAX(ROW(E2392:E$2)*(E2393=E2392:E$2)))))</f>
        <v> </v>
      </c>
      <c r="J2393" s="25" t="str">
        <f>IF(OR(E2393="",E2393="!!!",F2393="NEW"),"",COUNTBLANK(OFFSET(A$1,,,SUMPRODUCT(MAX(ROW(E$2:E2393)*(E2393=E$2:E2393)))))-COUNTBLANK(OFFSET(A$1,,,SUMPRODUCT(MAX(ROW(E$1:E2392)*(E2=E$1:E2392))))))</f>
        <v> </v>
      </c>
      <c r="K2393" s="25" t="str">
        <f>IF(OR(E2393="",E2393="!!!",F2393="NEW"),"",INDEX(J$1:J2392,SUMPRODUCT(MAX(ROW(E$1:E2392)*(E2393=E$1:E2392)))))</f>
        <v> </v>
      </c>
      <c r="L2393" s="26"/>
    </row>
    <row r="2394" spans="1:12">
      <c r="A2394" s="20" t="s">
        <v>784</v>
      </c>
      <c r="E2394" s="21">
        <f>IF(D2394="?OLD","!!!","")</f>
        <v/>
      </c>
      <c r="F2394" s="22" t="str">
        <f>IF(OR(E2394="",E2394="!!!"),"",IF(NOT(ISNA(VLOOKUP(E2394,E$1:E2393,1,FALSE()))),"OLD",IF(AND(E2394&lt;&gt;"",E2394&lt;&gt;"!!!"),"NEW","")))</f>
        <v> </v>
      </c>
      <c r="G2394" s="23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4" t="str">
        <f>IF(J2394&lt;&gt;1,"",IF(I2394="SBJ","CB","?"))</f>
        <v> </v>
      </c>
      <c r="I2394" s="25" t="str">
        <f>IF(OR(E2394="",E2394="!!!",F2394="NEW"),"",INDEX(B2393:B$2,-1+SUMPRODUCT(MAX(ROW(E2393:E$2)*(E2394=E2393:E$2)))))</f>
        <v> </v>
      </c>
      <c r="J2394" s="25" t="str">
        <f>IF(OR(E2394="",E2394="!!!",F2394="NEW"),"",COUNTBLANK(OFFSET(A$1,,,SUMPRODUCT(MAX(ROW(E$2:E2394)*(E2394=E$2:E2394)))))-COUNTBLANK(OFFSET(A$1,,,SUMPRODUCT(MAX(ROW(E$1:E2393)*(E2=E$1:E2393))))))</f>
        <v> </v>
      </c>
      <c r="K2394" s="25" t="str">
        <f>IF(OR(E2394="",E2394="!!!",F2394="NEW"),"",INDEX(J$1:J2393,SUMPRODUCT(MAX(ROW(E$1:E2393)*(E2394=E$1:E2393)))))</f>
        <v> </v>
      </c>
      <c r="L2394" s="26"/>
    </row>
    <row r="2395" spans="1:12">
      <c r="A2395" s="20" t="s">
        <v>1378</v>
      </c>
      <c r="B2395" s="27" t="s">
        <v>641</v>
      </c>
      <c r="C2395" s="27" t="s">
        <v>637</v>
      </c>
      <c r="D2395" s="27" t="s">
        <v>524</v>
      </c>
      <c r="E2395" s="21">
        <f>IF(D2395="?OLD","!!!","")</f>
        <v/>
      </c>
      <c r="F2395" s="22" t="str">
        <f>IF(OR(E2395="",E2395="!!!"),"",IF(NOT(ISNA(VLOOKUP(E2395,E$1:E2394,1,FALSE()))),"OLD",IF(AND(E2395&lt;&gt;"",E2395&lt;&gt;"!!!"),"NEW","")))</f>
        <v> </v>
      </c>
      <c r="G2395" s="23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4" t="str">
        <f>IF(J2395&lt;&gt;1,"",IF(I2395="SBJ","CB","?"))</f>
        <v> </v>
      </c>
      <c r="I2395" s="25" t="str">
        <f>IF(OR(E2395="",E2395="!!!",F2395="NEW"),"",INDEX(B2394:B$2,-1+SUMPRODUCT(MAX(ROW(E2394:E$2)*(E2395=E2394:E$2)))))</f>
        <v> </v>
      </c>
      <c r="J2395" s="25" t="str">
        <f>IF(OR(E2395="",E2395="!!!",F2395="NEW"),"",COUNTBLANK(OFFSET(A$1,,,SUMPRODUCT(MAX(ROW(E$2:E2395)*(E2395=E$2:E2395)))))-COUNTBLANK(OFFSET(A$1,,,SUMPRODUCT(MAX(ROW(E$1:E2394)*(E2=E$1:E2394))))))</f>
        <v> </v>
      </c>
      <c r="K2395" s="25" t="str">
        <f>IF(OR(E2395="",E2395="!!!",F2395="NEW"),"",INDEX(J$1:J2394,SUMPRODUCT(MAX(ROW(E$1:E2394)*(E2395=E$1:E2394)))))</f>
        <v> </v>
      </c>
      <c r="L2395" s="26"/>
    </row>
    <row r="2396" spans="1:12">
      <c r="A2396" s="20" t="s">
        <v>646</v>
      </c>
      <c r="E2396" s="21">
        <f>IF(D2396="?OLD","!!!","")</f>
        <v/>
      </c>
      <c r="F2396" s="22" t="str">
        <f>IF(OR(E2396="",E2396="!!!"),"",IF(NOT(ISNA(VLOOKUP(E2396,E$1:E2395,1,FALSE()))),"OLD",IF(AND(E2396&lt;&gt;"",E2396&lt;&gt;"!!!"),"NEW","")))</f>
        <v> </v>
      </c>
      <c r="G2396" s="23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4" t="str">
        <f>IF(J2396&lt;&gt;1,"",IF(I2396="SBJ","CB","?"))</f>
        <v> </v>
      </c>
      <c r="I2396" s="25" t="str">
        <f>IF(OR(E2396="",E2396="!!!",F2396="NEW"),"",INDEX(B2395:B$2,-1+SUMPRODUCT(MAX(ROW(E2395:E$2)*(E2396=E2395:E$2)))))</f>
        <v> </v>
      </c>
      <c r="J2396" s="25" t="str">
        <f>IF(OR(E2396="",E2396="!!!",F2396="NEW"),"",COUNTBLANK(OFFSET(A$1,,,SUMPRODUCT(MAX(ROW(E$2:E2396)*(E2396=E$2:E2396)))))-COUNTBLANK(OFFSET(A$1,,,SUMPRODUCT(MAX(ROW(E$1:E2395)*(E2=E$1:E2395))))))</f>
        <v> </v>
      </c>
      <c r="K2396" s="25" t="str">
        <f>IF(OR(E2396="",E2396="!!!",F2396="NEW"),"",INDEX(J$1:J2395,SUMPRODUCT(MAX(ROW(E$1:E2395)*(E2396=E$1:E2395)))))</f>
        <v> </v>
      </c>
      <c r="L2396" s="26"/>
    </row>
    <row r="2397" spans="1:12">
      <c r="A2397" s="20" t="s">
        <v>757</v>
      </c>
      <c r="E2397" s="21">
        <f>IF(D2397="?OLD","!!!","")</f>
        <v/>
      </c>
      <c r="F2397" s="22" t="str">
        <f>IF(OR(E2397="",E2397="!!!"),"",IF(NOT(ISNA(VLOOKUP(E2397,E$1:E2396,1,FALSE()))),"OLD",IF(AND(E2397&lt;&gt;"",E2397&lt;&gt;"!!!"),"NEW","")))</f>
        <v> </v>
      </c>
      <c r="G2397" s="23" t="str">
        <f>IF(OR(E2397="",E2397="!!!"),"",IF(OR(J2397=0,AND(J2397=1,K2397=1),AND(J2397=1,I2397="SBJ"),AND(J2397=1,I2397=0)),"?IN_FOCUS",IF(J2397&lt;=2,"?ACTIVATED",IF(J2397&lt;&gt;"","?FAMILIAR",IF(F2397="NEW",IF(ISNA(VLOOKUP(E2397,#REF!,1,FALSE())),"?TYPE_IDENTIFIABLE","?REFERENTIAL"),"_")))))</f>
        <v> </v>
      </c>
      <c r="H2397" s="24" t="str">
        <f>IF(J2397&lt;&gt;1,"",IF(I2397="SBJ","CB","?"))</f>
        <v> </v>
      </c>
      <c r="I2397" s="25" t="str">
        <f>IF(OR(E2397="",E2397="!!!",F2397="NEW"),"",INDEX(B2396:B$2,-1+SUMPRODUCT(MAX(ROW(E2396:E$2)*(E2397=E2396:E$2)))))</f>
        <v> </v>
      </c>
      <c r="J2397" s="25" t="str">
        <f>IF(OR(E2397="",E2397="!!!",F2397="NEW"),"",COUNTBLANK(OFFSET(A$1,,,SUMPRODUCT(MAX(ROW(E$2:E2397)*(E2397=E$2:E2397)))))-COUNTBLANK(OFFSET(A$1,,,SUMPRODUCT(MAX(ROW(E$1:E2396)*(E2=E$1:E2396))))))</f>
        <v> </v>
      </c>
      <c r="K2397" s="25" t="str">
        <f>IF(OR(E2397="",E2397="!!!",F2397="NEW"),"",INDEX(J$1:J2396,SUMPRODUCT(MAX(ROW(E$1:E2396)*(E2397=E$1:E2396)))))</f>
        <v> </v>
      </c>
      <c r="L2397" s="26"/>
    </row>
    <row r="2398" spans="1:12">
      <c r="A2398" s="20" t="s">
        <v>1249</v>
      </c>
      <c r="E2398" s="21">
        <f>IF(D2398="?OLD","!!!","")</f>
        <v/>
      </c>
      <c r="F2398" s="22" t="str">
        <f>IF(OR(E2398="",E2398="!!!"),"",IF(NOT(ISNA(VLOOKUP(E2398,E$1:E2397,1,FALSE()))),"OLD",IF(AND(E2398&lt;&gt;"",E2398&lt;&gt;"!!!"),"NEW","")))</f>
        <v> </v>
      </c>
      <c r="G2398" s="23" t="str">
        <f>IF(OR(E2398="",E2398="!!!"),"",IF(OR(J2398=0,AND(J2398=1,K2398=1),AND(J2398=1,I2398="SBJ"),AND(J2398=1,I2398=0)),"?IN_FOCUS",IF(J2398&lt;=2,"?ACTIVATED",IF(J2398&lt;&gt;"","?FAMILIAR",IF(F2398="NEW",IF(ISNA(VLOOKUP(E2398,#REF!,1,FALSE())),"?TYPE_IDENTIFIABLE","?REFERENTIAL"),"_")))))</f>
        <v> </v>
      </c>
      <c r="H2398" s="24" t="str">
        <f>IF(J2398&lt;&gt;1,"",IF(I2398="SBJ","CB","?"))</f>
        <v> </v>
      </c>
      <c r="I2398" s="25" t="str">
        <f>IF(OR(E2398="",E2398="!!!",F2398="NEW"),"",INDEX(B2397:B$2,-1+SUMPRODUCT(MAX(ROW(E2397:E$2)*(E2398=E2397:E$2)))))</f>
        <v> </v>
      </c>
      <c r="J2398" s="25" t="str">
        <f>IF(OR(E2398="",E2398="!!!",F2398="NEW"),"",COUNTBLANK(OFFSET(A$1,,,SUMPRODUCT(MAX(ROW(E$2:E2398)*(E2398=E$2:E2398)))))-COUNTBLANK(OFFSET(A$1,,,SUMPRODUCT(MAX(ROW(E$1:E2397)*(E2=E$1:E2397))))))</f>
        <v> </v>
      </c>
      <c r="K2398" s="25" t="str">
        <f>IF(OR(E2398="",E2398="!!!",F2398="NEW"),"",INDEX(J$1:J2397,SUMPRODUCT(MAX(ROW(E$1:E2397)*(E2398=E$1:E2397)))))</f>
        <v> </v>
      </c>
      <c r="L2398" s="26"/>
    </row>
    <row r="2399" spans="1:12">
      <c r="A2399" s="20" t="s">
        <v>541</v>
      </c>
      <c r="E2399" s="21">
        <f>IF(D2399="?OLD","!!!","")</f>
        <v/>
      </c>
      <c r="F2399" s="22" t="str">
        <f>IF(OR(E2399="",E2399="!!!"),"",IF(NOT(ISNA(VLOOKUP(E2399,E$1:E2398,1,FALSE()))),"OLD",IF(AND(E2399&lt;&gt;"",E2399&lt;&gt;"!!!"),"NEW","")))</f>
        <v> </v>
      </c>
      <c r="G2399" s="23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4" t="str">
        <f>IF(J2399&lt;&gt;1,"",IF(I2399="SBJ","CB","?"))</f>
        <v> </v>
      </c>
      <c r="I2399" s="25" t="str">
        <f>IF(OR(E2399="",E2399="!!!",F2399="NEW"),"",INDEX(B2398:B$2,-1+SUMPRODUCT(MAX(ROW(E2398:E$2)*(E2399=E2398:E$2)))))</f>
        <v> </v>
      </c>
      <c r="J2399" s="25" t="str">
        <f>IF(OR(E2399="",E2399="!!!",F2399="NEW"),"",COUNTBLANK(OFFSET(A$1,,,SUMPRODUCT(MAX(ROW(E$2:E2399)*(E2399=E$2:E2399)))))-COUNTBLANK(OFFSET(A$1,,,SUMPRODUCT(MAX(ROW(E$1:E2398)*(E2=E$1:E2398))))))</f>
        <v> </v>
      </c>
      <c r="K2399" s="25" t="str">
        <f>IF(OR(E2399="",E2399="!!!",F2399="NEW"),"",INDEX(J$1:J2398,SUMPRODUCT(MAX(ROW(E$1:E2398)*(E2399=E$1:E2398)))))</f>
        <v> </v>
      </c>
      <c r="L2399" s="26"/>
    </row>
    <row r="2400" spans="1:12">
      <c r="A2400" s="20" t="s">
        <v>542</v>
      </c>
      <c r="E2400" s="21">
        <f>IF(D2400="?OLD","!!!","")</f>
        <v/>
      </c>
      <c r="F2400" s="22" t="str">
        <f>IF(OR(E2400="",E2400="!!!"),"",IF(NOT(ISNA(VLOOKUP(E2400,E$1:E2399,1,FALSE()))),"OLD",IF(AND(E2400&lt;&gt;"",E2400&lt;&gt;"!!!"),"NEW","")))</f>
        <v> </v>
      </c>
      <c r="G2400" s="23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4" t="str">
        <f>IF(J2400&lt;&gt;1,"",IF(I2400="SBJ","CB","?"))</f>
        <v> </v>
      </c>
      <c r="I2400" s="25" t="str">
        <f>IF(OR(E2400="",E2400="!!!",F2400="NEW"),"",INDEX(B2399:B$2,-1+SUMPRODUCT(MAX(ROW(E2399:E$2)*(E2400=E2399:E$2)))))</f>
        <v> </v>
      </c>
      <c r="J2400" s="25" t="str">
        <f>IF(OR(E2400="",E2400="!!!",F2400="NEW"),"",COUNTBLANK(OFFSET(A$1,,,SUMPRODUCT(MAX(ROW(E$2:E2400)*(E2400=E$2:E2400)))))-COUNTBLANK(OFFSET(A$1,,,SUMPRODUCT(MAX(ROW(E$1:E2399)*(E2=E$1:E2399))))))</f>
        <v> </v>
      </c>
      <c r="K2400" s="25" t="str">
        <f>IF(OR(E2400="",E2400="!!!",F2400="NEW"),"",INDEX(J$1:J2399,SUMPRODUCT(MAX(ROW(E$1:E2399)*(E2400=E$1:E2399)))))</f>
        <v> </v>
      </c>
      <c r="L2400" s="26"/>
    </row>
    <row r="2401" spans="1:12">
      <c r="A2401" s="20" t="s">
        <v>1208</v>
      </c>
      <c r="B2401" s="27" t="s">
        <v>544</v>
      </c>
      <c r="C2401" s="27" t="s">
        <v>545</v>
      </c>
      <c r="D2401" s="27" t="s">
        <v>524</v>
      </c>
      <c r="E2401" s="21">
        <f>IF(D2401="?OLD","!!!","")</f>
        <v/>
      </c>
      <c r="F2401" s="22" t="str">
        <f>IF(OR(E2401="",E2401="!!!"),"",IF(NOT(ISNA(VLOOKUP(E2401,E$1:E2400,1,FALSE()))),"OLD",IF(AND(E2401&lt;&gt;"",E2401&lt;&gt;"!!!"),"NEW","")))</f>
        <v> </v>
      </c>
      <c r="G2401" s="23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4" t="str">
        <f>IF(J2401&lt;&gt;1,"",IF(I2401="SBJ","CB","?"))</f>
        <v> </v>
      </c>
      <c r="I2401" s="25" t="str">
        <f>IF(OR(E2401="",E2401="!!!",F2401="NEW"),"",INDEX(B2400:B$2,-1+SUMPRODUCT(MAX(ROW(E2400:E$2)*(E2401=E2400:E$2)))))</f>
        <v> </v>
      </c>
      <c r="J2401" s="25" t="str">
        <f>IF(OR(E2401="",E2401="!!!",F2401="NEW"),"",COUNTBLANK(OFFSET(A$1,,,SUMPRODUCT(MAX(ROW(E$2:E2401)*(E2401=E$2:E2401)))))-COUNTBLANK(OFFSET(A$1,,,SUMPRODUCT(MAX(ROW(E$1:E2400)*(E2=E$1:E2400))))))</f>
        <v> </v>
      </c>
      <c r="K2401" s="25" t="str">
        <f>IF(OR(E2401="",E2401="!!!",F2401="NEW"),"",INDEX(J$1:J2400,SUMPRODUCT(MAX(ROW(E$1:E2400)*(E2401=E$1:E2400)))))</f>
        <v> </v>
      </c>
      <c r="L2401" s="26"/>
    </row>
    <row r="2402" spans="1:12">
      <c r="A2402" s="20" t="s">
        <v>565</v>
      </c>
      <c r="E2402" s="21">
        <f>IF(D2402="?OLD","!!!","")</f>
        <v/>
      </c>
      <c r="F2402" s="22" t="str">
        <f>IF(OR(E2402="",E2402="!!!"),"",IF(NOT(ISNA(VLOOKUP(E2402,E$1:E2401,1,FALSE()))),"OLD",IF(AND(E2402&lt;&gt;"",E2402&lt;&gt;"!!!"),"NEW","")))</f>
        <v> </v>
      </c>
      <c r="G2402" s="23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4" t="str">
        <f>IF(J2402&lt;&gt;1,"",IF(I2402="SBJ","CB","?"))</f>
        <v> </v>
      </c>
      <c r="I2402" s="25" t="str">
        <f>IF(OR(E2402="",E2402="!!!",F2402="NEW"),"",INDEX(B2401:B$2,-1+SUMPRODUCT(MAX(ROW(E2401:E$2)*(E2402=E2401:E$2)))))</f>
        <v> </v>
      </c>
      <c r="J2402" s="25" t="str">
        <f>IF(OR(E2402="",E2402="!!!",F2402="NEW"),"",COUNTBLANK(OFFSET(A$1,,,SUMPRODUCT(MAX(ROW(E$2:E2402)*(E2402=E$2:E2402)))))-COUNTBLANK(OFFSET(A$1,,,SUMPRODUCT(MAX(ROW(E$1:E2401)*(E2=E$1:E2401))))))</f>
        <v> </v>
      </c>
      <c r="K2402" s="25" t="str">
        <f>IF(OR(E2402="",E2402="!!!",F2402="NEW"),"",INDEX(J$1:J2401,SUMPRODUCT(MAX(ROW(E$1:E2401)*(E2402=E$1:E2401)))))</f>
        <v> </v>
      </c>
      <c r="L2402" s="26"/>
    </row>
    <row r="2403" spans="1:12">
      <c r="A2403" s="20" t="s">
        <v>902</v>
      </c>
      <c r="B2403" s="27" t="s">
        <v>633</v>
      </c>
      <c r="C2403" s="27" t="s">
        <v>523</v>
      </c>
      <c r="D2403" s="27" t="s">
        <v>524</v>
      </c>
      <c r="E2403" s="21">
        <f>IF(D2403="?OLD","!!!","")</f>
        <v/>
      </c>
      <c r="F2403" s="22" t="str">
        <f>IF(OR(E2403="",E2403="!!!"),"",IF(NOT(ISNA(VLOOKUP(E2403,E$1:E2402,1,FALSE()))),"OLD",IF(AND(E2403&lt;&gt;"",E2403&lt;&gt;"!!!"),"NEW","")))</f>
        <v> </v>
      </c>
      <c r="G2403" s="23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4" t="str">
        <f>IF(J2403&lt;&gt;1,"",IF(I2403="SBJ","CB","?"))</f>
        <v> </v>
      </c>
      <c r="I2403" s="25" t="str">
        <f>IF(OR(E2403="",E2403="!!!",F2403="NEW"),"",INDEX(B2402:B$2,-1+SUMPRODUCT(MAX(ROW(E2402:E$2)*(E2403=E2402:E$2)))))</f>
        <v> </v>
      </c>
      <c r="J2403" s="25" t="str">
        <f>IF(OR(E2403="",E2403="!!!",F2403="NEW"),"",COUNTBLANK(OFFSET(A$1,,,SUMPRODUCT(MAX(ROW(E$2:E2403)*(E2403=E$2:E2403)))))-COUNTBLANK(OFFSET(A$1,,,SUMPRODUCT(MAX(ROW(E$1:E2402)*(E2=E$1:E2402))))))</f>
        <v> </v>
      </c>
      <c r="K2403" s="25" t="str">
        <f>IF(OR(E2403="",E2403="!!!",F2403="NEW"),"",INDEX(J$1:J2402,SUMPRODUCT(MAX(ROW(E$1:E2402)*(E2403=E$1:E2402)))))</f>
        <v> </v>
      </c>
      <c r="L2403" s="26"/>
    </row>
    <row r="2404" spans="1:12">
      <c r="A2404" s="20" t="s">
        <v>708</v>
      </c>
      <c r="E2404" s="21">
        <f>IF(D2404="?OLD","!!!","")</f>
        <v/>
      </c>
      <c r="F2404" s="22" t="str">
        <f>IF(OR(E2404="",E2404="!!!"),"",IF(NOT(ISNA(VLOOKUP(E2404,E$1:E2403,1,FALSE()))),"OLD",IF(AND(E2404&lt;&gt;"",E2404&lt;&gt;"!!!"),"NEW","")))</f>
        <v> </v>
      </c>
      <c r="G2404" s="23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4" t="str">
        <f>IF(J2404&lt;&gt;1,"",IF(I2404="SBJ","CB","?"))</f>
        <v> </v>
      </c>
      <c r="I2404" s="25" t="str">
        <f>IF(OR(E2404="",E2404="!!!",F2404="NEW"),"",INDEX(B2403:B$2,-1+SUMPRODUCT(MAX(ROW(E2403:E$2)*(E2404=E2403:E$2)))))</f>
        <v> </v>
      </c>
      <c r="J2404" s="25" t="str">
        <f>IF(OR(E2404="",E2404="!!!",F2404="NEW"),"",COUNTBLANK(OFFSET(A$1,,,SUMPRODUCT(MAX(ROW(E$2:E2404)*(E2404=E$2:E2404)))))-COUNTBLANK(OFFSET(A$1,,,SUMPRODUCT(MAX(ROW(E$1:E2403)*(E2=E$1:E2403))))))</f>
        <v> </v>
      </c>
      <c r="K2404" s="25" t="str">
        <f>IF(OR(E2404="",E2404="!!!",F2404="NEW"),"",INDEX(J$1:J2403,SUMPRODUCT(MAX(ROW(E$1:E2403)*(E2404=E$1:E2403)))))</f>
        <v> </v>
      </c>
      <c r="L2404" s="26"/>
    </row>
    <row r="2405" spans="1:12">
      <c r="A2405" s="20" t="s">
        <v>1379</v>
      </c>
      <c r="E2405" s="21">
        <f>IF(D2405="?OLD","!!!","")</f>
        <v/>
      </c>
      <c r="F2405" s="22" t="str">
        <f>IF(OR(E2405="",E2405="!!!"),"",IF(NOT(ISNA(VLOOKUP(E2405,E$1:E2404,1,FALSE()))),"OLD",IF(AND(E2405&lt;&gt;"",E2405&lt;&gt;"!!!"),"NEW","")))</f>
        <v> </v>
      </c>
      <c r="G2405" s="23" t="str">
        <f>IF(OR(E2405="",E2405="!!!"),"",IF(OR(J2405=0,AND(J2405=1,K2405=1),AND(J2405=1,I2405="SBJ"),AND(J2405=1,I2405=0)),"?IN_FOCUS",IF(J2405&lt;=2,"?ACTIVATED",IF(J2405&lt;&gt;"","?FAMILIAR",IF(F2405="NEW",IF(ISNA(VLOOKUP(E2405,#REF!,1,FALSE())),"?TYPE_IDENTIFIABLE","?REFERENTIAL"),"_")))))</f>
        <v> </v>
      </c>
      <c r="H2405" s="24" t="str">
        <f>IF(J2405&lt;&gt;1,"",IF(I2405="SBJ","CB","?"))</f>
        <v> </v>
      </c>
      <c r="I2405" s="25" t="str">
        <f>IF(OR(E2405="",E2405="!!!",F2405="NEW"),"",INDEX(B2404:B$2,-1+SUMPRODUCT(MAX(ROW(E2404:E$2)*(E2405=E2404:E$2)))))</f>
        <v> </v>
      </c>
      <c r="J2405" s="25" t="str">
        <f>IF(OR(E2405="",E2405="!!!",F2405="NEW"),"",COUNTBLANK(OFFSET(A$1,,,SUMPRODUCT(MAX(ROW(E$2:E2405)*(E2405=E$2:E2405)))))-COUNTBLANK(OFFSET(A$1,,,SUMPRODUCT(MAX(ROW(E$1:E2404)*(E2=E$1:E2404))))))</f>
        <v> </v>
      </c>
      <c r="K2405" s="25" t="str">
        <f>IF(OR(E2405="",E2405="!!!",F2405="NEW"),"",INDEX(J$1:J2404,SUMPRODUCT(MAX(ROW(E$1:E2404)*(E2405=E$1:E2404)))))</f>
        <v> </v>
      </c>
      <c r="L2405" s="26"/>
    </row>
    <row r="2406" spans="1:12">
      <c r="A2406" s="20" t="s">
        <v>541</v>
      </c>
      <c r="E2406" s="21">
        <f>IF(D2406="?OLD","!!!","")</f>
        <v/>
      </c>
      <c r="F2406" s="22" t="str">
        <f>IF(OR(E2406="",E2406="!!!"),"",IF(NOT(ISNA(VLOOKUP(E2406,E$1:E2405,1,FALSE()))),"OLD",IF(AND(E2406&lt;&gt;"",E2406&lt;&gt;"!!!"),"NEW","")))</f>
        <v> </v>
      </c>
      <c r="G2406" s="23" t="str">
        <f>IF(OR(E2406="",E2406="!!!"),"",IF(OR(J2406=0,AND(J2406=1,K2406=1),AND(J2406=1,I2406="SBJ"),AND(J2406=1,I2406=0)),"?IN_FOCUS",IF(J2406&lt;=2,"?ACTIVATED",IF(J2406&lt;&gt;"","?FAMILIAR",IF(F2406="NEW",IF(ISNA(VLOOKUP(E2406,#REF!,1,FALSE())),"?TYPE_IDENTIFIABLE","?REFERENTIAL"),"_")))))</f>
        <v> </v>
      </c>
      <c r="H2406" s="24" t="str">
        <f>IF(J2406&lt;&gt;1,"",IF(I2406="SBJ","CB","?"))</f>
        <v> </v>
      </c>
      <c r="I2406" s="25" t="str">
        <f>IF(OR(E2406="",E2406="!!!",F2406="NEW"),"",INDEX(B2405:B$2,-1+SUMPRODUCT(MAX(ROW(E2405:E$2)*(E2406=E2405:E$2)))))</f>
        <v> </v>
      </c>
      <c r="J2406" s="25" t="str">
        <f>IF(OR(E2406="",E2406="!!!",F2406="NEW"),"",COUNTBLANK(OFFSET(A$1,,,SUMPRODUCT(MAX(ROW(E$2:E2406)*(E2406=E$2:E2406)))))-COUNTBLANK(OFFSET(A$1,,,SUMPRODUCT(MAX(ROW(E$1:E2405)*(E2=E$1:E2405))))))</f>
        <v> </v>
      </c>
      <c r="K2406" s="25" t="str">
        <f>IF(OR(E2406="",E2406="!!!",F2406="NEW"),"",INDEX(J$1:J2405,SUMPRODUCT(MAX(ROW(E$1:E2405)*(E2406=E$1:E2405)))))</f>
        <v> </v>
      </c>
      <c r="L2406" s="26"/>
    </row>
    <row r="2407" spans="1:12">
      <c r="A2407" s="20" t="s">
        <v>929</v>
      </c>
      <c r="E2407" s="21">
        <f>IF(D2407="?OLD","!!!","")</f>
        <v/>
      </c>
      <c r="F2407" s="22" t="str">
        <f>IF(OR(E2407="",E2407="!!!"),"",IF(NOT(ISNA(VLOOKUP(E2407,E$1:E2406,1,FALSE()))),"OLD",IF(AND(E2407&lt;&gt;"",E2407&lt;&gt;"!!!"),"NEW","")))</f>
        <v> </v>
      </c>
      <c r="G2407" s="23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4" t="str">
        <f>IF(J2407&lt;&gt;1,"",IF(I2407="SBJ","CB","?"))</f>
        <v> </v>
      </c>
      <c r="I2407" s="25" t="str">
        <f>IF(OR(E2407="",E2407="!!!",F2407="NEW"),"",INDEX(B2406:B$2,-1+SUMPRODUCT(MAX(ROW(E2406:E$2)*(E2407=E2406:E$2)))))</f>
        <v> </v>
      </c>
      <c r="J2407" s="25" t="str">
        <f>IF(OR(E2407="",E2407="!!!",F2407="NEW"),"",COUNTBLANK(OFFSET(A$1,,,SUMPRODUCT(MAX(ROW(E$2:E2407)*(E2407=E$2:E2407)))))-COUNTBLANK(OFFSET(A$1,,,SUMPRODUCT(MAX(ROW(E$1:E2406)*(E2=E$1:E2406))))))</f>
        <v> </v>
      </c>
      <c r="K2407" s="25" t="str">
        <f>IF(OR(E2407="",E2407="!!!",F2407="NEW"),"",INDEX(J$1:J2406,SUMPRODUCT(MAX(ROW(E$1:E2406)*(E2407=E$1:E2406)))))</f>
        <v> </v>
      </c>
      <c r="L2407" s="26"/>
    </row>
    <row r="2408" spans="1:12">
      <c r="A2408" s="20" t="s">
        <v>777</v>
      </c>
      <c r="B2408" s="27" t="s">
        <v>544</v>
      </c>
      <c r="C2408" s="27" t="s">
        <v>637</v>
      </c>
      <c r="D2408" s="27" t="s">
        <v>524</v>
      </c>
      <c r="E2408" s="21">
        <f>IF(D2408="?OLD","!!!","")</f>
        <v/>
      </c>
      <c r="F2408" s="22" t="str">
        <f>IF(OR(E2408="",E2408="!!!"),"",IF(NOT(ISNA(VLOOKUP(E2408,E$1:E2407,1,FALSE()))),"OLD",IF(AND(E2408&lt;&gt;"",E2408&lt;&gt;"!!!"),"NEW","")))</f>
        <v> </v>
      </c>
      <c r="G2408" s="23" t="str">
        <f>IF(OR(E2408="",E2408="!!!"),"",IF(OR(J2408=0,AND(J2408=1,K2408=1),AND(J2408=1,I2408="SBJ"),AND(J2408=1,I2408=0)),"?IN_FOCUS",IF(J2408&lt;=2,"?ACTIVATED",IF(J2408&lt;&gt;"","?FAMILIAR",IF(F2408="NEW",IF(ISNA(VLOOKUP(E2408,#REF!,1,FALSE())),"?TYPE_IDENTIFIABLE","?REFERENTIAL"),"_")))))</f>
        <v> </v>
      </c>
      <c r="H2408" s="24" t="str">
        <f>IF(J2408&lt;&gt;1,"",IF(I2408="SBJ","CB","?"))</f>
        <v> </v>
      </c>
      <c r="I2408" s="25" t="str">
        <f>IF(OR(E2408="",E2408="!!!",F2408="NEW"),"",INDEX(B2407:B$2,-1+SUMPRODUCT(MAX(ROW(E2407:E$2)*(E2408=E2407:E$2)))))</f>
        <v> </v>
      </c>
      <c r="J2408" s="25" t="str">
        <f>IF(OR(E2408="",E2408="!!!",F2408="NEW"),"",COUNTBLANK(OFFSET(A$1,,,SUMPRODUCT(MAX(ROW(E$2:E2408)*(E2408=E$2:E2408)))))-COUNTBLANK(OFFSET(A$1,,,SUMPRODUCT(MAX(ROW(E$1:E2407)*(E2=E$1:E2407))))))</f>
        <v> </v>
      </c>
      <c r="K2408" s="25" t="str">
        <f>IF(OR(E2408="",E2408="!!!",F2408="NEW"),"",INDEX(J$1:J2407,SUMPRODUCT(MAX(ROW(E$1:E2407)*(E2408=E$1:E2407)))))</f>
        <v> </v>
      </c>
      <c r="L2408" s="26"/>
    </row>
    <row r="2409" spans="1:12">
      <c r="A2409" s="20" t="s">
        <v>719</v>
      </c>
      <c r="E2409" s="21">
        <f>IF(D2409="?OLD","!!!","")</f>
        <v/>
      </c>
      <c r="F2409" s="22" t="str">
        <f>IF(OR(E2409="",E2409="!!!"),"",IF(NOT(ISNA(VLOOKUP(E2409,E$1:E2408,1,FALSE()))),"OLD",IF(AND(E2409&lt;&gt;"",E2409&lt;&gt;"!!!"),"NEW","")))</f>
        <v> </v>
      </c>
      <c r="G2409" s="23" t="str">
        <f>IF(OR(E2409="",E2409="!!!"),"",IF(OR(J2409=0,AND(J2409=1,K2409=1),AND(J2409=1,I2409="SBJ"),AND(J2409=1,I2409=0)),"?IN_FOCUS",IF(J2409&lt;=2,"?ACTIVATED",IF(J2409&lt;&gt;"","?FAMILIAR",IF(F2409="NEW",IF(ISNA(VLOOKUP(E2409,#REF!,1,FALSE())),"?TYPE_IDENTIFIABLE","?REFERENTIAL"),"_")))))</f>
        <v> </v>
      </c>
      <c r="H2409" s="24" t="str">
        <f>IF(J2409&lt;&gt;1,"",IF(I2409="SBJ","CB","?"))</f>
        <v> </v>
      </c>
      <c r="I2409" s="25" t="str">
        <f>IF(OR(E2409="",E2409="!!!",F2409="NEW"),"",INDEX(B2408:B$2,-1+SUMPRODUCT(MAX(ROW(E2408:E$2)*(E2409=E2408:E$2)))))</f>
        <v> </v>
      </c>
      <c r="J2409" s="25" t="str">
        <f>IF(OR(E2409="",E2409="!!!",F2409="NEW"),"",COUNTBLANK(OFFSET(A$1,,,SUMPRODUCT(MAX(ROW(E$2:E2409)*(E2409=E$2:E2409)))))-COUNTBLANK(OFFSET(A$1,,,SUMPRODUCT(MAX(ROW(E$1:E2408)*(E2=E$1:E2408))))))</f>
        <v> </v>
      </c>
      <c r="K2409" s="25" t="str">
        <f>IF(OR(E2409="",E2409="!!!",F2409="NEW"),"",INDEX(J$1:J2408,SUMPRODUCT(MAX(ROW(E$1:E2408)*(E2409=E$1:E2408)))))</f>
        <v> </v>
      </c>
      <c r="L2409" s="26"/>
    </row>
    <row r="2410" spans="1:12">
      <c r="A2410" s="20" t="s">
        <v>1380</v>
      </c>
      <c r="E2410" s="21">
        <f>IF(D2410="?OLD","!!!","")</f>
        <v/>
      </c>
      <c r="F2410" s="22" t="str">
        <f>IF(OR(E2410="",E2410="!!!"),"",IF(NOT(ISNA(VLOOKUP(E2410,E$1:E2409,1,FALSE()))),"OLD",IF(AND(E2410&lt;&gt;"",E2410&lt;&gt;"!!!"),"NEW","")))</f>
        <v> </v>
      </c>
      <c r="G2410" s="23" t="str">
        <f>IF(OR(E2410="",E2410="!!!"),"",IF(OR(J2410=0,AND(J2410=1,K2410=1),AND(J2410=1,I2410="SBJ"),AND(J2410=1,I2410=0)),"?IN_FOCUS",IF(J2410&lt;=2,"?ACTIVATED",IF(J2410&lt;&gt;"","?FAMILIAR",IF(F2410="NEW",IF(ISNA(VLOOKUP(E2410,#REF!,1,FALSE())),"?TYPE_IDENTIFIABLE","?REFERENTIAL"),"_")))))</f>
        <v> </v>
      </c>
      <c r="H2410" s="24" t="str">
        <f>IF(J2410&lt;&gt;1,"",IF(I2410="SBJ","CB","?"))</f>
        <v> </v>
      </c>
      <c r="I2410" s="25" t="str">
        <f>IF(OR(E2410="",E2410="!!!",F2410="NEW"),"",INDEX(B2409:B$2,-1+SUMPRODUCT(MAX(ROW(E2409:E$2)*(E2410=E2409:E$2)))))</f>
        <v> </v>
      </c>
      <c r="J2410" s="25" t="str">
        <f>IF(OR(E2410="",E2410="!!!",F2410="NEW"),"",COUNTBLANK(OFFSET(A$1,,,SUMPRODUCT(MAX(ROW(E$2:E2410)*(E2410=E$2:E2410)))))-COUNTBLANK(OFFSET(A$1,,,SUMPRODUCT(MAX(ROW(E$1:E2409)*(E2=E$1:E2409))))))</f>
        <v> </v>
      </c>
      <c r="K2410" s="25" t="str">
        <f>IF(OR(E2410="",E2410="!!!",F2410="NEW"),"",INDEX(J$1:J2409,SUMPRODUCT(MAX(ROW(E$1:E2409)*(E2410=E$1:E2409)))))</f>
        <v> </v>
      </c>
      <c r="L2410" s="26"/>
    </row>
    <row r="2411" spans="1:12">
      <c r="A2411" s="20" t="s">
        <v>625</v>
      </c>
      <c r="E2411" s="21">
        <f>IF(D2411="?OLD","!!!","")</f>
        <v/>
      </c>
      <c r="F2411" s="22" t="str">
        <f>IF(OR(E2411="",E2411="!!!"),"",IF(NOT(ISNA(VLOOKUP(E2411,E$1:E2410,1,FALSE()))),"OLD",IF(AND(E2411&lt;&gt;"",E2411&lt;&gt;"!!!"),"NEW","")))</f>
        <v> </v>
      </c>
      <c r="G2411" s="23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4" t="str">
        <f>IF(J2411&lt;&gt;1,"",IF(I2411="SBJ","CB","?"))</f>
        <v> </v>
      </c>
      <c r="I2411" s="25" t="str">
        <f>IF(OR(E2411="",E2411="!!!",F2411="NEW"),"",INDEX(B2410:B$2,-1+SUMPRODUCT(MAX(ROW(E2410:E$2)*(E2411=E2410:E$2)))))</f>
        <v> </v>
      </c>
      <c r="J2411" s="25" t="str">
        <f>IF(OR(E2411="",E2411="!!!",F2411="NEW"),"",COUNTBLANK(OFFSET(A$1,,,SUMPRODUCT(MAX(ROW(E$2:E2411)*(E2411=E$2:E2411)))))-COUNTBLANK(OFFSET(A$1,,,SUMPRODUCT(MAX(ROW(E$1:E2410)*(E2=E$1:E2410))))))</f>
        <v> </v>
      </c>
      <c r="K2411" s="25" t="str">
        <f>IF(OR(E2411="",E2411="!!!",F2411="NEW"),"",INDEX(J$1:J2410,SUMPRODUCT(MAX(ROW(E$1:E2410)*(E2411=E$1:E2410)))))</f>
        <v> </v>
      </c>
      <c r="L2411" s="26"/>
    </row>
    <row r="2412" spans="1:12">
      <c r="A2412" s="20" t="s">
        <v>1381</v>
      </c>
      <c r="E2412" s="21">
        <f>IF(D2412="?OLD","!!!","")</f>
        <v/>
      </c>
      <c r="F2412" s="22" t="str">
        <f>IF(OR(E2412="",E2412="!!!"),"",IF(NOT(ISNA(VLOOKUP(E2412,E$1:E2411,1,FALSE()))),"OLD",IF(AND(E2412&lt;&gt;"",E2412&lt;&gt;"!!!"),"NEW","")))</f>
        <v> </v>
      </c>
      <c r="G2412" s="23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4" t="str">
        <f>IF(J2412&lt;&gt;1,"",IF(I2412="SBJ","CB","?"))</f>
        <v> </v>
      </c>
      <c r="I2412" s="25" t="str">
        <f>IF(OR(E2412="",E2412="!!!",F2412="NEW"),"",INDEX(B2411:B$2,-1+SUMPRODUCT(MAX(ROW(E2411:E$2)*(E2412=E2411:E$2)))))</f>
        <v> </v>
      </c>
      <c r="J2412" s="25" t="str">
        <f>IF(OR(E2412="",E2412="!!!",F2412="NEW"),"",COUNTBLANK(OFFSET(A$1,,,SUMPRODUCT(MAX(ROW(E$2:E2412)*(E2412=E$2:E2412)))))-COUNTBLANK(OFFSET(A$1,,,SUMPRODUCT(MAX(ROW(E$1:E2411)*(E2=E$1:E2411))))))</f>
        <v> </v>
      </c>
      <c r="K2412" s="25" t="str">
        <f>IF(OR(E2412="",E2412="!!!",F2412="NEW"),"",INDEX(J$1:J2411,SUMPRODUCT(MAX(ROW(E$1:E2411)*(E2412=E$1:E2411)))))</f>
        <v> </v>
      </c>
      <c r="L2412" s="26"/>
    </row>
    <row r="2413" spans="1:12">
      <c r="A2413" s="20" t="s">
        <v>622</v>
      </c>
      <c r="E2413" s="21">
        <f>IF(D2413="?OLD","!!!","")</f>
        <v/>
      </c>
      <c r="F2413" s="22" t="str">
        <f>IF(OR(E2413="",E2413="!!!"),"",IF(NOT(ISNA(VLOOKUP(E2413,E$1:E2412,1,FALSE()))),"OLD",IF(AND(E2413&lt;&gt;"",E2413&lt;&gt;"!!!"),"NEW","")))</f>
        <v> </v>
      </c>
      <c r="G2413" s="23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4" t="str">
        <f>IF(J2413&lt;&gt;1,"",IF(I2413="SBJ","CB","?"))</f>
        <v> </v>
      </c>
      <c r="I2413" s="25" t="str">
        <f>IF(OR(E2413="",E2413="!!!",F2413="NEW"),"",INDEX(B2412:B$2,-1+SUMPRODUCT(MAX(ROW(E2412:E$2)*(E2413=E2412:E$2)))))</f>
        <v> </v>
      </c>
      <c r="J2413" s="25" t="str">
        <f>IF(OR(E2413="",E2413="!!!",F2413="NEW"),"",COUNTBLANK(OFFSET(A$1,,,SUMPRODUCT(MAX(ROW(E$2:E2413)*(E2413=E$2:E2413)))))-COUNTBLANK(OFFSET(A$1,,,SUMPRODUCT(MAX(ROW(E$1:E2412)*(E2=E$1:E2412))))))</f>
        <v> </v>
      </c>
      <c r="K2413" s="25" t="str">
        <f>IF(OR(E2413="",E2413="!!!",F2413="NEW"),"",INDEX(J$1:J2412,SUMPRODUCT(MAX(ROW(E$1:E2412)*(E2413=E$1:E2412)))))</f>
        <v> </v>
      </c>
      <c r="L2413" s="26"/>
    </row>
    <row r="2414" spans="1:12">
      <c r="A2414" s="20" t="s">
        <v>1382</v>
      </c>
      <c r="E2414" s="21">
        <f>IF(D2414="?OLD","!!!","")</f>
        <v/>
      </c>
      <c r="F2414" s="22" t="str">
        <f>IF(OR(E2414="",E2414="!!!"),"",IF(NOT(ISNA(VLOOKUP(E2414,E$1:E2413,1,FALSE()))),"OLD",IF(AND(E2414&lt;&gt;"",E2414&lt;&gt;"!!!"),"NEW","")))</f>
        <v> </v>
      </c>
      <c r="G2414" s="23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4" t="str">
        <f>IF(J2414&lt;&gt;1,"",IF(I2414="SBJ","CB","?"))</f>
        <v> </v>
      </c>
      <c r="I2414" s="25" t="str">
        <f>IF(OR(E2414="",E2414="!!!",F2414="NEW"),"",INDEX(B2413:B$2,-1+SUMPRODUCT(MAX(ROW(E2413:E$2)*(E2414=E2413:E$2)))))</f>
        <v> </v>
      </c>
      <c r="J2414" s="25" t="str">
        <f>IF(OR(E2414="",E2414="!!!",F2414="NEW"),"",COUNTBLANK(OFFSET(A$1,,,SUMPRODUCT(MAX(ROW(E$2:E2414)*(E2414=E$2:E2414)))))-COUNTBLANK(OFFSET(A$1,,,SUMPRODUCT(MAX(ROW(E$1:E2413)*(E2=E$1:E2413))))))</f>
        <v> </v>
      </c>
      <c r="K2414" s="25" t="str">
        <f>IF(OR(E2414="",E2414="!!!",F2414="NEW"),"",INDEX(J$1:J2413,SUMPRODUCT(MAX(ROW(E$1:E2413)*(E2414=E$1:E2413)))))</f>
        <v> </v>
      </c>
      <c r="L2414" s="26"/>
    </row>
    <row r="2415" spans="1:12">
      <c r="A2415" s="20" t="s">
        <v>1383</v>
      </c>
      <c r="E2415" s="21">
        <f>IF(D2415="?OLD","!!!","")</f>
        <v/>
      </c>
      <c r="F2415" s="22" t="str">
        <f>IF(OR(E2415="",E2415="!!!"),"",IF(NOT(ISNA(VLOOKUP(E2415,E$1:E2414,1,FALSE()))),"OLD",IF(AND(E2415&lt;&gt;"",E2415&lt;&gt;"!!!"),"NEW","")))</f>
        <v> </v>
      </c>
      <c r="G2415" s="23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4" t="str">
        <f>IF(J2415&lt;&gt;1,"",IF(I2415="SBJ","CB","?"))</f>
        <v> </v>
      </c>
      <c r="I2415" s="25" t="str">
        <f>IF(OR(E2415="",E2415="!!!",F2415="NEW"),"",INDEX(B2414:B$2,-1+SUMPRODUCT(MAX(ROW(E2414:E$2)*(E2415=E2414:E$2)))))</f>
        <v> </v>
      </c>
      <c r="J2415" s="25" t="str">
        <f>IF(OR(E2415="",E2415="!!!",F2415="NEW"),"",COUNTBLANK(OFFSET(A$1,,,SUMPRODUCT(MAX(ROW(E$2:E2415)*(E2415=E$2:E2415)))))-COUNTBLANK(OFFSET(A$1,,,SUMPRODUCT(MAX(ROW(E$1:E2414)*(E2=E$1:E2414))))))</f>
        <v> </v>
      </c>
      <c r="K2415" s="25" t="str">
        <f>IF(OR(E2415="",E2415="!!!",F2415="NEW"),"",INDEX(J$1:J2414,SUMPRODUCT(MAX(ROW(E$1:E2414)*(E2415=E$1:E2414)))))</f>
        <v> </v>
      </c>
      <c r="L2415" s="26"/>
    </row>
    <row r="2416" spans="1:12">
      <c r="A2416" s="20" t="s">
        <v>719</v>
      </c>
      <c r="E2416" s="21">
        <f>IF(D2416="?OLD","!!!","")</f>
        <v/>
      </c>
      <c r="F2416" s="22" t="str">
        <f>IF(OR(E2416="",E2416="!!!"),"",IF(NOT(ISNA(VLOOKUP(E2416,E$1:E2415,1,FALSE()))),"OLD",IF(AND(E2416&lt;&gt;"",E2416&lt;&gt;"!!!"),"NEW","")))</f>
        <v> </v>
      </c>
      <c r="G2416" s="23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4" t="str">
        <f>IF(J2416&lt;&gt;1,"",IF(I2416="SBJ","CB","?"))</f>
        <v> </v>
      </c>
      <c r="I2416" s="25" t="str">
        <f>IF(OR(E2416="",E2416="!!!",F2416="NEW"),"",INDEX(B2415:B$2,-1+SUMPRODUCT(MAX(ROW(E2415:E$2)*(E2416=E2415:E$2)))))</f>
        <v> </v>
      </c>
      <c r="J2416" s="25" t="str">
        <f>IF(OR(E2416="",E2416="!!!",F2416="NEW"),"",COUNTBLANK(OFFSET(A$1,,,SUMPRODUCT(MAX(ROW(E$2:E2416)*(E2416=E$2:E2416)))))-COUNTBLANK(OFFSET(A$1,,,SUMPRODUCT(MAX(ROW(E$1:E2415)*(E2=E$1:E2415))))))</f>
        <v> </v>
      </c>
      <c r="K2416" s="25" t="str">
        <f>IF(OR(E2416="",E2416="!!!",F2416="NEW"),"",INDEX(J$1:J2415,SUMPRODUCT(MAX(ROW(E$1:E2415)*(E2416=E$1:E2415)))))</f>
        <v> </v>
      </c>
      <c r="L2416" s="26"/>
    </row>
    <row r="2417" spans="1:12">
      <c r="A2417" s="20" t="s">
        <v>1384</v>
      </c>
      <c r="B2417" s="27" t="s">
        <v>597</v>
      </c>
      <c r="C2417" s="27" t="s">
        <v>564</v>
      </c>
      <c r="E2417" s="21">
        <f>IF(D2417="?OLD","!!!","")</f>
        <v/>
      </c>
      <c r="F2417" s="22" t="str">
        <f>IF(OR(E2417="",E2417="!!!"),"",IF(NOT(ISNA(VLOOKUP(E2417,E$1:E2416,1,FALSE()))),"OLD",IF(AND(E2417&lt;&gt;"",E2417&lt;&gt;"!!!"),"NEW","")))</f>
        <v> </v>
      </c>
      <c r="G2417" s="23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4" t="str">
        <f>IF(J2417&lt;&gt;1,"",IF(I2417="SBJ","CB","?"))</f>
        <v> </v>
      </c>
      <c r="I2417" s="25" t="str">
        <f>IF(OR(E2417="",E2417="!!!",F2417="NEW"),"",INDEX(B2416:B$2,-1+SUMPRODUCT(MAX(ROW(E2416:E$2)*(E2417=E2416:E$2)))))</f>
        <v> </v>
      </c>
      <c r="J2417" s="25" t="str">
        <f>IF(OR(E2417="",E2417="!!!",F2417="NEW"),"",COUNTBLANK(OFFSET(A$1,,,SUMPRODUCT(MAX(ROW(E$2:E2417)*(E2417=E$2:E2417)))))-COUNTBLANK(OFFSET(A$1,,,SUMPRODUCT(MAX(ROW(E$1:E2416)*(E2=E$1:E2416))))))</f>
        <v> </v>
      </c>
      <c r="K2417" s="25" t="str">
        <f>IF(OR(E2417="",E2417="!!!",F2417="NEW"),"",INDEX(J$1:J2416,SUMPRODUCT(MAX(ROW(E$1:E2416)*(E2417=E$1:E2416)))))</f>
        <v> </v>
      </c>
      <c r="L2417" s="26"/>
    </row>
    <row r="2418" spans="1:12">
      <c r="A2418" s="20" t="s">
        <v>625</v>
      </c>
      <c r="E2418" s="21">
        <f>IF(D2418="?OLD","!!!","")</f>
        <v/>
      </c>
      <c r="F2418" s="22" t="str">
        <f>IF(OR(E2418="",E2418="!!!"),"",IF(NOT(ISNA(VLOOKUP(E2418,E$1:E2417,1,FALSE()))),"OLD",IF(AND(E2418&lt;&gt;"",E2418&lt;&gt;"!!!"),"NEW","")))</f>
        <v> </v>
      </c>
      <c r="G2418" s="23" t="str">
        <f>IF(OR(E2418="",E2418="!!!"),"",IF(OR(J2418=0,AND(J2418=1,K2418=1),AND(J2418=1,I2418="SBJ"),AND(J2418=1,I2418=0)),"?IN_FOCUS",IF(J2418&lt;=2,"?ACTIVATED",IF(J2418&lt;&gt;"","?FAMILIAR",IF(F2418="NEW",IF(ISNA(VLOOKUP(E2418,#REF!,1,FALSE())),"?TYPE_IDENTIFIABLE","?REFERENTIAL"),"_")))))</f>
        <v> </v>
      </c>
      <c r="H2418" s="24" t="str">
        <f>IF(J2418&lt;&gt;1,"",IF(I2418="SBJ","CB","?"))</f>
        <v> </v>
      </c>
      <c r="I2418" s="25" t="str">
        <f>IF(OR(E2418="",E2418="!!!",F2418="NEW"),"",INDEX(B2417:B$2,-1+SUMPRODUCT(MAX(ROW(E2417:E$2)*(E2418=E2417:E$2)))))</f>
        <v> </v>
      </c>
      <c r="J2418" s="25" t="str">
        <f>IF(OR(E2418="",E2418="!!!",F2418="NEW"),"",COUNTBLANK(OFFSET(A$1,,,SUMPRODUCT(MAX(ROW(E$2:E2418)*(E2418=E$2:E2418)))))-COUNTBLANK(OFFSET(A$1,,,SUMPRODUCT(MAX(ROW(E$1:E2417)*(E2=E$1:E2417))))))</f>
        <v> </v>
      </c>
      <c r="K2418" s="25" t="str">
        <f>IF(OR(E2418="",E2418="!!!",F2418="NEW"),"",INDEX(J$1:J2417,SUMPRODUCT(MAX(ROW(E$1:E2417)*(E2418=E$1:E2417)))))</f>
        <v> </v>
      </c>
      <c r="L2418" s="26"/>
    </row>
    <row r="2419" spans="1:12">
      <c r="A2419" s="20" t="s">
        <v>1385</v>
      </c>
      <c r="B2419" s="27" t="s">
        <v>544</v>
      </c>
      <c r="C2419" s="27" t="s">
        <v>564</v>
      </c>
      <c r="E2419" s="21">
        <f>IF(D2419="?OLD","!!!","")</f>
        <v/>
      </c>
      <c r="F2419" s="22" t="str">
        <f>IF(OR(E2419="",E2419="!!!"),"",IF(NOT(ISNA(VLOOKUP(E2419,E$1:E2418,1,FALSE()))),"OLD",IF(AND(E2419&lt;&gt;"",E2419&lt;&gt;"!!!"),"NEW","")))</f>
        <v> </v>
      </c>
      <c r="G2419" s="23" t="str">
        <f>IF(OR(E2419="",E2419="!!!"),"",IF(OR(J2419=0,AND(J2419=1,K2419=1),AND(J2419=1,I2419="SBJ"),AND(J2419=1,I2419=0)),"?IN_FOCUS",IF(J2419&lt;=2,"?ACTIVATED",IF(J2419&lt;&gt;"","?FAMILIAR",IF(F2419="NEW",IF(ISNA(VLOOKUP(E2419,#REF!,1,FALSE())),"?TYPE_IDENTIFIABLE","?REFERENTIAL"),"_")))))</f>
        <v> </v>
      </c>
      <c r="H2419" s="24" t="str">
        <f>IF(J2419&lt;&gt;1,"",IF(I2419="SBJ","CB","?"))</f>
        <v> </v>
      </c>
      <c r="I2419" s="25" t="str">
        <f>IF(OR(E2419="",E2419="!!!",F2419="NEW"),"",INDEX(B2418:B$2,-1+SUMPRODUCT(MAX(ROW(E2418:E$2)*(E2419=E2418:E$2)))))</f>
        <v> </v>
      </c>
      <c r="J2419" s="25" t="str">
        <f>IF(OR(E2419="",E2419="!!!",F2419="NEW"),"",COUNTBLANK(OFFSET(A$1,,,SUMPRODUCT(MAX(ROW(E$2:E2419)*(E2419=E$2:E2419)))))-COUNTBLANK(OFFSET(A$1,,,SUMPRODUCT(MAX(ROW(E$1:E2418)*(E2=E$1:E2418))))))</f>
        <v> </v>
      </c>
      <c r="K2419" s="25" t="str">
        <f>IF(OR(E2419="",E2419="!!!",F2419="NEW"),"",INDEX(J$1:J2418,SUMPRODUCT(MAX(ROW(E$1:E2418)*(E2419=E$1:E2418)))))</f>
        <v> </v>
      </c>
      <c r="L2419" s="26"/>
    </row>
    <row r="2420" spans="1:12">
      <c r="A2420" s="20" t="s">
        <v>549</v>
      </c>
      <c r="E2420" s="21">
        <f>IF(D2420="?OLD","!!!","")</f>
        <v/>
      </c>
      <c r="F2420" s="22" t="str">
        <f>IF(OR(E2420="",E2420="!!!"),"",IF(NOT(ISNA(VLOOKUP(E2420,E$1:E2419,1,FALSE()))),"OLD",IF(AND(E2420&lt;&gt;"",E2420&lt;&gt;"!!!"),"NEW","")))</f>
        <v> </v>
      </c>
      <c r="G2420" s="23" t="str">
        <f>IF(OR(E2420="",E2420="!!!"),"",IF(OR(J2420=0,AND(J2420=1,K2420=1),AND(J2420=1,I2420="SBJ"),AND(J2420=1,I2420=0)),"?IN_FOCUS",IF(J2420&lt;=2,"?ACTIVATED",IF(J2420&lt;&gt;"","?FAMILIAR",IF(F2420="NEW",IF(ISNA(VLOOKUP(E2420,#REF!,1,FALSE())),"?TYPE_IDENTIFIABLE","?REFERENTIAL"),"_")))))</f>
        <v> </v>
      </c>
      <c r="H2420" s="24" t="str">
        <f>IF(J2420&lt;&gt;1,"",IF(I2420="SBJ","CB","?"))</f>
        <v> </v>
      </c>
      <c r="I2420" s="25" t="str">
        <f>IF(OR(E2420="",E2420="!!!",F2420="NEW"),"",INDEX(B2419:B$2,-1+SUMPRODUCT(MAX(ROW(E2419:E$2)*(E2420=E2419:E$2)))))</f>
        <v> </v>
      </c>
      <c r="J2420" s="25" t="str">
        <f>IF(OR(E2420="",E2420="!!!",F2420="NEW"),"",COUNTBLANK(OFFSET(A$1,,,SUMPRODUCT(MAX(ROW(E$2:E2420)*(E2420=E$2:E2420)))))-COUNTBLANK(OFFSET(A$1,,,SUMPRODUCT(MAX(ROW(E$1:E2419)*(E2=E$1:E2419))))))</f>
        <v> </v>
      </c>
      <c r="K2420" s="25" t="str">
        <f>IF(OR(E2420="",E2420="!!!",F2420="NEW"),"",INDEX(J$1:J2419,SUMPRODUCT(MAX(ROW(E$1:E2419)*(E2420=E$1:E2419)))))</f>
        <v> </v>
      </c>
      <c r="L2420" s="26"/>
    </row>
    <row r="2421" spans="1:12">
      <c r="A2421" s="20"/>
    </row>
    <row r="2422" spans="1:12">
      <c r="A2422" s="20" t="s">
        <v>1386</v>
      </c>
    </row>
    <row r="2423" spans="1:12">
      <c r="A2423" s="20" t="s">
        <v>1153</v>
      </c>
      <c r="E2423" s="21">
        <f>IF(D2423="?OLD","!!!","")</f>
        <v/>
      </c>
      <c r="F2423" s="22" t="str">
        <f>IF(OR(E2423="",E2423="!!!"),"",IF(NOT(ISNA(VLOOKUP(E2423,E$1:E2422,1,FALSE()))),"OLD",IF(AND(E2423&lt;&gt;"",E2423&lt;&gt;"!!!"),"NEW","")))</f>
        <v> </v>
      </c>
      <c r="G2423" s="23" t="str">
        <f>IF(OR(E2423="",E2423="!!!"),"",IF(OR(J2423=0,AND(J2423=1,K2423=1),AND(J2423=1,I2423="SBJ"),AND(J2423=1,I2423=0)),"?IN_FOCUS",IF(J2423&lt;=2,"?ACTIVATED",IF(J2423&lt;&gt;"","?FAMILIAR",IF(F2423="NEW",IF(ISNA(VLOOKUP(E2423,#REF!,1,FALSE())),"?TYPE_IDENTIFIABLE","?REFERENTIAL"),"_")))))</f>
        <v> </v>
      </c>
      <c r="H2423" s="24" t="str">
        <f>IF(J2423&lt;&gt;1,"",IF(I2423="SBJ","CB","?"))</f>
        <v> </v>
      </c>
      <c r="I2423" s="25" t="str">
        <f>IF(OR(E2423="",E2423="!!!",F2423="NEW"),"",INDEX(B2422:B$2,-1+SUMPRODUCT(MAX(ROW(E2422:E$2)*(E2423=E2422:E$2)))))</f>
        <v> </v>
      </c>
      <c r="J2423" s="25" t="str">
        <f>IF(OR(E2423="",E2423="!!!",F2423="NEW"),"",COUNTBLANK(OFFSET(A$1,,,SUMPRODUCT(MAX(ROW(E$2:E2423)*(E2423=E$2:E2423)))))-COUNTBLANK(OFFSET(A$1,,,SUMPRODUCT(MAX(ROW(E$1:E2422)*(E2=E$1:E2422))))))</f>
        <v> </v>
      </c>
      <c r="K2423" s="25" t="str">
        <f>IF(OR(E2423="",E2423="!!!",F2423="NEW"),"",INDEX(J$1:J2422,SUMPRODUCT(MAX(ROW(E$1:E2422)*(E2423=E$1:E2422)))))</f>
        <v> </v>
      </c>
      <c r="L2423" s="26"/>
    </row>
    <row r="2424" spans="1:12">
      <c r="A2424" s="20" t="s">
        <v>532</v>
      </c>
      <c r="E2424" s="21">
        <f>IF(D2424="?OLD","!!!","")</f>
        <v/>
      </c>
      <c r="F2424" s="22" t="str">
        <f>IF(OR(E2424="",E2424="!!!"),"",IF(NOT(ISNA(VLOOKUP(E2424,E$1:E2423,1,FALSE()))),"OLD",IF(AND(E2424&lt;&gt;"",E2424&lt;&gt;"!!!"),"NEW","")))</f>
        <v> </v>
      </c>
      <c r="G2424" s="23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4" t="str">
        <f>IF(J2424&lt;&gt;1,"",IF(I2424="SBJ","CB","?"))</f>
        <v> </v>
      </c>
      <c r="I2424" s="25" t="str">
        <f>IF(OR(E2424="",E2424="!!!",F2424="NEW"),"",INDEX(B2423:B$2,-1+SUMPRODUCT(MAX(ROW(E2423:E$2)*(E2424=E2423:E$2)))))</f>
        <v> </v>
      </c>
      <c r="J2424" s="25" t="str">
        <f>IF(OR(E2424="",E2424="!!!",F2424="NEW"),"",COUNTBLANK(OFFSET(A$1,,,SUMPRODUCT(MAX(ROW(E$2:E2424)*(E2424=E$2:E2424)))))-COUNTBLANK(OFFSET(A$1,,,SUMPRODUCT(MAX(ROW(E$1:E2423)*(E2=E$1:E2423))))))</f>
        <v> </v>
      </c>
      <c r="K2424" s="25" t="str">
        <f>IF(OR(E2424="",E2424="!!!",F2424="NEW"),"",INDEX(J$1:J2423,SUMPRODUCT(MAX(ROW(E$1:E2423)*(E2424=E$1:E2423)))))</f>
        <v> </v>
      </c>
      <c r="L2424" s="26"/>
    </row>
    <row r="2425" spans="1:12">
      <c r="A2425" s="20" t="s">
        <v>683</v>
      </c>
      <c r="B2425" s="27" t="s">
        <v>743</v>
      </c>
      <c r="C2425" s="27" t="s">
        <v>535</v>
      </c>
      <c r="E2425" s="21">
        <f>IF(D2425="?OLD","!!!","")</f>
        <v/>
      </c>
      <c r="F2425" s="22" t="str">
        <f>IF(OR(E2425="",E2425="!!!"),"",IF(NOT(ISNA(VLOOKUP(E2425,E$1:E2424,1,FALSE()))),"OLD",IF(AND(E2425&lt;&gt;"",E2425&lt;&gt;"!!!"),"NEW","")))</f>
        <v> </v>
      </c>
      <c r="G2425" s="23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4" t="str">
        <f>IF(J2425&lt;&gt;1,"",IF(I2425="SBJ","CB","?"))</f>
        <v> </v>
      </c>
      <c r="I2425" s="25" t="str">
        <f>IF(OR(E2425="",E2425="!!!",F2425="NEW"),"",INDEX(B2424:B$2,-1+SUMPRODUCT(MAX(ROW(E2424:E$2)*(E2425=E2424:E$2)))))</f>
        <v> </v>
      </c>
      <c r="J2425" s="25" t="str">
        <f>IF(OR(E2425="",E2425="!!!",F2425="NEW"),"",COUNTBLANK(OFFSET(A$1,,,SUMPRODUCT(MAX(ROW(E$2:E2425)*(E2425=E$2:E2425)))))-COUNTBLANK(OFFSET(A$1,,,SUMPRODUCT(MAX(ROW(E$1:E2424)*(E2=E$1:E2424))))))</f>
        <v> </v>
      </c>
      <c r="K2425" s="25" t="str">
        <f>IF(OR(E2425="",E2425="!!!",F2425="NEW"),"",INDEX(J$1:J2424,SUMPRODUCT(MAX(ROW(E$1:E2424)*(E2425=E$1:E2424)))))</f>
        <v> </v>
      </c>
      <c r="L2425" s="26"/>
    </row>
    <row r="2426" spans="1:12">
      <c r="A2426" s="20" t="s">
        <v>565</v>
      </c>
      <c r="E2426" s="21">
        <f>IF(D2426="?OLD","!!!","")</f>
        <v/>
      </c>
      <c r="F2426" s="22" t="str">
        <f>IF(OR(E2426="",E2426="!!!"),"",IF(NOT(ISNA(VLOOKUP(E2426,E$1:E2425,1,FALSE()))),"OLD",IF(AND(E2426&lt;&gt;"",E2426&lt;&gt;"!!!"),"NEW","")))</f>
        <v> </v>
      </c>
      <c r="G2426" s="23" t="str">
        <f>IF(OR(E2426="",E2426="!!!"),"",IF(OR(J2426=0,AND(J2426=1,K2426=1),AND(J2426=1,I2426="SBJ"),AND(J2426=1,I2426=0)),"?IN_FOCUS",IF(J2426&lt;=2,"?ACTIVATED",IF(J2426&lt;&gt;"","?FAMILIAR",IF(F2426="NEW",IF(ISNA(VLOOKUP(E2426,#REF!,1,FALSE())),"?TYPE_IDENTIFIABLE","?REFERENTIAL"),"_")))))</f>
        <v> </v>
      </c>
      <c r="H2426" s="24" t="str">
        <f>IF(J2426&lt;&gt;1,"",IF(I2426="SBJ","CB","?"))</f>
        <v> </v>
      </c>
      <c r="I2426" s="25" t="str">
        <f>IF(OR(E2426="",E2426="!!!",F2426="NEW"),"",INDEX(B2425:B$2,-1+SUMPRODUCT(MAX(ROW(E2425:E$2)*(E2426=E2425:E$2)))))</f>
        <v> </v>
      </c>
      <c r="J2426" s="25" t="str">
        <f>IF(OR(E2426="",E2426="!!!",F2426="NEW"),"",COUNTBLANK(OFFSET(A$1,,,SUMPRODUCT(MAX(ROW(E$2:E2426)*(E2426=E$2:E2426)))))-COUNTBLANK(OFFSET(A$1,,,SUMPRODUCT(MAX(ROW(E$1:E2425)*(E2=E$1:E2425))))))</f>
        <v> </v>
      </c>
      <c r="K2426" s="25" t="str">
        <f>IF(OR(E2426="",E2426="!!!",F2426="NEW"),"",INDEX(J$1:J2425,SUMPRODUCT(MAX(ROW(E$1:E2425)*(E2426=E$1:E2425)))))</f>
        <v> </v>
      </c>
      <c r="L2426" s="26"/>
    </row>
    <row r="2427" spans="1:12">
      <c r="A2427" s="20" t="s">
        <v>358</v>
      </c>
      <c r="B2427" s="27" t="s">
        <v>667</v>
      </c>
      <c r="C2427" s="27" t="s">
        <v>523</v>
      </c>
      <c r="D2427" s="27" t="s">
        <v>524</v>
      </c>
      <c r="E2427" s="21">
        <f>IF(D2427="?OLD","!!!","")</f>
        <v/>
      </c>
      <c r="F2427" s="22" t="str">
        <f>IF(OR(E2427="",E2427="!!!"),"",IF(NOT(ISNA(VLOOKUP(E2427,E$1:E2426,1,FALSE()))),"OLD",IF(AND(E2427&lt;&gt;"",E2427&lt;&gt;"!!!"),"NEW","")))</f>
        <v> </v>
      </c>
      <c r="G2427" s="23" t="str">
        <f>IF(OR(E2427="",E2427="!!!"),"",IF(OR(J2427=0,AND(J2427=1,K2427=1),AND(J2427=1,I2427="SBJ"),AND(J2427=1,I2427=0)),"?IN_FOCUS",IF(J2427&lt;=2,"?ACTIVATED",IF(J2427&lt;&gt;"","?FAMILIAR",IF(F2427="NEW",IF(ISNA(VLOOKUP(E2427,#REF!,1,FALSE())),"?TYPE_IDENTIFIABLE","?REFERENTIAL"),"_")))))</f>
        <v> </v>
      </c>
      <c r="H2427" s="24" t="str">
        <f>IF(J2427&lt;&gt;1,"",IF(I2427="SBJ","CB","?"))</f>
        <v> </v>
      </c>
      <c r="I2427" s="25" t="str">
        <f>IF(OR(E2427="",E2427="!!!",F2427="NEW"),"",INDEX(B2426:B$2,-1+SUMPRODUCT(MAX(ROW(E2426:E$2)*(E2427=E2426:E$2)))))</f>
        <v> </v>
      </c>
      <c r="J2427" s="25" t="str">
        <f>IF(OR(E2427="",E2427="!!!",F2427="NEW"),"",COUNTBLANK(OFFSET(A$1,,,SUMPRODUCT(MAX(ROW(E$2:E2427)*(E2427=E$2:E2427)))))-COUNTBLANK(OFFSET(A$1,,,SUMPRODUCT(MAX(ROW(E$1:E2426)*(E2=E$1:E2426))))))</f>
        <v> </v>
      </c>
      <c r="K2427" s="25" t="str">
        <f>IF(OR(E2427="",E2427="!!!",F2427="NEW"),"",INDEX(J$1:J2426,SUMPRODUCT(MAX(ROW(E$1:E2426)*(E2427=E$1:E2426)))))</f>
        <v> </v>
      </c>
      <c r="L2427" s="26"/>
    </row>
    <row r="2428" spans="1:12">
      <c r="A2428" s="20" t="s">
        <v>634</v>
      </c>
      <c r="E2428" s="21">
        <f>IF(D2428="?OLD","!!!","")</f>
        <v/>
      </c>
      <c r="F2428" s="22" t="str">
        <f>IF(OR(E2428="",E2428="!!!"),"",IF(NOT(ISNA(VLOOKUP(E2428,E$1:E2427,1,FALSE()))),"OLD",IF(AND(E2428&lt;&gt;"",E2428&lt;&gt;"!!!"),"NEW","")))</f>
        <v> </v>
      </c>
      <c r="G2428" s="23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4" t="str">
        <f>IF(J2428&lt;&gt;1,"",IF(I2428="SBJ","CB","?"))</f>
        <v> </v>
      </c>
      <c r="I2428" s="25" t="str">
        <f>IF(OR(E2428="",E2428="!!!",F2428="NEW"),"",INDEX(B2427:B$2,-1+SUMPRODUCT(MAX(ROW(E2427:E$2)*(E2428=E2427:E$2)))))</f>
        <v> </v>
      </c>
      <c r="J2428" s="25" t="str">
        <f>IF(OR(E2428="",E2428="!!!",F2428="NEW"),"",COUNTBLANK(OFFSET(A$1,,,SUMPRODUCT(MAX(ROW(E$2:E2428)*(E2428=E$2:E2428)))))-COUNTBLANK(OFFSET(A$1,,,SUMPRODUCT(MAX(ROW(E$1:E2427)*(E2=E$1:E2427))))))</f>
        <v> </v>
      </c>
      <c r="K2428" s="25" t="str">
        <f>IF(OR(E2428="",E2428="!!!",F2428="NEW"),"",INDEX(J$1:J2427,SUMPRODUCT(MAX(ROW(E$1:E2427)*(E2428=E$1:E2427)))))</f>
        <v> </v>
      </c>
      <c r="L2428" s="26"/>
    </row>
    <row r="2429" spans="1:12">
      <c r="A2429" s="20" t="s">
        <v>577</v>
      </c>
      <c r="E2429" s="21">
        <f>IF(D2429="?OLD","!!!","")</f>
        <v/>
      </c>
      <c r="F2429" s="22" t="str">
        <f>IF(OR(E2429="",E2429="!!!"),"",IF(NOT(ISNA(VLOOKUP(E2429,E$1:E2428,1,FALSE()))),"OLD",IF(AND(E2429&lt;&gt;"",E2429&lt;&gt;"!!!"),"NEW","")))</f>
        <v> </v>
      </c>
      <c r="G2429" s="23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4" t="str">
        <f>IF(J2429&lt;&gt;1,"",IF(I2429="SBJ","CB","?"))</f>
        <v> </v>
      </c>
      <c r="I2429" s="25" t="str">
        <f>IF(OR(E2429="",E2429="!!!",F2429="NEW"),"",INDEX(B2428:B$2,-1+SUMPRODUCT(MAX(ROW(E2428:E$2)*(E2429=E2428:E$2)))))</f>
        <v> </v>
      </c>
      <c r="J2429" s="25" t="str">
        <f>IF(OR(E2429="",E2429="!!!",F2429="NEW"),"",COUNTBLANK(OFFSET(A$1,,,SUMPRODUCT(MAX(ROW(E$2:E2429)*(E2429=E$2:E2429)))))-COUNTBLANK(OFFSET(A$1,,,SUMPRODUCT(MAX(ROW(E$1:E2428)*(E2=E$1:E2428))))))</f>
        <v> </v>
      </c>
      <c r="K2429" s="25" t="str">
        <f>IF(OR(E2429="",E2429="!!!",F2429="NEW"),"",INDEX(J$1:J2428,SUMPRODUCT(MAX(ROW(E$1:E2428)*(E2429=E$1:E2428)))))</f>
        <v> </v>
      </c>
      <c r="L2429" s="26"/>
    </row>
    <row r="2430" spans="1:12">
      <c r="A2430" s="20" t="s">
        <v>571</v>
      </c>
      <c r="E2430" s="21">
        <f>IF(D2430="?OLD","!!!","")</f>
        <v/>
      </c>
      <c r="F2430" s="22" t="str">
        <f>IF(OR(E2430="",E2430="!!!"),"",IF(NOT(ISNA(VLOOKUP(E2430,E$1:E2429,1,FALSE()))),"OLD",IF(AND(E2430&lt;&gt;"",E2430&lt;&gt;"!!!"),"NEW","")))</f>
        <v> </v>
      </c>
      <c r="G2430" s="23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4" t="str">
        <f>IF(J2430&lt;&gt;1,"",IF(I2430="SBJ","CB","?"))</f>
        <v> </v>
      </c>
      <c r="I2430" s="25" t="str">
        <f>IF(OR(E2430="",E2430="!!!",F2430="NEW"),"",INDEX(B2429:B$2,-1+SUMPRODUCT(MAX(ROW(E2429:E$2)*(E2430=E2429:E$2)))))</f>
        <v> </v>
      </c>
      <c r="J2430" s="25" t="str">
        <f>IF(OR(E2430="",E2430="!!!",F2430="NEW"),"",COUNTBLANK(OFFSET(A$1,,,SUMPRODUCT(MAX(ROW(E$2:E2430)*(E2430=E$2:E2430)))))-COUNTBLANK(OFFSET(A$1,,,SUMPRODUCT(MAX(ROW(E$1:E2429)*(E2=E$1:E2429))))))</f>
        <v> </v>
      </c>
      <c r="K2430" s="25" t="str">
        <f>IF(OR(E2430="",E2430="!!!",F2430="NEW"),"",INDEX(J$1:J2429,SUMPRODUCT(MAX(ROW(E$1:E2429)*(E2430=E$1:E2429)))))</f>
        <v> </v>
      </c>
      <c r="L2430" s="26"/>
    </row>
    <row r="2431" spans="1:12">
      <c r="A2431" s="20" t="s">
        <v>1387</v>
      </c>
      <c r="B2431" s="27" t="s">
        <v>592</v>
      </c>
      <c r="C2431" s="27" t="s">
        <v>540</v>
      </c>
      <c r="D2431" s="27" t="s">
        <v>524</v>
      </c>
      <c r="E2431" s="21">
        <f>IF(D2431="?OLD","!!!","")</f>
        <v/>
      </c>
      <c r="F2431" s="22" t="str">
        <f>IF(OR(E2431="",E2431="!!!"),"",IF(NOT(ISNA(VLOOKUP(E2431,E$1:E2430,1,FALSE()))),"OLD",IF(AND(E2431&lt;&gt;"",E2431&lt;&gt;"!!!"),"NEW","")))</f>
        <v> </v>
      </c>
      <c r="G2431" s="23" t="str">
        <f>IF(OR(E2431="",E2431="!!!"),"",IF(OR(J2431=0,AND(J2431=1,K2431=1),AND(J2431=1,I2431="SBJ"),AND(J2431=1,I2431=0)),"?IN_FOCUS",IF(J2431&lt;=2,"?ACTIVATED",IF(J2431&lt;&gt;"","?FAMILIAR",IF(F2431="NEW",IF(ISNA(VLOOKUP(E2431,#REF!,1,FALSE())),"?TYPE_IDENTIFIABLE","?REFERENTIAL"),"_")))))</f>
        <v> </v>
      </c>
      <c r="H2431" s="24" t="str">
        <f>IF(J2431&lt;&gt;1,"",IF(I2431="SBJ","CB","?"))</f>
        <v> </v>
      </c>
      <c r="I2431" s="25" t="str">
        <f>IF(OR(E2431="",E2431="!!!",F2431="NEW"),"",INDEX(B2430:B$2,-1+SUMPRODUCT(MAX(ROW(E2430:E$2)*(E2431=E2430:E$2)))))</f>
        <v> </v>
      </c>
      <c r="J2431" s="25" t="str">
        <f>IF(OR(E2431="",E2431="!!!",F2431="NEW"),"",COUNTBLANK(OFFSET(A$1,,,SUMPRODUCT(MAX(ROW(E$2:E2431)*(E2431=E$2:E2431)))))-COUNTBLANK(OFFSET(A$1,,,SUMPRODUCT(MAX(ROW(E$1:E2430)*(E2=E$1:E2430))))))</f>
        <v> </v>
      </c>
      <c r="K2431" s="25" t="str">
        <f>IF(OR(E2431="",E2431="!!!",F2431="NEW"),"",INDEX(J$1:J2430,SUMPRODUCT(MAX(ROW(E$1:E2430)*(E2431=E$1:E2430)))))</f>
        <v> </v>
      </c>
      <c r="L2431" s="26"/>
    </row>
    <row r="2432" spans="1:12">
      <c r="A2432" s="20" t="s">
        <v>577</v>
      </c>
      <c r="E2432" s="21">
        <f>IF(D2432="?OLD","!!!","")</f>
        <v/>
      </c>
      <c r="F2432" s="22" t="str">
        <f>IF(OR(E2432="",E2432="!!!"),"",IF(NOT(ISNA(VLOOKUP(E2432,E$1:E2431,1,FALSE()))),"OLD",IF(AND(E2432&lt;&gt;"",E2432&lt;&gt;"!!!"),"NEW","")))</f>
        <v> </v>
      </c>
      <c r="G2432" s="23" t="str">
        <f>IF(OR(E2432="",E2432="!!!"),"",IF(OR(J2432=0,AND(J2432=1,K2432=1),AND(J2432=1,I2432="SBJ"),AND(J2432=1,I2432=0)),"?IN_FOCUS",IF(J2432&lt;=2,"?ACTIVATED",IF(J2432&lt;&gt;"","?FAMILIAR",IF(F2432="NEW",IF(ISNA(VLOOKUP(E2432,#REF!,1,FALSE())),"?TYPE_IDENTIFIABLE","?REFERENTIAL"),"_")))))</f>
        <v> </v>
      </c>
      <c r="H2432" s="24" t="str">
        <f>IF(J2432&lt;&gt;1,"",IF(I2432="SBJ","CB","?"))</f>
        <v> </v>
      </c>
      <c r="I2432" s="25" t="str">
        <f>IF(OR(E2432="",E2432="!!!",F2432="NEW"),"",INDEX(B2431:B$2,-1+SUMPRODUCT(MAX(ROW(E2431:E$2)*(E2432=E2431:E$2)))))</f>
        <v> </v>
      </c>
      <c r="J2432" s="25" t="str">
        <f>IF(OR(E2432="",E2432="!!!",F2432="NEW"),"",COUNTBLANK(OFFSET(A$1,,,SUMPRODUCT(MAX(ROW(E$2:E2432)*(E2432=E$2:E2432)))))-COUNTBLANK(OFFSET(A$1,,,SUMPRODUCT(MAX(ROW(E$1:E2431)*(E2=E$1:E2431))))))</f>
        <v> </v>
      </c>
      <c r="K2432" s="25" t="str">
        <f>IF(OR(E2432="",E2432="!!!",F2432="NEW"),"",INDEX(J$1:J2431,SUMPRODUCT(MAX(ROW(E$1:E2431)*(E2432=E$1:E2431)))))</f>
        <v> </v>
      </c>
      <c r="L2432" s="26"/>
    </row>
    <row r="2433" spans="1:12">
      <c r="A2433" s="20" t="s">
        <v>542</v>
      </c>
      <c r="E2433" s="21">
        <f>IF(D2433="?OLD","!!!","")</f>
        <v/>
      </c>
      <c r="F2433" s="22" t="str">
        <f>IF(OR(E2433="",E2433="!!!"),"",IF(NOT(ISNA(VLOOKUP(E2433,E$1:E2432,1,FALSE()))),"OLD",IF(AND(E2433&lt;&gt;"",E2433&lt;&gt;"!!!"),"NEW","")))</f>
        <v> </v>
      </c>
      <c r="G2433" s="23" t="str">
        <f>IF(OR(E2433="",E2433="!!!"),"",IF(OR(J2433=0,AND(J2433=1,K2433=1),AND(J2433=1,I2433="SBJ"),AND(J2433=1,I2433=0)),"?IN_FOCUS",IF(J2433&lt;=2,"?ACTIVATED",IF(J2433&lt;&gt;"","?FAMILIAR",IF(F2433="NEW",IF(ISNA(VLOOKUP(E2433,#REF!,1,FALSE())),"?TYPE_IDENTIFIABLE","?REFERENTIAL"),"_")))))</f>
        <v> </v>
      </c>
      <c r="H2433" s="24" t="str">
        <f>IF(J2433&lt;&gt;1,"",IF(I2433="SBJ","CB","?"))</f>
        <v> </v>
      </c>
      <c r="I2433" s="25" t="str">
        <f>IF(OR(E2433="",E2433="!!!",F2433="NEW"),"",INDEX(B2432:B$2,-1+SUMPRODUCT(MAX(ROW(E2432:E$2)*(E2433=E2432:E$2)))))</f>
        <v> </v>
      </c>
      <c r="J2433" s="25" t="str">
        <f>IF(OR(E2433="",E2433="!!!",F2433="NEW"),"",COUNTBLANK(OFFSET(A$1,,,SUMPRODUCT(MAX(ROW(E$2:E2433)*(E2433=E$2:E2433)))))-COUNTBLANK(OFFSET(A$1,,,SUMPRODUCT(MAX(ROW(E$1:E2432)*(E2=E$1:E2432))))))</f>
        <v> </v>
      </c>
      <c r="K2433" s="25" t="str">
        <f>IF(OR(E2433="",E2433="!!!",F2433="NEW"),"",INDEX(J$1:J2432,SUMPRODUCT(MAX(ROW(E$1:E2432)*(E2433=E$1:E2432)))))</f>
        <v> </v>
      </c>
      <c r="L2433" s="26"/>
    </row>
    <row r="2434" spans="1:12">
      <c r="A2434" s="20" t="s">
        <v>1388</v>
      </c>
      <c r="B2434" s="27" t="s">
        <v>597</v>
      </c>
      <c r="C2434" s="27" t="s">
        <v>545</v>
      </c>
      <c r="D2434" s="27" t="s">
        <v>524</v>
      </c>
      <c r="E2434" s="21">
        <f>IF(D2434="?OLD","!!!","")</f>
        <v/>
      </c>
      <c r="F2434" s="22" t="str">
        <f>IF(OR(E2434="",E2434="!!!"),"",IF(NOT(ISNA(VLOOKUP(E2434,E$1:E2433,1,FALSE()))),"OLD",IF(AND(E2434&lt;&gt;"",E2434&lt;&gt;"!!!"),"NEW","")))</f>
        <v> </v>
      </c>
      <c r="G2434" s="23" t="str">
        <f>IF(OR(E2434="",E2434="!!!"),"",IF(OR(J2434=0,AND(J2434=1,K2434=1),AND(J2434=1,I2434="SBJ"),AND(J2434=1,I2434=0)),"?IN_FOCUS",IF(J2434&lt;=2,"?ACTIVATED",IF(J2434&lt;&gt;"","?FAMILIAR",IF(F2434="NEW",IF(ISNA(VLOOKUP(E2434,#REF!,1,FALSE())),"?TYPE_IDENTIFIABLE","?REFERENTIAL"),"_")))))</f>
        <v> </v>
      </c>
      <c r="H2434" s="24" t="str">
        <f>IF(J2434&lt;&gt;1,"",IF(I2434="SBJ","CB","?"))</f>
        <v> </v>
      </c>
      <c r="I2434" s="25" t="str">
        <f>IF(OR(E2434="",E2434="!!!",F2434="NEW"),"",INDEX(B2433:B$2,-1+SUMPRODUCT(MAX(ROW(E2433:E$2)*(E2434=E2433:E$2)))))</f>
        <v> </v>
      </c>
      <c r="J2434" s="25" t="str">
        <f>IF(OR(E2434="",E2434="!!!",F2434="NEW"),"",COUNTBLANK(OFFSET(A$1,,,SUMPRODUCT(MAX(ROW(E$2:E2434)*(E2434=E$2:E2434)))))-COUNTBLANK(OFFSET(A$1,,,SUMPRODUCT(MAX(ROW(E$1:E2433)*(E2=E$1:E2433))))))</f>
        <v> </v>
      </c>
      <c r="K2434" s="25" t="str">
        <f>IF(OR(E2434="",E2434="!!!",F2434="NEW"),"",INDEX(J$1:J2433,SUMPRODUCT(MAX(ROW(E$1:E2433)*(E2434=E$1:E2433)))))</f>
        <v> </v>
      </c>
      <c r="L2434" s="26"/>
    </row>
    <row r="2435" spans="1:12">
      <c r="A2435" s="20" t="s">
        <v>1389</v>
      </c>
      <c r="E2435" s="21">
        <f>IF(D2435="?OLD","!!!","")</f>
        <v/>
      </c>
      <c r="F2435" s="22" t="str">
        <f>IF(OR(E2435="",E2435="!!!"),"",IF(NOT(ISNA(VLOOKUP(E2435,E$1:E2434,1,FALSE()))),"OLD",IF(AND(E2435&lt;&gt;"",E2435&lt;&gt;"!!!"),"NEW","")))</f>
        <v> </v>
      </c>
      <c r="G2435" s="23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4" t="str">
        <f>IF(J2435&lt;&gt;1,"",IF(I2435="SBJ","CB","?"))</f>
        <v> </v>
      </c>
      <c r="I2435" s="25" t="str">
        <f>IF(OR(E2435="",E2435="!!!",F2435="NEW"),"",INDEX(B2434:B$2,-1+SUMPRODUCT(MAX(ROW(E2434:E$2)*(E2435=E2434:E$2)))))</f>
        <v> </v>
      </c>
      <c r="J2435" s="25" t="str">
        <f>IF(OR(E2435="",E2435="!!!",F2435="NEW"),"",COUNTBLANK(OFFSET(A$1,,,SUMPRODUCT(MAX(ROW(E$2:E2435)*(E2435=E$2:E2435)))))-COUNTBLANK(OFFSET(A$1,,,SUMPRODUCT(MAX(ROW(E$1:E2434)*(E2=E$1:E2434))))))</f>
        <v> </v>
      </c>
      <c r="K2435" s="25" t="str">
        <f>IF(OR(E2435="",E2435="!!!",F2435="NEW"),"",INDEX(J$1:J2434,SUMPRODUCT(MAX(ROW(E$1:E2434)*(E2435=E$1:E2434)))))</f>
        <v> </v>
      </c>
      <c r="L2435" s="26"/>
    </row>
    <row r="2436" spans="1:12">
      <c r="A2436" s="20" t="s">
        <v>1390</v>
      </c>
      <c r="E2436" s="21">
        <f>IF(D2436="?OLD","!!!","")</f>
        <v/>
      </c>
      <c r="F2436" s="22" t="str">
        <f>IF(OR(E2436="",E2436="!!!"),"",IF(NOT(ISNA(VLOOKUP(E2436,E$1:E2435,1,FALSE()))),"OLD",IF(AND(E2436&lt;&gt;"",E2436&lt;&gt;"!!!"),"NEW","")))</f>
        <v> </v>
      </c>
      <c r="G2436" s="23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4" t="str">
        <f>IF(J2436&lt;&gt;1,"",IF(I2436="SBJ","CB","?"))</f>
        <v> </v>
      </c>
      <c r="I2436" s="25" t="str">
        <f>IF(OR(E2436="",E2436="!!!",F2436="NEW"),"",INDEX(B2435:B$2,-1+SUMPRODUCT(MAX(ROW(E2435:E$2)*(E2436=E2435:E$2)))))</f>
        <v> </v>
      </c>
      <c r="J2436" s="25" t="str">
        <f>IF(OR(E2436="",E2436="!!!",F2436="NEW"),"",COUNTBLANK(OFFSET(A$1,,,SUMPRODUCT(MAX(ROW(E$2:E2436)*(E2436=E$2:E2436)))))-COUNTBLANK(OFFSET(A$1,,,SUMPRODUCT(MAX(ROW(E$1:E2435)*(E2=E$1:E2435))))))</f>
        <v> </v>
      </c>
      <c r="K2436" s="25" t="str">
        <f>IF(OR(E2436="",E2436="!!!",F2436="NEW"),"",INDEX(J$1:J2435,SUMPRODUCT(MAX(ROW(E$1:E2435)*(E2436=E$1:E2435)))))</f>
        <v> </v>
      </c>
      <c r="L2436" s="26"/>
    </row>
    <row r="2437" spans="1:12">
      <c r="A2437" s="20" t="s">
        <v>577</v>
      </c>
      <c r="E2437" s="21">
        <f>IF(D2437="?OLD","!!!","")</f>
        <v/>
      </c>
      <c r="F2437" s="22" t="str">
        <f>IF(OR(E2437="",E2437="!!!"),"",IF(NOT(ISNA(VLOOKUP(E2437,E$1:E2436,1,FALSE()))),"OLD",IF(AND(E2437&lt;&gt;"",E2437&lt;&gt;"!!!"),"NEW","")))</f>
        <v> </v>
      </c>
      <c r="G2437" s="23" t="str">
        <f>IF(OR(E2437="",E2437="!!!"),"",IF(OR(J2437=0,AND(J2437=1,K2437=1),AND(J2437=1,I2437="SBJ"),AND(J2437=1,I2437=0)),"?IN_FOCUS",IF(J2437&lt;=2,"?ACTIVATED",IF(J2437&lt;&gt;"","?FAMILIAR",IF(F2437="NEW",IF(ISNA(VLOOKUP(E2437,#REF!,1,FALSE())),"?TYPE_IDENTIFIABLE","?REFERENTIAL"),"_")))))</f>
        <v> </v>
      </c>
      <c r="H2437" s="24" t="str">
        <f>IF(J2437&lt;&gt;1,"",IF(I2437="SBJ","CB","?"))</f>
        <v> </v>
      </c>
      <c r="I2437" s="25" t="str">
        <f>IF(OR(E2437="",E2437="!!!",F2437="NEW"),"",INDEX(B2436:B$2,-1+SUMPRODUCT(MAX(ROW(E2436:E$2)*(E2437=E2436:E$2)))))</f>
        <v> </v>
      </c>
      <c r="J2437" s="25" t="str">
        <f>IF(OR(E2437="",E2437="!!!",F2437="NEW"),"",COUNTBLANK(OFFSET(A$1,,,SUMPRODUCT(MAX(ROW(E$2:E2437)*(E2437=E$2:E2437)))))-COUNTBLANK(OFFSET(A$1,,,SUMPRODUCT(MAX(ROW(E$1:E2436)*(E2=E$1:E2436))))))</f>
        <v> </v>
      </c>
      <c r="K2437" s="25" t="str">
        <f>IF(OR(E2437="",E2437="!!!",F2437="NEW"),"",INDEX(J$1:J2436,SUMPRODUCT(MAX(ROW(E$1:E2436)*(E2437=E$1:E2436)))))</f>
        <v> </v>
      </c>
      <c r="L2437" s="26"/>
    </row>
    <row r="2438" spans="1:12">
      <c r="A2438" s="20" t="s">
        <v>1272</v>
      </c>
      <c r="E2438" s="21">
        <f>IF(D2438="?OLD","!!!","")</f>
        <v/>
      </c>
      <c r="F2438" s="22" t="str">
        <f>IF(OR(E2438="",E2438="!!!"),"",IF(NOT(ISNA(VLOOKUP(E2438,E$1:E2437,1,FALSE()))),"OLD",IF(AND(E2438&lt;&gt;"",E2438&lt;&gt;"!!!"),"NEW","")))</f>
        <v> </v>
      </c>
      <c r="G2438" s="23" t="str">
        <f>IF(OR(E2438="",E2438="!!!"),"",IF(OR(J2438=0,AND(J2438=1,K2438=1),AND(J2438=1,I2438="SBJ"),AND(J2438=1,I2438=0)),"?IN_FOCUS",IF(J2438&lt;=2,"?ACTIVATED",IF(J2438&lt;&gt;"","?FAMILIAR",IF(F2438="NEW",IF(ISNA(VLOOKUP(E2438,#REF!,1,FALSE())),"?TYPE_IDENTIFIABLE","?REFERENTIAL"),"_")))))</f>
        <v> </v>
      </c>
      <c r="H2438" s="24" t="str">
        <f>IF(J2438&lt;&gt;1,"",IF(I2438="SBJ","CB","?"))</f>
        <v> </v>
      </c>
      <c r="I2438" s="25" t="str">
        <f>IF(OR(E2438="",E2438="!!!",F2438="NEW"),"",INDEX(B2437:B$2,-1+SUMPRODUCT(MAX(ROW(E2437:E$2)*(E2438=E2437:E$2)))))</f>
        <v> </v>
      </c>
      <c r="J2438" s="25" t="str">
        <f>IF(OR(E2438="",E2438="!!!",F2438="NEW"),"",COUNTBLANK(OFFSET(A$1,,,SUMPRODUCT(MAX(ROW(E$2:E2438)*(E2438=E$2:E2438)))))-COUNTBLANK(OFFSET(A$1,,,SUMPRODUCT(MAX(ROW(E$1:E2437)*(E2=E$1:E2437))))))</f>
        <v> </v>
      </c>
      <c r="K2438" s="25" t="str">
        <f>IF(OR(E2438="",E2438="!!!",F2438="NEW"),"",INDEX(J$1:J2437,SUMPRODUCT(MAX(ROW(E$1:E2437)*(E2438=E$1:E2437)))))</f>
        <v> </v>
      </c>
      <c r="L2438" s="26"/>
    </row>
    <row r="2439" spans="1:12">
      <c r="A2439" s="20" t="s">
        <v>1391</v>
      </c>
      <c r="B2439" s="27" t="s">
        <v>544</v>
      </c>
      <c r="C2439" s="27" t="s">
        <v>637</v>
      </c>
      <c r="D2439" s="27" t="s">
        <v>524</v>
      </c>
      <c r="E2439" s="21">
        <f>IF(D2439="?OLD","!!!","")</f>
        <v/>
      </c>
      <c r="F2439" s="22" t="str">
        <f>IF(OR(E2439="",E2439="!!!"),"",IF(NOT(ISNA(VLOOKUP(E2439,E$1:E2438,1,FALSE()))),"OLD",IF(AND(E2439&lt;&gt;"",E2439&lt;&gt;"!!!"),"NEW","")))</f>
        <v> </v>
      </c>
      <c r="G2439" s="23" t="str">
        <f>IF(OR(E2439="",E2439="!!!"),"",IF(OR(J2439=0,AND(J2439=1,K2439=1),AND(J2439=1,I2439="SBJ"),AND(J2439=1,I2439=0)),"?IN_FOCUS",IF(J2439&lt;=2,"?ACTIVATED",IF(J2439&lt;&gt;"","?FAMILIAR",IF(F2439="NEW",IF(ISNA(VLOOKUP(E2439,#REF!,1,FALSE())),"?TYPE_IDENTIFIABLE","?REFERENTIAL"),"_")))))</f>
        <v> </v>
      </c>
      <c r="H2439" s="24" t="str">
        <f>IF(J2439&lt;&gt;1,"",IF(I2439="SBJ","CB","?"))</f>
        <v> </v>
      </c>
      <c r="I2439" s="25" t="str">
        <f>IF(OR(E2439="",E2439="!!!",F2439="NEW"),"",INDEX(B2438:B$2,-1+SUMPRODUCT(MAX(ROW(E2438:E$2)*(E2439=E2438:E$2)))))</f>
        <v> </v>
      </c>
      <c r="J2439" s="25" t="str">
        <f>IF(OR(E2439="",E2439="!!!",F2439="NEW"),"",COUNTBLANK(OFFSET(A$1,,,SUMPRODUCT(MAX(ROW(E$2:E2439)*(E2439=E$2:E2439)))))-COUNTBLANK(OFFSET(A$1,,,SUMPRODUCT(MAX(ROW(E$1:E2438)*(E2=E$1:E2438))))))</f>
        <v> </v>
      </c>
      <c r="K2439" s="25" t="str">
        <f>IF(OR(E2439="",E2439="!!!",F2439="NEW"),"",INDEX(J$1:J2438,SUMPRODUCT(MAX(ROW(E$1:E2438)*(E2439=E$1:E2438)))))</f>
        <v> </v>
      </c>
      <c r="L2439" s="26"/>
    </row>
    <row r="2440" spans="1:12">
      <c r="A2440" s="20" t="s">
        <v>1392</v>
      </c>
      <c r="E2440" s="21">
        <f>IF(D2440="?OLD","!!!","")</f>
        <v/>
      </c>
      <c r="F2440" s="22" t="str">
        <f>IF(OR(E2440="",E2440="!!!"),"",IF(NOT(ISNA(VLOOKUP(E2440,E$1:E2439,1,FALSE()))),"OLD",IF(AND(E2440&lt;&gt;"",E2440&lt;&gt;"!!!"),"NEW","")))</f>
        <v> </v>
      </c>
      <c r="G2440" s="23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4" t="str">
        <f>IF(J2440&lt;&gt;1,"",IF(I2440="SBJ","CB","?"))</f>
        <v> </v>
      </c>
      <c r="I2440" s="25" t="str">
        <f>IF(OR(E2440="",E2440="!!!",F2440="NEW"),"",INDEX(B2439:B$2,-1+SUMPRODUCT(MAX(ROW(E2439:E$2)*(E2440=E2439:E$2)))))</f>
        <v> </v>
      </c>
      <c r="J2440" s="25" t="str">
        <f>IF(OR(E2440="",E2440="!!!",F2440="NEW"),"",COUNTBLANK(OFFSET(A$1,,,SUMPRODUCT(MAX(ROW(E$2:E2440)*(E2440=E$2:E2440)))))-COUNTBLANK(OFFSET(A$1,,,SUMPRODUCT(MAX(ROW(E$1:E2439)*(E2=E$1:E2439))))))</f>
        <v> </v>
      </c>
      <c r="K2440" s="25" t="str">
        <f>IF(OR(E2440="",E2440="!!!",F2440="NEW"),"",INDEX(J$1:J2439,SUMPRODUCT(MAX(ROW(E$1:E2439)*(E2440=E$1:E2439)))))</f>
        <v> </v>
      </c>
      <c r="L2440" s="26"/>
    </row>
    <row r="2441" spans="1:12">
      <c r="A2441" s="20" t="s">
        <v>577</v>
      </c>
      <c r="E2441" s="21">
        <f>IF(D2441="?OLD","!!!","")</f>
        <v/>
      </c>
      <c r="F2441" s="22" t="str">
        <f>IF(OR(E2441="",E2441="!!!"),"",IF(NOT(ISNA(VLOOKUP(E2441,E$1:E2440,1,FALSE()))),"OLD",IF(AND(E2441&lt;&gt;"",E2441&lt;&gt;"!!!"),"NEW","")))</f>
        <v> </v>
      </c>
      <c r="G2441" s="23" t="str">
        <f>IF(OR(E2441="",E2441="!!!"),"",IF(OR(J2441=0,AND(J2441=1,K2441=1),AND(J2441=1,I2441="SBJ"),AND(J2441=1,I2441=0)),"?IN_FOCUS",IF(J2441&lt;=2,"?ACTIVATED",IF(J2441&lt;&gt;"","?FAMILIAR",IF(F2441="NEW",IF(ISNA(VLOOKUP(E2441,#REF!,1,FALSE())),"?TYPE_IDENTIFIABLE","?REFERENTIAL"),"_")))))</f>
        <v> </v>
      </c>
      <c r="H2441" s="24" t="str">
        <f>IF(J2441&lt;&gt;1,"",IF(I2441="SBJ","CB","?"))</f>
        <v> </v>
      </c>
      <c r="I2441" s="25" t="str">
        <f>IF(OR(E2441="",E2441="!!!",F2441="NEW"),"",INDEX(B2440:B$2,-1+SUMPRODUCT(MAX(ROW(E2440:E$2)*(E2441=E2440:E$2)))))</f>
        <v> </v>
      </c>
      <c r="J2441" s="25" t="str">
        <f>IF(OR(E2441="",E2441="!!!",F2441="NEW"),"",COUNTBLANK(OFFSET(A$1,,,SUMPRODUCT(MAX(ROW(E$2:E2441)*(E2441=E$2:E2441)))))-COUNTBLANK(OFFSET(A$1,,,SUMPRODUCT(MAX(ROW(E$1:E2440)*(E2=E$1:E2440))))))</f>
        <v> </v>
      </c>
      <c r="K2441" s="25" t="str">
        <f>IF(OR(E2441="",E2441="!!!",F2441="NEW"),"",INDEX(J$1:J2440,SUMPRODUCT(MAX(ROW(E$1:E2440)*(E2441=E$1:E2440)))))</f>
        <v> </v>
      </c>
      <c r="L2441" s="26"/>
    </row>
    <row r="2442" spans="1:12">
      <c r="A2442" s="20" t="s">
        <v>571</v>
      </c>
      <c r="E2442" s="21">
        <f>IF(D2442="?OLD","!!!","")</f>
        <v/>
      </c>
      <c r="F2442" s="22" t="str">
        <f>IF(OR(E2442="",E2442="!!!"),"",IF(NOT(ISNA(VLOOKUP(E2442,E$1:E2441,1,FALSE()))),"OLD",IF(AND(E2442&lt;&gt;"",E2442&lt;&gt;"!!!"),"NEW","")))</f>
        <v> </v>
      </c>
      <c r="G2442" s="23" t="str">
        <f>IF(OR(E2442="",E2442="!!!"),"",IF(OR(J2442=0,AND(J2442=1,K2442=1),AND(J2442=1,I2442="SBJ"),AND(J2442=1,I2442=0)),"?IN_FOCUS",IF(J2442&lt;=2,"?ACTIVATED",IF(J2442&lt;&gt;"","?FAMILIAR",IF(F2442="NEW",IF(ISNA(VLOOKUP(E2442,#REF!,1,FALSE())),"?TYPE_IDENTIFIABLE","?REFERENTIAL"),"_")))))</f>
        <v> </v>
      </c>
      <c r="H2442" s="24" t="str">
        <f>IF(J2442&lt;&gt;1,"",IF(I2442="SBJ","CB","?"))</f>
        <v> </v>
      </c>
      <c r="I2442" s="25" t="str">
        <f>IF(OR(E2442="",E2442="!!!",F2442="NEW"),"",INDEX(B2441:B$2,-1+SUMPRODUCT(MAX(ROW(E2441:E$2)*(E2442=E2441:E$2)))))</f>
        <v> </v>
      </c>
      <c r="J2442" s="25" t="str">
        <f>IF(OR(E2442="",E2442="!!!",F2442="NEW"),"",COUNTBLANK(OFFSET(A$1,,,SUMPRODUCT(MAX(ROW(E$2:E2442)*(E2442=E$2:E2442)))))-COUNTBLANK(OFFSET(A$1,,,SUMPRODUCT(MAX(ROW(E$1:E2441)*(E2=E$1:E2441))))))</f>
        <v> </v>
      </c>
      <c r="K2442" s="25" t="str">
        <f>IF(OR(E2442="",E2442="!!!",F2442="NEW"),"",INDEX(J$1:J2441,SUMPRODUCT(MAX(ROW(E$1:E2441)*(E2442=E$1:E2441)))))</f>
        <v> </v>
      </c>
      <c r="L2442" s="26"/>
    </row>
    <row r="2443" spans="1:12">
      <c r="A2443" s="20" t="s">
        <v>1393</v>
      </c>
      <c r="B2443" s="27" t="s">
        <v>544</v>
      </c>
      <c r="C2443" s="27" t="s">
        <v>540</v>
      </c>
      <c r="D2443" s="27" t="s">
        <v>524</v>
      </c>
      <c r="E2443" s="21">
        <f>IF(D2443="?OLD","!!!","")</f>
        <v/>
      </c>
      <c r="F2443" s="22" t="str">
        <f>IF(OR(E2443="",E2443="!!!"),"",IF(NOT(ISNA(VLOOKUP(E2443,E$1:E2442,1,FALSE()))),"OLD",IF(AND(E2443&lt;&gt;"",E2443&lt;&gt;"!!!"),"NEW","")))</f>
        <v> </v>
      </c>
      <c r="G2443" s="23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4" t="str">
        <f>IF(J2443&lt;&gt;1,"",IF(I2443="SBJ","CB","?"))</f>
        <v> </v>
      </c>
      <c r="I2443" s="25" t="str">
        <f>IF(OR(E2443="",E2443="!!!",F2443="NEW"),"",INDEX(B2442:B$2,-1+SUMPRODUCT(MAX(ROW(E2442:E$2)*(E2443=E2442:E$2)))))</f>
        <v> </v>
      </c>
      <c r="J2443" s="25" t="str">
        <f>IF(OR(E2443="",E2443="!!!",F2443="NEW"),"",COUNTBLANK(OFFSET(A$1,,,SUMPRODUCT(MAX(ROW(E$2:E2443)*(E2443=E$2:E2443)))))-COUNTBLANK(OFFSET(A$1,,,SUMPRODUCT(MAX(ROW(E$1:E2442)*(E2=E$1:E2442))))))</f>
        <v> </v>
      </c>
      <c r="K2443" s="25" t="str">
        <f>IF(OR(E2443="",E2443="!!!",F2443="NEW"),"",INDEX(J$1:J2442,SUMPRODUCT(MAX(ROW(E$1:E2442)*(E2443=E$1:E2442)))))</f>
        <v> </v>
      </c>
      <c r="L2443" s="26"/>
    </row>
    <row r="2444" spans="1:12">
      <c r="A2444" s="20" t="s">
        <v>518</v>
      </c>
      <c r="E2444" s="21">
        <f>IF(D2444="?OLD","!!!","")</f>
        <v/>
      </c>
      <c r="F2444" s="22" t="str">
        <f>IF(OR(E2444="",E2444="!!!"),"",IF(NOT(ISNA(VLOOKUP(E2444,E$1:E2443,1,FALSE()))),"OLD",IF(AND(E2444&lt;&gt;"",E2444&lt;&gt;"!!!"),"NEW","")))</f>
        <v> </v>
      </c>
      <c r="G2444" s="23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4" t="str">
        <f>IF(J2444&lt;&gt;1,"",IF(I2444="SBJ","CB","?"))</f>
        <v> </v>
      </c>
      <c r="I2444" s="25" t="str">
        <f>IF(OR(E2444="",E2444="!!!",F2444="NEW"),"",INDEX(B2443:B$2,-1+SUMPRODUCT(MAX(ROW(E2443:E$2)*(E2444=E2443:E$2)))))</f>
        <v> </v>
      </c>
      <c r="J2444" s="25" t="str">
        <f>IF(OR(E2444="",E2444="!!!",F2444="NEW"),"",COUNTBLANK(OFFSET(A$1,,,SUMPRODUCT(MAX(ROW(E$2:E2444)*(E2444=E$2:E2444)))))-COUNTBLANK(OFFSET(A$1,,,SUMPRODUCT(MAX(ROW(E$1:E2443)*(E2=E$1:E2443))))))</f>
        <v> </v>
      </c>
      <c r="K2444" s="25" t="str">
        <f>IF(OR(E2444="",E2444="!!!",F2444="NEW"),"",INDEX(J$1:J2443,SUMPRODUCT(MAX(ROW(E$1:E2443)*(E2444=E$1:E2443)))))</f>
        <v> </v>
      </c>
      <c r="L2444" s="26"/>
    </row>
    <row r="2445" spans="1:12">
      <c r="A2445" s="20" t="s">
        <v>542</v>
      </c>
      <c r="E2445" s="21">
        <f>IF(D2445="?OLD","!!!","")</f>
        <v/>
      </c>
      <c r="F2445" s="22" t="str">
        <f>IF(OR(E2445="",E2445="!!!"),"",IF(NOT(ISNA(VLOOKUP(E2445,E$1:E2444,1,FALSE()))),"OLD",IF(AND(E2445&lt;&gt;"",E2445&lt;&gt;"!!!"),"NEW","")))</f>
        <v> </v>
      </c>
      <c r="G2445" s="23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4" t="str">
        <f>IF(J2445&lt;&gt;1,"",IF(I2445="SBJ","CB","?"))</f>
        <v> </v>
      </c>
      <c r="I2445" s="25" t="str">
        <f>IF(OR(E2445="",E2445="!!!",F2445="NEW"),"",INDEX(B2444:B$2,-1+SUMPRODUCT(MAX(ROW(E2444:E$2)*(E2445=E2444:E$2)))))</f>
        <v> </v>
      </c>
      <c r="J2445" s="25" t="str">
        <f>IF(OR(E2445="",E2445="!!!",F2445="NEW"),"",COUNTBLANK(OFFSET(A$1,,,SUMPRODUCT(MAX(ROW(E$2:E2445)*(E2445=E$2:E2445)))))-COUNTBLANK(OFFSET(A$1,,,SUMPRODUCT(MAX(ROW(E$1:E2444)*(E2=E$1:E2444))))))</f>
        <v> </v>
      </c>
      <c r="K2445" s="25" t="str">
        <f>IF(OR(E2445="",E2445="!!!",F2445="NEW"),"",INDEX(J$1:J2444,SUMPRODUCT(MAX(ROW(E$1:E2444)*(E2445=E$1:E2444)))))</f>
        <v> </v>
      </c>
      <c r="L2445" s="26"/>
    </row>
    <row r="2446" spans="1:12">
      <c r="A2446" s="20" t="s">
        <v>1394</v>
      </c>
      <c r="B2446" s="27" t="s">
        <v>534</v>
      </c>
      <c r="C2446" s="27" t="s">
        <v>548</v>
      </c>
      <c r="D2446" s="27" t="s">
        <v>524</v>
      </c>
      <c r="E2446" s="21">
        <f>IF(D2446="?OLD","!!!","")</f>
        <v/>
      </c>
      <c r="F2446" s="22" t="str">
        <f>IF(OR(E2446="",E2446="!!!"),"",IF(NOT(ISNA(VLOOKUP(E2446,E$1:E2445,1,FALSE()))),"OLD",IF(AND(E2446&lt;&gt;"",E2446&lt;&gt;"!!!"),"NEW","")))</f>
        <v> </v>
      </c>
      <c r="G2446" s="23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4" t="str">
        <f>IF(J2446&lt;&gt;1,"",IF(I2446="SBJ","CB","?"))</f>
        <v> </v>
      </c>
      <c r="I2446" s="25" t="str">
        <f>IF(OR(E2446="",E2446="!!!",F2446="NEW"),"",INDEX(B2445:B$2,-1+SUMPRODUCT(MAX(ROW(E2445:E$2)*(E2446=E2445:E$2)))))</f>
        <v> </v>
      </c>
      <c r="J2446" s="25" t="str">
        <f>IF(OR(E2446="",E2446="!!!",F2446="NEW"),"",COUNTBLANK(OFFSET(A$1,,,SUMPRODUCT(MAX(ROW(E$2:E2446)*(E2446=E$2:E2446)))))-COUNTBLANK(OFFSET(A$1,,,SUMPRODUCT(MAX(ROW(E$1:E2445)*(E2=E$1:E2445))))))</f>
        <v> </v>
      </c>
      <c r="K2446" s="25" t="str">
        <f>IF(OR(E2446="",E2446="!!!",F2446="NEW"),"",INDEX(J$1:J2445,SUMPRODUCT(MAX(ROW(E$1:E2445)*(E2446=E$1:E2445)))))</f>
        <v> </v>
      </c>
      <c r="L2446" s="26"/>
    </row>
    <row r="2447" spans="1:12">
      <c r="A2447" s="20" t="s">
        <v>565</v>
      </c>
      <c r="E2447" s="21">
        <f>IF(D2447="?OLD","!!!","")</f>
        <v/>
      </c>
      <c r="F2447" s="22" t="str">
        <f>IF(OR(E2447="",E2447="!!!"),"",IF(NOT(ISNA(VLOOKUP(E2447,E$1:E2446,1,FALSE()))),"OLD",IF(AND(E2447&lt;&gt;"",E2447&lt;&gt;"!!!"),"NEW","")))</f>
        <v> </v>
      </c>
      <c r="G2447" s="23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4" t="str">
        <f>IF(J2447&lt;&gt;1,"",IF(I2447="SBJ","CB","?"))</f>
        <v> </v>
      </c>
      <c r="I2447" s="25" t="str">
        <f>IF(OR(E2447="",E2447="!!!",F2447="NEW"),"",INDEX(B2446:B$2,-1+SUMPRODUCT(MAX(ROW(E2446:E$2)*(E2447=E2446:E$2)))))</f>
        <v> </v>
      </c>
      <c r="J2447" s="25" t="str">
        <f>IF(OR(E2447="",E2447="!!!",F2447="NEW"),"",COUNTBLANK(OFFSET(A$1,,,SUMPRODUCT(MAX(ROW(E$2:E2447)*(E2447=E$2:E2447)))))-COUNTBLANK(OFFSET(A$1,,,SUMPRODUCT(MAX(ROW(E$1:E2446)*(E2=E$1:E2446))))))</f>
        <v> </v>
      </c>
      <c r="K2447" s="25" t="str">
        <f>IF(OR(E2447="",E2447="!!!",F2447="NEW"),"",INDEX(J$1:J2446,SUMPRODUCT(MAX(ROW(E$1:E2446)*(E2447=E$1:E2446)))))</f>
        <v> </v>
      </c>
      <c r="L2447" s="26"/>
    </row>
    <row r="2448" spans="1:12">
      <c r="A2448" s="20" t="s">
        <v>625</v>
      </c>
      <c r="E2448" s="21">
        <f>IF(D2448="?OLD","!!!","")</f>
        <v/>
      </c>
      <c r="F2448" s="22" t="str">
        <f>IF(OR(E2448="",E2448="!!!"),"",IF(NOT(ISNA(VLOOKUP(E2448,E$1:E2447,1,FALSE()))),"OLD",IF(AND(E2448&lt;&gt;"",E2448&lt;&gt;"!!!"),"NEW","")))</f>
        <v> </v>
      </c>
      <c r="G2448" s="23" t="str">
        <f>IF(OR(E2448="",E2448="!!!"),"",IF(OR(J2448=0,AND(J2448=1,K2448=1),AND(J2448=1,I2448="SBJ"),AND(J2448=1,I2448=0)),"?IN_FOCUS",IF(J2448&lt;=2,"?ACTIVATED",IF(J2448&lt;&gt;"","?FAMILIAR",IF(F2448="NEW",IF(ISNA(VLOOKUP(E2448,#REF!,1,FALSE())),"?TYPE_IDENTIFIABLE","?REFERENTIAL"),"_")))))</f>
        <v> </v>
      </c>
      <c r="H2448" s="24" t="str">
        <f>IF(J2448&lt;&gt;1,"",IF(I2448="SBJ","CB","?"))</f>
        <v> </v>
      </c>
      <c r="I2448" s="25" t="str">
        <f>IF(OR(E2448="",E2448="!!!",F2448="NEW"),"",INDEX(B2447:B$2,-1+SUMPRODUCT(MAX(ROW(E2447:E$2)*(E2448=E2447:E$2)))))</f>
        <v> </v>
      </c>
      <c r="J2448" s="25" t="str">
        <f>IF(OR(E2448="",E2448="!!!",F2448="NEW"),"",COUNTBLANK(OFFSET(A$1,,,SUMPRODUCT(MAX(ROW(E$2:E2448)*(E2448=E$2:E2448)))))-COUNTBLANK(OFFSET(A$1,,,SUMPRODUCT(MAX(ROW(E$1:E2447)*(E2=E$1:E2447))))))</f>
        <v> </v>
      </c>
      <c r="K2448" s="25" t="str">
        <f>IF(OR(E2448="",E2448="!!!",F2448="NEW"),"",INDEX(J$1:J2447,SUMPRODUCT(MAX(ROW(E$1:E2447)*(E2448=E$1:E2447)))))</f>
        <v> </v>
      </c>
      <c r="L2448" s="26"/>
    </row>
    <row r="2449" spans="1:12">
      <c r="A2449" s="20" t="s">
        <v>634</v>
      </c>
      <c r="E2449" s="21">
        <f>IF(D2449="?OLD","!!!","")</f>
        <v/>
      </c>
      <c r="F2449" s="22" t="str">
        <f>IF(OR(E2449="",E2449="!!!"),"",IF(NOT(ISNA(VLOOKUP(E2449,E$1:E2448,1,FALSE()))),"OLD",IF(AND(E2449&lt;&gt;"",E2449&lt;&gt;"!!!"),"NEW","")))</f>
        <v> </v>
      </c>
      <c r="G2449" s="23" t="str">
        <f>IF(OR(E2449="",E2449="!!!"),"",IF(OR(J2449=0,AND(J2449=1,K2449=1),AND(J2449=1,I2449="SBJ"),AND(J2449=1,I2449=0)),"?IN_FOCUS",IF(J2449&lt;=2,"?ACTIVATED",IF(J2449&lt;&gt;"","?FAMILIAR",IF(F2449="NEW",IF(ISNA(VLOOKUP(E2449,#REF!,1,FALSE())),"?TYPE_IDENTIFIABLE","?REFERENTIAL"),"_")))))</f>
        <v> </v>
      </c>
      <c r="H2449" s="24" t="str">
        <f>IF(J2449&lt;&gt;1,"",IF(I2449="SBJ","CB","?"))</f>
        <v> </v>
      </c>
      <c r="I2449" s="25" t="str">
        <f>IF(OR(E2449="",E2449="!!!",F2449="NEW"),"",INDEX(B2448:B$2,-1+SUMPRODUCT(MAX(ROW(E2448:E$2)*(E2449=E2448:E$2)))))</f>
        <v> </v>
      </c>
      <c r="J2449" s="25" t="str">
        <f>IF(OR(E2449="",E2449="!!!",F2449="NEW"),"",COUNTBLANK(OFFSET(A$1,,,SUMPRODUCT(MAX(ROW(E$2:E2449)*(E2449=E$2:E2449)))))-COUNTBLANK(OFFSET(A$1,,,SUMPRODUCT(MAX(ROW(E$1:E2448)*(E2=E$1:E2448))))))</f>
        <v> </v>
      </c>
      <c r="K2449" s="25" t="str">
        <f>IF(OR(E2449="",E2449="!!!",F2449="NEW"),"",INDEX(J$1:J2448,SUMPRODUCT(MAX(ROW(E$1:E2448)*(E2449=E$1:E2448)))))</f>
        <v> </v>
      </c>
      <c r="L2449" s="26"/>
    </row>
    <row r="2450" spans="1:12">
      <c r="A2450" s="20" t="s">
        <v>542</v>
      </c>
      <c r="E2450" s="21">
        <f>IF(D2450="?OLD","!!!","")</f>
        <v/>
      </c>
      <c r="F2450" s="22" t="str">
        <f>IF(OR(E2450="",E2450="!!!"),"",IF(NOT(ISNA(VLOOKUP(E2450,E$1:E2449,1,FALSE()))),"OLD",IF(AND(E2450&lt;&gt;"",E2450&lt;&gt;"!!!"),"NEW","")))</f>
        <v> </v>
      </c>
      <c r="G2450" s="23" t="str">
        <f>IF(OR(E2450="",E2450="!!!"),"",IF(OR(J2450=0,AND(J2450=1,K2450=1),AND(J2450=1,I2450="SBJ"),AND(J2450=1,I2450=0)),"?IN_FOCUS",IF(J2450&lt;=2,"?ACTIVATED",IF(J2450&lt;&gt;"","?FAMILIAR",IF(F2450="NEW",IF(ISNA(VLOOKUP(E2450,#REF!,1,FALSE())),"?TYPE_IDENTIFIABLE","?REFERENTIAL"),"_")))))</f>
        <v> </v>
      </c>
      <c r="H2450" s="24" t="str">
        <f>IF(J2450&lt;&gt;1,"",IF(I2450="SBJ","CB","?"))</f>
        <v> </v>
      </c>
      <c r="I2450" s="25" t="str">
        <f>IF(OR(E2450="",E2450="!!!",F2450="NEW"),"",INDEX(B2449:B$2,-1+SUMPRODUCT(MAX(ROW(E2449:E$2)*(E2450=E2449:E$2)))))</f>
        <v> </v>
      </c>
      <c r="J2450" s="25" t="str">
        <f>IF(OR(E2450="",E2450="!!!",F2450="NEW"),"",COUNTBLANK(OFFSET(A$1,,,SUMPRODUCT(MAX(ROW(E$2:E2450)*(E2450=E$2:E2450)))))-COUNTBLANK(OFFSET(A$1,,,SUMPRODUCT(MAX(ROW(E$1:E2449)*(E2=E$1:E2449))))))</f>
        <v> </v>
      </c>
      <c r="K2450" s="25" t="str">
        <f>IF(OR(E2450="",E2450="!!!",F2450="NEW"),"",INDEX(J$1:J2449,SUMPRODUCT(MAX(ROW(E$1:E2449)*(E2450=E$1:E2449)))))</f>
        <v> </v>
      </c>
      <c r="L2450" s="26"/>
    </row>
    <row r="2451" spans="1:12">
      <c r="A2451" s="20" t="s">
        <v>1210</v>
      </c>
      <c r="E2451" s="21">
        <f>IF(D2451="?OLD","!!!","")</f>
        <v/>
      </c>
      <c r="F2451" s="22" t="str">
        <f>IF(OR(E2451="",E2451="!!!"),"",IF(NOT(ISNA(VLOOKUP(E2451,E$1:E2450,1,FALSE()))),"OLD",IF(AND(E2451&lt;&gt;"",E2451&lt;&gt;"!!!"),"NEW","")))</f>
        <v> </v>
      </c>
      <c r="G2451" s="23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4" t="str">
        <f>IF(J2451&lt;&gt;1,"",IF(I2451="SBJ","CB","?"))</f>
        <v> </v>
      </c>
      <c r="I2451" s="25" t="str">
        <f>IF(OR(E2451="",E2451="!!!",F2451="NEW"),"",INDEX(B2450:B$2,-1+SUMPRODUCT(MAX(ROW(E2450:E$2)*(E2451=E2450:E$2)))))</f>
        <v> </v>
      </c>
      <c r="J2451" s="25" t="str">
        <f>IF(OR(E2451="",E2451="!!!",F2451="NEW"),"",COUNTBLANK(OFFSET(A$1,,,SUMPRODUCT(MAX(ROW(E$2:E2451)*(E2451=E$2:E2451)))))-COUNTBLANK(OFFSET(A$1,,,SUMPRODUCT(MAX(ROW(E$1:E2450)*(E2=E$1:E2450))))))</f>
        <v> </v>
      </c>
      <c r="K2451" s="25" t="str">
        <f>IF(OR(E2451="",E2451="!!!",F2451="NEW"),"",INDEX(J$1:J2450,SUMPRODUCT(MAX(ROW(E$1:E2450)*(E2451=E$1:E2450)))))</f>
        <v> </v>
      </c>
      <c r="L2451" s="26"/>
    </row>
    <row r="2452" spans="1:12">
      <c r="A2452" s="20" t="s">
        <v>541</v>
      </c>
      <c r="E2452" s="21">
        <f>IF(D2452="?OLD","!!!","")</f>
        <v/>
      </c>
      <c r="F2452" s="22" t="str">
        <f>IF(OR(E2452="",E2452="!!!"),"",IF(NOT(ISNA(VLOOKUP(E2452,E$1:E2451,1,FALSE()))),"OLD",IF(AND(E2452&lt;&gt;"",E2452&lt;&gt;"!!!"),"NEW","")))</f>
        <v> </v>
      </c>
      <c r="G2452" s="23" t="str">
        <f>IF(OR(E2452="",E2452="!!!"),"",IF(OR(J2452=0,AND(J2452=1,K2452=1),AND(J2452=1,I2452="SBJ"),AND(J2452=1,I2452=0)),"?IN_FOCUS",IF(J2452&lt;=2,"?ACTIVATED",IF(J2452&lt;&gt;"","?FAMILIAR",IF(F2452="NEW",IF(ISNA(VLOOKUP(E2452,#REF!,1,FALSE())),"?TYPE_IDENTIFIABLE","?REFERENTIAL"),"_")))))</f>
        <v> </v>
      </c>
      <c r="H2452" s="24" t="str">
        <f>IF(J2452&lt;&gt;1,"",IF(I2452="SBJ","CB","?"))</f>
        <v> </v>
      </c>
      <c r="I2452" s="25" t="str">
        <f>IF(OR(E2452="",E2452="!!!",F2452="NEW"),"",INDEX(B2451:B$2,-1+SUMPRODUCT(MAX(ROW(E2451:E$2)*(E2452=E2451:E$2)))))</f>
        <v> </v>
      </c>
      <c r="J2452" s="25" t="str">
        <f>IF(OR(E2452="",E2452="!!!",F2452="NEW"),"",COUNTBLANK(OFFSET(A$1,,,SUMPRODUCT(MAX(ROW(E$2:E2452)*(E2452=E$2:E2452)))))-COUNTBLANK(OFFSET(A$1,,,SUMPRODUCT(MAX(ROW(E$1:E2451)*(E2=E$1:E2451))))))</f>
        <v> </v>
      </c>
      <c r="K2452" s="25" t="str">
        <f>IF(OR(E2452="",E2452="!!!",F2452="NEW"),"",INDEX(J$1:J2451,SUMPRODUCT(MAX(ROW(E$1:E2451)*(E2452=E$1:E2451)))))</f>
        <v> </v>
      </c>
      <c r="L2452" s="26"/>
    </row>
    <row r="2453" spans="1:12">
      <c r="A2453" s="20" t="s">
        <v>525</v>
      </c>
      <c r="E2453" s="21">
        <f>IF(D2453="?OLD","!!!","")</f>
        <v/>
      </c>
      <c r="F2453" s="22" t="str">
        <f>IF(OR(E2453="",E2453="!!!"),"",IF(NOT(ISNA(VLOOKUP(E2453,E$1:E2452,1,FALSE()))),"OLD",IF(AND(E2453&lt;&gt;"",E2453&lt;&gt;"!!!"),"NEW","")))</f>
        <v> </v>
      </c>
      <c r="G2453" s="23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4" t="str">
        <f>IF(J2453&lt;&gt;1,"",IF(I2453="SBJ","CB","?"))</f>
        <v> </v>
      </c>
      <c r="I2453" s="25" t="str">
        <f>IF(OR(E2453="",E2453="!!!",F2453="NEW"),"",INDEX(B2452:B$2,-1+SUMPRODUCT(MAX(ROW(E2452:E$2)*(E2453=E2452:E$2)))))</f>
        <v> </v>
      </c>
      <c r="J2453" s="25" t="str">
        <f>IF(OR(E2453="",E2453="!!!",F2453="NEW"),"",COUNTBLANK(OFFSET(A$1,,,SUMPRODUCT(MAX(ROW(E$2:E2453)*(E2453=E$2:E2453)))))-COUNTBLANK(OFFSET(A$1,,,SUMPRODUCT(MAX(ROW(E$1:E2452)*(E2=E$1:E2452))))))</f>
        <v> </v>
      </c>
      <c r="K2453" s="25" t="str">
        <f>IF(OR(E2453="",E2453="!!!",F2453="NEW"),"",INDEX(J$1:J2452,SUMPRODUCT(MAX(ROW(E$1:E2452)*(E2453=E$1:E2452)))))</f>
        <v> </v>
      </c>
      <c r="L2453" s="26"/>
    </row>
    <row r="2454" spans="1:12">
      <c r="A2454" s="20" t="s">
        <v>1395</v>
      </c>
      <c r="B2454" s="27" t="s">
        <v>534</v>
      </c>
      <c r="C2454" s="27" t="s">
        <v>540</v>
      </c>
      <c r="D2454" s="27" t="s">
        <v>524</v>
      </c>
      <c r="E2454" s="21">
        <f>IF(D2454="?OLD","!!!","")</f>
        <v/>
      </c>
      <c r="F2454" s="22" t="str">
        <f>IF(OR(E2454="",E2454="!!!"),"",IF(NOT(ISNA(VLOOKUP(E2454,E$1:E2453,1,FALSE()))),"OLD",IF(AND(E2454&lt;&gt;"",E2454&lt;&gt;"!!!"),"NEW","")))</f>
        <v> </v>
      </c>
      <c r="G2454" s="23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4" t="str">
        <f>IF(J2454&lt;&gt;1,"",IF(I2454="SBJ","CB","?"))</f>
        <v> </v>
      </c>
      <c r="I2454" s="25" t="str">
        <f>IF(OR(E2454="",E2454="!!!",F2454="NEW"),"",INDEX(B2453:B$2,-1+SUMPRODUCT(MAX(ROW(E2453:E$2)*(E2454=E2453:E$2)))))</f>
        <v> </v>
      </c>
      <c r="J2454" s="25" t="str">
        <f>IF(OR(E2454="",E2454="!!!",F2454="NEW"),"",COUNTBLANK(OFFSET(A$1,,,SUMPRODUCT(MAX(ROW(E$2:E2454)*(E2454=E$2:E2454)))))-COUNTBLANK(OFFSET(A$1,,,SUMPRODUCT(MAX(ROW(E$1:E2453)*(E2=E$1:E2453))))))</f>
        <v> </v>
      </c>
      <c r="K2454" s="25" t="str">
        <f>IF(OR(E2454="",E2454="!!!",F2454="NEW"),"",INDEX(J$1:J2453,SUMPRODUCT(MAX(ROW(E$1:E2453)*(E2454=E$1:E2453)))))</f>
        <v> </v>
      </c>
      <c r="L2454" s="26"/>
    </row>
    <row r="2455" spans="1:12">
      <c r="A2455" s="20" t="s">
        <v>518</v>
      </c>
      <c r="E2455" s="21">
        <f>IF(D2455="?OLD","!!!","")</f>
        <v/>
      </c>
      <c r="F2455" s="22" t="str">
        <f>IF(OR(E2455="",E2455="!!!"),"",IF(NOT(ISNA(VLOOKUP(E2455,E$1:E2454,1,FALSE()))),"OLD",IF(AND(E2455&lt;&gt;"",E2455&lt;&gt;"!!!"),"NEW","")))</f>
        <v> </v>
      </c>
      <c r="G2455" s="23" t="str">
        <f>IF(OR(E2455="",E2455="!!!"),"",IF(OR(J2455=0,AND(J2455=1,K2455=1),AND(J2455=1,I2455="SBJ"),AND(J2455=1,I2455=0)),"?IN_FOCUS",IF(J2455&lt;=2,"?ACTIVATED",IF(J2455&lt;&gt;"","?FAMILIAR",IF(F2455="NEW",IF(ISNA(VLOOKUP(E2455,#REF!,1,FALSE())),"?TYPE_IDENTIFIABLE","?REFERENTIAL"),"_")))))</f>
        <v> </v>
      </c>
      <c r="H2455" s="24" t="str">
        <f>IF(J2455&lt;&gt;1,"",IF(I2455="SBJ","CB","?"))</f>
        <v> </v>
      </c>
      <c r="I2455" s="25" t="str">
        <f>IF(OR(E2455="",E2455="!!!",F2455="NEW"),"",INDEX(B2454:B$2,-1+SUMPRODUCT(MAX(ROW(E2454:E$2)*(E2455=E2454:E$2)))))</f>
        <v> </v>
      </c>
      <c r="J2455" s="25" t="str">
        <f>IF(OR(E2455="",E2455="!!!",F2455="NEW"),"",COUNTBLANK(OFFSET(A$1,,,SUMPRODUCT(MAX(ROW(E$2:E2455)*(E2455=E$2:E2455)))))-COUNTBLANK(OFFSET(A$1,,,SUMPRODUCT(MAX(ROW(E$1:E2454)*(E2=E$1:E2454))))))</f>
        <v> </v>
      </c>
      <c r="K2455" s="25" t="str">
        <f>IF(OR(E2455="",E2455="!!!",F2455="NEW"),"",INDEX(J$1:J2454,SUMPRODUCT(MAX(ROW(E$1:E2454)*(E2455=E$1:E2454)))))</f>
        <v> </v>
      </c>
      <c r="L2455" s="26"/>
    </row>
    <row r="2456" spans="1:12">
      <c r="A2456" s="20" t="s">
        <v>1396</v>
      </c>
      <c r="B2456" s="27" t="s">
        <v>641</v>
      </c>
      <c r="C2456" s="27" t="s">
        <v>564</v>
      </c>
      <c r="E2456" s="21">
        <f>IF(D2456="?OLD","!!!","")</f>
        <v/>
      </c>
      <c r="F2456" s="22" t="str">
        <f>IF(OR(E2456="",E2456="!!!"),"",IF(NOT(ISNA(VLOOKUP(E2456,E$1:E2455,1,FALSE()))),"OLD",IF(AND(E2456&lt;&gt;"",E2456&lt;&gt;"!!!"),"NEW","")))</f>
        <v> </v>
      </c>
      <c r="G2456" s="23" t="str">
        <f>IF(OR(E2456="",E2456="!!!"),"",IF(OR(J2456=0,AND(J2456=1,K2456=1),AND(J2456=1,I2456="SBJ"),AND(J2456=1,I2456=0)),"?IN_FOCUS",IF(J2456&lt;=2,"?ACTIVATED",IF(J2456&lt;&gt;"","?FAMILIAR",IF(F2456="NEW",IF(ISNA(VLOOKUP(E2456,#REF!,1,FALSE())),"?TYPE_IDENTIFIABLE","?REFERENTIAL"),"_")))))</f>
        <v> </v>
      </c>
      <c r="H2456" s="24" t="str">
        <f>IF(J2456&lt;&gt;1,"",IF(I2456="SBJ","CB","?"))</f>
        <v> </v>
      </c>
      <c r="I2456" s="25" t="str">
        <f>IF(OR(E2456="",E2456="!!!",F2456="NEW"),"",INDEX(B2455:B$2,-1+SUMPRODUCT(MAX(ROW(E2455:E$2)*(E2456=E2455:E$2)))))</f>
        <v> </v>
      </c>
      <c r="J2456" s="25" t="str">
        <f>IF(OR(E2456="",E2456="!!!",F2456="NEW"),"",COUNTBLANK(OFFSET(A$1,,,SUMPRODUCT(MAX(ROW(E$2:E2456)*(E2456=E$2:E2456)))))-COUNTBLANK(OFFSET(A$1,,,SUMPRODUCT(MAX(ROW(E$1:E2455)*(E2=E$1:E2455))))))</f>
        <v> </v>
      </c>
      <c r="K2456" s="25" t="str">
        <f>IF(OR(E2456="",E2456="!!!",F2456="NEW"),"",INDEX(J$1:J2455,SUMPRODUCT(MAX(ROW(E$1:E2455)*(E2456=E$1:E2455)))))</f>
        <v> </v>
      </c>
      <c r="L2456" s="26"/>
    </row>
    <row r="2457" spans="1:12">
      <c r="A2457" s="20" t="s">
        <v>549</v>
      </c>
      <c r="E2457" s="21">
        <f>IF(D2457="?OLD","!!!","")</f>
        <v/>
      </c>
      <c r="F2457" s="22" t="str">
        <f>IF(OR(E2457="",E2457="!!!"),"",IF(NOT(ISNA(VLOOKUP(E2457,E$1:E2456,1,FALSE()))),"OLD",IF(AND(E2457&lt;&gt;"",E2457&lt;&gt;"!!!"),"NEW","")))</f>
        <v> </v>
      </c>
      <c r="G2457" s="23" t="str">
        <f>IF(OR(E2457="",E2457="!!!"),"",IF(OR(J2457=0,AND(J2457=1,K2457=1),AND(J2457=1,I2457="SBJ"),AND(J2457=1,I2457=0)),"?IN_FOCUS",IF(J2457&lt;=2,"?ACTIVATED",IF(J2457&lt;&gt;"","?FAMILIAR",IF(F2457="NEW",IF(ISNA(VLOOKUP(E2457,#REF!,1,FALSE())),"?TYPE_IDENTIFIABLE","?REFERENTIAL"),"_")))))</f>
        <v> </v>
      </c>
      <c r="H2457" s="24" t="str">
        <f>IF(J2457&lt;&gt;1,"",IF(I2457="SBJ","CB","?"))</f>
        <v> </v>
      </c>
      <c r="I2457" s="25" t="str">
        <f>IF(OR(E2457="",E2457="!!!",F2457="NEW"),"",INDEX(B2456:B$2,-1+SUMPRODUCT(MAX(ROW(E2456:E$2)*(E2457=E2456:E$2)))))</f>
        <v> </v>
      </c>
      <c r="J2457" s="25" t="str">
        <f>IF(OR(E2457="",E2457="!!!",F2457="NEW"),"",COUNTBLANK(OFFSET(A$1,,,SUMPRODUCT(MAX(ROW(E$2:E2457)*(E2457=E$2:E2457)))))-COUNTBLANK(OFFSET(A$1,,,SUMPRODUCT(MAX(ROW(E$1:E2456)*(E2=E$1:E2456))))))</f>
        <v> </v>
      </c>
      <c r="K2457" s="25" t="str">
        <f>IF(OR(E2457="",E2457="!!!",F2457="NEW"),"",INDEX(J$1:J2456,SUMPRODUCT(MAX(ROW(E$1:E2456)*(E2457=E$1:E2456)))))</f>
        <v> </v>
      </c>
      <c r="L2457" s="26"/>
    </row>
    <row r="2458" spans="1:12">
      <c r="A2458" s="20"/>
    </row>
    <row r="2459" spans="1:12">
      <c r="A2459" s="20" t="s">
        <v>1397</v>
      </c>
    </row>
    <row r="2460" spans="1:12">
      <c r="A2460" s="20" t="s">
        <v>1398</v>
      </c>
      <c r="E2460" s="21">
        <f>IF(D2460="?OLD","!!!","")</f>
        <v/>
      </c>
      <c r="F2460" s="22" t="str">
        <f>IF(OR(E2460="",E2460="!!!"),"",IF(NOT(ISNA(VLOOKUP(E2460,E$1:E2459,1,FALSE()))),"OLD",IF(AND(E2460&lt;&gt;"",E2460&lt;&gt;"!!!"),"NEW","")))</f>
        <v> </v>
      </c>
      <c r="G2460" s="23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4" t="str">
        <f>IF(J2460&lt;&gt;1,"",IF(I2460="SBJ","CB","?"))</f>
        <v> </v>
      </c>
      <c r="I2460" s="25" t="str">
        <f>IF(OR(E2460="",E2460="!!!",F2460="NEW"),"",INDEX(B2459:B$2,-1+SUMPRODUCT(MAX(ROW(E2459:E$2)*(E2460=E2459:E$2)))))</f>
        <v> </v>
      </c>
      <c r="J2460" s="25" t="str">
        <f>IF(OR(E2460="",E2460="!!!",F2460="NEW"),"",COUNTBLANK(OFFSET(A$1,,,SUMPRODUCT(MAX(ROW(E$2:E2460)*(E2460=E$2:E2460)))))-COUNTBLANK(OFFSET(A$1,,,SUMPRODUCT(MAX(ROW(E$1:E2459)*(E2=E$1:E2459))))))</f>
        <v> </v>
      </c>
      <c r="K2460" s="25" t="str">
        <f>IF(OR(E2460="",E2460="!!!",F2460="NEW"),"",INDEX(J$1:J2459,SUMPRODUCT(MAX(ROW(E$1:E2459)*(E2460=E$1:E2459)))))</f>
        <v> </v>
      </c>
      <c r="L2460" s="26"/>
    </row>
    <row r="2461" spans="1:12">
      <c r="A2461" s="20" t="s">
        <v>1399</v>
      </c>
      <c r="E2461" s="21">
        <f>IF(D2461="?OLD","!!!","")</f>
        <v/>
      </c>
      <c r="F2461" s="22" t="str">
        <f>IF(OR(E2461="",E2461="!!!"),"",IF(NOT(ISNA(VLOOKUP(E2461,E$1:E2460,1,FALSE()))),"OLD",IF(AND(E2461&lt;&gt;"",E2461&lt;&gt;"!!!"),"NEW","")))</f>
        <v> </v>
      </c>
      <c r="G2461" s="23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4" t="str">
        <f>IF(J2461&lt;&gt;1,"",IF(I2461="SBJ","CB","?"))</f>
        <v> </v>
      </c>
      <c r="I2461" s="25" t="str">
        <f>IF(OR(E2461="",E2461="!!!",F2461="NEW"),"",INDEX(B2460:B$2,-1+SUMPRODUCT(MAX(ROW(E2460:E$2)*(E2461=E2460:E$2)))))</f>
        <v> </v>
      </c>
      <c r="J2461" s="25" t="str">
        <f>IF(OR(E2461="",E2461="!!!",F2461="NEW"),"",COUNTBLANK(OFFSET(A$1,,,SUMPRODUCT(MAX(ROW(E$2:E2461)*(E2461=E$2:E2461)))))-COUNTBLANK(OFFSET(A$1,,,SUMPRODUCT(MAX(ROW(E$1:E2460)*(E2=E$1:E2460))))))</f>
        <v> </v>
      </c>
      <c r="K2461" s="25" t="str">
        <f>IF(OR(E2461="",E2461="!!!",F2461="NEW"),"",INDEX(J$1:J2460,SUMPRODUCT(MAX(ROW(E$1:E2460)*(E2461=E$1:E2460)))))</f>
        <v> </v>
      </c>
      <c r="L2461" s="26"/>
    </row>
    <row r="2462" spans="1:12">
      <c r="A2462" s="20" t="s">
        <v>549</v>
      </c>
      <c r="E2462" s="21">
        <f>IF(D2462="?OLD","!!!","")</f>
        <v/>
      </c>
      <c r="F2462" s="22" t="str">
        <f>IF(OR(E2462="",E2462="!!!"),"",IF(NOT(ISNA(VLOOKUP(E2462,E$1:E2461,1,FALSE()))),"OLD",IF(AND(E2462&lt;&gt;"",E2462&lt;&gt;"!!!"),"NEW","")))</f>
        <v> </v>
      </c>
      <c r="G2462" s="23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4" t="str">
        <f>IF(J2462&lt;&gt;1,"",IF(I2462="SBJ","CB","?"))</f>
        <v> </v>
      </c>
      <c r="I2462" s="25" t="str">
        <f>IF(OR(E2462="",E2462="!!!",F2462="NEW"),"",INDEX(B2461:B$2,-1+SUMPRODUCT(MAX(ROW(E2461:E$2)*(E2462=E2461:E$2)))))</f>
        <v> </v>
      </c>
      <c r="J2462" s="25" t="str">
        <f>IF(OR(E2462="",E2462="!!!",F2462="NEW"),"",COUNTBLANK(OFFSET(A$1,,,SUMPRODUCT(MAX(ROW(E$2:E2462)*(E2462=E$2:E2462)))))-COUNTBLANK(OFFSET(A$1,,,SUMPRODUCT(MAX(ROW(E$1:E2461)*(E2=E$1:E2461))))))</f>
        <v> </v>
      </c>
      <c r="K2462" s="25" t="str">
        <f>IF(OR(E2462="",E2462="!!!",F2462="NEW"),"",INDEX(J$1:J2461,SUMPRODUCT(MAX(ROW(E$1:E2461)*(E2462=E$1:E2461)))))</f>
        <v> </v>
      </c>
      <c r="L2462" s="26"/>
    </row>
    <row r="2463" spans="1:12">
      <c r="A2463" s="20"/>
    </row>
    <row r="2464" spans="1:12">
      <c r="A2464" s="20" t="s">
        <v>1400</v>
      </c>
    </row>
    <row r="2465" spans="1:12">
      <c r="A2465" s="20" t="s">
        <v>632</v>
      </c>
      <c r="B2465" s="27" t="s">
        <v>680</v>
      </c>
      <c r="C2465" s="27" t="s">
        <v>523</v>
      </c>
      <c r="D2465" s="27" t="s">
        <v>524</v>
      </c>
      <c r="E2465" s="21">
        <f>IF(D2465="?OLD","!!!","")</f>
        <v/>
      </c>
      <c r="F2465" s="22" t="str">
        <f>IF(OR(E2465="",E2465="!!!"),"",IF(NOT(ISNA(VLOOKUP(E2465,E$1:E2464,1,FALSE()))),"OLD",IF(AND(E2465&lt;&gt;"",E2465&lt;&gt;"!!!"),"NEW","")))</f>
        <v> </v>
      </c>
      <c r="G2465" s="23" t="str">
        <f>IF(OR(E2465="",E2465="!!!"),"",IF(OR(J2465=0,AND(J2465=1,K2465=1),AND(J2465=1,I2465="SBJ"),AND(J2465=1,I2465=0)),"?IN_FOCUS",IF(J2465&lt;=2,"?ACTIVATED",IF(J2465&lt;&gt;"","?FAMILIAR",IF(F2465="NEW",IF(ISNA(VLOOKUP(E2465,#REF!,1,FALSE())),"?TYPE_IDENTIFIABLE","?REFERENTIAL"),"_")))))</f>
        <v> </v>
      </c>
      <c r="H2465" s="24" t="str">
        <f>IF(J2465&lt;&gt;1,"",IF(I2465="SBJ","CB","?"))</f>
        <v> </v>
      </c>
      <c r="I2465" s="25" t="str">
        <f>IF(OR(E2465="",E2465="!!!",F2465="NEW"),"",INDEX(B2464:B$2,-1+SUMPRODUCT(MAX(ROW(E2464:E$2)*(E2465=E2464:E$2)))))</f>
        <v> </v>
      </c>
      <c r="J2465" s="25" t="str">
        <f>IF(OR(E2465="",E2465="!!!",F2465="NEW"),"",COUNTBLANK(OFFSET(A$1,,,SUMPRODUCT(MAX(ROW(E$2:E2465)*(E2465=E$2:E2465)))))-COUNTBLANK(OFFSET(A$1,,,SUMPRODUCT(MAX(ROW(E$1:E2464)*(E2=E$1:E2464))))))</f>
        <v> </v>
      </c>
      <c r="K2465" s="25" t="str">
        <f>IF(OR(E2465="",E2465="!!!",F2465="NEW"),"",INDEX(J$1:J2464,SUMPRODUCT(MAX(ROW(E$1:E2464)*(E2465=E$1:E2464)))))</f>
        <v> </v>
      </c>
      <c r="L2465" s="26"/>
    </row>
    <row r="2466" spans="1:12">
      <c r="A2466" s="20" t="s">
        <v>634</v>
      </c>
      <c r="E2466" s="21">
        <f>IF(D2466="?OLD","!!!","")</f>
        <v/>
      </c>
      <c r="F2466" s="22" t="str">
        <f>IF(OR(E2466="",E2466="!!!"),"",IF(NOT(ISNA(VLOOKUP(E2466,E$1:E2465,1,FALSE()))),"OLD",IF(AND(E2466&lt;&gt;"",E2466&lt;&gt;"!!!"),"NEW","")))</f>
        <v> </v>
      </c>
      <c r="G2466" s="23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4" t="str">
        <f>IF(J2466&lt;&gt;1,"",IF(I2466="SBJ","CB","?"))</f>
        <v> </v>
      </c>
      <c r="I2466" s="25" t="str">
        <f>IF(OR(E2466="",E2466="!!!",F2466="NEW"),"",INDEX(B2465:B$2,-1+SUMPRODUCT(MAX(ROW(E2465:E$2)*(E2466=E2465:E$2)))))</f>
        <v> </v>
      </c>
      <c r="J2466" s="25" t="str">
        <f>IF(OR(E2466="",E2466="!!!",F2466="NEW"),"",COUNTBLANK(OFFSET(A$1,,,SUMPRODUCT(MAX(ROW(E$2:E2466)*(E2466=E$2:E2466)))))-COUNTBLANK(OFFSET(A$1,,,SUMPRODUCT(MAX(ROW(E$1:E2465)*(E2=E$1:E2465))))))</f>
        <v> </v>
      </c>
      <c r="K2466" s="25" t="str">
        <f>IF(OR(E2466="",E2466="!!!",F2466="NEW"),"",INDEX(J$1:J2465,SUMPRODUCT(MAX(ROW(E$1:E2465)*(E2466=E$1:E2465)))))</f>
        <v> </v>
      </c>
      <c r="L2466" s="26"/>
    </row>
    <row r="2467" spans="1:12">
      <c r="A2467" s="20" t="s">
        <v>518</v>
      </c>
      <c r="E2467" s="21">
        <f>IF(D2467="?OLD","!!!","")</f>
        <v/>
      </c>
      <c r="F2467" s="22" t="str">
        <f>IF(OR(E2467="",E2467="!!!"),"",IF(NOT(ISNA(VLOOKUP(E2467,E$1:E2466,1,FALSE()))),"OLD",IF(AND(E2467&lt;&gt;"",E2467&lt;&gt;"!!!"),"NEW","")))</f>
        <v> </v>
      </c>
      <c r="G2467" s="23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4" t="str">
        <f>IF(J2467&lt;&gt;1,"",IF(I2467="SBJ","CB","?"))</f>
        <v> </v>
      </c>
      <c r="I2467" s="25" t="str">
        <f>IF(OR(E2467="",E2467="!!!",F2467="NEW"),"",INDEX(B2466:B$2,-1+SUMPRODUCT(MAX(ROW(E2466:E$2)*(E2467=E2466:E$2)))))</f>
        <v> </v>
      </c>
      <c r="J2467" s="25" t="str">
        <f>IF(OR(E2467="",E2467="!!!",F2467="NEW"),"",COUNTBLANK(OFFSET(A$1,,,SUMPRODUCT(MAX(ROW(E$2:E2467)*(E2467=E$2:E2467)))))-COUNTBLANK(OFFSET(A$1,,,SUMPRODUCT(MAX(ROW(E$1:E2466)*(E2=E$1:E2466))))))</f>
        <v> </v>
      </c>
      <c r="K2467" s="25" t="str">
        <f>IF(OR(E2467="",E2467="!!!",F2467="NEW"),"",INDEX(J$1:J2466,SUMPRODUCT(MAX(ROW(E$1:E2466)*(E2467=E$1:E2466)))))</f>
        <v> </v>
      </c>
      <c r="L2467" s="26"/>
    </row>
    <row r="2468" spans="1:12">
      <c r="A2468" s="20" t="s">
        <v>1401</v>
      </c>
      <c r="B2468" s="27" t="s">
        <v>592</v>
      </c>
      <c r="C2468" s="27" t="s">
        <v>564</v>
      </c>
      <c r="E2468" s="21">
        <f>IF(D2468="?OLD","!!!","")</f>
        <v/>
      </c>
      <c r="F2468" s="22" t="str">
        <f>IF(OR(E2468="",E2468="!!!"),"",IF(NOT(ISNA(VLOOKUP(E2468,E$1:E2467,1,FALSE()))),"OLD",IF(AND(E2468&lt;&gt;"",E2468&lt;&gt;"!!!"),"NEW","")))</f>
        <v> </v>
      </c>
      <c r="G2468" s="23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4" t="str">
        <f>IF(J2468&lt;&gt;1,"",IF(I2468="SBJ","CB","?"))</f>
        <v> </v>
      </c>
      <c r="I2468" s="25" t="str">
        <f>IF(OR(E2468="",E2468="!!!",F2468="NEW"),"",INDEX(B2467:B$2,-1+SUMPRODUCT(MAX(ROW(E2467:E$2)*(E2468=E2467:E$2)))))</f>
        <v> </v>
      </c>
      <c r="J2468" s="25" t="str">
        <f>IF(OR(E2468="",E2468="!!!",F2468="NEW"),"",COUNTBLANK(OFFSET(A$1,,,SUMPRODUCT(MAX(ROW(E$2:E2468)*(E2468=E$2:E2468)))))-COUNTBLANK(OFFSET(A$1,,,SUMPRODUCT(MAX(ROW(E$1:E2467)*(E2=E$1:E2467))))))</f>
        <v> </v>
      </c>
      <c r="K2468" s="25" t="str">
        <f>IF(OR(E2468="",E2468="!!!",F2468="NEW"),"",INDEX(J$1:J2467,SUMPRODUCT(MAX(ROW(E$1:E2467)*(E2468=E$1:E2467)))))</f>
        <v> </v>
      </c>
      <c r="L2468" s="26"/>
    </row>
    <row r="2469" spans="1:12">
      <c r="A2469" s="20" t="s">
        <v>549</v>
      </c>
      <c r="E2469" s="21">
        <f>IF(D2469="?OLD","!!!","")</f>
        <v/>
      </c>
      <c r="F2469" s="22" t="str">
        <f>IF(OR(E2469="",E2469="!!!"),"",IF(NOT(ISNA(VLOOKUP(E2469,E$1:E2468,1,FALSE()))),"OLD",IF(AND(E2469&lt;&gt;"",E2469&lt;&gt;"!!!"),"NEW","")))</f>
        <v> </v>
      </c>
      <c r="G2469" s="23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4" t="str">
        <f>IF(J2469&lt;&gt;1,"",IF(I2469="SBJ","CB","?"))</f>
        <v> </v>
      </c>
      <c r="I2469" s="25" t="str">
        <f>IF(OR(E2469="",E2469="!!!",F2469="NEW"),"",INDEX(B2468:B$2,-1+SUMPRODUCT(MAX(ROW(E2468:E$2)*(E2469=E2468:E$2)))))</f>
        <v> </v>
      </c>
      <c r="J2469" s="25" t="str">
        <f>IF(OR(E2469="",E2469="!!!",F2469="NEW"),"",COUNTBLANK(OFFSET(A$1,,,SUMPRODUCT(MAX(ROW(E$2:E2469)*(E2469=E$2:E2469)))))-COUNTBLANK(OFFSET(A$1,,,SUMPRODUCT(MAX(ROW(E$1:E2468)*(E2=E$1:E2468))))))</f>
        <v> </v>
      </c>
      <c r="K2469" s="25" t="str">
        <f>IF(OR(E2469="",E2469="!!!",F2469="NEW"),"",INDEX(J$1:J2468,SUMPRODUCT(MAX(ROW(E$1:E2468)*(E2469=E$1:E2468)))))</f>
        <v> </v>
      </c>
      <c r="L2469" s="26"/>
    </row>
    <row r="2470" spans="1:12">
      <c r="A2470" s="20"/>
    </row>
    <row r="2471" spans="1:12">
      <c r="A2471" s="20" t="s">
        <v>550</v>
      </c>
      <c r="E2471" s="21">
        <f>IF(D2471="?OLD","!!!","")</f>
        <v/>
      </c>
      <c r="F2471" s="22" t="str">
        <f>IF(OR(E2471="",E2471="!!!"),"",IF(NOT(ISNA(VLOOKUP(E2471,E$1:E2470,1,FALSE()))),"OLD",IF(AND(E2471&lt;&gt;"",E2471&lt;&gt;"!!!"),"NEW","")))</f>
        <v> </v>
      </c>
      <c r="G2471" s="23" t="str">
        <f>IF(OR(E2471="",E2471="!!!"),"",IF(OR(J2471=0,AND(J2471=1,K2471=1),AND(J2471=1,I2471="SBJ"),AND(J2471=1,I2471=0)),"?IN_FOCUS",IF(J2471&lt;=2,"?ACTIVATED",IF(J2471&lt;&gt;"","?FAMILIAR",IF(F2471="NEW",IF(ISNA(VLOOKUP(E2471,#REF!,1,FALSE())),"?TYPE_IDENTIFIABLE","?REFERENTIAL"),"_")))))</f>
        <v> </v>
      </c>
      <c r="H2471" s="24" t="str">
        <f>IF(J2471&lt;&gt;1,"",IF(I2471="SBJ","CB","?"))</f>
        <v> </v>
      </c>
      <c r="I2471" s="25" t="str">
        <f>IF(OR(E2471="",E2471="!!!",F2471="NEW"),"",INDEX(B2470:B$2,-1+SUMPRODUCT(MAX(ROW(E2470:E$2)*(E2471=E2470:E$2)))))</f>
        <v> </v>
      </c>
      <c r="J2471" s="25" t="str">
        <f>IF(OR(E2471="",E2471="!!!",F2471="NEW"),"",COUNTBLANK(OFFSET(A$1,,,SUMPRODUCT(MAX(ROW(E$2:E2471)*(E2471=E$2:E2471)))))-COUNTBLANK(OFFSET(A$1,,,SUMPRODUCT(MAX(ROW(E$1:E2470)*(E2=E$1:E2470))))))</f>
        <v> </v>
      </c>
      <c r="K2471" s="25" t="str">
        <f>IF(OR(E2471="",E2471="!!!",F2471="NEW"),"",INDEX(J$1:J2470,SUMPRODUCT(MAX(ROW(E$1:E2470)*(E2471=E$1:E2470)))))</f>
        <v> </v>
      </c>
      <c r="L2471" s="26"/>
    </row>
    <row r="2472" spans="1:12">
      <c r="A2472" s="20" t="s">
        <v>1402</v>
      </c>
    </row>
    <row r="2473" spans="1:12">
      <c r="A2473" s="20" t="s">
        <v>1403</v>
      </c>
      <c r="E2473" s="21">
        <f>IF(D2473="?OLD","!!!","")</f>
        <v/>
      </c>
      <c r="F2473" s="22" t="str">
        <f>IF(OR(E2473="",E2473="!!!"),"",IF(NOT(ISNA(VLOOKUP(E2473,E$1:E2472,1,FALSE()))),"OLD",IF(AND(E2473&lt;&gt;"",E2473&lt;&gt;"!!!"),"NEW","")))</f>
        <v> </v>
      </c>
      <c r="G2473" s="23" t="str">
        <f>IF(OR(E2473="",E2473="!!!"),"",IF(OR(J2473=0,AND(J2473=1,K2473=1),AND(J2473=1,I2473="SBJ"),AND(J2473=1,I2473=0)),"?IN_FOCUS",IF(J2473&lt;=2,"?ACTIVATED",IF(J2473&lt;&gt;"","?FAMILIAR",IF(F2473="NEW",IF(ISNA(VLOOKUP(E2473,#REF!,1,FALSE())),"?TYPE_IDENTIFIABLE","?REFERENTIAL"),"_")))))</f>
        <v> </v>
      </c>
      <c r="H2473" s="24" t="str">
        <f>IF(J2473&lt;&gt;1,"",IF(I2473="SBJ","CB","?"))</f>
        <v> </v>
      </c>
      <c r="I2473" s="25" t="str">
        <f>IF(OR(E2473="",E2473="!!!",F2473="NEW"),"",INDEX(B2472:B$2,-1+SUMPRODUCT(MAX(ROW(E2472:E$2)*(E2473=E2472:E$2)))))</f>
        <v> </v>
      </c>
      <c r="J2473" s="25" t="str">
        <f>IF(OR(E2473="",E2473="!!!",F2473="NEW"),"",COUNTBLANK(OFFSET(A$1,,,SUMPRODUCT(MAX(ROW(E$2:E2473)*(E2473=E$2:E2473)))))-COUNTBLANK(OFFSET(A$1,,,SUMPRODUCT(MAX(ROW(E$1:E2472)*(E2=E$1:E2472))))))</f>
        <v> </v>
      </c>
      <c r="K2473" s="25" t="str">
        <f>IF(OR(E2473="",E2473="!!!",F2473="NEW"),"",INDEX(J$1:J2472,SUMPRODUCT(MAX(ROW(E$1:E2472)*(E2473=E$1:E2472)))))</f>
        <v> </v>
      </c>
      <c r="L2473" s="26"/>
    </row>
    <row r="2474" spans="1:12">
      <c r="A2474" s="20" t="s">
        <v>525</v>
      </c>
      <c r="E2474" s="21">
        <f>IF(D2474="?OLD","!!!","")</f>
        <v/>
      </c>
      <c r="F2474" s="22" t="str">
        <f>IF(OR(E2474="",E2474="!!!"),"",IF(NOT(ISNA(VLOOKUP(E2474,E$1:E2473,1,FALSE()))),"OLD",IF(AND(E2474&lt;&gt;"",E2474&lt;&gt;"!!!"),"NEW","")))</f>
        <v> </v>
      </c>
      <c r="G2474" s="23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4" t="str">
        <f>IF(J2474&lt;&gt;1,"",IF(I2474="SBJ","CB","?"))</f>
        <v> </v>
      </c>
      <c r="I2474" s="25" t="str">
        <f>IF(OR(E2474="",E2474="!!!",F2474="NEW"),"",INDEX(B2473:B$2,-1+SUMPRODUCT(MAX(ROW(E2473:E$2)*(E2474=E2473:E$2)))))</f>
        <v> </v>
      </c>
      <c r="J2474" s="25" t="str">
        <f>IF(OR(E2474="",E2474="!!!",F2474="NEW"),"",COUNTBLANK(OFFSET(A$1,,,SUMPRODUCT(MAX(ROW(E$2:E2474)*(E2474=E$2:E2474)))))-COUNTBLANK(OFFSET(A$1,,,SUMPRODUCT(MAX(ROW(E$1:E2473)*(E2=E$1:E2473))))))</f>
        <v> </v>
      </c>
      <c r="K2474" s="25" t="str">
        <f>IF(OR(E2474="",E2474="!!!",F2474="NEW"),"",INDEX(J$1:J2473,SUMPRODUCT(MAX(ROW(E$1:E2473)*(E2474=E$1:E2473)))))</f>
        <v> </v>
      </c>
      <c r="L2474" s="26"/>
    </row>
    <row r="2475" spans="1:12">
      <c r="A2475" s="20" t="s">
        <v>718</v>
      </c>
      <c r="B2475" s="27" t="s">
        <v>743</v>
      </c>
      <c r="C2475" s="27" t="s">
        <v>527</v>
      </c>
      <c r="E2475" s="21">
        <f>IF(D2475="?OLD","!!!","")</f>
        <v/>
      </c>
      <c r="F2475" s="22" t="str">
        <f>IF(OR(E2475="",E2475="!!!"),"",IF(NOT(ISNA(VLOOKUP(E2475,E$1:E2474,1,FALSE()))),"OLD",IF(AND(E2475&lt;&gt;"",E2475&lt;&gt;"!!!"),"NEW","")))</f>
        <v> </v>
      </c>
      <c r="G2475" s="23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4" t="str">
        <f>IF(J2475&lt;&gt;1,"",IF(I2475="SBJ","CB","?"))</f>
        <v> </v>
      </c>
      <c r="I2475" s="25" t="str">
        <f>IF(OR(E2475="",E2475="!!!",F2475="NEW"),"",INDEX(B2474:B$2,-1+SUMPRODUCT(MAX(ROW(E2474:E$2)*(E2475=E2474:E$2)))))</f>
        <v> </v>
      </c>
      <c r="J2475" s="25" t="str">
        <f>IF(OR(E2475="",E2475="!!!",F2475="NEW"),"",COUNTBLANK(OFFSET(A$1,,,SUMPRODUCT(MAX(ROW(E$2:E2475)*(E2475=E$2:E2475)))))-COUNTBLANK(OFFSET(A$1,,,SUMPRODUCT(MAX(ROW(E$1:E2474)*(E2=E$1:E2474))))))</f>
        <v> </v>
      </c>
      <c r="K2475" s="25" t="str">
        <f>IF(OR(E2475="",E2475="!!!",F2475="NEW"),"",INDEX(J$1:J2474,SUMPRODUCT(MAX(ROW(E$1:E2474)*(E2475=E$1:E2474)))))</f>
        <v> </v>
      </c>
      <c r="L2475" s="26"/>
    </row>
    <row r="2476" spans="1:12">
      <c r="A2476" s="20" t="s">
        <v>565</v>
      </c>
      <c r="E2476" s="21">
        <f>IF(D2476="?OLD","!!!","")</f>
        <v/>
      </c>
      <c r="F2476" s="22" t="str">
        <f>IF(OR(E2476="",E2476="!!!"),"",IF(NOT(ISNA(VLOOKUP(E2476,E$1:E2475,1,FALSE()))),"OLD",IF(AND(E2476&lt;&gt;"",E2476&lt;&gt;"!!!"),"NEW","")))</f>
        <v> </v>
      </c>
      <c r="G2476" s="23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4" t="str">
        <f>IF(J2476&lt;&gt;1,"",IF(I2476="SBJ","CB","?"))</f>
        <v> </v>
      </c>
      <c r="I2476" s="25" t="str">
        <f>IF(OR(E2476="",E2476="!!!",F2476="NEW"),"",INDEX(B2475:B$2,-1+SUMPRODUCT(MAX(ROW(E2475:E$2)*(E2476=E2475:E$2)))))</f>
        <v> </v>
      </c>
      <c r="J2476" s="25" t="str">
        <f>IF(OR(E2476="",E2476="!!!",F2476="NEW"),"",COUNTBLANK(OFFSET(A$1,,,SUMPRODUCT(MAX(ROW(E$2:E2476)*(E2476=E$2:E2476)))))-COUNTBLANK(OFFSET(A$1,,,SUMPRODUCT(MAX(ROW(E$1:E2475)*(E2=E$1:E2475))))))</f>
        <v> </v>
      </c>
      <c r="K2476" s="25" t="str">
        <f>IF(OR(E2476="",E2476="!!!",F2476="NEW"),"",INDEX(J$1:J2475,SUMPRODUCT(MAX(ROW(E$1:E2475)*(E2476=E$1:E2475)))))</f>
        <v> </v>
      </c>
      <c r="L2476" s="26"/>
    </row>
    <row r="2477" spans="1:12">
      <c r="A2477" s="20" t="s">
        <v>525</v>
      </c>
      <c r="E2477" s="21">
        <f>IF(D2477="?OLD","!!!","")</f>
        <v/>
      </c>
      <c r="F2477" s="22" t="str">
        <f>IF(OR(E2477="",E2477="!!!"),"",IF(NOT(ISNA(VLOOKUP(E2477,E$1:E2476,1,FALSE()))),"OLD",IF(AND(E2477&lt;&gt;"",E2477&lt;&gt;"!!!"),"NEW","")))</f>
        <v> </v>
      </c>
      <c r="G2477" s="23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4" t="str">
        <f>IF(J2477&lt;&gt;1,"",IF(I2477="SBJ","CB","?"))</f>
        <v> </v>
      </c>
      <c r="I2477" s="25" t="str">
        <f>IF(OR(E2477="",E2477="!!!",F2477="NEW"),"",INDEX(B2476:B$2,-1+SUMPRODUCT(MAX(ROW(E2476:E$2)*(E2477=E2476:E$2)))))</f>
        <v> </v>
      </c>
      <c r="J2477" s="25" t="str">
        <f>IF(OR(E2477="",E2477="!!!",F2477="NEW"),"",COUNTBLANK(OFFSET(A$1,,,SUMPRODUCT(MAX(ROW(E$2:E2477)*(E2477=E$2:E2477)))))-COUNTBLANK(OFFSET(A$1,,,SUMPRODUCT(MAX(ROW(E$1:E2476)*(E2=E$1:E2476))))))</f>
        <v> </v>
      </c>
      <c r="K2477" s="25" t="str">
        <f>IF(OR(E2477="",E2477="!!!",F2477="NEW"),"",INDEX(J$1:J2476,SUMPRODUCT(MAX(ROW(E$1:E2476)*(E2477=E$1:E2476)))))</f>
        <v> </v>
      </c>
      <c r="L2477" s="26"/>
    </row>
    <row r="2478" spans="1:12">
      <c r="A2478" s="20" t="s">
        <v>638</v>
      </c>
      <c r="B2478" s="27" t="s">
        <v>597</v>
      </c>
      <c r="C2478" s="27" t="s">
        <v>527</v>
      </c>
      <c r="E2478" s="21">
        <f>IF(D2478="?OLD","!!!","")</f>
        <v/>
      </c>
      <c r="F2478" s="22" t="str">
        <f>IF(OR(E2478="",E2478="!!!"),"",IF(NOT(ISNA(VLOOKUP(E2478,E$1:E2477,1,FALSE()))),"OLD",IF(AND(E2478&lt;&gt;"",E2478&lt;&gt;"!!!"),"NEW","")))</f>
        <v> </v>
      </c>
      <c r="G2478" s="23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4" t="str">
        <f>IF(J2478&lt;&gt;1,"",IF(I2478="SBJ","CB","?"))</f>
        <v> </v>
      </c>
      <c r="I2478" s="25" t="str">
        <f>IF(OR(E2478="",E2478="!!!",F2478="NEW"),"",INDEX(B2477:B$2,-1+SUMPRODUCT(MAX(ROW(E2477:E$2)*(E2478=E2477:E$2)))))</f>
        <v> </v>
      </c>
      <c r="J2478" s="25" t="str">
        <f>IF(OR(E2478="",E2478="!!!",F2478="NEW"),"",COUNTBLANK(OFFSET(A$1,,,SUMPRODUCT(MAX(ROW(E$2:E2478)*(E2478=E$2:E2478)))))-COUNTBLANK(OFFSET(A$1,,,SUMPRODUCT(MAX(ROW(E$1:E2477)*(E2=E$1:E2477))))))</f>
        <v> </v>
      </c>
      <c r="K2478" s="25" t="str">
        <f>IF(OR(E2478="",E2478="!!!",F2478="NEW"),"",INDEX(J$1:J2477,SUMPRODUCT(MAX(ROW(E$1:E2477)*(E2478=E$1:E2477)))))</f>
        <v> </v>
      </c>
      <c r="L2478" s="26"/>
    </row>
    <row r="2479" spans="1:12">
      <c r="A2479" s="20" t="s">
        <v>560</v>
      </c>
      <c r="E2479" s="21">
        <f>IF(D2479="?OLD","!!!","")</f>
        <v/>
      </c>
      <c r="F2479" s="22" t="str">
        <f>IF(OR(E2479="",E2479="!!!"),"",IF(NOT(ISNA(VLOOKUP(E2479,E$1:E2478,1,FALSE()))),"OLD",IF(AND(E2479&lt;&gt;"",E2479&lt;&gt;"!!!"),"NEW","")))</f>
        <v> </v>
      </c>
      <c r="G2479" s="23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4" t="str">
        <f>IF(J2479&lt;&gt;1,"",IF(I2479="SBJ","CB","?"))</f>
        <v> </v>
      </c>
      <c r="I2479" s="25" t="str">
        <f>IF(OR(E2479="",E2479="!!!",F2479="NEW"),"",INDEX(B2478:B$2,-1+SUMPRODUCT(MAX(ROW(E2478:E$2)*(E2479=E2478:E$2)))))</f>
        <v> </v>
      </c>
      <c r="J2479" s="25" t="str">
        <f>IF(OR(E2479="",E2479="!!!",F2479="NEW"),"",COUNTBLANK(OFFSET(A$1,,,SUMPRODUCT(MAX(ROW(E$2:E2479)*(E2479=E$2:E2479)))))-COUNTBLANK(OFFSET(A$1,,,SUMPRODUCT(MAX(ROW(E$1:E2478)*(E2=E$1:E2478))))))</f>
        <v> </v>
      </c>
      <c r="K2479" s="25" t="str">
        <f>IF(OR(E2479="",E2479="!!!",F2479="NEW"),"",INDEX(J$1:J2478,SUMPRODUCT(MAX(ROW(E$1:E2478)*(E2479=E$1:E2478)))))</f>
        <v> </v>
      </c>
      <c r="L2479" s="26"/>
    </row>
    <row r="2480" spans="1:12">
      <c r="A2480" s="20" t="s">
        <v>1404</v>
      </c>
      <c r="E2480" s="21">
        <f>IF(D2480="?OLD","!!!","")</f>
        <v/>
      </c>
      <c r="F2480" s="22" t="str">
        <f>IF(OR(E2480="",E2480="!!!"),"",IF(NOT(ISNA(VLOOKUP(E2480,E$1:E2479,1,FALSE()))),"OLD",IF(AND(E2480&lt;&gt;"",E2480&lt;&gt;"!!!"),"NEW","")))</f>
        <v> </v>
      </c>
      <c r="G2480" s="23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4" t="str">
        <f>IF(J2480&lt;&gt;1,"",IF(I2480="SBJ","CB","?"))</f>
        <v> </v>
      </c>
      <c r="I2480" s="25" t="str">
        <f>IF(OR(E2480="",E2480="!!!",F2480="NEW"),"",INDEX(B2479:B$2,-1+SUMPRODUCT(MAX(ROW(E2479:E$2)*(E2480=E2479:E$2)))))</f>
        <v> </v>
      </c>
      <c r="J2480" s="25" t="str">
        <f>IF(OR(E2480="",E2480="!!!",F2480="NEW"),"",COUNTBLANK(OFFSET(A$1,,,SUMPRODUCT(MAX(ROW(E$2:E2480)*(E2480=E$2:E2480)))))-COUNTBLANK(OFFSET(A$1,,,SUMPRODUCT(MAX(ROW(E$1:E2479)*(E2=E$1:E2479))))))</f>
        <v> </v>
      </c>
      <c r="K2480" s="25" t="str">
        <f>IF(OR(E2480="",E2480="!!!",F2480="NEW"),"",INDEX(J$1:J2479,SUMPRODUCT(MAX(ROW(E$1:E2479)*(E2480=E$1:E2479)))))</f>
        <v> </v>
      </c>
      <c r="L2480" s="26"/>
    </row>
    <row r="2481" spans="1:12">
      <c r="A2481" s="20" t="s">
        <v>518</v>
      </c>
      <c r="E2481" s="21">
        <f>IF(D2481="?OLD","!!!","")</f>
        <v/>
      </c>
      <c r="F2481" s="22" t="str">
        <f>IF(OR(E2481="",E2481="!!!"),"",IF(NOT(ISNA(VLOOKUP(E2481,E$1:E2480,1,FALSE()))),"OLD",IF(AND(E2481&lt;&gt;"",E2481&lt;&gt;"!!!"),"NEW","")))</f>
        <v> </v>
      </c>
      <c r="G2481" s="23" t="str">
        <f>IF(OR(E2481="",E2481="!!!"),"",IF(OR(J2481=0,AND(J2481=1,K2481=1),AND(J2481=1,I2481="SBJ"),AND(J2481=1,I2481=0)),"?IN_FOCUS",IF(J2481&lt;=2,"?ACTIVATED",IF(J2481&lt;&gt;"","?FAMILIAR",IF(F2481="NEW",IF(ISNA(VLOOKUP(E2481,#REF!,1,FALSE())),"?TYPE_IDENTIFIABLE","?REFERENTIAL"),"_")))))</f>
        <v> </v>
      </c>
      <c r="H2481" s="24" t="str">
        <f>IF(J2481&lt;&gt;1,"",IF(I2481="SBJ","CB","?"))</f>
        <v> </v>
      </c>
      <c r="I2481" s="25" t="str">
        <f>IF(OR(E2481="",E2481="!!!",F2481="NEW"),"",INDEX(B2480:B$2,-1+SUMPRODUCT(MAX(ROW(E2480:E$2)*(E2481=E2480:E$2)))))</f>
        <v> </v>
      </c>
      <c r="J2481" s="25" t="str">
        <f>IF(OR(E2481="",E2481="!!!",F2481="NEW"),"",COUNTBLANK(OFFSET(A$1,,,SUMPRODUCT(MAX(ROW(E$2:E2481)*(E2481=E$2:E2481)))))-COUNTBLANK(OFFSET(A$1,,,SUMPRODUCT(MAX(ROW(E$1:E2480)*(E2=E$1:E2480))))))</f>
        <v> </v>
      </c>
      <c r="K2481" s="25" t="str">
        <f>IF(OR(E2481="",E2481="!!!",F2481="NEW"),"",INDEX(J$1:J2480,SUMPRODUCT(MAX(ROW(E$1:E2480)*(E2481=E$1:E2480)))))</f>
        <v> </v>
      </c>
      <c r="L2481" s="26"/>
    </row>
    <row r="2482" spans="1:12">
      <c r="A2482" s="20" t="s">
        <v>690</v>
      </c>
      <c r="B2482" s="27" t="s">
        <v>573</v>
      </c>
      <c r="C2482" s="27" t="s">
        <v>523</v>
      </c>
      <c r="D2482" s="27" t="s">
        <v>524</v>
      </c>
      <c r="E2482" s="21">
        <f>IF(D2482="?OLD","!!!","")</f>
        <v/>
      </c>
      <c r="F2482" s="22" t="str">
        <f>IF(OR(E2482="",E2482="!!!"),"",IF(NOT(ISNA(VLOOKUP(E2482,E$1:E2481,1,FALSE()))),"OLD",IF(AND(E2482&lt;&gt;"",E2482&lt;&gt;"!!!"),"NEW","")))</f>
        <v> </v>
      </c>
      <c r="G2482" s="23" t="str">
        <f>IF(OR(E2482="",E2482="!!!"),"",IF(OR(J2482=0,AND(J2482=1,K2482=1),AND(J2482=1,I2482="SBJ"),AND(J2482=1,I2482=0)),"?IN_FOCUS",IF(J2482&lt;=2,"?ACTIVATED",IF(J2482&lt;&gt;"","?FAMILIAR",IF(F2482="NEW",IF(ISNA(VLOOKUP(E2482,#REF!,1,FALSE())),"?TYPE_IDENTIFIABLE","?REFERENTIAL"),"_")))))</f>
        <v> </v>
      </c>
      <c r="H2482" s="24" t="str">
        <f>IF(J2482&lt;&gt;1,"",IF(I2482="SBJ","CB","?"))</f>
        <v> </v>
      </c>
      <c r="I2482" s="25" t="str">
        <f>IF(OR(E2482="",E2482="!!!",F2482="NEW"),"",INDEX(B2481:B$2,-1+SUMPRODUCT(MAX(ROW(E2481:E$2)*(E2482=E2481:E$2)))))</f>
        <v> </v>
      </c>
      <c r="J2482" s="25" t="str">
        <f>IF(OR(E2482="",E2482="!!!",F2482="NEW"),"",COUNTBLANK(OFFSET(A$1,,,SUMPRODUCT(MAX(ROW(E$2:E2482)*(E2482=E$2:E2482)))))-COUNTBLANK(OFFSET(A$1,,,SUMPRODUCT(MAX(ROW(E$1:E2481)*(E2=E$1:E2481))))))</f>
        <v> </v>
      </c>
      <c r="K2482" s="25" t="str">
        <f>IF(OR(E2482="",E2482="!!!",F2482="NEW"),"",INDEX(J$1:J2481,SUMPRODUCT(MAX(ROW(E$1:E2481)*(E2482=E$1:E2481)))))</f>
        <v> </v>
      </c>
      <c r="L2482" s="26"/>
    </row>
    <row r="2483" spans="1:12">
      <c r="A2483" s="20" t="s">
        <v>322</v>
      </c>
      <c r="E2483" s="21">
        <f>IF(D2483="?OLD","!!!","")</f>
        <v/>
      </c>
      <c r="F2483" s="22" t="str">
        <f>IF(OR(E2483="",E2483="!!!"),"",IF(NOT(ISNA(VLOOKUP(E2483,E$1:E2482,1,FALSE()))),"OLD",IF(AND(E2483&lt;&gt;"",E2483&lt;&gt;"!!!"),"NEW","")))</f>
        <v> </v>
      </c>
      <c r="G2483" s="23" t="str">
        <f>IF(OR(E2483="",E2483="!!!"),"",IF(OR(J2483=0,AND(J2483=1,K2483=1),AND(J2483=1,I2483="SBJ"),AND(J2483=1,I2483=0)),"?IN_FOCUS",IF(J2483&lt;=2,"?ACTIVATED",IF(J2483&lt;&gt;"","?FAMILIAR",IF(F2483="NEW",IF(ISNA(VLOOKUP(E2483,#REF!,1,FALSE())),"?TYPE_IDENTIFIABLE","?REFERENTIAL"),"_")))))</f>
        <v> </v>
      </c>
      <c r="H2483" s="24" t="str">
        <f>IF(J2483&lt;&gt;1,"",IF(I2483="SBJ","CB","?"))</f>
        <v> </v>
      </c>
      <c r="I2483" s="25" t="str">
        <f>IF(OR(E2483="",E2483="!!!",F2483="NEW"),"",INDEX(B2482:B$2,-1+SUMPRODUCT(MAX(ROW(E2482:E$2)*(E2483=E2482:E$2)))))</f>
        <v> </v>
      </c>
      <c r="J2483" s="25" t="str">
        <f>IF(OR(E2483="",E2483="!!!",F2483="NEW"),"",COUNTBLANK(OFFSET(A$1,,,SUMPRODUCT(MAX(ROW(E$2:E2483)*(E2483=E$2:E2483)))))-COUNTBLANK(OFFSET(A$1,,,SUMPRODUCT(MAX(ROW(E$1:E2482)*(E2=E$1:E2482))))))</f>
        <v> </v>
      </c>
      <c r="K2483" s="25" t="str">
        <f>IF(OR(E2483="",E2483="!!!",F2483="NEW"),"",INDEX(J$1:J2482,SUMPRODUCT(MAX(ROW(E$1:E2482)*(E2483=E$1:E2482)))))</f>
        <v> </v>
      </c>
      <c r="L2483" s="26"/>
    </row>
    <row r="2484" spans="1:12">
      <c r="A2484" s="20" t="s">
        <v>594</v>
      </c>
      <c r="E2484" s="21">
        <f>IF(D2484="?OLD","!!!","")</f>
        <v/>
      </c>
      <c r="F2484" s="22" t="str">
        <f>IF(OR(E2484="",E2484="!!!"),"",IF(NOT(ISNA(VLOOKUP(E2484,E$1:E2483,1,FALSE()))),"OLD",IF(AND(E2484&lt;&gt;"",E2484&lt;&gt;"!!!"),"NEW","")))</f>
        <v> </v>
      </c>
      <c r="G2484" s="23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4" t="str">
        <f>IF(J2484&lt;&gt;1,"",IF(I2484="SBJ","CB","?"))</f>
        <v> </v>
      </c>
      <c r="I2484" s="25" t="str">
        <f>IF(OR(E2484="",E2484="!!!",F2484="NEW"),"",INDEX(B2483:B$2,-1+SUMPRODUCT(MAX(ROW(E2483:E$2)*(E2484=E2483:E$2)))))</f>
        <v> </v>
      </c>
      <c r="J2484" s="25" t="str">
        <f>IF(OR(E2484="",E2484="!!!",F2484="NEW"),"",COUNTBLANK(OFFSET(A$1,,,SUMPRODUCT(MAX(ROW(E$2:E2484)*(E2484=E$2:E2484)))))-COUNTBLANK(OFFSET(A$1,,,SUMPRODUCT(MAX(ROW(E$1:E2483)*(E2=E$1:E2483))))))</f>
        <v> </v>
      </c>
      <c r="K2484" s="25" t="str">
        <f>IF(OR(E2484="",E2484="!!!",F2484="NEW"),"",INDEX(J$1:J2483,SUMPRODUCT(MAX(ROW(E$1:E2483)*(E2484=E$1:E2483)))))</f>
        <v> </v>
      </c>
      <c r="L2484" s="26"/>
    </row>
    <row r="2485" spans="1:12">
      <c r="A2485" s="20" t="s">
        <v>581</v>
      </c>
      <c r="E2485" s="21">
        <f>IF(D2485="?OLD","!!!","")</f>
        <v/>
      </c>
      <c r="F2485" s="22" t="str">
        <f>IF(OR(E2485="",E2485="!!!"),"",IF(NOT(ISNA(VLOOKUP(E2485,E$1:E2484,1,FALSE()))),"OLD",IF(AND(E2485&lt;&gt;"",E2485&lt;&gt;"!!!"),"NEW","")))</f>
        <v> </v>
      </c>
      <c r="G2485" s="23" t="str">
        <f>IF(OR(E2485="",E2485="!!!"),"",IF(OR(J2485=0,AND(J2485=1,K2485=1),AND(J2485=1,I2485="SBJ"),AND(J2485=1,I2485=0)),"?IN_FOCUS",IF(J2485&lt;=2,"?ACTIVATED",IF(J2485&lt;&gt;"","?FAMILIAR",IF(F2485="NEW",IF(ISNA(VLOOKUP(E2485,#REF!,1,FALSE())),"?TYPE_IDENTIFIABLE","?REFERENTIAL"),"_")))))</f>
        <v> </v>
      </c>
      <c r="H2485" s="24" t="str">
        <f>IF(J2485&lt;&gt;1,"",IF(I2485="SBJ","CB","?"))</f>
        <v> </v>
      </c>
      <c r="I2485" s="25" t="str">
        <f>IF(OR(E2485="",E2485="!!!",F2485="NEW"),"",INDEX(B2484:B$2,-1+SUMPRODUCT(MAX(ROW(E2484:E$2)*(E2485=E2484:E$2)))))</f>
        <v> </v>
      </c>
      <c r="J2485" s="25" t="str">
        <f>IF(OR(E2485="",E2485="!!!",F2485="NEW"),"",COUNTBLANK(OFFSET(A$1,,,SUMPRODUCT(MAX(ROW(E$2:E2485)*(E2485=E$2:E2485)))))-COUNTBLANK(OFFSET(A$1,,,SUMPRODUCT(MAX(ROW(E$1:E2484)*(E2=E$1:E2484))))))</f>
        <v> </v>
      </c>
      <c r="K2485" s="25" t="str">
        <f>IF(OR(E2485="",E2485="!!!",F2485="NEW"),"",INDEX(J$1:J2484,SUMPRODUCT(MAX(ROW(E$1:E2484)*(E2485=E$1:E2484)))))</f>
        <v> </v>
      </c>
      <c r="L2485" s="26"/>
    </row>
    <row r="2486" spans="1:12">
      <c r="A2486" s="20" t="s">
        <v>1405</v>
      </c>
      <c r="E2486" s="21">
        <f>IF(D2486="?OLD","!!!","")</f>
        <v/>
      </c>
      <c r="F2486" s="22" t="str">
        <f>IF(OR(E2486="",E2486="!!!"),"",IF(NOT(ISNA(VLOOKUP(E2486,E$1:E2485,1,FALSE()))),"OLD",IF(AND(E2486&lt;&gt;"",E2486&lt;&gt;"!!!"),"NEW","")))</f>
        <v> </v>
      </c>
      <c r="G2486" s="23" t="str">
        <f>IF(OR(E2486="",E2486="!!!"),"",IF(OR(J2486=0,AND(J2486=1,K2486=1),AND(J2486=1,I2486="SBJ"),AND(J2486=1,I2486=0)),"?IN_FOCUS",IF(J2486&lt;=2,"?ACTIVATED",IF(J2486&lt;&gt;"","?FAMILIAR",IF(F2486="NEW",IF(ISNA(VLOOKUP(E2486,#REF!,1,FALSE())),"?TYPE_IDENTIFIABLE","?REFERENTIAL"),"_")))))</f>
        <v> </v>
      </c>
      <c r="H2486" s="24" t="str">
        <f>IF(J2486&lt;&gt;1,"",IF(I2486="SBJ","CB","?"))</f>
        <v> </v>
      </c>
      <c r="I2486" s="25" t="str">
        <f>IF(OR(E2486="",E2486="!!!",F2486="NEW"),"",INDEX(B2485:B$2,-1+SUMPRODUCT(MAX(ROW(E2485:E$2)*(E2486=E2485:E$2)))))</f>
        <v> </v>
      </c>
      <c r="J2486" s="25" t="str">
        <f>IF(OR(E2486="",E2486="!!!",F2486="NEW"),"",COUNTBLANK(OFFSET(A$1,,,SUMPRODUCT(MAX(ROW(E$2:E2486)*(E2486=E$2:E2486)))))-COUNTBLANK(OFFSET(A$1,,,SUMPRODUCT(MAX(ROW(E$1:E2485)*(E2=E$1:E2485))))))</f>
        <v> </v>
      </c>
      <c r="K2486" s="25" t="str">
        <f>IF(OR(E2486="",E2486="!!!",F2486="NEW"),"",INDEX(J$1:J2485,SUMPRODUCT(MAX(ROW(E$1:E2485)*(E2486=E$1:E2485)))))</f>
        <v> </v>
      </c>
      <c r="L2486" s="26"/>
    </row>
    <row r="2487" spans="1:12">
      <c r="A2487" s="20" t="s">
        <v>1406</v>
      </c>
      <c r="E2487" s="21">
        <f>IF(D2487="?OLD","!!!","")</f>
        <v/>
      </c>
      <c r="F2487" s="22" t="str">
        <f>IF(OR(E2487="",E2487="!!!"),"",IF(NOT(ISNA(VLOOKUP(E2487,E$1:E2486,1,FALSE()))),"OLD",IF(AND(E2487&lt;&gt;"",E2487&lt;&gt;"!!!"),"NEW","")))</f>
        <v> </v>
      </c>
      <c r="G2487" s="23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4" t="str">
        <f>IF(J2487&lt;&gt;1,"",IF(I2487="SBJ","CB","?"))</f>
        <v> </v>
      </c>
      <c r="I2487" s="25" t="str">
        <f>IF(OR(E2487="",E2487="!!!",F2487="NEW"),"",INDEX(B2486:B$2,-1+SUMPRODUCT(MAX(ROW(E2486:E$2)*(E2487=E2486:E$2)))))</f>
        <v> </v>
      </c>
      <c r="J2487" s="25" t="str">
        <f>IF(OR(E2487="",E2487="!!!",F2487="NEW"),"",COUNTBLANK(OFFSET(A$1,,,SUMPRODUCT(MAX(ROW(E$2:E2487)*(E2487=E$2:E2487)))))-COUNTBLANK(OFFSET(A$1,,,SUMPRODUCT(MAX(ROW(E$1:E2486)*(E2=E$1:E2486))))))</f>
        <v> </v>
      </c>
      <c r="K2487" s="25" t="str">
        <f>IF(OR(E2487="",E2487="!!!",F2487="NEW"),"",INDEX(J$1:J2486,SUMPRODUCT(MAX(ROW(E$1:E2486)*(E2487=E$1:E2486)))))</f>
        <v> </v>
      </c>
      <c r="L2487" s="26"/>
    </row>
    <row r="2488" spans="1:12">
      <c r="A2488" s="20" t="s">
        <v>565</v>
      </c>
      <c r="E2488" s="21">
        <f>IF(D2488="?OLD","!!!","")</f>
        <v/>
      </c>
      <c r="F2488" s="22" t="str">
        <f>IF(OR(E2488="",E2488="!!!"),"",IF(NOT(ISNA(VLOOKUP(E2488,E$1:E2487,1,FALSE()))),"OLD",IF(AND(E2488&lt;&gt;"",E2488&lt;&gt;"!!!"),"NEW","")))</f>
        <v> </v>
      </c>
      <c r="G2488" s="23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4" t="str">
        <f>IF(J2488&lt;&gt;1,"",IF(I2488="SBJ","CB","?"))</f>
        <v> </v>
      </c>
      <c r="I2488" s="25" t="str">
        <f>IF(OR(E2488="",E2488="!!!",F2488="NEW"),"",INDEX(B2487:B$2,-1+SUMPRODUCT(MAX(ROW(E2487:E$2)*(E2488=E2487:E$2)))))</f>
        <v> </v>
      </c>
      <c r="J2488" s="25" t="str">
        <f>IF(OR(E2488="",E2488="!!!",F2488="NEW"),"",COUNTBLANK(OFFSET(A$1,,,SUMPRODUCT(MAX(ROW(E$2:E2488)*(E2488=E$2:E2488)))))-COUNTBLANK(OFFSET(A$1,,,SUMPRODUCT(MAX(ROW(E$1:E2487)*(E2=E$1:E2487))))))</f>
        <v> </v>
      </c>
      <c r="K2488" s="25" t="str">
        <f>IF(OR(E2488="",E2488="!!!",F2488="NEW"),"",INDEX(J$1:J2487,SUMPRODUCT(MAX(ROW(E$1:E2487)*(E2488=E$1:E2487)))))</f>
        <v> </v>
      </c>
      <c r="L2488" s="26"/>
    </row>
    <row r="2489" spans="1:12">
      <c r="A2489" s="20" t="s">
        <v>843</v>
      </c>
      <c r="E2489" s="21">
        <f>IF(D2489="?OLD","!!!","")</f>
        <v/>
      </c>
      <c r="F2489" s="22" t="str">
        <f>IF(OR(E2489="",E2489="!!!"),"",IF(NOT(ISNA(VLOOKUP(E2489,E$1:E2488,1,FALSE()))),"OLD",IF(AND(E2489&lt;&gt;"",E2489&lt;&gt;"!!!"),"NEW","")))</f>
        <v> </v>
      </c>
      <c r="G2489" s="23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4" t="str">
        <f>IF(J2489&lt;&gt;1,"",IF(I2489="SBJ","CB","?"))</f>
        <v> </v>
      </c>
      <c r="I2489" s="25" t="str">
        <f>IF(OR(E2489="",E2489="!!!",F2489="NEW"),"",INDEX(B2488:B$2,-1+SUMPRODUCT(MAX(ROW(E2488:E$2)*(E2489=E2488:E$2)))))</f>
        <v> </v>
      </c>
      <c r="J2489" s="25" t="str">
        <f>IF(OR(E2489="",E2489="!!!",F2489="NEW"),"",COUNTBLANK(OFFSET(A$1,,,SUMPRODUCT(MAX(ROW(E$2:E2489)*(E2489=E$2:E2489)))))-COUNTBLANK(OFFSET(A$1,,,SUMPRODUCT(MAX(ROW(E$1:E2488)*(E2=E$1:E2488))))))</f>
        <v> </v>
      </c>
      <c r="K2489" s="25" t="str">
        <f>IF(OR(E2489="",E2489="!!!",F2489="NEW"),"",INDEX(J$1:J2488,SUMPRODUCT(MAX(ROW(E$1:E2488)*(E2489=E$1:E2488)))))</f>
        <v> </v>
      </c>
      <c r="L2489" s="26"/>
    </row>
    <row r="2490" spans="1:12">
      <c r="A2490" s="20" t="s">
        <v>708</v>
      </c>
      <c r="E2490" s="21">
        <f>IF(D2490="?OLD","!!!","")</f>
        <v/>
      </c>
      <c r="F2490" s="22" t="str">
        <f>IF(OR(E2490="",E2490="!!!"),"",IF(NOT(ISNA(VLOOKUP(E2490,E$1:E2489,1,FALSE()))),"OLD",IF(AND(E2490&lt;&gt;"",E2490&lt;&gt;"!!!"),"NEW","")))</f>
        <v> </v>
      </c>
      <c r="G2490" s="23" t="str">
        <f>IF(OR(E2490="",E2490="!!!"),"",IF(OR(J2490=0,AND(J2490=1,K2490=1),AND(J2490=1,I2490="SBJ"),AND(J2490=1,I2490=0)),"?IN_FOCUS",IF(J2490&lt;=2,"?ACTIVATED",IF(J2490&lt;&gt;"","?FAMILIAR",IF(F2490="NEW",IF(ISNA(VLOOKUP(E2490,#REF!,1,FALSE())),"?TYPE_IDENTIFIABLE","?REFERENTIAL"),"_")))))</f>
        <v> </v>
      </c>
      <c r="H2490" s="24" t="str">
        <f>IF(J2490&lt;&gt;1,"",IF(I2490="SBJ","CB","?"))</f>
        <v> </v>
      </c>
      <c r="I2490" s="25" t="str">
        <f>IF(OR(E2490="",E2490="!!!",F2490="NEW"),"",INDEX(B2489:B$2,-1+SUMPRODUCT(MAX(ROW(E2489:E$2)*(E2490=E2489:E$2)))))</f>
        <v> </v>
      </c>
      <c r="J2490" s="25" t="str">
        <f>IF(OR(E2490="",E2490="!!!",F2490="NEW"),"",COUNTBLANK(OFFSET(A$1,,,SUMPRODUCT(MAX(ROW(E$2:E2490)*(E2490=E$2:E2490)))))-COUNTBLANK(OFFSET(A$1,,,SUMPRODUCT(MAX(ROW(E$1:E2489)*(E2=E$1:E2489))))))</f>
        <v> </v>
      </c>
      <c r="K2490" s="25" t="str">
        <f>IF(OR(E2490="",E2490="!!!",F2490="NEW"),"",INDEX(J$1:J2489,SUMPRODUCT(MAX(ROW(E$1:E2489)*(E2490=E$1:E2489)))))</f>
        <v> </v>
      </c>
      <c r="L2490" s="26"/>
    </row>
    <row r="2491" spans="1:12">
      <c r="A2491" s="20" t="s">
        <v>751</v>
      </c>
      <c r="E2491" s="21">
        <f>IF(D2491="?OLD","!!!","")</f>
        <v/>
      </c>
      <c r="F2491" s="22" t="str">
        <f>IF(OR(E2491="",E2491="!!!"),"",IF(NOT(ISNA(VLOOKUP(E2491,E$1:E2490,1,FALSE()))),"OLD",IF(AND(E2491&lt;&gt;"",E2491&lt;&gt;"!!!"),"NEW","")))</f>
        <v> </v>
      </c>
      <c r="G2491" s="23" t="str">
        <f>IF(OR(E2491="",E2491="!!!"),"",IF(OR(J2491=0,AND(J2491=1,K2491=1),AND(J2491=1,I2491="SBJ"),AND(J2491=1,I2491=0)),"?IN_FOCUS",IF(J2491&lt;=2,"?ACTIVATED",IF(J2491&lt;&gt;"","?FAMILIAR",IF(F2491="NEW",IF(ISNA(VLOOKUP(E2491,#REF!,1,FALSE())),"?TYPE_IDENTIFIABLE","?REFERENTIAL"),"_")))))</f>
        <v> </v>
      </c>
      <c r="H2491" s="24" t="str">
        <f>IF(J2491&lt;&gt;1,"",IF(I2491="SBJ","CB","?"))</f>
        <v> </v>
      </c>
      <c r="I2491" s="25" t="str">
        <f>IF(OR(E2491="",E2491="!!!",F2491="NEW"),"",INDEX(B2490:B$2,-1+SUMPRODUCT(MAX(ROW(E2490:E$2)*(E2491=E2490:E$2)))))</f>
        <v> </v>
      </c>
      <c r="J2491" s="25" t="str">
        <f>IF(OR(E2491="",E2491="!!!",F2491="NEW"),"",COUNTBLANK(OFFSET(A$1,,,SUMPRODUCT(MAX(ROW(E$2:E2491)*(E2491=E$2:E2491)))))-COUNTBLANK(OFFSET(A$1,,,SUMPRODUCT(MAX(ROW(E$1:E2490)*(E2=E$1:E2490))))))</f>
        <v> </v>
      </c>
      <c r="K2491" s="25" t="str">
        <f>IF(OR(E2491="",E2491="!!!",F2491="NEW"),"",INDEX(J$1:J2490,SUMPRODUCT(MAX(ROW(E$1:E2490)*(E2491=E$1:E2490)))))</f>
        <v> </v>
      </c>
      <c r="L2491" s="26"/>
    </row>
    <row r="2492" spans="1:12">
      <c r="A2492" s="20" t="s">
        <v>542</v>
      </c>
      <c r="E2492" s="21">
        <f>IF(D2492="?OLD","!!!","")</f>
        <v/>
      </c>
      <c r="F2492" s="22" t="str">
        <f>IF(OR(E2492="",E2492="!!!"),"",IF(NOT(ISNA(VLOOKUP(E2492,E$1:E2491,1,FALSE()))),"OLD",IF(AND(E2492&lt;&gt;"",E2492&lt;&gt;"!!!"),"NEW","")))</f>
        <v> </v>
      </c>
      <c r="G2492" s="23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4" t="str">
        <f>IF(J2492&lt;&gt;1,"",IF(I2492="SBJ","CB","?"))</f>
        <v> </v>
      </c>
      <c r="I2492" s="25" t="str">
        <f>IF(OR(E2492="",E2492="!!!",F2492="NEW"),"",INDEX(B2491:B$2,-1+SUMPRODUCT(MAX(ROW(E2491:E$2)*(E2492=E2491:E$2)))))</f>
        <v> </v>
      </c>
      <c r="J2492" s="25" t="str">
        <f>IF(OR(E2492="",E2492="!!!",F2492="NEW"),"",COUNTBLANK(OFFSET(A$1,,,SUMPRODUCT(MAX(ROW(E$2:E2492)*(E2492=E$2:E2492)))))-COUNTBLANK(OFFSET(A$1,,,SUMPRODUCT(MAX(ROW(E$1:E2491)*(E2=E$1:E2491))))))</f>
        <v> </v>
      </c>
      <c r="K2492" s="25" t="str">
        <f>IF(OR(E2492="",E2492="!!!",F2492="NEW"),"",INDEX(J$1:J2491,SUMPRODUCT(MAX(ROW(E$1:E2491)*(E2492=E$1:E2491)))))</f>
        <v> </v>
      </c>
      <c r="L2492" s="26"/>
    </row>
    <row r="2493" spans="1:12">
      <c r="A2493" s="20" t="s">
        <v>923</v>
      </c>
      <c r="B2493" s="27" t="s">
        <v>641</v>
      </c>
      <c r="C2493" s="27" t="s">
        <v>548</v>
      </c>
      <c r="D2493" s="27" t="s">
        <v>524</v>
      </c>
      <c r="E2493" s="21">
        <f>IF(D2493="?OLD","!!!","")</f>
        <v/>
      </c>
      <c r="F2493" s="22" t="str">
        <f>IF(OR(E2493="",E2493="!!!"),"",IF(NOT(ISNA(VLOOKUP(E2493,E$1:E2492,1,FALSE()))),"OLD",IF(AND(E2493&lt;&gt;"",E2493&lt;&gt;"!!!"),"NEW","")))</f>
        <v> </v>
      </c>
      <c r="G2493" s="23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4" t="str">
        <f>IF(J2493&lt;&gt;1,"",IF(I2493="SBJ","CB","?"))</f>
        <v> </v>
      </c>
      <c r="I2493" s="25" t="str">
        <f>IF(OR(E2493="",E2493="!!!",F2493="NEW"),"",INDEX(B2492:B$2,-1+SUMPRODUCT(MAX(ROW(E2492:E$2)*(E2493=E2492:E$2)))))</f>
        <v> </v>
      </c>
      <c r="J2493" s="25" t="str">
        <f>IF(OR(E2493="",E2493="!!!",F2493="NEW"),"",COUNTBLANK(OFFSET(A$1,,,SUMPRODUCT(MAX(ROW(E$2:E2493)*(E2493=E$2:E2493)))))-COUNTBLANK(OFFSET(A$1,,,SUMPRODUCT(MAX(ROW(E$1:E2492)*(E2=E$1:E2492))))))</f>
        <v> </v>
      </c>
      <c r="K2493" s="25" t="str">
        <f>IF(OR(E2493="",E2493="!!!",F2493="NEW"),"",INDEX(J$1:J2492,SUMPRODUCT(MAX(ROW(E$1:E2492)*(E2493=E$1:E2492)))))</f>
        <v> </v>
      </c>
      <c r="L2493" s="26"/>
    </row>
    <row r="2494" spans="1:12">
      <c r="A2494" s="20" t="s">
        <v>1407</v>
      </c>
      <c r="B2494" s="27" t="s">
        <v>699</v>
      </c>
      <c r="C2494" s="27" t="s">
        <v>548</v>
      </c>
      <c r="D2494" s="27" t="s">
        <v>524</v>
      </c>
      <c r="E2494" s="21">
        <f>IF(D2494="?OLD","!!!","")</f>
        <v/>
      </c>
      <c r="F2494" s="22" t="str">
        <f>IF(OR(E2494="",E2494="!!!"),"",IF(NOT(ISNA(VLOOKUP(E2494,E$1:E2493,1,FALSE()))),"OLD",IF(AND(E2494&lt;&gt;"",E2494&lt;&gt;"!!!"),"NEW","")))</f>
        <v> </v>
      </c>
      <c r="G2494" s="23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4" t="str">
        <f>IF(J2494&lt;&gt;1,"",IF(I2494="SBJ","CB","?"))</f>
        <v> </v>
      </c>
      <c r="I2494" s="25" t="str">
        <f>IF(OR(E2494="",E2494="!!!",F2494="NEW"),"",INDEX(B2493:B$2,-1+SUMPRODUCT(MAX(ROW(E2493:E$2)*(E2494=E2493:E$2)))))</f>
        <v> </v>
      </c>
      <c r="J2494" s="25" t="str">
        <f>IF(OR(E2494="",E2494="!!!",F2494="NEW"),"",COUNTBLANK(OFFSET(A$1,,,SUMPRODUCT(MAX(ROW(E$2:E2494)*(E2494=E$2:E2494)))))-COUNTBLANK(OFFSET(A$1,,,SUMPRODUCT(MAX(ROW(E$1:E2493)*(E2=E$1:E2493))))))</f>
        <v> </v>
      </c>
      <c r="K2494" s="25" t="str">
        <f>IF(OR(E2494="",E2494="!!!",F2494="NEW"),"",INDEX(J$1:J2493,SUMPRODUCT(MAX(ROW(E$1:E2493)*(E2494=E$1:E2493)))))</f>
        <v> </v>
      </c>
      <c r="L2494" s="26"/>
    </row>
    <row r="2495" spans="1:12">
      <c r="A2495" s="20" t="s">
        <v>549</v>
      </c>
      <c r="E2495" s="21">
        <f>IF(D2495="?OLD","!!!","")</f>
        <v/>
      </c>
      <c r="F2495" s="22" t="str">
        <f>IF(OR(E2495="",E2495="!!!"),"",IF(NOT(ISNA(VLOOKUP(E2495,E$1:E2494,1,FALSE()))),"OLD",IF(AND(E2495&lt;&gt;"",E2495&lt;&gt;"!!!"),"NEW","")))</f>
        <v> </v>
      </c>
      <c r="G2495" s="23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4" t="str">
        <f>IF(J2495&lt;&gt;1,"",IF(I2495="SBJ","CB","?"))</f>
        <v> </v>
      </c>
      <c r="I2495" s="25" t="str">
        <f>IF(OR(E2495="",E2495="!!!",F2495="NEW"),"",INDEX(B2494:B$2,-1+SUMPRODUCT(MAX(ROW(E2494:E$2)*(E2495=E2494:E$2)))))</f>
        <v> </v>
      </c>
      <c r="J2495" s="25" t="str">
        <f>IF(OR(E2495="",E2495="!!!",F2495="NEW"),"",COUNTBLANK(OFFSET(A$1,,,SUMPRODUCT(MAX(ROW(E$2:E2495)*(E2495=E$2:E2495)))))-COUNTBLANK(OFFSET(A$1,,,SUMPRODUCT(MAX(ROW(E$1:E2494)*(E2=E$1:E2494))))))</f>
        <v> </v>
      </c>
      <c r="K2495" s="25" t="str">
        <f>IF(OR(E2495="",E2495="!!!",F2495="NEW"),"",INDEX(J$1:J2494,SUMPRODUCT(MAX(ROW(E$1:E2494)*(E2495=E$1:E2494)))))</f>
        <v> </v>
      </c>
      <c r="L2495" s="26"/>
    </row>
    <row r="2496" spans="1:12">
      <c r="A2496" s="20" t="s">
        <v>581</v>
      </c>
      <c r="E2496" s="21">
        <f>IF(D2496="?OLD","!!!","")</f>
        <v/>
      </c>
      <c r="F2496" s="22" t="str">
        <f>IF(OR(E2496="",E2496="!!!"),"",IF(NOT(ISNA(VLOOKUP(E2496,E$1:E2495,1,FALSE()))),"OLD",IF(AND(E2496&lt;&gt;"",E2496&lt;&gt;"!!!"),"NEW","")))</f>
        <v> </v>
      </c>
      <c r="G2496" s="23" t="str">
        <f>IF(OR(E2496="",E2496="!!!"),"",IF(OR(J2496=0,AND(J2496=1,K2496=1),AND(J2496=1,I2496="SBJ"),AND(J2496=1,I2496=0)),"?IN_FOCUS",IF(J2496&lt;=2,"?ACTIVATED",IF(J2496&lt;&gt;"","?FAMILIAR",IF(F2496="NEW",IF(ISNA(VLOOKUP(E2496,#REF!,1,FALSE())),"?TYPE_IDENTIFIABLE","?REFERENTIAL"),"_")))))</f>
        <v> </v>
      </c>
      <c r="H2496" s="24" t="str">
        <f>IF(J2496&lt;&gt;1,"",IF(I2496="SBJ","CB","?"))</f>
        <v> </v>
      </c>
      <c r="I2496" s="25" t="str">
        <f>IF(OR(E2496="",E2496="!!!",F2496="NEW"),"",INDEX(B2495:B$2,-1+SUMPRODUCT(MAX(ROW(E2495:E$2)*(E2496=E2495:E$2)))))</f>
        <v> </v>
      </c>
      <c r="J2496" s="25" t="str">
        <f>IF(OR(E2496="",E2496="!!!",F2496="NEW"),"",COUNTBLANK(OFFSET(A$1,,,SUMPRODUCT(MAX(ROW(E$2:E2496)*(E2496=E$2:E2496)))))-COUNTBLANK(OFFSET(A$1,,,SUMPRODUCT(MAX(ROW(E$1:E2495)*(E2=E$1:E2495))))))</f>
        <v> </v>
      </c>
      <c r="K2496" s="25" t="str">
        <f>IF(OR(E2496="",E2496="!!!",F2496="NEW"),"",INDEX(J$1:J2495,SUMPRODUCT(MAX(ROW(E$1:E2495)*(E2496=E$1:E2495)))))</f>
        <v> </v>
      </c>
      <c r="L2496" s="26"/>
    </row>
    <row r="2497" spans="1:12">
      <c r="A2497" s="20"/>
    </row>
    <row r="2498" spans="1:12">
      <c r="A2498" s="20" t="s">
        <v>1408</v>
      </c>
    </row>
    <row r="2499" spans="1:12">
      <c r="A2499" s="20" t="s">
        <v>632</v>
      </c>
      <c r="B2499" s="27" t="s">
        <v>680</v>
      </c>
      <c r="C2499" s="27" t="s">
        <v>523</v>
      </c>
      <c r="D2499" s="27" t="s">
        <v>524</v>
      </c>
      <c r="E2499" s="21">
        <f>IF(D2499="?OLD","!!!","")</f>
        <v/>
      </c>
      <c r="F2499" s="22" t="str">
        <f>IF(OR(E2499="",E2499="!!!"),"",IF(NOT(ISNA(VLOOKUP(E2499,E$1:E2498,1,FALSE()))),"OLD",IF(AND(E2499&lt;&gt;"",E2499&lt;&gt;"!!!"),"NEW","")))</f>
        <v> </v>
      </c>
      <c r="G2499" s="23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4" t="str">
        <f>IF(J2499&lt;&gt;1,"",IF(I2499="SBJ","CB","?"))</f>
        <v> </v>
      </c>
      <c r="I2499" s="25" t="str">
        <f>IF(OR(E2499="",E2499="!!!",F2499="NEW"),"",INDEX(B2498:B$2,-1+SUMPRODUCT(MAX(ROW(E2498:E$2)*(E2499=E2498:E$2)))))</f>
        <v> </v>
      </c>
      <c r="J2499" s="25" t="str">
        <f>IF(OR(E2499="",E2499="!!!",F2499="NEW"),"",COUNTBLANK(OFFSET(A$1,,,SUMPRODUCT(MAX(ROW(E$2:E2499)*(E2499=E$2:E2499)))))-COUNTBLANK(OFFSET(A$1,,,SUMPRODUCT(MAX(ROW(E$1:E2498)*(E2=E$1:E2498))))))</f>
        <v> </v>
      </c>
      <c r="K2499" s="25" t="str">
        <f>IF(OR(E2499="",E2499="!!!",F2499="NEW"),"",INDEX(J$1:J2498,SUMPRODUCT(MAX(ROW(E$1:E2498)*(E2499=E$1:E2498)))))</f>
        <v> </v>
      </c>
      <c r="L2499" s="26"/>
    </row>
    <row r="2500" spans="1:12">
      <c r="A2500" s="20" t="s">
        <v>1409</v>
      </c>
      <c r="E2500" s="21">
        <f>IF(D2500="?OLD","!!!","")</f>
        <v/>
      </c>
      <c r="F2500" s="22" t="str">
        <f>IF(OR(E2500="",E2500="!!!"),"",IF(NOT(ISNA(VLOOKUP(E2500,E$1:E2499,1,FALSE()))),"OLD",IF(AND(E2500&lt;&gt;"",E2500&lt;&gt;"!!!"),"NEW","")))</f>
        <v> </v>
      </c>
      <c r="G2500" s="23" t="str">
        <f>IF(OR(E2500="",E2500="!!!"),"",IF(OR(J2500=0,AND(J2500=1,K2500=1),AND(J2500=1,I2500="SBJ"),AND(J2500=1,I2500=0)),"?IN_FOCUS",IF(J2500&lt;=2,"?ACTIVATED",IF(J2500&lt;&gt;"","?FAMILIAR",IF(F2500="NEW",IF(ISNA(VLOOKUP(E2500,#REF!,1,FALSE())),"?TYPE_IDENTIFIABLE","?REFERENTIAL"),"_")))))</f>
        <v> </v>
      </c>
      <c r="H2500" s="24" t="str">
        <f>IF(J2500&lt;&gt;1,"",IF(I2500="SBJ","CB","?"))</f>
        <v> </v>
      </c>
      <c r="I2500" s="25" t="str">
        <f>IF(OR(E2500="",E2500="!!!",F2500="NEW"),"",INDEX(B2499:B$2,-1+SUMPRODUCT(MAX(ROW(E2499:E$2)*(E2500=E2499:E$2)))))</f>
        <v> </v>
      </c>
      <c r="J2500" s="25" t="str">
        <f>IF(OR(E2500="",E2500="!!!",F2500="NEW"),"",COUNTBLANK(OFFSET(A$1,,,SUMPRODUCT(MAX(ROW(E$2:E2500)*(E2500=E$2:E2500)))))-COUNTBLANK(OFFSET(A$1,,,SUMPRODUCT(MAX(ROW(E$1:E2499)*(E2=E$1:E2499))))))</f>
        <v> </v>
      </c>
      <c r="K2500" s="25" t="str">
        <f>IF(OR(E2500="",E2500="!!!",F2500="NEW"),"",INDEX(J$1:J2499,SUMPRODUCT(MAX(ROW(E$1:E2499)*(E2500=E$1:E2499)))))</f>
        <v> </v>
      </c>
      <c r="L2500" s="26"/>
    </row>
    <row r="2501" spans="1:12">
      <c r="A2501" s="20" t="s">
        <v>645</v>
      </c>
      <c r="B2501" s="27" t="s">
        <v>743</v>
      </c>
      <c r="C2501" s="27" t="s">
        <v>523</v>
      </c>
      <c r="D2501" s="27" t="s">
        <v>524</v>
      </c>
      <c r="E2501" s="21">
        <f>IF(D2501="?OLD","!!!","")</f>
        <v/>
      </c>
      <c r="F2501" s="22" t="str">
        <f>IF(OR(E2501="",E2501="!!!"),"",IF(NOT(ISNA(VLOOKUP(E2501,E$1:E2500,1,FALSE()))),"OLD",IF(AND(E2501&lt;&gt;"",E2501&lt;&gt;"!!!"),"NEW","")))</f>
        <v> </v>
      </c>
      <c r="G2501" s="23" t="str">
        <f>IF(OR(E2501="",E2501="!!!"),"",IF(OR(J2501=0,AND(J2501=1,K2501=1),AND(J2501=1,I2501="SBJ"),AND(J2501=1,I2501=0)),"?IN_FOCUS",IF(J2501&lt;=2,"?ACTIVATED",IF(J2501&lt;&gt;"","?FAMILIAR",IF(F2501="NEW",IF(ISNA(VLOOKUP(E2501,#REF!,1,FALSE())),"?TYPE_IDENTIFIABLE","?REFERENTIAL"),"_")))))</f>
        <v> </v>
      </c>
      <c r="H2501" s="24" t="str">
        <f>IF(J2501&lt;&gt;1,"",IF(I2501="SBJ","CB","?"))</f>
        <v> </v>
      </c>
      <c r="I2501" s="25" t="str">
        <f>IF(OR(E2501="",E2501="!!!",F2501="NEW"),"",INDEX(B2500:B$2,-1+SUMPRODUCT(MAX(ROW(E2500:E$2)*(E2501=E2500:E$2)))))</f>
        <v> </v>
      </c>
      <c r="J2501" s="25" t="str">
        <f>IF(OR(E2501="",E2501="!!!",F2501="NEW"),"",COUNTBLANK(OFFSET(A$1,,,SUMPRODUCT(MAX(ROW(E$2:E2501)*(E2501=E$2:E2501)))))-COUNTBLANK(OFFSET(A$1,,,SUMPRODUCT(MAX(ROW(E$1:E2500)*(E2=E$1:E2500))))))</f>
        <v> </v>
      </c>
      <c r="K2501" s="25" t="str">
        <f>IF(OR(E2501="",E2501="!!!",F2501="NEW"),"",INDEX(J$1:J2500,SUMPRODUCT(MAX(ROW(E$1:E2500)*(E2501=E$1:E2500)))))</f>
        <v> </v>
      </c>
      <c r="L2501" s="26"/>
    </row>
    <row r="2502" spans="1:12">
      <c r="A2502" s="20" t="s">
        <v>625</v>
      </c>
      <c r="E2502" s="21">
        <f>IF(D2502="?OLD","!!!","")</f>
        <v/>
      </c>
      <c r="F2502" s="22" t="str">
        <f>IF(OR(E2502="",E2502="!!!"),"",IF(NOT(ISNA(VLOOKUP(E2502,E$1:E2501,1,FALSE()))),"OLD",IF(AND(E2502&lt;&gt;"",E2502&lt;&gt;"!!!"),"NEW","")))</f>
        <v> </v>
      </c>
      <c r="G2502" s="23" t="str">
        <f>IF(OR(E2502="",E2502="!!!"),"",IF(OR(J2502=0,AND(J2502=1,K2502=1),AND(J2502=1,I2502="SBJ"),AND(J2502=1,I2502=0)),"?IN_FOCUS",IF(J2502&lt;=2,"?ACTIVATED",IF(J2502&lt;&gt;"","?FAMILIAR",IF(F2502="NEW",IF(ISNA(VLOOKUP(E2502,#REF!,1,FALSE())),"?TYPE_IDENTIFIABLE","?REFERENTIAL"),"_")))))</f>
        <v> </v>
      </c>
      <c r="H2502" s="24" t="str">
        <f>IF(J2502&lt;&gt;1,"",IF(I2502="SBJ","CB","?"))</f>
        <v> </v>
      </c>
      <c r="I2502" s="25" t="str">
        <f>IF(OR(E2502="",E2502="!!!",F2502="NEW"),"",INDEX(B2501:B$2,-1+SUMPRODUCT(MAX(ROW(E2501:E$2)*(E2502=E2501:E$2)))))</f>
        <v> </v>
      </c>
      <c r="J2502" s="25" t="str">
        <f>IF(OR(E2502="",E2502="!!!",F2502="NEW"),"",COUNTBLANK(OFFSET(A$1,,,SUMPRODUCT(MAX(ROW(E$2:E2502)*(E2502=E$2:E2502)))))-COUNTBLANK(OFFSET(A$1,,,SUMPRODUCT(MAX(ROW(E$1:E2501)*(E2=E$1:E2501))))))</f>
        <v> </v>
      </c>
      <c r="K2502" s="25" t="str">
        <f>IF(OR(E2502="",E2502="!!!",F2502="NEW"),"",INDEX(J$1:J2501,SUMPRODUCT(MAX(ROW(E$1:E2501)*(E2502=E$1:E2501)))))</f>
        <v> </v>
      </c>
      <c r="L2502" s="26"/>
    </row>
    <row r="2503" spans="1:12">
      <c r="A2503" s="20" t="s">
        <v>646</v>
      </c>
      <c r="E2503" s="21">
        <f>IF(D2503="?OLD","!!!","")</f>
        <v/>
      </c>
      <c r="F2503" s="22" t="str">
        <f>IF(OR(E2503="",E2503="!!!"),"",IF(NOT(ISNA(VLOOKUP(E2503,E$1:E2502,1,FALSE()))),"OLD",IF(AND(E2503&lt;&gt;"",E2503&lt;&gt;"!!!"),"NEW","")))</f>
        <v> </v>
      </c>
      <c r="G2503" s="23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4" t="str">
        <f>IF(J2503&lt;&gt;1,"",IF(I2503="SBJ","CB","?"))</f>
        <v> </v>
      </c>
      <c r="I2503" s="25" t="str">
        <f>IF(OR(E2503="",E2503="!!!",F2503="NEW"),"",INDEX(B2502:B$2,-1+SUMPRODUCT(MAX(ROW(E2502:E$2)*(E2503=E2502:E$2)))))</f>
        <v> </v>
      </c>
      <c r="J2503" s="25" t="str">
        <f>IF(OR(E2503="",E2503="!!!",F2503="NEW"),"",COUNTBLANK(OFFSET(A$1,,,SUMPRODUCT(MAX(ROW(E$2:E2503)*(E2503=E$2:E2503)))))-COUNTBLANK(OFFSET(A$1,,,SUMPRODUCT(MAX(ROW(E$1:E2502)*(E2=E$1:E2502))))))</f>
        <v> </v>
      </c>
      <c r="K2503" s="25" t="str">
        <f>IF(OR(E2503="",E2503="!!!",F2503="NEW"),"",INDEX(J$1:J2502,SUMPRODUCT(MAX(ROW(E$1:E2502)*(E2503=E$1:E2502)))))</f>
        <v> </v>
      </c>
      <c r="L2503" s="26"/>
    </row>
    <row r="2504" spans="1:12">
      <c r="A2504" s="20" t="s">
        <v>538</v>
      </c>
      <c r="E2504" s="21">
        <f>IF(D2504="?OLD","!!!","")</f>
        <v/>
      </c>
      <c r="F2504" s="22" t="str">
        <f>IF(OR(E2504="",E2504="!!!"),"",IF(NOT(ISNA(VLOOKUP(E2504,E$1:E2503,1,FALSE()))),"OLD",IF(AND(E2504&lt;&gt;"",E2504&lt;&gt;"!!!"),"NEW","")))</f>
        <v> </v>
      </c>
      <c r="G2504" s="23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4" t="str">
        <f>IF(J2504&lt;&gt;1,"",IF(I2504="SBJ","CB","?"))</f>
        <v> </v>
      </c>
      <c r="I2504" s="25" t="str">
        <f>IF(OR(E2504="",E2504="!!!",F2504="NEW"),"",INDEX(B2503:B$2,-1+SUMPRODUCT(MAX(ROW(E2503:E$2)*(E2504=E2503:E$2)))))</f>
        <v> </v>
      </c>
      <c r="J2504" s="25" t="str">
        <f>IF(OR(E2504="",E2504="!!!",F2504="NEW"),"",COUNTBLANK(OFFSET(A$1,,,SUMPRODUCT(MAX(ROW(E$2:E2504)*(E2504=E$2:E2504)))))-COUNTBLANK(OFFSET(A$1,,,SUMPRODUCT(MAX(ROW(E$1:E2503)*(E2=E$1:E2503))))))</f>
        <v> </v>
      </c>
      <c r="K2504" s="25" t="str">
        <f>IF(OR(E2504="",E2504="!!!",F2504="NEW"),"",INDEX(J$1:J2503,SUMPRODUCT(MAX(ROW(E$1:E2503)*(E2504=E$1:E2503)))))</f>
        <v> </v>
      </c>
      <c r="L2504" s="26"/>
    </row>
    <row r="2505" spans="1:12">
      <c r="A2505" s="20" t="s">
        <v>1410</v>
      </c>
      <c r="B2505" s="27" t="s">
        <v>592</v>
      </c>
      <c r="C2505" s="27" t="s">
        <v>540</v>
      </c>
      <c r="D2505" s="27" t="s">
        <v>524</v>
      </c>
      <c r="E2505" s="21">
        <f>IF(D2505="?OLD","!!!","")</f>
        <v/>
      </c>
      <c r="F2505" s="22" t="str">
        <f>IF(OR(E2505="",E2505="!!!"),"",IF(NOT(ISNA(VLOOKUP(E2505,E$1:E2504,1,FALSE()))),"OLD",IF(AND(E2505&lt;&gt;"",E2505&lt;&gt;"!!!"),"NEW","")))</f>
        <v> </v>
      </c>
      <c r="G2505" s="23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4" t="str">
        <f>IF(J2505&lt;&gt;1,"",IF(I2505="SBJ","CB","?"))</f>
        <v> </v>
      </c>
      <c r="I2505" s="25" t="str">
        <f>IF(OR(E2505="",E2505="!!!",F2505="NEW"),"",INDEX(B2504:B$2,-1+SUMPRODUCT(MAX(ROW(E2504:E$2)*(E2505=E2504:E$2)))))</f>
        <v> </v>
      </c>
      <c r="J2505" s="25" t="str">
        <f>IF(OR(E2505="",E2505="!!!",F2505="NEW"),"",COUNTBLANK(OFFSET(A$1,,,SUMPRODUCT(MAX(ROW(E$2:E2505)*(E2505=E$2:E2505)))))-COUNTBLANK(OFFSET(A$1,,,SUMPRODUCT(MAX(ROW(E$1:E2504)*(E2=E$1:E2504))))))</f>
        <v> </v>
      </c>
      <c r="K2505" s="25" t="str">
        <f>IF(OR(E2505="",E2505="!!!",F2505="NEW"),"",INDEX(J$1:J2504,SUMPRODUCT(MAX(ROW(E$1:E2504)*(E2505=E$1:E2504)))))</f>
        <v> </v>
      </c>
      <c r="L2505" s="26"/>
    </row>
    <row r="2506" spans="1:12">
      <c r="A2506" s="20" t="s">
        <v>518</v>
      </c>
      <c r="E2506" s="21">
        <f>IF(D2506="?OLD","!!!","")</f>
        <v/>
      </c>
      <c r="F2506" s="22" t="str">
        <f>IF(OR(E2506="",E2506="!!!"),"",IF(NOT(ISNA(VLOOKUP(E2506,E$1:E2505,1,FALSE()))),"OLD",IF(AND(E2506&lt;&gt;"",E2506&lt;&gt;"!!!"),"NEW","")))</f>
        <v> </v>
      </c>
      <c r="G2506" s="23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4" t="str">
        <f>IF(J2506&lt;&gt;1,"",IF(I2506="SBJ","CB","?"))</f>
        <v> </v>
      </c>
      <c r="I2506" s="25" t="str">
        <f>IF(OR(E2506="",E2506="!!!",F2506="NEW"),"",INDEX(B2505:B$2,-1+SUMPRODUCT(MAX(ROW(E2505:E$2)*(E2506=E2505:E$2)))))</f>
        <v> </v>
      </c>
      <c r="J2506" s="25" t="str">
        <f>IF(OR(E2506="",E2506="!!!",F2506="NEW"),"",COUNTBLANK(OFFSET(A$1,,,SUMPRODUCT(MAX(ROW(E$2:E2506)*(E2506=E$2:E2506)))))-COUNTBLANK(OFFSET(A$1,,,SUMPRODUCT(MAX(ROW(E$1:E2505)*(E2=E$1:E2505))))))</f>
        <v> </v>
      </c>
      <c r="K2506" s="25" t="str">
        <f>IF(OR(E2506="",E2506="!!!",F2506="NEW"),"",INDEX(J$1:J2505,SUMPRODUCT(MAX(ROW(E$1:E2505)*(E2506=E$1:E2505)))))</f>
        <v> </v>
      </c>
      <c r="L2506" s="26"/>
    </row>
    <row r="2507" spans="1:12">
      <c r="A2507" s="20" t="s">
        <v>1411</v>
      </c>
      <c r="B2507" s="27" t="s">
        <v>597</v>
      </c>
      <c r="C2507" s="27" t="s">
        <v>564</v>
      </c>
      <c r="E2507" s="21">
        <f>IF(D2507="?OLD","!!!","")</f>
        <v/>
      </c>
      <c r="F2507" s="22" t="str">
        <f>IF(OR(E2507="",E2507="!!!"),"",IF(NOT(ISNA(VLOOKUP(E2507,E$1:E2506,1,FALSE()))),"OLD",IF(AND(E2507&lt;&gt;"",E2507&lt;&gt;"!!!"),"NEW","")))</f>
        <v> </v>
      </c>
      <c r="G2507" s="23" t="str">
        <f>IF(OR(E2507="",E2507="!!!"),"",IF(OR(J2507=0,AND(J2507=1,K2507=1),AND(J2507=1,I2507="SBJ"),AND(J2507=1,I2507=0)),"?IN_FOCUS",IF(J2507&lt;=2,"?ACTIVATED",IF(J2507&lt;&gt;"","?FAMILIAR",IF(F2507="NEW",IF(ISNA(VLOOKUP(E2507,#REF!,1,FALSE())),"?TYPE_IDENTIFIABLE","?REFERENTIAL"),"_")))))</f>
        <v> </v>
      </c>
      <c r="H2507" s="24" t="str">
        <f>IF(J2507&lt;&gt;1,"",IF(I2507="SBJ","CB","?"))</f>
        <v> </v>
      </c>
      <c r="I2507" s="25" t="str">
        <f>IF(OR(E2507="",E2507="!!!",F2507="NEW"),"",INDEX(B2506:B$2,-1+SUMPRODUCT(MAX(ROW(E2506:E$2)*(E2507=E2506:E$2)))))</f>
        <v> </v>
      </c>
      <c r="J2507" s="25" t="str">
        <f>IF(OR(E2507="",E2507="!!!",F2507="NEW"),"",COUNTBLANK(OFFSET(A$1,,,SUMPRODUCT(MAX(ROW(E$2:E2507)*(E2507=E$2:E2507)))))-COUNTBLANK(OFFSET(A$1,,,SUMPRODUCT(MAX(ROW(E$1:E2506)*(E2=E$1:E2506))))))</f>
        <v> </v>
      </c>
      <c r="K2507" s="25" t="str">
        <f>IF(OR(E2507="",E2507="!!!",F2507="NEW"),"",INDEX(J$1:J2506,SUMPRODUCT(MAX(ROW(E$1:E2506)*(E2507=E$1:E2506)))))</f>
        <v> </v>
      </c>
      <c r="L2507" s="26"/>
    </row>
    <row r="2508" spans="1:12">
      <c r="A2508" s="20" t="s">
        <v>549</v>
      </c>
      <c r="E2508" s="21">
        <f>IF(D2508="?OLD","!!!","")</f>
        <v/>
      </c>
      <c r="F2508" s="22" t="str">
        <f>IF(OR(E2508="",E2508="!!!"),"",IF(NOT(ISNA(VLOOKUP(E2508,E$1:E2507,1,FALSE()))),"OLD",IF(AND(E2508&lt;&gt;"",E2508&lt;&gt;"!!!"),"NEW","")))</f>
        <v> </v>
      </c>
      <c r="G2508" s="23" t="str">
        <f>IF(OR(E2508="",E2508="!!!"),"",IF(OR(J2508=0,AND(J2508=1,K2508=1),AND(J2508=1,I2508="SBJ"),AND(J2508=1,I2508=0)),"?IN_FOCUS",IF(J2508&lt;=2,"?ACTIVATED",IF(J2508&lt;&gt;"","?FAMILIAR",IF(F2508="NEW",IF(ISNA(VLOOKUP(E2508,#REF!,1,FALSE())),"?TYPE_IDENTIFIABLE","?REFERENTIAL"),"_")))))</f>
        <v> </v>
      </c>
      <c r="H2508" s="24" t="str">
        <f>IF(J2508&lt;&gt;1,"",IF(I2508="SBJ","CB","?"))</f>
        <v> </v>
      </c>
      <c r="I2508" s="25" t="str">
        <f>IF(OR(E2508="",E2508="!!!",F2508="NEW"),"",INDEX(B2507:B$2,-1+SUMPRODUCT(MAX(ROW(E2507:E$2)*(E2508=E2507:E$2)))))</f>
        <v> </v>
      </c>
      <c r="J2508" s="25" t="str">
        <f>IF(OR(E2508="",E2508="!!!",F2508="NEW"),"",COUNTBLANK(OFFSET(A$1,,,SUMPRODUCT(MAX(ROW(E$2:E2508)*(E2508=E$2:E2508)))))-COUNTBLANK(OFFSET(A$1,,,SUMPRODUCT(MAX(ROW(E$1:E2507)*(E2=E$1:E2507))))))</f>
        <v> </v>
      </c>
      <c r="K2508" s="25" t="str">
        <f>IF(OR(E2508="",E2508="!!!",F2508="NEW"),"",INDEX(J$1:J2507,SUMPRODUCT(MAX(ROW(E$1:E2507)*(E2508=E$1:E2507)))))</f>
        <v> </v>
      </c>
      <c r="L2508" s="26"/>
    </row>
    <row r="2509" spans="1:12">
      <c r="A2509" s="20"/>
    </row>
    <row r="2510" spans="1:12">
      <c r="A2510" s="20" t="s">
        <v>1412</v>
      </c>
    </row>
    <row r="2511" spans="1:12">
      <c r="A2511" s="20" t="s">
        <v>632</v>
      </c>
      <c r="B2511" s="27" t="s">
        <v>680</v>
      </c>
      <c r="C2511" s="27" t="s">
        <v>523</v>
      </c>
      <c r="D2511" s="27" t="s">
        <v>524</v>
      </c>
      <c r="E2511" s="21">
        <f>IF(D2511="?OLD","!!!","")</f>
        <v/>
      </c>
      <c r="F2511" s="22" t="str">
        <f>IF(OR(E2511="",E2511="!!!"),"",IF(NOT(ISNA(VLOOKUP(E2511,E$1:E2510,1,FALSE()))),"OLD",IF(AND(E2511&lt;&gt;"",E2511&lt;&gt;"!!!"),"NEW","")))</f>
        <v> </v>
      </c>
      <c r="G2511" s="23" t="str">
        <f>IF(OR(E2511="",E2511="!!!"),"",IF(OR(J2511=0,AND(J2511=1,K2511=1),AND(J2511=1,I2511="SBJ"),AND(J2511=1,I2511=0)),"?IN_FOCUS",IF(J2511&lt;=2,"?ACTIVATED",IF(J2511&lt;&gt;"","?FAMILIAR",IF(F2511="NEW",IF(ISNA(VLOOKUP(E2511,#REF!,1,FALSE())),"?TYPE_IDENTIFIABLE","?REFERENTIAL"),"_")))))</f>
        <v> </v>
      </c>
      <c r="H2511" s="24" t="str">
        <f>IF(J2511&lt;&gt;1,"",IF(I2511="SBJ","CB","?"))</f>
        <v> </v>
      </c>
      <c r="I2511" s="25" t="str">
        <f>IF(OR(E2511="",E2511="!!!",F2511="NEW"),"",INDEX(B2510:B$2,-1+SUMPRODUCT(MAX(ROW(E2510:E$2)*(E2511=E2510:E$2)))))</f>
        <v> </v>
      </c>
      <c r="J2511" s="25" t="str">
        <f>IF(OR(E2511="",E2511="!!!",F2511="NEW"),"",COUNTBLANK(OFFSET(A$1,,,SUMPRODUCT(MAX(ROW(E$2:E2511)*(E2511=E$2:E2511)))))-COUNTBLANK(OFFSET(A$1,,,SUMPRODUCT(MAX(ROW(E$1:E2510)*(E2=E$1:E2510))))))</f>
        <v> </v>
      </c>
      <c r="K2511" s="25" t="str">
        <f>IF(OR(E2511="",E2511="!!!",F2511="NEW"),"",INDEX(J$1:J2510,SUMPRODUCT(MAX(ROW(E$1:E2510)*(E2511=E$1:E2510)))))</f>
        <v> </v>
      </c>
      <c r="L2511" s="26"/>
    </row>
    <row r="2512" spans="1:12">
      <c r="A2512" s="20" t="s">
        <v>708</v>
      </c>
      <c r="E2512" s="21">
        <f>IF(D2512="?OLD","!!!","")</f>
        <v/>
      </c>
      <c r="F2512" s="22" t="str">
        <f>IF(OR(E2512="",E2512="!!!"),"",IF(NOT(ISNA(VLOOKUP(E2512,E$1:E2511,1,FALSE()))),"OLD",IF(AND(E2512&lt;&gt;"",E2512&lt;&gt;"!!!"),"NEW","")))</f>
        <v> </v>
      </c>
      <c r="G2512" s="23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4" t="str">
        <f>IF(J2512&lt;&gt;1,"",IF(I2512="SBJ","CB","?"))</f>
        <v> </v>
      </c>
      <c r="I2512" s="25" t="str">
        <f>IF(OR(E2512="",E2512="!!!",F2512="NEW"),"",INDEX(B2511:B$2,-1+SUMPRODUCT(MAX(ROW(E2511:E$2)*(E2512=E2511:E$2)))))</f>
        <v> </v>
      </c>
      <c r="J2512" s="25" t="str">
        <f>IF(OR(E2512="",E2512="!!!",F2512="NEW"),"",COUNTBLANK(OFFSET(A$1,,,SUMPRODUCT(MAX(ROW(E$2:E2512)*(E2512=E$2:E2512)))))-COUNTBLANK(OFFSET(A$1,,,SUMPRODUCT(MAX(ROW(E$1:E2511)*(E2=E$1:E2511))))))</f>
        <v> </v>
      </c>
      <c r="K2512" s="25" t="str">
        <f>IF(OR(E2512="",E2512="!!!",F2512="NEW"),"",INDEX(J$1:J2511,SUMPRODUCT(MAX(ROW(E$1:E2511)*(E2512=E$1:E2511)))))</f>
        <v> </v>
      </c>
      <c r="L2512" s="26"/>
    </row>
    <row r="2513" spans="1:12">
      <c r="A2513" s="20" t="s">
        <v>1413</v>
      </c>
      <c r="E2513" s="21">
        <f>IF(D2513="?OLD","!!!","")</f>
        <v/>
      </c>
      <c r="F2513" s="22" t="str">
        <f>IF(OR(E2513="",E2513="!!!"),"",IF(NOT(ISNA(VLOOKUP(E2513,E$1:E2512,1,FALSE()))),"OLD",IF(AND(E2513&lt;&gt;"",E2513&lt;&gt;"!!!"),"NEW","")))</f>
        <v> </v>
      </c>
      <c r="G2513" s="23" t="str">
        <f>IF(OR(E2513="",E2513="!!!"),"",IF(OR(J2513=0,AND(J2513=1,K2513=1),AND(J2513=1,I2513="SBJ"),AND(J2513=1,I2513=0)),"?IN_FOCUS",IF(J2513&lt;=2,"?ACTIVATED",IF(J2513&lt;&gt;"","?FAMILIAR",IF(F2513="NEW",IF(ISNA(VLOOKUP(E2513,#REF!,1,FALSE())),"?TYPE_IDENTIFIABLE","?REFERENTIAL"),"_")))))</f>
        <v> </v>
      </c>
      <c r="H2513" s="24" t="str">
        <f>IF(J2513&lt;&gt;1,"",IF(I2513="SBJ","CB","?"))</f>
        <v> </v>
      </c>
      <c r="I2513" s="25" t="str">
        <f>IF(OR(E2513="",E2513="!!!",F2513="NEW"),"",INDEX(B2512:B$2,-1+SUMPRODUCT(MAX(ROW(E2512:E$2)*(E2513=E2512:E$2)))))</f>
        <v> </v>
      </c>
      <c r="J2513" s="25" t="str">
        <f>IF(OR(E2513="",E2513="!!!",F2513="NEW"),"",COUNTBLANK(OFFSET(A$1,,,SUMPRODUCT(MAX(ROW(E$2:E2513)*(E2513=E$2:E2513)))))-COUNTBLANK(OFFSET(A$1,,,SUMPRODUCT(MAX(ROW(E$1:E2512)*(E2=E$1:E2512))))))</f>
        <v> </v>
      </c>
      <c r="K2513" s="25" t="str">
        <f>IF(OR(E2513="",E2513="!!!",F2513="NEW"),"",INDEX(J$1:J2512,SUMPRODUCT(MAX(ROW(E$1:E2512)*(E2513=E$1:E2512)))))</f>
        <v> </v>
      </c>
      <c r="L2513" s="26"/>
    </row>
    <row r="2514" spans="1:12">
      <c r="A2514" s="20" t="s">
        <v>542</v>
      </c>
      <c r="E2514" s="21">
        <f>IF(D2514="?OLD","!!!","")</f>
        <v/>
      </c>
      <c r="F2514" s="22" t="str">
        <f>IF(OR(E2514="",E2514="!!!"),"",IF(NOT(ISNA(VLOOKUP(E2514,E$1:E2513,1,FALSE()))),"OLD",IF(AND(E2514&lt;&gt;"",E2514&lt;&gt;"!!!"),"NEW","")))</f>
        <v> </v>
      </c>
      <c r="G2514" s="23" t="str">
        <f>IF(OR(E2514="",E2514="!!!"),"",IF(OR(J2514=0,AND(J2514=1,K2514=1),AND(J2514=1,I2514="SBJ"),AND(J2514=1,I2514=0)),"?IN_FOCUS",IF(J2514&lt;=2,"?ACTIVATED",IF(J2514&lt;&gt;"","?FAMILIAR",IF(F2514="NEW",IF(ISNA(VLOOKUP(E2514,#REF!,1,FALSE())),"?TYPE_IDENTIFIABLE","?REFERENTIAL"),"_")))))</f>
        <v> </v>
      </c>
      <c r="H2514" s="24" t="str">
        <f>IF(J2514&lt;&gt;1,"",IF(I2514="SBJ","CB","?"))</f>
        <v> </v>
      </c>
      <c r="I2514" s="25" t="str">
        <f>IF(OR(E2514="",E2514="!!!",F2514="NEW"),"",INDEX(B2513:B$2,-1+SUMPRODUCT(MAX(ROW(E2513:E$2)*(E2514=E2513:E$2)))))</f>
        <v> </v>
      </c>
      <c r="J2514" s="25" t="str">
        <f>IF(OR(E2514="",E2514="!!!",F2514="NEW"),"",COUNTBLANK(OFFSET(A$1,,,SUMPRODUCT(MAX(ROW(E$2:E2514)*(E2514=E$2:E2514)))))-COUNTBLANK(OFFSET(A$1,,,SUMPRODUCT(MAX(ROW(E$1:E2513)*(E2=E$1:E2513))))))</f>
        <v> </v>
      </c>
      <c r="K2514" s="25" t="str">
        <f>IF(OR(E2514="",E2514="!!!",F2514="NEW"),"",INDEX(J$1:J2513,SUMPRODUCT(MAX(ROW(E$1:E2513)*(E2514=E$1:E2513)))))</f>
        <v> </v>
      </c>
      <c r="L2514" s="26"/>
    </row>
    <row r="2515" spans="1:12">
      <c r="A2515" s="20" t="s">
        <v>1414</v>
      </c>
      <c r="E2515" s="21">
        <f>IF(D2515="?OLD","!!!","")</f>
        <v/>
      </c>
      <c r="F2515" s="22" t="str">
        <f>IF(OR(E2515="",E2515="!!!"),"",IF(NOT(ISNA(VLOOKUP(E2515,E$1:E2514,1,FALSE()))),"OLD",IF(AND(E2515&lt;&gt;"",E2515&lt;&gt;"!!!"),"NEW","")))</f>
        <v> </v>
      </c>
      <c r="G2515" s="23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4" t="str">
        <f>IF(J2515&lt;&gt;1,"",IF(I2515="SBJ","CB","?"))</f>
        <v> </v>
      </c>
      <c r="I2515" s="25" t="str">
        <f>IF(OR(E2515="",E2515="!!!",F2515="NEW"),"",INDEX(B2514:B$2,-1+SUMPRODUCT(MAX(ROW(E2514:E$2)*(E2515=E2514:E$2)))))</f>
        <v> </v>
      </c>
      <c r="J2515" s="25" t="str">
        <f>IF(OR(E2515="",E2515="!!!",F2515="NEW"),"",COUNTBLANK(OFFSET(A$1,,,SUMPRODUCT(MAX(ROW(E$2:E2515)*(E2515=E$2:E2515)))))-COUNTBLANK(OFFSET(A$1,,,SUMPRODUCT(MAX(ROW(E$1:E2514)*(E2=E$1:E2514))))))</f>
        <v> </v>
      </c>
      <c r="K2515" s="25" t="str">
        <f>IF(OR(E2515="",E2515="!!!",F2515="NEW"),"",INDEX(J$1:J2514,SUMPRODUCT(MAX(ROW(E$1:E2514)*(E2515=E$1:E2514)))))</f>
        <v> </v>
      </c>
      <c r="L2515" s="26"/>
    </row>
    <row r="2516" spans="1:12">
      <c r="A2516" s="20" t="s">
        <v>1081</v>
      </c>
      <c r="B2516" s="27" t="s">
        <v>667</v>
      </c>
      <c r="C2516" s="27" t="s">
        <v>545</v>
      </c>
      <c r="D2516" s="27" t="s">
        <v>524</v>
      </c>
      <c r="E2516" s="21">
        <f>IF(D2516="?OLD","!!!","")</f>
        <v/>
      </c>
      <c r="F2516" s="22" t="str">
        <f>IF(OR(E2516="",E2516="!!!"),"",IF(NOT(ISNA(VLOOKUP(E2516,E$1:E2515,1,FALSE()))),"OLD",IF(AND(E2516&lt;&gt;"",E2516&lt;&gt;"!!!"),"NEW","")))</f>
        <v> </v>
      </c>
      <c r="G2516" s="23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4" t="str">
        <f>IF(J2516&lt;&gt;1,"",IF(I2516="SBJ","CB","?"))</f>
        <v> </v>
      </c>
      <c r="I2516" s="25" t="str">
        <f>IF(OR(E2516="",E2516="!!!",F2516="NEW"),"",INDEX(B2515:B$2,-1+SUMPRODUCT(MAX(ROW(E2515:E$2)*(E2516=E2515:E$2)))))</f>
        <v> </v>
      </c>
      <c r="J2516" s="25" t="str">
        <f>IF(OR(E2516="",E2516="!!!",F2516="NEW"),"",COUNTBLANK(OFFSET(A$1,,,SUMPRODUCT(MAX(ROW(E$2:E2516)*(E2516=E$2:E2516)))))-COUNTBLANK(OFFSET(A$1,,,SUMPRODUCT(MAX(ROW(E$1:E2515)*(E2=E$1:E2515))))))</f>
        <v> </v>
      </c>
      <c r="K2516" s="25" t="str">
        <f>IF(OR(E2516="",E2516="!!!",F2516="NEW"),"",INDEX(J$1:J2515,SUMPRODUCT(MAX(ROW(E$1:E2515)*(E2516=E$1:E2515)))))</f>
        <v> </v>
      </c>
      <c r="L2516" s="26"/>
    </row>
    <row r="2517" spans="1:12">
      <c r="A2517" s="20" t="s">
        <v>518</v>
      </c>
      <c r="E2517" s="21">
        <f>IF(D2517="?OLD","!!!","")</f>
        <v/>
      </c>
      <c r="F2517" s="22" t="str">
        <f>IF(OR(E2517="",E2517="!!!"),"",IF(NOT(ISNA(VLOOKUP(E2517,E$1:E2516,1,FALSE()))),"OLD",IF(AND(E2517&lt;&gt;"",E2517&lt;&gt;"!!!"),"NEW","")))</f>
        <v> </v>
      </c>
      <c r="G2517" s="23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4" t="str">
        <f>IF(J2517&lt;&gt;1,"",IF(I2517="SBJ","CB","?"))</f>
        <v> </v>
      </c>
      <c r="I2517" s="25" t="str">
        <f>IF(OR(E2517="",E2517="!!!",F2517="NEW"),"",INDEX(B2516:B$2,-1+SUMPRODUCT(MAX(ROW(E2516:E$2)*(E2517=E2516:E$2)))))</f>
        <v> </v>
      </c>
      <c r="J2517" s="25" t="str">
        <f>IF(OR(E2517="",E2517="!!!",F2517="NEW"),"",COUNTBLANK(OFFSET(A$1,,,SUMPRODUCT(MAX(ROW(E$2:E2517)*(E2517=E$2:E2517)))))-COUNTBLANK(OFFSET(A$1,,,SUMPRODUCT(MAX(ROW(E$1:E2516)*(E2=E$1:E2516))))))</f>
        <v> </v>
      </c>
      <c r="K2517" s="25" t="str">
        <f>IF(OR(E2517="",E2517="!!!",F2517="NEW"),"",INDEX(J$1:J2516,SUMPRODUCT(MAX(ROW(E$1:E2516)*(E2517=E$1:E2516)))))</f>
        <v> </v>
      </c>
      <c r="L2517" s="26"/>
    </row>
    <row r="2518" spans="1:12">
      <c r="A2518" s="20" t="s">
        <v>1137</v>
      </c>
      <c r="E2518" s="21">
        <f>IF(D2518="?OLD","!!!","")</f>
        <v/>
      </c>
      <c r="F2518" s="22" t="str">
        <f>IF(OR(E2518="",E2518="!!!"),"",IF(NOT(ISNA(VLOOKUP(E2518,E$1:E2517,1,FALSE()))),"OLD",IF(AND(E2518&lt;&gt;"",E2518&lt;&gt;"!!!"),"NEW","")))</f>
        <v> </v>
      </c>
      <c r="G2518" s="23" t="str">
        <f>IF(OR(E2518="",E2518="!!!"),"",IF(OR(J2518=0,AND(J2518=1,K2518=1),AND(J2518=1,I2518="SBJ"),AND(J2518=1,I2518=0)),"?IN_FOCUS",IF(J2518&lt;=2,"?ACTIVATED",IF(J2518&lt;&gt;"","?FAMILIAR",IF(F2518="NEW",IF(ISNA(VLOOKUP(E2518,#REF!,1,FALSE())),"?TYPE_IDENTIFIABLE","?REFERENTIAL"),"_")))))</f>
        <v> </v>
      </c>
      <c r="H2518" s="24" t="str">
        <f>IF(J2518&lt;&gt;1,"",IF(I2518="SBJ","CB","?"))</f>
        <v> </v>
      </c>
      <c r="I2518" s="25" t="str">
        <f>IF(OR(E2518="",E2518="!!!",F2518="NEW"),"",INDEX(B2517:B$2,-1+SUMPRODUCT(MAX(ROW(E2517:E$2)*(E2518=E2517:E$2)))))</f>
        <v> </v>
      </c>
      <c r="J2518" s="25" t="str">
        <f>IF(OR(E2518="",E2518="!!!",F2518="NEW"),"",COUNTBLANK(OFFSET(A$1,,,SUMPRODUCT(MAX(ROW(E$2:E2518)*(E2518=E$2:E2518)))))-COUNTBLANK(OFFSET(A$1,,,SUMPRODUCT(MAX(ROW(E$1:E2517)*(E2=E$1:E2517))))))</f>
        <v> </v>
      </c>
      <c r="K2518" s="25" t="str">
        <f>IF(OR(E2518="",E2518="!!!",F2518="NEW"),"",INDEX(J$1:J2517,SUMPRODUCT(MAX(ROW(E$1:E2517)*(E2518=E$1:E2517)))))</f>
        <v> </v>
      </c>
      <c r="L2518" s="26"/>
    </row>
    <row r="2519" spans="1:12">
      <c r="A2519" s="20" t="s">
        <v>646</v>
      </c>
      <c r="E2519" s="21">
        <f>IF(D2519="?OLD","!!!","")</f>
        <v/>
      </c>
      <c r="F2519" s="22" t="str">
        <f>IF(OR(E2519="",E2519="!!!"),"",IF(NOT(ISNA(VLOOKUP(E2519,E$1:E2518,1,FALSE()))),"OLD",IF(AND(E2519&lt;&gt;"",E2519&lt;&gt;"!!!"),"NEW","")))</f>
        <v> </v>
      </c>
      <c r="G2519" s="23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4" t="str">
        <f>IF(J2519&lt;&gt;1,"",IF(I2519="SBJ","CB","?"))</f>
        <v> </v>
      </c>
      <c r="I2519" s="25" t="str">
        <f>IF(OR(E2519="",E2519="!!!",F2519="NEW"),"",INDEX(B2518:B$2,-1+SUMPRODUCT(MAX(ROW(E2518:E$2)*(E2519=E2518:E$2)))))</f>
        <v> </v>
      </c>
      <c r="J2519" s="25" t="str">
        <f>IF(OR(E2519="",E2519="!!!",F2519="NEW"),"",COUNTBLANK(OFFSET(A$1,,,SUMPRODUCT(MAX(ROW(E$2:E2519)*(E2519=E$2:E2519)))))-COUNTBLANK(OFFSET(A$1,,,SUMPRODUCT(MAX(ROW(E$1:E2518)*(E2=E$1:E2518))))))</f>
        <v> </v>
      </c>
      <c r="K2519" s="25" t="str">
        <f>IF(OR(E2519="",E2519="!!!",F2519="NEW"),"",INDEX(J$1:J2518,SUMPRODUCT(MAX(ROW(E$1:E2518)*(E2519=E$1:E2518)))))</f>
        <v> </v>
      </c>
      <c r="L2519" s="26"/>
    </row>
    <row r="2520" spans="1:12">
      <c r="A2520" s="20" t="s">
        <v>549</v>
      </c>
      <c r="E2520" s="21">
        <f>IF(D2520="?OLD","!!!","")</f>
        <v/>
      </c>
      <c r="F2520" s="22" t="str">
        <f>IF(OR(E2520="",E2520="!!!"),"",IF(NOT(ISNA(VLOOKUP(E2520,E$1:E2519,1,FALSE()))),"OLD",IF(AND(E2520&lt;&gt;"",E2520&lt;&gt;"!!!"),"NEW","")))</f>
        <v> </v>
      </c>
      <c r="G2520" s="23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4" t="str">
        <f>IF(J2520&lt;&gt;1,"",IF(I2520="SBJ","CB","?"))</f>
        <v> </v>
      </c>
      <c r="I2520" s="25" t="str">
        <f>IF(OR(E2520="",E2520="!!!",F2520="NEW"),"",INDEX(B2519:B$2,-1+SUMPRODUCT(MAX(ROW(E2519:E$2)*(E2520=E2519:E$2)))))</f>
        <v> </v>
      </c>
      <c r="J2520" s="25" t="str">
        <f>IF(OR(E2520="",E2520="!!!",F2520="NEW"),"",COUNTBLANK(OFFSET(A$1,,,SUMPRODUCT(MAX(ROW(E$2:E2520)*(E2520=E$2:E2520)))))-COUNTBLANK(OFFSET(A$1,,,SUMPRODUCT(MAX(ROW(E$1:E2519)*(E2=E$1:E2519))))))</f>
        <v> </v>
      </c>
      <c r="K2520" s="25" t="str">
        <f>IF(OR(E2520="",E2520="!!!",F2520="NEW"),"",INDEX(J$1:J2519,SUMPRODUCT(MAX(ROW(E$1:E2519)*(E2520=E$1:E2519)))))</f>
        <v> </v>
      </c>
      <c r="L2520" s="26"/>
    </row>
    <row r="2521" spans="1:12">
      <c r="A2521" s="20"/>
    </row>
    <row r="2522" spans="1:12">
      <c r="A2522" s="20" t="s">
        <v>1415</v>
      </c>
    </row>
    <row r="2523" spans="1:12">
      <c r="A2523" s="20" t="s">
        <v>964</v>
      </c>
      <c r="E2523" s="21">
        <f>IF(D2523="?OLD","!!!","")</f>
        <v/>
      </c>
      <c r="F2523" s="22" t="str">
        <f>IF(OR(E2523="",E2523="!!!"),"",IF(NOT(ISNA(VLOOKUP(E2523,E$1:E2522,1,FALSE()))),"OLD",IF(AND(E2523&lt;&gt;"",E2523&lt;&gt;"!!!"),"NEW","")))</f>
        <v> </v>
      </c>
      <c r="G2523" s="23" t="str">
        <f>IF(OR(E2523="",E2523="!!!"),"",IF(OR(J2523=0,AND(J2523=1,K2523=1),AND(J2523=1,I2523="SBJ"),AND(J2523=1,I2523=0)),"?IN_FOCUS",IF(J2523&lt;=2,"?ACTIVATED",IF(J2523&lt;&gt;"","?FAMILIAR",IF(F2523="NEW",IF(ISNA(VLOOKUP(E2523,#REF!,1,FALSE())),"?TYPE_IDENTIFIABLE","?REFERENTIAL"),"_")))))</f>
        <v> </v>
      </c>
      <c r="H2523" s="24" t="str">
        <f>IF(J2523&lt;&gt;1,"",IF(I2523="SBJ","CB","?"))</f>
        <v> </v>
      </c>
      <c r="I2523" s="25" t="str">
        <f>IF(OR(E2523="",E2523="!!!",F2523="NEW"),"",INDEX(B2522:B$2,-1+SUMPRODUCT(MAX(ROW(E2522:E$2)*(E2523=E2522:E$2)))))</f>
        <v> </v>
      </c>
      <c r="J2523" s="25" t="str">
        <f>IF(OR(E2523="",E2523="!!!",F2523="NEW"),"",COUNTBLANK(OFFSET(A$1,,,SUMPRODUCT(MAX(ROW(E$2:E2523)*(E2523=E$2:E2523)))))-COUNTBLANK(OFFSET(A$1,,,SUMPRODUCT(MAX(ROW(E$1:E2522)*(E2=E$1:E2522))))))</f>
        <v> </v>
      </c>
      <c r="K2523" s="25" t="str">
        <f>IF(OR(E2523="",E2523="!!!",F2523="NEW"),"",INDEX(J$1:J2522,SUMPRODUCT(MAX(ROW(E$1:E2522)*(E2523=E$1:E2522)))))</f>
        <v> </v>
      </c>
      <c r="L2523" s="26"/>
    </row>
    <row r="2524" spans="1:12">
      <c r="A2524" s="20" t="s">
        <v>358</v>
      </c>
      <c r="B2524" s="27" t="s">
        <v>680</v>
      </c>
      <c r="C2524" s="27" t="s">
        <v>523</v>
      </c>
      <c r="D2524" s="27" t="s">
        <v>524</v>
      </c>
      <c r="E2524" s="21">
        <f>IF(D2524="?OLD","!!!","")</f>
        <v/>
      </c>
      <c r="F2524" s="22" t="str">
        <f>IF(OR(E2524="",E2524="!!!"),"",IF(NOT(ISNA(VLOOKUP(E2524,E$1:E2523,1,FALSE()))),"OLD",IF(AND(E2524&lt;&gt;"",E2524&lt;&gt;"!!!"),"NEW","")))</f>
        <v> </v>
      </c>
      <c r="G2524" s="23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4" t="str">
        <f>IF(J2524&lt;&gt;1,"",IF(I2524="SBJ","CB","?"))</f>
        <v> </v>
      </c>
      <c r="I2524" s="25" t="str">
        <f>IF(OR(E2524="",E2524="!!!",F2524="NEW"),"",INDEX(B2523:B$2,-1+SUMPRODUCT(MAX(ROW(E2523:E$2)*(E2524=E2523:E$2)))))</f>
        <v> </v>
      </c>
      <c r="J2524" s="25" t="str">
        <f>IF(OR(E2524="",E2524="!!!",F2524="NEW"),"",COUNTBLANK(OFFSET(A$1,,,SUMPRODUCT(MAX(ROW(E$2:E2524)*(E2524=E$2:E2524)))))-COUNTBLANK(OFFSET(A$1,,,SUMPRODUCT(MAX(ROW(E$1:E2523)*(E2=E$1:E2523))))))</f>
        <v> </v>
      </c>
      <c r="K2524" s="25" t="str">
        <f>IF(OR(E2524="",E2524="!!!",F2524="NEW"),"",INDEX(J$1:J2523,SUMPRODUCT(MAX(ROW(E$1:E2523)*(E2524=E$1:E2523)))))</f>
        <v> </v>
      </c>
      <c r="L2524" s="26"/>
    </row>
    <row r="2525" spans="1:12">
      <c r="A2525" s="20" t="s">
        <v>920</v>
      </c>
      <c r="E2525" s="21">
        <f>IF(D2525="?OLD","!!!","")</f>
        <v/>
      </c>
      <c r="F2525" s="22" t="str">
        <f>IF(OR(E2525="",E2525="!!!"),"",IF(NOT(ISNA(VLOOKUP(E2525,E$1:E2524,1,FALSE()))),"OLD",IF(AND(E2525&lt;&gt;"",E2525&lt;&gt;"!!!"),"NEW","")))</f>
        <v> </v>
      </c>
      <c r="G2525" s="23" t="str">
        <f>IF(OR(E2525="",E2525="!!!"),"",IF(OR(J2525=0,AND(J2525=1,K2525=1),AND(J2525=1,I2525="SBJ"),AND(J2525=1,I2525=0)),"?IN_FOCUS",IF(J2525&lt;=2,"?ACTIVATED",IF(J2525&lt;&gt;"","?FAMILIAR",IF(F2525="NEW",IF(ISNA(VLOOKUP(E2525,#REF!,1,FALSE())),"?TYPE_IDENTIFIABLE","?REFERENTIAL"),"_")))))</f>
        <v> </v>
      </c>
      <c r="H2525" s="24" t="str">
        <f>IF(J2525&lt;&gt;1,"",IF(I2525="SBJ","CB","?"))</f>
        <v> </v>
      </c>
      <c r="I2525" s="25" t="str">
        <f>IF(OR(E2525="",E2525="!!!",F2525="NEW"),"",INDEX(B2524:B$2,-1+SUMPRODUCT(MAX(ROW(E2524:E$2)*(E2525=E2524:E$2)))))</f>
        <v> </v>
      </c>
      <c r="J2525" s="25" t="str">
        <f>IF(OR(E2525="",E2525="!!!",F2525="NEW"),"",COUNTBLANK(OFFSET(A$1,,,SUMPRODUCT(MAX(ROW(E$2:E2525)*(E2525=E$2:E2525)))))-COUNTBLANK(OFFSET(A$1,,,SUMPRODUCT(MAX(ROW(E$1:E2524)*(E2=E$1:E2524))))))</f>
        <v> </v>
      </c>
      <c r="K2525" s="25" t="str">
        <f>IF(OR(E2525="",E2525="!!!",F2525="NEW"),"",INDEX(J$1:J2524,SUMPRODUCT(MAX(ROW(E$1:E2524)*(E2525=E$1:E2524)))))</f>
        <v> </v>
      </c>
      <c r="L2525" s="26"/>
    </row>
    <row r="2526" spans="1:12">
      <c r="A2526" s="20" t="s">
        <v>594</v>
      </c>
      <c r="E2526" s="21">
        <f>IF(D2526="?OLD","!!!","")</f>
        <v/>
      </c>
      <c r="F2526" s="22" t="str">
        <f>IF(OR(E2526="",E2526="!!!"),"",IF(NOT(ISNA(VLOOKUP(E2526,E$1:E2525,1,FALSE()))),"OLD",IF(AND(E2526&lt;&gt;"",E2526&lt;&gt;"!!!"),"NEW","")))</f>
        <v> </v>
      </c>
      <c r="G2526" s="23" t="str">
        <f>IF(OR(E2526="",E2526="!!!"),"",IF(OR(J2526=0,AND(J2526=1,K2526=1),AND(J2526=1,I2526="SBJ"),AND(J2526=1,I2526=0)),"?IN_FOCUS",IF(J2526&lt;=2,"?ACTIVATED",IF(J2526&lt;&gt;"","?FAMILIAR",IF(F2526="NEW",IF(ISNA(VLOOKUP(E2526,#REF!,1,FALSE())),"?TYPE_IDENTIFIABLE","?REFERENTIAL"),"_")))))</f>
        <v> </v>
      </c>
      <c r="H2526" s="24" t="str">
        <f>IF(J2526&lt;&gt;1,"",IF(I2526="SBJ","CB","?"))</f>
        <v> </v>
      </c>
      <c r="I2526" s="25" t="str">
        <f>IF(OR(E2526="",E2526="!!!",F2526="NEW"),"",INDEX(B2525:B$2,-1+SUMPRODUCT(MAX(ROW(E2525:E$2)*(E2526=E2525:E$2)))))</f>
        <v> </v>
      </c>
      <c r="J2526" s="25" t="str">
        <f>IF(OR(E2526="",E2526="!!!",F2526="NEW"),"",COUNTBLANK(OFFSET(A$1,,,SUMPRODUCT(MAX(ROW(E$2:E2526)*(E2526=E$2:E2526)))))-COUNTBLANK(OFFSET(A$1,,,SUMPRODUCT(MAX(ROW(E$1:E2525)*(E2=E$1:E2525))))))</f>
        <v> </v>
      </c>
      <c r="K2526" s="25" t="str">
        <f>IF(OR(E2526="",E2526="!!!",F2526="NEW"),"",INDEX(J$1:J2525,SUMPRODUCT(MAX(ROW(E$1:E2525)*(E2526=E$1:E2525)))))</f>
        <v> </v>
      </c>
      <c r="L2526" s="26"/>
    </row>
    <row r="2527" spans="1:12">
      <c r="A2527" s="20"/>
    </row>
    <row r="2528" spans="1:12">
      <c r="A2528" s="20" t="s">
        <v>550</v>
      </c>
      <c r="E2528" s="21">
        <f>IF(D2528="?OLD","!!!","")</f>
        <v/>
      </c>
      <c r="F2528" s="22" t="str">
        <f>IF(OR(E2528="",E2528="!!!"),"",IF(NOT(ISNA(VLOOKUP(E2528,E$1:E2527,1,FALSE()))),"OLD",IF(AND(E2528&lt;&gt;"",E2528&lt;&gt;"!!!"),"NEW","")))</f>
        <v> </v>
      </c>
      <c r="G2528" s="23" t="str">
        <f>IF(OR(E2528="",E2528="!!!"),"",IF(OR(J2528=0,AND(J2528=1,K2528=1),AND(J2528=1,I2528="SBJ"),AND(J2528=1,I2528=0)),"?IN_FOCUS",IF(J2528&lt;=2,"?ACTIVATED",IF(J2528&lt;&gt;"","?FAMILIAR",IF(F2528="NEW",IF(ISNA(VLOOKUP(E2528,#REF!,1,FALSE())),"?TYPE_IDENTIFIABLE","?REFERENTIAL"),"_")))))</f>
        <v> </v>
      </c>
      <c r="H2528" s="24" t="str">
        <f>IF(J2528&lt;&gt;1,"",IF(I2528="SBJ","CB","?"))</f>
        <v> </v>
      </c>
      <c r="I2528" s="25" t="str">
        <f>IF(OR(E2528="",E2528="!!!",F2528="NEW"),"",INDEX(B2527:B$2,-1+SUMPRODUCT(MAX(ROW(E2527:E$2)*(E2528=E2527:E$2)))))</f>
        <v> </v>
      </c>
      <c r="J2528" s="25" t="str">
        <f>IF(OR(E2528="",E2528="!!!",F2528="NEW"),"",COUNTBLANK(OFFSET(A$1,,,SUMPRODUCT(MAX(ROW(E$2:E2528)*(E2528=E$2:E2528)))))-COUNTBLANK(OFFSET(A$1,,,SUMPRODUCT(MAX(ROW(E$1:E2527)*(E2=E$1:E2527))))))</f>
        <v> </v>
      </c>
      <c r="K2528" s="25" t="str">
        <f>IF(OR(E2528="",E2528="!!!",F2528="NEW"),"",INDEX(J$1:J2527,SUMPRODUCT(MAX(ROW(E$1:E2527)*(E2528=E$1:E2527)))))</f>
        <v> </v>
      </c>
      <c r="L2528" s="26"/>
    </row>
    <row r="2529" spans="1:12">
      <c r="A2529" s="20" t="s">
        <v>1416</v>
      </c>
    </row>
    <row r="2530" spans="1:12">
      <c r="A2530" s="20" t="s">
        <v>581</v>
      </c>
      <c r="E2530" s="21">
        <f>IF(D2530="?OLD","!!!","")</f>
        <v/>
      </c>
      <c r="F2530" s="22" t="str">
        <f>IF(OR(E2530="",E2530="!!!"),"",IF(NOT(ISNA(VLOOKUP(E2530,E$1:E2529,1,FALSE()))),"OLD",IF(AND(E2530&lt;&gt;"",E2530&lt;&gt;"!!!"),"NEW","")))</f>
        <v> </v>
      </c>
      <c r="G2530" s="23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4" t="str">
        <f>IF(J2530&lt;&gt;1,"",IF(I2530="SBJ","CB","?"))</f>
        <v> </v>
      </c>
      <c r="I2530" s="25" t="str">
        <f>IF(OR(E2530="",E2530="!!!",F2530="NEW"),"",INDEX(B2529:B$2,-1+SUMPRODUCT(MAX(ROW(E2529:E$2)*(E2530=E2529:E$2)))))</f>
        <v> </v>
      </c>
      <c r="J2530" s="25" t="str">
        <f>IF(OR(E2530="",E2530="!!!",F2530="NEW"),"",COUNTBLANK(OFFSET(A$1,,,SUMPRODUCT(MAX(ROW(E$2:E2530)*(E2530=E$2:E2530)))))-COUNTBLANK(OFFSET(A$1,,,SUMPRODUCT(MAX(ROW(E$1:E2529)*(E2=E$1:E2529))))))</f>
        <v> </v>
      </c>
      <c r="K2530" s="25" t="str">
        <f>IF(OR(E2530="",E2530="!!!",F2530="NEW"),"",INDEX(J$1:J2529,SUMPRODUCT(MAX(ROW(E$1:E2529)*(E2530=E$1:E2529)))))</f>
        <v> </v>
      </c>
      <c r="L2530" s="26"/>
    </row>
    <row r="2531" spans="1:12">
      <c r="A2531" s="20" t="s">
        <v>354</v>
      </c>
      <c r="B2531" s="27" t="s">
        <v>592</v>
      </c>
      <c r="C2531" s="27" t="s">
        <v>548</v>
      </c>
      <c r="D2531" s="27" t="s">
        <v>524</v>
      </c>
      <c r="E2531" s="21">
        <f>IF(D2531="?OLD","!!!","")</f>
        <v/>
      </c>
      <c r="F2531" s="22" t="str">
        <f>IF(OR(E2531="",E2531="!!!"),"",IF(NOT(ISNA(VLOOKUP(E2531,E$1:E2530,1,FALSE()))),"OLD",IF(AND(E2531&lt;&gt;"",E2531&lt;&gt;"!!!"),"NEW","")))</f>
        <v> </v>
      </c>
      <c r="G2531" s="23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4" t="str">
        <f>IF(J2531&lt;&gt;1,"",IF(I2531="SBJ","CB","?"))</f>
        <v> </v>
      </c>
      <c r="I2531" s="25" t="str">
        <f>IF(OR(E2531="",E2531="!!!",F2531="NEW"),"",INDEX(B2530:B$2,-1+SUMPRODUCT(MAX(ROW(E2530:E$2)*(E2531=E2530:E$2)))))</f>
        <v> </v>
      </c>
      <c r="J2531" s="25" t="str">
        <f>IF(OR(E2531="",E2531="!!!",F2531="NEW"),"",COUNTBLANK(OFFSET(A$1,,,SUMPRODUCT(MAX(ROW(E$2:E2531)*(E2531=E$2:E2531)))))-COUNTBLANK(OFFSET(A$1,,,SUMPRODUCT(MAX(ROW(E$1:E2530)*(E2=E$1:E2530))))))</f>
        <v> </v>
      </c>
      <c r="K2531" s="25" t="str">
        <f>IF(OR(E2531="",E2531="!!!",F2531="NEW"),"",INDEX(J$1:J2530,SUMPRODUCT(MAX(ROW(E$1:E2530)*(E2531=E$1:E2530)))))</f>
        <v> </v>
      </c>
      <c r="L2531" s="26"/>
    </row>
    <row r="2532" spans="1:12">
      <c r="A2532" s="20" t="s">
        <v>565</v>
      </c>
      <c r="E2532" s="21">
        <f>IF(D2532="?OLD","!!!","")</f>
        <v/>
      </c>
      <c r="F2532" s="22" t="str">
        <f>IF(OR(E2532="",E2532="!!!"),"",IF(NOT(ISNA(VLOOKUP(E2532,E$1:E2531,1,FALSE()))),"OLD",IF(AND(E2532&lt;&gt;"",E2532&lt;&gt;"!!!"),"NEW","")))</f>
        <v> </v>
      </c>
      <c r="G2532" s="23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4" t="str">
        <f>IF(J2532&lt;&gt;1,"",IF(I2532="SBJ","CB","?"))</f>
        <v> </v>
      </c>
      <c r="I2532" s="25" t="str">
        <f>IF(OR(E2532="",E2532="!!!",F2532="NEW"),"",INDEX(B2531:B$2,-1+SUMPRODUCT(MAX(ROW(E2531:E$2)*(E2532=E2531:E$2)))))</f>
        <v> </v>
      </c>
      <c r="J2532" s="25" t="str">
        <f>IF(OR(E2532="",E2532="!!!",F2532="NEW"),"",COUNTBLANK(OFFSET(A$1,,,SUMPRODUCT(MAX(ROW(E$2:E2532)*(E2532=E$2:E2532)))))-COUNTBLANK(OFFSET(A$1,,,SUMPRODUCT(MAX(ROW(E$1:E2531)*(E2=E$1:E2531))))))</f>
        <v> </v>
      </c>
      <c r="K2532" s="25" t="str">
        <f>IF(OR(E2532="",E2532="!!!",F2532="NEW"),"",INDEX(J$1:J2531,SUMPRODUCT(MAX(ROW(E$1:E2531)*(E2532=E$1:E2531)))))</f>
        <v> </v>
      </c>
      <c r="L2532" s="26"/>
    </row>
    <row r="2533" spans="1:12">
      <c r="A2533" s="20" t="s">
        <v>1417</v>
      </c>
      <c r="E2533" s="21">
        <f>IF(D2533="?OLD","!!!","")</f>
        <v/>
      </c>
      <c r="F2533" s="22" t="str">
        <f>IF(OR(E2533="",E2533="!!!"),"",IF(NOT(ISNA(VLOOKUP(E2533,E$1:E2532,1,FALSE()))),"OLD",IF(AND(E2533&lt;&gt;"",E2533&lt;&gt;"!!!"),"NEW","")))</f>
        <v> </v>
      </c>
      <c r="G2533" s="23" t="str">
        <f>IF(OR(E2533="",E2533="!!!"),"",IF(OR(J2533=0,AND(J2533=1,K2533=1),AND(J2533=1,I2533="SBJ"),AND(J2533=1,I2533=0)),"?IN_FOCUS",IF(J2533&lt;=2,"?ACTIVATED",IF(J2533&lt;&gt;"","?FAMILIAR",IF(F2533="NEW",IF(ISNA(VLOOKUP(E2533,#REF!,1,FALSE())),"?TYPE_IDENTIFIABLE","?REFERENTIAL"),"_")))))</f>
        <v> </v>
      </c>
      <c r="H2533" s="24" t="str">
        <f>IF(J2533&lt;&gt;1,"",IF(I2533="SBJ","CB","?"))</f>
        <v> </v>
      </c>
      <c r="I2533" s="25" t="str">
        <f>IF(OR(E2533="",E2533="!!!",F2533="NEW"),"",INDEX(B2532:B$2,-1+SUMPRODUCT(MAX(ROW(E2532:E$2)*(E2533=E2532:E$2)))))</f>
        <v> </v>
      </c>
      <c r="J2533" s="25" t="str">
        <f>IF(OR(E2533="",E2533="!!!",F2533="NEW"),"",COUNTBLANK(OFFSET(A$1,,,SUMPRODUCT(MAX(ROW(E$2:E2533)*(E2533=E$2:E2533)))))-COUNTBLANK(OFFSET(A$1,,,SUMPRODUCT(MAX(ROW(E$1:E2532)*(E2=E$1:E2532))))))</f>
        <v> </v>
      </c>
      <c r="K2533" s="25" t="str">
        <f>IF(OR(E2533="",E2533="!!!",F2533="NEW"),"",INDEX(J$1:J2532,SUMPRODUCT(MAX(ROW(E$1:E2532)*(E2533=E$1:E2532)))))</f>
        <v> </v>
      </c>
      <c r="L2533" s="26"/>
    </row>
    <row r="2534" spans="1:12">
      <c r="A2534" s="20" t="s">
        <v>571</v>
      </c>
      <c r="B2534" s="27" t="s">
        <v>522</v>
      </c>
      <c r="C2534" s="27" t="s">
        <v>523</v>
      </c>
      <c r="D2534" s="27" t="s">
        <v>524</v>
      </c>
      <c r="E2534" s="21">
        <f>IF(D2534="?OLD","!!!","")</f>
        <v/>
      </c>
      <c r="F2534" s="22" t="str">
        <f>IF(OR(E2534="",E2534="!!!"),"",IF(NOT(ISNA(VLOOKUP(E2534,E$1:E2533,1,FALSE()))),"OLD",IF(AND(E2534&lt;&gt;"",E2534&lt;&gt;"!!!"),"NEW","")))</f>
        <v> </v>
      </c>
      <c r="G2534" s="23" t="str">
        <f>IF(OR(E2534="",E2534="!!!"),"",IF(OR(J2534=0,AND(J2534=1,K2534=1),AND(J2534=1,I2534="SBJ"),AND(J2534=1,I2534=0)),"?IN_FOCUS",IF(J2534&lt;=2,"?ACTIVATED",IF(J2534&lt;&gt;"","?FAMILIAR",IF(F2534="NEW",IF(ISNA(VLOOKUP(E2534,#REF!,1,FALSE())),"?TYPE_IDENTIFIABLE","?REFERENTIAL"),"_")))))</f>
        <v> </v>
      </c>
      <c r="H2534" s="24" t="str">
        <f>IF(J2534&lt;&gt;1,"",IF(I2534="SBJ","CB","?"))</f>
        <v> </v>
      </c>
      <c r="I2534" s="25" t="str">
        <f>IF(OR(E2534="",E2534="!!!",F2534="NEW"),"",INDEX(B2533:B$2,-1+SUMPRODUCT(MAX(ROW(E2533:E$2)*(E2534=E2533:E$2)))))</f>
        <v> </v>
      </c>
      <c r="J2534" s="25" t="str">
        <f>IF(OR(E2534="",E2534="!!!",F2534="NEW"),"",COUNTBLANK(OFFSET(A$1,,,SUMPRODUCT(MAX(ROW(E$2:E2534)*(E2534=E$2:E2534)))))-COUNTBLANK(OFFSET(A$1,,,SUMPRODUCT(MAX(ROW(E$1:E2533)*(E2=E$1:E2533))))))</f>
        <v> </v>
      </c>
      <c r="K2534" s="25" t="str">
        <f>IF(OR(E2534="",E2534="!!!",F2534="NEW"),"",INDEX(J$1:J2533,SUMPRODUCT(MAX(ROW(E$1:E2533)*(E2534=E$1:E2533)))))</f>
        <v> </v>
      </c>
      <c r="L2534" s="26"/>
    </row>
    <row r="2535" spans="1:12">
      <c r="A2535" s="20" t="s">
        <v>815</v>
      </c>
      <c r="E2535" s="21">
        <f>IF(D2535="?OLD","!!!","")</f>
        <v/>
      </c>
      <c r="F2535" s="22" t="str">
        <f>IF(OR(E2535="",E2535="!!!"),"",IF(NOT(ISNA(VLOOKUP(E2535,E$1:E2534,1,FALSE()))),"OLD",IF(AND(E2535&lt;&gt;"",E2535&lt;&gt;"!!!"),"NEW","")))</f>
        <v> </v>
      </c>
      <c r="G2535" s="23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4" t="str">
        <f>IF(J2535&lt;&gt;1,"",IF(I2535="SBJ","CB","?"))</f>
        <v> </v>
      </c>
      <c r="I2535" s="25" t="str">
        <f>IF(OR(E2535="",E2535="!!!",F2535="NEW"),"",INDEX(B2534:B$2,-1+SUMPRODUCT(MAX(ROW(E2534:E$2)*(E2535=E2534:E$2)))))</f>
        <v> </v>
      </c>
      <c r="J2535" s="25" t="str">
        <f>IF(OR(E2535="",E2535="!!!",F2535="NEW"),"",COUNTBLANK(OFFSET(A$1,,,SUMPRODUCT(MAX(ROW(E$2:E2535)*(E2535=E$2:E2535)))))-COUNTBLANK(OFFSET(A$1,,,SUMPRODUCT(MAX(ROW(E$1:E2534)*(E2=E$1:E2534))))))</f>
        <v> </v>
      </c>
      <c r="K2535" s="25" t="str">
        <f>IF(OR(E2535="",E2535="!!!",F2535="NEW"),"",INDEX(J$1:J2534,SUMPRODUCT(MAX(ROW(E$1:E2534)*(E2535=E$1:E2534)))))</f>
        <v> </v>
      </c>
      <c r="L2535" s="26"/>
    </row>
    <row r="2536" spans="1:12">
      <c r="A2536" s="20"/>
    </row>
    <row r="2537" spans="1:12">
      <c r="A2537" s="20" t="s">
        <v>550</v>
      </c>
      <c r="E2537" s="21">
        <f>IF(D2537="?OLD","!!!","")</f>
        <v/>
      </c>
      <c r="F2537" s="22" t="str">
        <f>IF(OR(E2537="",E2537="!!!"),"",IF(NOT(ISNA(VLOOKUP(E2537,E$1:E2536,1,FALSE()))),"OLD",IF(AND(E2537&lt;&gt;"",E2537&lt;&gt;"!!!"),"NEW","")))</f>
        <v> </v>
      </c>
      <c r="G2537" s="23" t="str">
        <f>IF(OR(E2537="",E2537="!!!"),"",IF(OR(J2537=0,AND(J2537=1,K2537=1),AND(J2537=1,I2537="SBJ"),AND(J2537=1,I2537=0)),"?IN_FOCUS",IF(J2537&lt;=2,"?ACTIVATED",IF(J2537&lt;&gt;"","?FAMILIAR",IF(F2537="NEW",IF(ISNA(VLOOKUP(E2537,#REF!,1,FALSE())),"?TYPE_IDENTIFIABLE","?REFERENTIAL"),"_")))))</f>
        <v> </v>
      </c>
      <c r="H2537" s="24" t="str">
        <f>IF(J2537&lt;&gt;1,"",IF(I2537="SBJ","CB","?"))</f>
        <v> </v>
      </c>
      <c r="I2537" s="25" t="str">
        <f>IF(OR(E2537="",E2537="!!!",F2537="NEW"),"",INDEX(B2536:B$2,-1+SUMPRODUCT(MAX(ROW(E2536:E$2)*(E2537=E2536:E$2)))))</f>
        <v> </v>
      </c>
      <c r="J2537" s="25" t="str">
        <f>IF(OR(E2537="",E2537="!!!",F2537="NEW"),"",COUNTBLANK(OFFSET(A$1,,,SUMPRODUCT(MAX(ROW(E$2:E2537)*(E2537=E$2:E2537)))))-COUNTBLANK(OFFSET(A$1,,,SUMPRODUCT(MAX(ROW(E$1:E2536)*(E2=E$1:E2536))))))</f>
        <v> </v>
      </c>
      <c r="K2537" s="25" t="str">
        <f>IF(OR(E2537="",E2537="!!!",F2537="NEW"),"",INDEX(J$1:J2536,SUMPRODUCT(MAX(ROW(E$1:E2536)*(E2537=E$1:E2536)))))</f>
        <v> </v>
      </c>
      <c r="L2537" s="26"/>
    </row>
    <row r="2538" spans="1:12">
      <c r="A2538" s="20" t="s">
        <v>1418</v>
      </c>
    </row>
    <row r="2539" spans="1:12">
      <c r="A2539" s="20" t="s">
        <v>824</v>
      </c>
      <c r="E2539" s="21">
        <f>IF(D2539="?OLD","!!!","")</f>
        <v/>
      </c>
      <c r="F2539" s="22" t="str">
        <f>IF(OR(E2539="",E2539="!!!"),"",IF(NOT(ISNA(VLOOKUP(E2539,E$1:E2538,1,FALSE()))),"OLD",IF(AND(E2539&lt;&gt;"",E2539&lt;&gt;"!!!"),"NEW","")))</f>
        <v> </v>
      </c>
      <c r="G2539" s="23" t="str">
        <f>IF(OR(E2539="",E2539="!!!"),"",IF(OR(J2539=0,AND(J2539=1,K2539=1),AND(J2539=1,I2539="SBJ"),AND(J2539=1,I2539=0)),"?IN_FOCUS",IF(J2539&lt;=2,"?ACTIVATED",IF(J2539&lt;&gt;"","?FAMILIAR",IF(F2539="NEW",IF(ISNA(VLOOKUP(E2539,#REF!,1,FALSE())),"?TYPE_IDENTIFIABLE","?REFERENTIAL"),"_")))))</f>
        <v> </v>
      </c>
      <c r="H2539" s="24" t="str">
        <f>IF(J2539&lt;&gt;1,"",IF(I2539="SBJ","CB","?"))</f>
        <v> </v>
      </c>
      <c r="I2539" s="25" t="str">
        <f>IF(OR(E2539="",E2539="!!!",F2539="NEW"),"",INDEX(B2538:B$2,-1+SUMPRODUCT(MAX(ROW(E2538:E$2)*(E2539=E2538:E$2)))))</f>
        <v> </v>
      </c>
      <c r="J2539" s="25" t="str">
        <f>IF(OR(E2539="",E2539="!!!",F2539="NEW"),"",COUNTBLANK(OFFSET(A$1,,,SUMPRODUCT(MAX(ROW(E$2:E2539)*(E2539=E$2:E2539)))))-COUNTBLANK(OFFSET(A$1,,,SUMPRODUCT(MAX(ROW(E$1:E2538)*(E2=E$1:E2538))))))</f>
        <v> </v>
      </c>
      <c r="K2539" s="25" t="str">
        <f>IF(OR(E2539="",E2539="!!!",F2539="NEW"),"",INDEX(J$1:J2538,SUMPRODUCT(MAX(ROW(E$1:E2538)*(E2539=E$1:E2538)))))</f>
        <v> </v>
      </c>
      <c r="L2539" s="26"/>
    </row>
    <row r="2540" spans="1:12">
      <c r="A2540" s="20" t="s">
        <v>645</v>
      </c>
      <c r="E2540" s="21">
        <f>IF(D2540="?OLD","!!!","")</f>
        <v/>
      </c>
      <c r="F2540" s="22" t="str">
        <f>IF(OR(E2540="",E2540="!!!"),"",IF(NOT(ISNA(VLOOKUP(E2540,E$1:E2539,1,FALSE()))),"OLD",IF(AND(E2540&lt;&gt;"",E2540&lt;&gt;"!!!"),"NEW","")))</f>
        <v> </v>
      </c>
      <c r="G2540" s="23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4" t="str">
        <f>IF(J2540&lt;&gt;1,"",IF(I2540="SBJ","CB","?"))</f>
        <v> </v>
      </c>
      <c r="I2540" s="25" t="str">
        <f>IF(OR(E2540="",E2540="!!!",F2540="NEW"),"",INDEX(B2539:B$2,-1+SUMPRODUCT(MAX(ROW(E2539:E$2)*(E2540=E2539:E$2)))))</f>
        <v> </v>
      </c>
      <c r="J2540" s="25" t="str">
        <f>IF(OR(E2540="",E2540="!!!",F2540="NEW"),"",COUNTBLANK(OFFSET(A$1,,,SUMPRODUCT(MAX(ROW(E$2:E2540)*(E2540=E$2:E2540)))))-COUNTBLANK(OFFSET(A$1,,,SUMPRODUCT(MAX(ROW(E$1:E2539)*(E2=E$1:E2539))))))</f>
        <v> </v>
      </c>
      <c r="K2540" s="25" t="str">
        <f>IF(OR(E2540="",E2540="!!!",F2540="NEW"),"",INDEX(J$1:J2539,SUMPRODUCT(MAX(ROW(E$1:E2539)*(E2540=E$1:E2539)))))</f>
        <v> </v>
      </c>
      <c r="L2540" s="26"/>
    </row>
    <row r="2541" spans="1:12">
      <c r="A2541" s="20" t="s">
        <v>1419</v>
      </c>
      <c r="B2541" s="27" t="s">
        <v>743</v>
      </c>
      <c r="C2541" s="27" t="s">
        <v>540</v>
      </c>
      <c r="D2541" s="27" t="s">
        <v>524</v>
      </c>
      <c r="E2541" s="21">
        <f>IF(D2541="?OLD","!!!","")</f>
        <v/>
      </c>
      <c r="F2541" s="22" t="str">
        <f>IF(OR(E2541="",E2541="!!!"),"",IF(NOT(ISNA(VLOOKUP(E2541,E$1:E2540,1,FALSE()))),"OLD",IF(AND(E2541&lt;&gt;"",E2541&lt;&gt;"!!!"),"NEW","")))</f>
        <v> </v>
      </c>
      <c r="G2541" s="23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4" t="str">
        <f>IF(J2541&lt;&gt;1,"",IF(I2541="SBJ","CB","?"))</f>
        <v> </v>
      </c>
      <c r="I2541" s="25" t="str">
        <f>IF(OR(E2541="",E2541="!!!",F2541="NEW"),"",INDEX(B2540:B$2,-1+SUMPRODUCT(MAX(ROW(E2540:E$2)*(E2541=E2540:E$2)))))</f>
        <v> </v>
      </c>
      <c r="J2541" s="25" t="str">
        <f>IF(OR(E2541="",E2541="!!!",F2541="NEW"),"",COUNTBLANK(OFFSET(A$1,,,SUMPRODUCT(MAX(ROW(E$2:E2541)*(E2541=E$2:E2541)))))-COUNTBLANK(OFFSET(A$1,,,SUMPRODUCT(MAX(ROW(E$1:E2540)*(E2=E$1:E2540))))))</f>
        <v> </v>
      </c>
      <c r="K2541" s="25" t="str">
        <f>IF(OR(E2541="",E2541="!!!",F2541="NEW"),"",INDEX(J$1:J2540,SUMPRODUCT(MAX(ROW(E$1:E2540)*(E2541=E$1:E2540)))))</f>
        <v> </v>
      </c>
      <c r="L2541" s="26"/>
    </row>
    <row r="2542" spans="1:12">
      <c r="A2542" s="20" t="s">
        <v>518</v>
      </c>
      <c r="E2542" s="21">
        <f>IF(D2542="?OLD","!!!","")</f>
        <v/>
      </c>
      <c r="F2542" s="22" t="str">
        <f>IF(OR(E2542="",E2542="!!!"),"",IF(NOT(ISNA(VLOOKUP(E2542,E$1:E2541,1,FALSE()))),"OLD",IF(AND(E2542&lt;&gt;"",E2542&lt;&gt;"!!!"),"NEW","")))</f>
        <v> </v>
      </c>
      <c r="G2542" s="23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4" t="str">
        <f>IF(J2542&lt;&gt;1,"",IF(I2542="SBJ","CB","?"))</f>
        <v> </v>
      </c>
      <c r="I2542" s="25" t="str">
        <f>IF(OR(E2542="",E2542="!!!",F2542="NEW"),"",INDEX(B2541:B$2,-1+SUMPRODUCT(MAX(ROW(E2541:E$2)*(E2542=E2541:E$2)))))</f>
        <v> </v>
      </c>
      <c r="J2542" s="25" t="str">
        <f>IF(OR(E2542="",E2542="!!!",F2542="NEW"),"",COUNTBLANK(OFFSET(A$1,,,SUMPRODUCT(MAX(ROW(E$2:E2542)*(E2542=E$2:E2542)))))-COUNTBLANK(OFFSET(A$1,,,SUMPRODUCT(MAX(ROW(E$1:E2541)*(E2=E$1:E2541))))))</f>
        <v> </v>
      </c>
      <c r="K2542" s="25" t="str">
        <f>IF(OR(E2542="",E2542="!!!",F2542="NEW"),"",INDEX(J$1:J2541,SUMPRODUCT(MAX(ROW(E$1:E2541)*(E2542=E$1:E2541)))))</f>
        <v> </v>
      </c>
      <c r="L2542" s="26"/>
    </row>
    <row r="2543" spans="1:12">
      <c r="A2543" s="20" t="s">
        <v>995</v>
      </c>
      <c r="B2543" s="27" t="s">
        <v>597</v>
      </c>
      <c r="C2543" s="27" t="s">
        <v>523</v>
      </c>
      <c r="D2543" s="27" t="s">
        <v>524</v>
      </c>
      <c r="E2543" s="21">
        <f>IF(D2543="?OLD","!!!","")</f>
        <v/>
      </c>
      <c r="F2543" s="22" t="str">
        <f>IF(OR(E2543="",E2543="!!!"),"",IF(NOT(ISNA(VLOOKUP(E2543,E$1:E2542,1,FALSE()))),"OLD",IF(AND(E2543&lt;&gt;"",E2543&lt;&gt;"!!!"),"NEW","")))</f>
        <v> </v>
      </c>
      <c r="G2543" s="23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4" t="str">
        <f>IF(J2543&lt;&gt;1,"",IF(I2543="SBJ","CB","?"))</f>
        <v> </v>
      </c>
      <c r="I2543" s="25" t="str">
        <f>IF(OR(E2543="",E2543="!!!",F2543="NEW"),"",INDEX(B2542:B$2,-1+SUMPRODUCT(MAX(ROW(E2542:E$2)*(E2543=E2542:E$2)))))</f>
        <v> </v>
      </c>
      <c r="J2543" s="25" t="str">
        <f>IF(OR(E2543="",E2543="!!!",F2543="NEW"),"",COUNTBLANK(OFFSET(A$1,,,SUMPRODUCT(MAX(ROW(E$2:E2543)*(E2543=E$2:E2543)))))-COUNTBLANK(OFFSET(A$1,,,SUMPRODUCT(MAX(ROW(E$1:E2542)*(E2=E$1:E2542))))))</f>
        <v> </v>
      </c>
      <c r="K2543" s="25" t="str">
        <f>IF(OR(E2543="",E2543="!!!",F2543="NEW"),"",INDEX(J$1:J2542,SUMPRODUCT(MAX(ROW(E$1:E2542)*(E2543=E$1:E2542)))))</f>
        <v> </v>
      </c>
      <c r="L2543" s="26"/>
    </row>
    <row r="2544" spans="1:12">
      <c r="A2544" s="20" t="s">
        <v>549</v>
      </c>
      <c r="E2544" s="21">
        <f>IF(D2544="?OLD","!!!","")</f>
        <v/>
      </c>
      <c r="F2544" s="22" t="str">
        <f>IF(OR(E2544="",E2544="!!!"),"",IF(NOT(ISNA(VLOOKUP(E2544,E$1:E2543,1,FALSE()))),"OLD",IF(AND(E2544&lt;&gt;"",E2544&lt;&gt;"!!!"),"NEW","")))</f>
        <v> </v>
      </c>
      <c r="G2544" s="23" t="str">
        <f>IF(OR(E2544="",E2544="!!!"),"",IF(OR(J2544=0,AND(J2544=1,K2544=1),AND(J2544=1,I2544="SBJ"),AND(J2544=1,I2544=0)),"?IN_FOCUS",IF(J2544&lt;=2,"?ACTIVATED",IF(J2544&lt;&gt;"","?FAMILIAR",IF(F2544="NEW",IF(ISNA(VLOOKUP(E2544,#REF!,1,FALSE())),"?TYPE_IDENTIFIABLE","?REFERENTIAL"),"_")))))</f>
        <v> </v>
      </c>
      <c r="H2544" s="24" t="str">
        <f>IF(J2544&lt;&gt;1,"",IF(I2544="SBJ","CB","?"))</f>
        <v> </v>
      </c>
      <c r="I2544" s="25" t="str">
        <f>IF(OR(E2544="",E2544="!!!",F2544="NEW"),"",INDEX(B2543:B$2,-1+SUMPRODUCT(MAX(ROW(E2543:E$2)*(E2544=E2543:E$2)))))</f>
        <v> </v>
      </c>
      <c r="J2544" s="25" t="str">
        <f>IF(OR(E2544="",E2544="!!!",F2544="NEW"),"",COUNTBLANK(OFFSET(A$1,,,SUMPRODUCT(MAX(ROW(E$2:E2544)*(E2544=E$2:E2544)))))-COUNTBLANK(OFFSET(A$1,,,SUMPRODUCT(MAX(ROW(E$1:E2543)*(E2=E$1:E2543))))))</f>
        <v> </v>
      </c>
      <c r="K2544" s="25" t="str">
        <f>IF(OR(E2544="",E2544="!!!",F2544="NEW"),"",INDEX(J$1:J2543,SUMPRODUCT(MAX(ROW(E$1:E2543)*(E2544=E$1:E2543)))))</f>
        <v> </v>
      </c>
      <c r="L2544" s="26"/>
    </row>
    <row r="2545" spans="1:12">
      <c r="A2545" s="20" t="s">
        <v>581</v>
      </c>
      <c r="E2545" s="21">
        <f>IF(D2545="?OLD","!!!","")</f>
        <v/>
      </c>
      <c r="F2545" s="22" t="str">
        <f>IF(OR(E2545="",E2545="!!!"),"",IF(NOT(ISNA(VLOOKUP(E2545,E$1:E2544,1,FALSE()))),"OLD",IF(AND(E2545&lt;&gt;"",E2545&lt;&gt;"!!!"),"NEW","")))</f>
        <v> </v>
      </c>
      <c r="G2545" s="23" t="str">
        <f>IF(OR(E2545="",E2545="!!!"),"",IF(OR(J2545=0,AND(J2545=1,K2545=1),AND(J2545=1,I2545="SBJ"),AND(J2545=1,I2545=0)),"?IN_FOCUS",IF(J2545&lt;=2,"?ACTIVATED",IF(J2545&lt;&gt;"","?FAMILIAR",IF(F2545="NEW",IF(ISNA(VLOOKUP(E2545,#REF!,1,FALSE())),"?TYPE_IDENTIFIABLE","?REFERENTIAL"),"_")))))</f>
        <v> </v>
      </c>
      <c r="H2545" s="24" t="str">
        <f>IF(J2545&lt;&gt;1,"",IF(I2545="SBJ","CB","?"))</f>
        <v> </v>
      </c>
      <c r="I2545" s="25" t="str">
        <f>IF(OR(E2545="",E2545="!!!",F2545="NEW"),"",INDEX(B2544:B$2,-1+SUMPRODUCT(MAX(ROW(E2544:E$2)*(E2545=E2544:E$2)))))</f>
        <v> </v>
      </c>
      <c r="J2545" s="25" t="str">
        <f>IF(OR(E2545="",E2545="!!!",F2545="NEW"),"",COUNTBLANK(OFFSET(A$1,,,SUMPRODUCT(MAX(ROW(E$2:E2545)*(E2545=E$2:E2545)))))-COUNTBLANK(OFFSET(A$1,,,SUMPRODUCT(MAX(ROW(E$1:E2544)*(E2=E$1:E2544))))))</f>
        <v> </v>
      </c>
      <c r="K2545" s="25" t="str">
        <f>IF(OR(E2545="",E2545="!!!",F2545="NEW"),"",INDEX(J$1:J2544,SUMPRODUCT(MAX(ROW(E$1:E2544)*(E2545=E$1:E2544)))))</f>
        <v> </v>
      </c>
      <c r="L2545" s="26"/>
    </row>
    <row r="2546" spans="1:12">
      <c r="A2546" s="20"/>
    </row>
    <row r="2547" spans="1:12">
      <c r="A2547" s="20" t="s">
        <v>1420</v>
      </c>
    </row>
    <row r="2548" spans="1:12">
      <c r="A2548" s="20" t="s">
        <v>1421</v>
      </c>
      <c r="B2548" s="27" t="s">
        <v>680</v>
      </c>
      <c r="C2548" s="27" t="s">
        <v>523</v>
      </c>
      <c r="D2548" s="27" t="s">
        <v>524</v>
      </c>
      <c r="E2548" s="21">
        <f>IF(D2548="?OLD","!!!","")</f>
        <v/>
      </c>
      <c r="F2548" s="22" t="str">
        <f>IF(OR(E2548="",E2548="!!!"),"",IF(NOT(ISNA(VLOOKUP(E2548,E$1:E2547,1,FALSE()))),"OLD",IF(AND(E2548&lt;&gt;"",E2548&lt;&gt;"!!!"),"NEW","")))</f>
        <v> </v>
      </c>
      <c r="G2548" s="23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4" t="str">
        <f>IF(J2548&lt;&gt;1,"",IF(I2548="SBJ","CB","?"))</f>
        <v> </v>
      </c>
      <c r="I2548" s="25" t="str">
        <f>IF(OR(E2548="",E2548="!!!",F2548="NEW"),"",INDEX(B2547:B$2,-1+SUMPRODUCT(MAX(ROW(E2547:E$2)*(E2548=E2547:E$2)))))</f>
        <v> </v>
      </c>
      <c r="J2548" s="25" t="str">
        <f>IF(OR(E2548="",E2548="!!!",F2548="NEW"),"",COUNTBLANK(OFFSET(A$1,,,SUMPRODUCT(MAX(ROW(E$2:E2548)*(E2548=E$2:E2548)))))-COUNTBLANK(OFFSET(A$1,,,SUMPRODUCT(MAX(ROW(E$1:E2547)*(E2=E$1:E2547))))))</f>
        <v> </v>
      </c>
      <c r="K2548" s="25" t="str">
        <f>IF(OR(E2548="",E2548="!!!",F2548="NEW"),"",INDEX(J$1:J2547,SUMPRODUCT(MAX(ROW(E$1:E2547)*(E2548=E$1:E2547)))))</f>
        <v> </v>
      </c>
      <c r="L2548" s="26"/>
    </row>
    <row r="2549" spans="1:12">
      <c r="A2549" s="20" t="s">
        <v>920</v>
      </c>
      <c r="E2549" s="21">
        <f>IF(D2549="?OLD","!!!","")</f>
        <v/>
      </c>
      <c r="F2549" s="22" t="str">
        <f>IF(OR(E2549="",E2549="!!!"),"",IF(NOT(ISNA(VLOOKUP(E2549,E$1:E2548,1,FALSE()))),"OLD",IF(AND(E2549&lt;&gt;"",E2549&lt;&gt;"!!!"),"NEW","")))</f>
        <v> </v>
      </c>
      <c r="G2549" s="23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4" t="str">
        <f>IF(J2549&lt;&gt;1,"",IF(I2549="SBJ","CB","?"))</f>
        <v> </v>
      </c>
      <c r="I2549" s="25" t="str">
        <f>IF(OR(E2549="",E2549="!!!",F2549="NEW"),"",INDEX(B2548:B$2,-1+SUMPRODUCT(MAX(ROW(E2548:E$2)*(E2549=E2548:E$2)))))</f>
        <v> </v>
      </c>
      <c r="J2549" s="25" t="str">
        <f>IF(OR(E2549="",E2549="!!!",F2549="NEW"),"",COUNTBLANK(OFFSET(A$1,,,SUMPRODUCT(MAX(ROW(E$2:E2549)*(E2549=E$2:E2549)))))-COUNTBLANK(OFFSET(A$1,,,SUMPRODUCT(MAX(ROW(E$1:E2548)*(E2=E$1:E2548))))))</f>
        <v> </v>
      </c>
      <c r="K2549" s="25" t="str">
        <f>IF(OR(E2549="",E2549="!!!",F2549="NEW"),"",INDEX(J$1:J2548,SUMPRODUCT(MAX(ROW(E$1:E2548)*(E2549=E$1:E2548)))))</f>
        <v> </v>
      </c>
      <c r="L2549" s="26"/>
    </row>
    <row r="2550" spans="1:12">
      <c r="A2550" s="20" t="s">
        <v>594</v>
      </c>
      <c r="E2550" s="21">
        <f>IF(D2550="?OLD","!!!","")</f>
        <v/>
      </c>
      <c r="F2550" s="22" t="str">
        <f>IF(OR(E2550="",E2550="!!!"),"",IF(NOT(ISNA(VLOOKUP(E2550,E$1:E2549,1,FALSE()))),"OLD",IF(AND(E2550&lt;&gt;"",E2550&lt;&gt;"!!!"),"NEW","")))</f>
        <v> </v>
      </c>
      <c r="G2550" s="23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4" t="str">
        <f>IF(J2550&lt;&gt;1,"",IF(I2550="SBJ","CB","?"))</f>
        <v> </v>
      </c>
      <c r="I2550" s="25" t="str">
        <f>IF(OR(E2550="",E2550="!!!",F2550="NEW"),"",INDEX(B2549:B$2,-1+SUMPRODUCT(MAX(ROW(E2549:E$2)*(E2550=E2549:E$2)))))</f>
        <v> </v>
      </c>
      <c r="J2550" s="25" t="str">
        <f>IF(OR(E2550="",E2550="!!!",F2550="NEW"),"",COUNTBLANK(OFFSET(A$1,,,SUMPRODUCT(MAX(ROW(E$2:E2550)*(E2550=E$2:E2550)))))-COUNTBLANK(OFFSET(A$1,,,SUMPRODUCT(MAX(ROW(E$1:E2549)*(E2=E$1:E2549))))))</f>
        <v> </v>
      </c>
      <c r="K2550" s="25" t="str">
        <f>IF(OR(E2550="",E2550="!!!",F2550="NEW"),"",INDEX(J$1:J2549,SUMPRODUCT(MAX(ROW(E$1:E2549)*(E2550=E$1:E2549)))))</f>
        <v> </v>
      </c>
      <c r="L2550" s="26"/>
    </row>
    <row r="2551" spans="1:12">
      <c r="A2551" s="20"/>
    </row>
    <row r="2552" spans="1:12">
      <c r="A2552" s="20" t="s">
        <v>550</v>
      </c>
      <c r="E2552" s="21">
        <f>IF(D2552="?OLD","!!!","")</f>
        <v/>
      </c>
      <c r="F2552" s="22" t="str">
        <f>IF(OR(E2552="",E2552="!!!"),"",IF(NOT(ISNA(VLOOKUP(E2552,E$1:E2551,1,FALSE()))),"OLD",IF(AND(E2552&lt;&gt;"",E2552&lt;&gt;"!!!"),"NEW","")))</f>
        <v> </v>
      </c>
      <c r="G2552" s="23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4" t="str">
        <f>IF(J2552&lt;&gt;1,"",IF(I2552="SBJ","CB","?"))</f>
        <v> </v>
      </c>
      <c r="I2552" s="25" t="str">
        <f>IF(OR(E2552="",E2552="!!!",F2552="NEW"),"",INDEX(B2551:B$2,-1+SUMPRODUCT(MAX(ROW(E2551:E$2)*(E2552=E2551:E$2)))))</f>
        <v> </v>
      </c>
      <c r="J2552" s="25" t="str">
        <f>IF(OR(E2552="",E2552="!!!",F2552="NEW"),"",COUNTBLANK(OFFSET(A$1,,,SUMPRODUCT(MAX(ROW(E$2:E2552)*(E2552=E$2:E2552)))))-COUNTBLANK(OFFSET(A$1,,,SUMPRODUCT(MAX(ROW(E$1:E2551)*(E2=E$1:E2551))))))</f>
        <v> </v>
      </c>
      <c r="K2552" s="25" t="str">
        <f>IF(OR(E2552="",E2552="!!!",F2552="NEW"),"",INDEX(J$1:J2551,SUMPRODUCT(MAX(ROW(E$1:E2551)*(E2552=E$1:E2551)))))</f>
        <v> </v>
      </c>
      <c r="L2552" s="26"/>
    </row>
    <row r="2553" spans="1:12">
      <c r="A2553" s="20" t="s">
        <v>1422</v>
      </c>
    </row>
    <row r="2554" spans="1:12">
      <c r="A2554" s="20" t="s">
        <v>581</v>
      </c>
      <c r="E2554" s="21">
        <f>IF(D2554="?OLD","!!!","")</f>
        <v/>
      </c>
      <c r="F2554" s="22" t="str">
        <f>IF(OR(E2554="",E2554="!!!"),"",IF(NOT(ISNA(VLOOKUP(E2554,E$1:E2553,1,FALSE()))),"OLD",IF(AND(E2554&lt;&gt;"",E2554&lt;&gt;"!!!"),"NEW","")))</f>
        <v> </v>
      </c>
      <c r="G2554" s="23" t="str">
        <f>IF(OR(E2554="",E2554="!!!"),"",IF(OR(J2554=0,AND(J2554=1,K2554=1),AND(J2554=1,I2554="SBJ"),AND(J2554=1,I2554=0)),"?IN_FOCUS",IF(J2554&lt;=2,"?ACTIVATED",IF(J2554&lt;&gt;"","?FAMILIAR",IF(F2554="NEW",IF(ISNA(VLOOKUP(E2554,#REF!,1,FALSE())),"?TYPE_IDENTIFIABLE","?REFERENTIAL"),"_")))))</f>
        <v> </v>
      </c>
      <c r="H2554" s="24" t="str">
        <f>IF(J2554&lt;&gt;1,"",IF(I2554="SBJ","CB","?"))</f>
        <v> </v>
      </c>
      <c r="I2554" s="25" t="str">
        <f>IF(OR(E2554="",E2554="!!!",F2554="NEW"),"",INDEX(B2553:B$2,-1+SUMPRODUCT(MAX(ROW(E2553:E$2)*(E2554=E2553:E$2)))))</f>
        <v> </v>
      </c>
      <c r="J2554" s="25" t="str">
        <f>IF(OR(E2554="",E2554="!!!",F2554="NEW"),"",COUNTBLANK(OFFSET(A$1,,,SUMPRODUCT(MAX(ROW(E$2:E2554)*(E2554=E$2:E2554)))))-COUNTBLANK(OFFSET(A$1,,,SUMPRODUCT(MAX(ROW(E$1:E2553)*(E2=E$1:E2553))))))</f>
        <v> </v>
      </c>
      <c r="K2554" s="25" t="str">
        <f>IF(OR(E2554="",E2554="!!!",F2554="NEW"),"",INDEX(J$1:J2553,SUMPRODUCT(MAX(ROW(E$1:E2553)*(E2554=E$1:E2553)))))</f>
        <v> </v>
      </c>
      <c r="L2554" s="26"/>
    </row>
    <row r="2555" spans="1:12">
      <c r="A2555" s="20" t="s">
        <v>1423</v>
      </c>
      <c r="B2555" s="27" t="s">
        <v>597</v>
      </c>
      <c r="C2555" s="27" t="s">
        <v>669</v>
      </c>
      <c r="D2555" s="27" t="s">
        <v>524</v>
      </c>
      <c r="E2555" s="21">
        <f>IF(D2555="?OLD","!!!","")</f>
        <v/>
      </c>
      <c r="F2555" s="22" t="str">
        <f>IF(OR(E2555="",E2555="!!!"),"",IF(NOT(ISNA(VLOOKUP(E2555,E$1:E2554,1,FALSE()))),"OLD",IF(AND(E2555&lt;&gt;"",E2555&lt;&gt;"!!!"),"NEW","")))</f>
        <v> </v>
      </c>
      <c r="G2555" s="23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4" t="str">
        <f>IF(J2555&lt;&gt;1,"",IF(I2555="SBJ","CB","?"))</f>
        <v> </v>
      </c>
      <c r="I2555" s="25" t="str">
        <f>IF(OR(E2555="",E2555="!!!",F2555="NEW"),"",INDEX(B2554:B$2,-1+SUMPRODUCT(MAX(ROW(E2554:E$2)*(E2555=E2554:E$2)))))</f>
        <v> </v>
      </c>
      <c r="J2555" s="25" t="str">
        <f>IF(OR(E2555="",E2555="!!!",F2555="NEW"),"",COUNTBLANK(OFFSET(A$1,,,SUMPRODUCT(MAX(ROW(E$2:E2555)*(E2555=E$2:E2555)))))-COUNTBLANK(OFFSET(A$1,,,SUMPRODUCT(MAX(ROW(E$1:E2554)*(E2=E$1:E2554))))))</f>
        <v> </v>
      </c>
      <c r="K2555" s="25" t="str">
        <f>IF(OR(E2555="",E2555="!!!",F2555="NEW"),"",INDEX(J$1:J2554,SUMPRODUCT(MAX(ROW(E$1:E2554)*(E2555=E$1:E2554)))))</f>
        <v> </v>
      </c>
      <c r="L2555" s="26"/>
    </row>
    <row r="2556" spans="1:12">
      <c r="A2556" s="20" t="s">
        <v>708</v>
      </c>
      <c r="E2556" s="21">
        <f>IF(D2556="?OLD","!!!","")</f>
        <v/>
      </c>
      <c r="F2556" s="22" t="str">
        <f>IF(OR(E2556="",E2556="!!!"),"",IF(NOT(ISNA(VLOOKUP(E2556,E$1:E2555,1,FALSE()))),"OLD",IF(AND(E2556&lt;&gt;"",E2556&lt;&gt;"!!!"),"NEW","")))</f>
        <v> </v>
      </c>
      <c r="G2556" s="23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4" t="str">
        <f>IF(J2556&lt;&gt;1,"",IF(I2556="SBJ","CB","?"))</f>
        <v> </v>
      </c>
      <c r="I2556" s="25" t="str">
        <f>IF(OR(E2556="",E2556="!!!",F2556="NEW"),"",INDEX(B2555:B$2,-1+SUMPRODUCT(MAX(ROW(E2555:E$2)*(E2556=E2555:E$2)))))</f>
        <v> </v>
      </c>
      <c r="J2556" s="25" t="str">
        <f>IF(OR(E2556="",E2556="!!!",F2556="NEW"),"",COUNTBLANK(OFFSET(A$1,,,SUMPRODUCT(MAX(ROW(E$2:E2556)*(E2556=E$2:E2556)))))-COUNTBLANK(OFFSET(A$1,,,SUMPRODUCT(MAX(ROW(E$1:E2555)*(E2=E$1:E2555))))))</f>
        <v> </v>
      </c>
      <c r="K2556" s="25" t="str">
        <f>IF(OR(E2556="",E2556="!!!",F2556="NEW"),"",INDEX(J$1:J2555,SUMPRODUCT(MAX(ROW(E$1:E2555)*(E2556=E$1:E2555)))))</f>
        <v> </v>
      </c>
      <c r="L2556" s="26"/>
    </row>
    <row r="2557" spans="1:12">
      <c r="A2557" s="20" t="s">
        <v>1424</v>
      </c>
      <c r="B2557" s="27" t="s">
        <v>680</v>
      </c>
      <c r="C2557" s="27" t="s">
        <v>535</v>
      </c>
      <c r="E2557" s="21">
        <f>IF(D2557="?OLD","!!!","")</f>
        <v/>
      </c>
      <c r="F2557" s="22" t="str">
        <f>IF(OR(E2557="",E2557="!!!"),"",IF(NOT(ISNA(VLOOKUP(E2557,E$1:E2556,1,FALSE()))),"OLD",IF(AND(E2557&lt;&gt;"",E2557&lt;&gt;"!!!"),"NEW","")))</f>
        <v> </v>
      </c>
      <c r="G2557" s="23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4" t="str">
        <f>IF(J2557&lt;&gt;1,"",IF(I2557="SBJ","CB","?"))</f>
        <v> </v>
      </c>
      <c r="I2557" s="25" t="str">
        <f>IF(OR(E2557="",E2557="!!!",F2557="NEW"),"",INDEX(B2556:B$2,-1+SUMPRODUCT(MAX(ROW(E2556:E$2)*(E2557=E2556:E$2)))))</f>
        <v> </v>
      </c>
      <c r="J2557" s="25" t="str">
        <f>IF(OR(E2557="",E2557="!!!",F2557="NEW"),"",COUNTBLANK(OFFSET(A$1,,,SUMPRODUCT(MAX(ROW(E$2:E2557)*(E2557=E$2:E2557)))))-COUNTBLANK(OFFSET(A$1,,,SUMPRODUCT(MAX(ROW(E$1:E2556)*(E2=E$1:E2556))))))</f>
        <v> </v>
      </c>
      <c r="K2557" s="25" t="str">
        <f>IF(OR(E2557="",E2557="!!!",F2557="NEW"),"",INDEX(J$1:J2556,SUMPRODUCT(MAX(ROW(E$1:E2556)*(E2557=E$1:E2556)))))</f>
        <v> </v>
      </c>
      <c r="L2557" s="26"/>
    </row>
    <row r="2558" spans="1:12">
      <c r="A2558" s="20" t="s">
        <v>365</v>
      </c>
      <c r="E2558" s="21">
        <f>IF(D2558="?OLD","!!!","")</f>
        <v/>
      </c>
      <c r="F2558" s="22" t="str">
        <f>IF(OR(E2558="",E2558="!!!"),"",IF(NOT(ISNA(VLOOKUP(E2558,E$1:E2557,1,FALSE()))),"OLD",IF(AND(E2558&lt;&gt;"",E2558&lt;&gt;"!!!"),"NEW","")))</f>
        <v> </v>
      </c>
      <c r="G2558" s="23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4" t="str">
        <f>IF(J2558&lt;&gt;1,"",IF(I2558="SBJ","CB","?"))</f>
        <v> </v>
      </c>
      <c r="I2558" s="25" t="str">
        <f>IF(OR(E2558="",E2558="!!!",F2558="NEW"),"",INDEX(B2557:B$2,-1+SUMPRODUCT(MAX(ROW(E2557:E$2)*(E2558=E2557:E$2)))))</f>
        <v> </v>
      </c>
      <c r="J2558" s="25" t="str">
        <f>IF(OR(E2558="",E2558="!!!",F2558="NEW"),"",COUNTBLANK(OFFSET(A$1,,,SUMPRODUCT(MAX(ROW(E$2:E2558)*(E2558=E$2:E2558)))))-COUNTBLANK(OFFSET(A$1,,,SUMPRODUCT(MAX(ROW(E$1:E2557)*(E2=E$1:E2557))))))</f>
        <v> </v>
      </c>
      <c r="K2558" s="25" t="str">
        <f>IF(OR(E2558="",E2558="!!!",F2558="NEW"),"",INDEX(J$1:J2557,SUMPRODUCT(MAX(ROW(E$1:E2557)*(E2558=E$1:E2557)))))</f>
        <v> </v>
      </c>
      <c r="L2558" s="26"/>
    </row>
    <row r="2559" spans="1:12">
      <c r="A2559" s="20" t="s">
        <v>935</v>
      </c>
      <c r="B2559" s="27" t="s">
        <v>743</v>
      </c>
      <c r="C2559" s="27" t="s">
        <v>523</v>
      </c>
      <c r="D2559" s="27" t="s">
        <v>524</v>
      </c>
      <c r="E2559" s="21">
        <f>IF(D2559="?OLD","!!!","")</f>
        <v/>
      </c>
      <c r="F2559" s="22" t="str">
        <f>IF(OR(E2559="",E2559="!!!"),"",IF(NOT(ISNA(VLOOKUP(E2559,E$1:E2558,1,FALSE()))),"OLD",IF(AND(E2559&lt;&gt;"",E2559&lt;&gt;"!!!"),"NEW","")))</f>
        <v> </v>
      </c>
      <c r="G2559" s="23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4" t="str">
        <f>IF(J2559&lt;&gt;1,"",IF(I2559="SBJ","CB","?"))</f>
        <v> </v>
      </c>
      <c r="I2559" s="25" t="str">
        <f>IF(OR(E2559="",E2559="!!!",F2559="NEW"),"",INDEX(B2558:B$2,-1+SUMPRODUCT(MAX(ROW(E2558:E$2)*(E2559=E2558:E$2)))))</f>
        <v> </v>
      </c>
      <c r="J2559" s="25" t="str">
        <f>IF(OR(E2559="",E2559="!!!",F2559="NEW"),"",COUNTBLANK(OFFSET(A$1,,,SUMPRODUCT(MAX(ROW(E$2:E2559)*(E2559=E$2:E2559)))))-COUNTBLANK(OFFSET(A$1,,,SUMPRODUCT(MAX(ROW(E$1:E2558)*(E2=E$1:E2558))))))</f>
        <v> </v>
      </c>
      <c r="K2559" s="25" t="str">
        <f>IF(OR(E2559="",E2559="!!!",F2559="NEW"),"",INDEX(J$1:J2558,SUMPRODUCT(MAX(ROW(E$1:E2558)*(E2559=E$1:E2558)))))</f>
        <v> </v>
      </c>
      <c r="L2559" s="26"/>
    </row>
    <row r="2560" spans="1:12">
      <c r="A2560" s="20" t="s">
        <v>518</v>
      </c>
      <c r="E2560" s="21">
        <f>IF(D2560="?OLD","!!!","")</f>
        <v/>
      </c>
      <c r="F2560" s="22" t="str">
        <f>IF(OR(E2560="",E2560="!!!"),"",IF(NOT(ISNA(VLOOKUP(E2560,E$1:E2559,1,FALSE()))),"OLD",IF(AND(E2560&lt;&gt;"",E2560&lt;&gt;"!!!"),"NEW","")))</f>
        <v> </v>
      </c>
      <c r="G2560" s="23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4" t="str">
        <f>IF(J2560&lt;&gt;1,"",IF(I2560="SBJ","CB","?"))</f>
        <v> </v>
      </c>
      <c r="I2560" s="25" t="str">
        <f>IF(OR(E2560="",E2560="!!!",F2560="NEW"),"",INDEX(B2559:B$2,-1+SUMPRODUCT(MAX(ROW(E2559:E$2)*(E2560=E2559:E$2)))))</f>
        <v> </v>
      </c>
      <c r="J2560" s="25" t="str">
        <f>IF(OR(E2560="",E2560="!!!",F2560="NEW"),"",COUNTBLANK(OFFSET(A$1,,,SUMPRODUCT(MAX(ROW(E$2:E2560)*(E2560=E$2:E2560)))))-COUNTBLANK(OFFSET(A$1,,,SUMPRODUCT(MAX(ROW(E$1:E2559)*(E2=E$1:E2559))))))</f>
        <v> </v>
      </c>
      <c r="K2560" s="25" t="str">
        <f>IF(OR(E2560="",E2560="!!!",F2560="NEW"),"",INDEX(J$1:J2559,SUMPRODUCT(MAX(ROW(E$1:E2559)*(E2560=E$1:E2559)))))</f>
        <v> </v>
      </c>
      <c r="L2560" s="26"/>
    </row>
    <row r="2561" spans="1:12">
      <c r="A2561" s="20" t="s">
        <v>690</v>
      </c>
      <c r="B2561" s="27" t="s">
        <v>597</v>
      </c>
      <c r="C2561" s="27" t="s">
        <v>523</v>
      </c>
      <c r="D2561" s="27" t="s">
        <v>524</v>
      </c>
      <c r="E2561" s="21">
        <f>IF(D2561="?OLD","!!!","")</f>
        <v/>
      </c>
      <c r="F2561" s="22" t="str">
        <f>IF(OR(E2561="",E2561="!!!"),"",IF(NOT(ISNA(VLOOKUP(E2561,E$1:E2560,1,FALSE()))),"OLD",IF(AND(E2561&lt;&gt;"",E2561&lt;&gt;"!!!"),"NEW","")))</f>
        <v> </v>
      </c>
      <c r="G2561" s="23" t="str">
        <f>IF(OR(E2561="",E2561="!!!"),"",IF(OR(J2561=0,AND(J2561=1,K2561=1),AND(J2561=1,I2561="SBJ"),AND(J2561=1,I2561=0)),"?IN_FOCUS",IF(J2561&lt;=2,"?ACTIVATED",IF(J2561&lt;&gt;"","?FAMILIAR",IF(F2561="NEW",IF(ISNA(VLOOKUP(E2561,#REF!,1,FALSE())),"?TYPE_IDENTIFIABLE","?REFERENTIAL"),"_")))))</f>
        <v> </v>
      </c>
      <c r="H2561" s="24" t="str">
        <f>IF(J2561&lt;&gt;1,"",IF(I2561="SBJ","CB","?"))</f>
        <v> </v>
      </c>
      <c r="I2561" s="25" t="str">
        <f>IF(OR(E2561="",E2561="!!!",F2561="NEW"),"",INDEX(B2560:B$2,-1+SUMPRODUCT(MAX(ROW(E2560:E$2)*(E2561=E2560:E$2)))))</f>
        <v> </v>
      </c>
      <c r="J2561" s="25" t="str">
        <f>IF(OR(E2561="",E2561="!!!",F2561="NEW"),"",COUNTBLANK(OFFSET(A$1,,,SUMPRODUCT(MAX(ROW(E$2:E2561)*(E2561=E$2:E2561)))))-COUNTBLANK(OFFSET(A$1,,,SUMPRODUCT(MAX(ROW(E$1:E2560)*(E2=E$1:E2560))))))</f>
        <v> </v>
      </c>
      <c r="K2561" s="25" t="str">
        <f>IF(OR(E2561="",E2561="!!!",F2561="NEW"),"",INDEX(J$1:J2560,SUMPRODUCT(MAX(ROW(E$1:E2560)*(E2561=E$1:E2560)))))</f>
        <v> </v>
      </c>
      <c r="L2561" s="26"/>
    </row>
    <row r="2562" spans="1:12">
      <c r="A2562" s="20" t="s">
        <v>549</v>
      </c>
      <c r="E2562" s="21">
        <f>IF(D2562="?OLD","!!!","")</f>
        <v/>
      </c>
      <c r="F2562" s="22" t="str">
        <f>IF(OR(E2562="",E2562="!!!"),"",IF(NOT(ISNA(VLOOKUP(E2562,E$1:E2561,1,FALSE()))),"OLD",IF(AND(E2562&lt;&gt;"",E2562&lt;&gt;"!!!"),"NEW","")))</f>
        <v> </v>
      </c>
      <c r="G2562" s="23" t="str">
        <f>IF(OR(E2562="",E2562="!!!"),"",IF(OR(J2562=0,AND(J2562=1,K2562=1),AND(J2562=1,I2562="SBJ"),AND(J2562=1,I2562=0)),"?IN_FOCUS",IF(J2562&lt;=2,"?ACTIVATED",IF(J2562&lt;&gt;"","?FAMILIAR",IF(F2562="NEW",IF(ISNA(VLOOKUP(E2562,#REF!,1,FALSE())),"?TYPE_IDENTIFIABLE","?REFERENTIAL"),"_")))))</f>
        <v> </v>
      </c>
      <c r="H2562" s="24" t="str">
        <f>IF(J2562&lt;&gt;1,"",IF(I2562="SBJ","CB","?"))</f>
        <v> </v>
      </c>
      <c r="I2562" s="25" t="str">
        <f>IF(OR(E2562="",E2562="!!!",F2562="NEW"),"",INDEX(B2561:B$2,-1+SUMPRODUCT(MAX(ROW(E2561:E$2)*(E2562=E2561:E$2)))))</f>
        <v> </v>
      </c>
      <c r="J2562" s="25" t="str">
        <f>IF(OR(E2562="",E2562="!!!",F2562="NEW"),"",COUNTBLANK(OFFSET(A$1,,,SUMPRODUCT(MAX(ROW(E$2:E2562)*(E2562=E$2:E2562)))))-COUNTBLANK(OFFSET(A$1,,,SUMPRODUCT(MAX(ROW(E$1:E2561)*(E2=E$1:E2561))))))</f>
        <v> </v>
      </c>
      <c r="K2562" s="25" t="str">
        <f>IF(OR(E2562="",E2562="!!!",F2562="NEW"),"",INDEX(J$1:J2561,SUMPRODUCT(MAX(ROW(E$1:E2561)*(E2562=E$1:E2561)))))</f>
        <v> </v>
      </c>
      <c r="L2562" s="26"/>
    </row>
    <row r="2563" spans="1:12">
      <c r="A2563" s="20"/>
    </row>
    <row r="2564" spans="1:12">
      <c r="A2564" s="20" t="s">
        <v>550</v>
      </c>
      <c r="E2564" s="21">
        <f>IF(D2564="?OLD","!!!","")</f>
        <v/>
      </c>
      <c r="F2564" s="22" t="str">
        <f>IF(OR(E2564="",E2564="!!!"),"",IF(NOT(ISNA(VLOOKUP(E2564,E$1:E2563,1,FALSE()))),"OLD",IF(AND(E2564&lt;&gt;"",E2564&lt;&gt;"!!!"),"NEW","")))</f>
        <v> </v>
      </c>
      <c r="G2564" s="23" t="str">
        <f>IF(OR(E2564="",E2564="!!!"),"",IF(OR(J2564=0,AND(J2564=1,K2564=1),AND(J2564=1,I2564="SBJ"),AND(J2564=1,I2564=0)),"?IN_FOCUS",IF(J2564&lt;=2,"?ACTIVATED",IF(J2564&lt;&gt;"","?FAMILIAR",IF(F2564="NEW",IF(ISNA(VLOOKUP(E2564,#REF!,1,FALSE())),"?TYPE_IDENTIFIABLE","?REFERENTIAL"),"_")))))</f>
        <v> </v>
      </c>
      <c r="H2564" s="24" t="str">
        <f>IF(J2564&lt;&gt;1,"",IF(I2564="SBJ","CB","?"))</f>
        <v> </v>
      </c>
      <c r="I2564" s="25" t="str">
        <f>IF(OR(E2564="",E2564="!!!",F2564="NEW"),"",INDEX(B2563:B$2,-1+SUMPRODUCT(MAX(ROW(E2563:E$2)*(E2564=E2563:E$2)))))</f>
        <v> </v>
      </c>
      <c r="J2564" s="25" t="str">
        <f>IF(OR(E2564="",E2564="!!!",F2564="NEW"),"",COUNTBLANK(OFFSET(A$1,,,SUMPRODUCT(MAX(ROW(E$2:E2564)*(E2564=E$2:E2564)))))-COUNTBLANK(OFFSET(A$1,,,SUMPRODUCT(MAX(ROW(E$1:E2563)*(E2=E$1:E2563))))))</f>
        <v> </v>
      </c>
      <c r="K2564" s="25" t="str">
        <f>IF(OR(E2564="",E2564="!!!",F2564="NEW"),"",INDEX(J$1:J2563,SUMPRODUCT(MAX(ROW(E$1:E2563)*(E2564=E$1:E2563)))))</f>
        <v> </v>
      </c>
      <c r="L2564" s="26"/>
    </row>
    <row r="2565" spans="1:12">
      <c r="A2565" s="20" t="s">
        <v>1425</v>
      </c>
    </row>
    <row r="2566" spans="1:12">
      <c r="A2566" s="20" t="s">
        <v>581</v>
      </c>
      <c r="E2566" s="21">
        <f>IF(D2566="?OLD","!!!","")</f>
        <v/>
      </c>
      <c r="F2566" s="22" t="str">
        <f>IF(OR(E2566="",E2566="!!!"),"",IF(NOT(ISNA(VLOOKUP(E2566,E$1:E2565,1,FALSE()))),"OLD",IF(AND(E2566&lt;&gt;"",E2566&lt;&gt;"!!!"),"NEW","")))</f>
        <v> </v>
      </c>
      <c r="G2566" s="23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4" t="str">
        <f>IF(J2566&lt;&gt;1,"",IF(I2566="SBJ","CB","?"))</f>
        <v> </v>
      </c>
      <c r="I2566" s="25" t="str">
        <f>IF(OR(E2566="",E2566="!!!",F2566="NEW"),"",INDEX(B2565:B$2,-1+SUMPRODUCT(MAX(ROW(E2565:E$2)*(E2566=E2565:E$2)))))</f>
        <v> </v>
      </c>
      <c r="J2566" s="25" t="str">
        <f>IF(OR(E2566="",E2566="!!!",F2566="NEW"),"",COUNTBLANK(OFFSET(A$1,,,SUMPRODUCT(MAX(ROW(E$2:E2566)*(E2566=E$2:E2566)))))-COUNTBLANK(OFFSET(A$1,,,SUMPRODUCT(MAX(ROW(E$1:E2565)*(E2=E$1:E2565))))))</f>
        <v> </v>
      </c>
      <c r="K2566" s="25" t="str">
        <f>IF(OR(E2566="",E2566="!!!",F2566="NEW"),"",INDEX(J$1:J2565,SUMPRODUCT(MAX(ROW(E$1:E2565)*(E2566=E$1:E2565)))))</f>
        <v> </v>
      </c>
      <c r="L2566" s="26"/>
    </row>
    <row r="2567" spans="1:12">
      <c r="A2567" s="20" t="s">
        <v>552</v>
      </c>
      <c r="E2567" s="21">
        <f>IF(D2567="?OLD","!!!","")</f>
        <v/>
      </c>
      <c r="F2567" s="22" t="str">
        <f>IF(OR(E2567="",E2567="!!!"),"",IF(NOT(ISNA(VLOOKUP(E2567,E$1:E2566,1,FALSE()))),"OLD",IF(AND(E2567&lt;&gt;"",E2567&lt;&gt;"!!!"),"NEW","")))</f>
        <v> </v>
      </c>
      <c r="G2567" s="23" t="str">
        <f>IF(OR(E2567="",E2567="!!!"),"",IF(OR(J2567=0,AND(J2567=1,K2567=1),AND(J2567=1,I2567="SBJ"),AND(J2567=1,I2567=0)),"?IN_FOCUS",IF(J2567&lt;=2,"?ACTIVATED",IF(J2567&lt;&gt;"","?FAMILIAR",IF(F2567="NEW",IF(ISNA(VLOOKUP(E2567,#REF!,1,FALSE())),"?TYPE_IDENTIFIABLE","?REFERENTIAL"),"_")))))</f>
        <v> </v>
      </c>
      <c r="H2567" s="24" t="str">
        <f>IF(J2567&lt;&gt;1,"",IF(I2567="SBJ","CB","?"))</f>
        <v> </v>
      </c>
      <c r="I2567" s="25" t="str">
        <f>IF(OR(E2567="",E2567="!!!",F2567="NEW"),"",INDEX(B2566:B$2,-1+SUMPRODUCT(MAX(ROW(E2566:E$2)*(E2567=E2566:E$2)))))</f>
        <v> </v>
      </c>
      <c r="J2567" s="25" t="str">
        <f>IF(OR(E2567="",E2567="!!!",F2567="NEW"),"",COUNTBLANK(OFFSET(A$1,,,SUMPRODUCT(MAX(ROW(E$2:E2567)*(E2567=E$2:E2567)))))-COUNTBLANK(OFFSET(A$1,,,SUMPRODUCT(MAX(ROW(E$1:E2566)*(E2=E$1:E2566))))))</f>
        <v> </v>
      </c>
      <c r="K2567" s="25" t="str">
        <f>IF(OR(E2567="",E2567="!!!",F2567="NEW"),"",INDEX(J$1:J2566,SUMPRODUCT(MAX(ROW(E$1:E2566)*(E2567=E$1:E2566)))))</f>
        <v> </v>
      </c>
      <c r="L2567" s="26"/>
    </row>
    <row r="2568" spans="1:12">
      <c r="A2568" s="20" t="s">
        <v>577</v>
      </c>
      <c r="E2568" s="21">
        <f>IF(D2568="?OLD","!!!","")</f>
        <v/>
      </c>
      <c r="F2568" s="22" t="str">
        <f>IF(OR(E2568="",E2568="!!!"),"",IF(NOT(ISNA(VLOOKUP(E2568,E$1:E2567,1,FALSE()))),"OLD",IF(AND(E2568&lt;&gt;"",E2568&lt;&gt;"!!!"),"NEW","")))</f>
        <v> </v>
      </c>
      <c r="G2568" s="23" t="str">
        <f>IF(OR(E2568="",E2568="!!!"),"",IF(OR(J2568=0,AND(J2568=1,K2568=1),AND(J2568=1,I2568="SBJ"),AND(J2568=1,I2568=0)),"?IN_FOCUS",IF(J2568&lt;=2,"?ACTIVATED",IF(J2568&lt;&gt;"","?FAMILIAR",IF(F2568="NEW",IF(ISNA(VLOOKUP(E2568,#REF!,1,FALSE())),"?TYPE_IDENTIFIABLE","?REFERENTIAL"),"_")))))</f>
        <v> </v>
      </c>
      <c r="H2568" s="24" t="str">
        <f>IF(J2568&lt;&gt;1,"",IF(I2568="SBJ","CB","?"))</f>
        <v> </v>
      </c>
      <c r="I2568" s="25" t="str">
        <f>IF(OR(E2568="",E2568="!!!",F2568="NEW"),"",INDEX(B2567:B$2,-1+SUMPRODUCT(MAX(ROW(E2567:E$2)*(E2568=E2567:E$2)))))</f>
        <v> </v>
      </c>
      <c r="J2568" s="25" t="str">
        <f>IF(OR(E2568="",E2568="!!!",F2568="NEW"),"",COUNTBLANK(OFFSET(A$1,,,SUMPRODUCT(MAX(ROW(E$2:E2568)*(E2568=E$2:E2568)))))-COUNTBLANK(OFFSET(A$1,,,SUMPRODUCT(MAX(ROW(E$1:E2567)*(E2=E$1:E2567))))))</f>
        <v> </v>
      </c>
      <c r="K2568" s="25" t="str">
        <f>IF(OR(E2568="",E2568="!!!",F2568="NEW"),"",INDEX(J$1:J2567,SUMPRODUCT(MAX(ROW(E$1:E2567)*(E2568=E$1:E2567)))))</f>
        <v> </v>
      </c>
      <c r="L2568" s="26"/>
    </row>
    <row r="2569" spans="1:12">
      <c r="A2569" s="20" t="s">
        <v>682</v>
      </c>
      <c r="E2569" s="21">
        <f>IF(D2569="?OLD","!!!","")</f>
        <v/>
      </c>
      <c r="F2569" s="22" t="str">
        <f>IF(OR(E2569="",E2569="!!!"),"",IF(NOT(ISNA(VLOOKUP(E2569,E$1:E2568,1,FALSE()))),"OLD",IF(AND(E2569&lt;&gt;"",E2569&lt;&gt;"!!!"),"NEW","")))</f>
        <v> </v>
      </c>
      <c r="G2569" s="23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4" t="str">
        <f>IF(J2569&lt;&gt;1,"",IF(I2569="SBJ","CB","?"))</f>
        <v> </v>
      </c>
      <c r="I2569" s="25" t="str">
        <f>IF(OR(E2569="",E2569="!!!",F2569="NEW"),"",INDEX(B2568:B$2,-1+SUMPRODUCT(MAX(ROW(E2568:E$2)*(E2569=E2568:E$2)))))</f>
        <v> </v>
      </c>
      <c r="J2569" s="25" t="str">
        <f>IF(OR(E2569="",E2569="!!!",F2569="NEW"),"",COUNTBLANK(OFFSET(A$1,,,SUMPRODUCT(MAX(ROW(E$2:E2569)*(E2569=E$2:E2569)))))-COUNTBLANK(OFFSET(A$1,,,SUMPRODUCT(MAX(ROW(E$1:E2568)*(E2=E$1:E2568))))))</f>
        <v> </v>
      </c>
      <c r="K2569" s="25" t="str">
        <f>IF(OR(E2569="",E2569="!!!",F2569="NEW"),"",INDEX(J$1:J2568,SUMPRODUCT(MAX(ROW(E$1:E2568)*(E2569=E$1:E2568)))))</f>
        <v> </v>
      </c>
      <c r="L2569" s="26"/>
    </row>
    <row r="2570" spans="1:12">
      <c r="A2570" s="20" t="s">
        <v>1426</v>
      </c>
      <c r="B2570" s="27" t="s">
        <v>597</v>
      </c>
      <c r="C2570" s="27" t="s">
        <v>545</v>
      </c>
      <c r="D2570" s="27" t="s">
        <v>524</v>
      </c>
      <c r="E2570" s="21">
        <f>IF(D2570="?OLD","!!!","")</f>
        <v/>
      </c>
      <c r="F2570" s="22" t="str">
        <f>IF(OR(E2570="",E2570="!!!"),"",IF(NOT(ISNA(VLOOKUP(E2570,E$1:E2569,1,FALSE()))),"OLD",IF(AND(E2570&lt;&gt;"",E2570&lt;&gt;"!!!"),"NEW","")))</f>
        <v> </v>
      </c>
      <c r="G2570" s="23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4" t="str">
        <f>IF(J2570&lt;&gt;1,"",IF(I2570="SBJ","CB","?"))</f>
        <v> </v>
      </c>
      <c r="I2570" s="25" t="str">
        <f>IF(OR(E2570="",E2570="!!!",F2570="NEW"),"",INDEX(B2569:B$2,-1+SUMPRODUCT(MAX(ROW(E2569:E$2)*(E2570=E2569:E$2)))))</f>
        <v> </v>
      </c>
      <c r="J2570" s="25" t="str">
        <f>IF(OR(E2570="",E2570="!!!",F2570="NEW"),"",COUNTBLANK(OFFSET(A$1,,,SUMPRODUCT(MAX(ROW(E$2:E2570)*(E2570=E$2:E2570)))))-COUNTBLANK(OFFSET(A$1,,,SUMPRODUCT(MAX(ROW(E$1:E2569)*(E2=E$1:E2569))))))</f>
        <v> </v>
      </c>
      <c r="K2570" s="25" t="str">
        <f>IF(OR(E2570="",E2570="!!!",F2570="NEW"),"",INDEX(J$1:J2569,SUMPRODUCT(MAX(ROW(E$1:E2569)*(E2570=E$1:E2569)))))</f>
        <v> </v>
      </c>
      <c r="L2570" s="26"/>
    </row>
    <row r="2571" spans="1:12">
      <c r="A2571" s="20" t="s">
        <v>358</v>
      </c>
      <c r="B2571" s="27" t="s">
        <v>667</v>
      </c>
      <c r="C2571" s="27" t="s">
        <v>523</v>
      </c>
      <c r="D2571" s="27" t="s">
        <v>524</v>
      </c>
      <c r="E2571" s="21">
        <f>IF(D2571="?OLD","!!!","")</f>
        <v/>
      </c>
      <c r="F2571" s="22" t="str">
        <f>IF(OR(E2571="",E2571="!!!"),"",IF(NOT(ISNA(VLOOKUP(E2571,E$1:E2570,1,FALSE()))),"OLD",IF(AND(E2571&lt;&gt;"",E2571&lt;&gt;"!!!"),"NEW","")))</f>
        <v> </v>
      </c>
      <c r="G2571" s="23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4" t="str">
        <f>IF(J2571&lt;&gt;1,"",IF(I2571="SBJ","CB","?"))</f>
        <v> </v>
      </c>
      <c r="I2571" s="25" t="str">
        <f>IF(OR(E2571="",E2571="!!!",F2571="NEW"),"",INDEX(B2570:B$2,-1+SUMPRODUCT(MAX(ROW(E2570:E$2)*(E2571=E2570:E$2)))))</f>
        <v> </v>
      </c>
      <c r="J2571" s="25" t="str">
        <f>IF(OR(E2571="",E2571="!!!",F2571="NEW"),"",COUNTBLANK(OFFSET(A$1,,,SUMPRODUCT(MAX(ROW(E$2:E2571)*(E2571=E$2:E2571)))))-COUNTBLANK(OFFSET(A$1,,,SUMPRODUCT(MAX(ROW(E$1:E2570)*(E2=E$1:E2570))))))</f>
        <v> </v>
      </c>
      <c r="K2571" s="25" t="str">
        <f>IF(OR(E2571="",E2571="!!!",F2571="NEW"),"",INDEX(J$1:J2570,SUMPRODUCT(MAX(ROW(E$1:E2570)*(E2571=E$1:E2570)))))</f>
        <v> </v>
      </c>
      <c r="L2571" s="26"/>
    </row>
    <row r="2572" spans="1:12">
      <c r="A2572" s="20" t="s">
        <v>634</v>
      </c>
      <c r="E2572" s="21">
        <f>IF(D2572="?OLD","!!!","")</f>
        <v/>
      </c>
      <c r="F2572" s="22" t="str">
        <f>IF(OR(E2572="",E2572="!!!"),"",IF(NOT(ISNA(VLOOKUP(E2572,E$1:E2571,1,FALSE()))),"OLD",IF(AND(E2572&lt;&gt;"",E2572&lt;&gt;"!!!"),"NEW","")))</f>
        <v> </v>
      </c>
      <c r="G2572" s="23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4" t="str">
        <f>IF(J2572&lt;&gt;1,"",IF(I2572="SBJ","CB","?"))</f>
        <v> </v>
      </c>
      <c r="I2572" s="25" t="str">
        <f>IF(OR(E2572="",E2572="!!!",F2572="NEW"),"",INDEX(B2571:B$2,-1+SUMPRODUCT(MAX(ROW(E2571:E$2)*(E2572=E2571:E$2)))))</f>
        <v> </v>
      </c>
      <c r="J2572" s="25" t="str">
        <f>IF(OR(E2572="",E2572="!!!",F2572="NEW"),"",COUNTBLANK(OFFSET(A$1,,,SUMPRODUCT(MAX(ROW(E$2:E2572)*(E2572=E$2:E2572)))))-COUNTBLANK(OFFSET(A$1,,,SUMPRODUCT(MAX(ROW(E$1:E2571)*(E2=E$1:E2571))))))</f>
        <v> </v>
      </c>
      <c r="K2572" s="25" t="str">
        <f>IF(OR(E2572="",E2572="!!!",F2572="NEW"),"",INDEX(J$1:J2571,SUMPRODUCT(MAX(ROW(E$1:E2571)*(E2572=E$1:E2571)))))</f>
        <v> </v>
      </c>
      <c r="L2572" s="26"/>
    </row>
    <row r="2573" spans="1:12">
      <c r="A2573" s="20" t="s">
        <v>542</v>
      </c>
      <c r="E2573" s="21">
        <f>IF(D2573="?OLD","!!!","")</f>
        <v/>
      </c>
      <c r="F2573" s="22" t="str">
        <f>IF(OR(E2573="",E2573="!!!"),"",IF(NOT(ISNA(VLOOKUP(E2573,E$1:E2572,1,FALSE()))),"OLD",IF(AND(E2573&lt;&gt;"",E2573&lt;&gt;"!!!"),"NEW","")))</f>
        <v> </v>
      </c>
      <c r="G2573" s="23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4" t="str">
        <f>IF(J2573&lt;&gt;1,"",IF(I2573="SBJ","CB","?"))</f>
        <v> </v>
      </c>
      <c r="I2573" s="25" t="str">
        <f>IF(OR(E2573="",E2573="!!!",F2573="NEW"),"",INDEX(B2572:B$2,-1+SUMPRODUCT(MAX(ROW(E2572:E$2)*(E2573=E2572:E$2)))))</f>
        <v> </v>
      </c>
      <c r="J2573" s="25" t="str">
        <f>IF(OR(E2573="",E2573="!!!",F2573="NEW"),"",COUNTBLANK(OFFSET(A$1,,,SUMPRODUCT(MAX(ROW(E$2:E2573)*(E2573=E$2:E2573)))))-COUNTBLANK(OFFSET(A$1,,,SUMPRODUCT(MAX(ROW(E$1:E2572)*(E2=E$1:E2572))))))</f>
        <v> </v>
      </c>
      <c r="K2573" s="25" t="str">
        <f>IF(OR(E2573="",E2573="!!!",F2573="NEW"),"",INDEX(J$1:J2572,SUMPRODUCT(MAX(ROW(E$1:E2572)*(E2573=E$1:E2572)))))</f>
        <v> </v>
      </c>
      <c r="L2573" s="26"/>
    </row>
    <row r="2574" spans="1:12">
      <c r="A2574" s="20" t="s">
        <v>892</v>
      </c>
      <c r="E2574" s="21">
        <f>IF(D2574="?OLD","!!!","")</f>
        <v/>
      </c>
      <c r="F2574" s="22" t="str">
        <f>IF(OR(E2574="",E2574="!!!"),"",IF(NOT(ISNA(VLOOKUP(E2574,E$1:E2573,1,FALSE()))),"OLD",IF(AND(E2574&lt;&gt;"",E2574&lt;&gt;"!!!"),"NEW","")))</f>
        <v> </v>
      </c>
      <c r="G2574" s="23" t="str">
        <f>IF(OR(E2574="",E2574="!!!"),"",IF(OR(J2574=0,AND(J2574=1,K2574=1),AND(J2574=1,I2574="SBJ"),AND(J2574=1,I2574=0)),"?IN_FOCUS",IF(J2574&lt;=2,"?ACTIVATED",IF(J2574&lt;&gt;"","?FAMILIAR",IF(F2574="NEW",IF(ISNA(VLOOKUP(E2574,#REF!,1,FALSE())),"?TYPE_IDENTIFIABLE","?REFERENTIAL"),"_")))))</f>
        <v> </v>
      </c>
      <c r="H2574" s="24" t="str">
        <f>IF(J2574&lt;&gt;1,"",IF(I2574="SBJ","CB","?"))</f>
        <v> </v>
      </c>
      <c r="I2574" s="25" t="str">
        <f>IF(OR(E2574="",E2574="!!!",F2574="NEW"),"",INDEX(B2573:B$2,-1+SUMPRODUCT(MAX(ROW(E2573:E$2)*(E2574=E2573:E$2)))))</f>
        <v> </v>
      </c>
      <c r="J2574" s="25" t="str">
        <f>IF(OR(E2574="",E2574="!!!",F2574="NEW"),"",COUNTBLANK(OFFSET(A$1,,,SUMPRODUCT(MAX(ROW(E$2:E2574)*(E2574=E$2:E2574)))))-COUNTBLANK(OFFSET(A$1,,,SUMPRODUCT(MAX(ROW(E$1:E2573)*(E2=E$1:E2573))))))</f>
        <v> </v>
      </c>
      <c r="K2574" s="25" t="str">
        <f>IF(OR(E2574="",E2574="!!!",F2574="NEW"),"",INDEX(J$1:J2573,SUMPRODUCT(MAX(ROW(E$1:E2573)*(E2574=E$1:E2573)))))</f>
        <v> </v>
      </c>
      <c r="L2574" s="26"/>
    </row>
    <row r="2575" spans="1:12">
      <c r="A2575" s="20" t="s">
        <v>542</v>
      </c>
      <c r="E2575" s="21">
        <f>IF(D2575="?OLD","!!!","")</f>
        <v/>
      </c>
      <c r="F2575" s="22" t="str">
        <f>IF(OR(E2575="",E2575="!!!"),"",IF(NOT(ISNA(VLOOKUP(E2575,E$1:E2574,1,FALSE()))),"OLD",IF(AND(E2575&lt;&gt;"",E2575&lt;&gt;"!!!"),"NEW","")))</f>
        <v> </v>
      </c>
      <c r="G2575" s="23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4" t="str">
        <f>IF(J2575&lt;&gt;1,"",IF(I2575="SBJ","CB","?"))</f>
        <v> </v>
      </c>
      <c r="I2575" s="25" t="str">
        <f>IF(OR(E2575="",E2575="!!!",F2575="NEW"),"",INDEX(B2574:B$2,-1+SUMPRODUCT(MAX(ROW(E2574:E$2)*(E2575=E2574:E$2)))))</f>
        <v> </v>
      </c>
      <c r="J2575" s="25" t="str">
        <f>IF(OR(E2575="",E2575="!!!",F2575="NEW"),"",COUNTBLANK(OFFSET(A$1,,,SUMPRODUCT(MAX(ROW(E$2:E2575)*(E2575=E$2:E2575)))))-COUNTBLANK(OFFSET(A$1,,,SUMPRODUCT(MAX(ROW(E$1:E2574)*(E2=E$1:E2574))))))</f>
        <v> </v>
      </c>
      <c r="K2575" s="25" t="str">
        <f>IF(OR(E2575="",E2575="!!!",F2575="NEW"),"",INDEX(J$1:J2574,SUMPRODUCT(MAX(ROW(E$1:E2574)*(E2575=E$1:E2574)))))</f>
        <v> </v>
      </c>
      <c r="L2575" s="26"/>
    </row>
    <row r="2576" spans="1:12">
      <c r="A2576" s="20" t="s">
        <v>1427</v>
      </c>
      <c r="B2576" s="27" t="s">
        <v>522</v>
      </c>
      <c r="C2576" s="27" t="s">
        <v>545</v>
      </c>
      <c r="D2576" s="27" t="s">
        <v>524</v>
      </c>
      <c r="E2576" s="21">
        <f>IF(D2576="?OLD","!!!","")</f>
        <v/>
      </c>
      <c r="F2576" s="22" t="str">
        <f>IF(OR(E2576="",E2576="!!!"),"",IF(NOT(ISNA(VLOOKUP(E2576,E$1:E2575,1,FALSE()))),"OLD",IF(AND(E2576&lt;&gt;"",E2576&lt;&gt;"!!!"),"NEW","")))</f>
        <v> </v>
      </c>
      <c r="G2576" s="23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4" t="str">
        <f>IF(J2576&lt;&gt;1,"",IF(I2576="SBJ","CB","?"))</f>
        <v> </v>
      </c>
      <c r="I2576" s="25" t="str">
        <f>IF(OR(E2576="",E2576="!!!",F2576="NEW"),"",INDEX(B2575:B$2,-1+SUMPRODUCT(MAX(ROW(E2575:E$2)*(E2576=E2575:E$2)))))</f>
        <v> </v>
      </c>
      <c r="J2576" s="25" t="str">
        <f>IF(OR(E2576="",E2576="!!!",F2576="NEW"),"",COUNTBLANK(OFFSET(A$1,,,SUMPRODUCT(MAX(ROW(E$2:E2576)*(E2576=E$2:E2576)))))-COUNTBLANK(OFFSET(A$1,,,SUMPRODUCT(MAX(ROW(E$1:E2575)*(E2=E$1:E2575))))))</f>
        <v> </v>
      </c>
      <c r="K2576" s="25" t="str">
        <f>IF(OR(E2576="",E2576="!!!",F2576="NEW"),"",INDEX(J$1:J2575,SUMPRODUCT(MAX(ROW(E$1:E2575)*(E2576=E$1:E2575)))))</f>
        <v> </v>
      </c>
      <c r="L2576" s="26"/>
    </row>
    <row r="2577" spans="1:12">
      <c r="A2577" s="20" t="s">
        <v>1428</v>
      </c>
      <c r="E2577" s="21">
        <f>IF(D2577="?OLD","!!!","")</f>
        <v/>
      </c>
      <c r="F2577" s="22" t="str">
        <f>IF(OR(E2577="",E2577="!!!"),"",IF(NOT(ISNA(VLOOKUP(E2577,E$1:E2576,1,FALSE()))),"OLD",IF(AND(E2577&lt;&gt;"",E2577&lt;&gt;"!!!"),"NEW","")))</f>
        <v> </v>
      </c>
      <c r="G2577" s="23" t="str">
        <f>IF(OR(E2577="",E2577="!!!"),"",IF(OR(J2577=0,AND(J2577=1,K2577=1),AND(J2577=1,I2577="SBJ"),AND(J2577=1,I2577=0)),"?IN_FOCUS",IF(J2577&lt;=2,"?ACTIVATED",IF(J2577&lt;&gt;"","?FAMILIAR",IF(F2577="NEW",IF(ISNA(VLOOKUP(E2577,#REF!,1,FALSE())),"?TYPE_IDENTIFIABLE","?REFERENTIAL"),"_")))))</f>
        <v> </v>
      </c>
      <c r="H2577" s="24" t="str">
        <f>IF(J2577&lt;&gt;1,"",IF(I2577="SBJ","CB","?"))</f>
        <v> </v>
      </c>
      <c r="I2577" s="25" t="str">
        <f>IF(OR(E2577="",E2577="!!!",F2577="NEW"),"",INDEX(B2576:B$2,-1+SUMPRODUCT(MAX(ROW(E2576:E$2)*(E2577=E2576:E$2)))))</f>
        <v> </v>
      </c>
      <c r="J2577" s="25" t="str">
        <f>IF(OR(E2577="",E2577="!!!",F2577="NEW"),"",COUNTBLANK(OFFSET(A$1,,,SUMPRODUCT(MAX(ROW(E$2:E2577)*(E2577=E$2:E2577)))))-COUNTBLANK(OFFSET(A$1,,,SUMPRODUCT(MAX(ROW(E$1:E2576)*(E2=E$1:E2576))))))</f>
        <v> </v>
      </c>
      <c r="K2577" s="25" t="str">
        <f>IF(OR(E2577="",E2577="!!!",F2577="NEW"),"",INDEX(J$1:J2576,SUMPRODUCT(MAX(ROW(E$1:E2576)*(E2577=E$1:E2576)))))</f>
        <v> </v>
      </c>
      <c r="L2577" s="26"/>
    </row>
    <row r="2578" spans="1:12">
      <c r="A2578" s="20" t="s">
        <v>542</v>
      </c>
      <c r="E2578" s="21">
        <f>IF(D2578="?OLD","!!!","")</f>
        <v/>
      </c>
      <c r="F2578" s="22" t="str">
        <f>IF(OR(E2578="",E2578="!!!"),"",IF(NOT(ISNA(VLOOKUP(E2578,E$1:E2577,1,FALSE()))),"OLD",IF(AND(E2578&lt;&gt;"",E2578&lt;&gt;"!!!"),"NEW","")))</f>
        <v> </v>
      </c>
      <c r="G2578" s="23" t="str">
        <f>IF(OR(E2578="",E2578="!!!"),"",IF(OR(J2578=0,AND(J2578=1,K2578=1),AND(J2578=1,I2578="SBJ"),AND(J2578=1,I2578=0)),"?IN_FOCUS",IF(J2578&lt;=2,"?ACTIVATED",IF(J2578&lt;&gt;"","?FAMILIAR",IF(F2578="NEW",IF(ISNA(VLOOKUP(E2578,#REF!,1,FALSE())),"?TYPE_IDENTIFIABLE","?REFERENTIAL"),"_")))))</f>
        <v> </v>
      </c>
      <c r="H2578" s="24" t="str">
        <f>IF(J2578&lt;&gt;1,"",IF(I2578="SBJ","CB","?"))</f>
        <v> </v>
      </c>
      <c r="I2578" s="25" t="str">
        <f>IF(OR(E2578="",E2578="!!!",F2578="NEW"),"",INDEX(B2577:B$2,-1+SUMPRODUCT(MAX(ROW(E2577:E$2)*(E2578=E2577:E$2)))))</f>
        <v> </v>
      </c>
      <c r="J2578" s="25" t="str">
        <f>IF(OR(E2578="",E2578="!!!",F2578="NEW"),"",COUNTBLANK(OFFSET(A$1,,,SUMPRODUCT(MAX(ROW(E$2:E2578)*(E2578=E$2:E2578)))))-COUNTBLANK(OFFSET(A$1,,,SUMPRODUCT(MAX(ROW(E$1:E2577)*(E2=E$1:E2577))))))</f>
        <v> </v>
      </c>
      <c r="K2578" s="25" t="str">
        <f>IF(OR(E2578="",E2578="!!!",F2578="NEW"),"",INDEX(J$1:J2577,SUMPRODUCT(MAX(ROW(E$1:E2577)*(E2578=E$1:E2577)))))</f>
        <v> </v>
      </c>
      <c r="L2578" s="26"/>
    </row>
    <row r="2579" spans="1:12">
      <c r="A2579" s="20" t="s">
        <v>934</v>
      </c>
      <c r="E2579" s="21">
        <f>IF(D2579="?OLD","!!!","")</f>
        <v/>
      </c>
      <c r="F2579" s="22" t="str">
        <f>IF(OR(E2579="",E2579="!!!"),"",IF(NOT(ISNA(VLOOKUP(E2579,E$1:E2578,1,FALSE()))),"OLD",IF(AND(E2579&lt;&gt;"",E2579&lt;&gt;"!!!"),"NEW","")))</f>
        <v> </v>
      </c>
      <c r="G2579" s="23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4" t="str">
        <f>IF(J2579&lt;&gt;1,"",IF(I2579="SBJ","CB","?"))</f>
        <v> </v>
      </c>
      <c r="I2579" s="25" t="str">
        <f>IF(OR(E2579="",E2579="!!!",F2579="NEW"),"",INDEX(B2578:B$2,-1+SUMPRODUCT(MAX(ROW(E2578:E$2)*(E2579=E2578:E$2)))))</f>
        <v> </v>
      </c>
      <c r="J2579" s="25" t="str">
        <f>IF(OR(E2579="",E2579="!!!",F2579="NEW"),"",COUNTBLANK(OFFSET(A$1,,,SUMPRODUCT(MAX(ROW(E$2:E2579)*(E2579=E$2:E2579)))))-COUNTBLANK(OFFSET(A$1,,,SUMPRODUCT(MAX(ROW(E$1:E2578)*(E2=E$1:E2578))))))</f>
        <v> </v>
      </c>
      <c r="K2579" s="25" t="str">
        <f>IF(OR(E2579="",E2579="!!!",F2579="NEW"),"",INDEX(J$1:J2578,SUMPRODUCT(MAX(ROW(E$1:E2578)*(E2579=E$1:E2578)))))</f>
        <v> </v>
      </c>
      <c r="L2579" s="26"/>
    </row>
    <row r="2580" spans="1:12">
      <c r="A2580" s="20" t="s">
        <v>935</v>
      </c>
      <c r="B2580" s="27" t="s">
        <v>556</v>
      </c>
      <c r="C2580" s="27" t="s">
        <v>523</v>
      </c>
      <c r="D2580" s="27" t="s">
        <v>524</v>
      </c>
      <c r="E2580" s="21">
        <f>IF(D2580="?OLD","!!!","")</f>
        <v/>
      </c>
      <c r="F2580" s="22" t="str">
        <f>IF(OR(E2580="",E2580="!!!"),"",IF(NOT(ISNA(VLOOKUP(E2580,E$1:E2579,1,FALSE()))),"OLD",IF(AND(E2580&lt;&gt;"",E2580&lt;&gt;"!!!"),"NEW","")))</f>
        <v> </v>
      </c>
      <c r="G2580" s="23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4" t="str">
        <f>IF(J2580&lt;&gt;1,"",IF(I2580="SBJ","CB","?"))</f>
        <v> </v>
      </c>
      <c r="I2580" s="25" t="str">
        <f>IF(OR(E2580="",E2580="!!!",F2580="NEW"),"",INDEX(B2579:B$2,-1+SUMPRODUCT(MAX(ROW(E2579:E$2)*(E2580=E2579:E$2)))))</f>
        <v> </v>
      </c>
      <c r="J2580" s="25" t="str">
        <f>IF(OR(E2580="",E2580="!!!",F2580="NEW"),"",COUNTBLANK(OFFSET(A$1,,,SUMPRODUCT(MAX(ROW(E$2:E2580)*(E2580=E$2:E2580)))))-COUNTBLANK(OFFSET(A$1,,,SUMPRODUCT(MAX(ROW(E$1:E2579)*(E2=E$1:E2579))))))</f>
        <v> </v>
      </c>
      <c r="K2580" s="25" t="str">
        <f>IF(OR(E2580="",E2580="!!!",F2580="NEW"),"",INDEX(J$1:J2579,SUMPRODUCT(MAX(ROW(E$1:E2579)*(E2580=E$1:E2579)))))</f>
        <v> </v>
      </c>
      <c r="L2580" s="26"/>
    </row>
    <row r="2581" spans="1:12">
      <c r="A2581" s="20" t="s">
        <v>542</v>
      </c>
      <c r="E2581" s="21">
        <f>IF(D2581="?OLD","!!!","")</f>
        <v/>
      </c>
      <c r="F2581" s="22" t="str">
        <f>IF(OR(E2581="",E2581="!!!"),"",IF(NOT(ISNA(VLOOKUP(E2581,E$1:E2580,1,FALSE()))),"OLD",IF(AND(E2581&lt;&gt;"",E2581&lt;&gt;"!!!"),"NEW","")))</f>
        <v> </v>
      </c>
      <c r="G2581" s="23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4" t="str">
        <f>IF(J2581&lt;&gt;1,"",IF(I2581="SBJ","CB","?"))</f>
        <v> </v>
      </c>
      <c r="I2581" s="25" t="str">
        <f>IF(OR(E2581="",E2581="!!!",F2581="NEW"),"",INDEX(B2580:B$2,-1+SUMPRODUCT(MAX(ROW(E2580:E$2)*(E2581=E2580:E$2)))))</f>
        <v> </v>
      </c>
      <c r="J2581" s="25" t="str">
        <f>IF(OR(E2581="",E2581="!!!",F2581="NEW"),"",COUNTBLANK(OFFSET(A$1,,,SUMPRODUCT(MAX(ROW(E$2:E2581)*(E2581=E$2:E2581)))))-COUNTBLANK(OFFSET(A$1,,,SUMPRODUCT(MAX(ROW(E$1:E2580)*(E2=E$1:E2580))))))</f>
        <v> </v>
      </c>
      <c r="K2581" s="25" t="str">
        <f>IF(OR(E2581="",E2581="!!!",F2581="NEW"),"",INDEX(J$1:J2580,SUMPRODUCT(MAX(ROW(E$1:E2580)*(E2581=E$1:E2580)))))</f>
        <v> </v>
      </c>
      <c r="L2581" s="26"/>
    </row>
    <row r="2582" spans="1:12">
      <c r="A2582" s="20" t="s">
        <v>542</v>
      </c>
      <c r="E2582" s="21">
        <f>IF(D2582="?OLD","!!!","")</f>
        <v/>
      </c>
      <c r="F2582" s="22" t="str">
        <f>IF(OR(E2582="",E2582="!!!"),"",IF(NOT(ISNA(VLOOKUP(E2582,E$1:E2581,1,FALSE()))),"OLD",IF(AND(E2582&lt;&gt;"",E2582&lt;&gt;"!!!"),"NEW","")))</f>
        <v> </v>
      </c>
      <c r="G2582" s="23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4" t="str">
        <f>IF(J2582&lt;&gt;1,"",IF(I2582="SBJ","CB","?"))</f>
        <v> </v>
      </c>
      <c r="I2582" s="25" t="str">
        <f>IF(OR(E2582="",E2582="!!!",F2582="NEW"),"",INDEX(B2581:B$2,-1+SUMPRODUCT(MAX(ROW(E2581:E$2)*(E2582=E2581:E$2)))))</f>
        <v> </v>
      </c>
      <c r="J2582" s="25" t="str">
        <f>IF(OR(E2582="",E2582="!!!",F2582="NEW"),"",COUNTBLANK(OFFSET(A$1,,,SUMPRODUCT(MAX(ROW(E$2:E2582)*(E2582=E$2:E2582)))))-COUNTBLANK(OFFSET(A$1,,,SUMPRODUCT(MAX(ROW(E$1:E2581)*(E2=E$1:E2581))))))</f>
        <v> </v>
      </c>
      <c r="K2582" s="25" t="str">
        <f>IF(OR(E2582="",E2582="!!!",F2582="NEW"),"",INDEX(J$1:J2581,SUMPRODUCT(MAX(ROW(E$1:E2581)*(E2582=E$1:E2581)))))</f>
        <v> </v>
      </c>
      <c r="L2582" s="26"/>
    </row>
    <row r="2583" spans="1:12">
      <c r="A2583" s="20" t="s">
        <v>1429</v>
      </c>
      <c r="B2583" s="27" t="s">
        <v>556</v>
      </c>
      <c r="C2583" s="27" t="s">
        <v>545</v>
      </c>
      <c r="D2583" s="27" t="s">
        <v>524</v>
      </c>
      <c r="E2583" s="21">
        <f>IF(D2583="?OLD","!!!","")</f>
        <v/>
      </c>
      <c r="F2583" s="22" t="str">
        <f>IF(OR(E2583="",E2583="!!!"),"",IF(NOT(ISNA(VLOOKUP(E2583,E$1:E2582,1,FALSE()))),"OLD",IF(AND(E2583&lt;&gt;"",E2583&lt;&gt;"!!!"),"NEW","")))</f>
        <v> </v>
      </c>
      <c r="G2583" s="23" t="str">
        <f>IF(OR(E2583="",E2583="!!!"),"",IF(OR(J2583=0,AND(J2583=1,K2583=1),AND(J2583=1,I2583="SBJ"),AND(J2583=1,I2583=0)),"?IN_FOCUS",IF(J2583&lt;=2,"?ACTIVATED",IF(J2583&lt;&gt;"","?FAMILIAR",IF(F2583="NEW",IF(ISNA(VLOOKUP(E2583,#REF!,1,FALSE())),"?TYPE_IDENTIFIABLE","?REFERENTIAL"),"_")))))</f>
        <v> </v>
      </c>
      <c r="H2583" s="24" t="str">
        <f>IF(J2583&lt;&gt;1,"",IF(I2583="SBJ","CB","?"))</f>
        <v> </v>
      </c>
      <c r="I2583" s="25" t="str">
        <f>IF(OR(E2583="",E2583="!!!",F2583="NEW"),"",INDEX(B2582:B$2,-1+SUMPRODUCT(MAX(ROW(E2582:E$2)*(E2583=E2582:E$2)))))</f>
        <v> </v>
      </c>
      <c r="J2583" s="25" t="str">
        <f>IF(OR(E2583="",E2583="!!!",F2583="NEW"),"",COUNTBLANK(OFFSET(A$1,,,SUMPRODUCT(MAX(ROW(E$2:E2583)*(E2583=E$2:E2583)))))-COUNTBLANK(OFFSET(A$1,,,SUMPRODUCT(MAX(ROW(E$1:E2582)*(E2=E$1:E2582))))))</f>
        <v> </v>
      </c>
      <c r="K2583" s="25" t="str">
        <f>IF(OR(E2583="",E2583="!!!",F2583="NEW"),"",INDEX(J$1:J2582,SUMPRODUCT(MAX(ROW(E$1:E2582)*(E2583=E$1:E2582)))))</f>
        <v> </v>
      </c>
      <c r="L2583" s="26"/>
    </row>
    <row r="2584" spans="1:12">
      <c r="A2584" s="20" t="s">
        <v>581</v>
      </c>
      <c r="E2584" s="21">
        <f>IF(D2584="?OLD","!!!","")</f>
        <v/>
      </c>
      <c r="F2584" s="22" t="str">
        <f>IF(OR(E2584="",E2584="!!!"),"",IF(NOT(ISNA(VLOOKUP(E2584,E$1:E2583,1,FALSE()))),"OLD",IF(AND(E2584&lt;&gt;"",E2584&lt;&gt;"!!!"),"NEW","")))</f>
        <v> </v>
      </c>
      <c r="G2584" s="23" t="str">
        <f>IF(OR(E2584="",E2584="!!!"),"",IF(OR(J2584=0,AND(J2584=1,K2584=1),AND(J2584=1,I2584="SBJ"),AND(J2584=1,I2584=0)),"?IN_FOCUS",IF(J2584&lt;=2,"?ACTIVATED",IF(J2584&lt;&gt;"","?FAMILIAR",IF(F2584="NEW",IF(ISNA(VLOOKUP(E2584,#REF!,1,FALSE())),"?TYPE_IDENTIFIABLE","?REFERENTIAL"),"_")))))</f>
        <v> </v>
      </c>
      <c r="H2584" s="24" t="str">
        <f>IF(J2584&lt;&gt;1,"",IF(I2584="SBJ","CB","?"))</f>
        <v> </v>
      </c>
      <c r="I2584" s="25" t="str">
        <f>IF(OR(E2584="",E2584="!!!",F2584="NEW"),"",INDEX(B2583:B$2,-1+SUMPRODUCT(MAX(ROW(E2583:E$2)*(E2584=E2583:E$2)))))</f>
        <v> </v>
      </c>
      <c r="J2584" s="25" t="str">
        <f>IF(OR(E2584="",E2584="!!!",F2584="NEW"),"",COUNTBLANK(OFFSET(A$1,,,SUMPRODUCT(MAX(ROW(E$2:E2584)*(E2584=E$2:E2584)))))-COUNTBLANK(OFFSET(A$1,,,SUMPRODUCT(MAX(ROW(E$1:E2583)*(E2=E$1:E2583))))))</f>
        <v> </v>
      </c>
      <c r="K2584" s="25" t="str">
        <f>IF(OR(E2584="",E2584="!!!",F2584="NEW"),"",INDEX(J$1:J2583,SUMPRODUCT(MAX(ROW(E$1:E2583)*(E2584=E$1:E2583)))))</f>
        <v> </v>
      </c>
      <c r="L2584" s="26"/>
    </row>
    <row r="2585" spans="1:12">
      <c r="A2585" s="20" t="s">
        <v>1430</v>
      </c>
      <c r="B2585" s="27" t="s">
        <v>534</v>
      </c>
      <c r="C2585" s="27" t="s">
        <v>548</v>
      </c>
      <c r="D2585" s="27" t="s">
        <v>524</v>
      </c>
      <c r="E2585" s="21">
        <f>IF(D2585="?OLD","!!!","")</f>
        <v/>
      </c>
      <c r="F2585" s="22" t="str">
        <f>IF(OR(E2585="",E2585="!!!"),"",IF(NOT(ISNA(VLOOKUP(E2585,E$1:E2584,1,FALSE()))),"OLD",IF(AND(E2585&lt;&gt;"",E2585&lt;&gt;"!!!"),"NEW","")))</f>
        <v> </v>
      </c>
      <c r="G2585" s="23" t="str">
        <f>IF(OR(E2585="",E2585="!!!"),"",IF(OR(J2585=0,AND(J2585=1,K2585=1),AND(J2585=1,I2585="SBJ"),AND(J2585=1,I2585=0)),"?IN_FOCUS",IF(J2585&lt;=2,"?ACTIVATED",IF(J2585&lt;&gt;"","?FAMILIAR",IF(F2585="NEW",IF(ISNA(VLOOKUP(E2585,#REF!,1,FALSE())),"?TYPE_IDENTIFIABLE","?REFERENTIAL"),"_")))))</f>
        <v> </v>
      </c>
      <c r="H2585" s="24" t="str">
        <f>IF(J2585&lt;&gt;1,"",IF(I2585="SBJ","CB","?"))</f>
        <v> </v>
      </c>
      <c r="I2585" s="25" t="str">
        <f>IF(OR(E2585="",E2585="!!!",F2585="NEW"),"",INDEX(B2584:B$2,-1+SUMPRODUCT(MAX(ROW(E2584:E$2)*(E2585=E2584:E$2)))))</f>
        <v> </v>
      </c>
      <c r="J2585" s="25" t="str">
        <f>IF(OR(E2585="",E2585="!!!",F2585="NEW"),"",COUNTBLANK(OFFSET(A$1,,,SUMPRODUCT(MAX(ROW(E$2:E2585)*(E2585=E$2:E2585)))))-COUNTBLANK(OFFSET(A$1,,,SUMPRODUCT(MAX(ROW(E$1:E2584)*(E2=E$1:E2584))))))</f>
        <v> </v>
      </c>
      <c r="K2585" s="25" t="str">
        <f>IF(OR(E2585="",E2585="!!!",F2585="NEW"),"",INDEX(J$1:J2584,SUMPRODUCT(MAX(ROW(E$1:E2584)*(E2585=E$1:E2584)))))</f>
        <v> </v>
      </c>
      <c r="L2585" s="26"/>
    </row>
    <row r="2586" spans="1:12">
      <c r="A2586" s="20" t="s">
        <v>565</v>
      </c>
      <c r="E2586" s="21">
        <f>IF(D2586="?OLD","!!!","")</f>
        <v/>
      </c>
      <c r="F2586" s="22" t="str">
        <f>IF(OR(E2586="",E2586="!!!"),"",IF(NOT(ISNA(VLOOKUP(E2586,E$1:E2585,1,FALSE()))),"OLD",IF(AND(E2586&lt;&gt;"",E2586&lt;&gt;"!!!"),"NEW","")))</f>
        <v> </v>
      </c>
      <c r="G2586" s="23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4" t="str">
        <f>IF(J2586&lt;&gt;1,"",IF(I2586="SBJ","CB","?"))</f>
        <v> </v>
      </c>
      <c r="I2586" s="25" t="str">
        <f>IF(OR(E2586="",E2586="!!!",F2586="NEW"),"",INDEX(B2585:B$2,-1+SUMPRODUCT(MAX(ROW(E2585:E$2)*(E2586=E2585:E$2)))))</f>
        <v> </v>
      </c>
      <c r="J2586" s="25" t="str">
        <f>IF(OR(E2586="",E2586="!!!",F2586="NEW"),"",COUNTBLANK(OFFSET(A$1,,,SUMPRODUCT(MAX(ROW(E$2:E2586)*(E2586=E$2:E2586)))))-COUNTBLANK(OFFSET(A$1,,,SUMPRODUCT(MAX(ROW(E$1:E2585)*(E2=E$1:E2585))))))</f>
        <v> </v>
      </c>
      <c r="K2586" s="25" t="str">
        <f>IF(OR(E2586="",E2586="!!!",F2586="NEW"),"",INDEX(J$1:J2585,SUMPRODUCT(MAX(ROW(E$1:E2585)*(E2586=E$1:E2585)))))</f>
        <v> </v>
      </c>
      <c r="L2586" s="26"/>
    </row>
    <row r="2587" spans="1:12">
      <c r="A2587" s="20" t="s">
        <v>1431</v>
      </c>
      <c r="E2587" s="21">
        <f>IF(D2587="?OLD","!!!","")</f>
        <v/>
      </c>
      <c r="F2587" s="22" t="str">
        <f>IF(OR(E2587="",E2587="!!!"),"",IF(NOT(ISNA(VLOOKUP(E2587,E$1:E2586,1,FALSE()))),"OLD",IF(AND(E2587&lt;&gt;"",E2587&lt;&gt;"!!!"),"NEW","")))</f>
        <v> </v>
      </c>
      <c r="G2587" s="23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4" t="str">
        <f>IF(J2587&lt;&gt;1,"",IF(I2587="SBJ","CB","?"))</f>
        <v> </v>
      </c>
      <c r="I2587" s="25" t="str">
        <f>IF(OR(E2587="",E2587="!!!",F2587="NEW"),"",INDEX(B2586:B$2,-1+SUMPRODUCT(MAX(ROW(E2586:E$2)*(E2587=E2586:E$2)))))</f>
        <v> </v>
      </c>
      <c r="J2587" s="25" t="str">
        <f>IF(OR(E2587="",E2587="!!!",F2587="NEW"),"",COUNTBLANK(OFFSET(A$1,,,SUMPRODUCT(MAX(ROW(E$2:E2587)*(E2587=E$2:E2587)))))-COUNTBLANK(OFFSET(A$1,,,SUMPRODUCT(MAX(ROW(E$1:E2586)*(E2=E$1:E2586))))))</f>
        <v> </v>
      </c>
      <c r="K2587" s="25" t="str">
        <f>IF(OR(E2587="",E2587="!!!",F2587="NEW"),"",INDEX(J$1:J2586,SUMPRODUCT(MAX(ROW(E$1:E2586)*(E2587=E$1:E2586)))))</f>
        <v> </v>
      </c>
      <c r="L2587" s="26"/>
    </row>
    <row r="2588" spans="1:12">
      <c r="A2588" s="20" t="s">
        <v>1432</v>
      </c>
      <c r="B2588" s="27" t="s">
        <v>641</v>
      </c>
      <c r="C2588" s="27" t="s">
        <v>637</v>
      </c>
      <c r="D2588" s="27" t="s">
        <v>524</v>
      </c>
      <c r="E2588" s="21">
        <f>IF(D2588="?OLD","!!!","")</f>
        <v/>
      </c>
      <c r="F2588" s="22" t="str">
        <f>IF(OR(E2588="",E2588="!!!"),"",IF(NOT(ISNA(VLOOKUP(E2588,E$1:E2587,1,FALSE()))),"OLD",IF(AND(E2588&lt;&gt;"",E2588&lt;&gt;"!!!"),"NEW","")))</f>
        <v> </v>
      </c>
      <c r="G2588" s="23" t="str">
        <f>IF(OR(E2588="",E2588="!!!"),"",IF(OR(J2588=0,AND(J2588=1,K2588=1),AND(J2588=1,I2588="SBJ"),AND(J2588=1,I2588=0)),"?IN_FOCUS",IF(J2588&lt;=2,"?ACTIVATED",IF(J2588&lt;&gt;"","?FAMILIAR",IF(F2588="NEW",IF(ISNA(VLOOKUP(E2588,#REF!,1,FALSE())),"?TYPE_IDENTIFIABLE","?REFERENTIAL"),"_")))))</f>
        <v> </v>
      </c>
      <c r="H2588" s="24" t="str">
        <f>IF(J2588&lt;&gt;1,"",IF(I2588="SBJ","CB","?"))</f>
        <v> </v>
      </c>
      <c r="I2588" s="25" t="str">
        <f>IF(OR(E2588="",E2588="!!!",F2588="NEW"),"",INDEX(B2587:B$2,-1+SUMPRODUCT(MAX(ROW(E2587:E$2)*(E2588=E2587:E$2)))))</f>
        <v> </v>
      </c>
      <c r="J2588" s="25" t="str">
        <f>IF(OR(E2588="",E2588="!!!",F2588="NEW"),"",COUNTBLANK(OFFSET(A$1,,,SUMPRODUCT(MAX(ROW(E$2:E2588)*(E2588=E$2:E2588)))))-COUNTBLANK(OFFSET(A$1,,,SUMPRODUCT(MAX(ROW(E$1:E2587)*(E2=E$1:E2587))))))</f>
        <v> </v>
      </c>
      <c r="K2588" s="25" t="str">
        <f>IF(OR(E2588="",E2588="!!!",F2588="NEW"),"",INDEX(J$1:J2587,SUMPRODUCT(MAX(ROW(E$1:E2587)*(E2588=E$1:E2587)))))</f>
        <v> </v>
      </c>
      <c r="L2588" s="26"/>
    </row>
    <row r="2589" spans="1:12">
      <c r="A2589" s="20" t="s">
        <v>549</v>
      </c>
      <c r="E2589" s="21">
        <f>IF(D2589="?OLD","!!!","")</f>
        <v/>
      </c>
      <c r="F2589" s="22" t="str">
        <f>IF(OR(E2589="",E2589="!!!"),"",IF(NOT(ISNA(VLOOKUP(E2589,E$1:E2588,1,FALSE()))),"OLD",IF(AND(E2589&lt;&gt;"",E2589&lt;&gt;"!!!"),"NEW","")))</f>
        <v> </v>
      </c>
      <c r="G2589" s="23" t="str">
        <f>IF(OR(E2589="",E2589="!!!"),"",IF(OR(J2589=0,AND(J2589=1,K2589=1),AND(J2589=1,I2589="SBJ"),AND(J2589=1,I2589=0)),"?IN_FOCUS",IF(J2589&lt;=2,"?ACTIVATED",IF(J2589&lt;&gt;"","?FAMILIAR",IF(F2589="NEW",IF(ISNA(VLOOKUP(E2589,#REF!,1,FALSE())),"?TYPE_IDENTIFIABLE","?REFERENTIAL"),"_")))))</f>
        <v> </v>
      </c>
      <c r="H2589" s="24" t="str">
        <f>IF(J2589&lt;&gt;1,"",IF(I2589="SBJ","CB","?"))</f>
        <v> </v>
      </c>
      <c r="I2589" s="25" t="str">
        <f>IF(OR(E2589="",E2589="!!!",F2589="NEW"),"",INDEX(B2588:B$2,-1+SUMPRODUCT(MAX(ROW(E2588:E$2)*(E2589=E2588:E$2)))))</f>
        <v> </v>
      </c>
      <c r="J2589" s="25" t="str">
        <f>IF(OR(E2589="",E2589="!!!",F2589="NEW"),"",COUNTBLANK(OFFSET(A$1,,,SUMPRODUCT(MAX(ROW(E$2:E2589)*(E2589=E$2:E2589)))))-COUNTBLANK(OFFSET(A$1,,,SUMPRODUCT(MAX(ROW(E$1:E2588)*(E2=E$1:E2588))))))</f>
        <v> </v>
      </c>
      <c r="K2589" s="25" t="str">
        <f>IF(OR(E2589="",E2589="!!!",F2589="NEW"),"",INDEX(J$1:J2588,SUMPRODUCT(MAX(ROW(E$1:E2588)*(E2589=E$1:E2588)))))</f>
        <v> </v>
      </c>
      <c r="L2589" s="26"/>
    </row>
    <row r="2590" spans="1:12">
      <c r="A2590" s="20"/>
    </row>
    <row r="2591" spans="1:12">
      <c r="A2591" s="20" t="s">
        <v>1433</v>
      </c>
    </row>
    <row r="2592" spans="1:12">
      <c r="A2592" s="20" t="s">
        <v>964</v>
      </c>
      <c r="E2592" s="21">
        <f>IF(D2592="?OLD","!!!","")</f>
        <v/>
      </c>
      <c r="F2592" s="22" t="str">
        <f>IF(OR(E2592="",E2592="!!!"),"",IF(NOT(ISNA(VLOOKUP(E2592,E$1:E2591,1,FALSE()))),"OLD",IF(AND(E2592&lt;&gt;"",E2592&lt;&gt;"!!!"),"NEW","")))</f>
        <v> </v>
      </c>
      <c r="G2592" s="23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4" t="str">
        <f>IF(J2592&lt;&gt;1,"",IF(I2592="SBJ","CB","?"))</f>
        <v> </v>
      </c>
      <c r="I2592" s="25" t="str">
        <f>IF(OR(E2592="",E2592="!!!",F2592="NEW"),"",INDEX(B2591:B$2,-1+SUMPRODUCT(MAX(ROW(E2591:E$2)*(E2592=E2591:E$2)))))</f>
        <v> </v>
      </c>
      <c r="J2592" s="25" t="str">
        <f>IF(OR(E2592="",E2592="!!!",F2592="NEW"),"",COUNTBLANK(OFFSET(A$1,,,SUMPRODUCT(MAX(ROW(E$2:E2592)*(E2592=E$2:E2592)))))-COUNTBLANK(OFFSET(A$1,,,SUMPRODUCT(MAX(ROW(E$1:E2591)*(E2=E$1:E2591))))))</f>
        <v> </v>
      </c>
      <c r="K2592" s="25" t="str">
        <f>IF(OR(E2592="",E2592="!!!",F2592="NEW"),"",INDEX(J$1:J2591,SUMPRODUCT(MAX(ROW(E$1:E2591)*(E2592=E$1:E2591)))))</f>
        <v> </v>
      </c>
      <c r="L2592" s="26"/>
    </row>
    <row r="2593" spans="1:12">
      <c r="A2593" s="20" t="s">
        <v>565</v>
      </c>
      <c r="E2593" s="21">
        <f>IF(D2593="?OLD","!!!","")</f>
        <v/>
      </c>
      <c r="F2593" s="22" t="str">
        <f>IF(OR(E2593="",E2593="!!!"),"",IF(NOT(ISNA(VLOOKUP(E2593,E$1:E2592,1,FALSE()))),"OLD",IF(AND(E2593&lt;&gt;"",E2593&lt;&gt;"!!!"),"NEW","")))</f>
        <v> </v>
      </c>
      <c r="G2593" s="23" t="str">
        <f>IF(OR(E2593="",E2593="!!!"),"",IF(OR(J2593=0,AND(J2593=1,K2593=1),AND(J2593=1,I2593="SBJ"),AND(J2593=1,I2593=0)),"?IN_FOCUS",IF(J2593&lt;=2,"?ACTIVATED",IF(J2593&lt;&gt;"","?FAMILIAR",IF(F2593="NEW",IF(ISNA(VLOOKUP(E2593,#REF!,1,FALSE())),"?TYPE_IDENTIFIABLE","?REFERENTIAL"),"_")))))</f>
        <v> </v>
      </c>
      <c r="H2593" s="24" t="str">
        <f>IF(J2593&lt;&gt;1,"",IF(I2593="SBJ","CB","?"))</f>
        <v> </v>
      </c>
      <c r="I2593" s="25" t="str">
        <f>IF(OR(E2593="",E2593="!!!",F2593="NEW"),"",INDEX(B2592:B$2,-1+SUMPRODUCT(MAX(ROW(E2592:E$2)*(E2593=E2592:E$2)))))</f>
        <v> </v>
      </c>
      <c r="J2593" s="25" t="str">
        <f>IF(OR(E2593="",E2593="!!!",F2593="NEW"),"",COUNTBLANK(OFFSET(A$1,,,SUMPRODUCT(MAX(ROW(E$2:E2593)*(E2593=E$2:E2593)))))-COUNTBLANK(OFFSET(A$1,,,SUMPRODUCT(MAX(ROW(E$1:E2592)*(E2=E$1:E2592))))))</f>
        <v> </v>
      </c>
      <c r="K2593" s="25" t="str">
        <f>IF(OR(E2593="",E2593="!!!",F2593="NEW"),"",INDEX(J$1:J2592,SUMPRODUCT(MAX(ROW(E$1:E2592)*(E2593=E$1:E2592)))))</f>
        <v> </v>
      </c>
      <c r="L2593" s="26"/>
    </row>
    <row r="2594" spans="1:12">
      <c r="A2594" s="20" t="s">
        <v>32</v>
      </c>
      <c r="E2594" s="21">
        <f>IF(D2594="?OLD","!!!","")</f>
        <v/>
      </c>
      <c r="F2594" s="22" t="str">
        <f>IF(OR(E2594="",E2594="!!!"),"",IF(NOT(ISNA(VLOOKUP(E2594,E$1:E2593,1,FALSE()))),"OLD",IF(AND(E2594&lt;&gt;"",E2594&lt;&gt;"!!!"),"NEW","")))</f>
        <v> </v>
      </c>
      <c r="G2594" s="23" t="str">
        <f>IF(OR(E2594="",E2594="!!!"),"",IF(OR(J2594=0,AND(J2594=1,K2594=1),AND(J2594=1,I2594="SBJ"),AND(J2594=1,I2594=0)),"?IN_FOCUS",IF(J2594&lt;=2,"?ACTIVATED",IF(J2594&lt;&gt;"","?FAMILIAR",IF(F2594="NEW",IF(ISNA(VLOOKUP(E2594,#REF!,1,FALSE())),"?TYPE_IDENTIFIABLE","?REFERENTIAL"),"_")))))</f>
        <v> </v>
      </c>
      <c r="H2594" s="24" t="str">
        <f>IF(J2594&lt;&gt;1,"",IF(I2594="SBJ","CB","?"))</f>
        <v> </v>
      </c>
      <c r="I2594" s="25" t="str">
        <f>IF(OR(E2594="",E2594="!!!",F2594="NEW"),"",INDEX(B2593:B$2,-1+SUMPRODUCT(MAX(ROW(E2593:E$2)*(E2594=E2593:E$2)))))</f>
        <v> </v>
      </c>
      <c r="J2594" s="25" t="str">
        <f>IF(OR(E2594="",E2594="!!!",F2594="NEW"),"",COUNTBLANK(OFFSET(A$1,,,SUMPRODUCT(MAX(ROW(E$2:E2594)*(E2594=E$2:E2594)))))-COUNTBLANK(OFFSET(A$1,,,SUMPRODUCT(MAX(ROW(E$1:E2593)*(E2=E$1:E2593))))))</f>
        <v> </v>
      </c>
      <c r="K2594" s="25" t="str">
        <f>IF(OR(E2594="",E2594="!!!",F2594="NEW"),"",INDEX(J$1:J2593,SUMPRODUCT(MAX(ROW(E$1:E2593)*(E2594=E$1:E2593)))))</f>
        <v> </v>
      </c>
      <c r="L2594" s="26"/>
    </row>
    <row r="2595" spans="1:12">
      <c r="A2595" s="20" t="s">
        <v>565</v>
      </c>
      <c r="E2595" s="21">
        <f>IF(D2595="?OLD","!!!","")</f>
        <v/>
      </c>
      <c r="F2595" s="22" t="str">
        <f>IF(OR(E2595="",E2595="!!!"),"",IF(NOT(ISNA(VLOOKUP(E2595,E$1:E2594,1,FALSE()))),"OLD",IF(AND(E2595&lt;&gt;"",E2595&lt;&gt;"!!!"),"NEW","")))</f>
        <v> </v>
      </c>
      <c r="G2595" s="23" t="str">
        <f>IF(OR(E2595="",E2595="!!!"),"",IF(OR(J2595=0,AND(J2595=1,K2595=1),AND(J2595=1,I2595="SBJ"),AND(J2595=1,I2595=0)),"?IN_FOCUS",IF(J2595&lt;=2,"?ACTIVATED",IF(J2595&lt;&gt;"","?FAMILIAR",IF(F2595="NEW",IF(ISNA(VLOOKUP(E2595,#REF!,1,FALSE())),"?TYPE_IDENTIFIABLE","?REFERENTIAL"),"_")))))</f>
        <v> </v>
      </c>
      <c r="H2595" s="24" t="str">
        <f>IF(J2595&lt;&gt;1,"",IF(I2595="SBJ","CB","?"))</f>
        <v> </v>
      </c>
      <c r="I2595" s="25" t="str">
        <f>IF(OR(E2595="",E2595="!!!",F2595="NEW"),"",INDEX(B2594:B$2,-1+SUMPRODUCT(MAX(ROW(E2594:E$2)*(E2595=E2594:E$2)))))</f>
        <v> </v>
      </c>
      <c r="J2595" s="25" t="str">
        <f>IF(OR(E2595="",E2595="!!!",F2595="NEW"),"",COUNTBLANK(OFFSET(A$1,,,SUMPRODUCT(MAX(ROW(E$2:E2595)*(E2595=E$2:E2595)))))-COUNTBLANK(OFFSET(A$1,,,SUMPRODUCT(MAX(ROW(E$1:E2594)*(E2=E$1:E2594))))))</f>
        <v> </v>
      </c>
      <c r="K2595" s="25" t="str">
        <f>IF(OR(E2595="",E2595="!!!",F2595="NEW"),"",INDEX(J$1:J2594,SUMPRODUCT(MAX(ROW(E$1:E2594)*(E2595=E$1:E2594)))))</f>
        <v> </v>
      </c>
      <c r="L2595" s="26"/>
    </row>
    <row r="2596" spans="1:12">
      <c r="A2596" s="20" t="s">
        <v>1434</v>
      </c>
      <c r="E2596" s="21">
        <f>IF(D2596="?OLD","!!!","")</f>
        <v/>
      </c>
      <c r="F2596" s="22" t="str">
        <f>IF(OR(E2596="",E2596="!!!"),"",IF(NOT(ISNA(VLOOKUP(E2596,E$1:E2595,1,FALSE()))),"OLD",IF(AND(E2596&lt;&gt;"",E2596&lt;&gt;"!!!"),"NEW","")))</f>
        <v> </v>
      </c>
      <c r="G2596" s="23" t="str">
        <f>IF(OR(E2596="",E2596="!!!"),"",IF(OR(J2596=0,AND(J2596=1,K2596=1),AND(J2596=1,I2596="SBJ"),AND(J2596=1,I2596=0)),"?IN_FOCUS",IF(J2596&lt;=2,"?ACTIVATED",IF(J2596&lt;&gt;"","?FAMILIAR",IF(F2596="NEW",IF(ISNA(VLOOKUP(E2596,#REF!,1,FALSE())),"?TYPE_IDENTIFIABLE","?REFERENTIAL"),"_")))))</f>
        <v> </v>
      </c>
      <c r="H2596" s="24" t="str">
        <f>IF(J2596&lt;&gt;1,"",IF(I2596="SBJ","CB","?"))</f>
        <v> </v>
      </c>
      <c r="I2596" s="25" t="str">
        <f>IF(OR(E2596="",E2596="!!!",F2596="NEW"),"",INDEX(B2595:B$2,-1+SUMPRODUCT(MAX(ROW(E2595:E$2)*(E2596=E2595:E$2)))))</f>
        <v> </v>
      </c>
      <c r="J2596" s="25" t="str">
        <f>IF(OR(E2596="",E2596="!!!",F2596="NEW"),"",COUNTBLANK(OFFSET(A$1,,,SUMPRODUCT(MAX(ROW(E$2:E2596)*(E2596=E$2:E2596)))))-COUNTBLANK(OFFSET(A$1,,,SUMPRODUCT(MAX(ROW(E$1:E2595)*(E2=E$1:E2595))))))</f>
        <v> </v>
      </c>
      <c r="K2596" s="25" t="str">
        <f>IF(OR(E2596="",E2596="!!!",F2596="NEW"),"",INDEX(J$1:J2595,SUMPRODUCT(MAX(ROW(E$1:E2595)*(E2596=E$1:E2595)))))</f>
        <v> </v>
      </c>
      <c r="L2596" s="26"/>
    </row>
    <row r="2597" spans="1:12">
      <c r="A2597" s="20" t="s">
        <v>358</v>
      </c>
      <c r="B2597" s="27" t="s">
        <v>680</v>
      </c>
      <c r="C2597" s="27" t="s">
        <v>523</v>
      </c>
      <c r="D2597" s="27" t="s">
        <v>524</v>
      </c>
      <c r="E2597" s="21">
        <f>IF(D2597="?OLD","!!!","")</f>
        <v/>
      </c>
      <c r="F2597" s="22" t="str">
        <f>IF(OR(E2597="",E2597="!!!"),"",IF(NOT(ISNA(VLOOKUP(E2597,E$1:E2596,1,FALSE()))),"OLD",IF(AND(E2597&lt;&gt;"",E2597&lt;&gt;"!!!"),"NEW","")))</f>
        <v> </v>
      </c>
      <c r="G2597" s="23" t="str">
        <f>IF(OR(E2597="",E2597="!!!"),"",IF(OR(J2597=0,AND(J2597=1,K2597=1),AND(J2597=1,I2597="SBJ"),AND(J2597=1,I2597=0)),"?IN_FOCUS",IF(J2597&lt;=2,"?ACTIVATED",IF(J2597&lt;&gt;"","?FAMILIAR",IF(F2597="NEW",IF(ISNA(VLOOKUP(E2597,#REF!,1,FALSE())),"?TYPE_IDENTIFIABLE","?REFERENTIAL"),"_")))))</f>
        <v> </v>
      </c>
      <c r="H2597" s="24" t="str">
        <f>IF(J2597&lt;&gt;1,"",IF(I2597="SBJ","CB","?"))</f>
        <v> </v>
      </c>
      <c r="I2597" s="25" t="str">
        <f>IF(OR(E2597="",E2597="!!!",F2597="NEW"),"",INDEX(B2596:B$2,-1+SUMPRODUCT(MAX(ROW(E2596:E$2)*(E2597=E2596:E$2)))))</f>
        <v> </v>
      </c>
      <c r="J2597" s="25" t="str">
        <f>IF(OR(E2597="",E2597="!!!",F2597="NEW"),"",COUNTBLANK(OFFSET(A$1,,,SUMPRODUCT(MAX(ROW(E$2:E2597)*(E2597=E$2:E2597)))))-COUNTBLANK(OFFSET(A$1,,,SUMPRODUCT(MAX(ROW(E$1:E2596)*(E2=E$1:E2596))))))</f>
        <v> </v>
      </c>
      <c r="K2597" s="25" t="str">
        <f>IF(OR(E2597="",E2597="!!!",F2597="NEW"),"",INDEX(J$1:J2596,SUMPRODUCT(MAX(ROW(E$1:E2596)*(E2597=E$1:E2596)))))</f>
        <v> </v>
      </c>
      <c r="L2597" s="26"/>
    </row>
    <row r="2598" spans="1:12">
      <c r="A2598" s="20" t="s">
        <v>575</v>
      </c>
      <c r="E2598" s="21">
        <f>IF(D2598="?OLD","!!!","")</f>
        <v/>
      </c>
      <c r="F2598" s="22" t="str">
        <f>IF(OR(E2598="",E2598="!!!"),"",IF(NOT(ISNA(VLOOKUP(E2598,E$1:E2597,1,FALSE()))),"OLD",IF(AND(E2598&lt;&gt;"",E2598&lt;&gt;"!!!"),"NEW","")))</f>
        <v> </v>
      </c>
      <c r="G2598" s="23" t="str">
        <f>IF(OR(E2598="",E2598="!!!"),"",IF(OR(J2598=0,AND(J2598=1,K2598=1),AND(J2598=1,I2598="SBJ"),AND(J2598=1,I2598=0)),"?IN_FOCUS",IF(J2598&lt;=2,"?ACTIVATED",IF(J2598&lt;&gt;"","?FAMILIAR",IF(F2598="NEW",IF(ISNA(VLOOKUP(E2598,#REF!,1,FALSE())),"?TYPE_IDENTIFIABLE","?REFERENTIAL"),"_")))))</f>
        <v> </v>
      </c>
      <c r="H2598" s="24" t="str">
        <f>IF(J2598&lt;&gt;1,"",IF(I2598="SBJ","CB","?"))</f>
        <v> </v>
      </c>
      <c r="I2598" s="25" t="str">
        <f>IF(OR(E2598="",E2598="!!!",F2598="NEW"),"",INDEX(B2597:B$2,-1+SUMPRODUCT(MAX(ROW(E2597:E$2)*(E2598=E2597:E$2)))))</f>
        <v> </v>
      </c>
      <c r="J2598" s="25" t="str">
        <f>IF(OR(E2598="",E2598="!!!",F2598="NEW"),"",COUNTBLANK(OFFSET(A$1,,,SUMPRODUCT(MAX(ROW(E$2:E2598)*(E2598=E$2:E2598)))))-COUNTBLANK(OFFSET(A$1,,,SUMPRODUCT(MAX(ROW(E$1:E2597)*(E2=E$1:E2597))))))</f>
        <v> </v>
      </c>
      <c r="K2598" s="25" t="str">
        <f>IF(OR(E2598="",E2598="!!!",F2598="NEW"),"",INDEX(J$1:J2597,SUMPRODUCT(MAX(ROW(E$1:E2597)*(E2598=E$1:E2597)))))</f>
        <v> </v>
      </c>
      <c r="L2598" s="26"/>
    </row>
    <row r="2599" spans="1:12">
      <c r="A2599" s="20" t="s">
        <v>1137</v>
      </c>
      <c r="E2599" s="21">
        <f>IF(D2599="?OLD","!!!","")</f>
        <v/>
      </c>
      <c r="F2599" s="22" t="str">
        <f>IF(OR(E2599="",E2599="!!!"),"",IF(NOT(ISNA(VLOOKUP(E2599,E$1:E2598,1,FALSE()))),"OLD",IF(AND(E2599&lt;&gt;"",E2599&lt;&gt;"!!!"),"NEW","")))</f>
        <v> </v>
      </c>
      <c r="G2599" s="23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4" t="str">
        <f>IF(J2599&lt;&gt;1,"",IF(I2599="SBJ","CB","?"))</f>
        <v> </v>
      </c>
      <c r="I2599" s="25" t="str">
        <f>IF(OR(E2599="",E2599="!!!",F2599="NEW"),"",INDEX(B2598:B$2,-1+SUMPRODUCT(MAX(ROW(E2598:E$2)*(E2599=E2598:E$2)))))</f>
        <v> </v>
      </c>
      <c r="J2599" s="25" t="str">
        <f>IF(OR(E2599="",E2599="!!!",F2599="NEW"),"",COUNTBLANK(OFFSET(A$1,,,SUMPRODUCT(MAX(ROW(E$2:E2599)*(E2599=E$2:E2599)))))-COUNTBLANK(OFFSET(A$1,,,SUMPRODUCT(MAX(ROW(E$1:E2598)*(E2=E$1:E2598))))))</f>
        <v> </v>
      </c>
      <c r="K2599" s="25" t="str">
        <f>IF(OR(E2599="",E2599="!!!",F2599="NEW"),"",INDEX(J$1:J2598,SUMPRODUCT(MAX(ROW(E$1:E2598)*(E2599=E$1:E2598)))))</f>
        <v> </v>
      </c>
      <c r="L2599" s="26"/>
    </row>
    <row r="2600" spans="1:12">
      <c r="A2600" s="20" t="s">
        <v>646</v>
      </c>
      <c r="E2600" s="21">
        <f>IF(D2600="?OLD","!!!","")</f>
        <v/>
      </c>
      <c r="F2600" s="22" t="str">
        <f>IF(OR(E2600="",E2600="!!!"),"",IF(NOT(ISNA(VLOOKUP(E2600,E$1:E2599,1,FALSE()))),"OLD",IF(AND(E2600&lt;&gt;"",E2600&lt;&gt;"!!!"),"NEW","")))</f>
        <v> </v>
      </c>
      <c r="G2600" s="23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4" t="str">
        <f>IF(J2600&lt;&gt;1,"",IF(I2600="SBJ","CB","?"))</f>
        <v> </v>
      </c>
      <c r="I2600" s="25" t="str">
        <f>IF(OR(E2600="",E2600="!!!",F2600="NEW"),"",INDEX(B2599:B$2,-1+SUMPRODUCT(MAX(ROW(E2599:E$2)*(E2600=E2599:E$2)))))</f>
        <v> </v>
      </c>
      <c r="J2600" s="25" t="str">
        <f>IF(OR(E2600="",E2600="!!!",F2600="NEW"),"",COUNTBLANK(OFFSET(A$1,,,SUMPRODUCT(MAX(ROW(E$2:E2600)*(E2600=E$2:E2600)))))-COUNTBLANK(OFFSET(A$1,,,SUMPRODUCT(MAX(ROW(E$1:E2599)*(E2=E$1:E2599))))))</f>
        <v> </v>
      </c>
      <c r="K2600" s="25" t="str">
        <f>IF(OR(E2600="",E2600="!!!",F2600="NEW"),"",INDEX(J$1:J2599,SUMPRODUCT(MAX(ROW(E$1:E2599)*(E2600=E$1:E2599)))))</f>
        <v> </v>
      </c>
      <c r="L2600" s="26"/>
    </row>
    <row r="2601" spans="1:12">
      <c r="A2601" s="20" t="s">
        <v>549</v>
      </c>
      <c r="E2601" s="21">
        <f>IF(D2601="?OLD","!!!","")</f>
        <v/>
      </c>
      <c r="F2601" s="22" t="str">
        <f>IF(OR(E2601="",E2601="!!!"),"",IF(NOT(ISNA(VLOOKUP(E2601,E$1:E2600,1,FALSE()))),"OLD",IF(AND(E2601&lt;&gt;"",E2601&lt;&gt;"!!!"),"NEW","")))</f>
        <v> </v>
      </c>
      <c r="G2601" s="23" t="str">
        <f>IF(OR(E2601="",E2601="!!!"),"",IF(OR(J2601=0,AND(J2601=1,K2601=1),AND(J2601=1,I2601="SBJ"),AND(J2601=1,I2601=0)),"?IN_FOCUS",IF(J2601&lt;=2,"?ACTIVATED",IF(J2601&lt;&gt;"","?FAMILIAR",IF(F2601="NEW",IF(ISNA(VLOOKUP(E2601,#REF!,1,FALSE())),"?TYPE_IDENTIFIABLE","?REFERENTIAL"),"_")))))</f>
        <v> </v>
      </c>
      <c r="H2601" s="24" t="str">
        <f>IF(J2601&lt;&gt;1,"",IF(I2601="SBJ","CB","?"))</f>
        <v> </v>
      </c>
      <c r="I2601" s="25" t="str">
        <f>IF(OR(E2601="",E2601="!!!",F2601="NEW"),"",INDEX(B2600:B$2,-1+SUMPRODUCT(MAX(ROW(E2600:E$2)*(E2601=E2600:E$2)))))</f>
        <v> </v>
      </c>
      <c r="J2601" s="25" t="str">
        <f>IF(OR(E2601="",E2601="!!!",F2601="NEW"),"",COUNTBLANK(OFFSET(A$1,,,SUMPRODUCT(MAX(ROW(E$2:E2601)*(E2601=E$2:E2601)))))-COUNTBLANK(OFFSET(A$1,,,SUMPRODUCT(MAX(ROW(E$1:E2600)*(E2=E$1:E2600))))))</f>
        <v> </v>
      </c>
      <c r="K2601" s="25" t="str">
        <f>IF(OR(E2601="",E2601="!!!",F2601="NEW"),"",INDEX(J$1:J2600,SUMPRODUCT(MAX(ROW(E$1:E2600)*(E2601=E$1:E2600)))))</f>
        <v> </v>
      </c>
      <c r="L2601" s="26"/>
    </row>
    <row r="2602" spans="1:12">
      <c r="A2602" s="20"/>
    </row>
    <row r="2603" spans="1:12">
      <c r="A2603" s="20" t="s">
        <v>1435</v>
      </c>
    </row>
    <row r="2604" spans="1:12">
      <c r="A2604" s="20" t="s">
        <v>1436</v>
      </c>
      <c r="E2604" s="21">
        <f>IF(D2604="?OLD","!!!","")</f>
        <v/>
      </c>
      <c r="F2604" s="22" t="str">
        <f>IF(OR(E2604="",E2604="!!!"),"",IF(NOT(ISNA(VLOOKUP(E2604,E$1:E2603,1,FALSE()))),"OLD",IF(AND(E2604&lt;&gt;"",E2604&lt;&gt;"!!!"),"NEW","")))</f>
        <v> </v>
      </c>
      <c r="G2604" s="23" t="str">
        <f>IF(OR(E2604="",E2604="!!!"),"",IF(OR(J2604=0,AND(J2604=1,K2604=1),AND(J2604=1,I2604="SBJ"),AND(J2604=1,I2604=0)),"?IN_FOCUS",IF(J2604&lt;=2,"?ACTIVATED",IF(J2604&lt;&gt;"","?FAMILIAR",IF(F2604="NEW",IF(ISNA(VLOOKUP(E2604,#REF!,1,FALSE())),"?TYPE_IDENTIFIABLE","?REFERENTIAL"),"_")))))</f>
        <v> </v>
      </c>
      <c r="H2604" s="24" t="str">
        <f>IF(J2604&lt;&gt;1,"",IF(I2604="SBJ","CB","?"))</f>
        <v> </v>
      </c>
      <c r="I2604" s="25" t="str">
        <f>IF(OR(E2604="",E2604="!!!",F2604="NEW"),"",INDEX(B2603:B$2,-1+SUMPRODUCT(MAX(ROW(E2603:E$2)*(E2604=E2603:E$2)))))</f>
        <v> </v>
      </c>
      <c r="J2604" s="25" t="str">
        <f>IF(OR(E2604="",E2604="!!!",F2604="NEW"),"",COUNTBLANK(OFFSET(A$1,,,SUMPRODUCT(MAX(ROW(E$2:E2604)*(E2604=E$2:E2604)))))-COUNTBLANK(OFFSET(A$1,,,SUMPRODUCT(MAX(ROW(E$1:E2603)*(E2=E$1:E2603))))))</f>
        <v> </v>
      </c>
      <c r="K2604" s="25" t="str">
        <f>IF(OR(E2604="",E2604="!!!",F2604="NEW"),"",INDEX(J$1:J2603,SUMPRODUCT(MAX(ROW(E$1:E2603)*(E2604=E$1:E2603)))))</f>
        <v> </v>
      </c>
      <c r="L2604" s="26"/>
    </row>
    <row r="2605" spans="1:12">
      <c r="A2605" s="20" t="s">
        <v>1437</v>
      </c>
      <c r="B2605" s="27" t="s">
        <v>680</v>
      </c>
      <c r="C2605" s="27" t="s">
        <v>637</v>
      </c>
      <c r="D2605" s="27" t="s">
        <v>524</v>
      </c>
      <c r="E2605" s="21">
        <f>IF(D2605="?OLD","!!!","")</f>
        <v/>
      </c>
      <c r="F2605" s="22" t="str">
        <f>IF(OR(E2605="",E2605="!!!"),"",IF(NOT(ISNA(VLOOKUP(E2605,E$1:E2604,1,FALSE()))),"OLD",IF(AND(E2605&lt;&gt;"",E2605&lt;&gt;"!!!"),"NEW","")))</f>
        <v> </v>
      </c>
      <c r="G2605" s="23" t="str">
        <f>IF(OR(E2605="",E2605="!!!"),"",IF(OR(J2605=0,AND(J2605=1,K2605=1),AND(J2605=1,I2605="SBJ"),AND(J2605=1,I2605=0)),"?IN_FOCUS",IF(J2605&lt;=2,"?ACTIVATED",IF(J2605&lt;&gt;"","?FAMILIAR",IF(F2605="NEW",IF(ISNA(VLOOKUP(E2605,#REF!,1,FALSE())),"?TYPE_IDENTIFIABLE","?REFERENTIAL"),"_")))))</f>
        <v> </v>
      </c>
      <c r="H2605" s="24" t="str">
        <f>IF(J2605&lt;&gt;1,"",IF(I2605="SBJ","CB","?"))</f>
        <v> </v>
      </c>
      <c r="I2605" s="25" t="str">
        <f>IF(OR(E2605="",E2605="!!!",F2605="NEW"),"",INDEX(B2604:B$2,-1+SUMPRODUCT(MAX(ROW(E2604:E$2)*(E2605=E2604:E$2)))))</f>
        <v> </v>
      </c>
      <c r="J2605" s="25" t="str">
        <f>IF(OR(E2605="",E2605="!!!",F2605="NEW"),"",COUNTBLANK(OFFSET(A$1,,,SUMPRODUCT(MAX(ROW(E$2:E2605)*(E2605=E$2:E2605)))))-COUNTBLANK(OFFSET(A$1,,,SUMPRODUCT(MAX(ROW(E$1:E2604)*(E2=E$1:E2604))))))</f>
        <v> </v>
      </c>
      <c r="K2605" s="25" t="str">
        <f>IF(OR(E2605="",E2605="!!!",F2605="NEW"),"",INDEX(J$1:J2604,SUMPRODUCT(MAX(ROW(E$1:E2604)*(E2605=E$1:E2604)))))</f>
        <v> </v>
      </c>
      <c r="L2605" s="26"/>
    </row>
    <row r="2606" spans="1:12">
      <c r="A2606" s="20" t="s">
        <v>646</v>
      </c>
      <c r="E2606" s="21">
        <f>IF(D2606="?OLD","!!!","")</f>
        <v/>
      </c>
      <c r="F2606" s="22" t="str">
        <f>IF(OR(E2606="",E2606="!!!"),"",IF(NOT(ISNA(VLOOKUP(E2606,E$1:E2605,1,FALSE()))),"OLD",IF(AND(E2606&lt;&gt;"",E2606&lt;&gt;"!!!"),"NEW","")))</f>
        <v> </v>
      </c>
      <c r="G2606" s="23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4" t="str">
        <f>IF(J2606&lt;&gt;1,"",IF(I2606="SBJ","CB","?"))</f>
        <v> </v>
      </c>
      <c r="I2606" s="25" t="str">
        <f>IF(OR(E2606="",E2606="!!!",F2606="NEW"),"",INDEX(B2605:B$2,-1+SUMPRODUCT(MAX(ROW(E2605:E$2)*(E2606=E2605:E$2)))))</f>
        <v> </v>
      </c>
      <c r="J2606" s="25" t="str">
        <f>IF(OR(E2606="",E2606="!!!",F2606="NEW"),"",COUNTBLANK(OFFSET(A$1,,,SUMPRODUCT(MAX(ROW(E$2:E2606)*(E2606=E$2:E2606)))))-COUNTBLANK(OFFSET(A$1,,,SUMPRODUCT(MAX(ROW(E$1:E2605)*(E2=E$1:E2605))))))</f>
        <v> </v>
      </c>
      <c r="K2606" s="25" t="str">
        <f>IF(OR(E2606="",E2606="!!!",F2606="NEW"),"",INDEX(J$1:J2605,SUMPRODUCT(MAX(ROW(E$1:E2605)*(E2606=E$1:E2605)))))</f>
        <v> </v>
      </c>
      <c r="L2606" s="26"/>
    </row>
    <row r="2607" spans="1:12">
      <c r="A2607" s="20" t="s">
        <v>571</v>
      </c>
      <c r="E2607" s="21">
        <f>IF(D2607="?OLD","!!!","")</f>
        <v/>
      </c>
      <c r="F2607" s="22" t="str">
        <f>IF(OR(E2607="",E2607="!!!"),"",IF(NOT(ISNA(VLOOKUP(E2607,E$1:E2606,1,FALSE()))),"OLD",IF(AND(E2607&lt;&gt;"",E2607&lt;&gt;"!!!"),"NEW","")))</f>
        <v> </v>
      </c>
      <c r="G2607" s="23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4" t="str">
        <f>IF(J2607&lt;&gt;1,"",IF(I2607="SBJ","CB","?"))</f>
        <v> </v>
      </c>
      <c r="I2607" s="25" t="str">
        <f>IF(OR(E2607="",E2607="!!!",F2607="NEW"),"",INDEX(B2606:B$2,-1+SUMPRODUCT(MAX(ROW(E2606:E$2)*(E2607=E2606:E$2)))))</f>
        <v> </v>
      </c>
      <c r="J2607" s="25" t="str">
        <f>IF(OR(E2607="",E2607="!!!",F2607="NEW"),"",COUNTBLANK(OFFSET(A$1,,,SUMPRODUCT(MAX(ROW(E$2:E2607)*(E2607=E$2:E2607)))))-COUNTBLANK(OFFSET(A$1,,,SUMPRODUCT(MAX(ROW(E$1:E2606)*(E2=E$1:E2606))))))</f>
        <v> </v>
      </c>
      <c r="K2607" s="25" t="str">
        <f>IF(OR(E2607="",E2607="!!!",F2607="NEW"),"",INDEX(J$1:J2606,SUMPRODUCT(MAX(ROW(E$1:E2606)*(E2607=E$1:E2606)))))</f>
        <v> </v>
      </c>
      <c r="L2607" s="26"/>
    </row>
    <row r="2608" spans="1:12">
      <c r="A2608" s="20" t="s">
        <v>844</v>
      </c>
      <c r="B2608" s="27" t="s">
        <v>592</v>
      </c>
      <c r="C2608" s="27" t="s">
        <v>548</v>
      </c>
      <c r="D2608" s="27" t="s">
        <v>524</v>
      </c>
      <c r="E2608" s="21">
        <f>IF(D2608="?OLD","!!!","")</f>
        <v/>
      </c>
      <c r="F2608" s="22" t="str">
        <f>IF(OR(E2608="",E2608="!!!"),"",IF(NOT(ISNA(VLOOKUP(E2608,E$1:E2607,1,FALSE()))),"OLD",IF(AND(E2608&lt;&gt;"",E2608&lt;&gt;"!!!"),"NEW","")))</f>
        <v> </v>
      </c>
      <c r="G2608" s="23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4" t="str">
        <f>IF(J2608&lt;&gt;1,"",IF(I2608="SBJ","CB","?"))</f>
        <v> </v>
      </c>
      <c r="I2608" s="25" t="str">
        <f>IF(OR(E2608="",E2608="!!!",F2608="NEW"),"",INDEX(B2607:B$2,-1+SUMPRODUCT(MAX(ROW(E2607:E$2)*(E2608=E2607:E$2)))))</f>
        <v> </v>
      </c>
      <c r="J2608" s="25" t="str">
        <f>IF(OR(E2608="",E2608="!!!",F2608="NEW"),"",COUNTBLANK(OFFSET(A$1,,,SUMPRODUCT(MAX(ROW(E$2:E2608)*(E2608=E$2:E2608)))))-COUNTBLANK(OFFSET(A$1,,,SUMPRODUCT(MAX(ROW(E$1:E2607)*(E2=E$1:E2607))))))</f>
        <v> </v>
      </c>
      <c r="K2608" s="25" t="str">
        <f>IF(OR(E2608="",E2608="!!!",F2608="NEW"),"",INDEX(J$1:J2607,SUMPRODUCT(MAX(ROW(E$1:E2607)*(E2608=E$1:E2607)))))</f>
        <v> </v>
      </c>
      <c r="L2608" s="26"/>
    </row>
    <row r="2609" spans="1:12">
      <c r="A2609" s="20" t="s">
        <v>1438</v>
      </c>
      <c r="B2609" s="27" t="s">
        <v>592</v>
      </c>
      <c r="C2609" s="27" t="s">
        <v>548</v>
      </c>
      <c r="D2609" s="27" t="s">
        <v>524</v>
      </c>
      <c r="E2609" s="21">
        <f>IF(D2609="?OLD","!!!","")</f>
        <v/>
      </c>
      <c r="F2609" s="22" t="str">
        <f>IF(OR(E2609="",E2609="!!!"),"",IF(NOT(ISNA(VLOOKUP(E2609,E$1:E2608,1,FALSE()))),"OLD",IF(AND(E2609&lt;&gt;"",E2609&lt;&gt;"!!!"),"NEW","")))</f>
        <v> </v>
      </c>
      <c r="G2609" s="23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4" t="str">
        <f>IF(J2609&lt;&gt;1,"",IF(I2609="SBJ","CB","?"))</f>
        <v> </v>
      </c>
      <c r="I2609" s="25" t="str">
        <f>IF(OR(E2609="",E2609="!!!",F2609="NEW"),"",INDEX(B2608:B$2,-1+SUMPRODUCT(MAX(ROW(E2608:E$2)*(E2609=E2608:E$2)))))</f>
        <v> </v>
      </c>
      <c r="J2609" s="25" t="str">
        <f>IF(OR(E2609="",E2609="!!!",F2609="NEW"),"",COUNTBLANK(OFFSET(A$1,,,SUMPRODUCT(MAX(ROW(E$2:E2609)*(E2609=E$2:E2609)))))-COUNTBLANK(OFFSET(A$1,,,SUMPRODUCT(MAX(ROW(E$1:E2608)*(E2=E$1:E2608))))))</f>
        <v> </v>
      </c>
      <c r="K2609" s="25" t="str">
        <f>IF(OR(E2609="",E2609="!!!",F2609="NEW"),"",INDEX(J$1:J2608,SUMPRODUCT(MAX(ROW(E$1:E2608)*(E2609=E$1:E2608)))))</f>
        <v> </v>
      </c>
      <c r="L2609" s="26"/>
    </row>
    <row r="2610" spans="1:12">
      <c r="A2610" s="20" t="s">
        <v>565</v>
      </c>
      <c r="E2610" s="21">
        <f>IF(D2610="?OLD","!!!","")</f>
        <v/>
      </c>
      <c r="F2610" s="22" t="str">
        <f>IF(OR(E2610="",E2610="!!!"),"",IF(NOT(ISNA(VLOOKUP(E2610,E$1:E2609,1,FALSE()))),"OLD",IF(AND(E2610&lt;&gt;"",E2610&lt;&gt;"!!!"),"NEW","")))</f>
        <v> </v>
      </c>
      <c r="G2610" s="23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4" t="str">
        <f>IF(J2610&lt;&gt;1,"",IF(I2610="SBJ","CB","?"))</f>
        <v> </v>
      </c>
      <c r="I2610" s="25" t="str">
        <f>IF(OR(E2610="",E2610="!!!",F2610="NEW"),"",INDEX(B2609:B$2,-1+SUMPRODUCT(MAX(ROW(E2609:E$2)*(E2610=E2609:E$2)))))</f>
        <v> </v>
      </c>
      <c r="J2610" s="25" t="str">
        <f>IF(OR(E2610="",E2610="!!!",F2610="NEW"),"",COUNTBLANK(OFFSET(A$1,,,SUMPRODUCT(MAX(ROW(E$2:E2610)*(E2610=E$2:E2610)))))-COUNTBLANK(OFFSET(A$1,,,SUMPRODUCT(MAX(ROW(E$1:E2609)*(E2=E$1:E2609))))))</f>
        <v> </v>
      </c>
      <c r="K2610" s="25" t="str">
        <f>IF(OR(E2610="",E2610="!!!",F2610="NEW"),"",INDEX(J$1:J2609,SUMPRODUCT(MAX(ROW(E$1:E2609)*(E2610=E$1:E2609)))))</f>
        <v> </v>
      </c>
      <c r="L2610" s="26"/>
    </row>
    <row r="2611" spans="1:12">
      <c r="A2611" s="20" t="s">
        <v>538</v>
      </c>
      <c r="E2611" s="21">
        <f>IF(D2611="?OLD","!!!","")</f>
        <v/>
      </c>
      <c r="F2611" s="22" t="str">
        <f>IF(OR(E2611="",E2611="!!!"),"",IF(NOT(ISNA(VLOOKUP(E2611,E$1:E2610,1,FALSE()))),"OLD",IF(AND(E2611&lt;&gt;"",E2611&lt;&gt;"!!!"),"NEW","")))</f>
        <v> </v>
      </c>
      <c r="G2611" s="23" t="str">
        <f>IF(OR(E2611="",E2611="!!!"),"",IF(OR(J2611=0,AND(J2611=1,K2611=1),AND(J2611=1,I2611="SBJ"),AND(J2611=1,I2611=0)),"?IN_FOCUS",IF(J2611&lt;=2,"?ACTIVATED",IF(J2611&lt;&gt;"","?FAMILIAR",IF(F2611="NEW",IF(ISNA(VLOOKUP(E2611,#REF!,1,FALSE())),"?TYPE_IDENTIFIABLE","?REFERENTIAL"),"_")))))</f>
        <v> </v>
      </c>
      <c r="H2611" s="24" t="str">
        <f>IF(J2611&lt;&gt;1,"",IF(I2611="SBJ","CB","?"))</f>
        <v> </v>
      </c>
      <c r="I2611" s="25" t="str">
        <f>IF(OR(E2611="",E2611="!!!",F2611="NEW"),"",INDEX(B2610:B$2,-1+SUMPRODUCT(MAX(ROW(E2610:E$2)*(E2611=E2610:E$2)))))</f>
        <v> </v>
      </c>
      <c r="J2611" s="25" t="str">
        <f>IF(OR(E2611="",E2611="!!!",F2611="NEW"),"",COUNTBLANK(OFFSET(A$1,,,SUMPRODUCT(MAX(ROW(E$2:E2611)*(E2611=E$2:E2611)))))-COUNTBLANK(OFFSET(A$1,,,SUMPRODUCT(MAX(ROW(E$1:E2610)*(E2=E$1:E2610))))))</f>
        <v> </v>
      </c>
      <c r="K2611" s="25" t="str">
        <f>IF(OR(E2611="",E2611="!!!",F2611="NEW"),"",INDEX(J$1:J2610,SUMPRODUCT(MAX(ROW(E$1:E2610)*(E2611=E$1:E2610)))))</f>
        <v> </v>
      </c>
      <c r="L2611" s="26"/>
    </row>
    <row r="2612" spans="1:12">
      <c r="A2612" s="20" t="s">
        <v>1437</v>
      </c>
      <c r="B2612" s="27" t="s">
        <v>592</v>
      </c>
      <c r="C2612" s="27" t="s">
        <v>527</v>
      </c>
      <c r="E2612" s="21">
        <f>IF(D2612="?OLD","!!!","")</f>
        <v/>
      </c>
      <c r="F2612" s="22" t="str">
        <f>IF(OR(E2612="",E2612="!!!"),"",IF(NOT(ISNA(VLOOKUP(E2612,E$1:E2611,1,FALSE()))),"OLD",IF(AND(E2612&lt;&gt;"",E2612&lt;&gt;"!!!"),"NEW","")))</f>
        <v> </v>
      </c>
      <c r="G2612" s="23" t="str">
        <f>IF(OR(E2612="",E2612="!!!"),"",IF(OR(J2612=0,AND(J2612=1,K2612=1),AND(J2612=1,I2612="SBJ"),AND(J2612=1,I2612=0)),"?IN_FOCUS",IF(J2612&lt;=2,"?ACTIVATED",IF(J2612&lt;&gt;"","?FAMILIAR",IF(F2612="NEW",IF(ISNA(VLOOKUP(E2612,#REF!,1,FALSE())),"?TYPE_IDENTIFIABLE","?REFERENTIAL"),"_")))))</f>
        <v> </v>
      </c>
      <c r="H2612" s="24" t="str">
        <f>IF(J2612&lt;&gt;1,"",IF(I2612="SBJ","CB","?"))</f>
        <v> </v>
      </c>
      <c r="I2612" s="25" t="str">
        <f>IF(OR(E2612="",E2612="!!!",F2612="NEW"),"",INDEX(B2611:B$2,-1+SUMPRODUCT(MAX(ROW(E2611:E$2)*(E2612=E2611:E$2)))))</f>
        <v> </v>
      </c>
      <c r="J2612" s="25" t="str">
        <f>IF(OR(E2612="",E2612="!!!",F2612="NEW"),"",COUNTBLANK(OFFSET(A$1,,,SUMPRODUCT(MAX(ROW(E$2:E2612)*(E2612=E$2:E2612)))))-COUNTBLANK(OFFSET(A$1,,,SUMPRODUCT(MAX(ROW(E$1:E2611)*(E2=E$1:E2611))))))</f>
        <v> </v>
      </c>
      <c r="K2612" s="25" t="str">
        <f>IF(OR(E2612="",E2612="!!!",F2612="NEW"),"",INDEX(J$1:J2611,SUMPRODUCT(MAX(ROW(E$1:E2611)*(E2612=E$1:E2611)))))</f>
        <v> </v>
      </c>
      <c r="L2612" s="26"/>
    </row>
    <row r="2613" spans="1:12">
      <c r="A2613" s="20" t="s">
        <v>528</v>
      </c>
      <c r="B2613" s="27" t="s">
        <v>556</v>
      </c>
      <c r="E2613" s="21">
        <f>IF(D2613="?OLD","!!!","")</f>
        <v/>
      </c>
      <c r="F2613" s="22" t="str">
        <f>IF(OR(E2613="",E2613="!!!"),"",IF(NOT(ISNA(VLOOKUP(E2613,E$1:E2612,1,FALSE()))),"OLD",IF(AND(E2613&lt;&gt;"",E2613&lt;&gt;"!!!"),"NEW","")))</f>
        <v> </v>
      </c>
      <c r="G2613" s="23" t="str">
        <f>IF(OR(E2613="",E2613="!!!"),"",IF(OR(J2613=0,AND(J2613=1,K2613=1),AND(J2613=1,I2613="SBJ"),AND(J2613=1,I2613=0)),"?IN_FOCUS",IF(J2613&lt;=2,"?ACTIVATED",IF(J2613&lt;&gt;"","?FAMILIAR",IF(F2613="NEW",IF(ISNA(VLOOKUP(E2613,#REF!,1,FALSE())),"?TYPE_IDENTIFIABLE","?REFERENTIAL"),"_")))))</f>
        <v> </v>
      </c>
      <c r="H2613" s="24" t="str">
        <f>IF(J2613&lt;&gt;1,"",IF(I2613="SBJ","CB","?"))</f>
        <v> </v>
      </c>
      <c r="I2613" s="25" t="str">
        <f>IF(OR(E2613="",E2613="!!!",F2613="NEW"),"",INDEX(B2612:B$2,-1+SUMPRODUCT(MAX(ROW(E2612:E$2)*(E2613=E2612:E$2)))))</f>
        <v> </v>
      </c>
      <c r="J2613" s="25" t="str">
        <f>IF(OR(E2613="",E2613="!!!",F2613="NEW"),"",COUNTBLANK(OFFSET(A$1,,,SUMPRODUCT(MAX(ROW(E$2:E2613)*(E2613=E$2:E2613)))))-COUNTBLANK(OFFSET(A$1,,,SUMPRODUCT(MAX(ROW(E$1:E2612)*(E2=E$1:E2612))))))</f>
        <v> </v>
      </c>
      <c r="K2613" s="25" t="str">
        <f>IF(OR(E2613="",E2613="!!!",F2613="NEW"),"",INDEX(J$1:J2612,SUMPRODUCT(MAX(ROW(E$1:E2612)*(E2613=E$1:E2612)))))</f>
        <v> </v>
      </c>
      <c r="L2613" s="26"/>
    </row>
    <row r="2614" spans="1:12">
      <c r="A2614" s="20" t="s">
        <v>358</v>
      </c>
      <c r="B2614" s="27" t="s">
        <v>633</v>
      </c>
      <c r="C2614" s="27" t="s">
        <v>523</v>
      </c>
      <c r="D2614" s="27" t="s">
        <v>524</v>
      </c>
      <c r="E2614" s="21">
        <f>IF(D2614="?OLD","!!!","")</f>
        <v/>
      </c>
      <c r="F2614" s="22" t="str">
        <f>IF(OR(E2614="",E2614="!!!"),"",IF(NOT(ISNA(VLOOKUP(E2614,E$1:E2613,1,FALSE()))),"OLD",IF(AND(E2614&lt;&gt;"",E2614&lt;&gt;"!!!"),"NEW","")))</f>
        <v> </v>
      </c>
      <c r="G2614" s="23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4" t="str">
        <f>IF(J2614&lt;&gt;1,"",IF(I2614="SBJ","CB","?"))</f>
        <v> </v>
      </c>
      <c r="I2614" s="25" t="str">
        <f>IF(OR(E2614="",E2614="!!!",F2614="NEW"),"",INDEX(B2613:B$2,-1+SUMPRODUCT(MAX(ROW(E2613:E$2)*(E2614=E2613:E$2)))))</f>
        <v> </v>
      </c>
      <c r="J2614" s="25" t="str">
        <f>IF(OR(E2614="",E2614="!!!",F2614="NEW"),"",COUNTBLANK(OFFSET(A$1,,,SUMPRODUCT(MAX(ROW(E$2:E2614)*(E2614=E$2:E2614)))))-COUNTBLANK(OFFSET(A$1,,,SUMPRODUCT(MAX(ROW(E$1:E2613)*(E2=E$1:E2613))))))</f>
        <v> </v>
      </c>
      <c r="K2614" s="25" t="str">
        <f>IF(OR(E2614="",E2614="!!!",F2614="NEW"),"",INDEX(J$1:J2613,SUMPRODUCT(MAX(ROW(E$1:E2613)*(E2614=E$1:E2613)))))</f>
        <v> </v>
      </c>
      <c r="L2614" s="26"/>
    </row>
    <row r="2615" spans="1:12">
      <c r="A2615" s="20" t="s">
        <v>772</v>
      </c>
      <c r="E2615" s="21">
        <f>IF(D2615="?OLD","!!!","")</f>
        <v/>
      </c>
      <c r="F2615" s="22" t="str">
        <f>IF(OR(E2615="",E2615="!!!"),"",IF(NOT(ISNA(VLOOKUP(E2615,E$1:E2614,1,FALSE()))),"OLD",IF(AND(E2615&lt;&gt;"",E2615&lt;&gt;"!!!"),"NEW","")))</f>
        <v> </v>
      </c>
      <c r="G2615" s="23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4" t="str">
        <f>IF(J2615&lt;&gt;1,"",IF(I2615="SBJ","CB","?"))</f>
        <v> </v>
      </c>
      <c r="I2615" s="25" t="str">
        <f>IF(OR(E2615="",E2615="!!!",F2615="NEW"),"",INDEX(B2614:B$2,-1+SUMPRODUCT(MAX(ROW(E2614:E$2)*(E2615=E2614:E$2)))))</f>
        <v> </v>
      </c>
      <c r="J2615" s="25" t="str">
        <f>IF(OR(E2615="",E2615="!!!",F2615="NEW"),"",COUNTBLANK(OFFSET(A$1,,,SUMPRODUCT(MAX(ROW(E$2:E2615)*(E2615=E$2:E2615)))))-COUNTBLANK(OFFSET(A$1,,,SUMPRODUCT(MAX(ROW(E$1:E2614)*(E2=E$1:E2614))))))</f>
        <v> </v>
      </c>
      <c r="K2615" s="25" t="str">
        <f>IF(OR(E2615="",E2615="!!!",F2615="NEW"),"",INDEX(J$1:J2614,SUMPRODUCT(MAX(ROW(E$1:E2614)*(E2615=E$1:E2614)))))</f>
        <v> </v>
      </c>
      <c r="L2615" s="26"/>
    </row>
    <row r="2616" spans="1:12">
      <c r="A2616" s="20" t="s">
        <v>1439</v>
      </c>
      <c r="E2616" s="21">
        <f>IF(D2616="?OLD","!!!","")</f>
        <v/>
      </c>
      <c r="F2616" s="22" t="str">
        <f>IF(OR(E2616="",E2616="!!!"),"",IF(NOT(ISNA(VLOOKUP(E2616,E$1:E2615,1,FALSE()))),"OLD",IF(AND(E2616&lt;&gt;"",E2616&lt;&gt;"!!!"),"NEW","")))</f>
        <v> </v>
      </c>
      <c r="G2616" s="23" t="str">
        <f>IF(OR(E2616="",E2616="!!!"),"",IF(OR(J2616=0,AND(J2616=1,K2616=1),AND(J2616=1,I2616="SBJ"),AND(J2616=1,I2616=0)),"?IN_FOCUS",IF(J2616&lt;=2,"?ACTIVATED",IF(J2616&lt;&gt;"","?FAMILIAR",IF(F2616="NEW",IF(ISNA(VLOOKUP(E2616,#REF!,1,FALSE())),"?TYPE_IDENTIFIABLE","?REFERENTIAL"),"_")))))</f>
        <v> </v>
      </c>
      <c r="H2616" s="24" t="str">
        <f>IF(J2616&lt;&gt;1,"",IF(I2616="SBJ","CB","?"))</f>
        <v> </v>
      </c>
      <c r="I2616" s="25" t="str">
        <f>IF(OR(E2616="",E2616="!!!",F2616="NEW"),"",INDEX(B2615:B$2,-1+SUMPRODUCT(MAX(ROW(E2615:E$2)*(E2616=E2615:E$2)))))</f>
        <v> </v>
      </c>
      <c r="J2616" s="25" t="str">
        <f>IF(OR(E2616="",E2616="!!!",F2616="NEW"),"",COUNTBLANK(OFFSET(A$1,,,SUMPRODUCT(MAX(ROW(E$2:E2616)*(E2616=E$2:E2616)))))-COUNTBLANK(OFFSET(A$1,,,SUMPRODUCT(MAX(ROW(E$1:E2615)*(E2=E$1:E2615))))))</f>
        <v> </v>
      </c>
      <c r="K2616" s="25" t="str">
        <f>IF(OR(E2616="",E2616="!!!",F2616="NEW"),"",INDEX(J$1:J2615,SUMPRODUCT(MAX(ROW(E$1:E2615)*(E2616=E$1:E2615)))))</f>
        <v> </v>
      </c>
      <c r="L2616" s="26"/>
    </row>
    <row r="2617" spans="1:12">
      <c r="A2617" s="20" t="s">
        <v>560</v>
      </c>
      <c r="E2617" s="21">
        <f>IF(D2617="?OLD","!!!","")</f>
        <v/>
      </c>
      <c r="F2617" s="22" t="str">
        <f>IF(OR(E2617="",E2617="!!!"),"",IF(NOT(ISNA(VLOOKUP(E2617,E$1:E2616,1,FALSE()))),"OLD",IF(AND(E2617&lt;&gt;"",E2617&lt;&gt;"!!!"),"NEW","")))</f>
        <v> </v>
      </c>
      <c r="G2617" s="23" t="str">
        <f>IF(OR(E2617="",E2617="!!!"),"",IF(OR(J2617=0,AND(J2617=1,K2617=1),AND(J2617=1,I2617="SBJ"),AND(J2617=1,I2617=0)),"?IN_FOCUS",IF(J2617&lt;=2,"?ACTIVATED",IF(J2617&lt;&gt;"","?FAMILIAR",IF(F2617="NEW",IF(ISNA(VLOOKUP(E2617,#REF!,1,FALSE())),"?TYPE_IDENTIFIABLE","?REFERENTIAL"),"_")))))</f>
        <v> </v>
      </c>
      <c r="H2617" s="24" t="str">
        <f>IF(J2617&lt;&gt;1,"",IF(I2617="SBJ","CB","?"))</f>
        <v> </v>
      </c>
      <c r="I2617" s="25" t="str">
        <f>IF(OR(E2617="",E2617="!!!",F2617="NEW"),"",INDEX(B2616:B$2,-1+SUMPRODUCT(MAX(ROW(E2616:E$2)*(E2617=E2616:E$2)))))</f>
        <v> </v>
      </c>
      <c r="J2617" s="25" t="str">
        <f>IF(OR(E2617="",E2617="!!!",F2617="NEW"),"",COUNTBLANK(OFFSET(A$1,,,SUMPRODUCT(MAX(ROW(E$2:E2617)*(E2617=E$2:E2617)))))-COUNTBLANK(OFFSET(A$1,,,SUMPRODUCT(MAX(ROW(E$1:E2616)*(E2=E$1:E2616))))))</f>
        <v> </v>
      </c>
      <c r="K2617" s="25" t="str">
        <f>IF(OR(E2617="",E2617="!!!",F2617="NEW"),"",INDEX(J$1:J2616,SUMPRODUCT(MAX(ROW(E$1:E2616)*(E2617=E$1:E2616)))))</f>
        <v> </v>
      </c>
      <c r="L2617" s="26"/>
    </row>
    <row r="2618" spans="1:12">
      <c r="A2618" s="20" t="s">
        <v>730</v>
      </c>
      <c r="E2618" s="21">
        <f>IF(D2618="?OLD","!!!","")</f>
        <v/>
      </c>
      <c r="F2618" s="22" t="str">
        <f>IF(OR(E2618="",E2618="!!!"),"",IF(NOT(ISNA(VLOOKUP(E2618,E$1:E2617,1,FALSE()))),"OLD",IF(AND(E2618&lt;&gt;"",E2618&lt;&gt;"!!!"),"NEW","")))</f>
        <v> </v>
      </c>
      <c r="G2618" s="23" t="str">
        <f>IF(OR(E2618="",E2618="!!!"),"",IF(OR(J2618=0,AND(J2618=1,K2618=1),AND(J2618=1,I2618="SBJ"),AND(J2618=1,I2618=0)),"?IN_FOCUS",IF(J2618&lt;=2,"?ACTIVATED",IF(J2618&lt;&gt;"","?FAMILIAR",IF(F2618="NEW",IF(ISNA(VLOOKUP(E2618,#REF!,1,FALSE())),"?TYPE_IDENTIFIABLE","?REFERENTIAL"),"_")))))</f>
        <v> </v>
      </c>
      <c r="H2618" s="24" t="str">
        <f>IF(J2618&lt;&gt;1,"",IF(I2618="SBJ","CB","?"))</f>
        <v> </v>
      </c>
      <c r="I2618" s="25" t="str">
        <f>IF(OR(E2618="",E2618="!!!",F2618="NEW"),"",INDEX(B2617:B$2,-1+SUMPRODUCT(MAX(ROW(E2617:E$2)*(E2618=E2617:E$2)))))</f>
        <v> </v>
      </c>
      <c r="J2618" s="25" t="str">
        <f>IF(OR(E2618="",E2618="!!!",F2618="NEW"),"",COUNTBLANK(OFFSET(A$1,,,SUMPRODUCT(MAX(ROW(E$2:E2618)*(E2618=E$2:E2618)))))-COUNTBLANK(OFFSET(A$1,,,SUMPRODUCT(MAX(ROW(E$1:E2617)*(E2=E$1:E2617))))))</f>
        <v> </v>
      </c>
      <c r="K2618" s="25" t="str">
        <f>IF(OR(E2618="",E2618="!!!",F2618="NEW"),"",INDEX(J$1:J2617,SUMPRODUCT(MAX(ROW(E$1:E2617)*(E2618=E$1:E2617)))))</f>
        <v> </v>
      </c>
      <c r="L2618" s="26"/>
    </row>
    <row r="2619" spans="1:12">
      <c r="A2619" s="20" t="s">
        <v>1440</v>
      </c>
      <c r="B2619" s="27" t="s">
        <v>544</v>
      </c>
      <c r="C2619" s="27" t="s">
        <v>545</v>
      </c>
      <c r="D2619" s="27" t="s">
        <v>524</v>
      </c>
      <c r="E2619" s="21">
        <f>IF(D2619="?OLD","!!!","")</f>
        <v/>
      </c>
      <c r="F2619" s="22" t="str">
        <f>IF(OR(E2619="",E2619="!!!"),"",IF(NOT(ISNA(VLOOKUP(E2619,E$1:E2618,1,FALSE()))),"OLD",IF(AND(E2619&lt;&gt;"",E2619&lt;&gt;"!!!"),"NEW","")))</f>
        <v> </v>
      </c>
      <c r="G2619" s="23" t="str">
        <f>IF(OR(E2619="",E2619="!!!"),"",IF(OR(J2619=0,AND(J2619=1,K2619=1),AND(J2619=1,I2619="SBJ"),AND(J2619=1,I2619=0)),"?IN_FOCUS",IF(J2619&lt;=2,"?ACTIVATED",IF(J2619&lt;&gt;"","?FAMILIAR",IF(F2619="NEW",IF(ISNA(VLOOKUP(E2619,#REF!,1,FALSE())),"?TYPE_IDENTIFIABLE","?REFERENTIAL"),"_")))))</f>
        <v> </v>
      </c>
      <c r="H2619" s="24" t="str">
        <f>IF(J2619&lt;&gt;1,"",IF(I2619="SBJ","CB","?"))</f>
        <v> </v>
      </c>
      <c r="I2619" s="25" t="str">
        <f>IF(OR(E2619="",E2619="!!!",F2619="NEW"),"",INDEX(B2618:B$2,-1+SUMPRODUCT(MAX(ROW(E2618:E$2)*(E2619=E2618:E$2)))))</f>
        <v> </v>
      </c>
      <c r="J2619" s="25" t="str">
        <f>IF(OR(E2619="",E2619="!!!",F2619="NEW"),"",COUNTBLANK(OFFSET(A$1,,,SUMPRODUCT(MAX(ROW(E$2:E2619)*(E2619=E$2:E2619)))))-COUNTBLANK(OFFSET(A$1,,,SUMPRODUCT(MAX(ROW(E$1:E2618)*(E2=E$1:E2618))))))</f>
        <v> </v>
      </c>
      <c r="K2619" s="25" t="str">
        <f>IF(OR(E2619="",E2619="!!!",F2619="NEW"),"",INDEX(J$1:J2618,SUMPRODUCT(MAX(ROW(E$1:E2618)*(E2619=E$1:E2618)))))</f>
        <v> </v>
      </c>
      <c r="L2619" s="26"/>
    </row>
    <row r="2620" spans="1:12">
      <c r="A2620" s="20" t="s">
        <v>528</v>
      </c>
      <c r="B2620" s="27" t="s">
        <v>608</v>
      </c>
      <c r="E2620" s="21">
        <f>IF(D2620="?OLD","!!!","")</f>
        <v/>
      </c>
      <c r="F2620" s="22" t="str">
        <f>IF(OR(E2620="",E2620="!!!"),"",IF(NOT(ISNA(VLOOKUP(E2620,E$1:E2619,1,FALSE()))),"OLD",IF(AND(E2620&lt;&gt;"",E2620&lt;&gt;"!!!"),"NEW","")))</f>
        <v> </v>
      </c>
      <c r="G2620" s="23" t="str">
        <f>IF(OR(E2620="",E2620="!!!"),"",IF(OR(J2620=0,AND(J2620=1,K2620=1),AND(J2620=1,I2620="SBJ"),AND(J2620=1,I2620=0)),"?IN_FOCUS",IF(J2620&lt;=2,"?ACTIVATED",IF(J2620&lt;&gt;"","?FAMILIAR",IF(F2620="NEW",IF(ISNA(VLOOKUP(E2620,#REF!,1,FALSE())),"?TYPE_IDENTIFIABLE","?REFERENTIAL"),"_")))))</f>
        <v> </v>
      </c>
      <c r="H2620" s="24" t="str">
        <f>IF(J2620&lt;&gt;1,"",IF(I2620="SBJ","CB","?"))</f>
        <v> </v>
      </c>
      <c r="I2620" s="25" t="str">
        <f>IF(OR(E2620="",E2620="!!!",F2620="NEW"),"",INDEX(B2619:B$2,-1+SUMPRODUCT(MAX(ROW(E2619:E$2)*(E2620=E2619:E$2)))))</f>
        <v> </v>
      </c>
      <c r="J2620" s="25" t="str">
        <f>IF(OR(E2620="",E2620="!!!",F2620="NEW"),"",COUNTBLANK(OFFSET(A$1,,,SUMPRODUCT(MAX(ROW(E$2:E2620)*(E2620=E$2:E2620)))))-COUNTBLANK(OFFSET(A$1,,,SUMPRODUCT(MAX(ROW(E$1:E2619)*(E2=E$1:E2619))))))</f>
        <v> </v>
      </c>
      <c r="K2620" s="25" t="str">
        <f>IF(OR(E2620="",E2620="!!!",F2620="NEW"),"",INDEX(J$1:J2619,SUMPRODUCT(MAX(ROW(E$1:E2619)*(E2620=E$1:E2619)))))</f>
        <v> </v>
      </c>
      <c r="L2620" s="26"/>
    </row>
    <row r="2621" spans="1:12">
      <c r="A2621" s="20" t="s">
        <v>542</v>
      </c>
      <c r="E2621" s="21">
        <f>IF(D2621="?OLD","!!!","")</f>
        <v/>
      </c>
      <c r="F2621" s="22" t="str">
        <f>IF(OR(E2621="",E2621="!!!"),"",IF(NOT(ISNA(VLOOKUP(E2621,E$1:E2620,1,FALSE()))),"OLD",IF(AND(E2621&lt;&gt;"",E2621&lt;&gt;"!!!"),"NEW","")))</f>
        <v> </v>
      </c>
      <c r="G2621" s="23" t="str">
        <f>IF(OR(E2621="",E2621="!!!"),"",IF(OR(J2621=0,AND(J2621=1,K2621=1),AND(J2621=1,I2621="SBJ"),AND(J2621=1,I2621=0)),"?IN_FOCUS",IF(J2621&lt;=2,"?ACTIVATED",IF(J2621&lt;&gt;"","?FAMILIAR",IF(F2621="NEW",IF(ISNA(VLOOKUP(E2621,#REF!,1,FALSE())),"?TYPE_IDENTIFIABLE","?REFERENTIAL"),"_")))))</f>
        <v> </v>
      </c>
      <c r="H2621" s="24" t="str">
        <f>IF(J2621&lt;&gt;1,"",IF(I2621="SBJ","CB","?"))</f>
        <v> </v>
      </c>
      <c r="I2621" s="25" t="str">
        <f>IF(OR(E2621="",E2621="!!!",F2621="NEW"),"",INDEX(B2620:B$2,-1+SUMPRODUCT(MAX(ROW(E2620:E$2)*(E2621=E2620:E$2)))))</f>
        <v> </v>
      </c>
      <c r="J2621" s="25" t="str">
        <f>IF(OR(E2621="",E2621="!!!",F2621="NEW"),"",COUNTBLANK(OFFSET(A$1,,,SUMPRODUCT(MAX(ROW(E$2:E2621)*(E2621=E$2:E2621)))))-COUNTBLANK(OFFSET(A$1,,,SUMPRODUCT(MAX(ROW(E$1:E2620)*(E2=E$1:E2620))))))</f>
        <v> </v>
      </c>
      <c r="K2621" s="25" t="str">
        <f>IF(OR(E2621="",E2621="!!!",F2621="NEW"),"",INDEX(J$1:J2620,SUMPRODUCT(MAX(ROW(E$1:E2620)*(E2621=E$1:E2620)))))</f>
        <v> </v>
      </c>
      <c r="L2621" s="26"/>
    </row>
    <row r="2622" spans="1:12">
      <c r="A2622" s="20" t="s">
        <v>700</v>
      </c>
      <c r="B2622" s="27" t="s">
        <v>699</v>
      </c>
      <c r="C2622" s="27" t="s">
        <v>669</v>
      </c>
      <c r="D2622" s="27" t="s">
        <v>524</v>
      </c>
      <c r="E2622" s="21">
        <f>IF(D2622="?OLD","!!!","")</f>
        <v/>
      </c>
      <c r="F2622" s="22" t="str">
        <f>IF(OR(E2622="",E2622="!!!"),"",IF(NOT(ISNA(VLOOKUP(E2622,E$1:E2621,1,FALSE()))),"OLD",IF(AND(E2622&lt;&gt;"",E2622&lt;&gt;"!!!"),"NEW","")))</f>
        <v> </v>
      </c>
      <c r="G2622" s="23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4" t="str">
        <f>IF(J2622&lt;&gt;1,"",IF(I2622="SBJ","CB","?"))</f>
        <v> </v>
      </c>
      <c r="I2622" s="25" t="str">
        <f>IF(OR(E2622="",E2622="!!!",F2622="NEW"),"",INDEX(B2621:B$2,-1+SUMPRODUCT(MAX(ROW(E2621:E$2)*(E2622=E2621:E$2)))))</f>
        <v> </v>
      </c>
      <c r="J2622" s="25" t="str">
        <f>IF(OR(E2622="",E2622="!!!",F2622="NEW"),"",COUNTBLANK(OFFSET(A$1,,,SUMPRODUCT(MAX(ROW(E$2:E2622)*(E2622=E$2:E2622)))))-COUNTBLANK(OFFSET(A$1,,,SUMPRODUCT(MAX(ROW(E$1:E2621)*(E2=E$1:E2621))))))</f>
        <v> </v>
      </c>
      <c r="K2622" s="25" t="str">
        <f>IF(OR(E2622="",E2622="!!!",F2622="NEW"),"",INDEX(J$1:J2621,SUMPRODUCT(MAX(ROW(E$1:E2621)*(E2622=E$1:E2621)))))</f>
        <v> </v>
      </c>
      <c r="L2622" s="26"/>
    </row>
    <row r="2623" spans="1:12">
      <c r="A2623" s="20" t="s">
        <v>1428</v>
      </c>
      <c r="B2623" s="27" t="s">
        <v>873</v>
      </c>
      <c r="C2623" s="27" t="s">
        <v>545</v>
      </c>
      <c r="D2623" s="27" t="s">
        <v>524</v>
      </c>
      <c r="E2623" s="21">
        <f>IF(D2623="?OLD","!!!","")</f>
        <v/>
      </c>
      <c r="F2623" s="22" t="str">
        <f>IF(OR(E2623="",E2623="!!!"),"",IF(NOT(ISNA(VLOOKUP(E2623,E$1:E2622,1,FALSE()))),"OLD",IF(AND(E2623&lt;&gt;"",E2623&lt;&gt;"!!!"),"NEW","")))</f>
        <v> </v>
      </c>
      <c r="G2623" s="23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4" t="str">
        <f>IF(J2623&lt;&gt;1,"",IF(I2623="SBJ","CB","?"))</f>
        <v> </v>
      </c>
      <c r="I2623" s="25" t="str">
        <f>IF(OR(E2623="",E2623="!!!",F2623="NEW"),"",INDEX(B2622:B$2,-1+SUMPRODUCT(MAX(ROW(E2622:E$2)*(E2623=E2622:E$2)))))</f>
        <v> </v>
      </c>
      <c r="J2623" s="25" t="str">
        <f>IF(OR(E2623="",E2623="!!!",F2623="NEW"),"",COUNTBLANK(OFFSET(A$1,,,SUMPRODUCT(MAX(ROW(E$2:E2623)*(E2623=E$2:E2623)))))-COUNTBLANK(OFFSET(A$1,,,SUMPRODUCT(MAX(ROW(E$1:E2622)*(E2=E$1:E2622))))))</f>
        <v> </v>
      </c>
      <c r="K2623" s="25" t="str">
        <f>IF(OR(E2623="",E2623="!!!",F2623="NEW"),"",INDEX(J$1:J2622,SUMPRODUCT(MAX(ROW(E$1:E2622)*(E2623=E$1:E2622)))))</f>
        <v> </v>
      </c>
      <c r="L2623" s="26"/>
    </row>
    <row r="2624" spans="1:12">
      <c r="A2624" s="20" t="s">
        <v>1441</v>
      </c>
      <c r="E2624" s="21">
        <f>IF(D2624="?OLD","!!!","")</f>
        <v/>
      </c>
      <c r="F2624" s="22" t="str">
        <f>IF(OR(E2624="",E2624="!!!"),"",IF(NOT(ISNA(VLOOKUP(E2624,E$1:E2623,1,FALSE()))),"OLD",IF(AND(E2624&lt;&gt;"",E2624&lt;&gt;"!!!"),"NEW","")))</f>
        <v> </v>
      </c>
      <c r="G2624" s="23" t="str">
        <f>IF(OR(E2624="",E2624="!!!"),"",IF(OR(J2624=0,AND(J2624=1,K2624=1),AND(J2624=1,I2624="SBJ"),AND(J2624=1,I2624=0)),"?IN_FOCUS",IF(J2624&lt;=2,"?ACTIVATED",IF(J2624&lt;&gt;"","?FAMILIAR",IF(F2624="NEW",IF(ISNA(VLOOKUP(E2624,#REF!,1,FALSE())),"?TYPE_IDENTIFIABLE","?REFERENTIAL"),"_")))))</f>
        <v> </v>
      </c>
      <c r="H2624" s="24" t="str">
        <f>IF(J2624&lt;&gt;1,"",IF(I2624="SBJ","CB","?"))</f>
        <v> </v>
      </c>
      <c r="I2624" s="25" t="str">
        <f>IF(OR(E2624="",E2624="!!!",F2624="NEW"),"",INDEX(B2623:B$2,-1+SUMPRODUCT(MAX(ROW(E2623:E$2)*(E2624=E2623:E$2)))))</f>
        <v> </v>
      </c>
      <c r="J2624" s="25" t="str">
        <f>IF(OR(E2624="",E2624="!!!",F2624="NEW"),"",COUNTBLANK(OFFSET(A$1,,,SUMPRODUCT(MAX(ROW(E$2:E2624)*(E2624=E$2:E2624)))))-COUNTBLANK(OFFSET(A$1,,,SUMPRODUCT(MAX(ROW(E$1:E2623)*(E2=E$1:E2623))))))</f>
        <v> </v>
      </c>
      <c r="K2624" s="25" t="str">
        <f>IF(OR(E2624="",E2624="!!!",F2624="NEW"),"",INDEX(J$1:J2623,SUMPRODUCT(MAX(ROW(E$1:E2623)*(E2624=E$1:E2623)))))</f>
        <v> </v>
      </c>
      <c r="L2624" s="26"/>
    </row>
    <row r="2625" spans="1:12">
      <c r="A2625" s="20" t="s">
        <v>518</v>
      </c>
      <c r="E2625" s="21">
        <f>IF(D2625="?OLD","!!!","")</f>
        <v/>
      </c>
      <c r="F2625" s="22" t="str">
        <f>IF(OR(E2625="",E2625="!!!"),"",IF(NOT(ISNA(VLOOKUP(E2625,E$1:E2624,1,FALSE()))),"OLD",IF(AND(E2625&lt;&gt;"",E2625&lt;&gt;"!!!"),"NEW","")))</f>
        <v> </v>
      </c>
      <c r="G2625" s="23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4" t="str">
        <f>IF(J2625&lt;&gt;1,"",IF(I2625="SBJ","CB","?"))</f>
        <v> </v>
      </c>
      <c r="I2625" s="25" t="str">
        <f>IF(OR(E2625="",E2625="!!!",F2625="NEW"),"",INDEX(B2624:B$2,-1+SUMPRODUCT(MAX(ROW(E2624:E$2)*(E2625=E2624:E$2)))))</f>
        <v> </v>
      </c>
      <c r="J2625" s="25" t="str">
        <f>IF(OR(E2625="",E2625="!!!",F2625="NEW"),"",COUNTBLANK(OFFSET(A$1,,,SUMPRODUCT(MAX(ROW(E$2:E2625)*(E2625=E$2:E2625)))))-COUNTBLANK(OFFSET(A$1,,,SUMPRODUCT(MAX(ROW(E$1:E2624)*(E2=E$1:E2624))))))</f>
        <v> </v>
      </c>
      <c r="K2625" s="25" t="str">
        <f>IF(OR(E2625="",E2625="!!!",F2625="NEW"),"",INDEX(J$1:J2624,SUMPRODUCT(MAX(ROW(E$1:E2624)*(E2625=E$1:E2624)))))</f>
        <v> </v>
      </c>
      <c r="L2625" s="26"/>
    </row>
    <row r="2626" spans="1:12">
      <c r="A2626" s="20" t="s">
        <v>571</v>
      </c>
      <c r="E2626" s="21">
        <f>IF(D2626="?OLD","!!!","")</f>
        <v/>
      </c>
      <c r="F2626" s="22" t="str">
        <f>IF(OR(E2626="",E2626="!!!"),"",IF(NOT(ISNA(VLOOKUP(E2626,E$1:E2625,1,FALSE()))),"OLD",IF(AND(E2626&lt;&gt;"",E2626&lt;&gt;"!!!"),"NEW","")))</f>
        <v> </v>
      </c>
      <c r="G2626" s="23" t="str">
        <f>IF(OR(E2626="",E2626="!!!"),"",IF(OR(J2626=0,AND(J2626=1,K2626=1),AND(J2626=1,I2626="SBJ"),AND(J2626=1,I2626=0)),"?IN_FOCUS",IF(J2626&lt;=2,"?ACTIVATED",IF(J2626&lt;&gt;"","?FAMILIAR",IF(F2626="NEW",IF(ISNA(VLOOKUP(E2626,#REF!,1,FALSE())),"?TYPE_IDENTIFIABLE","?REFERENTIAL"),"_")))))</f>
        <v> </v>
      </c>
      <c r="H2626" s="24" t="str">
        <f>IF(J2626&lt;&gt;1,"",IF(I2626="SBJ","CB","?"))</f>
        <v> </v>
      </c>
      <c r="I2626" s="25" t="str">
        <f>IF(OR(E2626="",E2626="!!!",F2626="NEW"),"",INDEX(B2625:B$2,-1+SUMPRODUCT(MAX(ROW(E2625:E$2)*(E2626=E2625:E$2)))))</f>
        <v> </v>
      </c>
      <c r="J2626" s="25" t="str">
        <f>IF(OR(E2626="",E2626="!!!",F2626="NEW"),"",COUNTBLANK(OFFSET(A$1,,,SUMPRODUCT(MAX(ROW(E$2:E2626)*(E2626=E$2:E2626)))))-COUNTBLANK(OFFSET(A$1,,,SUMPRODUCT(MAX(ROW(E$1:E2625)*(E2=E$1:E2625))))))</f>
        <v> </v>
      </c>
      <c r="K2626" s="25" t="str">
        <f>IF(OR(E2626="",E2626="!!!",F2626="NEW"),"",INDEX(J$1:J2625,SUMPRODUCT(MAX(ROW(E$1:E2625)*(E2626=E$1:E2625)))))</f>
        <v> </v>
      </c>
      <c r="L2626" s="26"/>
    </row>
    <row r="2627" spans="1:12">
      <c r="A2627" s="20" t="s">
        <v>912</v>
      </c>
      <c r="B2627" s="27" t="s">
        <v>641</v>
      </c>
      <c r="C2627" s="27" t="s">
        <v>540</v>
      </c>
      <c r="D2627" s="27" t="s">
        <v>524</v>
      </c>
      <c r="E2627" s="21">
        <f>IF(D2627="?OLD","!!!","")</f>
        <v/>
      </c>
      <c r="F2627" s="22" t="str">
        <f>IF(OR(E2627="",E2627="!!!"),"",IF(NOT(ISNA(VLOOKUP(E2627,E$1:E2626,1,FALSE()))),"OLD",IF(AND(E2627&lt;&gt;"",E2627&lt;&gt;"!!!"),"NEW","")))</f>
        <v> </v>
      </c>
      <c r="G2627" s="23" t="str">
        <f>IF(OR(E2627="",E2627="!!!"),"",IF(OR(J2627=0,AND(J2627=1,K2627=1),AND(J2627=1,I2627="SBJ"),AND(J2627=1,I2627=0)),"?IN_FOCUS",IF(J2627&lt;=2,"?ACTIVATED",IF(J2627&lt;&gt;"","?FAMILIAR",IF(F2627="NEW",IF(ISNA(VLOOKUP(E2627,#REF!,1,FALSE())),"?TYPE_IDENTIFIABLE","?REFERENTIAL"),"_")))))</f>
        <v> </v>
      </c>
      <c r="H2627" s="24" t="str">
        <f>IF(J2627&lt;&gt;1,"",IF(I2627="SBJ","CB","?"))</f>
        <v> </v>
      </c>
      <c r="I2627" s="25" t="str">
        <f>IF(OR(E2627="",E2627="!!!",F2627="NEW"),"",INDEX(B2626:B$2,-1+SUMPRODUCT(MAX(ROW(E2626:E$2)*(E2627=E2626:E$2)))))</f>
        <v> </v>
      </c>
      <c r="J2627" s="25" t="str">
        <f>IF(OR(E2627="",E2627="!!!",F2627="NEW"),"",COUNTBLANK(OFFSET(A$1,,,SUMPRODUCT(MAX(ROW(E$2:E2627)*(E2627=E$2:E2627)))))-COUNTBLANK(OFFSET(A$1,,,SUMPRODUCT(MAX(ROW(E$1:E2626)*(E2=E$1:E2626))))))</f>
        <v> </v>
      </c>
      <c r="K2627" s="25" t="str">
        <f>IF(OR(E2627="",E2627="!!!",F2627="NEW"),"",INDEX(J$1:J2626,SUMPRODUCT(MAX(ROW(E$1:E2626)*(E2627=E$1:E2626)))))</f>
        <v> </v>
      </c>
      <c r="L2627" s="26"/>
    </row>
    <row r="2628" spans="1:12">
      <c r="A2628" s="20" t="s">
        <v>518</v>
      </c>
      <c r="E2628" s="21">
        <f>IF(D2628="?OLD","!!!","")</f>
        <v/>
      </c>
      <c r="F2628" s="22" t="str">
        <f>IF(OR(E2628="",E2628="!!!"),"",IF(NOT(ISNA(VLOOKUP(E2628,E$1:E2627,1,FALSE()))),"OLD",IF(AND(E2628&lt;&gt;"",E2628&lt;&gt;"!!!"),"NEW","")))</f>
        <v> </v>
      </c>
      <c r="G2628" s="23" t="str">
        <f>IF(OR(E2628="",E2628="!!!"),"",IF(OR(J2628=0,AND(J2628=1,K2628=1),AND(J2628=1,I2628="SBJ"),AND(J2628=1,I2628=0)),"?IN_FOCUS",IF(J2628&lt;=2,"?ACTIVATED",IF(J2628&lt;&gt;"","?FAMILIAR",IF(F2628="NEW",IF(ISNA(VLOOKUP(E2628,#REF!,1,FALSE())),"?TYPE_IDENTIFIABLE","?REFERENTIAL"),"_")))))</f>
        <v> </v>
      </c>
      <c r="H2628" s="24" t="str">
        <f>IF(J2628&lt;&gt;1,"",IF(I2628="SBJ","CB","?"))</f>
        <v> </v>
      </c>
      <c r="I2628" s="25" t="str">
        <f>IF(OR(E2628="",E2628="!!!",F2628="NEW"),"",INDEX(B2627:B$2,-1+SUMPRODUCT(MAX(ROW(E2627:E$2)*(E2628=E2627:E$2)))))</f>
        <v> </v>
      </c>
      <c r="J2628" s="25" t="str">
        <f>IF(OR(E2628="",E2628="!!!",F2628="NEW"),"",COUNTBLANK(OFFSET(A$1,,,SUMPRODUCT(MAX(ROW(E$2:E2628)*(E2628=E$2:E2628)))))-COUNTBLANK(OFFSET(A$1,,,SUMPRODUCT(MAX(ROW(E$1:E2627)*(E2=E$1:E2627))))))</f>
        <v> </v>
      </c>
      <c r="K2628" s="25" t="str">
        <f>IF(OR(E2628="",E2628="!!!",F2628="NEW"),"",INDEX(J$1:J2627,SUMPRODUCT(MAX(ROW(E$1:E2627)*(E2628=E$1:E2627)))))</f>
        <v> </v>
      </c>
      <c r="L2628" s="26"/>
    </row>
    <row r="2629" spans="1:12">
      <c r="A2629" s="20" t="s">
        <v>571</v>
      </c>
      <c r="E2629" s="21">
        <f>IF(D2629="?OLD","!!!","")</f>
        <v/>
      </c>
      <c r="F2629" s="22" t="str">
        <f>IF(OR(E2629="",E2629="!!!"),"",IF(NOT(ISNA(VLOOKUP(E2629,E$1:E2628,1,FALSE()))),"OLD",IF(AND(E2629&lt;&gt;"",E2629&lt;&gt;"!!!"),"NEW","")))</f>
        <v> </v>
      </c>
      <c r="G2629" s="23" t="str">
        <f>IF(OR(E2629="",E2629="!!!"),"",IF(OR(J2629=0,AND(J2629=1,K2629=1),AND(J2629=1,I2629="SBJ"),AND(J2629=1,I2629=0)),"?IN_FOCUS",IF(J2629&lt;=2,"?ACTIVATED",IF(J2629&lt;&gt;"","?FAMILIAR",IF(F2629="NEW",IF(ISNA(VLOOKUP(E2629,#REF!,1,FALSE())),"?TYPE_IDENTIFIABLE","?REFERENTIAL"),"_")))))</f>
        <v> </v>
      </c>
      <c r="H2629" s="24" t="str">
        <f>IF(J2629&lt;&gt;1,"",IF(I2629="SBJ","CB","?"))</f>
        <v> </v>
      </c>
      <c r="I2629" s="25" t="str">
        <f>IF(OR(E2629="",E2629="!!!",F2629="NEW"),"",INDEX(B2628:B$2,-1+SUMPRODUCT(MAX(ROW(E2628:E$2)*(E2629=E2628:E$2)))))</f>
        <v> </v>
      </c>
      <c r="J2629" s="25" t="str">
        <f>IF(OR(E2629="",E2629="!!!",F2629="NEW"),"",COUNTBLANK(OFFSET(A$1,,,SUMPRODUCT(MAX(ROW(E$2:E2629)*(E2629=E$2:E2629)))))-COUNTBLANK(OFFSET(A$1,,,SUMPRODUCT(MAX(ROW(E$1:E2628)*(E2=E$1:E2628))))))</f>
        <v> </v>
      </c>
      <c r="K2629" s="25" t="str">
        <f>IF(OR(E2629="",E2629="!!!",F2629="NEW"),"",INDEX(J$1:J2628,SUMPRODUCT(MAX(ROW(E$1:E2628)*(E2629=E$1:E2628)))))</f>
        <v> </v>
      </c>
      <c r="L2629" s="26"/>
    </row>
    <row r="2630" spans="1:12">
      <c r="A2630" s="20" t="s">
        <v>668</v>
      </c>
      <c r="B2630" s="27" t="s">
        <v>658</v>
      </c>
      <c r="C2630" s="27" t="s">
        <v>669</v>
      </c>
      <c r="D2630" s="27" t="s">
        <v>524</v>
      </c>
      <c r="E2630" s="21">
        <f>IF(D2630="?OLD","!!!","")</f>
        <v/>
      </c>
      <c r="F2630" s="22" t="str">
        <f>IF(OR(E2630="",E2630="!!!"),"",IF(NOT(ISNA(VLOOKUP(E2630,E$1:E2629,1,FALSE()))),"OLD",IF(AND(E2630&lt;&gt;"",E2630&lt;&gt;"!!!"),"NEW","")))</f>
        <v> </v>
      </c>
      <c r="G2630" s="23" t="str">
        <f>IF(OR(E2630="",E2630="!!!"),"",IF(OR(J2630=0,AND(J2630=1,K2630=1),AND(J2630=1,I2630="SBJ"),AND(J2630=1,I2630=0)),"?IN_FOCUS",IF(J2630&lt;=2,"?ACTIVATED",IF(J2630&lt;&gt;"","?FAMILIAR",IF(F2630="NEW",IF(ISNA(VLOOKUP(E2630,#REF!,1,FALSE())),"?TYPE_IDENTIFIABLE","?REFERENTIAL"),"_")))))</f>
        <v> </v>
      </c>
      <c r="H2630" s="24" t="str">
        <f>IF(J2630&lt;&gt;1,"",IF(I2630="SBJ","CB","?"))</f>
        <v> </v>
      </c>
      <c r="I2630" s="25" t="str">
        <f>IF(OR(E2630="",E2630="!!!",F2630="NEW"),"",INDEX(B2629:B$2,-1+SUMPRODUCT(MAX(ROW(E2629:E$2)*(E2630=E2629:E$2)))))</f>
        <v> </v>
      </c>
      <c r="J2630" s="25" t="str">
        <f>IF(OR(E2630="",E2630="!!!",F2630="NEW"),"",COUNTBLANK(OFFSET(A$1,,,SUMPRODUCT(MAX(ROW(E$2:E2630)*(E2630=E$2:E2630)))))-COUNTBLANK(OFFSET(A$1,,,SUMPRODUCT(MAX(ROW(E$1:E2629)*(E2=E$1:E2629))))))</f>
        <v> </v>
      </c>
      <c r="K2630" s="25" t="str">
        <f>IF(OR(E2630="",E2630="!!!",F2630="NEW"),"",INDEX(J$1:J2629,SUMPRODUCT(MAX(ROW(E$1:E2629)*(E2630=E$1:E2629)))))</f>
        <v> </v>
      </c>
      <c r="L2630" s="26"/>
    </row>
    <row r="2631" spans="1:12">
      <c r="A2631" s="20" t="s">
        <v>1257</v>
      </c>
      <c r="B2631" s="27" t="s">
        <v>699</v>
      </c>
      <c r="C2631" s="27" t="s">
        <v>545</v>
      </c>
      <c r="D2631" s="27" t="s">
        <v>524</v>
      </c>
      <c r="E2631" s="21">
        <f>IF(D2631="?OLD","!!!","")</f>
        <v/>
      </c>
      <c r="F2631" s="22" t="str">
        <f>IF(OR(E2631="",E2631="!!!"),"",IF(NOT(ISNA(VLOOKUP(E2631,E$1:E2630,1,FALSE()))),"OLD",IF(AND(E2631&lt;&gt;"",E2631&lt;&gt;"!!!"),"NEW","")))</f>
        <v> </v>
      </c>
      <c r="G2631" s="23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4" t="str">
        <f>IF(J2631&lt;&gt;1,"",IF(I2631="SBJ","CB","?"))</f>
        <v> </v>
      </c>
      <c r="I2631" s="25" t="str">
        <f>IF(OR(E2631="",E2631="!!!",F2631="NEW"),"",INDEX(B2630:B$2,-1+SUMPRODUCT(MAX(ROW(E2630:E$2)*(E2631=E2630:E$2)))))</f>
        <v> </v>
      </c>
      <c r="J2631" s="25" t="str">
        <f>IF(OR(E2631="",E2631="!!!",F2631="NEW"),"",COUNTBLANK(OFFSET(A$1,,,SUMPRODUCT(MAX(ROW(E$2:E2631)*(E2631=E$2:E2631)))))-COUNTBLANK(OFFSET(A$1,,,SUMPRODUCT(MAX(ROW(E$1:E2630)*(E2=E$1:E2630))))))</f>
        <v> </v>
      </c>
      <c r="K2631" s="25" t="str">
        <f>IF(OR(E2631="",E2631="!!!",F2631="NEW"),"",INDEX(J$1:J2630,SUMPRODUCT(MAX(ROW(E$1:E2630)*(E2631=E$1:E2630)))))</f>
        <v> </v>
      </c>
      <c r="L2631" s="26"/>
    </row>
    <row r="2632" spans="1:12">
      <c r="A2632" s="20" t="s">
        <v>565</v>
      </c>
      <c r="E2632" s="21">
        <f>IF(D2632="?OLD","!!!","")</f>
        <v/>
      </c>
      <c r="F2632" s="22" t="str">
        <f>IF(OR(E2632="",E2632="!!!"),"",IF(NOT(ISNA(VLOOKUP(E2632,E$1:E2631,1,FALSE()))),"OLD",IF(AND(E2632&lt;&gt;"",E2632&lt;&gt;"!!!"),"NEW","")))</f>
        <v> </v>
      </c>
      <c r="G2632" s="23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4" t="str">
        <f>IF(J2632&lt;&gt;1,"",IF(I2632="SBJ","CB","?"))</f>
        <v> </v>
      </c>
      <c r="I2632" s="25" t="str">
        <f>IF(OR(E2632="",E2632="!!!",F2632="NEW"),"",INDEX(B2631:B$2,-1+SUMPRODUCT(MAX(ROW(E2631:E$2)*(E2632=E2631:E$2)))))</f>
        <v> </v>
      </c>
      <c r="J2632" s="25" t="str">
        <f>IF(OR(E2632="",E2632="!!!",F2632="NEW"),"",COUNTBLANK(OFFSET(A$1,,,SUMPRODUCT(MAX(ROW(E$2:E2632)*(E2632=E$2:E2632)))))-COUNTBLANK(OFFSET(A$1,,,SUMPRODUCT(MAX(ROW(E$1:E2631)*(E2=E$1:E2631))))))</f>
        <v> </v>
      </c>
      <c r="K2632" s="25" t="str">
        <f>IF(OR(E2632="",E2632="!!!",F2632="NEW"),"",INDEX(J$1:J2631,SUMPRODUCT(MAX(ROW(E$1:E2631)*(E2632=E$1:E2631)))))</f>
        <v> </v>
      </c>
      <c r="L2632" s="26"/>
    </row>
    <row r="2633" spans="1:12">
      <c r="A2633" s="20" t="s">
        <v>806</v>
      </c>
      <c r="E2633" s="21">
        <f>IF(D2633="?OLD","!!!","")</f>
        <v/>
      </c>
      <c r="F2633" s="22" t="str">
        <f>IF(OR(E2633="",E2633="!!!"),"",IF(NOT(ISNA(VLOOKUP(E2633,E$1:E2632,1,FALSE()))),"OLD",IF(AND(E2633&lt;&gt;"",E2633&lt;&gt;"!!!"),"NEW","")))</f>
        <v> </v>
      </c>
      <c r="G2633" s="23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4" t="str">
        <f>IF(J2633&lt;&gt;1,"",IF(I2633="SBJ","CB","?"))</f>
        <v> </v>
      </c>
      <c r="I2633" s="25" t="str">
        <f>IF(OR(E2633="",E2633="!!!",F2633="NEW"),"",INDEX(B2632:B$2,-1+SUMPRODUCT(MAX(ROW(E2632:E$2)*(E2633=E2632:E$2)))))</f>
        <v> </v>
      </c>
      <c r="J2633" s="25" t="str">
        <f>IF(OR(E2633="",E2633="!!!",F2633="NEW"),"",COUNTBLANK(OFFSET(A$1,,,SUMPRODUCT(MAX(ROW(E$2:E2633)*(E2633=E$2:E2633)))))-COUNTBLANK(OFFSET(A$1,,,SUMPRODUCT(MAX(ROW(E$1:E2632)*(E2=E$1:E2632))))))</f>
        <v> </v>
      </c>
      <c r="K2633" s="25" t="str">
        <f>IF(OR(E2633="",E2633="!!!",F2633="NEW"),"",INDEX(J$1:J2632,SUMPRODUCT(MAX(ROW(E$1:E2632)*(E2633=E$1:E2632)))))</f>
        <v> </v>
      </c>
      <c r="L2633" s="26"/>
    </row>
    <row r="2634" spans="1:12">
      <c r="A2634" s="20" t="s">
        <v>358</v>
      </c>
      <c r="B2634" s="27" t="s">
        <v>667</v>
      </c>
      <c r="C2634" s="27" t="s">
        <v>523</v>
      </c>
      <c r="D2634" s="27" t="s">
        <v>524</v>
      </c>
      <c r="E2634" s="21">
        <f>IF(D2634="?OLD","!!!","")</f>
        <v/>
      </c>
      <c r="F2634" s="22" t="str">
        <f>IF(OR(E2634="",E2634="!!!"),"",IF(NOT(ISNA(VLOOKUP(E2634,E$1:E2633,1,FALSE()))),"OLD",IF(AND(E2634&lt;&gt;"",E2634&lt;&gt;"!!!"),"NEW","")))</f>
        <v> </v>
      </c>
      <c r="G2634" s="23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4" t="str">
        <f>IF(J2634&lt;&gt;1,"",IF(I2634="SBJ","CB","?"))</f>
        <v> </v>
      </c>
      <c r="I2634" s="25" t="str">
        <f>IF(OR(E2634="",E2634="!!!",F2634="NEW"),"",INDEX(B2633:B$2,-1+SUMPRODUCT(MAX(ROW(E2633:E$2)*(E2634=E2633:E$2)))))</f>
        <v> </v>
      </c>
      <c r="J2634" s="25" t="str">
        <f>IF(OR(E2634="",E2634="!!!",F2634="NEW"),"",COUNTBLANK(OFFSET(A$1,,,SUMPRODUCT(MAX(ROW(E$2:E2634)*(E2634=E$2:E2634)))))-COUNTBLANK(OFFSET(A$1,,,SUMPRODUCT(MAX(ROW(E$1:E2633)*(E2=E$1:E2633))))))</f>
        <v> </v>
      </c>
      <c r="K2634" s="25" t="str">
        <f>IF(OR(E2634="",E2634="!!!",F2634="NEW"),"",INDEX(J$1:J2633,SUMPRODUCT(MAX(ROW(E$1:E2633)*(E2634=E$1:E2633)))))</f>
        <v> </v>
      </c>
      <c r="L2634" s="26"/>
    </row>
    <row r="2635" spans="1:12">
      <c r="A2635" s="20" t="s">
        <v>1442</v>
      </c>
      <c r="E2635" s="21">
        <f>IF(D2635="?OLD","!!!","")</f>
        <v/>
      </c>
      <c r="F2635" s="22" t="str">
        <f>IF(OR(E2635="",E2635="!!!"),"",IF(NOT(ISNA(VLOOKUP(E2635,E$1:E2634,1,FALSE()))),"OLD",IF(AND(E2635&lt;&gt;"",E2635&lt;&gt;"!!!"),"NEW","")))</f>
        <v> </v>
      </c>
      <c r="G2635" s="23" t="str">
        <f>IF(OR(E2635="",E2635="!!!"),"",IF(OR(J2635=0,AND(J2635=1,K2635=1),AND(J2635=1,I2635="SBJ"),AND(J2635=1,I2635=0)),"?IN_FOCUS",IF(J2635&lt;=2,"?ACTIVATED",IF(J2635&lt;&gt;"","?FAMILIAR",IF(F2635="NEW",IF(ISNA(VLOOKUP(E2635,#REF!,1,FALSE())),"?TYPE_IDENTIFIABLE","?REFERENTIAL"),"_")))))</f>
        <v> </v>
      </c>
      <c r="H2635" s="24" t="str">
        <f>IF(J2635&lt;&gt;1,"",IF(I2635="SBJ","CB","?"))</f>
        <v> </v>
      </c>
      <c r="I2635" s="25" t="str">
        <f>IF(OR(E2635="",E2635="!!!",F2635="NEW"),"",INDEX(B2634:B$2,-1+SUMPRODUCT(MAX(ROW(E2634:E$2)*(E2635=E2634:E$2)))))</f>
        <v> </v>
      </c>
      <c r="J2635" s="25" t="str">
        <f>IF(OR(E2635="",E2635="!!!",F2635="NEW"),"",COUNTBLANK(OFFSET(A$1,,,SUMPRODUCT(MAX(ROW(E$2:E2635)*(E2635=E$2:E2635)))))-COUNTBLANK(OFFSET(A$1,,,SUMPRODUCT(MAX(ROW(E$1:E2634)*(E2=E$1:E2634))))))</f>
        <v> </v>
      </c>
      <c r="K2635" s="25" t="str">
        <f>IF(OR(E2635="",E2635="!!!",F2635="NEW"),"",INDEX(J$1:J2634,SUMPRODUCT(MAX(ROW(E$1:E2634)*(E2635=E$1:E2634)))))</f>
        <v> </v>
      </c>
      <c r="L2635" s="26"/>
    </row>
    <row r="2636" spans="1:12">
      <c r="A2636" s="20" t="s">
        <v>761</v>
      </c>
      <c r="E2636" s="21">
        <f>IF(D2636="?OLD","!!!","")</f>
        <v/>
      </c>
      <c r="F2636" s="22" t="str">
        <f>IF(OR(E2636="",E2636="!!!"),"",IF(NOT(ISNA(VLOOKUP(E2636,E$1:E2635,1,FALSE()))),"OLD",IF(AND(E2636&lt;&gt;"",E2636&lt;&gt;"!!!"),"NEW","")))</f>
        <v> </v>
      </c>
      <c r="G2636" s="23" t="str">
        <f>IF(OR(E2636="",E2636="!!!"),"",IF(OR(J2636=0,AND(J2636=1,K2636=1),AND(J2636=1,I2636="SBJ"),AND(J2636=1,I2636=0)),"?IN_FOCUS",IF(J2636&lt;=2,"?ACTIVATED",IF(J2636&lt;&gt;"","?FAMILIAR",IF(F2636="NEW",IF(ISNA(VLOOKUP(E2636,#REF!,1,FALSE())),"?TYPE_IDENTIFIABLE","?REFERENTIAL"),"_")))))</f>
        <v> </v>
      </c>
      <c r="H2636" s="24" t="str">
        <f>IF(J2636&lt;&gt;1,"",IF(I2636="SBJ","CB","?"))</f>
        <v> </v>
      </c>
      <c r="I2636" s="25" t="str">
        <f>IF(OR(E2636="",E2636="!!!",F2636="NEW"),"",INDEX(B2635:B$2,-1+SUMPRODUCT(MAX(ROW(E2635:E$2)*(E2636=E2635:E$2)))))</f>
        <v> </v>
      </c>
      <c r="J2636" s="25" t="str">
        <f>IF(OR(E2636="",E2636="!!!",F2636="NEW"),"",COUNTBLANK(OFFSET(A$1,,,SUMPRODUCT(MAX(ROW(E$2:E2636)*(E2636=E$2:E2636)))))-COUNTBLANK(OFFSET(A$1,,,SUMPRODUCT(MAX(ROW(E$1:E2635)*(E2=E$1:E2635))))))</f>
        <v> </v>
      </c>
      <c r="K2636" s="25" t="str">
        <f>IF(OR(E2636="",E2636="!!!",F2636="NEW"),"",INDEX(J$1:J2635,SUMPRODUCT(MAX(ROW(E$1:E2635)*(E2636=E$1:E2635)))))</f>
        <v> </v>
      </c>
      <c r="L2636" s="26"/>
    </row>
    <row r="2637" spans="1:12">
      <c r="A2637" s="20" t="s">
        <v>1443</v>
      </c>
      <c r="B2637" s="27" t="s">
        <v>522</v>
      </c>
      <c r="C2637" s="27" t="s">
        <v>908</v>
      </c>
      <c r="E2637" s="21">
        <f>IF(D2637="?OLD","!!!","")</f>
        <v/>
      </c>
      <c r="F2637" s="22" t="str">
        <f>IF(OR(E2637="",E2637="!!!"),"",IF(NOT(ISNA(VLOOKUP(E2637,E$1:E2636,1,FALSE()))),"OLD",IF(AND(E2637&lt;&gt;"",E2637&lt;&gt;"!!!"),"NEW","")))</f>
        <v> </v>
      </c>
      <c r="G2637" s="23" t="str">
        <f>IF(OR(E2637="",E2637="!!!"),"",IF(OR(J2637=0,AND(J2637=1,K2637=1),AND(J2637=1,I2637="SBJ"),AND(J2637=1,I2637=0)),"?IN_FOCUS",IF(J2637&lt;=2,"?ACTIVATED",IF(J2637&lt;&gt;"","?FAMILIAR",IF(F2637="NEW",IF(ISNA(VLOOKUP(E2637,#REF!,1,FALSE())),"?TYPE_IDENTIFIABLE","?REFERENTIAL"),"_")))))</f>
        <v> </v>
      </c>
      <c r="H2637" s="24" t="str">
        <f>IF(J2637&lt;&gt;1,"",IF(I2637="SBJ","CB","?"))</f>
        <v> </v>
      </c>
      <c r="I2637" s="25" t="str">
        <f>IF(OR(E2637="",E2637="!!!",F2637="NEW"),"",INDEX(B2636:B$2,-1+SUMPRODUCT(MAX(ROW(E2636:E$2)*(E2637=E2636:E$2)))))</f>
        <v> </v>
      </c>
      <c r="J2637" s="25" t="str">
        <f>IF(OR(E2637="",E2637="!!!",F2637="NEW"),"",COUNTBLANK(OFFSET(A$1,,,SUMPRODUCT(MAX(ROW(E$2:E2637)*(E2637=E$2:E2637)))))-COUNTBLANK(OFFSET(A$1,,,SUMPRODUCT(MAX(ROW(E$1:E2636)*(E2=E$1:E2636))))))</f>
        <v> </v>
      </c>
      <c r="K2637" s="25" t="str">
        <f>IF(OR(E2637="",E2637="!!!",F2637="NEW"),"",INDEX(J$1:J2636,SUMPRODUCT(MAX(ROW(E$1:E2636)*(E2637=E$1:E2636)))))</f>
        <v> </v>
      </c>
      <c r="L2637" s="26"/>
    </row>
    <row r="2638" spans="1:12">
      <c r="A2638" s="20" t="s">
        <v>1444</v>
      </c>
      <c r="E2638" s="21">
        <f>IF(D2638="?OLD","!!!","")</f>
        <v/>
      </c>
      <c r="F2638" s="22" t="str">
        <f>IF(OR(E2638="",E2638="!!!"),"",IF(NOT(ISNA(VLOOKUP(E2638,E$1:E2637,1,FALSE()))),"OLD",IF(AND(E2638&lt;&gt;"",E2638&lt;&gt;"!!!"),"NEW","")))</f>
        <v> </v>
      </c>
      <c r="G2638" s="23" t="str">
        <f>IF(OR(E2638="",E2638="!!!"),"",IF(OR(J2638=0,AND(J2638=1,K2638=1),AND(J2638=1,I2638="SBJ"),AND(J2638=1,I2638=0)),"?IN_FOCUS",IF(J2638&lt;=2,"?ACTIVATED",IF(J2638&lt;&gt;"","?FAMILIAR",IF(F2638="NEW",IF(ISNA(VLOOKUP(E2638,#REF!,1,FALSE())),"?TYPE_IDENTIFIABLE","?REFERENTIAL"),"_")))))</f>
        <v> </v>
      </c>
      <c r="H2638" s="24" t="str">
        <f>IF(J2638&lt;&gt;1,"",IF(I2638="SBJ","CB","?"))</f>
        <v> </v>
      </c>
      <c r="I2638" s="25" t="str">
        <f>IF(OR(E2638="",E2638="!!!",F2638="NEW"),"",INDEX(B2637:B$2,-1+SUMPRODUCT(MAX(ROW(E2637:E$2)*(E2638=E2637:E$2)))))</f>
        <v> </v>
      </c>
      <c r="J2638" s="25" t="str">
        <f>IF(OR(E2638="",E2638="!!!",F2638="NEW"),"",COUNTBLANK(OFFSET(A$1,,,SUMPRODUCT(MAX(ROW(E$2:E2638)*(E2638=E$2:E2638)))))-COUNTBLANK(OFFSET(A$1,,,SUMPRODUCT(MAX(ROW(E$1:E2637)*(E2=E$1:E2637))))))</f>
        <v> </v>
      </c>
      <c r="K2638" s="25" t="str">
        <f>IF(OR(E2638="",E2638="!!!",F2638="NEW"),"",INDEX(J$1:J2637,SUMPRODUCT(MAX(ROW(E$1:E2637)*(E2638=E$1:E2637)))))</f>
        <v> </v>
      </c>
      <c r="L2638" s="26"/>
    </row>
    <row r="2639" spans="1:12">
      <c r="A2639" s="20" t="s">
        <v>542</v>
      </c>
      <c r="E2639" s="21">
        <f>IF(D2639="?OLD","!!!","")</f>
        <v/>
      </c>
      <c r="F2639" s="22" t="str">
        <f>IF(OR(E2639="",E2639="!!!"),"",IF(NOT(ISNA(VLOOKUP(E2639,E$1:E2638,1,FALSE()))),"OLD",IF(AND(E2639&lt;&gt;"",E2639&lt;&gt;"!!!"),"NEW","")))</f>
        <v> </v>
      </c>
      <c r="G2639" s="23" t="str">
        <f>IF(OR(E2639="",E2639="!!!"),"",IF(OR(J2639=0,AND(J2639=1,K2639=1),AND(J2639=1,I2639="SBJ"),AND(J2639=1,I2639=0)),"?IN_FOCUS",IF(J2639&lt;=2,"?ACTIVATED",IF(J2639&lt;&gt;"","?FAMILIAR",IF(F2639="NEW",IF(ISNA(VLOOKUP(E2639,#REF!,1,FALSE())),"?TYPE_IDENTIFIABLE","?REFERENTIAL"),"_")))))</f>
        <v> </v>
      </c>
      <c r="H2639" s="24" t="str">
        <f>IF(J2639&lt;&gt;1,"",IF(I2639="SBJ","CB","?"))</f>
        <v> </v>
      </c>
      <c r="I2639" s="25" t="str">
        <f>IF(OR(E2639="",E2639="!!!",F2639="NEW"),"",INDEX(B2638:B$2,-1+SUMPRODUCT(MAX(ROW(E2638:E$2)*(E2639=E2638:E$2)))))</f>
        <v> </v>
      </c>
      <c r="J2639" s="25" t="str">
        <f>IF(OR(E2639="",E2639="!!!",F2639="NEW"),"",COUNTBLANK(OFFSET(A$1,,,SUMPRODUCT(MAX(ROW(E$2:E2639)*(E2639=E$2:E2639)))))-COUNTBLANK(OFFSET(A$1,,,SUMPRODUCT(MAX(ROW(E$1:E2638)*(E2=E$1:E2638))))))</f>
        <v> </v>
      </c>
      <c r="K2639" s="25" t="str">
        <f>IF(OR(E2639="",E2639="!!!",F2639="NEW"),"",INDEX(J$1:J2638,SUMPRODUCT(MAX(ROW(E$1:E2638)*(E2639=E$1:E2638)))))</f>
        <v> </v>
      </c>
      <c r="L2639" s="26"/>
    </row>
    <row r="2640" spans="1:12">
      <c r="A2640" s="20" t="s">
        <v>571</v>
      </c>
      <c r="E2640" s="21">
        <f>IF(D2640="?OLD","!!!","")</f>
        <v/>
      </c>
      <c r="F2640" s="22" t="str">
        <f>IF(OR(E2640="",E2640="!!!"),"",IF(NOT(ISNA(VLOOKUP(E2640,E$1:E2639,1,FALSE()))),"OLD",IF(AND(E2640&lt;&gt;"",E2640&lt;&gt;"!!!"),"NEW","")))</f>
        <v> </v>
      </c>
      <c r="G2640" s="23" t="str">
        <f>IF(OR(E2640="",E2640="!!!"),"",IF(OR(J2640=0,AND(J2640=1,K2640=1),AND(J2640=1,I2640="SBJ"),AND(J2640=1,I2640=0)),"?IN_FOCUS",IF(J2640&lt;=2,"?ACTIVATED",IF(J2640&lt;&gt;"","?FAMILIAR",IF(F2640="NEW",IF(ISNA(VLOOKUP(E2640,#REF!,1,FALSE())),"?TYPE_IDENTIFIABLE","?REFERENTIAL"),"_")))))</f>
        <v> </v>
      </c>
      <c r="H2640" s="24" t="str">
        <f>IF(J2640&lt;&gt;1,"",IF(I2640="SBJ","CB","?"))</f>
        <v> </v>
      </c>
      <c r="I2640" s="25" t="str">
        <f>IF(OR(E2640="",E2640="!!!",F2640="NEW"),"",INDEX(B2639:B$2,-1+SUMPRODUCT(MAX(ROW(E2639:E$2)*(E2640=E2639:E$2)))))</f>
        <v> </v>
      </c>
      <c r="J2640" s="25" t="str">
        <f>IF(OR(E2640="",E2640="!!!",F2640="NEW"),"",COUNTBLANK(OFFSET(A$1,,,SUMPRODUCT(MAX(ROW(E$2:E2640)*(E2640=E$2:E2640)))))-COUNTBLANK(OFFSET(A$1,,,SUMPRODUCT(MAX(ROW(E$1:E2639)*(E2=E$1:E2639))))))</f>
        <v> </v>
      </c>
      <c r="K2640" s="25" t="str">
        <f>IF(OR(E2640="",E2640="!!!",F2640="NEW"),"",INDEX(J$1:J2639,SUMPRODUCT(MAX(ROW(E$1:E2639)*(E2640=E$1:E2639)))))</f>
        <v> </v>
      </c>
      <c r="L2640" s="26"/>
    </row>
    <row r="2641" spans="1:12">
      <c r="A2641" s="20" t="s">
        <v>668</v>
      </c>
      <c r="B2641" s="27" t="s">
        <v>534</v>
      </c>
      <c r="C2641" s="27" t="s">
        <v>669</v>
      </c>
      <c r="D2641" s="27" t="s">
        <v>524</v>
      </c>
      <c r="E2641" s="21">
        <f>IF(D2641="?OLD","!!!","")</f>
        <v/>
      </c>
      <c r="F2641" s="22" t="str">
        <f>IF(OR(E2641="",E2641="!!!"),"",IF(NOT(ISNA(VLOOKUP(E2641,E$1:E2640,1,FALSE()))),"OLD",IF(AND(E2641&lt;&gt;"",E2641&lt;&gt;"!!!"),"NEW","")))</f>
        <v> </v>
      </c>
      <c r="G2641" s="23" t="str">
        <f>IF(OR(E2641="",E2641="!!!"),"",IF(OR(J2641=0,AND(J2641=1,K2641=1),AND(J2641=1,I2641="SBJ"),AND(J2641=1,I2641=0)),"?IN_FOCUS",IF(J2641&lt;=2,"?ACTIVATED",IF(J2641&lt;&gt;"","?FAMILIAR",IF(F2641="NEW",IF(ISNA(VLOOKUP(E2641,#REF!,1,FALSE())),"?TYPE_IDENTIFIABLE","?REFERENTIAL"),"_")))))</f>
        <v> </v>
      </c>
      <c r="H2641" s="24" t="str">
        <f>IF(J2641&lt;&gt;1,"",IF(I2641="SBJ","CB","?"))</f>
        <v> </v>
      </c>
      <c r="I2641" s="25" t="str">
        <f>IF(OR(E2641="",E2641="!!!",F2641="NEW"),"",INDEX(B2640:B$2,-1+SUMPRODUCT(MAX(ROW(E2640:E$2)*(E2641=E2640:E$2)))))</f>
        <v> </v>
      </c>
      <c r="J2641" s="25" t="str">
        <f>IF(OR(E2641="",E2641="!!!",F2641="NEW"),"",COUNTBLANK(OFFSET(A$1,,,SUMPRODUCT(MAX(ROW(E$2:E2641)*(E2641=E$2:E2641)))))-COUNTBLANK(OFFSET(A$1,,,SUMPRODUCT(MAX(ROW(E$1:E2640)*(E2=E$1:E2640))))))</f>
        <v> </v>
      </c>
      <c r="K2641" s="25" t="str">
        <f>IF(OR(E2641="",E2641="!!!",F2641="NEW"),"",INDEX(J$1:J2640,SUMPRODUCT(MAX(ROW(E$1:E2640)*(E2641=E$1:E2640)))))</f>
        <v> </v>
      </c>
      <c r="L2641" s="26"/>
    </row>
    <row r="2642" spans="1:12">
      <c r="A2642" s="20" t="s">
        <v>1257</v>
      </c>
      <c r="B2642" s="27" t="s">
        <v>556</v>
      </c>
      <c r="C2642" s="27" t="s">
        <v>545</v>
      </c>
      <c r="D2642" s="27" t="s">
        <v>524</v>
      </c>
      <c r="E2642" s="21">
        <f>IF(D2642="?OLD","!!!","")</f>
        <v/>
      </c>
      <c r="F2642" s="22" t="str">
        <f>IF(OR(E2642="",E2642="!!!"),"",IF(NOT(ISNA(VLOOKUP(E2642,E$1:E2641,1,FALSE()))),"OLD",IF(AND(E2642&lt;&gt;"",E2642&lt;&gt;"!!!"),"NEW","")))</f>
        <v> </v>
      </c>
      <c r="G2642" s="23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4" t="str">
        <f>IF(J2642&lt;&gt;1,"",IF(I2642="SBJ","CB","?"))</f>
        <v> </v>
      </c>
      <c r="I2642" s="25" t="str">
        <f>IF(OR(E2642="",E2642="!!!",F2642="NEW"),"",INDEX(B2641:B$2,-1+SUMPRODUCT(MAX(ROW(E2641:E$2)*(E2642=E2641:E$2)))))</f>
        <v> </v>
      </c>
      <c r="J2642" s="25" t="str">
        <f>IF(OR(E2642="",E2642="!!!",F2642="NEW"),"",COUNTBLANK(OFFSET(A$1,,,SUMPRODUCT(MAX(ROW(E$2:E2642)*(E2642=E$2:E2642)))))-COUNTBLANK(OFFSET(A$1,,,SUMPRODUCT(MAX(ROW(E$1:E2641)*(E2=E$1:E2641))))))</f>
        <v> </v>
      </c>
      <c r="K2642" s="25" t="str">
        <f>IF(OR(E2642="",E2642="!!!",F2642="NEW"),"",INDEX(J$1:J2641,SUMPRODUCT(MAX(ROW(E$1:E2641)*(E2642=E$1:E2641)))))</f>
        <v> </v>
      </c>
      <c r="L2642" s="26"/>
    </row>
    <row r="2643" spans="1:12">
      <c r="A2643" s="20" t="s">
        <v>549</v>
      </c>
      <c r="E2643" s="21">
        <f>IF(D2643="?OLD","!!!","")</f>
        <v/>
      </c>
      <c r="F2643" s="22" t="str">
        <f>IF(OR(E2643="",E2643="!!!"),"",IF(NOT(ISNA(VLOOKUP(E2643,E$1:E2642,1,FALSE()))),"OLD",IF(AND(E2643&lt;&gt;"",E2643&lt;&gt;"!!!"),"NEW","")))</f>
        <v> </v>
      </c>
      <c r="G2643" s="23" t="str">
        <f>IF(OR(E2643="",E2643="!!!"),"",IF(OR(J2643=0,AND(J2643=1,K2643=1),AND(J2643=1,I2643="SBJ"),AND(J2643=1,I2643=0)),"?IN_FOCUS",IF(J2643&lt;=2,"?ACTIVATED",IF(J2643&lt;&gt;"","?FAMILIAR",IF(F2643="NEW",IF(ISNA(VLOOKUP(E2643,#REF!,1,FALSE())),"?TYPE_IDENTIFIABLE","?REFERENTIAL"),"_")))))</f>
        <v> </v>
      </c>
      <c r="H2643" s="24" t="str">
        <f>IF(J2643&lt;&gt;1,"",IF(I2643="SBJ","CB","?"))</f>
        <v> </v>
      </c>
      <c r="I2643" s="25" t="str">
        <f>IF(OR(E2643="",E2643="!!!",F2643="NEW"),"",INDEX(B2642:B$2,-1+SUMPRODUCT(MAX(ROW(E2642:E$2)*(E2643=E2642:E$2)))))</f>
        <v> </v>
      </c>
      <c r="J2643" s="25" t="str">
        <f>IF(OR(E2643="",E2643="!!!",F2643="NEW"),"",COUNTBLANK(OFFSET(A$1,,,SUMPRODUCT(MAX(ROW(E$2:E2643)*(E2643=E$2:E2643)))))-COUNTBLANK(OFFSET(A$1,,,SUMPRODUCT(MAX(ROW(E$1:E2642)*(E2=E$1:E2642))))))</f>
        <v> </v>
      </c>
      <c r="K2643" s="25" t="str">
        <f>IF(OR(E2643="",E2643="!!!",F2643="NEW"),"",INDEX(J$1:J2642,SUMPRODUCT(MAX(ROW(E$1:E2642)*(E2643=E$1:E2642)))))</f>
        <v> </v>
      </c>
      <c r="L2643" s="26"/>
    </row>
    <row r="2644" spans="1:12">
      <c r="A2644" s="20"/>
    </row>
    <row r="2645" spans="1:12">
      <c r="A2645" s="20" t="s">
        <v>1445</v>
      </c>
    </row>
    <row r="2646" spans="1:12">
      <c r="A2646" s="20" t="s">
        <v>1446</v>
      </c>
      <c r="E2646" s="21">
        <f>IF(D2646="?OLD","!!!","")</f>
        <v/>
      </c>
      <c r="F2646" s="22" t="str">
        <f>IF(OR(E2646="",E2646="!!!"),"",IF(NOT(ISNA(VLOOKUP(E2646,E$1:E2645,1,FALSE()))),"OLD",IF(AND(E2646&lt;&gt;"",E2646&lt;&gt;"!!!"),"NEW","")))</f>
        <v> </v>
      </c>
      <c r="G2646" s="23" t="str">
        <f>IF(OR(E2646="",E2646="!!!"),"",IF(OR(J2646=0,AND(J2646=1,K2646=1),AND(J2646=1,I2646="SBJ"),AND(J2646=1,I2646=0)),"?IN_FOCUS",IF(J2646&lt;=2,"?ACTIVATED",IF(J2646&lt;&gt;"","?FAMILIAR",IF(F2646="NEW",IF(ISNA(VLOOKUP(E2646,#REF!,1,FALSE())),"?TYPE_IDENTIFIABLE","?REFERENTIAL"),"_")))))</f>
        <v> </v>
      </c>
      <c r="H2646" s="24" t="str">
        <f>IF(J2646&lt;&gt;1,"",IF(I2646="SBJ","CB","?"))</f>
        <v> </v>
      </c>
      <c r="I2646" s="25" t="str">
        <f>IF(OR(E2646="",E2646="!!!",F2646="NEW"),"",INDEX(B2645:B$2,-1+SUMPRODUCT(MAX(ROW(E2645:E$2)*(E2646=E2645:E$2)))))</f>
        <v> </v>
      </c>
      <c r="J2646" s="25" t="str">
        <f>IF(OR(E2646="",E2646="!!!",F2646="NEW"),"",COUNTBLANK(OFFSET(A$1,,,SUMPRODUCT(MAX(ROW(E$2:E2646)*(E2646=E$2:E2646)))))-COUNTBLANK(OFFSET(A$1,,,SUMPRODUCT(MAX(ROW(E$1:E2645)*(E2=E$1:E2645))))))</f>
        <v> </v>
      </c>
      <c r="K2646" s="25" t="str">
        <f>IF(OR(E2646="",E2646="!!!",F2646="NEW"),"",INDEX(J$1:J2645,SUMPRODUCT(MAX(ROW(E$1:E2645)*(E2646=E$1:E2645)))))</f>
        <v> </v>
      </c>
      <c r="L2646" s="26"/>
    </row>
    <row r="2647" spans="1:12">
      <c r="A2647" s="20" t="s">
        <v>856</v>
      </c>
      <c r="B2647" s="27" t="s">
        <v>592</v>
      </c>
      <c r="C2647" s="27" t="s">
        <v>584</v>
      </c>
      <c r="D2647" s="27" t="s">
        <v>524</v>
      </c>
      <c r="E2647" s="21">
        <f>IF(D2647="?OLD","!!!","")</f>
        <v/>
      </c>
      <c r="F2647" s="22" t="str">
        <f>IF(OR(E2647="",E2647="!!!"),"",IF(NOT(ISNA(VLOOKUP(E2647,E$1:E2646,1,FALSE()))),"OLD",IF(AND(E2647&lt;&gt;"",E2647&lt;&gt;"!!!"),"NEW","")))</f>
        <v> </v>
      </c>
      <c r="G2647" s="23" t="str">
        <f>IF(OR(E2647="",E2647="!!!"),"",IF(OR(J2647=0,AND(J2647=1,K2647=1),AND(J2647=1,I2647="SBJ"),AND(J2647=1,I2647=0)),"?IN_FOCUS",IF(J2647&lt;=2,"?ACTIVATED",IF(J2647&lt;&gt;"","?FAMILIAR",IF(F2647="NEW",IF(ISNA(VLOOKUP(E2647,#REF!,1,FALSE())),"?TYPE_IDENTIFIABLE","?REFERENTIAL"),"_")))))</f>
        <v> </v>
      </c>
      <c r="H2647" s="24" t="str">
        <f>IF(J2647&lt;&gt;1,"",IF(I2647="SBJ","CB","?"))</f>
        <v> </v>
      </c>
      <c r="I2647" s="25" t="str">
        <f>IF(OR(E2647="",E2647="!!!",F2647="NEW"),"",INDEX(B2646:B$2,-1+SUMPRODUCT(MAX(ROW(E2646:E$2)*(E2647=E2646:E$2)))))</f>
        <v> </v>
      </c>
      <c r="J2647" s="25" t="str">
        <f>IF(OR(E2647="",E2647="!!!",F2647="NEW"),"",COUNTBLANK(OFFSET(A$1,,,SUMPRODUCT(MAX(ROW(E$2:E2647)*(E2647=E$2:E2647)))))-COUNTBLANK(OFFSET(A$1,,,SUMPRODUCT(MAX(ROW(E$1:E2646)*(E2=E$1:E2646))))))</f>
        <v> </v>
      </c>
      <c r="K2647" s="25" t="str">
        <f>IF(OR(E2647="",E2647="!!!",F2647="NEW"),"",INDEX(J$1:J2646,SUMPRODUCT(MAX(ROW(E$1:E2646)*(E2647=E$1:E2646)))))</f>
        <v> </v>
      </c>
      <c r="L2647" s="26"/>
    </row>
    <row r="2648" spans="1:12">
      <c r="A2648" s="20" t="s">
        <v>565</v>
      </c>
      <c r="E2648" s="21">
        <f>IF(D2648="?OLD","!!!","")</f>
        <v/>
      </c>
      <c r="F2648" s="22" t="str">
        <f>IF(OR(E2648="",E2648="!!!"),"",IF(NOT(ISNA(VLOOKUP(E2648,E$1:E2647,1,FALSE()))),"OLD",IF(AND(E2648&lt;&gt;"",E2648&lt;&gt;"!!!"),"NEW","")))</f>
        <v> </v>
      </c>
      <c r="G2648" s="23" t="str">
        <f>IF(OR(E2648="",E2648="!!!"),"",IF(OR(J2648=0,AND(J2648=1,K2648=1),AND(J2648=1,I2648="SBJ"),AND(J2648=1,I2648=0)),"?IN_FOCUS",IF(J2648&lt;=2,"?ACTIVATED",IF(J2648&lt;&gt;"","?FAMILIAR",IF(F2648="NEW",IF(ISNA(VLOOKUP(E2648,#REF!,1,FALSE())),"?TYPE_IDENTIFIABLE","?REFERENTIAL"),"_")))))</f>
        <v> </v>
      </c>
      <c r="H2648" s="24" t="str">
        <f>IF(J2648&lt;&gt;1,"",IF(I2648="SBJ","CB","?"))</f>
        <v> </v>
      </c>
      <c r="I2648" s="25" t="str">
        <f>IF(OR(E2648="",E2648="!!!",F2648="NEW"),"",INDEX(B2647:B$2,-1+SUMPRODUCT(MAX(ROW(E2647:E$2)*(E2648=E2647:E$2)))))</f>
        <v> </v>
      </c>
      <c r="J2648" s="25" t="str">
        <f>IF(OR(E2648="",E2648="!!!",F2648="NEW"),"",COUNTBLANK(OFFSET(A$1,,,SUMPRODUCT(MAX(ROW(E$2:E2648)*(E2648=E$2:E2648)))))-COUNTBLANK(OFFSET(A$1,,,SUMPRODUCT(MAX(ROW(E$1:E2647)*(E2=E$1:E2647))))))</f>
        <v> </v>
      </c>
      <c r="K2648" s="25" t="str">
        <f>IF(OR(E2648="",E2648="!!!",F2648="NEW"),"",INDEX(J$1:J2647,SUMPRODUCT(MAX(ROW(E$1:E2647)*(E2648=E$1:E2647)))))</f>
        <v> </v>
      </c>
      <c r="L2648" s="26"/>
    </row>
    <row r="2649" spans="1:12">
      <c r="A2649" s="20" t="s">
        <v>571</v>
      </c>
      <c r="E2649" s="21">
        <f>IF(D2649="?OLD","!!!","")</f>
        <v/>
      </c>
      <c r="F2649" s="22" t="str">
        <f>IF(OR(E2649="",E2649="!!!"),"",IF(NOT(ISNA(VLOOKUP(E2649,E$1:E2648,1,FALSE()))),"OLD",IF(AND(E2649&lt;&gt;"",E2649&lt;&gt;"!!!"),"NEW","")))</f>
        <v> </v>
      </c>
      <c r="G2649" s="23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4" t="str">
        <f>IF(J2649&lt;&gt;1,"",IF(I2649="SBJ","CB","?"))</f>
        <v> </v>
      </c>
      <c r="I2649" s="25" t="str">
        <f>IF(OR(E2649="",E2649="!!!",F2649="NEW"),"",INDEX(B2648:B$2,-1+SUMPRODUCT(MAX(ROW(E2648:E$2)*(E2649=E2648:E$2)))))</f>
        <v> </v>
      </c>
      <c r="J2649" s="25" t="str">
        <f>IF(OR(E2649="",E2649="!!!",F2649="NEW"),"",COUNTBLANK(OFFSET(A$1,,,SUMPRODUCT(MAX(ROW(E$2:E2649)*(E2649=E$2:E2649)))))-COUNTBLANK(OFFSET(A$1,,,SUMPRODUCT(MAX(ROW(E$1:E2648)*(E2=E$1:E2648))))))</f>
        <v> </v>
      </c>
      <c r="K2649" s="25" t="str">
        <f>IF(OR(E2649="",E2649="!!!",F2649="NEW"),"",INDEX(J$1:J2648,SUMPRODUCT(MAX(ROW(E$1:E2648)*(E2649=E$1:E2648)))))</f>
        <v> </v>
      </c>
      <c r="L2649" s="26"/>
    </row>
    <row r="2650" spans="1:12">
      <c r="A2650" s="20" t="s">
        <v>1447</v>
      </c>
      <c r="B2650" s="27" t="s">
        <v>680</v>
      </c>
      <c r="C2650" s="27" t="s">
        <v>540</v>
      </c>
      <c r="D2650" s="27" t="s">
        <v>524</v>
      </c>
      <c r="E2650" s="21">
        <f>IF(D2650="?OLD","!!!","")</f>
        <v/>
      </c>
      <c r="F2650" s="22" t="str">
        <f>IF(OR(E2650="",E2650="!!!"),"",IF(NOT(ISNA(VLOOKUP(E2650,E$1:E2649,1,FALSE()))),"OLD",IF(AND(E2650&lt;&gt;"",E2650&lt;&gt;"!!!"),"NEW","")))</f>
        <v> </v>
      </c>
      <c r="G2650" s="23" t="str">
        <f>IF(OR(E2650="",E2650="!!!"),"",IF(OR(J2650=0,AND(J2650=1,K2650=1),AND(J2650=1,I2650="SBJ"),AND(J2650=1,I2650=0)),"?IN_FOCUS",IF(J2650&lt;=2,"?ACTIVATED",IF(J2650&lt;&gt;"","?FAMILIAR",IF(F2650="NEW",IF(ISNA(VLOOKUP(E2650,#REF!,1,FALSE())),"?TYPE_IDENTIFIABLE","?REFERENTIAL"),"_")))))</f>
        <v> </v>
      </c>
      <c r="H2650" s="24" t="str">
        <f>IF(J2650&lt;&gt;1,"",IF(I2650="SBJ","CB","?"))</f>
        <v> </v>
      </c>
      <c r="I2650" s="25" t="str">
        <f>IF(OR(E2650="",E2650="!!!",F2650="NEW"),"",INDEX(B2649:B$2,-1+SUMPRODUCT(MAX(ROW(E2649:E$2)*(E2650=E2649:E$2)))))</f>
        <v> </v>
      </c>
      <c r="J2650" s="25" t="str">
        <f>IF(OR(E2650="",E2650="!!!",F2650="NEW"),"",COUNTBLANK(OFFSET(A$1,,,SUMPRODUCT(MAX(ROW(E$2:E2650)*(E2650=E$2:E2650)))))-COUNTBLANK(OFFSET(A$1,,,SUMPRODUCT(MAX(ROW(E$1:E2649)*(E2=E$1:E2649))))))</f>
        <v> </v>
      </c>
      <c r="K2650" s="25" t="str">
        <f>IF(OR(E2650="",E2650="!!!",F2650="NEW"),"",INDEX(J$1:J2649,SUMPRODUCT(MAX(ROW(E$1:E2649)*(E2650=E$1:E2649)))))</f>
        <v> </v>
      </c>
      <c r="L2650" s="26"/>
    </row>
    <row r="2651" spans="1:12">
      <c r="A2651" s="20" t="s">
        <v>518</v>
      </c>
      <c r="E2651" s="21">
        <f>IF(D2651="?OLD","!!!","")</f>
        <v/>
      </c>
      <c r="F2651" s="22" t="str">
        <f>IF(OR(E2651="",E2651="!!!"),"",IF(NOT(ISNA(VLOOKUP(E2651,E$1:E2650,1,FALSE()))),"OLD",IF(AND(E2651&lt;&gt;"",E2651&lt;&gt;"!!!"),"NEW","")))</f>
        <v> </v>
      </c>
      <c r="G2651" s="23" t="str">
        <f>IF(OR(E2651="",E2651="!!!"),"",IF(OR(J2651=0,AND(J2651=1,K2651=1),AND(J2651=1,I2651="SBJ"),AND(J2651=1,I2651=0)),"?IN_FOCUS",IF(J2651&lt;=2,"?ACTIVATED",IF(J2651&lt;&gt;"","?FAMILIAR",IF(F2651="NEW",IF(ISNA(VLOOKUP(E2651,#REF!,1,FALSE())),"?TYPE_IDENTIFIABLE","?REFERENTIAL"),"_")))))</f>
        <v> </v>
      </c>
      <c r="H2651" s="24" t="str">
        <f>IF(J2651&lt;&gt;1,"",IF(I2651="SBJ","CB","?"))</f>
        <v> </v>
      </c>
      <c r="I2651" s="25" t="str">
        <f>IF(OR(E2651="",E2651="!!!",F2651="NEW"),"",INDEX(B2650:B$2,-1+SUMPRODUCT(MAX(ROW(E2650:E$2)*(E2651=E2650:E$2)))))</f>
        <v> </v>
      </c>
      <c r="J2651" s="25" t="str">
        <f>IF(OR(E2651="",E2651="!!!",F2651="NEW"),"",COUNTBLANK(OFFSET(A$1,,,SUMPRODUCT(MAX(ROW(E$2:E2651)*(E2651=E$2:E2651)))))-COUNTBLANK(OFFSET(A$1,,,SUMPRODUCT(MAX(ROW(E$1:E2650)*(E2=E$1:E2650))))))</f>
        <v> </v>
      </c>
      <c r="K2651" s="25" t="str">
        <f>IF(OR(E2651="",E2651="!!!",F2651="NEW"),"",INDEX(J$1:J2650,SUMPRODUCT(MAX(ROW(E$1:E2650)*(E2651=E$1:E2650)))))</f>
        <v> </v>
      </c>
      <c r="L2651" s="26"/>
    </row>
    <row r="2652" spans="1:12">
      <c r="A2652" s="20" t="s">
        <v>542</v>
      </c>
      <c r="E2652" s="21">
        <f>IF(D2652="?OLD","!!!","")</f>
        <v/>
      </c>
      <c r="F2652" s="22" t="str">
        <f>IF(OR(E2652="",E2652="!!!"),"",IF(NOT(ISNA(VLOOKUP(E2652,E$1:E2651,1,FALSE()))),"OLD",IF(AND(E2652&lt;&gt;"",E2652&lt;&gt;"!!!"),"NEW","")))</f>
        <v> </v>
      </c>
      <c r="G2652" s="23" t="str">
        <f>IF(OR(E2652="",E2652="!!!"),"",IF(OR(J2652=0,AND(J2652=1,K2652=1),AND(J2652=1,I2652="SBJ"),AND(J2652=1,I2652=0)),"?IN_FOCUS",IF(J2652&lt;=2,"?ACTIVATED",IF(J2652&lt;&gt;"","?FAMILIAR",IF(F2652="NEW",IF(ISNA(VLOOKUP(E2652,#REF!,1,FALSE())),"?TYPE_IDENTIFIABLE","?REFERENTIAL"),"_")))))</f>
        <v> </v>
      </c>
      <c r="H2652" s="24" t="str">
        <f>IF(J2652&lt;&gt;1,"",IF(I2652="SBJ","CB","?"))</f>
        <v> </v>
      </c>
      <c r="I2652" s="25" t="str">
        <f>IF(OR(E2652="",E2652="!!!",F2652="NEW"),"",INDEX(B2651:B$2,-1+SUMPRODUCT(MAX(ROW(E2651:E$2)*(E2652=E2651:E$2)))))</f>
        <v> </v>
      </c>
      <c r="J2652" s="25" t="str">
        <f>IF(OR(E2652="",E2652="!!!",F2652="NEW"),"",COUNTBLANK(OFFSET(A$1,,,SUMPRODUCT(MAX(ROW(E$2:E2652)*(E2652=E$2:E2652)))))-COUNTBLANK(OFFSET(A$1,,,SUMPRODUCT(MAX(ROW(E$1:E2651)*(E2=E$1:E2651))))))</f>
        <v> </v>
      </c>
      <c r="K2652" s="25" t="str">
        <f>IF(OR(E2652="",E2652="!!!",F2652="NEW"),"",INDEX(J$1:J2651,SUMPRODUCT(MAX(ROW(E$1:E2651)*(E2652=E$1:E2651)))))</f>
        <v> </v>
      </c>
      <c r="L2652" s="26"/>
    </row>
    <row r="2653" spans="1:12">
      <c r="A2653" s="20" t="s">
        <v>700</v>
      </c>
      <c r="B2653" s="27" t="s">
        <v>544</v>
      </c>
      <c r="C2653" s="27" t="s">
        <v>669</v>
      </c>
      <c r="D2653" s="27" t="s">
        <v>524</v>
      </c>
      <c r="E2653" s="21">
        <f>IF(D2653="?OLD","!!!","")</f>
        <v/>
      </c>
      <c r="F2653" s="22" t="str">
        <f>IF(OR(E2653="",E2653="!!!"),"",IF(NOT(ISNA(VLOOKUP(E2653,E$1:E2652,1,FALSE()))),"OLD",IF(AND(E2653&lt;&gt;"",E2653&lt;&gt;"!!!"),"NEW","")))</f>
        <v> </v>
      </c>
      <c r="G2653" s="23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4" t="str">
        <f>IF(J2653&lt;&gt;1,"",IF(I2653="SBJ","CB","?"))</f>
        <v> </v>
      </c>
      <c r="I2653" s="25" t="str">
        <f>IF(OR(E2653="",E2653="!!!",F2653="NEW"),"",INDEX(B2652:B$2,-1+SUMPRODUCT(MAX(ROW(E2652:E$2)*(E2653=E2652:E$2)))))</f>
        <v> </v>
      </c>
      <c r="J2653" s="25" t="str">
        <f>IF(OR(E2653="",E2653="!!!",F2653="NEW"),"",COUNTBLANK(OFFSET(A$1,,,SUMPRODUCT(MAX(ROW(E$2:E2653)*(E2653=E$2:E2653)))))-COUNTBLANK(OFFSET(A$1,,,SUMPRODUCT(MAX(ROW(E$1:E2652)*(E2=E$1:E2652))))))</f>
        <v> </v>
      </c>
      <c r="K2653" s="25" t="str">
        <f>IF(OR(E2653="",E2653="!!!",F2653="NEW"),"",INDEX(J$1:J2652,SUMPRODUCT(MAX(ROW(E$1:E2652)*(E2653=E$1:E2652)))))</f>
        <v> </v>
      </c>
      <c r="L2653" s="26"/>
    </row>
    <row r="2654" spans="1:12">
      <c r="A2654" s="20" t="s">
        <v>1428</v>
      </c>
      <c r="B2654" s="27" t="s">
        <v>597</v>
      </c>
      <c r="C2654" s="27" t="s">
        <v>545</v>
      </c>
      <c r="D2654" s="27" t="s">
        <v>524</v>
      </c>
      <c r="E2654" s="21">
        <f>IF(D2654="?OLD","!!!","")</f>
        <v/>
      </c>
      <c r="F2654" s="22" t="str">
        <f>IF(OR(E2654="",E2654="!!!"),"",IF(NOT(ISNA(VLOOKUP(E2654,E$1:E2653,1,FALSE()))),"OLD",IF(AND(E2654&lt;&gt;"",E2654&lt;&gt;"!!!"),"NEW","")))</f>
        <v> </v>
      </c>
      <c r="G2654" s="23" t="str">
        <f>IF(OR(E2654="",E2654="!!!"),"",IF(OR(J2654=0,AND(J2654=1,K2654=1),AND(J2654=1,I2654="SBJ"),AND(J2654=1,I2654=0)),"?IN_FOCUS",IF(J2654&lt;=2,"?ACTIVATED",IF(J2654&lt;&gt;"","?FAMILIAR",IF(F2654="NEW",IF(ISNA(VLOOKUP(E2654,#REF!,1,FALSE())),"?TYPE_IDENTIFIABLE","?REFERENTIAL"),"_")))))</f>
        <v> </v>
      </c>
      <c r="H2654" s="24" t="str">
        <f>IF(J2654&lt;&gt;1,"",IF(I2654="SBJ","CB","?"))</f>
        <v> </v>
      </c>
      <c r="I2654" s="25" t="str">
        <f>IF(OR(E2654="",E2654="!!!",F2654="NEW"),"",INDEX(B2653:B$2,-1+SUMPRODUCT(MAX(ROW(E2653:E$2)*(E2654=E2653:E$2)))))</f>
        <v> </v>
      </c>
      <c r="J2654" s="25" t="str">
        <f>IF(OR(E2654="",E2654="!!!",F2654="NEW"),"",COUNTBLANK(OFFSET(A$1,,,SUMPRODUCT(MAX(ROW(E$2:E2654)*(E2654=E$2:E2654)))))-COUNTBLANK(OFFSET(A$1,,,SUMPRODUCT(MAX(ROW(E$1:E2653)*(E2=E$1:E2653))))))</f>
        <v> </v>
      </c>
      <c r="K2654" s="25" t="str">
        <f>IF(OR(E2654="",E2654="!!!",F2654="NEW"),"",INDEX(J$1:J2653,SUMPRODUCT(MAX(ROW(E$1:E2653)*(E2654=E$1:E2653)))))</f>
        <v> </v>
      </c>
      <c r="L2654" s="26"/>
    </row>
    <row r="2655" spans="1:12">
      <c r="A2655" s="20" t="s">
        <v>568</v>
      </c>
      <c r="E2655" s="21">
        <f>IF(D2655="?OLD","!!!","")</f>
        <v/>
      </c>
      <c r="F2655" s="22" t="str">
        <f>IF(OR(E2655="",E2655="!!!"),"",IF(NOT(ISNA(VLOOKUP(E2655,E$1:E2654,1,FALSE()))),"OLD",IF(AND(E2655&lt;&gt;"",E2655&lt;&gt;"!!!"),"NEW","")))</f>
        <v> </v>
      </c>
      <c r="G2655" s="23" t="str">
        <f>IF(OR(E2655="",E2655="!!!"),"",IF(OR(J2655=0,AND(J2655=1,K2655=1),AND(J2655=1,I2655="SBJ"),AND(J2655=1,I2655=0)),"?IN_FOCUS",IF(J2655&lt;=2,"?ACTIVATED",IF(J2655&lt;&gt;"","?FAMILIAR",IF(F2655="NEW",IF(ISNA(VLOOKUP(E2655,#REF!,1,FALSE())),"?TYPE_IDENTIFIABLE","?REFERENTIAL"),"_")))))</f>
        <v> </v>
      </c>
      <c r="H2655" s="24" t="str">
        <f>IF(J2655&lt;&gt;1,"",IF(I2655="SBJ","CB","?"))</f>
        <v> </v>
      </c>
      <c r="I2655" s="25" t="str">
        <f>IF(OR(E2655="",E2655="!!!",F2655="NEW"),"",INDEX(B2654:B$2,-1+SUMPRODUCT(MAX(ROW(E2654:E$2)*(E2655=E2654:E$2)))))</f>
        <v> </v>
      </c>
      <c r="J2655" s="25" t="str">
        <f>IF(OR(E2655="",E2655="!!!",F2655="NEW"),"",COUNTBLANK(OFFSET(A$1,,,SUMPRODUCT(MAX(ROW(E$2:E2655)*(E2655=E$2:E2655)))))-COUNTBLANK(OFFSET(A$1,,,SUMPRODUCT(MAX(ROW(E$1:E2654)*(E2=E$1:E2654))))))</f>
        <v> </v>
      </c>
      <c r="K2655" s="25" t="str">
        <f>IF(OR(E2655="",E2655="!!!",F2655="NEW"),"",INDEX(J$1:J2654,SUMPRODUCT(MAX(ROW(E$1:E2654)*(E2655=E$1:E2654)))))</f>
        <v> </v>
      </c>
      <c r="L2655" s="26"/>
    </row>
    <row r="2656" spans="1:12">
      <c r="A2656" s="20" t="s">
        <v>1448</v>
      </c>
      <c r="E2656" s="21">
        <f>IF(D2656="?OLD","!!!","")</f>
        <v/>
      </c>
      <c r="F2656" s="22" t="str">
        <f>IF(OR(E2656="",E2656="!!!"),"",IF(NOT(ISNA(VLOOKUP(E2656,E$1:E2655,1,FALSE()))),"OLD",IF(AND(E2656&lt;&gt;"",E2656&lt;&gt;"!!!"),"NEW","")))</f>
        <v> </v>
      </c>
      <c r="G2656" s="23" t="str">
        <f>IF(OR(E2656="",E2656="!!!"),"",IF(OR(J2656=0,AND(J2656=1,K2656=1),AND(J2656=1,I2656="SBJ"),AND(J2656=1,I2656=0)),"?IN_FOCUS",IF(J2656&lt;=2,"?ACTIVATED",IF(J2656&lt;&gt;"","?FAMILIAR",IF(F2656="NEW",IF(ISNA(VLOOKUP(E2656,#REF!,1,FALSE())),"?TYPE_IDENTIFIABLE","?REFERENTIAL"),"_")))))</f>
        <v> </v>
      </c>
      <c r="H2656" s="24" t="str">
        <f>IF(J2656&lt;&gt;1,"",IF(I2656="SBJ","CB","?"))</f>
        <v> </v>
      </c>
      <c r="I2656" s="25" t="str">
        <f>IF(OR(E2656="",E2656="!!!",F2656="NEW"),"",INDEX(B2655:B$2,-1+SUMPRODUCT(MAX(ROW(E2655:E$2)*(E2656=E2655:E$2)))))</f>
        <v> </v>
      </c>
      <c r="J2656" s="25" t="str">
        <f>IF(OR(E2656="",E2656="!!!",F2656="NEW"),"",COUNTBLANK(OFFSET(A$1,,,SUMPRODUCT(MAX(ROW(E$2:E2656)*(E2656=E$2:E2656)))))-COUNTBLANK(OFFSET(A$1,,,SUMPRODUCT(MAX(ROW(E$1:E2655)*(E2=E$1:E2655))))))</f>
        <v> </v>
      </c>
      <c r="K2656" s="25" t="str">
        <f>IF(OR(E2656="",E2656="!!!",F2656="NEW"),"",INDEX(J$1:J2655,SUMPRODUCT(MAX(ROW(E$1:E2655)*(E2656=E$1:E2655)))))</f>
        <v> </v>
      </c>
      <c r="L2656" s="26"/>
    </row>
    <row r="2657" spans="1:12">
      <c r="A2657" s="20" t="s">
        <v>518</v>
      </c>
      <c r="E2657" s="21">
        <f>IF(D2657="?OLD","!!!","")</f>
        <v/>
      </c>
      <c r="F2657" s="22" t="str">
        <f>IF(OR(E2657="",E2657="!!!"),"",IF(NOT(ISNA(VLOOKUP(E2657,E$1:E2656,1,FALSE()))),"OLD",IF(AND(E2657&lt;&gt;"",E2657&lt;&gt;"!!!"),"NEW","")))</f>
        <v> </v>
      </c>
      <c r="G2657" s="23" t="str">
        <f>IF(OR(E2657="",E2657="!!!"),"",IF(OR(J2657=0,AND(J2657=1,K2657=1),AND(J2657=1,I2657="SBJ"),AND(J2657=1,I2657=0)),"?IN_FOCUS",IF(J2657&lt;=2,"?ACTIVATED",IF(J2657&lt;&gt;"","?FAMILIAR",IF(F2657="NEW",IF(ISNA(VLOOKUP(E2657,#REF!,1,FALSE())),"?TYPE_IDENTIFIABLE","?REFERENTIAL"),"_")))))</f>
        <v> </v>
      </c>
      <c r="H2657" s="24" t="str">
        <f>IF(J2657&lt;&gt;1,"",IF(I2657="SBJ","CB","?"))</f>
        <v> </v>
      </c>
      <c r="I2657" s="25" t="str">
        <f>IF(OR(E2657="",E2657="!!!",F2657="NEW"),"",INDEX(B2656:B$2,-1+SUMPRODUCT(MAX(ROW(E2656:E$2)*(E2657=E2656:E$2)))))</f>
        <v> </v>
      </c>
      <c r="J2657" s="25" t="str">
        <f>IF(OR(E2657="",E2657="!!!",F2657="NEW"),"",COUNTBLANK(OFFSET(A$1,,,SUMPRODUCT(MAX(ROW(E$2:E2657)*(E2657=E$2:E2657)))))-COUNTBLANK(OFFSET(A$1,,,SUMPRODUCT(MAX(ROW(E$1:E2656)*(E2=E$1:E2656))))))</f>
        <v> </v>
      </c>
      <c r="K2657" s="25" t="str">
        <f>IF(OR(E2657="",E2657="!!!",F2657="NEW"),"",INDEX(J$1:J2656,SUMPRODUCT(MAX(ROW(E$1:E2656)*(E2657=E$1:E2656)))))</f>
        <v> </v>
      </c>
      <c r="L2657" s="26"/>
    </row>
    <row r="2658" spans="1:12">
      <c r="A2658" s="20" t="s">
        <v>1449</v>
      </c>
      <c r="B2658" s="27" t="s">
        <v>592</v>
      </c>
      <c r="C2658" s="27" t="s">
        <v>564</v>
      </c>
      <c r="E2658" s="21">
        <f>IF(D2658="?OLD","!!!","")</f>
        <v/>
      </c>
      <c r="F2658" s="22" t="str">
        <f>IF(OR(E2658="",E2658="!!!"),"",IF(NOT(ISNA(VLOOKUP(E2658,E$1:E2657,1,FALSE()))),"OLD",IF(AND(E2658&lt;&gt;"",E2658&lt;&gt;"!!!"),"NEW","")))</f>
        <v> </v>
      </c>
      <c r="G2658" s="23" t="str">
        <f>IF(OR(E2658="",E2658="!!!"),"",IF(OR(J2658=0,AND(J2658=1,K2658=1),AND(J2658=1,I2658="SBJ"),AND(J2658=1,I2658=0)),"?IN_FOCUS",IF(J2658&lt;=2,"?ACTIVATED",IF(J2658&lt;&gt;"","?FAMILIAR",IF(F2658="NEW",IF(ISNA(VLOOKUP(E2658,#REF!,1,FALSE())),"?TYPE_IDENTIFIABLE","?REFERENTIAL"),"_")))))</f>
        <v> </v>
      </c>
      <c r="H2658" s="24" t="str">
        <f>IF(J2658&lt;&gt;1,"",IF(I2658="SBJ","CB","?"))</f>
        <v> </v>
      </c>
      <c r="I2658" s="25" t="str">
        <f>IF(OR(E2658="",E2658="!!!",F2658="NEW"),"",INDEX(B2657:B$2,-1+SUMPRODUCT(MAX(ROW(E2657:E$2)*(E2658=E2657:E$2)))))</f>
        <v> </v>
      </c>
      <c r="J2658" s="25" t="str">
        <f>IF(OR(E2658="",E2658="!!!",F2658="NEW"),"",COUNTBLANK(OFFSET(A$1,,,SUMPRODUCT(MAX(ROW(E$2:E2658)*(E2658=E$2:E2658)))))-COUNTBLANK(OFFSET(A$1,,,SUMPRODUCT(MAX(ROW(E$1:E2657)*(E2=E$1:E2657))))))</f>
        <v> </v>
      </c>
      <c r="K2658" s="25" t="str">
        <f>IF(OR(E2658="",E2658="!!!",F2658="NEW"),"",INDEX(J$1:J2657,SUMPRODUCT(MAX(ROW(E$1:E2657)*(E2658=E$1:E2657)))))</f>
        <v> </v>
      </c>
      <c r="L2658" s="26"/>
    </row>
    <row r="2659" spans="1:12">
      <c r="A2659" s="20" t="s">
        <v>565</v>
      </c>
      <c r="E2659" s="21">
        <f>IF(D2659="?OLD","!!!","")</f>
        <v/>
      </c>
      <c r="F2659" s="22" t="str">
        <f>IF(OR(E2659="",E2659="!!!"),"",IF(NOT(ISNA(VLOOKUP(E2659,E$1:E2658,1,FALSE()))),"OLD",IF(AND(E2659&lt;&gt;"",E2659&lt;&gt;"!!!"),"NEW","")))</f>
        <v> </v>
      </c>
      <c r="G2659" s="23" t="str">
        <f>IF(OR(E2659="",E2659="!!!"),"",IF(OR(J2659=0,AND(J2659=1,K2659=1),AND(J2659=1,I2659="SBJ"),AND(J2659=1,I2659=0)),"?IN_FOCUS",IF(J2659&lt;=2,"?ACTIVATED",IF(J2659&lt;&gt;"","?FAMILIAR",IF(F2659="NEW",IF(ISNA(VLOOKUP(E2659,#REF!,1,FALSE())),"?TYPE_IDENTIFIABLE","?REFERENTIAL"),"_")))))</f>
        <v> </v>
      </c>
      <c r="H2659" s="24" t="str">
        <f>IF(J2659&lt;&gt;1,"",IF(I2659="SBJ","CB","?"))</f>
        <v> </v>
      </c>
      <c r="I2659" s="25" t="str">
        <f>IF(OR(E2659="",E2659="!!!",F2659="NEW"),"",INDEX(B2658:B$2,-1+SUMPRODUCT(MAX(ROW(E2658:E$2)*(E2659=E2658:E$2)))))</f>
        <v> </v>
      </c>
      <c r="J2659" s="25" t="str">
        <f>IF(OR(E2659="",E2659="!!!",F2659="NEW"),"",COUNTBLANK(OFFSET(A$1,,,SUMPRODUCT(MAX(ROW(E$2:E2659)*(E2659=E$2:E2659)))))-COUNTBLANK(OFFSET(A$1,,,SUMPRODUCT(MAX(ROW(E$1:E2658)*(E2=E$1:E2658))))))</f>
        <v> </v>
      </c>
      <c r="K2659" s="25" t="str">
        <f>IF(OR(E2659="",E2659="!!!",F2659="NEW"),"",INDEX(J$1:J2658,SUMPRODUCT(MAX(ROW(E$1:E2658)*(E2659=E$1:E2658)))))</f>
        <v> </v>
      </c>
      <c r="L2659" s="26"/>
    </row>
    <row r="2660" spans="1:12">
      <c r="A2660" s="20" t="s">
        <v>625</v>
      </c>
      <c r="E2660" s="21">
        <f>IF(D2660="?OLD","!!!","")</f>
        <v/>
      </c>
      <c r="F2660" s="22" t="str">
        <f>IF(OR(E2660="",E2660="!!!"),"",IF(NOT(ISNA(VLOOKUP(E2660,E$1:E2659,1,FALSE()))),"OLD",IF(AND(E2660&lt;&gt;"",E2660&lt;&gt;"!!!"),"NEW","")))</f>
        <v> </v>
      </c>
      <c r="G2660" s="23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4" t="str">
        <f>IF(J2660&lt;&gt;1,"",IF(I2660="SBJ","CB","?"))</f>
        <v> </v>
      </c>
      <c r="I2660" s="25" t="str">
        <f>IF(OR(E2660="",E2660="!!!",F2660="NEW"),"",INDEX(B2659:B$2,-1+SUMPRODUCT(MAX(ROW(E2659:E$2)*(E2660=E2659:E$2)))))</f>
        <v> </v>
      </c>
      <c r="J2660" s="25" t="str">
        <f>IF(OR(E2660="",E2660="!!!",F2660="NEW"),"",COUNTBLANK(OFFSET(A$1,,,SUMPRODUCT(MAX(ROW(E$2:E2660)*(E2660=E$2:E2660)))))-COUNTBLANK(OFFSET(A$1,,,SUMPRODUCT(MAX(ROW(E$1:E2659)*(E2=E$1:E2659))))))</f>
        <v> </v>
      </c>
      <c r="K2660" s="25" t="str">
        <f>IF(OR(E2660="",E2660="!!!",F2660="NEW"),"",INDEX(J$1:J2659,SUMPRODUCT(MAX(ROW(E$1:E2659)*(E2660=E$1:E2659)))))</f>
        <v> </v>
      </c>
      <c r="L2660" s="26"/>
    </row>
    <row r="2661" spans="1:12">
      <c r="A2661" s="20" t="s">
        <v>571</v>
      </c>
      <c r="E2661" s="21">
        <f>IF(D2661="?OLD","!!!","")</f>
        <v/>
      </c>
      <c r="F2661" s="22" t="str">
        <f>IF(OR(E2661="",E2661="!!!"),"",IF(NOT(ISNA(VLOOKUP(E2661,E$1:E2660,1,FALSE()))),"OLD",IF(AND(E2661&lt;&gt;"",E2661&lt;&gt;"!!!"),"NEW","")))</f>
        <v> </v>
      </c>
      <c r="G2661" s="23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4" t="str">
        <f>IF(J2661&lt;&gt;1,"",IF(I2661="SBJ","CB","?"))</f>
        <v> </v>
      </c>
      <c r="I2661" s="25" t="str">
        <f>IF(OR(E2661="",E2661="!!!",F2661="NEW"),"",INDEX(B2660:B$2,-1+SUMPRODUCT(MAX(ROW(E2660:E$2)*(E2661=E2660:E$2)))))</f>
        <v> </v>
      </c>
      <c r="J2661" s="25" t="str">
        <f>IF(OR(E2661="",E2661="!!!",F2661="NEW"),"",COUNTBLANK(OFFSET(A$1,,,SUMPRODUCT(MAX(ROW(E$2:E2661)*(E2661=E$2:E2661)))))-COUNTBLANK(OFFSET(A$1,,,SUMPRODUCT(MAX(ROW(E$1:E2660)*(E2=E$1:E2660))))))</f>
        <v> </v>
      </c>
      <c r="K2661" s="25" t="str">
        <f>IF(OR(E2661="",E2661="!!!",F2661="NEW"),"",INDEX(J$1:J2660,SUMPRODUCT(MAX(ROW(E$1:E2660)*(E2661=E$1:E2660)))))</f>
        <v> </v>
      </c>
      <c r="L2661" s="26"/>
    </row>
    <row r="2662" spans="1:12">
      <c r="A2662" s="20" t="s">
        <v>1432</v>
      </c>
      <c r="B2662" s="27" t="s">
        <v>667</v>
      </c>
      <c r="C2662" s="27" t="s">
        <v>545</v>
      </c>
      <c r="D2662" s="27" t="s">
        <v>524</v>
      </c>
      <c r="E2662" s="21">
        <f>IF(D2662="?OLD","!!!","")</f>
        <v/>
      </c>
      <c r="F2662" s="22" t="str">
        <f>IF(OR(E2662="",E2662="!!!"),"",IF(NOT(ISNA(VLOOKUP(E2662,E$1:E2661,1,FALSE()))),"OLD",IF(AND(E2662&lt;&gt;"",E2662&lt;&gt;"!!!"),"NEW","")))</f>
        <v> </v>
      </c>
      <c r="G2662" s="23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4" t="str">
        <f>IF(J2662&lt;&gt;1,"",IF(I2662="SBJ","CB","?"))</f>
        <v> </v>
      </c>
      <c r="I2662" s="25" t="str">
        <f>IF(OR(E2662="",E2662="!!!",F2662="NEW"),"",INDEX(B2661:B$2,-1+SUMPRODUCT(MAX(ROW(E2661:E$2)*(E2662=E2661:E$2)))))</f>
        <v> </v>
      </c>
      <c r="J2662" s="25" t="str">
        <f>IF(OR(E2662="",E2662="!!!",F2662="NEW"),"",COUNTBLANK(OFFSET(A$1,,,SUMPRODUCT(MAX(ROW(E$2:E2662)*(E2662=E$2:E2662)))))-COUNTBLANK(OFFSET(A$1,,,SUMPRODUCT(MAX(ROW(E$1:E2661)*(E2=E$1:E2661))))))</f>
        <v> </v>
      </c>
      <c r="K2662" s="25" t="str">
        <f>IF(OR(E2662="",E2662="!!!",F2662="NEW"),"",INDEX(J$1:J2661,SUMPRODUCT(MAX(ROW(E$1:E2661)*(E2662=E$1:E2661)))))</f>
        <v> </v>
      </c>
      <c r="L2662" s="26"/>
    </row>
    <row r="2663" spans="1:12">
      <c r="A2663" s="20" t="s">
        <v>528</v>
      </c>
      <c r="B2663" s="27" t="s">
        <v>529</v>
      </c>
      <c r="E2663" s="21">
        <f>IF(D2663="?OLD","!!!","")</f>
        <v/>
      </c>
      <c r="F2663" s="22" t="str">
        <f>IF(OR(E2663="",E2663="!!!"),"",IF(NOT(ISNA(VLOOKUP(E2663,E$1:E2662,1,FALSE()))),"OLD",IF(AND(E2663&lt;&gt;"",E2663&lt;&gt;"!!!"),"NEW","")))</f>
        <v> </v>
      </c>
      <c r="G2663" s="23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4" t="str">
        <f>IF(J2663&lt;&gt;1,"",IF(I2663="SBJ","CB","?"))</f>
        <v> </v>
      </c>
      <c r="I2663" s="25" t="str">
        <f>IF(OR(E2663="",E2663="!!!",F2663="NEW"),"",INDEX(B2662:B$2,-1+SUMPRODUCT(MAX(ROW(E2662:E$2)*(E2663=E2662:E$2)))))</f>
        <v> </v>
      </c>
      <c r="J2663" s="25" t="str">
        <f>IF(OR(E2663="",E2663="!!!",F2663="NEW"),"",COUNTBLANK(OFFSET(A$1,,,SUMPRODUCT(MAX(ROW(E$2:E2663)*(E2663=E$2:E2663)))))-COUNTBLANK(OFFSET(A$1,,,SUMPRODUCT(MAX(ROW(E$1:E2662)*(E2=E$1:E2662))))))</f>
        <v> </v>
      </c>
      <c r="K2663" s="25" t="str">
        <f>IF(OR(E2663="",E2663="!!!",F2663="NEW"),"",INDEX(J$1:J2662,SUMPRODUCT(MAX(ROW(E$1:E2662)*(E2663=E$1:E2662)))))</f>
        <v> </v>
      </c>
      <c r="L2663" s="26"/>
    </row>
    <row r="2664" spans="1:12">
      <c r="A2664" s="20" t="s">
        <v>1450</v>
      </c>
      <c r="E2664" s="21">
        <f>IF(D2664="?OLD","!!!","")</f>
        <v/>
      </c>
      <c r="F2664" s="22" t="str">
        <f>IF(OR(E2664="",E2664="!!!"),"",IF(NOT(ISNA(VLOOKUP(E2664,E$1:E2663,1,FALSE()))),"OLD",IF(AND(E2664&lt;&gt;"",E2664&lt;&gt;"!!!"),"NEW","")))</f>
        <v> </v>
      </c>
      <c r="G2664" s="23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4" t="str">
        <f>IF(J2664&lt;&gt;1,"",IF(I2664="SBJ","CB","?"))</f>
        <v> </v>
      </c>
      <c r="I2664" s="25" t="str">
        <f>IF(OR(E2664="",E2664="!!!",F2664="NEW"),"",INDEX(B2663:B$2,-1+SUMPRODUCT(MAX(ROW(E2663:E$2)*(E2664=E2663:E$2)))))</f>
        <v> </v>
      </c>
      <c r="J2664" s="25" t="str">
        <f>IF(OR(E2664="",E2664="!!!",F2664="NEW"),"",COUNTBLANK(OFFSET(A$1,,,SUMPRODUCT(MAX(ROW(E$2:E2664)*(E2664=E$2:E2664)))))-COUNTBLANK(OFFSET(A$1,,,SUMPRODUCT(MAX(ROW(E$1:E2663)*(E2=E$1:E2663))))))</f>
        <v> </v>
      </c>
      <c r="K2664" s="25" t="str">
        <f>IF(OR(E2664="",E2664="!!!",F2664="NEW"),"",INDEX(J$1:J2663,SUMPRODUCT(MAX(ROW(E$1:E2663)*(E2664=E$1:E2663)))))</f>
        <v> </v>
      </c>
      <c r="L2664" s="26"/>
    </row>
    <row r="2665" spans="1:12">
      <c r="A2665" s="20" t="s">
        <v>577</v>
      </c>
      <c r="E2665" s="21">
        <f>IF(D2665="?OLD","!!!","")</f>
        <v/>
      </c>
      <c r="F2665" s="22" t="str">
        <f>IF(OR(E2665="",E2665="!!!"),"",IF(NOT(ISNA(VLOOKUP(E2665,E$1:E2664,1,FALSE()))),"OLD",IF(AND(E2665&lt;&gt;"",E2665&lt;&gt;"!!!"),"NEW","")))</f>
        <v> </v>
      </c>
      <c r="G2665" s="23" t="str">
        <f>IF(OR(E2665="",E2665="!!!"),"",IF(OR(J2665=0,AND(J2665=1,K2665=1),AND(J2665=1,I2665="SBJ"),AND(J2665=1,I2665=0)),"?IN_FOCUS",IF(J2665&lt;=2,"?ACTIVATED",IF(J2665&lt;&gt;"","?FAMILIAR",IF(F2665="NEW",IF(ISNA(VLOOKUP(E2665,#REF!,1,FALSE())),"?TYPE_IDENTIFIABLE","?REFERENTIAL"),"_")))))</f>
        <v> </v>
      </c>
      <c r="H2665" s="24" t="str">
        <f>IF(J2665&lt;&gt;1,"",IF(I2665="SBJ","CB","?"))</f>
        <v> </v>
      </c>
      <c r="I2665" s="25" t="str">
        <f>IF(OR(E2665="",E2665="!!!",F2665="NEW"),"",INDEX(B2664:B$2,-1+SUMPRODUCT(MAX(ROW(E2664:E$2)*(E2665=E2664:E$2)))))</f>
        <v> </v>
      </c>
      <c r="J2665" s="25" t="str">
        <f>IF(OR(E2665="",E2665="!!!",F2665="NEW"),"",COUNTBLANK(OFFSET(A$1,,,SUMPRODUCT(MAX(ROW(E$2:E2665)*(E2665=E$2:E2665)))))-COUNTBLANK(OFFSET(A$1,,,SUMPRODUCT(MAX(ROW(E$1:E2664)*(E2=E$1:E2664))))))</f>
        <v> </v>
      </c>
      <c r="K2665" s="25" t="str">
        <f>IF(OR(E2665="",E2665="!!!",F2665="NEW"),"",INDEX(J$1:J2664,SUMPRODUCT(MAX(ROW(E$1:E2664)*(E2665=E$1:E2664)))))</f>
        <v> </v>
      </c>
      <c r="L2665" s="26"/>
    </row>
    <row r="2666" spans="1:12">
      <c r="A2666" s="20" t="s">
        <v>571</v>
      </c>
      <c r="E2666" s="21">
        <f>IF(D2666="?OLD","!!!","")</f>
        <v/>
      </c>
      <c r="F2666" s="22" t="str">
        <f>IF(OR(E2666="",E2666="!!!"),"",IF(NOT(ISNA(VLOOKUP(E2666,E$1:E2665,1,FALSE()))),"OLD",IF(AND(E2666&lt;&gt;"",E2666&lt;&gt;"!!!"),"NEW","")))</f>
        <v> </v>
      </c>
      <c r="G2666" s="23" t="str">
        <f>IF(OR(E2666="",E2666="!!!"),"",IF(OR(J2666=0,AND(J2666=1,K2666=1),AND(J2666=1,I2666="SBJ"),AND(J2666=1,I2666=0)),"?IN_FOCUS",IF(J2666&lt;=2,"?ACTIVATED",IF(J2666&lt;&gt;"","?FAMILIAR",IF(F2666="NEW",IF(ISNA(VLOOKUP(E2666,#REF!,1,FALSE())),"?TYPE_IDENTIFIABLE","?REFERENTIAL"),"_")))))</f>
        <v> </v>
      </c>
      <c r="H2666" s="24" t="str">
        <f>IF(J2666&lt;&gt;1,"",IF(I2666="SBJ","CB","?"))</f>
        <v> </v>
      </c>
      <c r="I2666" s="25" t="str">
        <f>IF(OR(E2666="",E2666="!!!",F2666="NEW"),"",INDEX(B2665:B$2,-1+SUMPRODUCT(MAX(ROW(E2665:E$2)*(E2666=E2665:E$2)))))</f>
        <v> </v>
      </c>
      <c r="J2666" s="25" t="str">
        <f>IF(OR(E2666="",E2666="!!!",F2666="NEW"),"",COUNTBLANK(OFFSET(A$1,,,SUMPRODUCT(MAX(ROW(E$2:E2666)*(E2666=E$2:E2666)))))-COUNTBLANK(OFFSET(A$1,,,SUMPRODUCT(MAX(ROW(E$1:E2665)*(E2=E$1:E2665))))))</f>
        <v> </v>
      </c>
      <c r="K2666" s="25" t="str">
        <f>IF(OR(E2666="",E2666="!!!",F2666="NEW"),"",INDEX(J$1:J2665,SUMPRODUCT(MAX(ROW(E$1:E2665)*(E2666=E$1:E2665)))))</f>
        <v> </v>
      </c>
      <c r="L2666" s="26"/>
    </row>
    <row r="2667" spans="1:12">
      <c r="A2667" s="20" t="s">
        <v>668</v>
      </c>
      <c r="B2667" s="27" t="s">
        <v>641</v>
      </c>
      <c r="C2667" s="27" t="s">
        <v>669</v>
      </c>
      <c r="D2667" s="27" t="s">
        <v>524</v>
      </c>
      <c r="E2667" s="21">
        <f>IF(D2667="?OLD","!!!","")</f>
        <v/>
      </c>
      <c r="F2667" s="22" t="str">
        <f>IF(OR(E2667="",E2667="!!!"),"",IF(NOT(ISNA(VLOOKUP(E2667,E$1:E2666,1,FALSE()))),"OLD",IF(AND(E2667&lt;&gt;"",E2667&lt;&gt;"!!!"),"NEW","")))</f>
        <v> </v>
      </c>
      <c r="G2667" s="23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4" t="str">
        <f>IF(J2667&lt;&gt;1,"",IF(I2667="SBJ","CB","?"))</f>
        <v> </v>
      </c>
      <c r="I2667" s="25" t="str">
        <f>IF(OR(E2667="",E2667="!!!",F2667="NEW"),"",INDEX(B2666:B$2,-1+SUMPRODUCT(MAX(ROW(E2666:E$2)*(E2667=E2666:E$2)))))</f>
        <v> </v>
      </c>
      <c r="J2667" s="25" t="str">
        <f>IF(OR(E2667="",E2667="!!!",F2667="NEW"),"",COUNTBLANK(OFFSET(A$1,,,SUMPRODUCT(MAX(ROW(E$2:E2667)*(E2667=E$2:E2667)))))-COUNTBLANK(OFFSET(A$1,,,SUMPRODUCT(MAX(ROW(E$1:E2666)*(E2=E$1:E2666))))))</f>
        <v> </v>
      </c>
      <c r="K2667" s="25" t="str">
        <f>IF(OR(E2667="",E2667="!!!",F2667="NEW"),"",INDEX(J$1:J2666,SUMPRODUCT(MAX(ROW(E$1:E2666)*(E2667=E$1:E2666)))))</f>
        <v> </v>
      </c>
      <c r="L2667" s="26"/>
    </row>
    <row r="2668" spans="1:12">
      <c r="A2668" s="20" t="s">
        <v>1451</v>
      </c>
      <c r="B2668" s="27" t="s">
        <v>573</v>
      </c>
      <c r="C2668" s="27" t="s">
        <v>545</v>
      </c>
      <c r="D2668" s="27" t="s">
        <v>524</v>
      </c>
      <c r="E2668" s="21">
        <f>IF(D2668="?OLD","!!!","")</f>
        <v/>
      </c>
      <c r="F2668" s="22" t="str">
        <f>IF(OR(E2668="",E2668="!!!"),"",IF(NOT(ISNA(VLOOKUP(E2668,E$1:E2667,1,FALSE()))),"OLD",IF(AND(E2668&lt;&gt;"",E2668&lt;&gt;"!!!"),"NEW","")))</f>
        <v> </v>
      </c>
      <c r="G2668" s="23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4" t="str">
        <f>IF(J2668&lt;&gt;1,"",IF(I2668="SBJ","CB","?"))</f>
        <v> </v>
      </c>
      <c r="I2668" s="25" t="str">
        <f>IF(OR(E2668="",E2668="!!!",F2668="NEW"),"",INDEX(B2667:B$2,-1+SUMPRODUCT(MAX(ROW(E2667:E$2)*(E2668=E2667:E$2)))))</f>
        <v> </v>
      </c>
      <c r="J2668" s="25" t="str">
        <f>IF(OR(E2668="",E2668="!!!",F2668="NEW"),"",COUNTBLANK(OFFSET(A$1,,,SUMPRODUCT(MAX(ROW(E$2:E2668)*(E2668=E$2:E2668)))))-COUNTBLANK(OFFSET(A$1,,,SUMPRODUCT(MAX(ROW(E$1:E2667)*(E2=E$1:E2667))))))</f>
        <v> </v>
      </c>
      <c r="K2668" s="25" t="str">
        <f>IF(OR(E2668="",E2668="!!!",F2668="NEW"),"",INDEX(J$1:J2667,SUMPRODUCT(MAX(ROW(E$1:E2667)*(E2668=E$1:E2667)))))</f>
        <v> </v>
      </c>
      <c r="L2668" s="26"/>
    </row>
    <row r="2669" spans="1:12">
      <c r="A2669" s="20" t="s">
        <v>646</v>
      </c>
      <c r="E2669" s="21">
        <f>IF(D2669="?OLD","!!!","")</f>
        <v/>
      </c>
      <c r="F2669" s="22" t="str">
        <f>IF(OR(E2669="",E2669="!!!"),"",IF(NOT(ISNA(VLOOKUP(E2669,E$1:E2668,1,FALSE()))),"OLD",IF(AND(E2669&lt;&gt;"",E2669&lt;&gt;"!!!"),"NEW","")))</f>
        <v> </v>
      </c>
      <c r="G2669" s="23" t="str">
        <f>IF(OR(E2669="",E2669="!!!"),"",IF(OR(J2669=0,AND(J2669=1,K2669=1),AND(J2669=1,I2669="SBJ"),AND(J2669=1,I2669=0)),"?IN_FOCUS",IF(J2669&lt;=2,"?ACTIVATED",IF(J2669&lt;&gt;"","?FAMILIAR",IF(F2669="NEW",IF(ISNA(VLOOKUP(E2669,#REF!,1,FALSE())),"?TYPE_IDENTIFIABLE","?REFERENTIAL"),"_")))))</f>
        <v> </v>
      </c>
      <c r="H2669" s="24" t="str">
        <f>IF(J2669&lt;&gt;1,"",IF(I2669="SBJ","CB","?"))</f>
        <v> </v>
      </c>
      <c r="I2669" s="25" t="str">
        <f>IF(OR(E2669="",E2669="!!!",F2669="NEW"),"",INDEX(B2668:B$2,-1+SUMPRODUCT(MAX(ROW(E2668:E$2)*(E2669=E2668:E$2)))))</f>
        <v> </v>
      </c>
      <c r="J2669" s="25" t="str">
        <f>IF(OR(E2669="",E2669="!!!",F2669="NEW"),"",COUNTBLANK(OFFSET(A$1,,,SUMPRODUCT(MAX(ROW(E$2:E2669)*(E2669=E$2:E2669)))))-COUNTBLANK(OFFSET(A$1,,,SUMPRODUCT(MAX(ROW(E$1:E2668)*(E2=E$1:E2668))))))</f>
        <v> </v>
      </c>
      <c r="K2669" s="25" t="str">
        <f>IF(OR(E2669="",E2669="!!!",F2669="NEW"),"",INDEX(J$1:J2668,SUMPRODUCT(MAX(ROW(E$1:E2668)*(E2669=E$1:E2668)))))</f>
        <v> </v>
      </c>
      <c r="L2669" s="26"/>
    </row>
    <row r="2670" spans="1:12">
      <c r="A2670" s="20" t="s">
        <v>538</v>
      </c>
      <c r="E2670" s="21">
        <f>IF(D2670="?OLD","!!!","")</f>
        <v/>
      </c>
      <c r="F2670" s="22" t="str">
        <f>IF(OR(E2670="",E2670="!!!"),"",IF(NOT(ISNA(VLOOKUP(E2670,E$1:E2669,1,FALSE()))),"OLD",IF(AND(E2670&lt;&gt;"",E2670&lt;&gt;"!!!"),"NEW","")))</f>
        <v> </v>
      </c>
      <c r="G2670" s="23" t="str">
        <f>IF(OR(E2670="",E2670="!!!"),"",IF(OR(J2670=0,AND(J2670=1,K2670=1),AND(J2670=1,I2670="SBJ"),AND(J2670=1,I2670=0)),"?IN_FOCUS",IF(J2670&lt;=2,"?ACTIVATED",IF(J2670&lt;&gt;"","?FAMILIAR",IF(F2670="NEW",IF(ISNA(VLOOKUP(E2670,#REF!,1,FALSE())),"?TYPE_IDENTIFIABLE","?REFERENTIAL"),"_")))))</f>
        <v> </v>
      </c>
      <c r="H2670" s="24" t="str">
        <f>IF(J2670&lt;&gt;1,"",IF(I2670="SBJ","CB","?"))</f>
        <v> </v>
      </c>
      <c r="I2670" s="25" t="str">
        <f>IF(OR(E2670="",E2670="!!!",F2670="NEW"),"",INDEX(B2669:B$2,-1+SUMPRODUCT(MAX(ROW(E2669:E$2)*(E2670=E2669:E$2)))))</f>
        <v> </v>
      </c>
      <c r="J2670" s="25" t="str">
        <f>IF(OR(E2670="",E2670="!!!",F2670="NEW"),"",COUNTBLANK(OFFSET(A$1,,,SUMPRODUCT(MAX(ROW(E$2:E2670)*(E2670=E$2:E2670)))))-COUNTBLANK(OFFSET(A$1,,,SUMPRODUCT(MAX(ROW(E$1:E2669)*(E2=E$1:E2669))))))</f>
        <v> </v>
      </c>
      <c r="K2670" s="25" t="str">
        <f>IF(OR(E2670="",E2670="!!!",F2670="NEW"),"",INDEX(J$1:J2669,SUMPRODUCT(MAX(ROW(E$1:E2669)*(E2670=E$1:E2669)))))</f>
        <v> </v>
      </c>
      <c r="L2670" s="26"/>
    </row>
    <row r="2671" spans="1:12">
      <c r="A2671" s="20" t="s">
        <v>767</v>
      </c>
      <c r="B2671" s="27" t="s">
        <v>592</v>
      </c>
      <c r="C2671" s="27" t="s">
        <v>540</v>
      </c>
      <c r="D2671" s="27" t="s">
        <v>524</v>
      </c>
      <c r="E2671" s="21">
        <f>IF(D2671="?OLD","!!!","")</f>
        <v/>
      </c>
      <c r="F2671" s="22" t="str">
        <f>IF(OR(E2671="",E2671="!!!"),"",IF(NOT(ISNA(VLOOKUP(E2671,E$1:E2670,1,FALSE()))),"OLD",IF(AND(E2671&lt;&gt;"",E2671&lt;&gt;"!!!"),"NEW","")))</f>
        <v> </v>
      </c>
      <c r="G2671" s="23" t="str">
        <f>IF(OR(E2671="",E2671="!!!"),"",IF(OR(J2671=0,AND(J2671=1,K2671=1),AND(J2671=1,I2671="SBJ"),AND(J2671=1,I2671=0)),"?IN_FOCUS",IF(J2671&lt;=2,"?ACTIVATED",IF(J2671&lt;&gt;"","?FAMILIAR",IF(F2671="NEW",IF(ISNA(VLOOKUP(E2671,#REF!,1,FALSE())),"?TYPE_IDENTIFIABLE","?REFERENTIAL"),"_")))))</f>
        <v> </v>
      </c>
      <c r="H2671" s="24" t="str">
        <f>IF(J2671&lt;&gt;1,"",IF(I2671="SBJ","CB","?"))</f>
        <v> </v>
      </c>
      <c r="I2671" s="25" t="str">
        <f>IF(OR(E2671="",E2671="!!!",F2671="NEW"),"",INDEX(B2670:B$2,-1+SUMPRODUCT(MAX(ROW(E2670:E$2)*(E2671=E2670:E$2)))))</f>
        <v> </v>
      </c>
      <c r="J2671" s="25" t="str">
        <f>IF(OR(E2671="",E2671="!!!",F2671="NEW"),"",COUNTBLANK(OFFSET(A$1,,,SUMPRODUCT(MAX(ROW(E$2:E2671)*(E2671=E$2:E2671)))))-COUNTBLANK(OFFSET(A$1,,,SUMPRODUCT(MAX(ROW(E$1:E2670)*(E2=E$1:E2670))))))</f>
        <v> </v>
      </c>
      <c r="K2671" s="25" t="str">
        <f>IF(OR(E2671="",E2671="!!!",F2671="NEW"),"",INDEX(J$1:J2670,SUMPRODUCT(MAX(ROW(E$1:E2670)*(E2671=E$1:E2670)))))</f>
        <v> </v>
      </c>
      <c r="L2671" s="26"/>
    </row>
    <row r="2672" spans="1:12">
      <c r="A2672" s="20" t="s">
        <v>385</v>
      </c>
      <c r="E2672" s="21">
        <f>IF(D2672="?OLD","!!!","")</f>
        <v/>
      </c>
      <c r="F2672" s="22" t="str">
        <f>IF(OR(E2672="",E2672="!!!"),"",IF(NOT(ISNA(VLOOKUP(E2672,E$1:E2671,1,FALSE()))),"OLD",IF(AND(E2672&lt;&gt;"",E2672&lt;&gt;"!!!"),"NEW","")))</f>
        <v> </v>
      </c>
      <c r="G2672" s="23" t="str">
        <f>IF(OR(E2672="",E2672="!!!"),"",IF(OR(J2672=0,AND(J2672=1,K2672=1),AND(J2672=1,I2672="SBJ"),AND(J2672=1,I2672=0)),"?IN_FOCUS",IF(J2672&lt;=2,"?ACTIVATED",IF(J2672&lt;&gt;"","?FAMILIAR",IF(F2672="NEW",IF(ISNA(VLOOKUP(E2672,#REF!,1,FALSE())),"?TYPE_IDENTIFIABLE","?REFERENTIAL"),"_")))))</f>
        <v> </v>
      </c>
      <c r="H2672" s="24" t="str">
        <f>IF(J2672&lt;&gt;1,"",IF(I2672="SBJ","CB","?"))</f>
        <v> </v>
      </c>
      <c r="I2672" s="25" t="str">
        <f>IF(OR(E2672="",E2672="!!!",F2672="NEW"),"",INDEX(B2671:B$2,-1+SUMPRODUCT(MAX(ROW(E2671:E$2)*(E2672=E2671:E$2)))))</f>
        <v> </v>
      </c>
      <c r="J2672" s="25" t="str">
        <f>IF(OR(E2672="",E2672="!!!",F2672="NEW"),"",COUNTBLANK(OFFSET(A$1,,,SUMPRODUCT(MAX(ROW(E$2:E2672)*(E2672=E$2:E2672)))))-COUNTBLANK(OFFSET(A$1,,,SUMPRODUCT(MAX(ROW(E$1:E2671)*(E2=E$1:E2671))))))</f>
        <v> </v>
      </c>
      <c r="K2672" s="25" t="str">
        <f>IF(OR(E2672="",E2672="!!!",F2672="NEW"),"",INDEX(J$1:J2671,SUMPRODUCT(MAX(ROW(E$1:E2671)*(E2672=E$1:E2671)))))</f>
        <v> </v>
      </c>
      <c r="L2672" s="26"/>
    </row>
    <row r="2673" spans="1:12">
      <c r="A2673" s="20" t="s">
        <v>541</v>
      </c>
      <c r="E2673" s="21">
        <f>IF(D2673="?OLD","!!!","")</f>
        <v/>
      </c>
      <c r="F2673" s="22" t="str">
        <f>IF(OR(E2673="",E2673="!!!"),"",IF(NOT(ISNA(VLOOKUP(E2673,E$1:E2672,1,FALSE()))),"OLD",IF(AND(E2673&lt;&gt;"",E2673&lt;&gt;"!!!"),"NEW","")))</f>
        <v> </v>
      </c>
      <c r="G2673" s="23" t="str">
        <f>IF(OR(E2673="",E2673="!!!"),"",IF(OR(J2673=0,AND(J2673=1,K2673=1),AND(J2673=1,I2673="SBJ"),AND(J2673=1,I2673=0)),"?IN_FOCUS",IF(J2673&lt;=2,"?ACTIVATED",IF(J2673&lt;&gt;"","?FAMILIAR",IF(F2673="NEW",IF(ISNA(VLOOKUP(E2673,#REF!,1,FALSE())),"?TYPE_IDENTIFIABLE","?REFERENTIAL"),"_")))))</f>
        <v> </v>
      </c>
      <c r="H2673" s="24" t="str">
        <f>IF(J2673&lt;&gt;1,"",IF(I2673="SBJ","CB","?"))</f>
        <v> </v>
      </c>
      <c r="I2673" s="25" t="str">
        <f>IF(OR(E2673="",E2673="!!!",F2673="NEW"),"",INDEX(B2672:B$2,-1+SUMPRODUCT(MAX(ROW(E2672:E$2)*(E2673=E2672:E$2)))))</f>
        <v> </v>
      </c>
      <c r="J2673" s="25" t="str">
        <f>IF(OR(E2673="",E2673="!!!",F2673="NEW"),"",COUNTBLANK(OFFSET(A$1,,,SUMPRODUCT(MAX(ROW(E$2:E2673)*(E2673=E$2:E2673)))))-COUNTBLANK(OFFSET(A$1,,,SUMPRODUCT(MAX(ROW(E$1:E2672)*(E2=E$1:E2672))))))</f>
        <v> </v>
      </c>
      <c r="K2673" s="25" t="str">
        <f>IF(OR(E2673="",E2673="!!!",F2673="NEW"),"",INDEX(J$1:J2672,SUMPRODUCT(MAX(ROW(E$1:E2672)*(E2673=E$1:E2672)))))</f>
        <v> </v>
      </c>
      <c r="L2673" s="26"/>
    </row>
    <row r="2674" spans="1:12">
      <c r="A2674" s="20" t="s">
        <v>682</v>
      </c>
      <c r="E2674" s="21">
        <f>IF(D2674="?OLD","!!!","")</f>
        <v/>
      </c>
      <c r="F2674" s="22" t="str">
        <f>IF(OR(E2674="",E2674="!!!"),"",IF(NOT(ISNA(VLOOKUP(E2674,E$1:E2673,1,FALSE()))),"OLD",IF(AND(E2674&lt;&gt;"",E2674&lt;&gt;"!!!"),"NEW","")))</f>
        <v> </v>
      </c>
      <c r="G2674" s="23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4" t="str">
        <f>IF(J2674&lt;&gt;1,"",IF(I2674="SBJ","CB","?"))</f>
        <v> </v>
      </c>
      <c r="I2674" s="25" t="str">
        <f>IF(OR(E2674="",E2674="!!!",F2674="NEW"),"",INDEX(B2673:B$2,-1+SUMPRODUCT(MAX(ROW(E2673:E$2)*(E2674=E2673:E$2)))))</f>
        <v> </v>
      </c>
      <c r="J2674" s="25" t="str">
        <f>IF(OR(E2674="",E2674="!!!",F2674="NEW"),"",COUNTBLANK(OFFSET(A$1,,,SUMPRODUCT(MAX(ROW(E$2:E2674)*(E2674=E$2:E2674)))))-COUNTBLANK(OFFSET(A$1,,,SUMPRODUCT(MAX(ROW(E$1:E2673)*(E2=E$1:E2673))))))</f>
        <v> </v>
      </c>
      <c r="K2674" s="25" t="str">
        <f>IF(OR(E2674="",E2674="!!!",F2674="NEW"),"",INDEX(J$1:J2673,SUMPRODUCT(MAX(ROW(E$1:E2673)*(E2674=E$1:E2673)))))</f>
        <v> </v>
      </c>
      <c r="L2674" s="26"/>
    </row>
    <row r="2675" spans="1:12">
      <c r="A2675" s="20" t="s">
        <v>1087</v>
      </c>
      <c r="B2675" s="27" t="s">
        <v>544</v>
      </c>
      <c r="C2675" s="27" t="s">
        <v>669</v>
      </c>
      <c r="D2675" s="27" t="s">
        <v>524</v>
      </c>
      <c r="E2675" s="21">
        <f>IF(D2675="?OLD","!!!","")</f>
        <v/>
      </c>
      <c r="F2675" s="22" t="str">
        <f>IF(OR(E2675="",E2675="!!!"),"",IF(NOT(ISNA(VLOOKUP(E2675,E$1:E2674,1,FALSE()))),"OLD",IF(AND(E2675&lt;&gt;"",E2675&lt;&gt;"!!!"),"NEW","")))</f>
        <v> </v>
      </c>
      <c r="G2675" s="23" t="str">
        <f>IF(OR(E2675="",E2675="!!!"),"",IF(OR(J2675=0,AND(J2675=1,K2675=1),AND(J2675=1,I2675="SBJ"),AND(J2675=1,I2675=0)),"?IN_FOCUS",IF(J2675&lt;=2,"?ACTIVATED",IF(J2675&lt;&gt;"","?FAMILIAR",IF(F2675="NEW",IF(ISNA(VLOOKUP(E2675,#REF!,1,FALSE())),"?TYPE_IDENTIFIABLE","?REFERENTIAL"),"_")))))</f>
        <v> </v>
      </c>
      <c r="H2675" s="24" t="str">
        <f>IF(J2675&lt;&gt;1,"",IF(I2675="SBJ","CB","?"))</f>
        <v> </v>
      </c>
      <c r="I2675" s="25" t="str">
        <f>IF(OR(E2675="",E2675="!!!",F2675="NEW"),"",INDEX(B2674:B$2,-1+SUMPRODUCT(MAX(ROW(E2674:E$2)*(E2675=E2674:E$2)))))</f>
        <v> </v>
      </c>
      <c r="J2675" s="25" t="str">
        <f>IF(OR(E2675="",E2675="!!!",F2675="NEW"),"",COUNTBLANK(OFFSET(A$1,,,SUMPRODUCT(MAX(ROW(E$2:E2675)*(E2675=E$2:E2675)))))-COUNTBLANK(OFFSET(A$1,,,SUMPRODUCT(MAX(ROW(E$1:E2674)*(E2=E$1:E2674))))))</f>
        <v> </v>
      </c>
      <c r="K2675" s="25" t="str">
        <f>IF(OR(E2675="",E2675="!!!",F2675="NEW"),"",INDEX(J$1:J2674,SUMPRODUCT(MAX(ROW(E$1:E2674)*(E2675=E$1:E2674)))))</f>
        <v> </v>
      </c>
      <c r="L2675" s="26"/>
    </row>
    <row r="2676" spans="1:12">
      <c r="A2676" s="20" t="s">
        <v>1452</v>
      </c>
      <c r="B2676" s="27" t="s">
        <v>597</v>
      </c>
      <c r="C2676" s="27" t="s">
        <v>545</v>
      </c>
      <c r="D2676" s="27" t="s">
        <v>524</v>
      </c>
      <c r="E2676" s="21">
        <f>IF(D2676="?OLD","!!!","")</f>
        <v/>
      </c>
      <c r="F2676" s="22" t="str">
        <f>IF(OR(E2676="",E2676="!!!"),"",IF(NOT(ISNA(VLOOKUP(E2676,E$1:E2675,1,FALSE()))),"OLD",IF(AND(E2676&lt;&gt;"",E2676&lt;&gt;"!!!"),"NEW","")))</f>
        <v> </v>
      </c>
      <c r="G2676" s="23" t="str">
        <f>IF(OR(E2676="",E2676="!!!"),"",IF(OR(J2676=0,AND(J2676=1,K2676=1),AND(J2676=1,I2676="SBJ"),AND(J2676=1,I2676=0)),"?IN_FOCUS",IF(J2676&lt;=2,"?ACTIVATED",IF(J2676&lt;&gt;"","?FAMILIAR",IF(F2676="NEW",IF(ISNA(VLOOKUP(E2676,#REF!,1,FALSE())),"?TYPE_IDENTIFIABLE","?REFERENTIAL"),"_")))))</f>
        <v> </v>
      </c>
      <c r="H2676" s="24" t="str">
        <f>IF(J2676&lt;&gt;1,"",IF(I2676="SBJ","CB","?"))</f>
        <v> </v>
      </c>
      <c r="I2676" s="25" t="str">
        <f>IF(OR(E2676="",E2676="!!!",F2676="NEW"),"",INDEX(B2675:B$2,-1+SUMPRODUCT(MAX(ROW(E2675:E$2)*(E2676=E2675:E$2)))))</f>
        <v> </v>
      </c>
      <c r="J2676" s="25" t="str">
        <f>IF(OR(E2676="",E2676="!!!",F2676="NEW"),"",COUNTBLANK(OFFSET(A$1,,,SUMPRODUCT(MAX(ROW(E$2:E2676)*(E2676=E$2:E2676)))))-COUNTBLANK(OFFSET(A$1,,,SUMPRODUCT(MAX(ROW(E$1:E2675)*(E2=E$1:E2675))))))</f>
        <v> </v>
      </c>
      <c r="K2676" s="25" t="str">
        <f>IF(OR(E2676="",E2676="!!!",F2676="NEW"),"",INDEX(J$1:J2675,SUMPRODUCT(MAX(ROW(E$1:E2675)*(E2676=E$1:E2675)))))</f>
        <v> </v>
      </c>
      <c r="L2676" s="26"/>
    </row>
    <row r="2677" spans="1:12">
      <c r="A2677" s="20" t="s">
        <v>549</v>
      </c>
      <c r="E2677" s="21">
        <f>IF(D2677="?OLD","!!!","")</f>
        <v/>
      </c>
      <c r="F2677" s="22" t="str">
        <f>IF(OR(E2677="",E2677="!!!"),"",IF(NOT(ISNA(VLOOKUP(E2677,E$1:E2676,1,FALSE()))),"OLD",IF(AND(E2677&lt;&gt;"",E2677&lt;&gt;"!!!"),"NEW","")))</f>
        <v> </v>
      </c>
      <c r="G2677" s="23" t="str">
        <f>IF(OR(E2677="",E2677="!!!"),"",IF(OR(J2677=0,AND(J2677=1,K2677=1),AND(J2677=1,I2677="SBJ"),AND(J2677=1,I2677=0)),"?IN_FOCUS",IF(J2677&lt;=2,"?ACTIVATED",IF(J2677&lt;&gt;"","?FAMILIAR",IF(F2677="NEW",IF(ISNA(VLOOKUP(E2677,#REF!,1,FALSE())),"?TYPE_IDENTIFIABLE","?REFERENTIAL"),"_")))))</f>
        <v> </v>
      </c>
      <c r="H2677" s="24" t="str">
        <f>IF(J2677&lt;&gt;1,"",IF(I2677="SBJ","CB","?"))</f>
        <v> </v>
      </c>
      <c r="I2677" s="25" t="str">
        <f>IF(OR(E2677="",E2677="!!!",F2677="NEW"),"",INDEX(B2676:B$2,-1+SUMPRODUCT(MAX(ROW(E2676:E$2)*(E2677=E2676:E$2)))))</f>
        <v> </v>
      </c>
      <c r="J2677" s="25" t="str">
        <f>IF(OR(E2677="",E2677="!!!",F2677="NEW"),"",COUNTBLANK(OFFSET(A$1,,,SUMPRODUCT(MAX(ROW(E$2:E2677)*(E2677=E$2:E2677)))))-COUNTBLANK(OFFSET(A$1,,,SUMPRODUCT(MAX(ROW(E$1:E2676)*(E2=E$1:E2676))))))</f>
        <v> </v>
      </c>
      <c r="K2677" s="25" t="str">
        <f>IF(OR(E2677="",E2677="!!!",F2677="NEW"),"",INDEX(J$1:J2676,SUMPRODUCT(MAX(ROW(E$1:E2676)*(E2677=E$1:E2676)))))</f>
        <v> </v>
      </c>
      <c r="L2677" s="26"/>
    </row>
    <row r="2678" spans="1:12">
      <c r="A2678" s="20"/>
    </row>
    <row r="2679" spans="1:12">
      <c r="A2679" s="20" t="s">
        <v>1453</v>
      </c>
    </row>
    <row r="2680" spans="1:12">
      <c r="A2680" s="20" t="s">
        <v>1454</v>
      </c>
      <c r="E2680" s="21">
        <f>IF(D2680="?OLD","!!!","")</f>
        <v/>
      </c>
      <c r="F2680" s="22" t="str">
        <f>IF(OR(E2680="",E2680="!!!"),"",IF(NOT(ISNA(VLOOKUP(E2680,E$1:E2679,1,FALSE()))),"OLD",IF(AND(E2680&lt;&gt;"",E2680&lt;&gt;"!!!"),"NEW","")))</f>
        <v> </v>
      </c>
      <c r="G2680" s="23" t="str">
        <f>IF(OR(E2680="",E2680="!!!"),"",IF(OR(J2680=0,AND(J2680=1,K2680=1),AND(J2680=1,I2680="SBJ"),AND(J2680=1,I2680=0)),"?IN_FOCUS",IF(J2680&lt;=2,"?ACTIVATED",IF(J2680&lt;&gt;"","?FAMILIAR",IF(F2680="NEW",IF(ISNA(VLOOKUP(E2680,#REF!,1,FALSE())),"?TYPE_IDENTIFIABLE","?REFERENTIAL"),"_")))))</f>
        <v> </v>
      </c>
      <c r="H2680" s="24" t="str">
        <f>IF(J2680&lt;&gt;1,"",IF(I2680="SBJ","CB","?"))</f>
        <v> </v>
      </c>
      <c r="I2680" s="25" t="str">
        <f>IF(OR(E2680="",E2680="!!!",F2680="NEW"),"",INDEX(B2679:B$2,-1+SUMPRODUCT(MAX(ROW(E2679:E$2)*(E2680=E2679:E$2)))))</f>
        <v> </v>
      </c>
      <c r="J2680" s="25" t="str">
        <f>IF(OR(E2680="",E2680="!!!",F2680="NEW"),"",COUNTBLANK(OFFSET(A$1,,,SUMPRODUCT(MAX(ROW(E$2:E2680)*(E2680=E$2:E2680)))))-COUNTBLANK(OFFSET(A$1,,,SUMPRODUCT(MAX(ROW(E$1:E2679)*(E2=E$1:E2679))))))</f>
        <v> </v>
      </c>
      <c r="K2680" s="25" t="str">
        <f>IF(OR(E2680="",E2680="!!!",F2680="NEW"),"",INDEX(J$1:J2679,SUMPRODUCT(MAX(ROW(E$1:E2679)*(E2680=E$1:E2679)))))</f>
        <v> </v>
      </c>
      <c r="L2680" s="26"/>
    </row>
    <row r="2681" spans="1:12">
      <c r="A2681" s="20" t="s">
        <v>358</v>
      </c>
      <c r="B2681" s="27" t="s">
        <v>633</v>
      </c>
      <c r="C2681" s="27" t="s">
        <v>523</v>
      </c>
      <c r="D2681" s="27" t="s">
        <v>524</v>
      </c>
      <c r="E2681" s="21">
        <f>IF(D2681="?OLD","!!!","")</f>
        <v/>
      </c>
      <c r="F2681" s="22" t="str">
        <f>IF(OR(E2681="",E2681="!!!"),"",IF(NOT(ISNA(VLOOKUP(E2681,E$1:E2680,1,FALSE()))),"OLD",IF(AND(E2681&lt;&gt;"",E2681&lt;&gt;"!!!"),"NEW","")))</f>
        <v> </v>
      </c>
      <c r="G2681" s="23" t="str">
        <f>IF(OR(E2681="",E2681="!!!"),"",IF(OR(J2681=0,AND(J2681=1,K2681=1),AND(J2681=1,I2681="SBJ"),AND(J2681=1,I2681=0)),"?IN_FOCUS",IF(J2681&lt;=2,"?ACTIVATED",IF(J2681&lt;&gt;"","?FAMILIAR",IF(F2681="NEW",IF(ISNA(VLOOKUP(E2681,#REF!,1,FALSE())),"?TYPE_IDENTIFIABLE","?REFERENTIAL"),"_")))))</f>
        <v> </v>
      </c>
      <c r="H2681" s="24" t="str">
        <f>IF(J2681&lt;&gt;1,"",IF(I2681="SBJ","CB","?"))</f>
        <v> </v>
      </c>
      <c r="I2681" s="25" t="str">
        <f>IF(OR(E2681="",E2681="!!!",F2681="NEW"),"",INDEX(B2680:B$2,-1+SUMPRODUCT(MAX(ROW(E2680:E$2)*(E2681=E2680:E$2)))))</f>
        <v> </v>
      </c>
      <c r="J2681" s="25" t="str">
        <f>IF(OR(E2681="",E2681="!!!",F2681="NEW"),"",COUNTBLANK(OFFSET(A$1,,,SUMPRODUCT(MAX(ROW(E$2:E2681)*(E2681=E$2:E2681)))))-COUNTBLANK(OFFSET(A$1,,,SUMPRODUCT(MAX(ROW(E$1:E2680)*(E2=E$1:E2680))))))</f>
        <v> </v>
      </c>
      <c r="K2681" s="25" t="str">
        <f>IF(OR(E2681="",E2681="!!!",F2681="NEW"),"",INDEX(J$1:J2680,SUMPRODUCT(MAX(ROW(E$1:E2680)*(E2681=E$1:E2680)))))</f>
        <v> </v>
      </c>
      <c r="L2681" s="26"/>
    </row>
    <row r="2682" spans="1:12">
      <c r="A2682" s="20" t="s">
        <v>1455</v>
      </c>
      <c r="E2682" s="21">
        <f>IF(D2682="?OLD","!!!","")</f>
        <v/>
      </c>
      <c r="F2682" s="22" t="str">
        <f>IF(OR(E2682="",E2682="!!!"),"",IF(NOT(ISNA(VLOOKUP(E2682,E$1:E2681,1,FALSE()))),"OLD",IF(AND(E2682&lt;&gt;"",E2682&lt;&gt;"!!!"),"NEW","")))</f>
        <v> </v>
      </c>
      <c r="G2682" s="23" t="str">
        <f>IF(OR(E2682="",E2682="!!!"),"",IF(OR(J2682=0,AND(J2682=1,K2682=1),AND(J2682=1,I2682="SBJ"),AND(J2682=1,I2682=0)),"?IN_FOCUS",IF(J2682&lt;=2,"?ACTIVATED",IF(J2682&lt;&gt;"","?FAMILIAR",IF(F2682="NEW",IF(ISNA(VLOOKUP(E2682,#REF!,1,FALSE())),"?TYPE_IDENTIFIABLE","?REFERENTIAL"),"_")))))</f>
        <v> </v>
      </c>
      <c r="H2682" s="24" t="str">
        <f>IF(J2682&lt;&gt;1,"",IF(I2682="SBJ","CB","?"))</f>
        <v> </v>
      </c>
      <c r="I2682" s="25" t="str">
        <f>IF(OR(E2682="",E2682="!!!",F2682="NEW"),"",INDEX(B2681:B$2,-1+SUMPRODUCT(MAX(ROW(E2681:E$2)*(E2682=E2681:E$2)))))</f>
        <v> </v>
      </c>
      <c r="J2682" s="25" t="str">
        <f>IF(OR(E2682="",E2682="!!!",F2682="NEW"),"",COUNTBLANK(OFFSET(A$1,,,SUMPRODUCT(MAX(ROW(E$2:E2682)*(E2682=E$2:E2682)))))-COUNTBLANK(OFFSET(A$1,,,SUMPRODUCT(MAX(ROW(E$1:E2681)*(E2=E$1:E2681))))))</f>
        <v> </v>
      </c>
      <c r="K2682" s="25" t="str">
        <f>IF(OR(E2682="",E2682="!!!",F2682="NEW"),"",INDEX(J$1:J2681,SUMPRODUCT(MAX(ROW(E$1:E2681)*(E2682=E$1:E2681)))))</f>
        <v> </v>
      </c>
      <c r="L2682" s="26"/>
    </row>
    <row r="2683" spans="1:12">
      <c r="A2683" s="20" t="s">
        <v>885</v>
      </c>
      <c r="E2683" s="21">
        <f>IF(D2683="?OLD","!!!","")</f>
        <v/>
      </c>
      <c r="F2683" s="22" t="str">
        <f>IF(OR(E2683="",E2683="!!!"),"",IF(NOT(ISNA(VLOOKUP(E2683,E$1:E2682,1,FALSE()))),"OLD",IF(AND(E2683&lt;&gt;"",E2683&lt;&gt;"!!!"),"NEW","")))</f>
        <v> </v>
      </c>
      <c r="G2683" s="23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4" t="str">
        <f>IF(J2683&lt;&gt;1,"",IF(I2683="SBJ","CB","?"))</f>
        <v> </v>
      </c>
      <c r="I2683" s="25" t="str">
        <f>IF(OR(E2683="",E2683="!!!",F2683="NEW"),"",INDEX(B2682:B$2,-1+SUMPRODUCT(MAX(ROW(E2682:E$2)*(E2683=E2682:E$2)))))</f>
        <v> </v>
      </c>
      <c r="J2683" s="25" t="str">
        <f>IF(OR(E2683="",E2683="!!!",F2683="NEW"),"",COUNTBLANK(OFFSET(A$1,,,SUMPRODUCT(MAX(ROW(E$2:E2683)*(E2683=E$2:E2683)))))-COUNTBLANK(OFFSET(A$1,,,SUMPRODUCT(MAX(ROW(E$1:E2682)*(E2=E$1:E2682))))))</f>
        <v> </v>
      </c>
      <c r="K2683" s="25" t="str">
        <f>IF(OR(E2683="",E2683="!!!",F2683="NEW"),"",INDEX(J$1:J2682,SUMPRODUCT(MAX(ROW(E$1:E2682)*(E2683=E$1:E2682)))))</f>
        <v> </v>
      </c>
      <c r="L2683" s="26"/>
    </row>
    <row r="2684" spans="1:12">
      <c r="A2684" s="20" t="s">
        <v>682</v>
      </c>
      <c r="E2684" s="21">
        <f>IF(D2684="?OLD","!!!","")</f>
        <v/>
      </c>
      <c r="F2684" s="22" t="str">
        <f>IF(OR(E2684="",E2684="!!!"),"",IF(NOT(ISNA(VLOOKUP(E2684,E$1:E2683,1,FALSE()))),"OLD",IF(AND(E2684&lt;&gt;"",E2684&lt;&gt;"!!!"),"NEW","")))</f>
        <v> </v>
      </c>
      <c r="G2684" s="23" t="str">
        <f>IF(OR(E2684="",E2684="!!!"),"",IF(OR(J2684=0,AND(J2684=1,K2684=1),AND(J2684=1,I2684="SBJ"),AND(J2684=1,I2684=0)),"?IN_FOCUS",IF(J2684&lt;=2,"?ACTIVATED",IF(J2684&lt;&gt;"","?FAMILIAR",IF(F2684="NEW",IF(ISNA(VLOOKUP(E2684,#REF!,1,FALSE())),"?TYPE_IDENTIFIABLE","?REFERENTIAL"),"_")))))</f>
        <v> </v>
      </c>
      <c r="H2684" s="24" t="str">
        <f>IF(J2684&lt;&gt;1,"",IF(I2684="SBJ","CB","?"))</f>
        <v> </v>
      </c>
      <c r="I2684" s="25" t="str">
        <f>IF(OR(E2684="",E2684="!!!",F2684="NEW"),"",INDEX(B2683:B$2,-1+SUMPRODUCT(MAX(ROW(E2683:E$2)*(E2684=E2683:E$2)))))</f>
        <v> </v>
      </c>
      <c r="J2684" s="25" t="str">
        <f>IF(OR(E2684="",E2684="!!!",F2684="NEW"),"",COUNTBLANK(OFFSET(A$1,,,SUMPRODUCT(MAX(ROW(E$2:E2684)*(E2684=E$2:E2684)))))-COUNTBLANK(OFFSET(A$1,,,SUMPRODUCT(MAX(ROW(E$1:E2683)*(E2=E$1:E2683))))))</f>
        <v> </v>
      </c>
      <c r="K2684" s="25" t="str">
        <f>IF(OR(E2684="",E2684="!!!",F2684="NEW"),"",INDEX(J$1:J2683,SUMPRODUCT(MAX(ROW(E$1:E2683)*(E2684=E$1:E2683)))))</f>
        <v> </v>
      </c>
      <c r="L2684" s="26"/>
    </row>
    <row r="2685" spans="1:12">
      <c r="A2685" s="20" t="s">
        <v>1456</v>
      </c>
      <c r="B2685" s="27" t="s">
        <v>544</v>
      </c>
      <c r="C2685" s="27" t="s">
        <v>540</v>
      </c>
      <c r="D2685" s="27" t="s">
        <v>524</v>
      </c>
      <c r="E2685" s="21">
        <f>IF(D2685="?OLD","!!!","")</f>
        <v/>
      </c>
      <c r="F2685" s="22" t="str">
        <f>IF(OR(E2685="",E2685="!!!"),"",IF(NOT(ISNA(VLOOKUP(E2685,E$1:E2684,1,FALSE()))),"OLD",IF(AND(E2685&lt;&gt;"",E2685&lt;&gt;"!!!"),"NEW","")))</f>
        <v> </v>
      </c>
      <c r="G2685" s="23" t="str">
        <f>IF(OR(E2685="",E2685="!!!"),"",IF(OR(J2685=0,AND(J2685=1,K2685=1),AND(J2685=1,I2685="SBJ"),AND(J2685=1,I2685=0)),"?IN_FOCUS",IF(J2685&lt;=2,"?ACTIVATED",IF(J2685&lt;&gt;"","?FAMILIAR",IF(F2685="NEW",IF(ISNA(VLOOKUP(E2685,#REF!,1,FALSE())),"?TYPE_IDENTIFIABLE","?REFERENTIAL"),"_")))))</f>
        <v> </v>
      </c>
      <c r="H2685" s="24" t="str">
        <f>IF(J2685&lt;&gt;1,"",IF(I2685="SBJ","CB","?"))</f>
        <v> </v>
      </c>
      <c r="I2685" s="25" t="str">
        <f>IF(OR(E2685="",E2685="!!!",F2685="NEW"),"",INDEX(B2684:B$2,-1+SUMPRODUCT(MAX(ROW(E2684:E$2)*(E2685=E2684:E$2)))))</f>
        <v> </v>
      </c>
      <c r="J2685" s="25" t="str">
        <f>IF(OR(E2685="",E2685="!!!",F2685="NEW"),"",COUNTBLANK(OFFSET(A$1,,,SUMPRODUCT(MAX(ROW(E$2:E2685)*(E2685=E$2:E2685)))))-COUNTBLANK(OFFSET(A$1,,,SUMPRODUCT(MAX(ROW(E$1:E2684)*(E2=E$1:E2684))))))</f>
        <v> </v>
      </c>
      <c r="K2685" s="25" t="str">
        <f>IF(OR(E2685="",E2685="!!!",F2685="NEW"),"",INDEX(J$1:J2684,SUMPRODUCT(MAX(ROW(E$1:E2684)*(E2685=E$1:E2684)))))</f>
        <v> </v>
      </c>
      <c r="L2685" s="26"/>
    </row>
    <row r="2686" spans="1:12">
      <c r="A2686" s="20" t="s">
        <v>518</v>
      </c>
      <c r="E2686" s="21">
        <f>IF(D2686="?OLD","!!!","")</f>
        <v/>
      </c>
      <c r="F2686" s="22" t="str">
        <f>IF(OR(E2686="",E2686="!!!"),"",IF(NOT(ISNA(VLOOKUP(E2686,E$1:E2685,1,FALSE()))),"OLD",IF(AND(E2686&lt;&gt;"",E2686&lt;&gt;"!!!"),"NEW","")))</f>
        <v> </v>
      </c>
      <c r="G2686" s="23" t="str">
        <f>IF(OR(E2686="",E2686="!!!"),"",IF(OR(J2686=0,AND(J2686=1,K2686=1),AND(J2686=1,I2686="SBJ"),AND(J2686=1,I2686=0)),"?IN_FOCUS",IF(J2686&lt;=2,"?ACTIVATED",IF(J2686&lt;&gt;"","?FAMILIAR",IF(F2686="NEW",IF(ISNA(VLOOKUP(E2686,#REF!,1,FALSE())),"?TYPE_IDENTIFIABLE","?REFERENTIAL"),"_")))))</f>
        <v> </v>
      </c>
      <c r="H2686" s="24" t="str">
        <f>IF(J2686&lt;&gt;1,"",IF(I2686="SBJ","CB","?"))</f>
        <v> </v>
      </c>
      <c r="I2686" s="25" t="str">
        <f>IF(OR(E2686="",E2686="!!!",F2686="NEW"),"",INDEX(B2685:B$2,-1+SUMPRODUCT(MAX(ROW(E2685:E$2)*(E2686=E2685:E$2)))))</f>
        <v> </v>
      </c>
      <c r="J2686" s="25" t="str">
        <f>IF(OR(E2686="",E2686="!!!",F2686="NEW"),"",COUNTBLANK(OFFSET(A$1,,,SUMPRODUCT(MAX(ROW(E$2:E2686)*(E2686=E$2:E2686)))))-COUNTBLANK(OFFSET(A$1,,,SUMPRODUCT(MAX(ROW(E$1:E2685)*(E2=E$1:E2685))))))</f>
        <v> </v>
      </c>
      <c r="K2686" s="25" t="str">
        <f>IF(OR(E2686="",E2686="!!!",F2686="NEW"),"",INDEX(J$1:J2685,SUMPRODUCT(MAX(ROW(E$1:E2685)*(E2686=E$1:E2685)))))</f>
        <v> </v>
      </c>
      <c r="L2686" s="26"/>
    </row>
    <row r="2687" spans="1:12">
      <c r="A2687" s="20" t="s">
        <v>571</v>
      </c>
      <c r="E2687" s="21">
        <f>IF(D2687="?OLD","!!!","")</f>
        <v/>
      </c>
      <c r="F2687" s="22" t="str">
        <f>IF(OR(E2687="",E2687="!!!"),"",IF(NOT(ISNA(VLOOKUP(E2687,E$1:E2686,1,FALSE()))),"OLD",IF(AND(E2687&lt;&gt;"",E2687&lt;&gt;"!!!"),"NEW","")))</f>
        <v> </v>
      </c>
      <c r="G2687" s="23" t="str">
        <f>IF(OR(E2687="",E2687="!!!"),"",IF(OR(J2687=0,AND(J2687=1,K2687=1),AND(J2687=1,I2687="SBJ"),AND(J2687=1,I2687=0)),"?IN_FOCUS",IF(J2687&lt;=2,"?ACTIVATED",IF(J2687&lt;&gt;"","?FAMILIAR",IF(F2687="NEW",IF(ISNA(VLOOKUP(E2687,#REF!,1,FALSE())),"?TYPE_IDENTIFIABLE","?REFERENTIAL"),"_")))))</f>
        <v> </v>
      </c>
      <c r="H2687" s="24" t="str">
        <f>IF(J2687&lt;&gt;1,"",IF(I2687="SBJ","CB","?"))</f>
        <v> </v>
      </c>
      <c r="I2687" s="25" t="str">
        <f>IF(OR(E2687="",E2687="!!!",F2687="NEW"),"",INDEX(B2686:B$2,-1+SUMPRODUCT(MAX(ROW(E2686:E$2)*(E2687=E2686:E$2)))))</f>
        <v> </v>
      </c>
      <c r="J2687" s="25" t="str">
        <f>IF(OR(E2687="",E2687="!!!",F2687="NEW"),"",COUNTBLANK(OFFSET(A$1,,,SUMPRODUCT(MAX(ROW(E$2:E2687)*(E2687=E$2:E2687)))))-COUNTBLANK(OFFSET(A$1,,,SUMPRODUCT(MAX(ROW(E$1:E2686)*(E2=E$1:E2686))))))</f>
        <v> </v>
      </c>
      <c r="K2687" s="25" t="str">
        <f>IF(OR(E2687="",E2687="!!!",F2687="NEW"),"",INDEX(J$1:J2686,SUMPRODUCT(MAX(ROW(E$1:E2686)*(E2687=E$1:E2686)))))</f>
        <v> </v>
      </c>
      <c r="L2687" s="26"/>
    </row>
    <row r="2688" spans="1:12">
      <c r="A2688" s="20" t="s">
        <v>1457</v>
      </c>
      <c r="B2688" s="27" t="s">
        <v>534</v>
      </c>
      <c r="C2688" s="27" t="s">
        <v>545</v>
      </c>
      <c r="D2688" s="27" t="s">
        <v>524</v>
      </c>
      <c r="E2688" s="21">
        <f>IF(D2688="?OLD","!!!","")</f>
        <v/>
      </c>
      <c r="F2688" s="22" t="str">
        <f>IF(OR(E2688="",E2688="!!!"),"",IF(NOT(ISNA(VLOOKUP(E2688,E$1:E2687,1,FALSE()))),"OLD",IF(AND(E2688&lt;&gt;"",E2688&lt;&gt;"!!!"),"NEW","")))</f>
        <v> </v>
      </c>
      <c r="G2688" s="23" t="str">
        <f>IF(OR(E2688="",E2688="!!!"),"",IF(OR(J2688=0,AND(J2688=1,K2688=1),AND(J2688=1,I2688="SBJ"),AND(J2688=1,I2688=0)),"?IN_FOCUS",IF(J2688&lt;=2,"?ACTIVATED",IF(J2688&lt;&gt;"","?FAMILIAR",IF(F2688="NEW",IF(ISNA(VLOOKUP(E2688,#REF!,1,FALSE())),"?TYPE_IDENTIFIABLE","?REFERENTIAL"),"_")))))</f>
        <v> </v>
      </c>
      <c r="H2688" s="24" t="str">
        <f>IF(J2688&lt;&gt;1,"",IF(I2688="SBJ","CB","?"))</f>
        <v> </v>
      </c>
      <c r="I2688" s="25" t="str">
        <f>IF(OR(E2688="",E2688="!!!",F2688="NEW"),"",INDEX(B2687:B$2,-1+SUMPRODUCT(MAX(ROW(E2687:E$2)*(E2688=E2687:E$2)))))</f>
        <v> </v>
      </c>
      <c r="J2688" s="25" t="str">
        <f>IF(OR(E2688="",E2688="!!!",F2688="NEW"),"",COUNTBLANK(OFFSET(A$1,,,SUMPRODUCT(MAX(ROW(E$2:E2688)*(E2688=E$2:E2688)))))-COUNTBLANK(OFFSET(A$1,,,SUMPRODUCT(MAX(ROW(E$1:E2687)*(E2=E$1:E2687))))))</f>
        <v> </v>
      </c>
      <c r="K2688" s="25" t="str">
        <f>IF(OR(E2688="",E2688="!!!",F2688="NEW"),"",INDEX(J$1:J2687,SUMPRODUCT(MAX(ROW(E$1:E2687)*(E2688=E$1:E2687)))))</f>
        <v> </v>
      </c>
      <c r="L2688" s="26"/>
    </row>
    <row r="2689" spans="1:12">
      <c r="A2689" s="20" t="s">
        <v>565</v>
      </c>
      <c r="E2689" s="21">
        <f>IF(D2689="?OLD","!!!","")</f>
        <v/>
      </c>
      <c r="F2689" s="22" t="str">
        <f>IF(OR(E2689="",E2689="!!!"),"",IF(NOT(ISNA(VLOOKUP(E2689,E$1:E2688,1,FALSE()))),"OLD",IF(AND(E2689&lt;&gt;"",E2689&lt;&gt;"!!!"),"NEW","")))</f>
        <v> </v>
      </c>
      <c r="G2689" s="23" t="str">
        <f>IF(OR(E2689="",E2689="!!!"),"",IF(OR(J2689=0,AND(J2689=1,K2689=1),AND(J2689=1,I2689="SBJ"),AND(J2689=1,I2689=0)),"?IN_FOCUS",IF(J2689&lt;=2,"?ACTIVATED",IF(J2689&lt;&gt;"","?FAMILIAR",IF(F2689="NEW",IF(ISNA(VLOOKUP(E2689,#REF!,1,FALSE())),"?TYPE_IDENTIFIABLE","?REFERENTIAL"),"_")))))</f>
        <v> </v>
      </c>
      <c r="H2689" s="24" t="str">
        <f>IF(J2689&lt;&gt;1,"",IF(I2689="SBJ","CB","?"))</f>
        <v> </v>
      </c>
      <c r="I2689" s="25" t="str">
        <f>IF(OR(E2689="",E2689="!!!",F2689="NEW"),"",INDEX(B2688:B$2,-1+SUMPRODUCT(MAX(ROW(E2688:E$2)*(E2689=E2688:E$2)))))</f>
        <v> </v>
      </c>
      <c r="J2689" s="25" t="str">
        <f>IF(OR(E2689="",E2689="!!!",F2689="NEW"),"",COUNTBLANK(OFFSET(A$1,,,SUMPRODUCT(MAX(ROW(E$2:E2689)*(E2689=E$2:E2689)))))-COUNTBLANK(OFFSET(A$1,,,SUMPRODUCT(MAX(ROW(E$1:E2688)*(E2=E$1:E2688))))))</f>
        <v> </v>
      </c>
      <c r="K2689" s="25" t="str">
        <f>IF(OR(E2689="",E2689="!!!",F2689="NEW"),"",INDEX(J$1:J2688,SUMPRODUCT(MAX(ROW(E$1:E2688)*(E2689=E$1:E2688)))))</f>
        <v> </v>
      </c>
      <c r="L2689" s="26"/>
    </row>
    <row r="2690" spans="1:12">
      <c r="A2690" s="20" t="s">
        <v>568</v>
      </c>
      <c r="E2690" s="21">
        <f>IF(D2690="?OLD","!!!","")</f>
        <v/>
      </c>
      <c r="F2690" s="22" t="str">
        <f>IF(OR(E2690="",E2690="!!!"),"",IF(NOT(ISNA(VLOOKUP(E2690,E$1:E2689,1,FALSE()))),"OLD",IF(AND(E2690&lt;&gt;"",E2690&lt;&gt;"!!!"),"NEW","")))</f>
        <v> </v>
      </c>
      <c r="G2690" s="23" t="str">
        <f>IF(OR(E2690="",E2690="!!!"),"",IF(OR(J2690=0,AND(J2690=1,K2690=1),AND(J2690=1,I2690="SBJ"),AND(J2690=1,I2690=0)),"?IN_FOCUS",IF(J2690&lt;=2,"?ACTIVATED",IF(J2690&lt;&gt;"","?FAMILIAR",IF(F2690="NEW",IF(ISNA(VLOOKUP(E2690,#REF!,1,FALSE())),"?TYPE_IDENTIFIABLE","?REFERENTIAL"),"_")))))</f>
        <v> </v>
      </c>
      <c r="H2690" s="24" t="str">
        <f>IF(J2690&lt;&gt;1,"",IF(I2690="SBJ","CB","?"))</f>
        <v> </v>
      </c>
      <c r="I2690" s="25" t="str">
        <f>IF(OR(E2690="",E2690="!!!",F2690="NEW"),"",INDEX(B2689:B$2,-1+SUMPRODUCT(MAX(ROW(E2689:E$2)*(E2690=E2689:E$2)))))</f>
        <v> </v>
      </c>
      <c r="J2690" s="25" t="str">
        <f>IF(OR(E2690="",E2690="!!!",F2690="NEW"),"",COUNTBLANK(OFFSET(A$1,,,SUMPRODUCT(MAX(ROW(E$2:E2690)*(E2690=E$2:E2690)))))-COUNTBLANK(OFFSET(A$1,,,SUMPRODUCT(MAX(ROW(E$1:E2689)*(E2=E$1:E2689))))))</f>
        <v> </v>
      </c>
      <c r="K2690" s="25" t="str">
        <f>IF(OR(E2690="",E2690="!!!",F2690="NEW"),"",INDEX(J$1:J2689,SUMPRODUCT(MAX(ROW(E$1:E2689)*(E2690=E$1:E2689)))))</f>
        <v> </v>
      </c>
      <c r="L2690" s="26"/>
    </row>
    <row r="2691" spans="1:12">
      <c r="A2691" s="20" t="s">
        <v>682</v>
      </c>
      <c r="E2691" s="21">
        <f>IF(D2691="?OLD","!!!","")</f>
        <v/>
      </c>
      <c r="F2691" s="22" t="str">
        <f>IF(OR(E2691="",E2691="!!!"),"",IF(NOT(ISNA(VLOOKUP(E2691,E$1:E2690,1,FALSE()))),"OLD",IF(AND(E2691&lt;&gt;"",E2691&lt;&gt;"!!!"),"NEW","")))</f>
        <v> </v>
      </c>
      <c r="G2691" s="23" t="str">
        <f>IF(OR(E2691="",E2691="!!!"),"",IF(OR(J2691=0,AND(J2691=1,K2691=1),AND(J2691=1,I2691="SBJ"),AND(J2691=1,I2691=0)),"?IN_FOCUS",IF(J2691&lt;=2,"?ACTIVATED",IF(J2691&lt;&gt;"","?FAMILIAR",IF(F2691="NEW",IF(ISNA(VLOOKUP(E2691,#REF!,1,FALSE())),"?TYPE_IDENTIFIABLE","?REFERENTIAL"),"_")))))</f>
        <v> </v>
      </c>
      <c r="H2691" s="24" t="str">
        <f>IF(J2691&lt;&gt;1,"",IF(I2691="SBJ","CB","?"))</f>
        <v> </v>
      </c>
      <c r="I2691" s="25" t="str">
        <f>IF(OR(E2691="",E2691="!!!",F2691="NEW"),"",INDEX(B2690:B$2,-1+SUMPRODUCT(MAX(ROW(E2690:E$2)*(E2691=E2690:E$2)))))</f>
        <v> </v>
      </c>
      <c r="J2691" s="25" t="str">
        <f>IF(OR(E2691="",E2691="!!!",F2691="NEW"),"",COUNTBLANK(OFFSET(A$1,,,SUMPRODUCT(MAX(ROW(E$2:E2691)*(E2691=E$2:E2691)))))-COUNTBLANK(OFFSET(A$1,,,SUMPRODUCT(MAX(ROW(E$1:E2690)*(E2=E$1:E2690))))))</f>
        <v> </v>
      </c>
      <c r="K2691" s="25" t="str">
        <f>IF(OR(E2691="",E2691="!!!",F2691="NEW"),"",INDEX(J$1:J2690,SUMPRODUCT(MAX(ROW(E$1:E2690)*(E2691=E$1:E2690)))))</f>
        <v> </v>
      </c>
      <c r="L2691" s="26"/>
    </row>
    <row r="2692" spans="1:12">
      <c r="A2692" s="20" t="s">
        <v>1458</v>
      </c>
      <c r="B2692" s="27" t="s">
        <v>522</v>
      </c>
      <c r="C2692" s="27" t="s">
        <v>545</v>
      </c>
      <c r="D2692" s="27" t="s">
        <v>524</v>
      </c>
      <c r="E2692" s="21">
        <f>IF(D2692="?OLD","!!!","")</f>
        <v/>
      </c>
      <c r="F2692" s="22" t="str">
        <f>IF(OR(E2692="",E2692="!!!"),"",IF(NOT(ISNA(VLOOKUP(E2692,E$1:E2691,1,FALSE()))),"OLD",IF(AND(E2692&lt;&gt;"",E2692&lt;&gt;"!!!"),"NEW","")))</f>
        <v> </v>
      </c>
      <c r="G2692" s="23" t="str">
        <f>IF(OR(E2692="",E2692="!!!"),"",IF(OR(J2692=0,AND(J2692=1,K2692=1),AND(J2692=1,I2692="SBJ"),AND(J2692=1,I2692=0)),"?IN_FOCUS",IF(J2692&lt;=2,"?ACTIVATED",IF(J2692&lt;&gt;"","?FAMILIAR",IF(F2692="NEW",IF(ISNA(VLOOKUP(E2692,#REF!,1,FALSE())),"?TYPE_IDENTIFIABLE","?REFERENTIAL"),"_")))))</f>
        <v> </v>
      </c>
      <c r="H2692" s="24" t="str">
        <f>IF(J2692&lt;&gt;1,"",IF(I2692="SBJ","CB","?"))</f>
        <v> </v>
      </c>
      <c r="I2692" s="25" t="str">
        <f>IF(OR(E2692="",E2692="!!!",F2692="NEW"),"",INDEX(B2691:B$2,-1+SUMPRODUCT(MAX(ROW(E2691:E$2)*(E2692=E2691:E$2)))))</f>
        <v> </v>
      </c>
      <c r="J2692" s="25" t="str">
        <f>IF(OR(E2692="",E2692="!!!",F2692="NEW"),"",COUNTBLANK(OFFSET(A$1,,,SUMPRODUCT(MAX(ROW(E$2:E2692)*(E2692=E$2:E2692)))))-COUNTBLANK(OFFSET(A$1,,,SUMPRODUCT(MAX(ROW(E$1:E2691)*(E2=E$1:E2691))))))</f>
        <v> </v>
      </c>
      <c r="K2692" s="25" t="str">
        <f>IF(OR(E2692="",E2692="!!!",F2692="NEW"),"",INDEX(J$1:J2691,SUMPRODUCT(MAX(ROW(E$1:E2691)*(E2692=E$1:E2691)))))</f>
        <v> </v>
      </c>
      <c r="L2692" s="26"/>
    </row>
    <row r="2693" spans="1:12">
      <c r="A2693" s="20" t="s">
        <v>1459</v>
      </c>
      <c r="E2693" s="21">
        <f>IF(D2693="?OLD","!!!","")</f>
        <v/>
      </c>
      <c r="F2693" s="22" t="str">
        <f>IF(OR(E2693="",E2693="!!!"),"",IF(NOT(ISNA(VLOOKUP(E2693,E$1:E2692,1,FALSE()))),"OLD",IF(AND(E2693&lt;&gt;"",E2693&lt;&gt;"!!!"),"NEW","")))</f>
        <v> </v>
      </c>
      <c r="G2693" s="23" t="str">
        <f>IF(OR(E2693="",E2693="!!!"),"",IF(OR(J2693=0,AND(J2693=1,K2693=1),AND(J2693=1,I2693="SBJ"),AND(J2693=1,I2693=0)),"?IN_FOCUS",IF(J2693&lt;=2,"?ACTIVATED",IF(J2693&lt;&gt;"","?FAMILIAR",IF(F2693="NEW",IF(ISNA(VLOOKUP(E2693,#REF!,1,FALSE())),"?TYPE_IDENTIFIABLE","?REFERENTIAL"),"_")))))</f>
        <v> </v>
      </c>
      <c r="H2693" s="24" t="str">
        <f>IF(J2693&lt;&gt;1,"",IF(I2693="SBJ","CB","?"))</f>
        <v> </v>
      </c>
      <c r="I2693" s="25" t="str">
        <f>IF(OR(E2693="",E2693="!!!",F2693="NEW"),"",INDEX(B2692:B$2,-1+SUMPRODUCT(MAX(ROW(E2692:E$2)*(E2693=E2692:E$2)))))</f>
        <v> </v>
      </c>
      <c r="J2693" s="25" t="str">
        <f>IF(OR(E2693="",E2693="!!!",F2693="NEW"),"",COUNTBLANK(OFFSET(A$1,,,SUMPRODUCT(MAX(ROW(E$2:E2693)*(E2693=E$2:E2693)))))-COUNTBLANK(OFFSET(A$1,,,SUMPRODUCT(MAX(ROW(E$1:E2692)*(E2=E$1:E2692))))))</f>
        <v> </v>
      </c>
      <c r="K2693" s="25" t="str">
        <f>IF(OR(E2693="",E2693="!!!",F2693="NEW"),"",INDEX(J$1:J2692,SUMPRODUCT(MAX(ROW(E$1:E2692)*(E2693=E$1:E2692)))))</f>
        <v> </v>
      </c>
      <c r="L2693" s="26"/>
    </row>
    <row r="2694" spans="1:12">
      <c r="A2694" s="20" t="s">
        <v>541</v>
      </c>
      <c r="E2694" s="21">
        <f>IF(D2694="?OLD","!!!","")</f>
        <v/>
      </c>
      <c r="F2694" s="22" t="str">
        <f>IF(OR(E2694="",E2694="!!!"),"",IF(NOT(ISNA(VLOOKUP(E2694,E$1:E2693,1,FALSE()))),"OLD",IF(AND(E2694&lt;&gt;"",E2694&lt;&gt;"!!!"),"NEW","")))</f>
        <v> </v>
      </c>
      <c r="G2694" s="23" t="str">
        <f>IF(OR(E2694="",E2694="!!!"),"",IF(OR(J2694=0,AND(J2694=1,K2694=1),AND(J2694=1,I2694="SBJ"),AND(J2694=1,I2694=0)),"?IN_FOCUS",IF(J2694&lt;=2,"?ACTIVATED",IF(J2694&lt;&gt;"","?FAMILIAR",IF(F2694="NEW",IF(ISNA(VLOOKUP(E2694,#REF!,1,FALSE())),"?TYPE_IDENTIFIABLE","?REFERENTIAL"),"_")))))</f>
        <v> </v>
      </c>
      <c r="H2694" s="24" t="str">
        <f>IF(J2694&lt;&gt;1,"",IF(I2694="SBJ","CB","?"))</f>
        <v> </v>
      </c>
      <c r="I2694" s="25" t="str">
        <f>IF(OR(E2694="",E2694="!!!",F2694="NEW"),"",INDEX(B2693:B$2,-1+SUMPRODUCT(MAX(ROW(E2693:E$2)*(E2694=E2693:E$2)))))</f>
        <v> </v>
      </c>
      <c r="J2694" s="25" t="str">
        <f>IF(OR(E2694="",E2694="!!!",F2694="NEW"),"",COUNTBLANK(OFFSET(A$1,,,SUMPRODUCT(MAX(ROW(E$2:E2694)*(E2694=E$2:E2694)))))-COUNTBLANK(OFFSET(A$1,,,SUMPRODUCT(MAX(ROW(E$1:E2693)*(E2=E$1:E2693))))))</f>
        <v> </v>
      </c>
      <c r="K2694" s="25" t="str">
        <f>IF(OR(E2694="",E2694="!!!",F2694="NEW"),"",INDEX(J$1:J2693,SUMPRODUCT(MAX(ROW(E$1:E2693)*(E2694=E$1:E2693)))))</f>
        <v> </v>
      </c>
      <c r="L2694" s="26"/>
    </row>
    <row r="2695" spans="1:12">
      <c r="A2695" s="20" t="s">
        <v>1460</v>
      </c>
      <c r="E2695" s="21">
        <f>IF(D2695="?OLD","!!!","")</f>
        <v/>
      </c>
      <c r="F2695" s="22" t="str">
        <f>IF(OR(E2695="",E2695="!!!"),"",IF(NOT(ISNA(VLOOKUP(E2695,E$1:E2694,1,FALSE()))),"OLD",IF(AND(E2695&lt;&gt;"",E2695&lt;&gt;"!!!"),"NEW","")))</f>
        <v> </v>
      </c>
      <c r="G2695" s="23" t="str">
        <f>IF(OR(E2695="",E2695="!!!"),"",IF(OR(J2695=0,AND(J2695=1,K2695=1),AND(J2695=1,I2695="SBJ"),AND(J2695=1,I2695=0)),"?IN_FOCUS",IF(J2695&lt;=2,"?ACTIVATED",IF(J2695&lt;&gt;"","?FAMILIAR",IF(F2695="NEW",IF(ISNA(VLOOKUP(E2695,#REF!,1,FALSE())),"?TYPE_IDENTIFIABLE","?REFERENTIAL"),"_")))))</f>
        <v> </v>
      </c>
      <c r="H2695" s="24" t="str">
        <f>IF(J2695&lt;&gt;1,"",IF(I2695="SBJ","CB","?"))</f>
        <v> </v>
      </c>
      <c r="I2695" s="25" t="str">
        <f>IF(OR(E2695="",E2695="!!!",F2695="NEW"),"",INDEX(B2694:B$2,-1+SUMPRODUCT(MAX(ROW(E2694:E$2)*(E2695=E2694:E$2)))))</f>
        <v> </v>
      </c>
      <c r="J2695" s="25" t="str">
        <f>IF(OR(E2695="",E2695="!!!",F2695="NEW"),"",COUNTBLANK(OFFSET(A$1,,,SUMPRODUCT(MAX(ROW(E$2:E2695)*(E2695=E$2:E2695)))))-COUNTBLANK(OFFSET(A$1,,,SUMPRODUCT(MAX(ROW(E$1:E2694)*(E2=E$1:E2694))))))</f>
        <v> </v>
      </c>
      <c r="K2695" s="25" t="str">
        <f>IF(OR(E2695="",E2695="!!!",F2695="NEW"),"",INDEX(J$1:J2694,SUMPRODUCT(MAX(ROW(E$1:E2694)*(E2695=E$1:E2694)))))</f>
        <v> </v>
      </c>
      <c r="L2695" s="26"/>
    </row>
    <row r="2696" spans="1:12">
      <c r="A2696" s="20" t="s">
        <v>565</v>
      </c>
      <c r="E2696" s="21">
        <f>IF(D2696="?OLD","!!!","")</f>
        <v/>
      </c>
      <c r="F2696" s="22" t="str">
        <f>IF(OR(E2696="",E2696="!!!"),"",IF(NOT(ISNA(VLOOKUP(E2696,E$1:E2695,1,FALSE()))),"OLD",IF(AND(E2696&lt;&gt;"",E2696&lt;&gt;"!!!"),"NEW","")))</f>
        <v> </v>
      </c>
      <c r="G2696" s="23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4" t="str">
        <f>IF(J2696&lt;&gt;1,"",IF(I2696="SBJ","CB","?"))</f>
        <v> </v>
      </c>
      <c r="I2696" s="25" t="str">
        <f>IF(OR(E2696="",E2696="!!!",F2696="NEW"),"",INDEX(B2695:B$2,-1+SUMPRODUCT(MAX(ROW(E2695:E$2)*(E2696=E2695:E$2)))))</f>
        <v> </v>
      </c>
      <c r="J2696" s="25" t="str">
        <f>IF(OR(E2696="",E2696="!!!",F2696="NEW"),"",COUNTBLANK(OFFSET(A$1,,,SUMPRODUCT(MAX(ROW(E$2:E2696)*(E2696=E$2:E2696)))))-COUNTBLANK(OFFSET(A$1,,,SUMPRODUCT(MAX(ROW(E$1:E2695)*(E2=E$1:E2695))))))</f>
        <v> </v>
      </c>
      <c r="K2696" s="25" t="str">
        <f>IF(OR(E2696="",E2696="!!!",F2696="NEW"),"",INDEX(J$1:J2695,SUMPRODUCT(MAX(ROW(E$1:E2695)*(E2696=E$1:E2695)))))</f>
        <v> </v>
      </c>
      <c r="L2696" s="26"/>
    </row>
    <row r="2697" spans="1:12">
      <c r="A2697" s="20" t="s">
        <v>532</v>
      </c>
      <c r="E2697" s="21">
        <f>IF(D2697="?OLD","!!!","")</f>
        <v/>
      </c>
      <c r="F2697" s="22" t="str">
        <f>IF(OR(E2697="",E2697="!!!"),"",IF(NOT(ISNA(VLOOKUP(E2697,E$1:E2696,1,FALSE()))),"OLD",IF(AND(E2697&lt;&gt;"",E2697&lt;&gt;"!!!"),"NEW","")))</f>
        <v> </v>
      </c>
      <c r="G2697" s="23" t="str">
        <f>IF(OR(E2697="",E2697="!!!"),"",IF(OR(J2697=0,AND(J2697=1,K2697=1),AND(J2697=1,I2697="SBJ"),AND(J2697=1,I2697=0)),"?IN_FOCUS",IF(J2697&lt;=2,"?ACTIVATED",IF(J2697&lt;&gt;"","?FAMILIAR",IF(F2697="NEW",IF(ISNA(VLOOKUP(E2697,#REF!,1,FALSE())),"?TYPE_IDENTIFIABLE","?REFERENTIAL"),"_")))))</f>
        <v> </v>
      </c>
      <c r="H2697" s="24" t="str">
        <f>IF(J2697&lt;&gt;1,"",IF(I2697="SBJ","CB","?"))</f>
        <v> </v>
      </c>
      <c r="I2697" s="25" t="str">
        <f>IF(OR(E2697="",E2697="!!!",F2697="NEW"),"",INDEX(B2696:B$2,-1+SUMPRODUCT(MAX(ROW(E2696:E$2)*(E2697=E2696:E$2)))))</f>
        <v> </v>
      </c>
      <c r="J2697" s="25" t="str">
        <f>IF(OR(E2697="",E2697="!!!",F2697="NEW"),"",COUNTBLANK(OFFSET(A$1,,,SUMPRODUCT(MAX(ROW(E$2:E2697)*(E2697=E$2:E2697)))))-COUNTBLANK(OFFSET(A$1,,,SUMPRODUCT(MAX(ROW(E$1:E2696)*(E2=E$1:E2696))))))</f>
        <v> </v>
      </c>
      <c r="K2697" s="25" t="str">
        <f>IF(OR(E2697="",E2697="!!!",F2697="NEW"),"",INDEX(J$1:J2696,SUMPRODUCT(MAX(ROW(E$1:E2696)*(E2697=E$1:E2696)))))</f>
        <v> </v>
      </c>
      <c r="L2697" s="26"/>
    </row>
    <row r="2698" spans="1:12">
      <c r="A2698" s="20" t="s">
        <v>1461</v>
      </c>
      <c r="B2698" s="27" t="s">
        <v>544</v>
      </c>
      <c r="C2698" s="27" t="s">
        <v>540</v>
      </c>
      <c r="D2698" s="27" t="s">
        <v>524</v>
      </c>
      <c r="E2698" s="21">
        <f>IF(D2698="?OLD","!!!","")</f>
        <v/>
      </c>
      <c r="F2698" s="22" t="str">
        <f>IF(OR(E2698="",E2698="!!!"),"",IF(NOT(ISNA(VLOOKUP(E2698,E$1:E2697,1,FALSE()))),"OLD",IF(AND(E2698&lt;&gt;"",E2698&lt;&gt;"!!!"),"NEW","")))</f>
        <v> </v>
      </c>
      <c r="G2698" s="23" t="str">
        <f>IF(OR(E2698="",E2698="!!!"),"",IF(OR(J2698=0,AND(J2698=1,K2698=1),AND(J2698=1,I2698="SBJ"),AND(J2698=1,I2698=0)),"?IN_FOCUS",IF(J2698&lt;=2,"?ACTIVATED",IF(J2698&lt;&gt;"","?FAMILIAR",IF(F2698="NEW",IF(ISNA(VLOOKUP(E2698,#REF!,1,FALSE())),"?TYPE_IDENTIFIABLE","?REFERENTIAL"),"_")))))</f>
        <v> </v>
      </c>
      <c r="H2698" s="24" t="str">
        <f>IF(J2698&lt;&gt;1,"",IF(I2698="SBJ","CB","?"))</f>
        <v> </v>
      </c>
      <c r="I2698" s="25" t="str">
        <f>IF(OR(E2698="",E2698="!!!",F2698="NEW"),"",INDEX(B2697:B$2,-1+SUMPRODUCT(MAX(ROW(E2697:E$2)*(E2698=E2697:E$2)))))</f>
        <v> </v>
      </c>
      <c r="J2698" s="25" t="str">
        <f>IF(OR(E2698="",E2698="!!!",F2698="NEW"),"",COUNTBLANK(OFFSET(A$1,,,SUMPRODUCT(MAX(ROW(E$2:E2698)*(E2698=E$2:E2698)))))-COUNTBLANK(OFFSET(A$1,,,SUMPRODUCT(MAX(ROW(E$1:E2697)*(E2=E$1:E2697))))))</f>
        <v> </v>
      </c>
      <c r="K2698" s="25" t="str">
        <f>IF(OR(E2698="",E2698="!!!",F2698="NEW"),"",INDEX(J$1:J2697,SUMPRODUCT(MAX(ROW(E$1:E2697)*(E2698=E$1:E2697)))))</f>
        <v> </v>
      </c>
      <c r="L2698" s="26"/>
    </row>
    <row r="2699" spans="1:12">
      <c r="A2699" s="20" t="s">
        <v>577</v>
      </c>
      <c r="E2699" s="21">
        <f>IF(D2699="?OLD","!!!","")</f>
        <v/>
      </c>
      <c r="F2699" s="22" t="str">
        <f>IF(OR(E2699="",E2699="!!!"),"",IF(NOT(ISNA(VLOOKUP(E2699,E$1:E2698,1,FALSE()))),"OLD",IF(AND(E2699&lt;&gt;"",E2699&lt;&gt;"!!!"),"NEW","")))</f>
        <v> </v>
      </c>
      <c r="G2699" s="23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4" t="str">
        <f>IF(J2699&lt;&gt;1,"",IF(I2699="SBJ","CB","?"))</f>
        <v> </v>
      </c>
      <c r="I2699" s="25" t="str">
        <f>IF(OR(E2699="",E2699="!!!",F2699="NEW"),"",INDEX(B2698:B$2,-1+SUMPRODUCT(MAX(ROW(E2698:E$2)*(E2699=E2698:E$2)))))</f>
        <v> </v>
      </c>
      <c r="J2699" s="25" t="str">
        <f>IF(OR(E2699="",E2699="!!!",F2699="NEW"),"",COUNTBLANK(OFFSET(A$1,,,SUMPRODUCT(MAX(ROW(E$2:E2699)*(E2699=E$2:E2699)))))-COUNTBLANK(OFFSET(A$1,,,SUMPRODUCT(MAX(ROW(E$1:E2698)*(E2=E$1:E2698))))))</f>
        <v> </v>
      </c>
      <c r="K2699" s="25" t="str">
        <f>IF(OR(E2699="",E2699="!!!",F2699="NEW"),"",INDEX(J$1:J2698,SUMPRODUCT(MAX(ROW(E$1:E2698)*(E2699=E$1:E2698)))))</f>
        <v> </v>
      </c>
      <c r="L2699" s="26"/>
    </row>
    <row r="2700" spans="1:12">
      <c r="A2700" s="20" t="s">
        <v>874</v>
      </c>
      <c r="E2700" s="21">
        <f>IF(D2700="?OLD","!!!","")</f>
        <v/>
      </c>
      <c r="F2700" s="22" t="str">
        <f>IF(OR(E2700="",E2700="!!!"),"",IF(NOT(ISNA(VLOOKUP(E2700,E$1:E2699,1,FALSE()))),"OLD",IF(AND(E2700&lt;&gt;"",E2700&lt;&gt;"!!!"),"NEW","")))</f>
        <v> </v>
      </c>
      <c r="G2700" s="23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4" t="str">
        <f>IF(J2700&lt;&gt;1,"",IF(I2700="SBJ","CB","?"))</f>
        <v> </v>
      </c>
      <c r="I2700" s="25" t="str">
        <f>IF(OR(E2700="",E2700="!!!",F2700="NEW"),"",INDEX(B2699:B$2,-1+SUMPRODUCT(MAX(ROW(E2699:E$2)*(E2700=E2699:E$2)))))</f>
        <v> </v>
      </c>
      <c r="J2700" s="25" t="str">
        <f>IF(OR(E2700="",E2700="!!!",F2700="NEW"),"",COUNTBLANK(OFFSET(A$1,,,SUMPRODUCT(MAX(ROW(E$2:E2700)*(E2700=E$2:E2700)))))-COUNTBLANK(OFFSET(A$1,,,SUMPRODUCT(MAX(ROW(E$1:E2699)*(E2=E$1:E2699))))))</f>
        <v> </v>
      </c>
      <c r="K2700" s="25" t="str">
        <f>IF(OR(E2700="",E2700="!!!",F2700="NEW"),"",INDEX(J$1:J2699,SUMPRODUCT(MAX(ROW(E$1:E2699)*(E2700=E$1:E2699)))))</f>
        <v> </v>
      </c>
      <c r="L2700" s="26"/>
    </row>
    <row r="2701" spans="1:12">
      <c r="A2701" s="20" t="s">
        <v>1462</v>
      </c>
      <c r="B2701" s="27" t="s">
        <v>534</v>
      </c>
      <c r="C2701" s="27" t="s">
        <v>637</v>
      </c>
      <c r="D2701" s="27" t="s">
        <v>524</v>
      </c>
      <c r="E2701" s="21">
        <f>IF(D2701="?OLD","!!!","")</f>
        <v/>
      </c>
      <c r="F2701" s="22" t="str">
        <f>IF(OR(E2701="",E2701="!!!"),"",IF(NOT(ISNA(VLOOKUP(E2701,E$1:E2700,1,FALSE()))),"OLD",IF(AND(E2701&lt;&gt;"",E2701&lt;&gt;"!!!"),"NEW","")))</f>
        <v> </v>
      </c>
      <c r="G2701" s="23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4" t="str">
        <f>IF(J2701&lt;&gt;1,"",IF(I2701="SBJ","CB","?"))</f>
        <v> </v>
      </c>
      <c r="I2701" s="25" t="str">
        <f>IF(OR(E2701="",E2701="!!!",F2701="NEW"),"",INDEX(B2700:B$2,-1+SUMPRODUCT(MAX(ROW(E2700:E$2)*(E2701=E2700:E$2)))))</f>
        <v> </v>
      </c>
      <c r="J2701" s="25" t="str">
        <f>IF(OR(E2701="",E2701="!!!",F2701="NEW"),"",COUNTBLANK(OFFSET(A$1,,,SUMPRODUCT(MAX(ROW(E$2:E2701)*(E2701=E$2:E2701)))))-COUNTBLANK(OFFSET(A$1,,,SUMPRODUCT(MAX(ROW(E$1:E2700)*(E2=E$1:E2700))))))</f>
        <v> </v>
      </c>
      <c r="K2701" s="25" t="str">
        <f>IF(OR(E2701="",E2701="!!!",F2701="NEW"),"",INDEX(J$1:J2700,SUMPRODUCT(MAX(ROW(E$1:E2700)*(E2701=E$1:E2700)))))</f>
        <v> </v>
      </c>
      <c r="L2701" s="26"/>
    </row>
    <row r="2702" spans="1:12">
      <c r="A2702" s="20" t="s">
        <v>565</v>
      </c>
      <c r="E2702" s="21">
        <f>IF(D2702="?OLD","!!!","")</f>
        <v/>
      </c>
      <c r="F2702" s="22" t="str">
        <f>IF(OR(E2702="",E2702="!!!"),"",IF(NOT(ISNA(VLOOKUP(E2702,E$1:E2701,1,FALSE()))),"OLD",IF(AND(E2702&lt;&gt;"",E2702&lt;&gt;"!!!"),"NEW","")))</f>
        <v> </v>
      </c>
      <c r="G2702" s="23" t="str">
        <f>IF(OR(E2702="",E2702="!!!"),"",IF(OR(J2702=0,AND(J2702=1,K2702=1),AND(J2702=1,I2702="SBJ"),AND(J2702=1,I2702=0)),"?IN_FOCUS",IF(J2702&lt;=2,"?ACTIVATED",IF(J2702&lt;&gt;"","?FAMILIAR",IF(F2702="NEW",IF(ISNA(VLOOKUP(E2702,#REF!,1,FALSE())),"?TYPE_IDENTIFIABLE","?REFERENTIAL"),"_")))))</f>
        <v> </v>
      </c>
      <c r="H2702" s="24" t="str">
        <f>IF(J2702&lt;&gt;1,"",IF(I2702="SBJ","CB","?"))</f>
        <v> </v>
      </c>
      <c r="I2702" s="25" t="str">
        <f>IF(OR(E2702="",E2702="!!!",F2702="NEW"),"",INDEX(B2701:B$2,-1+SUMPRODUCT(MAX(ROW(E2701:E$2)*(E2702=E2701:E$2)))))</f>
        <v> </v>
      </c>
      <c r="J2702" s="25" t="str">
        <f>IF(OR(E2702="",E2702="!!!",F2702="NEW"),"",COUNTBLANK(OFFSET(A$1,,,SUMPRODUCT(MAX(ROW(E$2:E2702)*(E2702=E$2:E2702)))))-COUNTBLANK(OFFSET(A$1,,,SUMPRODUCT(MAX(ROW(E$1:E2701)*(E2=E$1:E2701))))))</f>
        <v> </v>
      </c>
      <c r="K2702" s="25" t="str">
        <f>IF(OR(E2702="",E2702="!!!",F2702="NEW"),"",INDEX(J$1:J2701,SUMPRODUCT(MAX(ROW(E$1:E2701)*(E2702=E$1:E2701)))))</f>
        <v> </v>
      </c>
      <c r="L2702" s="26"/>
    </row>
    <row r="2703" spans="1:12">
      <c r="A2703" s="20" t="s">
        <v>625</v>
      </c>
      <c r="E2703" s="21">
        <f>IF(D2703="?OLD","!!!","")</f>
        <v/>
      </c>
      <c r="F2703" s="22" t="str">
        <f>IF(OR(E2703="",E2703="!!!"),"",IF(NOT(ISNA(VLOOKUP(E2703,E$1:E2702,1,FALSE()))),"OLD",IF(AND(E2703&lt;&gt;"",E2703&lt;&gt;"!!!"),"NEW","")))</f>
        <v> </v>
      </c>
      <c r="G2703" s="23" t="str">
        <f>IF(OR(E2703="",E2703="!!!"),"",IF(OR(J2703=0,AND(J2703=1,K2703=1),AND(J2703=1,I2703="SBJ"),AND(J2703=1,I2703=0)),"?IN_FOCUS",IF(J2703&lt;=2,"?ACTIVATED",IF(J2703&lt;&gt;"","?FAMILIAR",IF(F2703="NEW",IF(ISNA(VLOOKUP(E2703,#REF!,1,FALSE())),"?TYPE_IDENTIFIABLE","?REFERENTIAL"),"_")))))</f>
        <v> </v>
      </c>
      <c r="H2703" s="24" t="str">
        <f>IF(J2703&lt;&gt;1,"",IF(I2703="SBJ","CB","?"))</f>
        <v> </v>
      </c>
      <c r="I2703" s="25" t="str">
        <f>IF(OR(E2703="",E2703="!!!",F2703="NEW"),"",INDEX(B2702:B$2,-1+SUMPRODUCT(MAX(ROW(E2702:E$2)*(E2703=E2702:E$2)))))</f>
        <v> </v>
      </c>
      <c r="J2703" s="25" t="str">
        <f>IF(OR(E2703="",E2703="!!!",F2703="NEW"),"",COUNTBLANK(OFFSET(A$1,,,SUMPRODUCT(MAX(ROW(E$2:E2703)*(E2703=E$2:E2703)))))-COUNTBLANK(OFFSET(A$1,,,SUMPRODUCT(MAX(ROW(E$1:E2702)*(E2=E$1:E2702))))))</f>
        <v> </v>
      </c>
      <c r="K2703" s="25" t="str">
        <f>IF(OR(E2703="",E2703="!!!",F2703="NEW"),"",INDEX(J$1:J2702,SUMPRODUCT(MAX(ROW(E$1:E2702)*(E2703=E$1:E2702)))))</f>
        <v> </v>
      </c>
      <c r="L2703" s="26"/>
    </row>
    <row r="2704" spans="1:12">
      <c r="A2704" s="20" t="s">
        <v>696</v>
      </c>
      <c r="B2704" s="27" t="s">
        <v>544</v>
      </c>
      <c r="C2704" s="27" t="s">
        <v>557</v>
      </c>
      <c r="E2704" s="21">
        <f>IF(D2704="?OLD","!!!","")</f>
        <v/>
      </c>
      <c r="F2704" s="22" t="str">
        <f>IF(OR(E2704="",E2704="!!!"),"",IF(NOT(ISNA(VLOOKUP(E2704,E$1:E2703,1,FALSE()))),"OLD",IF(AND(E2704&lt;&gt;"",E2704&lt;&gt;"!!!"),"NEW","")))</f>
        <v> </v>
      </c>
      <c r="G2704" s="23" t="str">
        <f>IF(OR(E2704="",E2704="!!!"),"",IF(OR(J2704=0,AND(J2704=1,K2704=1),AND(J2704=1,I2704="SBJ"),AND(J2704=1,I2704=0)),"?IN_FOCUS",IF(J2704&lt;=2,"?ACTIVATED",IF(J2704&lt;&gt;"","?FAMILIAR",IF(F2704="NEW",IF(ISNA(VLOOKUP(E2704,#REF!,1,FALSE())),"?TYPE_IDENTIFIABLE","?REFERENTIAL"),"_")))))</f>
        <v> </v>
      </c>
      <c r="H2704" s="24" t="str">
        <f>IF(J2704&lt;&gt;1,"",IF(I2704="SBJ","CB","?"))</f>
        <v> </v>
      </c>
      <c r="I2704" s="25" t="str">
        <f>IF(OR(E2704="",E2704="!!!",F2704="NEW"),"",INDEX(B2703:B$2,-1+SUMPRODUCT(MAX(ROW(E2703:E$2)*(E2704=E2703:E$2)))))</f>
        <v> </v>
      </c>
      <c r="J2704" s="25" t="str">
        <f>IF(OR(E2704="",E2704="!!!",F2704="NEW"),"",COUNTBLANK(OFFSET(A$1,,,SUMPRODUCT(MAX(ROW(E$2:E2704)*(E2704=E$2:E2704)))))-COUNTBLANK(OFFSET(A$1,,,SUMPRODUCT(MAX(ROW(E$1:E2703)*(E2=E$1:E2703))))))</f>
        <v> </v>
      </c>
      <c r="K2704" s="25" t="str">
        <f>IF(OR(E2704="",E2704="!!!",F2704="NEW"),"",INDEX(J$1:J2703,SUMPRODUCT(MAX(ROW(E$1:E2703)*(E2704=E$1:E2703)))))</f>
        <v> </v>
      </c>
      <c r="L2704" s="26"/>
    </row>
    <row r="2705" spans="1:12">
      <c r="A2705" s="20" t="s">
        <v>577</v>
      </c>
      <c r="E2705" s="21">
        <f>IF(D2705="?OLD","!!!","")</f>
        <v/>
      </c>
      <c r="F2705" s="22" t="str">
        <f>IF(OR(E2705="",E2705="!!!"),"",IF(NOT(ISNA(VLOOKUP(E2705,E$1:E2704,1,FALSE()))),"OLD",IF(AND(E2705&lt;&gt;"",E2705&lt;&gt;"!!!"),"NEW","")))</f>
        <v> </v>
      </c>
      <c r="G2705" s="23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4" t="str">
        <f>IF(J2705&lt;&gt;1,"",IF(I2705="SBJ","CB","?"))</f>
        <v> </v>
      </c>
      <c r="I2705" s="25" t="str">
        <f>IF(OR(E2705="",E2705="!!!",F2705="NEW"),"",INDEX(B2704:B$2,-1+SUMPRODUCT(MAX(ROW(E2704:E$2)*(E2705=E2704:E$2)))))</f>
        <v> </v>
      </c>
      <c r="J2705" s="25" t="str">
        <f>IF(OR(E2705="",E2705="!!!",F2705="NEW"),"",COUNTBLANK(OFFSET(A$1,,,SUMPRODUCT(MAX(ROW(E$2:E2705)*(E2705=E$2:E2705)))))-COUNTBLANK(OFFSET(A$1,,,SUMPRODUCT(MAX(ROW(E$1:E2704)*(E2=E$1:E2704))))))</f>
        <v> </v>
      </c>
      <c r="K2705" s="25" t="str">
        <f>IF(OR(E2705="",E2705="!!!",F2705="NEW"),"",INDEX(J$1:J2704,SUMPRODUCT(MAX(ROW(E$1:E2704)*(E2705=E$1:E2704)))))</f>
        <v> </v>
      </c>
      <c r="L2705" s="26"/>
    </row>
    <row r="2706" spans="1:12">
      <c r="A2706" s="20" t="s">
        <v>1431</v>
      </c>
      <c r="B2706" s="27" t="s">
        <v>534</v>
      </c>
      <c r="C2706" s="27" t="s">
        <v>523</v>
      </c>
      <c r="D2706" s="27" t="s">
        <v>524</v>
      </c>
      <c r="E2706" s="21">
        <f>IF(D2706="?OLD","!!!","")</f>
        <v/>
      </c>
      <c r="F2706" s="22" t="str">
        <f>IF(OR(E2706="",E2706="!!!"),"",IF(NOT(ISNA(VLOOKUP(E2706,E$1:E2705,1,FALSE()))),"OLD",IF(AND(E2706&lt;&gt;"",E2706&lt;&gt;"!!!"),"NEW","")))</f>
        <v> </v>
      </c>
      <c r="G2706" s="23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4" t="str">
        <f>IF(J2706&lt;&gt;1,"",IF(I2706="SBJ","CB","?"))</f>
        <v> </v>
      </c>
      <c r="I2706" s="25" t="str">
        <f>IF(OR(E2706="",E2706="!!!",F2706="NEW"),"",INDEX(B2705:B$2,-1+SUMPRODUCT(MAX(ROW(E2705:E$2)*(E2706=E2705:E$2)))))</f>
        <v> </v>
      </c>
      <c r="J2706" s="25" t="str">
        <f>IF(OR(E2706="",E2706="!!!",F2706="NEW"),"",COUNTBLANK(OFFSET(A$1,,,SUMPRODUCT(MAX(ROW(E$2:E2706)*(E2706=E$2:E2706)))))-COUNTBLANK(OFFSET(A$1,,,SUMPRODUCT(MAX(ROW(E$1:E2705)*(E2=E$1:E2705))))))</f>
        <v> </v>
      </c>
      <c r="K2706" s="25" t="str">
        <f>IF(OR(E2706="",E2706="!!!",F2706="NEW"),"",INDEX(J$1:J2705,SUMPRODUCT(MAX(ROW(E$1:E2705)*(E2706=E$1:E2705)))))</f>
        <v> </v>
      </c>
      <c r="L2706" s="26"/>
    </row>
    <row r="2707" spans="1:12">
      <c r="A2707" s="20" t="s">
        <v>565</v>
      </c>
      <c r="E2707" s="21">
        <f>IF(D2707="?OLD","!!!","")</f>
        <v/>
      </c>
      <c r="F2707" s="22" t="str">
        <f>IF(OR(E2707="",E2707="!!!"),"",IF(NOT(ISNA(VLOOKUP(E2707,E$1:E2706,1,FALSE()))),"OLD",IF(AND(E2707&lt;&gt;"",E2707&lt;&gt;"!!!"),"NEW","")))</f>
        <v> </v>
      </c>
      <c r="G2707" s="23" t="str">
        <f>IF(OR(E2707="",E2707="!!!"),"",IF(OR(J2707=0,AND(J2707=1,K2707=1),AND(J2707=1,I2707="SBJ"),AND(J2707=1,I2707=0)),"?IN_FOCUS",IF(J2707&lt;=2,"?ACTIVATED",IF(J2707&lt;&gt;"","?FAMILIAR",IF(F2707="NEW",IF(ISNA(VLOOKUP(E2707,#REF!,1,FALSE())),"?TYPE_IDENTIFIABLE","?REFERENTIAL"),"_")))))</f>
        <v> </v>
      </c>
      <c r="H2707" s="24" t="str">
        <f>IF(J2707&lt;&gt;1,"",IF(I2707="SBJ","CB","?"))</f>
        <v> </v>
      </c>
      <c r="I2707" s="25" t="str">
        <f>IF(OR(E2707="",E2707="!!!",F2707="NEW"),"",INDEX(B2706:B$2,-1+SUMPRODUCT(MAX(ROW(E2706:E$2)*(E2707=E2706:E$2)))))</f>
        <v> </v>
      </c>
      <c r="J2707" s="25" t="str">
        <f>IF(OR(E2707="",E2707="!!!",F2707="NEW"),"",COUNTBLANK(OFFSET(A$1,,,SUMPRODUCT(MAX(ROW(E$2:E2707)*(E2707=E$2:E2707)))))-COUNTBLANK(OFFSET(A$1,,,SUMPRODUCT(MAX(ROW(E$1:E2706)*(E2=E$1:E2706))))))</f>
        <v> </v>
      </c>
      <c r="K2707" s="25" t="str">
        <f>IF(OR(E2707="",E2707="!!!",F2707="NEW"),"",INDEX(J$1:J2706,SUMPRODUCT(MAX(ROW(E$1:E2706)*(E2707=E$1:E2706)))))</f>
        <v> </v>
      </c>
      <c r="L2707" s="26"/>
    </row>
    <row r="2708" spans="1:12">
      <c r="A2708" s="20" t="s">
        <v>833</v>
      </c>
      <c r="E2708" s="21">
        <f>IF(D2708="?OLD","!!!","")</f>
        <v/>
      </c>
      <c r="F2708" s="22" t="str">
        <f>IF(OR(E2708="",E2708="!!!"),"",IF(NOT(ISNA(VLOOKUP(E2708,E$1:E2707,1,FALSE()))),"OLD",IF(AND(E2708&lt;&gt;"",E2708&lt;&gt;"!!!"),"NEW","")))</f>
        <v> </v>
      </c>
      <c r="G2708" s="23" t="str">
        <f>IF(OR(E2708="",E2708="!!!"),"",IF(OR(J2708=0,AND(J2708=1,K2708=1),AND(J2708=1,I2708="SBJ"),AND(J2708=1,I2708=0)),"?IN_FOCUS",IF(J2708&lt;=2,"?ACTIVATED",IF(J2708&lt;&gt;"","?FAMILIAR",IF(F2708="NEW",IF(ISNA(VLOOKUP(E2708,#REF!,1,FALSE())),"?TYPE_IDENTIFIABLE","?REFERENTIAL"),"_")))))</f>
        <v> </v>
      </c>
      <c r="H2708" s="24" t="str">
        <f>IF(J2708&lt;&gt;1,"",IF(I2708="SBJ","CB","?"))</f>
        <v> </v>
      </c>
      <c r="I2708" s="25" t="str">
        <f>IF(OR(E2708="",E2708="!!!",F2708="NEW"),"",INDEX(B2707:B$2,-1+SUMPRODUCT(MAX(ROW(E2707:E$2)*(E2708=E2707:E$2)))))</f>
        <v> </v>
      </c>
      <c r="J2708" s="25" t="str">
        <f>IF(OR(E2708="",E2708="!!!",F2708="NEW"),"",COUNTBLANK(OFFSET(A$1,,,SUMPRODUCT(MAX(ROW(E$2:E2708)*(E2708=E$2:E2708)))))-COUNTBLANK(OFFSET(A$1,,,SUMPRODUCT(MAX(ROW(E$1:E2707)*(E2=E$1:E2707))))))</f>
        <v> </v>
      </c>
      <c r="K2708" s="25" t="str">
        <f>IF(OR(E2708="",E2708="!!!",F2708="NEW"),"",INDEX(J$1:J2707,SUMPRODUCT(MAX(ROW(E$1:E2707)*(E2708=E$1:E2707)))))</f>
        <v> </v>
      </c>
      <c r="L2708" s="26"/>
    </row>
    <row r="2709" spans="1:12">
      <c r="A2709" s="20" t="s">
        <v>874</v>
      </c>
      <c r="B2709" s="27" t="s">
        <v>680</v>
      </c>
      <c r="C2709" s="27" t="s">
        <v>584</v>
      </c>
      <c r="D2709" s="27" t="s">
        <v>524</v>
      </c>
      <c r="E2709" s="21">
        <f>IF(D2709="?OLD","!!!","")</f>
        <v/>
      </c>
      <c r="F2709" s="22" t="str">
        <f>IF(OR(E2709="",E2709="!!!"),"",IF(NOT(ISNA(VLOOKUP(E2709,E$1:E2708,1,FALSE()))),"OLD",IF(AND(E2709&lt;&gt;"",E2709&lt;&gt;"!!!"),"NEW","")))</f>
        <v> </v>
      </c>
      <c r="G2709" s="23" t="str">
        <f>IF(OR(E2709="",E2709="!!!"),"",IF(OR(J2709=0,AND(J2709=1,K2709=1),AND(J2709=1,I2709="SBJ"),AND(J2709=1,I2709=0)),"?IN_FOCUS",IF(J2709&lt;=2,"?ACTIVATED",IF(J2709&lt;&gt;"","?FAMILIAR",IF(F2709="NEW",IF(ISNA(VLOOKUP(E2709,#REF!,1,FALSE())),"?TYPE_IDENTIFIABLE","?REFERENTIAL"),"_")))))</f>
        <v> </v>
      </c>
      <c r="H2709" s="24" t="str">
        <f>IF(J2709&lt;&gt;1,"",IF(I2709="SBJ","CB","?"))</f>
        <v> </v>
      </c>
      <c r="I2709" s="25" t="str">
        <f>IF(OR(E2709="",E2709="!!!",F2709="NEW"),"",INDEX(B2708:B$2,-1+SUMPRODUCT(MAX(ROW(E2708:E$2)*(E2709=E2708:E$2)))))</f>
        <v> </v>
      </c>
      <c r="J2709" s="25" t="str">
        <f>IF(OR(E2709="",E2709="!!!",F2709="NEW"),"",COUNTBLANK(OFFSET(A$1,,,SUMPRODUCT(MAX(ROW(E$2:E2709)*(E2709=E$2:E2709)))))-COUNTBLANK(OFFSET(A$1,,,SUMPRODUCT(MAX(ROW(E$1:E2708)*(E2=E$1:E2708))))))</f>
        <v> </v>
      </c>
      <c r="K2709" s="25" t="str">
        <f>IF(OR(E2709="",E2709="!!!",F2709="NEW"),"",INDEX(J$1:J2708,SUMPRODUCT(MAX(ROW(E$1:E2708)*(E2709=E$1:E2708)))))</f>
        <v> </v>
      </c>
      <c r="L2709" s="26"/>
    </row>
    <row r="2710" spans="1:12">
      <c r="A2710" s="20" t="s">
        <v>385</v>
      </c>
      <c r="E2710" s="21">
        <f>IF(D2710="?OLD","!!!","")</f>
        <v/>
      </c>
      <c r="F2710" s="22" t="str">
        <f>IF(OR(E2710="",E2710="!!!"),"",IF(NOT(ISNA(VLOOKUP(E2710,E$1:E2709,1,FALSE()))),"OLD",IF(AND(E2710&lt;&gt;"",E2710&lt;&gt;"!!!"),"NEW","")))</f>
        <v> </v>
      </c>
      <c r="G2710" s="23" t="str">
        <f>IF(OR(E2710="",E2710="!!!"),"",IF(OR(J2710=0,AND(J2710=1,K2710=1),AND(J2710=1,I2710="SBJ"),AND(J2710=1,I2710=0)),"?IN_FOCUS",IF(J2710&lt;=2,"?ACTIVATED",IF(J2710&lt;&gt;"","?FAMILIAR",IF(F2710="NEW",IF(ISNA(VLOOKUP(E2710,#REF!,1,FALSE())),"?TYPE_IDENTIFIABLE","?REFERENTIAL"),"_")))))</f>
        <v> </v>
      </c>
      <c r="H2710" s="24" t="str">
        <f>IF(J2710&lt;&gt;1,"",IF(I2710="SBJ","CB","?"))</f>
        <v> </v>
      </c>
      <c r="I2710" s="25" t="str">
        <f>IF(OR(E2710="",E2710="!!!",F2710="NEW"),"",INDEX(B2709:B$2,-1+SUMPRODUCT(MAX(ROW(E2709:E$2)*(E2710=E2709:E$2)))))</f>
        <v> </v>
      </c>
      <c r="J2710" s="25" t="str">
        <f>IF(OR(E2710="",E2710="!!!",F2710="NEW"),"",COUNTBLANK(OFFSET(A$1,,,SUMPRODUCT(MAX(ROW(E$2:E2710)*(E2710=E$2:E2710)))))-COUNTBLANK(OFFSET(A$1,,,SUMPRODUCT(MAX(ROW(E$1:E2709)*(E2=E$1:E2709))))))</f>
        <v> </v>
      </c>
      <c r="K2710" s="25" t="str">
        <f>IF(OR(E2710="",E2710="!!!",F2710="NEW"),"",INDEX(J$1:J2709,SUMPRODUCT(MAX(ROW(E$1:E2709)*(E2710=E$1:E2709)))))</f>
        <v> </v>
      </c>
      <c r="L2710" s="26"/>
    </row>
    <row r="2711" spans="1:12">
      <c r="A2711" s="20" t="s">
        <v>528</v>
      </c>
      <c r="E2711" s="21">
        <f>IF(D2711="?OLD","!!!","")</f>
        <v/>
      </c>
      <c r="F2711" s="22" t="str">
        <f>IF(OR(E2711="",E2711="!!!"),"",IF(NOT(ISNA(VLOOKUP(E2711,E$1:E2710,1,FALSE()))),"OLD",IF(AND(E2711&lt;&gt;"",E2711&lt;&gt;"!!!"),"NEW","")))</f>
        <v> </v>
      </c>
      <c r="G2711" s="23" t="str">
        <f>IF(OR(E2711="",E2711="!!!"),"",IF(OR(J2711=0,AND(J2711=1,K2711=1),AND(J2711=1,I2711="SBJ"),AND(J2711=1,I2711=0)),"?IN_FOCUS",IF(J2711&lt;=2,"?ACTIVATED",IF(J2711&lt;&gt;"","?FAMILIAR",IF(F2711="NEW",IF(ISNA(VLOOKUP(E2711,#REF!,1,FALSE())),"?TYPE_IDENTIFIABLE","?REFERENTIAL"),"_")))))</f>
        <v> </v>
      </c>
      <c r="H2711" s="24" t="str">
        <f>IF(J2711&lt;&gt;1,"",IF(I2711="SBJ","CB","?"))</f>
        <v> </v>
      </c>
      <c r="I2711" s="25" t="str">
        <f>IF(OR(E2711="",E2711="!!!",F2711="NEW"),"",INDEX(B2710:B$2,-1+SUMPRODUCT(MAX(ROW(E2710:E$2)*(E2711=E2710:E$2)))))</f>
        <v> </v>
      </c>
      <c r="J2711" s="25" t="str">
        <f>IF(OR(E2711="",E2711="!!!",F2711="NEW"),"",COUNTBLANK(OFFSET(A$1,,,SUMPRODUCT(MAX(ROW(E$2:E2711)*(E2711=E$2:E2711)))))-COUNTBLANK(OFFSET(A$1,,,SUMPRODUCT(MAX(ROW(E$1:E2710)*(E2=E$1:E2710))))))</f>
        <v> </v>
      </c>
      <c r="K2711" s="25" t="str">
        <f>IF(OR(E2711="",E2711="!!!",F2711="NEW"),"",INDEX(J$1:J2710,SUMPRODUCT(MAX(ROW(E$1:E2710)*(E2711=E$1:E2710)))))</f>
        <v> </v>
      </c>
      <c r="L2711" s="26"/>
    </row>
    <row r="2712" spans="1:12">
      <c r="A2712" s="20" t="s">
        <v>1463</v>
      </c>
      <c r="E2712" s="21">
        <f>IF(D2712="?OLD","!!!","")</f>
        <v/>
      </c>
      <c r="F2712" s="22" t="str">
        <f>IF(OR(E2712="",E2712="!!!"),"",IF(NOT(ISNA(VLOOKUP(E2712,E$1:E2711,1,FALSE()))),"OLD",IF(AND(E2712&lt;&gt;"",E2712&lt;&gt;"!!!"),"NEW","")))</f>
        <v> </v>
      </c>
      <c r="G2712" s="23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4" t="str">
        <f>IF(J2712&lt;&gt;1,"",IF(I2712="SBJ","CB","?"))</f>
        <v> </v>
      </c>
      <c r="I2712" s="25" t="str">
        <f>IF(OR(E2712="",E2712="!!!",F2712="NEW"),"",INDEX(B2711:B$2,-1+SUMPRODUCT(MAX(ROW(E2711:E$2)*(E2712=E2711:E$2)))))</f>
        <v> </v>
      </c>
      <c r="J2712" s="25" t="str">
        <f>IF(OR(E2712="",E2712="!!!",F2712="NEW"),"",COUNTBLANK(OFFSET(A$1,,,SUMPRODUCT(MAX(ROW(E$2:E2712)*(E2712=E$2:E2712)))))-COUNTBLANK(OFFSET(A$1,,,SUMPRODUCT(MAX(ROW(E$1:E2711)*(E2=E$1:E2711))))))</f>
        <v> </v>
      </c>
      <c r="K2712" s="25" t="str">
        <f>IF(OR(E2712="",E2712="!!!",F2712="NEW"),"",INDEX(J$1:J2711,SUMPRODUCT(MAX(ROW(E$1:E2711)*(E2712=E$1:E2711)))))</f>
        <v> </v>
      </c>
      <c r="L2712" s="26"/>
    </row>
    <row r="2713" spans="1:12">
      <c r="A2713" s="20" t="s">
        <v>528</v>
      </c>
      <c r="E2713" s="21">
        <f>IF(D2713="?OLD","!!!","")</f>
        <v/>
      </c>
      <c r="F2713" s="22" t="str">
        <f>IF(OR(E2713="",E2713="!!!"),"",IF(NOT(ISNA(VLOOKUP(E2713,E$1:E2712,1,FALSE()))),"OLD",IF(AND(E2713&lt;&gt;"",E2713&lt;&gt;"!!!"),"NEW","")))</f>
        <v> </v>
      </c>
      <c r="G2713" s="23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4" t="str">
        <f>IF(J2713&lt;&gt;1,"",IF(I2713="SBJ","CB","?"))</f>
        <v> </v>
      </c>
      <c r="I2713" s="25" t="str">
        <f>IF(OR(E2713="",E2713="!!!",F2713="NEW"),"",INDEX(B2712:B$2,-1+SUMPRODUCT(MAX(ROW(E2712:E$2)*(E2713=E2712:E$2)))))</f>
        <v> </v>
      </c>
      <c r="J2713" s="25" t="str">
        <f>IF(OR(E2713="",E2713="!!!",F2713="NEW"),"",COUNTBLANK(OFFSET(A$1,,,SUMPRODUCT(MAX(ROW(E$2:E2713)*(E2713=E$2:E2713)))))-COUNTBLANK(OFFSET(A$1,,,SUMPRODUCT(MAX(ROW(E$1:E2712)*(E2=E$1:E2712))))))</f>
        <v> </v>
      </c>
      <c r="K2713" s="25" t="str">
        <f>IF(OR(E2713="",E2713="!!!",F2713="NEW"),"",INDEX(J$1:J2712,SUMPRODUCT(MAX(ROW(E$1:E2712)*(E2713=E$1:E2712)))))</f>
        <v> </v>
      </c>
      <c r="L2713" s="26"/>
    </row>
    <row r="2714" spans="1:12">
      <c r="A2714" s="20" t="s">
        <v>934</v>
      </c>
      <c r="E2714" s="21">
        <f>IF(D2714="?OLD","!!!","")</f>
        <v/>
      </c>
      <c r="F2714" s="22" t="str">
        <f>IF(OR(E2714="",E2714="!!!"),"",IF(NOT(ISNA(VLOOKUP(E2714,E$1:E2713,1,FALSE()))),"OLD",IF(AND(E2714&lt;&gt;"",E2714&lt;&gt;"!!!"),"NEW","")))</f>
        <v> </v>
      </c>
      <c r="G2714" s="23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4" t="str">
        <f>IF(J2714&lt;&gt;1,"",IF(I2714="SBJ","CB","?"))</f>
        <v> </v>
      </c>
      <c r="I2714" s="25" t="str">
        <f>IF(OR(E2714="",E2714="!!!",F2714="NEW"),"",INDEX(B2713:B$2,-1+SUMPRODUCT(MAX(ROW(E2713:E$2)*(E2714=E2713:E$2)))))</f>
        <v> </v>
      </c>
      <c r="J2714" s="25" t="str">
        <f>IF(OR(E2714="",E2714="!!!",F2714="NEW"),"",COUNTBLANK(OFFSET(A$1,,,SUMPRODUCT(MAX(ROW(E$2:E2714)*(E2714=E$2:E2714)))))-COUNTBLANK(OFFSET(A$1,,,SUMPRODUCT(MAX(ROW(E$1:E2713)*(E2=E$1:E2713))))))</f>
        <v> </v>
      </c>
      <c r="K2714" s="25" t="str">
        <f>IF(OR(E2714="",E2714="!!!",F2714="NEW"),"",INDEX(J$1:J2713,SUMPRODUCT(MAX(ROW(E$1:E2713)*(E2714=E$1:E2713)))))</f>
        <v> </v>
      </c>
      <c r="L2714" s="26"/>
    </row>
    <row r="2715" spans="1:12">
      <c r="A2715" s="20" t="s">
        <v>730</v>
      </c>
      <c r="E2715" s="21">
        <f>IF(D2715="?OLD","!!!","")</f>
        <v/>
      </c>
      <c r="F2715" s="22" t="str">
        <f>IF(OR(E2715="",E2715="!!!"),"",IF(NOT(ISNA(VLOOKUP(E2715,E$1:E2714,1,FALSE()))),"OLD",IF(AND(E2715&lt;&gt;"",E2715&lt;&gt;"!!!"),"NEW","")))</f>
        <v> </v>
      </c>
      <c r="G2715" s="23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4" t="str">
        <f>IF(J2715&lt;&gt;1,"",IF(I2715="SBJ","CB","?"))</f>
        <v> </v>
      </c>
      <c r="I2715" s="25" t="str">
        <f>IF(OR(E2715="",E2715="!!!",F2715="NEW"),"",INDEX(B2714:B$2,-1+SUMPRODUCT(MAX(ROW(E2714:E$2)*(E2715=E2714:E$2)))))</f>
        <v> </v>
      </c>
      <c r="J2715" s="25" t="str">
        <f>IF(OR(E2715="",E2715="!!!",F2715="NEW"),"",COUNTBLANK(OFFSET(A$1,,,SUMPRODUCT(MAX(ROW(E$2:E2715)*(E2715=E$2:E2715)))))-COUNTBLANK(OFFSET(A$1,,,SUMPRODUCT(MAX(ROW(E$1:E2714)*(E2=E$1:E2714))))))</f>
        <v> </v>
      </c>
      <c r="K2715" s="25" t="str">
        <f>IF(OR(E2715="",E2715="!!!",F2715="NEW"),"",INDEX(J$1:J2714,SUMPRODUCT(MAX(ROW(E$1:E2714)*(E2715=E$1:E2714)))))</f>
        <v> </v>
      </c>
      <c r="L2715" s="26"/>
    </row>
    <row r="2716" spans="1:12">
      <c r="A2716" s="20" t="s">
        <v>1464</v>
      </c>
      <c r="E2716" s="21">
        <f>IF(D2716="?OLD","!!!","")</f>
        <v/>
      </c>
      <c r="F2716" s="22" t="str">
        <f>IF(OR(E2716="",E2716="!!!"),"",IF(NOT(ISNA(VLOOKUP(E2716,E$1:E2715,1,FALSE()))),"OLD",IF(AND(E2716&lt;&gt;"",E2716&lt;&gt;"!!!"),"NEW","")))</f>
        <v> </v>
      </c>
      <c r="G2716" s="23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4" t="str">
        <f>IF(J2716&lt;&gt;1,"",IF(I2716="SBJ","CB","?"))</f>
        <v> </v>
      </c>
      <c r="I2716" s="25" t="str">
        <f>IF(OR(E2716="",E2716="!!!",F2716="NEW"),"",INDEX(B2715:B$2,-1+SUMPRODUCT(MAX(ROW(E2715:E$2)*(E2716=E2715:E$2)))))</f>
        <v> </v>
      </c>
      <c r="J2716" s="25" t="str">
        <f>IF(OR(E2716="",E2716="!!!",F2716="NEW"),"",COUNTBLANK(OFFSET(A$1,,,SUMPRODUCT(MAX(ROW(E$2:E2716)*(E2716=E$2:E2716)))))-COUNTBLANK(OFFSET(A$1,,,SUMPRODUCT(MAX(ROW(E$1:E2715)*(E2=E$1:E2715))))))</f>
        <v> </v>
      </c>
      <c r="K2716" s="25" t="str">
        <f>IF(OR(E2716="",E2716="!!!",F2716="NEW"),"",INDEX(J$1:J2715,SUMPRODUCT(MAX(ROW(E$1:E2715)*(E2716=E$1:E2715)))))</f>
        <v> </v>
      </c>
      <c r="L2716" s="26"/>
    </row>
    <row r="2717" spans="1:12">
      <c r="A2717" s="20" t="s">
        <v>1465</v>
      </c>
      <c r="B2717" s="27" t="s">
        <v>556</v>
      </c>
      <c r="C2717" s="27" t="s">
        <v>545</v>
      </c>
      <c r="D2717" s="27" t="s">
        <v>524</v>
      </c>
      <c r="E2717" s="21">
        <f>IF(D2717="?OLD","!!!","")</f>
        <v/>
      </c>
      <c r="F2717" s="22" t="str">
        <f>IF(OR(E2717="",E2717="!!!"),"",IF(NOT(ISNA(VLOOKUP(E2717,E$1:E2716,1,FALSE()))),"OLD",IF(AND(E2717&lt;&gt;"",E2717&lt;&gt;"!!!"),"NEW","")))</f>
        <v> </v>
      </c>
      <c r="G2717" s="23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4" t="str">
        <f>IF(J2717&lt;&gt;1,"",IF(I2717="SBJ","CB","?"))</f>
        <v> </v>
      </c>
      <c r="I2717" s="25" t="str">
        <f>IF(OR(E2717="",E2717="!!!",F2717="NEW"),"",INDEX(B2716:B$2,-1+SUMPRODUCT(MAX(ROW(E2716:E$2)*(E2717=E2716:E$2)))))</f>
        <v> </v>
      </c>
      <c r="J2717" s="25" t="str">
        <f>IF(OR(E2717="",E2717="!!!",F2717="NEW"),"",COUNTBLANK(OFFSET(A$1,,,SUMPRODUCT(MAX(ROW(E$2:E2717)*(E2717=E$2:E2717)))))-COUNTBLANK(OFFSET(A$1,,,SUMPRODUCT(MAX(ROW(E$1:E2716)*(E2=E$1:E2716))))))</f>
        <v> </v>
      </c>
      <c r="K2717" s="25" t="str">
        <f>IF(OR(E2717="",E2717="!!!",F2717="NEW"),"",INDEX(J$1:J2716,SUMPRODUCT(MAX(ROW(E$1:E2716)*(E2717=E$1:E2716)))))</f>
        <v> </v>
      </c>
      <c r="L2717" s="26"/>
    </row>
    <row r="2718" spans="1:12">
      <c r="A2718" s="20" t="s">
        <v>549</v>
      </c>
      <c r="E2718" s="21">
        <f>IF(D2718="?OLD","!!!","")</f>
        <v/>
      </c>
      <c r="F2718" s="22" t="str">
        <f>IF(OR(E2718="",E2718="!!!"),"",IF(NOT(ISNA(VLOOKUP(E2718,E$1:E2717,1,FALSE()))),"OLD",IF(AND(E2718&lt;&gt;"",E2718&lt;&gt;"!!!"),"NEW","")))</f>
        <v> </v>
      </c>
      <c r="G2718" s="23" t="str">
        <f>IF(OR(E2718="",E2718="!!!"),"",IF(OR(J2718=0,AND(J2718=1,K2718=1),AND(J2718=1,I2718="SBJ"),AND(J2718=1,I2718=0)),"?IN_FOCUS",IF(J2718&lt;=2,"?ACTIVATED",IF(J2718&lt;&gt;"","?FAMILIAR",IF(F2718="NEW",IF(ISNA(VLOOKUP(E2718,#REF!,1,FALSE())),"?TYPE_IDENTIFIABLE","?REFERENTIAL"),"_")))))</f>
        <v> </v>
      </c>
      <c r="H2718" s="24" t="str">
        <f>IF(J2718&lt;&gt;1,"",IF(I2718="SBJ","CB","?"))</f>
        <v> </v>
      </c>
      <c r="I2718" s="25" t="str">
        <f>IF(OR(E2718="",E2718="!!!",F2718="NEW"),"",INDEX(B2717:B$2,-1+SUMPRODUCT(MAX(ROW(E2717:E$2)*(E2718=E2717:E$2)))))</f>
        <v> </v>
      </c>
      <c r="J2718" s="25" t="str">
        <f>IF(OR(E2718="",E2718="!!!",F2718="NEW"),"",COUNTBLANK(OFFSET(A$1,,,SUMPRODUCT(MAX(ROW(E$2:E2718)*(E2718=E$2:E2718)))))-COUNTBLANK(OFFSET(A$1,,,SUMPRODUCT(MAX(ROW(E$1:E2717)*(E2=E$1:E2717))))))</f>
        <v> </v>
      </c>
      <c r="K2718" s="25" t="str">
        <f>IF(OR(E2718="",E2718="!!!",F2718="NEW"),"",INDEX(J$1:J2717,SUMPRODUCT(MAX(ROW(E$1:E2717)*(E2718=E$1:E2717)))))</f>
        <v> </v>
      </c>
      <c r="L2718" s="26"/>
    </row>
    <row r="2719" spans="1:12">
      <c r="A2719" s="20"/>
    </row>
    <row r="2720" spans="1:12">
      <c r="A2720" s="20" t="s">
        <v>550</v>
      </c>
      <c r="E2720" s="21">
        <f>IF(D2720="?OLD","!!!","")</f>
        <v/>
      </c>
      <c r="F2720" s="22" t="str">
        <f>IF(OR(E2720="",E2720="!!!"),"",IF(NOT(ISNA(VLOOKUP(E2720,E$1:E2719,1,FALSE()))),"OLD",IF(AND(E2720&lt;&gt;"",E2720&lt;&gt;"!!!"),"NEW","")))</f>
        <v> </v>
      </c>
      <c r="G2720" s="23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4" t="str">
        <f>IF(J2720&lt;&gt;1,"",IF(I2720="SBJ","CB","?"))</f>
        <v> </v>
      </c>
      <c r="I2720" s="25" t="str">
        <f>IF(OR(E2720="",E2720="!!!",F2720="NEW"),"",INDEX(B2719:B$2,-1+SUMPRODUCT(MAX(ROW(E2719:E$2)*(E2720=E2719:E$2)))))</f>
        <v> </v>
      </c>
      <c r="J2720" s="25" t="str">
        <f>IF(OR(E2720="",E2720="!!!",F2720="NEW"),"",COUNTBLANK(OFFSET(A$1,,,SUMPRODUCT(MAX(ROW(E$2:E2720)*(E2720=E$2:E2720)))))-COUNTBLANK(OFFSET(A$1,,,SUMPRODUCT(MAX(ROW(E$1:E2719)*(E2=E$1:E2719))))))</f>
        <v> </v>
      </c>
      <c r="K2720" s="25" t="str">
        <f>IF(OR(E2720="",E2720="!!!",F2720="NEW"),"",INDEX(J$1:J2719,SUMPRODUCT(MAX(ROW(E$1:E2719)*(E2720=E$1:E2719)))))</f>
        <v> </v>
      </c>
      <c r="L2720" s="26"/>
    </row>
    <row r="2721" spans="1:12">
      <c r="A2721" s="20" t="s">
        <v>1466</v>
      </c>
    </row>
    <row r="2722" spans="1:12">
      <c r="A2722" s="20" t="s">
        <v>964</v>
      </c>
      <c r="E2722" s="21">
        <f>IF(D2722="?OLD","!!!","")</f>
        <v/>
      </c>
      <c r="F2722" s="22" t="str">
        <f>IF(OR(E2722="",E2722="!!!"),"",IF(NOT(ISNA(VLOOKUP(E2722,E$1:E2721,1,FALSE()))),"OLD",IF(AND(E2722&lt;&gt;"",E2722&lt;&gt;"!!!"),"NEW","")))</f>
        <v> </v>
      </c>
      <c r="G2722" s="23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4" t="str">
        <f>IF(J2722&lt;&gt;1,"",IF(I2722="SBJ","CB","?"))</f>
        <v> </v>
      </c>
      <c r="I2722" s="25" t="str">
        <f>IF(OR(E2722="",E2722="!!!",F2722="NEW"),"",INDEX(B2721:B$2,-1+SUMPRODUCT(MAX(ROW(E2721:E$2)*(E2722=E2721:E$2)))))</f>
        <v> </v>
      </c>
      <c r="J2722" s="25" t="str">
        <f>IF(OR(E2722="",E2722="!!!",F2722="NEW"),"",COUNTBLANK(OFFSET(A$1,,,SUMPRODUCT(MAX(ROW(E$2:E2722)*(E2722=E$2:E2722)))))-COUNTBLANK(OFFSET(A$1,,,SUMPRODUCT(MAX(ROW(E$1:E2721)*(E2=E$1:E2721))))))</f>
        <v> </v>
      </c>
      <c r="K2722" s="25" t="str">
        <f>IF(OR(E2722="",E2722="!!!",F2722="NEW"),"",INDEX(J$1:J2721,SUMPRODUCT(MAX(ROW(E$1:E2721)*(E2722=E$1:E2721)))))</f>
        <v> </v>
      </c>
      <c r="L2722" s="26"/>
    </row>
    <row r="2723" spans="1:12">
      <c r="A2723" s="20" t="s">
        <v>920</v>
      </c>
      <c r="E2723" s="21">
        <f>IF(D2723="?OLD","!!!","")</f>
        <v/>
      </c>
      <c r="F2723" s="22" t="str">
        <f>IF(OR(E2723="",E2723="!!!"),"",IF(NOT(ISNA(VLOOKUP(E2723,E$1:E2722,1,FALSE()))),"OLD",IF(AND(E2723&lt;&gt;"",E2723&lt;&gt;"!!!"),"NEW","")))</f>
        <v> </v>
      </c>
      <c r="G2723" s="23" t="str">
        <f>IF(OR(E2723="",E2723="!!!"),"",IF(OR(J2723=0,AND(J2723=1,K2723=1),AND(J2723=1,I2723="SBJ"),AND(J2723=1,I2723=0)),"?IN_FOCUS",IF(J2723&lt;=2,"?ACTIVATED",IF(J2723&lt;&gt;"","?FAMILIAR",IF(F2723="NEW",IF(ISNA(VLOOKUP(E2723,#REF!,1,FALSE())),"?TYPE_IDENTIFIABLE","?REFERENTIAL"),"_")))))</f>
        <v> </v>
      </c>
      <c r="H2723" s="24" t="str">
        <f>IF(J2723&lt;&gt;1,"",IF(I2723="SBJ","CB","?"))</f>
        <v> </v>
      </c>
      <c r="I2723" s="25" t="str">
        <f>IF(OR(E2723="",E2723="!!!",F2723="NEW"),"",INDEX(B2722:B$2,-1+SUMPRODUCT(MAX(ROW(E2722:E$2)*(E2723=E2722:E$2)))))</f>
        <v> </v>
      </c>
      <c r="J2723" s="25" t="str">
        <f>IF(OR(E2723="",E2723="!!!",F2723="NEW"),"",COUNTBLANK(OFFSET(A$1,,,SUMPRODUCT(MAX(ROW(E$2:E2723)*(E2723=E$2:E2723)))))-COUNTBLANK(OFFSET(A$1,,,SUMPRODUCT(MAX(ROW(E$1:E2722)*(E2=E$1:E2722))))))</f>
        <v> </v>
      </c>
      <c r="K2723" s="25" t="str">
        <f>IF(OR(E2723="",E2723="!!!",F2723="NEW"),"",INDEX(J$1:J2722,SUMPRODUCT(MAX(ROW(E$1:E2722)*(E2723=E$1:E2722)))))</f>
        <v> </v>
      </c>
      <c r="L2723" s="26"/>
    </row>
    <row r="2724" spans="1:12">
      <c r="A2724" s="20" t="s">
        <v>645</v>
      </c>
      <c r="B2724" s="27" t="s">
        <v>743</v>
      </c>
      <c r="C2724" s="27" t="s">
        <v>523</v>
      </c>
      <c r="D2724" s="27" t="s">
        <v>524</v>
      </c>
      <c r="E2724" s="21">
        <f>IF(D2724="?OLD","!!!","")</f>
        <v/>
      </c>
      <c r="F2724" s="22" t="str">
        <f>IF(OR(E2724="",E2724="!!!"),"",IF(NOT(ISNA(VLOOKUP(E2724,E$1:E2723,1,FALSE()))),"OLD",IF(AND(E2724&lt;&gt;"",E2724&lt;&gt;"!!!"),"NEW","")))</f>
        <v> </v>
      </c>
      <c r="G2724" s="23" t="str">
        <f>IF(OR(E2724="",E2724="!!!"),"",IF(OR(J2724=0,AND(J2724=1,K2724=1),AND(J2724=1,I2724="SBJ"),AND(J2724=1,I2724=0)),"?IN_FOCUS",IF(J2724&lt;=2,"?ACTIVATED",IF(J2724&lt;&gt;"","?FAMILIAR",IF(F2724="NEW",IF(ISNA(VLOOKUP(E2724,#REF!,1,FALSE())),"?TYPE_IDENTIFIABLE","?REFERENTIAL"),"_")))))</f>
        <v> </v>
      </c>
      <c r="H2724" s="24" t="str">
        <f>IF(J2724&lt;&gt;1,"",IF(I2724="SBJ","CB","?"))</f>
        <v> </v>
      </c>
      <c r="I2724" s="25" t="str">
        <f>IF(OR(E2724="",E2724="!!!",F2724="NEW"),"",INDEX(B2723:B$2,-1+SUMPRODUCT(MAX(ROW(E2723:E$2)*(E2724=E2723:E$2)))))</f>
        <v> </v>
      </c>
      <c r="J2724" s="25" t="str">
        <f>IF(OR(E2724="",E2724="!!!",F2724="NEW"),"",COUNTBLANK(OFFSET(A$1,,,SUMPRODUCT(MAX(ROW(E$2:E2724)*(E2724=E$2:E2724)))))-COUNTBLANK(OFFSET(A$1,,,SUMPRODUCT(MAX(ROW(E$1:E2723)*(E2=E$1:E2723))))))</f>
        <v> </v>
      </c>
      <c r="K2724" s="25" t="str">
        <f>IF(OR(E2724="",E2724="!!!",F2724="NEW"),"",INDEX(J$1:J2723,SUMPRODUCT(MAX(ROW(E$1:E2723)*(E2724=E$1:E2723)))))</f>
        <v> </v>
      </c>
      <c r="L2724" s="26"/>
    </row>
    <row r="2725" spans="1:12">
      <c r="A2725" s="20" t="s">
        <v>594</v>
      </c>
      <c r="E2725" s="21">
        <f>IF(D2725="?OLD","!!!","")</f>
        <v/>
      </c>
      <c r="F2725" s="22" t="str">
        <f>IF(OR(E2725="",E2725="!!!"),"",IF(NOT(ISNA(VLOOKUP(E2725,E$1:E2724,1,FALSE()))),"OLD",IF(AND(E2725&lt;&gt;"",E2725&lt;&gt;"!!!"),"NEW","")))</f>
        <v> </v>
      </c>
      <c r="G2725" s="23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4" t="str">
        <f>IF(J2725&lt;&gt;1,"",IF(I2725="SBJ","CB","?"))</f>
        <v> </v>
      </c>
      <c r="I2725" s="25" t="str">
        <f>IF(OR(E2725="",E2725="!!!",F2725="NEW"),"",INDEX(B2724:B$2,-1+SUMPRODUCT(MAX(ROW(E2724:E$2)*(E2725=E2724:E$2)))))</f>
        <v> </v>
      </c>
      <c r="J2725" s="25" t="str">
        <f>IF(OR(E2725="",E2725="!!!",F2725="NEW"),"",COUNTBLANK(OFFSET(A$1,,,SUMPRODUCT(MAX(ROW(E$2:E2725)*(E2725=E$2:E2725)))))-COUNTBLANK(OFFSET(A$1,,,SUMPRODUCT(MAX(ROW(E$1:E2724)*(E2=E$1:E2724))))))</f>
        <v> </v>
      </c>
      <c r="K2725" s="25" t="str">
        <f>IF(OR(E2725="",E2725="!!!",F2725="NEW"),"",INDEX(J$1:J2724,SUMPRODUCT(MAX(ROW(E$1:E2724)*(E2725=E$1:E2724)))))</f>
        <v> </v>
      </c>
      <c r="L2725" s="26"/>
    </row>
    <row r="2726" spans="1:12">
      <c r="A2726" s="20" t="s">
        <v>581</v>
      </c>
      <c r="E2726" s="21">
        <f>IF(D2726="?OLD","!!!","")</f>
        <v/>
      </c>
      <c r="F2726" s="22" t="str">
        <f>IF(OR(E2726="",E2726="!!!"),"",IF(NOT(ISNA(VLOOKUP(E2726,E$1:E2725,1,FALSE()))),"OLD",IF(AND(E2726&lt;&gt;"",E2726&lt;&gt;"!!!"),"NEW","")))</f>
        <v> </v>
      </c>
      <c r="G2726" s="23" t="str">
        <f>IF(OR(E2726="",E2726="!!!"),"",IF(OR(J2726=0,AND(J2726=1,K2726=1),AND(J2726=1,I2726="SBJ"),AND(J2726=1,I2726=0)),"?IN_FOCUS",IF(J2726&lt;=2,"?ACTIVATED",IF(J2726&lt;&gt;"","?FAMILIAR",IF(F2726="NEW",IF(ISNA(VLOOKUP(E2726,#REF!,1,FALSE())),"?TYPE_IDENTIFIABLE","?REFERENTIAL"),"_")))))</f>
        <v> </v>
      </c>
      <c r="H2726" s="24" t="str">
        <f>IF(J2726&lt;&gt;1,"",IF(I2726="SBJ","CB","?"))</f>
        <v> </v>
      </c>
      <c r="I2726" s="25" t="str">
        <f>IF(OR(E2726="",E2726="!!!",F2726="NEW"),"",INDEX(B2725:B$2,-1+SUMPRODUCT(MAX(ROW(E2725:E$2)*(E2726=E2725:E$2)))))</f>
        <v> </v>
      </c>
      <c r="J2726" s="25" t="str">
        <f>IF(OR(E2726="",E2726="!!!",F2726="NEW"),"",COUNTBLANK(OFFSET(A$1,,,SUMPRODUCT(MAX(ROW(E$2:E2726)*(E2726=E$2:E2726)))))-COUNTBLANK(OFFSET(A$1,,,SUMPRODUCT(MAX(ROW(E$1:E2725)*(E2=E$1:E2725))))))</f>
        <v> </v>
      </c>
      <c r="K2726" s="25" t="str">
        <f>IF(OR(E2726="",E2726="!!!",F2726="NEW"),"",INDEX(J$1:J2725,SUMPRODUCT(MAX(ROW(E$1:E2725)*(E2726=E$1:E2725)))))</f>
        <v> </v>
      </c>
      <c r="L2726" s="26"/>
    </row>
    <row r="2727" spans="1:12">
      <c r="A2727" s="20" t="s">
        <v>1467</v>
      </c>
      <c r="E2727" s="21">
        <f>IF(D2727="?OLD","!!!","")</f>
        <v/>
      </c>
      <c r="F2727" s="22" t="str">
        <f>IF(OR(E2727="",E2727="!!!"),"",IF(NOT(ISNA(VLOOKUP(E2727,E$1:E2726,1,FALSE()))),"OLD",IF(AND(E2727&lt;&gt;"",E2727&lt;&gt;"!!!"),"NEW","")))</f>
        <v> </v>
      </c>
      <c r="G2727" s="23" t="str">
        <f>IF(OR(E2727="",E2727="!!!"),"",IF(OR(J2727=0,AND(J2727=1,K2727=1),AND(J2727=1,I2727="SBJ"),AND(J2727=1,I2727=0)),"?IN_FOCUS",IF(J2727&lt;=2,"?ACTIVATED",IF(J2727&lt;&gt;"","?FAMILIAR",IF(F2727="NEW",IF(ISNA(VLOOKUP(E2727,#REF!,1,FALSE())),"?TYPE_IDENTIFIABLE","?REFERENTIAL"),"_")))))</f>
        <v> </v>
      </c>
      <c r="H2727" s="24" t="str">
        <f>IF(J2727&lt;&gt;1,"",IF(I2727="SBJ","CB","?"))</f>
        <v> </v>
      </c>
      <c r="I2727" s="25" t="str">
        <f>IF(OR(E2727="",E2727="!!!",F2727="NEW"),"",INDEX(B2726:B$2,-1+SUMPRODUCT(MAX(ROW(E2726:E$2)*(E2727=E2726:E$2)))))</f>
        <v> </v>
      </c>
      <c r="J2727" s="25" t="str">
        <f>IF(OR(E2727="",E2727="!!!",F2727="NEW"),"",COUNTBLANK(OFFSET(A$1,,,SUMPRODUCT(MAX(ROW(E$2:E2727)*(E2727=E$2:E2727)))))-COUNTBLANK(OFFSET(A$1,,,SUMPRODUCT(MAX(ROW(E$1:E2726)*(E2=E$1:E2726))))))</f>
        <v> </v>
      </c>
      <c r="K2727" s="25" t="str">
        <f>IF(OR(E2727="",E2727="!!!",F2727="NEW"),"",INDEX(J$1:J2726,SUMPRODUCT(MAX(ROW(E$1:E2726)*(E2727=E$1:E2726)))))</f>
        <v> </v>
      </c>
      <c r="L2727" s="26"/>
    </row>
    <row r="2728" spans="1:12">
      <c r="A2728" s="20" t="s">
        <v>528</v>
      </c>
      <c r="E2728" s="21">
        <f>IF(D2728="?OLD","!!!","")</f>
        <v/>
      </c>
      <c r="F2728" s="22" t="str">
        <f>IF(OR(E2728="",E2728="!!!"),"",IF(NOT(ISNA(VLOOKUP(E2728,E$1:E2727,1,FALSE()))),"OLD",IF(AND(E2728&lt;&gt;"",E2728&lt;&gt;"!!!"),"NEW","")))</f>
        <v> </v>
      </c>
      <c r="G2728" s="23" t="str">
        <f>IF(OR(E2728="",E2728="!!!"),"",IF(OR(J2728=0,AND(J2728=1,K2728=1),AND(J2728=1,I2728="SBJ"),AND(J2728=1,I2728=0)),"?IN_FOCUS",IF(J2728&lt;=2,"?ACTIVATED",IF(J2728&lt;&gt;"","?FAMILIAR",IF(F2728="NEW",IF(ISNA(VLOOKUP(E2728,#REF!,1,FALSE())),"?TYPE_IDENTIFIABLE","?REFERENTIAL"),"_")))))</f>
        <v> </v>
      </c>
      <c r="H2728" s="24" t="str">
        <f>IF(J2728&lt;&gt;1,"",IF(I2728="SBJ","CB","?"))</f>
        <v> </v>
      </c>
      <c r="I2728" s="25" t="str">
        <f>IF(OR(E2728="",E2728="!!!",F2728="NEW"),"",INDEX(B2727:B$2,-1+SUMPRODUCT(MAX(ROW(E2727:E$2)*(E2728=E2727:E$2)))))</f>
        <v> </v>
      </c>
      <c r="J2728" s="25" t="str">
        <f>IF(OR(E2728="",E2728="!!!",F2728="NEW"),"",COUNTBLANK(OFFSET(A$1,,,SUMPRODUCT(MAX(ROW(E$2:E2728)*(E2728=E$2:E2728)))))-COUNTBLANK(OFFSET(A$1,,,SUMPRODUCT(MAX(ROW(E$1:E2727)*(E2=E$1:E2727))))))</f>
        <v> </v>
      </c>
      <c r="K2728" s="25" t="str">
        <f>IF(OR(E2728="",E2728="!!!",F2728="NEW"),"",INDEX(J$1:J2727,SUMPRODUCT(MAX(ROW(E$1:E2727)*(E2728=E$1:E2727)))))</f>
        <v> </v>
      </c>
      <c r="L2728" s="26"/>
    </row>
    <row r="2729" spans="1:12">
      <c r="A2729" s="20" t="s">
        <v>196</v>
      </c>
      <c r="E2729" s="21">
        <f>IF(D2729="?OLD","!!!","")</f>
        <v/>
      </c>
      <c r="F2729" s="22" t="str">
        <f>IF(OR(E2729="",E2729="!!!"),"",IF(NOT(ISNA(VLOOKUP(E2729,E$1:E2728,1,FALSE()))),"OLD",IF(AND(E2729&lt;&gt;"",E2729&lt;&gt;"!!!"),"NEW","")))</f>
        <v> </v>
      </c>
      <c r="G2729" s="23" t="str">
        <f>IF(OR(E2729="",E2729="!!!"),"",IF(OR(J2729=0,AND(J2729=1,K2729=1),AND(J2729=1,I2729="SBJ"),AND(J2729=1,I2729=0)),"?IN_FOCUS",IF(J2729&lt;=2,"?ACTIVATED",IF(J2729&lt;&gt;"","?FAMILIAR",IF(F2729="NEW",IF(ISNA(VLOOKUP(E2729,#REF!,1,FALSE())),"?TYPE_IDENTIFIABLE","?REFERENTIAL"),"_")))))</f>
        <v> </v>
      </c>
      <c r="H2729" s="24" t="str">
        <f>IF(J2729&lt;&gt;1,"",IF(I2729="SBJ","CB","?"))</f>
        <v> </v>
      </c>
      <c r="I2729" s="25" t="str">
        <f>IF(OR(E2729="",E2729="!!!",F2729="NEW"),"",INDEX(B2728:B$2,-1+SUMPRODUCT(MAX(ROW(E2728:E$2)*(E2729=E2728:E$2)))))</f>
        <v> </v>
      </c>
      <c r="J2729" s="25" t="str">
        <f>IF(OR(E2729="",E2729="!!!",F2729="NEW"),"",COUNTBLANK(OFFSET(A$1,,,SUMPRODUCT(MAX(ROW(E$2:E2729)*(E2729=E$2:E2729)))))-COUNTBLANK(OFFSET(A$1,,,SUMPRODUCT(MAX(ROW(E$1:E2728)*(E2=E$1:E2728))))))</f>
        <v> </v>
      </c>
      <c r="K2729" s="25" t="str">
        <f>IF(OR(E2729="",E2729="!!!",F2729="NEW"),"",INDEX(J$1:J2728,SUMPRODUCT(MAX(ROW(E$1:E2728)*(E2729=E$1:E2728)))))</f>
        <v> </v>
      </c>
      <c r="L2729" s="26"/>
    </row>
    <row r="2730" spans="1:12">
      <c r="A2730" s="20" t="s">
        <v>571</v>
      </c>
      <c r="E2730" s="21">
        <f>IF(D2730="?OLD","!!!","")</f>
        <v/>
      </c>
      <c r="F2730" s="22" t="str">
        <f>IF(OR(E2730="",E2730="!!!"),"",IF(NOT(ISNA(VLOOKUP(E2730,E$1:E2729,1,FALSE()))),"OLD",IF(AND(E2730&lt;&gt;"",E2730&lt;&gt;"!!!"),"NEW","")))</f>
        <v> </v>
      </c>
      <c r="G2730" s="23" t="str">
        <f>IF(OR(E2730="",E2730="!!!"),"",IF(OR(J2730=0,AND(J2730=1,K2730=1),AND(J2730=1,I2730="SBJ"),AND(J2730=1,I2730=0)),"?IN_FOCUS",IF(J2730&lt;=2,"?ACTIVATED",IF(J2730&lt;&gt;"","?FAMILIAR",IF(F2730="NEW",IF(ISNA(VLOOKUP(E2730,#REF!,1,FALSE())),"?TYPE_IDENTIFIABLE","?REFERENTIAL"),"_")))))</f>
        <v> </v>
      </c>
      <c r="H2730" s="24" t="str">
        <f>IF(J2730&lt;&gt;1,"",IF(I2730="SBJ","CB","?"))</f>
        <v> </v>
      </c>
      <c r="I2730" s="25" t="str">
        <f>IF(OR(E2730="",E2730="!!!",F2730="NEW"),"",INDEX(B2729:B$2,-1+SUMPRODUCT(MAX(ROW(E2729:E$2)*(E2730=E2729:E$2)))))</f>
        <v> </v>
      </c>
      <c r="J2730" s="25" t="str">
        <f>IF(OR(E2730="",E2730="!!!",F2730="NEW"),"",COUNTBLANK(OFFSET(A$1,,,SUMPRODUCT(MAX(ROW(E$2:E2730)*(E2730=E$2:E2730)))))-COUNTBLANK(OFFSET(A$1,,,SUMPRODUCT(MAX(ROW(E$1:E2729)*(E2=E$1:E2729))))))</f>
        <v> </v>
      </c>
      <c r="K2730" s="25" t="str">
        <f>IF(OR(E2730="",E2730="!!!",F2730="NEW"),"",INDEX(J$1:J2729,SUMPRODUCT(MAX(ROW(E$1:E2729)*(E2730=E$1:E2729)))))</f>
        <v> </v>
      </c>
      <c r="L2730" s="26"/>
    </row>
    <row r="2731" spans="1:12">
      <c r="A2731" s="20" t="s">
        <v>1176</v>
      </c>
      <c r="B2731" s="27" t="s">
        <v>522</v>
      </c>
      <c r="C2731" s="27" t="s">
        <v>545</v>
      </c>
      <c r="D2731" s="27" t="s">
        <v>524</v>
      </c>
      <c r="E2731" s="21">
        <f>IF(D2731="?OLD","!!!","")</f>
        <v/>
      </c>
      <c r="F2731" s="22" t="str">
        <f>IF(OR(E2731="",E2731="!!!"),"",IF(NOT(ISNA(VLOOKUP(E2731,E$1:E2730,1,FALSE()))),"OLD",IF(AND(E2731&lt;&gt;"",E2731&lt;&gt;"!!!"),"NEW","")))</f>
        <v> </v>
      </c>
      <c r="G2731" s="23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4" t="str">
        <f>IF(J2731&lt;&gt;1,"",IF(I2731="SBJ","CB","?"))</f>
        <v> </v>
      </c>
      <c r="I2731" s="25" t="str">
        <f>IF(OR(E2731="",E2731="!!!",F2731="NEW"),"",INDEX(B2730:B$2,-1+SUMPRODUCT(MAX(ROW(E2730:E$2)*(E2731=E2730:E$2)))))</f>
        <v> </v>
      </c>
      <c r="J2731" s="25" t="str">
        <f>IF(OR(E2731="",E2731="!!!",F2731="NEW"),"",COUNTBLANK(OFFSET(A$1,,,SUMPRODUCT(MAX(ROW(E$2:E2731)*(E2731=E$2:E2731)))))-COUNTBLANK(OFFSET(A$1,,,SUMPRODUCT(MAX(ROW(E$1:E2730)*(E2=E$1:E2730))))))</f>
        <v> </v>
      </c>
      <c r="K2731" s="25" t="str">
        <f>IF(OR(E2731="",E2731="!!!",F2731="NEW"),"",INDEX(J$1:J2730,SUMPRODUCT(MAX(ROW(E$1:E2730)*(E2731=E$1:E2730)))))</f>
        <v> </v>
      </c>
      <c r="L2731" s="26"/>
    </row>
    <row r="2732" spans="1:12">
      <c r="A2732" s="20" t="s">
        <v>542</v>
      </c>
      <c r="E2732" s="21">
        <f>IF(D2732="?OLD","!!!","")</f>
        <v/>
      </c>
      <c r="F2732" s="22" t="str">
        <f>IF(OR(E2732="",E2732="!!!"),"",IF(NOT(ISNA(VLOOKUP(E2732,E$1:E2731,1,FALSE()))),"OLD",IF(AND(E2732&lt;&gt;"",E2732&lt;&gt;"!!!"),"NEW","")))</f>
        <v> </v>
      </c>
      <c r="G2732" s="23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4" t="str">
        <f>IF(J2732&lt;&gt;1,"",IF(I2732="SBJ","CB","?"))</f>
        <v> </v>
      </c>
      <c r="I2732" s="25" t="str">
        <f>IF(OR(E2732="",E2732="!!!",F2732="NEW"),"",INDEX(B2731:B$2,-1+SUMPRODUCT(MAX(ROW(E2731:E$2)*(E2732=E2731:E$2)))))</f>
        <v> </v>
      </c>
      <c r="J2732" s="25" t="str">
        <f>IF(OR(E2732="",E2732="!!!",F2732="NEW"),"",COUNTBLANK(OFFSET(A$1,,,SUMPRODUCT(MAX(ROW(E$2:E2732)*(E2732=E$2:E2732)))))-COUNTBLANK(OFFSET(A$1,,,SUMPRODUCT(MAX(ROW(E$1:E2731)*(E2=E$1:E2731))))))</f>
        <v> </v>
      </c>
      <c r="K2732" s="25" t="str">
        <f>IF(OR(E2732="",E2732="!!!",F2732="NEW"),"",INDEX(J$1:J2731,SUMPRODUCT(MAX(ROW(E$1:E2731)*(E2732=E$1:E2731)))))</f>
        <v> </v>
      </c>
      <c r="L2732" s="26"/>
    </row>
    <row r="2733" spans="1:12">
      <c r="A2733" s="20" t="s">
        <v>682</v>
      </c>
      <c r="E2733" s="21">
        <f>IF(D2733="?OLD","!!!","")</f>
        <v/>
      </c>
      <c r="F2733" s="22" t="str">
        <f>IF(OR(E2733="",E2733="!!!"),"",IF(NOT(ISNA(VLOOKUP(E2733,E$1:E2732,1,FALSE()))),"OLD",IF(AND(E2733&lt;&gt;"",E2733&lt;&gt;"!!!"),"NEW","")))</f>
        <v> </v>
      </c>
      <c r="G2733" s="23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4" t="str">
        <f>IF(J2733&lt;&gt;1,"",IF(I2733="SBJ","CB","?"))</f>
        <v> </v>
      </c>
      <c r="I2733" s="25" t="str">
        <f>IF(OR(E2733="",E2733="!!!",F2733="NEW"),"",INDEX(B2732:B$2,-1+SUMPRODUCT(MAX(ROW(E2732:E$2)*(E2733=E2732:E$2)))))</f>
        <v> </v>
      </c>
      <c r="J2733" s="25" t="str">
        <f>IF(OR(E2733="",E2733="!!!",F2733="NEW"),"",COUNTBLANK(OFFSET(A$1,,,SUMPRODUCT(MAX(ROW(E$2:E2733)*(E2733=E$2:E2733)))))-COUNTBLANK(OFFSET(A$1,,,SUMPRODUCT(MAX(ROW(E$1:E2732)*(E2=E$1:E2732))))))</f>
        <v> </v>
      </c>
      <c r="K2733" s="25" t="str">
        <f>IF(OR(E2733="",E2733="!!!",F2733="NEW"),"",INDEX(J$1:J2732,SUMPRODUCT(MAX(ROW(E$1:E2732)*(E2733=E$1:E2732)))))</f>
        <v> </v>
      </c>
      <c r="L2733" s="26"/>
    </row>
    <row r="2734" spans="1:12">
      <c r="A2734" s="20" t="s">
        <v>1371</v>
      </c>
      <c r="B2734" s="27" t="s">
        <v>544</v>
      </c>
      <c r="C2734" s="27" t="s">
        <v>669</v>
      </c>
      <c r="D2734" s="27" t="s">
        <v>524</v>
      </c>
      <c r="E2734" s="21">
        <f>IF(D2734="?OLD","!!!","")</f>
        <v/>
      </c>
      <c r="F2734" s="22" t="str">
        <f>IF(OR(E2734="",E2734="!!!"),"",IF(NOT(ISNA(VLOOKUP(E2734,E$1:E2733,1,FALSE()))),"OLD",IF(AND(E2734&lt;&gt;"",E2734&lt;&gt;"!!!"),"NEW","")))</f>
        <v> </v>
      </c>
      <c r="G2734" s="23" t="str">
        <f>IF(OR(E2734="",E2734="!!!"),"",IF(OR(J2734=0,AND(J2734=1,K2734=1),AND(J2734=1,I2734="SBJ"),AND(J2734=1,I2734=0)),"?IN_FOCUS",IF(J2734&lt;=2,"?ACTIVATED",IF(J2734&lt;&gt;"","?FAMILIAR",IF(F2734="NEW",IF(ISNA(VLOOKUP(E2734,#REF!,1,FALSE())),"?TYPE_IDENTIFIABLE","?REFERENTIAL"),"_")))))</f>
        <v> </v>
      </c>
      <c r="H2734" s="24" t="str">
        <f>IF(J2734&lt;&gt;1,"",IF(I2734="SBJ","CB","?"))</f>
        <v> </v>
      </c>
      <c r="I2734" s="25" t="str">
        <f>IF(OR(E2734="",E2734="!!!",F2734="NEW"),"",INDEX(B2733:B$2,-1+SUMPRODUCT(MAX(ROW(E2733:E$2)*(E2734=E2733:E$2)))))</f>
        <v> </v>
      </c>
      <c r="J2734" s="25" t="str">
        <f>IF(OR(E2734="",E2734="!!!",F2734="NEW"),"",COUNTBLANK(OFFSET(A$1,,,SUMPRODUCT(MAX(ROW(E$2:E2734)*(E2734=E$2:E2734)))))-COUNTBLANK(OFFSET(A$1,,,SUMPRODUCT(MAX(ROW(E$1:E2733)*(E2=E$1:E2733))))))</f>
        <v> </v>
      </c>
      <c r="K2734" s="25" t="str">
        <f>IF(OR(E2734="",E2734="!!!",F2734="NEW"),"",INDEX(J$1:J2733,SUMPRODUCT(MAX(ROW(E$1:E2733)*(E2734=E$1:E2733)))))</f>
        <v> </v>
      </c>
      <c r="L2734" s="26"/>
    </row>
    <row r="2735" spans="1:12">
      <c r="A2735" s="20" t="s">
        <v>1452</v>
      </c>
      <c r="B2735" s="27" t="s">
        <v>522</v>
      </c>
      <c r="C2735" s="27" t="s">
        <v>545</v>
      </c>
      <c r="D2735" s="27" t="s">
        <v>524</v>
      </c>
      <c r="E2735" s="21">
        <f>IF(D2735="?OLD","!!!","")</f>
        <v/>
      </c>
      <c r="F2735" s="22" t="str">
        <f>IF(OR(E2735="",E2735="!!!"),"",IF(NOT(ISNA(VLOOKUP(E2735,E$1:E2734,1,FALSE()))),"OLD",IF(AND(E2735&lt;&gt;"",E2735&lt;&gt;"!!!"),"NEW","")))</f>
        <v> </v>
      </c>
      <c r="G2735" s="23" t="str">
        <f>IF(OR(E2735="",E2735="!!!"),"",IF(OR(J2735=0,AND(J2735=1,K2735=1),AND(J2735=1,I2735="SBJ"),AND(J2735=1,I2735=0)),"?IN_FOCUS",IF(J2735&lt;=2,"?ACTIVATED",IF(J2735&lt;&gt;"","?FAMILIAR",IF(F2735="NEW",IF(ISNA(VLOOKUP(E2735,#REF!,1,FALSE())),"?TYPE_IDENTIFIABLE","?REFERENTIAL"),"_")))))</f>
        <v> </v>
      </c>
      <c r="H2735" s="24" t="str">
        <f>IF(J2735&lt;&gt;1,"",IF(I2735="SBJ","CB","?"))</f>
        <v> </v>
      </c>
      <c r="I2735" s="25" t="str">
        <f>IF(OR(E2735="",E2735="!!!",F2735="NEW"),"",INDEX(B2734:B$2,-1+SUMPRODUCT(MAX(ROW(E2734:E$2)*(E2735=E2734:E$2)))))</f>
        <v> </v>
      </c>
      <c r="J2735" s="25" t="str">
        <f>IF(OR(E2735="",E2735="!!!",F2735="NEW"),"",COUNTBLANK(OFFSET(A$1,,,SUMPRODUCT(MAX(ROW(E$2:E2735)*(E2735=E$2:E2735)))))-COUNTBLANK(OFFSET(A$1,,,SUMPRODUCT(MAX(ROW(E$1:E2734)*(E2=E$1:E2734))))))</f>
        <v> </v>
      </c>
      <c r="K2735" s="25" t="str">
        <f>IF(OR(E2735="",E2735="!!!",F2735="NEW"),"",INDEX(J$1:J2734,SUMPRODUCT(MAX(ROW(E$1:E2734)*(E2735=E$1:E2734)))))</f>
        <v> </v>
      </c>
      <c r="L2735" s="26"/>
    </row>
    <row r="2736" spans="1:12">
      <c r="A2736" s="20" t="s">
        <v>565</v>
      </c>
      <c r="E2736" s="21">
        <f>IF(D2736="?OLD","!!!","")</f>
        <v/>
      </c>
      <c r="F2736" s="22" t="str">
        <f>IF(OR(E2736="",E2736="!!!"),"",IF(NOT(ISNA(VLOOKUP(E2736,E$1:E2735,1,FALSE()))),"OLD",IF(AND(E2736&lt;&gt;"",E2736&lt;&gt;"!!!"),"NEW","")))</f>
        <v> </v>
      </c>
      <c r="G2736" s="23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4" t="str">
        <f>IF(J2736&lt;&gt;1,"",IF(I2736="SBJ","CB","?"))</f>
        <v> </v>
      </c>
      <c r="I2736" s="25" t="str">
        <f>IF(OR(E2736="",E2736="!!!",F2736="NEW"),"",INDEX(B2735:B$2,-1+SUMPRODUCT(MAX(ROW(E2735:E$2)*(E2736=E2735:E$2)))))</f>
        <v> </v>
      </c>
      <c r="J2736" s="25" t="str">
        <f>IF(OR(E2736="",E2736="!!!",F2736="NEW"),"",COUNTBLANK(OFFSET(A$1,,,SUMPRODUCT(MAX(ROW(E$2:E2736)*(E2736=E$2:E2736)))))-COUNTBLANK(OFFSET(A$1,,,SUMPRODUCT(MAX(ROW(E$1:E2735)*(E2=E$1:E2735))))))</f>
        <v> </v>
      </c>
      <c r="K2736" s="25" t="str">
        <f>IF(OR(E2736="",E2736="!!!",F2736="NEW"),"",INDEX(J$1:J2735,SUMPRODUCT(MAX(ROW(E$1:E2735)*(E2736=E$1:E2735)))))</f>
        <v> </v>
      </c>
      <c r="L2736" s="26"/>
    </row>
    <row r="2737" spans="1:12">
      <c r="A2737" s="20" t="s">
        <v>1468</v>
      </c>
      <c r="E2737" s="21">
        <f>IF(D2737="?OLD","!!!","")</f>
        <v/>
      </c>
      <c r="F2737" s="22" t="str">
        <f>IF(OR(E2737="",E2737="!!!"),"",IF(NOT(ISNA(VLOOKUP(E2737,E$1:E2736,1,FALSE()))),"OLD",IF(AND(E2737&lt;&gt;"",E2737&lt;&gt;"!!!"),"NEW","")))</f>
        <v> </v>
      </c>
      <c r="G2737" s="23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4" t="str">
        <f>IF(J2737&lt;&gt;1,"",IF(I2737="SBJ","CB","?"))</f>
        <v> </v>
      </c>
      <c r="I2737" s="25" t="str">
        <f>IF(OR(E2737="",E2737="!!!",F2737="NEW"),"",INDEX(B2736:B$2,-1+SUMPRODUCT(MAX(ROW(E2736:E$2)*(E2737=E2736:E$2)))))</f>
        <v> </v>
      </c>
      <c r="J2737" s="25" t="str">
        <f>IF(OR(E2737="",E2737="!!!",F2737="NEW"),"",COUNTBLANK(OFFSET(A$1,,,SUMPRODUCT(MAX(ROW(E$2:E2737)*(E2737=E$2:E2737)))))-COUNTBLANK(OFFSET(A$1,,,SUMPRODUCT(MAX(ROW(E$1:E2736)*(E2=E$1:E2736))))))</f>
        <v> </v>
      </c>
      <c r="K2737" s="25" t="str">
        <f>IF(OR(E2737="",E2737="!!!",F2737="NEW"),"",INDEX(J$1:J2736,SUMPRODUCT(MAX(ROW(E$1:E2736)*(E2737=E$1:E2736)))))</f>
        <v> </v>
      </c>
      <c r="L2737" s="26"/>
    </row>
    <row r="2738" spans="1:12">
      <c r="A2738" s="20" t="s">
        <v>828</v>
      </c>
      <c r="B2738" s="27" t="s">
        <v>556</v>
      </c>
      <c r="C2738" s="27" t="s">
        <v>523</v>
      </c>
      <c r="D2738" s="27" t="s">
        <v>524</v>
      </c>
      <c r="E2738" s="21">
        <f>IF(D2738="?OLD","!!!","")</f>
        <v/>
      </c>
      <c r="F2738" s="22" t="str">
        <f>IF(OR(E2738="",E2738="!!!"),"",IF(NOT(ISNA(VLOOKUP(E2738,E$1:E2737,1,FALSE()))),"OLD",IF(AND(E2738&lt;&gt;"",E2738&lt;&gt;"!!!"),"NEW","")))</f>
        <v> </v>
      </c>
      <c r="G2738" s="23" t="str">
        <f>IF(OR(E2738="",E2738="!!!"),"",IF(OR(J2738=0,AND(J2738=1,K2738=1),AND(J2738=1,I2738="SBJ"),AND(J2738=1,I2738=0)),"?IN_FOCUS",IF(J2738&lt;=2,"?ACTIVATED",IF(J2738&lt;&gt;"","?FAMILIAR",IF(F2738="NEW",IF(ISNA(VLOOKUP(E2738,#REF!,1,FALSE())),"?TYPE_IDENTIFIABLE","?REFERENTIAL"),"_")))))</f>
        <v> </v>
      </c>
      <c r="H2738" s="24" t="str">
        <f>IF(J2738&lt;&gt;1,"",IF(I2738="SBJ","CB","?"))</f>
        <v> </v>
      </c>
      <c r="I2738" s="25" t="str">
        <f>IF(OR(E2738="",E2738="!!!",F2738="NEW"),"",INDEX(B2737:B$2,-1+SUMPRODUCT(MAX(ROW(E2737:E$2)*(E2738=E2737:E$2)))))</f>
        <v> </v>
      </c>
      <c r="J2738" s="25" t="str">
        <f>IF(OR(E2738="",E2738="!!!",F2738="NEW"),"",COUNTBLANK(OFFSET(A$1,,,SUMPRODUCT(MAX(ROW(E$2:E2738)*(E2738=E$2:E2738)))))-COUNTBLANK(OFFSET(A$1,,,SUMPRODUCT(MAX(ROW(E$1:E2737)*(E2=E$1:E2737))))))</f>
        <v> </v>
      </c>
      <c r="K2738" s="25" t="str">
        <f>IF(OR(E2738="",E2738="!!!",F2738="NEW"),"",INDEX(J$1:J2737,SUMPRODUCT(MAX(ROW(E$1:E2737)*(E2738=E$1:E2737)))))</f>
        <v> </v>
      </c>
      <c r="L2738" s="26"/>
    </row>
    <row r="2739" spans="1:12">
      <c r="A2739" s="20" t="s">
        <v>528</v>
      </c>
      <c r="E2739" s="21">
        <f>IF(D2739="?OLD","!!!","")</f>
        <v/>
      </c>
      <c r="F2739" s="22" t="str">
        <f>IF(OR(E2739="",E2739="!!!"),"",IF(NOT(ISNA(VLOOKUP(E2739,E$1:E2738,1,FALSE()))),"OLD",IF(AND(E2739&lt;&gt;"",E2739&lt;&gt;"!!!"),"NEW","")))</f>
        <v> </v>
      </c>
      <c r="G2739" s="23" t="str">
        <f>IF(OR(E2739="",E2739="!!!"),"",IF(OR(J2739=0,AND(J2739=1,K2739=1),AND(J2739=1,I2739="SBJ"),AND(J2739=1,I2739=0)),"?IN_FOCUS",IF(J2739&lt;=2,"?ACTIVATED",IF(J2739&lt;&gt;"","?FAMILIAR",IF(F2739="NEW",IF(ISNA(VLOOKUP(E2739,#REF!,1,FALSE())),"?TYPE_IDENTIFIABLE","?REFERENTIAL"),"_")))))</f>
        <v> </v>
      </c>
      <c r="H2739" s="24" t="str">
        <f>IF(J2739&lt;&gt;1,"",IF(I2739="SBJ","CB","?"))</f>
        <v> </v>
      </c>
      <c r="I2739" s="25" t="str">
        <f>IF(OR(E2739="",E2739="!!!",F2739="NEW"),"",INDEX(B2738:B$2,-1+SUMPRODUCT(MAX(ROW(E2738:E$2)*(E2739=E2738:E$2)))))</f>
        <v> </v>
      </c>
      <c r="J2739" s="25" t="str">
        <f>IF(OR(E2739="",E2739="!!!",F2739="NEW"),"",COUNTBLANK(OFFSET(A$1,,,SUMPRODUCT(MAX(ROW(E$2:E2739)*(E2739=E$2:E2739)))))-COUNTBLANK(OFFSET(A$1,,,SUMPRODUCT(MAX(ROW(E$1:E2738)*(E2=E$1:E2738))))))</f>
        <v> </v>
      </c>
      <c r="K2739" s="25" t="str">
        <f>IF(OR(E2739="",E2739="!!!",F2739="NEW"),"",INDEX(J$1:J2738,SUMPRODUCT(MAX(ROW(E$1:E2738)*(E2739=E$1:E2738)))))</f>
        <v> </v>
      </c>
      <c r="L2739" s="26"/>
    </row>
    <row r="2740" spans="1:12">
      <c r="A2740" s="20" t="s">
        <v>1469</v>
      </c>
      <c r="E2740" s="21">
        <f>IF(D2740="?OLD","!!!","")</f>
        <v/>
      </c>
      <c r="F2740" s="22" t="str">
        <f>IF(OR(E2740="",E2740="!!!"),"",IF(NOT(ISNA(VLOOKUP(E2740,E$1:E2739,1,FALSE()))),"OLD",IF(AND(E2740&lt;&gt;"",E2740&lt;&gt;"!!!"),"NEW","")))</f>
        <v> </v>
      </c>
      <c r="G2740" s="23" t="str">
        <f>IF(OR(E2740="",E2740="!!!"),"",IF(OR(J2740=0,AND(J2740=1,K2740=1),AND(J2740=1,I2740="SBJ"),AND(J2740=1,I2740=0)),"?IN_FOCUS",IF(J2740&lt;=2,"?ACTIVATED",IF(J2740&lt;&gt;"","?FAMILIAR",IF(F2740="NEW",IF(ISNA(VLOOKUP(E2740,#REF!,1,FALSE())),"?TYPE_IDENTIFIABLE","?REFERENTIAL"),"_")))))</f>
        <v> </v>
      </c>
      <c r="H2740" s="24" t="str">
        <f>IF(J2740&lt;&gt;1,"",IF(I2740="SBJ","CB","?"))</f>
        <v> </v>
      </c>
      <c r="I2740" s="25" t="str">
        <f>IF(OR(E2740="",E2740="!!!",F2740="NEW"),"",INDEX(B2739:B$2,-1+SUMPRODUCT(MAX(ROW(E2739:E$2)*(E2740=E2739:E$2)))))</f>
        <v> </v>
      </c>
      <c r="J2740" s="25" t="str">
        <f>IF(OR(E2740="",E2740="!!!",F2740="NEW"),"",COUNTBLANK(OFFSET(A$1,,,SUMPRODUCT(MAX(ROW(E$2:E2740)*(E2740=E$2:E2740)))))-COUNTBLANK(OFFSET(A$1,,,SUMPRODUCT(MAX(ROW(E$1:E2739)*(E2=E$1:E2739))))))</f>
        <v> </v>
      </c>
      <c r="K2740" s="25" t="str">
        <f>IF(OR(E2740="",E2740="!!!",F2740="NEW"),"",INDEX(J$1:J2739,SUMPRODUCT(MAX(ROW(E$1:E2739)*(E2740=E$1:E2739)))))</f>
        <v> </v>
      </c>
      <c r="L2740" s="26"/>
    </row>
    <row r="2741" spans="1:12">
      <c r="A2741" s="20" t="s">
        <v>576</v>
      </c>
      <c r="E2741" s="21">
        <f>IF(D2741="?OLD","!!!","")</f>
        <v/>
      </c>
      <c r="F2741" s="22" t="str">
        <f>IF(OR(E2741="",E2741="!!!"),"",IF(NOT(ISNA(VLOOKUP(E2741,E$1:E2740,1,FALSE()))),"OLD",IF(AND(E2741&lt;&gt;"",E2741&lt;&gt;"!!!"),"NEW","")))</f>
        <v> </v>
      </c>
      <c r="G2741" s="23" t="str">
        <f>IF(OR(E2741="",E2741="!!!"),"",IF(OR(J2741=0,AND(J2741=1,K2741=1),AND(J2741=1,I2741="SBJ"),AND(J2741=1,I2741=0)),"?IN_FOCUS",IF(J2741&lt;=2,"?ACTIVATED",IF(J2741&lt;&gt;"","?FAMILIAR",IF(F2741="NEW",IF(ISNA(VLOOKUP(E2741,#REF!,1,FALSE())),"?TYPE_IDENTIFIABLE","?REFERENTIAL"),"_")))))</f>
        <v> </v>
      </c>
      <c r="H2741" s="24" t="str">
        <f>IF(J2741&lt;&gt;1,"",IF(I2741="SBJ","CB","?"))</f>
        <v> </v>
      </c>
      <c r="I2741" s="25" t="str">
        <f>IF(OR(E2741="",E2741="!!!",F2741="NEW"),"",INDEX(B2740:B$2,-1+SUMPRODUCT(MAX(ROW(E2740:E$2)*(E2741=E2740:E$2)))))</f>
        <v> </v>
      </c>
      <c r="J2741" s="25" t="str">
        <f>IF(OR(E2741="",E2741="!!!",F2741="NEW"),"",COUNTBLANK(OFFSET(A$1,,,SUMPRODUCT(MAX(ROW(E$2:E2741)*(E2741=E$2:E2741)))))-COUNTBLANK(OFFSET(A$1,,,SUMPRODUCT(MAX(ROW(E$1:E2740)*(E2=E$1:E2740))))))</f>
        <v> </v>
      </c>
      <c r="K2741" s="25" t="str">
        <f>IF(OR(E2741="",E2741="!!!",F2741="NEW"),"",INDEX(J$1:J2740,SUMPRODUCT(MAX(ROW(E$1:E2740)*(E2741=E$1:E2740)))))</f>
        <v> </v>
      </c>
      <c r="L2741" s="26"/>
    </row>
    <row r="2742" spans="1:12">
      <c r="A2742" s="20" t="s">
        <v>1470</v>
      </c>
      <c r="B2742" s="27" t="s">
        <v>873</v>
      </c>
      <c r="C2742" s="27" t="s">
        <v>557</v>
      </c>
      <c r="E2742" s="21">
        <f>IF(D2742="?OLD","!!!","")</f>
        <v/>
      </c>
      <c r="F2742" s="22" t="str">
        <f>IF(OR(E2742="",E2742="!!!"),"",IF(NOT(ISNA(VLOOKUP(E2742,E$1:E2741,1,FALSE()))),"OLD",IF(AND(E2742&lt;&gt;"",E2742&lt;&gt;"!!!"),"NEW","")))</f>
        <v> </v>
      </c>
      <c r="G2742" s="23" t="str">
        <f>IF(OR(E2742="",E2742="!!!"),"",IF(OR(J2742=0,AND(J2742=1,K2742=1),AND(J2742=1,I2742="SBJ"),AND(J2742=1,I2742=0)),"?IN_FOCUS",IF(J2742&lt;=2,"?ACTIVATED",IF(J2742&lt;&gt;"","?FAMILIAR",IF(F2742="NEW",IF(ISNA(VLOOKUP(E2742,#REF!,1,FALSE())),"?TYPE_IDENTIFIABLE","?REFERENTIAL"),"_")))))</f>
        <v> </v>
      </c>
      <c r="H2742" s="24" t="str">
        <f>IF(J2742&lt;&gt;1,"",IF(I2742="SBJ","CB","?"))</f>
        <v> </v>
      </c>
      <c r="I2742" s="25" t="str">
        <f>IF(OR(E2742="",E2742="!!!",F2742="NEW"),"",INDEX(B2741:B$2,-1+SUMPRODUCT(MAX(ROW(E2741:E$2)*(E2742=E2741:E$2)))))</f>
        <v> </v>
      </c>
      <c r="J2742" s="25" t="str">
        <f>IF(OR(E2742="",E2742="!!!",F2742="NEW"),"",COUNTBLANK(OFFSET(A$1,,,SUMPRODUCT(MAX(ROW(E$2:E2742)*(E2742=E$2:E2742)))))-COUNTBLANK(OFFSET(A$1,,,SUMPRODUCT(MAX(ROW(E$1:E2741)*(E2=E$1:E2741))))))</f>
        <v> </v>
      </c>
      <c r="K2742" s="25" t="str">
        <f>IF(OR(E2742="",E2742="!!!",F2742="NEW"),"",INDEX(J$1:J2741,SUMPRODUCT(MAX(ROW(E$1:E2741)*(E2742=E$1:E2741)))))</f>
        <v> </v>
      </c>
      <c r="L2742" s="26"/>
    </row>
    <row r="2743" spans="1:12">
      <c r="A2743" s="20" t="s">
        <v>1471</v>
      </c>
      <c r="E2743" s="21">
        <f>IF(D2743="?OLD","!!!","")</f>
        <v/>
      </c>
      <c r="F2743" s="22" t="str">
        <f>IF(OR(E2743="",E2743="!!!"),"",IF(NOT(ISNA(VLOOKUP(E2743,E$1:E2742,1,FALSE()))),"OLD",IF(AND(E2743&lt;&gt;"",E2743&lt;&gt;"!!!"),"NEW","")))</f>
        <v> </v>
      </c>
      <c r="G2743" s="23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4" t="str">
        <f>IF(J2743&lt;&gt;1,"",IF(I2743="SBJ","CB","?"))</f>
        <v> </v>
      </c>
      <c r="I2743" s="25" t="str">
        <f>IF(OR(E2743="",E2743="!!!",F2743="NEW"),"",INDEX(B2742:B$2,-1+SUMPRODUCT(MAX(ROW(E2742:E$2)*(E2743=E2742:E$2)))))</f>
        <v> </v>
      </c>
      <c r="J2743" s="25" t="str">
        <f>IF(OR(E2743="",E2743="!!!",F2743="NEW"),"",COUNTBLANK(OFFSET(A$1,,,SUMPRODUCT(MAX(ROW(E$2:E2743)*(E2743=E$2:E2743)))))-COUNTBLANK(OFFSET(A$1,,,SUMPRODUCT(MAX(ROW(E$1:E2742)*(E2=E$1:E2742))))))</f>
        <v> </v>
      </c>
      <c r="K2743" s="25" t="str">
        <f>IF(OR(E2743="",E2743="!!!",F2743="NEW"),"",INDEX(J$1:J2742,SUMPRODUCT(MAX(ROW(E$1:E2742)*(E2743=E$1:E2742)))))</f>
        <v> </v>
      </c>
      <c r="L2743" s="26"/>
    </row>
    <row r="2744" spans="1:12">
      <c r="A2744" s="20" t="s">
        <v>565</v>
      </c>
      <c r="E2744" s="21">
        <f>IF(D2744="?OLD","!!!","")</f>
        <v/>
      </c>
      <c r="F2744" s="22" t="str">
        <f>IF(OR(E2744="",E2744="!!!"),"",IF(NOT(ISNA(VLOOKUP(E2744,E$1:E2743,1,FALSE()))),"OLD",IF(AND(E2744&lt;&gt;"",E2744&lt;&gt;"!!!"),"NEW","")))</f>
        <v> </v>
      </c>
      <c r="G2744" s="23" t="str">
        <f>IF(OR(E2744="",E2744="!!!"),"",IF(OR(J2744=0,AND(J2744=1,K2744=1),AND(J2744=1,I2744="SBJ"),AND(J2744=1,I2744=0)),"?IN_FOCUS",IF(J2744&lt;=2,"?ACTIVATED",IF(J2744&lt;&gt;"","?FAMILIAR",IF(F2744="NEW",IF(ISNA(VLOOKUP(E2744,#REF!,1,FALSE())),"?TYPE_IDENTIFIABLE","?REFERENTIAL"),"_")))))</f>
        <v> </v>
      </c>
      <c r="H2744" s="24" t="str">
        <f>IF(J2744&lt;&gt;1,"",IF(I2744="SBJ","CB","?"))</f>
        <v> </v>
      </c>
      <c r="I2744" s="25" t="str">
        <f>IF(OR(E2744="",E2744="!!!",F2744="NEW"),"",INDEX(B2743:B$2,-1+SUMPRODUCT(MAX(ROW(E2743:E$2)*(E2744=E2743:E$2)))))</f>
        <v> </v>
      </c>
      <c r="J2744" s="25" t="str">
        <f>IF(OR(E2744="",E2744="!!!",F2744="NEW"),"",COUNTBLANK(OFFSET(A$1,,,SUMPRODUCT(MAX(ROW(E$2:E2744)*(E2744=E$2:E2744)))))-COUNTBLANK(OFFSET(A$1,,,SUMPRODUCT(MAX(ROW(E$1:E2743)*(E2=E$1:E2743))))))</f>
        <v> </v>
      </c>
      <c r="K2744" s="25" t="str">
        <f>IF(OR(E2744="",E2744="!!!",F2744="NEW"),"",INDEX(J$1:J2743,SUMPRODUCT(MAX(ROW(E$1:E2743)*(E2744=E$1:E2743)))))</f>
        <v> </v>
      </c>
      <c r="L2744" s="26"/>
    </row>
    <row r="2745" spans="1:12">
      <c r="A2745" s="20" t="s">
        <v>581</v>
      </c>
      <c r="E2745" s="21">
        <f>IF(D2745="?OLD","!!!","")</f>
        <v/>
      </c>
      <c r="F2745" s="22" t="str">
        <f>IF(OR(E2745="",E2745="!!!"),"",IF(NOT(ISNA(VLOOKUP(E2745,E$1:E2744,1,FALSE()))),"OLD",IF(AND(E2745&lt;&gt;"",E2745&lt;&gt;"!!!"),"NEW","")))</f>
        <v> </v>
      </c>
      <c r="G2745" s="23" t="str">
        <f>IF(OR(E2745="",E2745="!!!"),"",IF(OR(J2745=0,AND(J2745=1,K2745=1),AND(J2745=1,I2745="SBJ"),AND(J2745=1,I2745=0)),"?IN_FOCUS",IF(J2745&lt;=2,"?ACTIVATED",IF(J2745&lt;&gt;"","?FAMILIAR",IF(F2745="NEW",IF(ISNA(VLOOKUP(E2745,#REF!,1,FALSE())),"?TYPE_IDENTIFIABLE","?REFERENTIAL"),"_")))))</f>
        <v> </v>
      </c>
      <c r="H2745" s="24" t="str">
        <f>IF(J2745&lt;&gt;1,"",IF(I2745="SBJ","CB","?"))</f>
        <v> </v>
      </c>
      <c r="I2745" s="25" t="str">
        <f>IF(OR(E2745="",E2745="!!!",F2745="NEW"),"",INDEX(B2744:B$2,-1+SUMPRODUCT(MAX(ROW(E2744:E$2)*(E2745=E2744:E$2)))))</f>
        <v> </v>
      </c>
      <c r="J2745" s="25" t="str">
        <f>IF(OR(E2745="",E2745="!!!",F2745="NEW"),"",COUNTBLANK(OFFSET(A$1,,,SUMPRODUCT(MAX(ROW(E$2:E2745)*(E2745=E$2:E2745)))))-COUNTBLANK(OFFSET(A$1,,,SUMPRODUCT(MAX(ROW(E$1:E2744)*(E2=E$1:E2744))))))</f>
        <v> </v>
      </c>
      <c r="K2745" s="25" t="str">
        <f>IF(OR(E2745="",E2745="!!!",F2745="NEW"),"",INDEX(J$1:J2744,SUMPRODUCT(MAX(ROW(E$1:E2744)*(E2745=E$1:E2744)))))</f>
        <v> </v>
      </c>
      <c r="L2745" s="26"/>
    </row>
    <row r="2746" spans="1:12">
      <c r="A2746" s="20" t="s">
        <v>528</v>
      </c>
      <c r="B2746" s="27" t="s">
        <v>653</v>
      </c>
      <c r="E2746" s="21">
        <f>IF(D2746="?OLD","!!!","")</f>
        <v/>
      </c>
      <c r="F2746" s="22" t="str">
        <f>IF(OR(E2746="",E2746="!!!"),"",IF(NOT(ISNA(VLOOKUP(E2746,E$1:E2745,1,FALSE()))),"OLD",IF(AND(E2746&lt;&gt;"",E2746&lt;&gt;"!!!"),"NEW","")))</f>
        <v> </v>
      </c>
      <c r="G2746" s="23" t="str">
        <f>IF(OR(E2746="",E2746="!!!"),"",IF(OR(J2746=0,AND(J2746=1,K2746=1),AND(J2746=1,I2746="SBJ"),AND(J2746=1,I2746=0)),"?IN_FOCUS",IF(J2746&lt;=2,"?ACTIVATED",IF(J2746&lt;&gt;"","?FAMILIAR",IF(F2746="NEW",IF(ISNA(VLOOKUP(E2746,#REF!,1,FALSE())),"?TYPE_IDENTIFIABLE","?REFERENTIAL"),"_")))))</f>
        <v> </v>
      </c>
      <c r="H2746" s="24" t="str">
        <f>IF(J2746&lt;&gt;1,"",IF(I2746="SBJ","CB","?"))</f>
        <v> </v>
      </c>
      <c r="I2746" s="25" t="str">
        <f>IF(OR(E2746="",E2746="!!!",F2746="NEW"),"",INDEX(B2745:B$2,-1+SUMPRODUCT(MAX(ROW(E2745:E$2)*(E2746=E2745:E$2)))))</f>
        <v> </v>
      </c>
      <c r="J2746" s="25" t="str">
        <f>IF(OR(E2746="",E2746="!!!",F2746="NEW"),"",COUNTBLANK(OFFSET(A$1,,,SUMPRODUCT(MAX(ROW(E$2:E2746)*(E2746=E$2:E2746)))))-COUNTBLANK(OFFSET(A$1,,,SUMPRODUCT(MAX(ROW(E$1:E2745)*(E2=E$1:E2745))))))</f>
        <v> </v>
      </c>
      <c r="K2746" s="25" t="str">
        <f>IF(OR(E2746="",E2746="!!!",F2746="NEW"),"",INDEX(J$1:J2745,SUMPRODUCT(MAX(ROW(E$1:E2745)*(E2746=E$1:E2745)))))</f>
        <v> </v>
      </c>
      <c r="L2746" s="26"/>
    </row>
    <row r="2747" spans="1:12">
      <c r="A2747" s="20" t="s">
        <v>576</v>
      </c>
      <c r="E2747" s="21">
        <f>IF(D2747="?OLD","!!!","")</f>
        <v/>
      </c>
      <c r="F2747" s="22" t="str">
        <f>IF(OR(E2747="",E2747="!!!"),"",IF(NOT(ISNA(VLOOKUP(E2747,E$1:E2746,1,FALSE()))),"OLD",IF(AND(E2747&lt;&gt;"",E2747&lt;&gt;"!!!"),"NEW","")))</f>
        <v> </v>
      </c>
      <c r="G2747" s="23" t="str">
        <f>IF(OR(E2747="",E2747="!!!"),"",IF(OR(J2747=0,AND(J2747=1,K2747=1),AND(J2747=1,I2747="SBJ"),AND(J2747=1,I2747=0)),"?IN_FOCUS",IF(J2747&lt;=2,"?ACTIVATED",IF(J2747&lt;&gt;"","?FAMILIAR",IF(F2747="NEW",IF(ISNA(VLOOKUP(E2747,#REF!,1,FALSE())),"?TYPE_IDENTIFIABLE","?REFERENTIAL"),"_")))))</f>
        <v> </v>
      </c>
      <c r="H2747" s="24" t="str">
        <f>IF(J2747&lt;&gt;1,"",IF(I2747="SBJ","CB","?"))</f>
        <v> </v>
      </c>
      <c r="I2747" s="25" t="str">
        <f>IF(OR(E2747="",E2747="!!!",F2747="NEW"),"",INDEX(B2746:B$2,-1+SUMPRODUCT(MAX(ROW(E2746:E$2)*(E2747=E2746:E$2)))))</f>
        <v> </v>
      </c>
      <c r="J2747" s="25" t="str">
        <f>IF(OR(E2747="",E2747="!!!",F2747="NEW"),"",COUNTBLANK(OFFSET(A$1,,,SUMPRODUCT(MAX(ROW(E$2:E2747)*(E2747=E$2:E2747)))))-COUNTBLANK(OFFSET(A$1,,,SUMPRODUCT(MAX(ROW(E$1:E2746)*(E2=E$1:E2746))))))</f>
        <v> </v>
      </c>
      <c r="K2747" s="25" t="str">
        <f>IF(OR(E2747="",E2747="!!!",F2747="NEW"),"",INDEX(J$1:J2746,SUMPRODUCT(MAX(ROW(E$1:E2746)*(E2747=E$1:E2746)))))</f>
        <v> </v>
      </c>
      <c r="L2747" s="26"/>
    </row>
    <row r="2748" spans="1:12">
      <c r="A2748" s="20" t="s">
        <v>1470</v>
      </c>
      <c r="B2748" s="27" t="s">
        <v>716</v>
      </c>
      <c r="C2748" s="27" t="s">
        <v>557</v>
      </c>
      <c r="E2748" s="21">
        <f>IF(D2748="?OLD","!!!","")</f>
        <v/>
      </c>
      <c r="F2748" s="22" t="str">
        <f>IF(OR(E2748="",E2748="!!!"),"",IF(NOT(ISNA(VLOOKUP(E2748,E$1:E2747,1,FALSE()))),"OLD",IF(AND(E2748&lt;&gt;"",E2748&lt;&gt;"!!!"),"NEW","")))</f>
        <v> </v>
      </c>
      <c r="G2748" s="23" t="str">
        <f>IF(OR(E2748="",E2748="!!!"),"",IF(OR(J2748=0,AND(J2748=1,K2748=1),AND(J2748=1,I2748="SBJ"),AND(J2748=1,I2748=0)),"?IN_FOCUS",IF(J2748&lt;=2,"?ACTIVATED",IF(J2748&lt;&gt;"","?FAMILIAR",IF(F2748="NEW",IF(ISNA(VLOOKUP(E2748,#REF!,1,FALSE())),"?TYPE_IDENTIFIABLE","?REFERENTIAL"),"_")))))</f>
        <v> </v>
      </c>
      <c r="H2748" s="24" t="str">
        <f>IF(J2748&lt;&gt;1,"",IF(I2748="SBJ","CB","?"))</f>
        <v> </v>
      </c>
      <c r="I2748" s="25" t="str">
        <f>IF(OR(E2748="",E2748="!!!",F2748="NEW"),"",INDEX(B2747:B$2,-1+SUMPRODUCT(MAX(ROW(E2747:E$2)*(E2748=E2747:E$2)))))</f>
        <v> </v>
      </c>
      <c r="J2748" s="25" t="str">
        <f>IF(OR(E2748="",E2748="!!!",F2748="NEW"),"",COUNTBLANK(OFFSET(A$1,,,SUMPRODUCT(MAX(ROW(E$2:E2748)*(E2748=E$2:E2748)))))-COUNTBLANK(OFFSET(A$1,,,SUMPRODUCT(MAX(ROW(E$1:E2747)*(E2=E$1:E2747))))))</f>
        <v> </v>
      </c>
      <c r="K2748" s="25" t="str">
        <f>IF(OR(E2748="",E2748="!!!",F2748="NEW"),"",INDEX(J$1:J2747,SUMPRODUCT(MAX(ROW(E$1:E2747)*(E2748=E$1:E2747)))))</f>
        <v> </v>
      </c>
      <c r="L2748" s="26"/>
    </row>
    <row r="2749" spans="1:12">
      <c r="A2749" s="20" t="s">
        <v>68</v>
      </c>
      <c r="E2749" s="21">
        <f>IF(D2749="?OLD","!!!","")</f>
        <v/>
      </c>
      <c r="F2749" s="22" t="str">
        <f>IF(OR(E2749="",E2749="!!!"),"",IF(NOT(ISNA(VLOOKUP(E2749,E$1:E2748,1,FALSE()))),"OLD",IF(AND(E2749&lt;&gt;"",E2749&lt;&gt;"!!!"),"NEW","")))</f>
        <v> </v>
      </c>
      <c r="G2749" s="23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4" t="str">
        <f>IF(J2749&lt;&gt;1,"",IF(I2749="SBJ","CB","?"))</f>
        <v> </v>
      </c>
      <c r="I2749" s="25" t="str">
        <f>IF(OR(E2749="",E2749="!!!",F2749="NEW"),"",INDEX(B2748:B$2,-1+SUMPRODUCT(MAX(ROW(E2748:E$2)*(E2749=E2748:E$2)))))</f>
        <v> </v>
      </c>
      <c r="J2749" s="25" t="str">
        <f>IF(OR(E2749="",E2749="!!!",F2749="NEW"),"",COUNTBLANK(OFFSET(A$1,,,SUMPRODUCT(MAX(ROW(E$2:E2749)*(E2749=E$2:E2749)))))-COUNTBLANK(OFFSET(A$1,,,SUMPRODUCT(MAX(ROW(E$1:E2748)*(E2=E$1:E2748))))))</f>
        <v> </v>
      </c>
      <c r="K2749" s="25" t="str">
        <f>IF(OR(E2749="",E2749="!!!",F2749="NEW"),"",INDEX(J$1:J2748,SUMPRODUCT(MAX(ROW(E$1:E2748)*(E2749=E$1:E2748)))))</f>
        <v> </v>
      </c>
      <c r="L2749" s="26"/>
    </row>
    <row r="2750" spans="1:12">
      <c r="A2750" s="20" t="s">
        <v>542</v>
      </c>
      <c r="E2750" s="21">
        <f>IF(D2750="?OLD","!!!","")</f>
        <v/>
      </c>
      <c r="F2750" s="22" t="str">
        <f>IF(OR(E2750="",E2750="!!!"),"",IF(NOT(ISNA(VLOOKUP(E2750,E$1:E2749,1,FALSE()))),"OLD",IF(AND(E2750&lt;&gt;"",E2750&lt;&gt;"!!!"),"NEW","")))</f>
        <v> </v>
      </c>
      <c r="G2750" s="23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4" t="str">
        <f>IF(J2750&lt;&gt;1,"",IF(I2750="SBJ","CB","?"))</f>
        <v> </v>
      </c>
      <c r="I2750" s="25" t="str">
        <f>IF(OR(E2750="",E2750="!!!",F2750="NEW"),"",INDEX(B2749:B$2,-1+SUMPRODUCT(MAX(ROW(E2749:E$2)*(E2750=E2749:E$2)))))</f>
        <v> </v>
      </c>
      <c r="J2750" s="25" t="str">
        <f>IF(OR(E2750="",E2750="!!!",F2750="NEW"),"",COUNTBLANK(OFFSET(A$1,,,SUMPRODUCT(MAX(ROW(E$2:E2750)*(E2750=E$2:E2750)))))-COUNTBLANK(OFFSET(A$1,,,SUMPRODUCT(MAX(ROW(E$1:E2749)*(E2=E$1:E2749))))))</f>
        <v> </v>
      </c>
      <c r="K2750" s="25" t="str">
        <f>IF(OR(E2750="",E2750="!!!",F2750="NEW"),"",INDEX(J$1:J2749,SUMPRODUCT(MAX(ROW(E$1:E2749)*(E2750=E$1:E2749)))))</f>
        <v> </v>
      </c>
      <c r="L2750" s="26"/>
    </row>
    <row r="2751" spans="1:12">
      <c r="A2751" s="20" t="s">
        <v>691</v>
      </c>
      <c r="E2751" s="21">
        <f>IF(D2751="?OLD","!!!","")</f>
        <v/>
      </c>
      <c r="F2751" s="22" t="str">
        <f>IF(OR(E2751="",E2751="!!!"),"",IF(NOT(ISNA(VLOOKUP(E2751,E$1:E2750,1,FALSE()))),"OLD",IF(AND(E2751&lt;&gt;"",E2751&lt;&gt;"!!!"),"NEW","")))</f>
        <v> </v>
      </c>
      <c r="G2751" s="23" t="str">
        <f>IF(OR(E2751="",E2751="!!!"),"",IF(OR(J2751=0,AND(J2751=1,K2751=1),AND(J2751=1,I2751="SBJ"),AND(J2751=1,I2751=0)),"?IN_FOCUS",IF(J2751&lt;=2,"?ACTIVATED",IF(J2751&lt;&gt;"","?FAMILIAR",IF(F2751="NEW",IF(ISNA(VLOOKUP(E2751,#REF!,1,FALSE())),"?TYPE_IDENTIFIABLE","?REFERENTIAL"),"_")))))</f>
        <v> </v>
      </c>
      <c r="H2751" s="24" t="str">
        <f>IF(J2751&lt;&gt;1,"",IF(I2751="SBJ","CB","?"))</f>
        <v> </v>
      </c>
      <c r="I2751" s="25" t="str">
        <f>IF(OR(E2751="",E2751="!!!",F2751="NEW"),"",INDEX(B2750:B$2,-1+SUMPRODUCT(MAX(ROW(E2750:E$2)*(E2751=E2750:E$2)))))</f>
        <v> </v>
      </c>
      <c r="J2751" s="25" t="str">
        <f>IF(OR(E2751="",E2751="!!!",F2751="NEW"),"",COUNTBLANK(OFFSET(A$1,,,SUMPRODUCT(MAX(ROW(E$2:E2751)*(E2751=E$2:E2751)))))-COUNTBLANK(OFFSET(A$1,,,SUMPRODUCT(MAX(ROW(E$1:E2750)*(E2=E$1:E2750))))))</f>
        <v> </v>
      </c>
      <c r="K2751" s="25" t="str">
        <f>IF(OR(E2751="",E2751="!!!",F2751="NEW"),"",INDEX(J$1:J2750,SUMPRODUCT(MAX(ROW(E$1:E2750)*(E2751=E$1:E2750)))))</f>
        <v> </v>
      </c>
      <c r="L2751" s="26"/>
    </row>
    <row r="2752" spans="1:12">
      <c r="A2752" s="20" t="s">
        <v>1472</v>
      </c>
      <c r="B2752" s="27" t="s">
        <v>653</v>
      </c>
      <c r="C2752" s="27" t="s">
        <v>545</v>
      </c>
      <c r="D2752" s="27" t="s">
        <v>524</v>
      </c>
      <c r="E2752" s="21">
        <f>IF(D2752="?OLD","!!!","")</f>
        <v/>
      </c>
      <c r="F2752" s="22" t="str">
        <f>IF(OR(E2752="",E2752="!!!"),"",IF(NOT(ISNA(VLOOKUP(E2752,E$1:E2751,1,FALSE()))),"OLD",IF(AND(E2752&lt;&gt;"",E2752&lt;&gt;"!!!"),"NEW","")))</f>
        <v> </v>
      </c>
      <c r="G2752" s="23" t="str">
        <f>IF(OR(E2752="",E2752="!!!"),"",IF(OR(J2752=0,AND(J2752=1,K2752=1),AND(J2752=1,I2752="SBJ"),AND(J2752=1,I2752=0)),"?IN_FOCUS",IF(J2752&lt;=2,"?ACTIVATED",IF(J2752&lt;&gt;"","?FAMILIAR",IF(F2752="NEW",IF(ISNA(VLOOKUP(E2752,#REF!,1,FALSE())),"?TYPE_IDENTIFIABLE","?REFERENTIAL"),"_")))))</f>
        <v> </v>
      </c>
      <c r="H2752" s="24" t="str">
        <f>IF(J2752&lt;&gt;1,"",IF(I2752="SBJ","CB","?"))</f>
        <v> </v>
      </c>
      <c r="I2752" s="25" t="str">
        <f>IF(OR(E2752="",E2752="!!!",F2752="NEW"),"",INDEX(B2751:B$2,-1+SUMPRODUCT(MAX(ROW(E2751:E$2)*(E2752=E2751:E$2)))))</f>
        <v> </v>
      </c>
      <c r="J2752" s="25" t="str">
        <f>IF(OR(E2752="",E2752="!!!",F2752="NEW"),"",COUNTBLANK(OFFSET(A$1,,,SUMPRODUCT(MAX(ROW(E$2:E2752)*(E2752=E$2:E2752)))))-COUNTBLANK(OFFSET(A$1,,,SUMPRODUCT(MAX(ROW(E$1:E2751)*(E2=E$1:E2751))))))</f>
        <v> </v>
      </c>
      <c r="K2752" s="25" t="str">
        <f>IF(OR(E2752="",E2752="!!!",F2752="NEW"),"",INDEX(J$1:J2751,SUMPRODUCT(MAX(ROW(E$1:E2751)*(E2752=E$1:E2751)))))</f>
        <v> </v>
      </c>
      <c r="L2752" s="26"/>
    </row>
    <row r="2753" spans="1:12">
      <c r="A2753" s="20" t="s">
        <v>528</v>
      </c>
      <c r="E2753" s="21">
        <f>IF(D2753="?OLD","!!!","")</f>
        <v/>
      </c>
      <c r="F2753" s="22" t="str">
        <f>IF(OR(E2753="",E2753="!!!"),"",IF(NOT(ISNA(VLOOKUP(E2753,E$1:E2752,1,FALSE()))),"OLD",IF(AND(E2753&lt;&gt;"",E2753&lt;&gt;"!!!"),"NEW","")))</f>
        <v> </v>
      </c>
      <c r="G2753" s="23" t="str">
        <f>IF(OR(E2753="",E2753="!!!"),"",IF(OR(J2753=0,AND(J2753=1,K2753=1),AND(J2753=1,I2753="SBJ"),AND(J2753=1,I2753=0)),"?IN_FOCUS",IF(J2753&lt;=2,"?ACTIVATED",IF(J2753&lt;&gt;"","?FAMILIAR",IF(F2753="NEW",IF(ISNA(VLOOKUP(E2753,#REF!,1,FALSE())),"?TYPE_IDENTIFIABLE","?REFERENTIAL"),"_")))))</f>
        <v> </v>
      </c>
      <c r="H2753" s="24" t="str">
        <f>IF(J2753&lt;&gt;1,"",IF(I2753="SBJ","CB","?"))</f>
        <v> </v>
      </c>
      <c r="I2753" s="25" t="str">
        <f>IF(OR(E2753="",E2753="!!!",F2753="NEW"),"",INDEX(B2752:B$2,-1+SUMPRODUCT(MAX(ROW(E2752:E$2)*(E2753=E2752:E$2)))))</f>
        <v> </v>
      </c>
      <c r="J2753" s="25" t="str">
        <f>IF(OR(E2753="",E2753="!!!",F2753="NEW"),"",COUNTBLANK(OFFSET(A$1,,,SUMPRODUCT(MAX(ROW(E$2:E2753)*(E2753=E$2:E2753)))))-COUNTBLANK(OFFSET(A$1,,,SUMPRODUCT(MAX(ROW(E$1:E2752)*(E2=E$1:E2752))))))</f>
        <v> </v>
      </c>
      <c r="K2753" s="25" t="str">
        <f>IF(OR(E2753="",E2753="!!!",F2753="NEW"),"",INDEX(J$1:J2752,SUMPRODUCT(MAX(ROW(E$1:E2752)*(E2753=E$1:E2752)))))</f>
        <v> </v>
      </c>
      <c r="L2753" s="26"/>
    </row>
    <row r="2754" spans="1:12">
      <c r="A2754" s="20" t="s">
        <v>682</v>
      </c>
      <c r="E2754" s="21">
        <f>IF(D2754="?OLD","!!!","")</f>
        <v/>
      </c>
      <c r="F2754" s="22" t="str">
        <f>IF(OR(E2754="",E2754="!!!"),"",IF(NOT(ISNA(VLOOKUP(E2754,E$1:E2753,1,FALSE()))),"OLD",IF(AND(E2754&lt;&gt;"",E2754&lt;&gt;"!!!"),"NEW","")))</f>
        <v> </v>
      </c>
      <c r="G2754" s="23" t="str">
        <f>IF(OR(E2754="",E2754="!!!"),"",IF(OR(J2754=0,AND(J2754=1,K2754=1),AND(J2754=1,I2754="SBJ"),AND(J2754=1,I2754=0)),"?IN_FOCUS",IF(J2754&lt;=2,"?ACTIVATED",IF(J2754&lt;&gt;"","?FAMILIAR",IF(F2754="NEW",IF(ISNA(VLOOKUP(E2754,#REF!,1,FALSE())),"?TYPE_IDENTIFIABLE","?REFERENTIAL"),"_")))))</f>
        <v> </v>
      </c>
      <c r="H2754" s="24" t="str">
        <f>IF(J2754&lt;&gt;1,"",IF(I2754="SBJ","CB","?"))</f>
        <v> </v>
      </c>
      <c r="I2754" s="25" t="str">
        <f>IF(OR(E2754="",E2754="!!!",F2754="NEW"),"",INDEX(B2753:B$2,-1+SUMPRODUCT(MAX(ROW(E2753:E$2)*(E2754=E2753:E$2)))))</f>
        <v> </v>
      </c>
      <c r="J2754" s="25" t="str">
        <f>IF(OR(E2754="",E2754="!!!",F2754="NEW"),"",COUNTBLANK(OFFSET(A$1,,,SUMPRODUCT(MAX(ROW(E$2:E2754)*(E2754=E$2:E2754)))))-COUNTBLANK(OFFSET(A$1,,,SUMPRODUCT(MAX(ROW(E$1:E2753)*(E2=E$1:E2753))))))</f>
        <v> </v>
      </c>
      <c r="K2754" s="25" t="str">
        <f>IF(OR(E2754="",E2754="!!!",F2754="NEW"),"",INDEX(J$1:J2753,SUMPRODUCT(MAX(ROW(E$1:E2753)*(E2754=E$1:E2753)))))</f>
        <v> </v>
      </c>
      <c r="L2754" s="26"/>
    </row>
    <row r="2755" spans="1:12">
      <c r="A2755" s="20" t="s">
        <v>696</v>
      </c>
      <c r="E2755" s="21">
        <f>IF(D2755="?OLD","!!!","")</f>
        <v/>
      </c>
      <c r="F2755" s="22" t="str">
        <f>IF(OR(E2755="",E2755="!!!"),"",IF(NOT(ISNA(VLOOKUP(E2755,E$1:E2754,1,FALSE()))),"OLD",IF(AND(E2755&lt;&gt;"",E2755&lt;&gt;"!!!"),"NEW","")))</f>
        <v> </v>
      </c>
      <c r="G2755" s="23" t="str">
        <f>IF(OR(E2755="",E2755="!!!"),"",IF(OR(J2755=0,AND(J2755=1,K2755=1),AND(J2755=1,I2755="SBJ"),AND(J2755=1,I2755=0)),"?IN_FOCUS",IF(J2755&lt;=2,"?ACTIVATED",IF(J2755&lt;&gt;"","?FAMILIAR",IF(F2755="NEW",IF(ISNA(VLOOKUP(E2755,#REF!,1,FALSE())),"?TYPE_IDENTIFIABLE","?REFERENTIAL"),"_")))))</f>
        <v> </v>
      </c>
      <c r="H2755" s="24" t="str">
        <f>IF(J2755&lt;&gt;1,"",IF(I2755="SBJ","CB","?"))</f>
        <v> </v>
      </c>
      <c r="I2755" s="25" t="str">
        <f>IF(OR(E2755="",E2755="!!!",F2755="NEW"),"",INDEX(B2754:B$2,-1+SUMPRODUCT(MAX(ROW(E2754:E$2)*(E2755=E2754:E$2)))))</f>
        <v> </v>
      </c>
      <c r="J2755" s="25" t="str">
        <f>IF(OR(E2755="",E2755="!!!",F2755="NEW"),"",COUNTBLANK(OFFSET(A$1,,,SUMPRODUCT(MAX(ROW(E$2:E2755)*(E2755=E$2:E2755)))))-COUNTBLANK(OFFSET(A$1,,,SUMPRODUCT(MAX(ROW(E$1:E2754)*(E2=E$1:E2754))))))</f>
        <v> </v>
      </c>
      <c r="K2755" s="25" t="str">
        <f>IF(OR(E2755="",E2755="!!!",F2755="NEW"),"",INDEX(J$1:J2754,SUMPRODUCT(MAX(ROW(E$1:E2754)*(E2755=E$1:E2754)))))</f>
        <v> </v>
      </c>
      <c r="L2755" s="26"/>
    </row>
    <row r="2756" spans="1:12">
      <c r="A2756" s="20" t="s">
        <v>697</v>
      </c>
      <c r="B2756" s="27" t="s">
        <v>643</v>
      </c>
      <c r="C2756" s="27" t="s">
        <v>545</v>
      </c>
      <c r="D2756" s="27" t="s">
        <v>524</v>
      </c>
      <c r="E2756" s="21">
        <f>IF(D2756="?OLD","!!!","")</f>
        <v/>
      </c>
      <c r="F2756" s="22" t="str">
        <f>IF(OR(E2756="",E2756="!!!"),"",IF(NOT(ISNA(VLOOKUP(E2756,E$1:E2755,1,FALSE()))),"OLD",IF(AND(E2756&lt;&gt;"",E2756&lt;&gt;"!!!"),"NEW","")))</f>
        <v> </v>
      </c>
      <c r="G2756" s="23" t="str">
        <f>IF(OR(E2756="",E2756="!!!"),"",IF(OR(J2756=0,AND(J2756=1,K2756=1),AND(J2756=1,I2756="SBJ"),AND(J2756=1,I2756=0)),"?IN_FOCUS",IF(J2756&lt;=2,"?ACTIVATED",IF(J2756&lt;&gt;"","?FAMILIAR",IF(F2756="NEW",IF(ISNA(VLOOKUP(E2756,#REF!,1,FALSE())),"?TYPE_IDENTIFIABLE","?REFERENTIAL"),"_")))))</f>
        <v> </v>
      </c>
      <c r="H2756" s="24" t="str">
        <f>IF(J2756&lt;&gt;1,"",IF(I2756="SBJ","CB","?"))</f>
        <v> </v>
      </c>
      <c r="I2756" s="25" t="str">
        <f>IF(OR(E2756="",E2756="!!!",F2756="NEW"),"",INDEX(B2755:B$2,-1+SUMPRODUCT(MAX(ROW(E2755:E$2)*(E2756=E2755:E$2)))))</f>
        <v> </v>
      </c>
      <c r="J2756" s="25" t="str">
        <f>IF(OR(E2756="",E2756="!!!",F2756="NEW"),"",COUNTBLANK(OFFSET(A$1,,,SUMPRODUCT(MAX(ROW(E$2:E2756)*(E2756=E$2:E2756)))))-COUNTBLANK(OFFSET(A$1,,,SUMPRODUCT(MAX(ROW(E$1:E2755)*(E2=E$1:E2755))))))</f>
        <v> </v>
      </c>
      <c r="K2756" s="25" t="str">
        <f>IF(OR(E2756="",E2756="!!!",F2756="NEW"),"",INDEX(J$1:J2755,SUMPRODUCT(MAX(ROW(E$1:E2755)*(E2756=E$1:E2755)))))</f>
        <v> </v>
      </c>
      <c r="L2756" s="26"/>
    </row>
    <row r="2757" spans="1:12">
      <c r="A2757" s="20" t="s">
        <v>1473</v>
      </c>
      <c r="E2757" s="21">
        <f>IF(D2757="?OLD","!!!","")</f>
        <v/>
      </c>
      <c r="F2757" s="22" t="str">
        <f>IF(OR(E2757="",E2757="!!!"),"",IF(NOT(ISNA(VLOOKUP(E2757,E$1:E2756,1,FALSE()))),"OLD",IF(AND(E2757&lt;&gt;"",E2757&lt;&gt;"!!!"),"NEW","")))</f>
        <v> </v>
      </c>
      <c r="G2757" s="23" t="str">
        <f>IF(OR(E2757="",E2757="!!!"),"",IF(OR(J2757=0,AND(J2757=1,K2757=1),AND(J2757=1,I2757="SBJ"),AND(J2757=1,I2757=0)),"?IN_FOCUS",IF(J2757&lt;=2,"?ACTIVATED",IF(J2757&lt;&gt;"","?FAMILIAR",IF(F2757="NEW",IF(ISNA(VLOOKUP(E2757,#REF!,1,FALSE())),"?TYPE_IDENTIFIABLE","?REFERENTIAL"),"_")))))</f>
        <v> </v>
      </c>
      <c r="H2757" s="24" t="str">
        <f>IF(J2757&lt;&gt;1,"",IF(I2757="SBJ","CB","?"))</f>
        <v> </v>
      </c>
      <c r="I2757" s="25" t="str">
        <f>IF(OR(E2757="",E2757="!!!",F2757="NEW"),"",INDEX(B2756:B$2,-1+SUMPRODUCT(MAX(ROW(E2756:E$2)*(E2757=E2756:E$2)))))</f>
        <v> </v>
      </c>
      <c r="J2757" s="25" t="str">
        <f>IF(OR(E2757="",E2757="!!!",F2757="NEW"),"",COUNTBLANK(OFFSET(A$1,,,SUMPRODUCT(MAX(ROW(E$2:E2757)*(E2757=E$2:E2757)))))-COUNTBLANK(OFFSET(A$1,,,SUMPRODUCT(MAX(ROW(E$1:E2756)*(E2=E$1:E2756))))))</f>
        <v> </v>
      </c>
      <c r="K2757" s="25" t="str">
        <f>IF(OR(E2757="",E2757="!!!",F2757="NEW"),"",INDEX(J$1:J2756,SUMPRODUCT(MAX(ROW(E$1:E2756)*(E2757=E$1:E2756)))))</f>
        <v> </v>
      </c>
      <c r="L2757" s="26"/>
    </row>
    <row r="2758" spans="1:12">
      <c r="A2758" s="20" t="s">
        <v>581</v>
      </c>
      <c r="E2758" s="21">
        <f>IF(D2758="?OLD","!!!","")</f>
        <v/>
      </c>
      <c r="F2758" s="22" t="str">
        <f>IF(OR(E2758="",E2758="!!!"),"",IF(NOT(ISNA(VLOOKUP(E2758,E$1:E2757,1,FALSE()))),"OLD",IF(AND(E2758&lt;&gt;"",E2758&lt;&gt;"!!!"),"NEW","")))</f>
        <v> </v>
      </c>
      <c r="G2758" s="23" t="str">
        <f>IF(OR(E2758="",E2758="!!!"),"",IF(OR(J2758=0,AND(J2758=1,K2758=1),AND(J2758=1,I2758="SBJ"),AND(J2758=1,I2758=0)),"?IN_FOCUS",IF(J2758&lt;=2,"?ACTIVATED",IF(J2758&lt;&gt;"","?FAMILIAR",IF(F2758="NEW",IF(ISNA(VLOOKUP(E2758,#REF!,1,FALSE())),"?TYPE_IDENTIFIABLE","?REFERENTIAL"),"_")))))</f>
        <v> </v>
      </c>
      <c r="H2758" s="24" t="str">
        <f>IF(J2758&lt;&gt;1,"",IF(I2758="SBJ","CB","?"))</f>
        <v> </v>
      </c>
      <c r="I2758" s="25" t="str">
        <f>IF(OR(E2758="",E2758="!!!",F2758="NEW"),"",INDEX(B2757:B$2,-1+SUMPRODUCT(MAX(ROW(E2757:E$2)*(E2758=E2757:E$2)))))</f>
        <v> </v>
      </c>
      <c r="J2758" s="25" t="str">
        <f>IF(OR(E2758="",E2758="!!!",F2758="NEW"),"",COUNTBLANK(OFFSET(A$1,,,SUMPRODUCT(MAX(ROW(E$2:E2758)*(E2758=E$2:E2758)))))-COUNTBLANK(OFFSET(A$1,,,SUMPRODUCT(MAX(ROW(E$1:E2757)*(E2=E$1:E2757))))))</f>
        <v> </v>
      </c>
      <c r="K2758" s="25" t="str">
        <f>IF(OR(E2758="",E2758="!!!",F2758="NEW"),"",INDEX(J$1:J2757,SUMPRODUCT(MAX(ROW(E$1:E2757)*(E2758=E$1:E2757)))))</f>
        <v> </v>
      </c>
      <c r="L2758" s="26"/>
    </row>
    <row r="2759" spans="1:12">
      <c r="A2759" s="20" t="s">
        <v>528</v>
      </c>
      <c r="E2759" s="21">
        <f>IF(D2759="?OLD","!!!","")</f>
        <v/>
      </c>
      <c r="F2759" s="22" t="str">
        <f>IF(OR(E2759="",E2759="!!!"),"",IF(NOT(ISNA(VLOOKUP(E2759,E$1:E2758,1,FALSE()))),"OLD",IF(AND(E2759&lt;&gt;"",E2759&lt;&gt;"!!!"),"NEW","")))</f>
        <v> </v>
      </c>
      <c r="G2759" s="23" t="str">
        <f>IF(OR(E2759="",E2759="!!!"),"",IF(OR(J2759=0,AND(J2759=1,K2759=1),AND(J2759=1,I2759="SBJ"),AND(J2759=1,I2759=0)),"?IN_FOCUS",IF(J2759&lt;=2,"?ACTIVATED",IF(J2759&lt;&gt;"","?FAMILIAR",IF(F2759="NEW",IF(ISNA(VLOOKUP(E2759,#REF!,1,FALSE())),"?TYPE_IDENTIFIABLE","?REFERENTIAL"),"_")))))</f>
        <v> </v>
      </c>
      <c r="H2759" s="24" t="str">
        <f>IF(J2759&lt;&gt;1,"",IF(I2759="SBJ","CB","?"))</f>
        <v> </v>
      </c>
      <c r="I2759" s="25" t="str">
        <f>IF(OR(E2759="",E2759="!!!",F2759="NEW"),"",INDEX(B2758:B$2,-1+SUMPRODUCT(MAX(ROW(E2758:E$2)*(E2759=E2758:E$2)))))</f>
        <v> </v>
      </c>
      <c r="J2759" s="25" t="str">
        <f>IF(OR(E2759="",E2759="!!!",F2759="NEW"),"",COUNTBLANK(OFFSET(A$1,,,SUMPRODUCT(MAX(ROW(E$2:E2759)*(E2759=E$2:E2759)))))-COUNTBLANK(OFFSET(A$1,,,SUMPRODUCT(MAX(ROW(E$1:E2758)*(E2=E$1:E2758))))))</f>
        <v> </v>
      </c>
      <c r="K2759" s="25" t="str">
        <f>IF(OR(E2759="",E2759="!!!",F2759="NEW"),"",INDEX(J$1:J2758,SUMPRODUCT(MAX(ROW(E$1:E2758)*(E2759=E$1:E2758)))))</f>
        <v> </v>
      </c>
      <c r="L2759" s="26"/>
    </row>
    <row r="2760" spans="1:12">
      <c r="A2760" s="20" t="s">
        <v>576</v>
      </c>
      <c r="E2760" s="21">
        <f>IF(D2760="?OLD","!!!","")</f>
        <v/>
      </c>
      <c r="F2760" s="22" t="str">
        <f>IF(OR(E2760="",E2760="!!!"),"",IF(NOT(ISNA(VLOOKUP(E2760,E$1:E2759,1,FALSE()))),"OLD",IF(AND(E2760&lt;&gt;"",E2760&lt;&gt;"!!!"),"NEW","")))</f>
        <v> </v>
      </c>
      <c r="G2760" s="23" t="str">
        <f>IF(OR(E2760="",E2760="!!!"),"",IF(OR(J2760=0,AND(J2760=1,K2760=1),AND(J2760=1,I2760="SBJ"),AND(J2760=1,I2760=0)),"?IN_FOCUS",IF(J2760&lt;=2,"?ACTIVATED",IF(J2760&lt;&gt;"","?FAMILIAR",IF(F2760="NEW",IF(ISNA(VLOOKUP(E2760,#REF!,1,FALSE())),"?TYPE_IDENTIFIABLE","?REFERENTIAL"),"_")))))</f>
        <v> </v>
      </c>
      <c r="H2760" s="24" t="str">
        <f>IF(J2760&lt;&gt;1,"",IF(I2760="SBJ","CB","?"))</f>
        <v> </v>
      </c>
      <c r="I2760" s="25" t="str">
        <f>IF(OR(E2760="",E2760="!!!",F2760="NEW"),"",INDEX(B2759:B$2,-1+SUMPRODUCT(MAX(ROW(E2759:E$2)*(E2760=E2759:E$2)))))</f>
        <v> </v>
      </c>
      <c r="J2760" s="25" t="str">
        <f>IF(OR(E2760="",E2760="!!!",F2760="NEW"),"",COUNTBLANK(OFFSET(A$1,,,SUMPRODUCT(MAX(ROW(E$2:E2760)*(E2760=E$2:E2760)))))-COUNTBLANK(OFFSET(A$1,,,SUMPRODUCT(MAX(ROW(E$1:E2759)*(E2=E$1:E2759))))))</f>
        <v> </v>
      </c>
      <c r="K2760" s="25" t="str">
        <f>IF(OR(E2760="",E2760="!!!",F2760="NEW"),"",INDEX(J$1:J2759,SUMPRODUCT(MAX(ROW(E$1:E2759)*(E2760=E$1:E2759)))))</f>
        <v> </v>
      </c>
      <c r="L2760" s="26"/>
    </row>
    <row r="2761" spans="1:12">
      <c r="A2761" s="20" t="s">
        <v>1474</v>
      </c>
      <c r="E2761" s="21">
        <f>IF(D2761="?OLD","!!!","")</f>
        <v/>
      </c>
      <c r="F2761" s="22" t="str">
        <f>IF(OR(E2761="",E2761="!!!"),"",IF(NOT(ISNA(VLOOKUP(E2761,E$1:E2760,1,FALSE()))),"OLD",IF(AND(E2761&lt;&gt;"",E2761&lt;&gt;"!!!"),"NEW","")))</f>
        <v> </v>
      </c>
      <c r="G2761" s="23" t="str">
        <f>IF(OR(E2761="",E2761="!!!"),"",IF(OR(J2761=0,AND(J2761=1,K2761=1),AND(J2761=1,I2761="SBJ"),AND(J2761=1,I2761=0)),"?IN_FOCUS",IF(J2761&lt;=2,"?ACTIVATED",IF(J2761&lt;&gt;"","?FAMILIAR",IF(F2761="NEW",IF(ISNA(VLOOKUP(E2761,#REF!,1,FALSE())),"?TYPE_IDENTIFIABLE","?REFERENTIAL"),"_")))))</f>
        <v> </v>
      </c>
      <c r="H2761" s="24" t="str">
        <f>IF(J2761&lt;&gt;1,"",IF(I2761="SBJ","CB","?"))</f>
        <v> </v>
      </c>
      <c r="I2761" s="25" t="str">
        <f>IF(OR(E2761="",E2761="!!!",F2761="NEW"),"",INDEX(B2760:B$2,-1+SUMPRODUCT(MAX(ROW(E2760:E$2)*(E2761=E2760:E$2)))))</f>
        <v> </v>
      </c>
      <c r="J2761" s="25" t="str">
        <f>IF(OR(E2761="",E2761="!!!",F2761="NEW"),"",COUNTBLANK(OFFSET(A$1,,,SUMPRODUCT(MAX(ROW(E$2:E2761)*(E2761=E$2:E2761)))))-COUNTBLANK(OFFSET(A$1,,,SUMPRODUCT(MAX(ROW(E$1:E2760)*(E2=E$1:E2760))))))</f>
        <v> </v>
      </c>
      <c r="K2761" s="25" t="str">
        <f>IF(OR(E2761="",E2761="!!!",F2761="NEW"),"",INDEX(J$1:J2760,SUMPRODUCT(MAX(ROW(E$1:E2760)*(E2761=E$1:E2760)))))</f>
        <v> </v>
      </c>
      <c r="L2761" s="26"/>
    </row>
    <row r="2762" spans="1:12">
      <c r="A2762" s="20" t="s">
        <v>1475</v>
      </c>
      <c r="E2762" s="21">
        <f>IF(D2762="?OLD","!!!","")</f>
        <v/>
      </c>
      <c r="F2762" s="22" t="str">
        <f>IF(OR(E2762="",E2762="!!!"),"",IF(NOT(ISNA(VLOOKUP(E2762,E$1:E2761,1,FALSE()))),"OLD",IF(AND(E2762&lt;&gt;"",E2762&lt;&gt;"!!!"),"NEW","")))</f>
        <v> </v>
      </c>
      <c r="G2762" s="23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4" t="str">
        <f>IF(J2762&lt;&gt;1,"",IF(I2762="SBJ","CB","?"))</f>
        <v> </v>
      </c>
      <c r="I2762" s="25" t="str">
        <f>IF(OR(E2762="",E2762="!!!",F2762="NEW"),"",INDEX(B2761:B$2,-1+SUMPRODUCT(MAX(ROW(E2761:E$2)*(E2762=E2761:E$2)))))</f>
        <v> </v>
      </c>
      <c r="J2762" s="25" t="str">
        <f>IF(OR(E2762="",E2762="!!!",F2762="NEW"),"",COUNTBLANK(OFFSET(A$1,,,SUMPRODUCT(MAX(ROW(E$2:E2762)*(E2762=E$2:E2762)))))-COUNTBLANK(OFFSET(A$1,,,SUMPRODUCT(MAX(ROW(E$1:E2761)*(E2=E$1:E2761))))))</f>
        <v> </v>
      </c>
      <c r="K2762" s="25" t="str">
        <f>IF(OR(E2762="",E2762="!!!",F2762="NEW"),"",INDEX(J$1:J2761,SUMPRODUCT(MAX(ROW(E$1:E2761)*(E2762=E$1:E2761)))))</f>
        <v> </v>
      </c>
      <c r="L2762" s="26"/>
    </row>
    <row r="2763" spans="1:12">
      <c r="A2763" s="20" t="s">
        <v>565</v>
      </c>
      <c r="E2763" s="21">
        <f>IF(D2763="?OLD","!!!","")</f>
        <v/>
      </c>
      <c r="F2763" s="22" t="str">
        <f>IF(OR(E2763="",E2763="!!!"),"",IF(NOT(ISNA(VLOOKUP(E2763,E$1:E2762,1,FALSE()))),"OLD",IF(AND(E2763&lt;&gt;"",E2763&lt;&gt;"!!!"),"NEW","")))</f>
        <v> </v>
      </c>
      <c r="G2763" s="23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4" t="str">
        <f>IF(J2763&lt;&gt;1,"",IF(I2763="SBJ","CB","?"))</f>
        <v> </v>
      </c>
      <c r="I2763" s="25" t="str">
        <f>IF(OR(E2763="",E2763="!!!",F2763="NEW"),"",INDEX(B2762:B$2,-1+SUMPRODUCT(MAX(ROW(E2762:E$2)*(E2763=E2762:E$2)))))</f>
        <v> </v>
      </c>
      <c r="J2763" s="25" t="str">
        <f>IF(OR(E2763="",E2763="!!!",F2763="NEW"),"",COUNTBLANK(OFFSET(A$1,,,SUMPRODUCT(MAX(ROW(E$2:E2763)*(E2763=E$2:E2763)))))-COUNTBLANK(OFFSET(A$1,,,SUMPRODUCT(MAX(ROW(E$1:E2762)*(E2=E$1:E2762))))))</f>
        <v> </v>
      </c>
      <c r="K2763" s="25" t="str">
        <f>IF(OR(E2763="",E2763="!!!",F2763="NEW"),"",INDEX(J$1:J2762,SUMPRODUCT(MAX(ROW(E$1:E2762)*(E2763=E$1:E2762)))))</f>
        <v> </v>
      </c>
      <c r="L2763" s="26"/>
    </row>
    <row r="2764" spans="1:12">
      <c r="A2764" s="20" t="s">
        <v>581</v>
      </c>
      <c r="E2764" s="21">
        <f>IF(D2764="?OLD","!!!","")</f>
        <v/>
      </c>
      <c r="F2764" s="22" t="str">
        <f>IF(OR(E2764="",E2764="!!!"),"",IF(NOT(ISNA(VLOOKUP(E2764,E$1:E2763,1,FALSE()))),"OLD",IF(AND(E2764&lt;&gt;"",E2764&lt;&gt;"!!!"),"NEW","")))</f>
        <v> </v>
      </c>
      <c r="G2764" s="23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4" t="str">
        <f>IF(J2764&lt;&gt;1,"",IF(I2764="SBJ","CB","?"))</f>
        <v> </v>
      </c>
      <c r="I2764" s="25" t="str">
        <f>IF(OR(E2764="",E2764="!!!",F2764="NEW"),"",INDEX(B2763:B$2,-1+SUMPRODUCT(MAX(ROW(E2763:E$2)*(E2764=E2763:E$2)))))</f>
        <v> </v>
      </c>
      <c r="J2764" s="25" t="str">
        <f>IF(OR(E2764="",E2764="!!!",F2764="NEW"),"",COUNTBLANK(OFFSET(A$1,,,SUMPRODUCT(MAX(ROW(E$2:E2764)*(E2764=E$2:E2764)))))-COUNTBLANK(OFFSET(A$1,,,SUMPRODUCT(MAX(ROW(E$1:E2763)*(E2=E$1:E2763))))))</f>
        <v> </v>
      </c>
      <c r="K2764" s="25" t="str">
        <f>IF(OR(E2764="",E2764="!!!",F2764="NEW"),"",INDEX(J$1:J2763,SUMPRODUCT(MAX(ROW(E$1:E2763)*(E2764=E$1:E2763)))))</f>
        <v> </v>
      </c>
      <c r="L2764" s="26"/>
    </row>
    <row r="2765" spans="1:12">
      <c r="A2765" s="20" t="s">
        <v>625</v>
      </c>
      <c r="E2765" s="21">
        <f>IF(D2765="?OLD","!!!","")</f>
        <v/>
      </c>
      <c r="F2765" s="22" t="str">
        <f>IF(OR(E2765="",E2765="!!!"),"",IF(NOT(ISNA(VLOOKUP(E2765,E$1:E2764,1,FALSE()))),"OLD",IF(AND(E2765&lt;&gt;"",E2765&lt;&gt;"!!!"),"NEW","")))</f>
        <v> </v>
      </c>
      <c r="G2765" s="23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4" t="str">
        <f>IF(J2765&lt;&gt;1,"",IF(I2765="SBJ","CB","?"))</f>
        <v> </v>
      </c>
      <c r="I2765" s="25" t="str">
        <f>IF(OR(E2765="",E2765="!!!",F2765="NEW"),"",INDEX(B2764:B$2,-1+SUMPRODUCT(MAX(ROW(E2764:E$2)*(E2765=E2764:E$2)))))</f>
        <v> </v>
      </c>
      <c r="J2765" s="25" t="str">
        <f>IF(OR(E2765="",E2765="!!!",F2765="NEW"),"",COUNTBLANK(OFFSET(A$1,,,SUMPRODUCT(MAX(ROW(E$2:E2765)*(E2765=E$2:E2765)))))-COUNTBLANK(OFFSET(A$1,,,SUMPRODUCT(MAX(ROW(E$1:E2764)*(E2=E$1:E2764))))))</f>
        <v> </v>
      </c>
      <c r="K2765" s="25" t="str">
        <f>IF(OR(E2765="",E2765="!!!",F2765="NEW"),"",INDEX(J$1:J2764,SUMPRODUCT(MAX(ROW(E$1:E2764)*(E2765=E$1:E2764)))))</f>
        <v> </v>
      </c>
      <c r="L2765" s="26"/>
    </row>
    <row r="2766" spans="1:12">
      <c r="A2766" s="20" t="s">
        <v>1476</v>
      </c>
      <c r="E2766" s="21">
        <f>IF(D2766="?OLD","!!!","")</f>
        <v/>
      </c>
      <c r="F2766" s="22" t="str">
        <f>IF(OR(E2766="",E2766="!!!"),"",IF(NOT(ISNA(VLOOKUP(E2766,E$1:E2765,1,FALSE()))),"OLD",IF(AND(E2766&lt;&gt;"",E2766&lt;&gt;"!!!"),"NEW","")))</f>
        <v> </v>
      </c>
      <c r="G2766" s="23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4" t="str">
        <f>IF(J2766&lt;&gt;1,"",IF(I2766="SBJ","CB","?"))</f>
        <v> </v>
      </c>
      <c r="I2766" s="25" t="str">
        <f>IF(OR(E2766="",E2766="!!!",F2766="NEW"),"",INDEX(B2765:B$2,-1+SUMPRODUCT(MAX(ROW(E2765:E$2)*(E2766=E2765:E$2)))))</f>
        <v> </v>
      </c>
      <c r="J2766" s="25" t="str">
        <f>IF(OR(E2766="",E2766="!!!",F2766="NEW"),"",COUNTBLANK(OFFSET(A$1,,,SUMPRODUCT(MAX(ROW(E$2:E2766)*(E2766=E$2:E2766)))))-COUNTBLANK(OFFSET(A$1,,,SUMPRODUCT(MAX(ROW(E$1:E2765)*(E2=E$1:E2765))))))</f>
        <v> </v>
      </c>
      <c r="K2766" s="25" t="str">
        <f>IF(OR(E2766="",E2766="!!!",F2766="NEW"),"",INDEX(J$1:J2765,SUMPRODUCT(MAX(ROW(E$1:E2765)*(E2766=E$1:E2765)))))</f>
        <v> </v>
      </c>
      <c r="L2766" s="26"/>
    </row>
    <row r="2767" spans="1:12">
      <c r="A2767" s="20" t="s">
        <v>1477</v>
      </c>
      <c r="B2767" s="27" t="s">
        <v>618</v>
      </c>
      <c r="C2767" s="27" t="s">
        <v>564</v>
      </c>
      <c r="E2767" s="21">
        <f>IF(D2767="?OLD","!!!","")</f>
        <v/>
      </c>
      <c r="F2767" s="22" t="str">
        <f>IF(OR(E2767="",E2767="!!!"),"",IF(NOT(ISNA(VLOOKUP(E2767,E$1:E2766,1,FALSE()))),"OLD",IF(AND(E2767&lt;&gt;"",E2767&lt;&gt;"!!!"),"NEW","")))</f>
        <v> </v>
      </c>
      <c r="G2767" s="23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4" t="str">
        <f>IF(J2767&lt;&gt;1,"",IF(I2767="SBJ","CB","?"))</f>
        <v> </v>
      </c>
      <c r="I2767" s="25" t="str">
        <f>IF(OR(E2767="",E2767="!!!",F2767="NEW"),"",INDEX(B2766:B$2,-1+SUMPRODUCT(MAX(ROW(E2766:E$2)*(E2767=E2766:E$2)))))</f>
        <v> </v>
      </c>
      <c r="J2767" s="25" t="str">
        <f>IF(OR(E2767="",E2767="!!!",F2767="NEW"),"",COUNTBLANK(OFFSET(A$1,,,SUMPRODUCT(MAX(ROW(E$2:E2767)*(E2767=E$2:E2767)))))-COUNTBLANK(OFFSET(A$1,,,SUMPRODUCT(MAX(ROW(E$1:E2766)*(E2=E$1:E2766))))))</f>
        <v> </v>
      </c>
      <c r="K2767" s="25" t="str">
        <f>IF(OR(E2767="",E2767="!!!",F2767="NEW"),"",INDEX(J$1:J2766,SUMPRODUCT(MAX(ROW(E$1:E2766)*(E2767=E$1:E2766)))))</f>
        <v> </v>
      </c>
      <c r="L2767" s="26"/>
    </row>
    <row r="2768" spans="1:12">
      <c r="A2768" s="20" t="s">
        <v>1478</v>
      </c>
      <c r="B2768" s="27" t="s">
        <v>943</v>
      </c>
      <c r="C2768" s="27" t="s">
        <v>564</v>
      </c>
      <c r="E2768" s="21">
        <f>IF(D2768="?OLD","!!!","")</f>
        <v/>
      </c>
      <c r="F2768" s="22" t="str">
        <f>IF(OR(E2768="",E2768="!!!"),"",IF(NOT(ISNA(VLOOKUP(E2768,E$1:E2767,1,FALSE()))),"OLD",IF(AND(E2768&lt;&gt;"",E2768&lt;&gt;"!!!"),"NEW","")))</f>
        <v> </v>
      </c>
      <c r="G2768" s="23" t="str">
        <f>IF(OR(E2768="",E2768="!!!"),"",IF(OR(J2768=0,AND(J2768=1,K2768=1),AND(J2768=1,I2768="SBJ"),AND(J2768=1,I2768=0)),"?IN_FOCUS",IF(J2768&lt;=2,"?ACTIVATED",IF(J2768&lt;&gt;"","?FAMILIAR",IF(F2768="NEW",IF(ISNA(VLOOKUP(E2768,#REF!,1,FALSE())),"?TYPE_IDENTIFIABLE","?REFERENTIAL"),"_")))))</f>
        <v> </v>
      </c>
      <c r="H2768" s="24" t="str">
        <f>IF(J2768&lt;&gt;1,"",IF(I2768="SBJ","CB","?"))</f>
        <v> </v>
      </c>
      <c r="I2768" s="25" t="str">
        <f>IF(OR(E2768="",E2768="!!!",F2768="NEW"),"",INDEX(B2767:B$2,-1+SUMPRODUCT(MAX(ROW(E2767:E$2)*(E2768=E2767:E$2)))))</f>
        <v> </v>
      </c>
      <c r="J2768" s="25" t="str">
        <f>IF(OR(E2768="",E2768="!!!",F2768="NEW"),"",COUNTBLANK(OFFSET(A$1,,,SUMPRODUCT(MAX(ROW(E$2:E2768)*(E2768=E$2:E2768)))))-COUNTBLANK(OFFSET(A$1,,,SUMPRODUCT(MAX(ROW(E$1:E2767)*(E2=E$1:E2767))))))</f>
        <v> </v>
      </c>
      <c r="K2768" s="25" t="str">
        <f>IF(OR(E2768="",E2768="!!!",F2768="NEW"),"",INDEX(J$1:J2767,SUMPRODUCT(MAX(ROW(E$1:E2767)*(E2768=E$1:E2767)))))</f>
        <v> </v>
      </c>
      <c r="L2768" s="26"/>
    </row>
    <row r="2769" spans="1:12">
      <c r="A2769" s="20" t="s">
        <v>1479</v>
      </c>
      <c r="E2769" s="21">
        <f>IF(D2769="?OLD","!!!","")</f>
        <v/>
      </c>
      <c r="F2769" s="22" t="str">
        <f>IF(OR(E2769="",E2769="!!!"),"",IF(NOT(ISNA(VLOOKUP(E2769,E$1:E2768,1,FALSE()))),"OLD",IF(AND(E2769&lt;&gt;"",E2769&lt;&gt;"!!!"),"NEW","")))</f>
        <v> </v>
      </c>
      <c r="G2769" s="23" t="str">
        <f>IF(OR(E2769="",E2769="!!!"),"",IF(OR(J2769=0,AND(J2769=1,K2769=1),AND(J2769=1,I2769="SBJ"),AND(J2769=1,I2769=0)),"?IN_FOCUS",IF(J2769&lt;=2,"?ACTIVATED",IF(J2769&lt;&gt;"","?FAMILIAR",IF(F2769="NEW",IF(ISNA(VLOOKUP(E2769,#REF!,1,FALSE())),"?TYPE_IDENTIFIABLE","?REFERENTIAL"),"_")))))</f>
        <v> </v>
      </c>
      <c r="H2769" s="24" t="str">
        <f>IF(J2769&lt;&gt;1,"",IF(I2769="SBJ","CB","?"))</f>
        <v> </v>
      </c>
      <c r="I2769" s="25" t="str">
        <f>IF(OR(E2769="",E2769="!!!",F2769="NEW"),"",INDEX(B2768:B$2,-1+SUMPRODUCT(MAX(ROW(E2768:E$2)*(E2769=E2768:E$2)))))</f>
        <v> </v>
      </c>
      <c r="J2769" s="25" t="str">
        <f>IF(OR(E2769="",E2769="!!!",F2769="NEW"),"",COUNTBLANK(OFFSET(A$1,,,SUMPRODUCT(MAX(ROW(E$2:E2769)*(E2769=E$2:E2769)))))-COUNTBLANK(OFFSET(A$1,,,SUMPRODUCT(MAX(ROW(E$1:E2768)*(E2=E$1:E2768))))))</f>
        <v> </v>
      </c>
      <c r="K2769" s="25" t="str">
        <f>IF(OR(E2769="",E2769="!!!",F2769="NEW"),"",INDEX(J$1:J2768,SUMPRODUCT(MAX(ROW(E$1:E2768)*(E2769=E$1:E2768)))))</f>
        <v> </v>
      </c>
      <c r="L2769" s="26"/>
    </row>
    <row r="2770" spans="1:12">
      <c r="A2770" s="20" t="s">
        <v>518</v>
      </c>
      <c r="E2770" s="21">
        <f>IF(D2770="?OLD","!!!","")</f>
        <v/>
      </c>
      <c r="F2770" s="22" t="str">
        <f>IF(OR(E2770="",E2770="!!!"),"",IF(NOT(ISNA(VLOOKUP(E2770,E$1:E2769,1,FALSE()))),"OLD",IF(AND(E2770&lt;&gt;"",E2770&lt;&gt;"!!!"),"NEW","")))</f>
        <v> </v>
      </c>
      <c r="G2770" s="23" t="str">
        <f>IF(OR(E2770="",E2770="!!!"),"",IF(OR(J2770=0,AND(J2770=1,K2770=1),AND(J2770=1,I2770="SBJ"),AND(J2770=1,I2770=0)),"?IN_FOCUS",IF(J2770&lt;=2,"?ACTIVATED",IF(J2770&lt;&gt;"","?FAMILIAR",IF(F2770="NEW",IF(ISNA(VLOOKUP(E2770,#REF!,1,FALSE())),"?TYPE_IDENTIFIABLE","?REFERENTIAL"),"_")))))</f>
        <v> </v>
      </c>
      <c r="H2770" s="24" t="str">
        <f>IF(J2770&lt;&gt;1,"",IF(I2770="SBJ","CB","?"))</f>
        <v> </v>
      </c>
      <c r="I2770" s="25" t="str">
        <f>IF(OR(E2770="",E2770="!!!",F2770="NEW"),"",INDEX(B2769:B$2,-1+SUMPRODUCT(MAX(ROW(E2769:E$2)*(E2770=E2769:E$2)))))</f>
        <v> </v>
      </c>
      <c r="J2770" s="25" t="str">
        <f>IF(OR(E2770="",E2770="!!!",F2770="NEW"),"",COUNTBLANK(OFFSET(A$1,,,SUMPRODUCT(MAX(ROW(E$2:E2770)*(E2770=E$2:E2770)))))-COUNTBLANK(OFFSET(A$1,,,SUMPRODUCT(MAX(ROW(E$1:E2769)*(E2=E$1:E2769))))))</f>
        <v> </v>
      </c>
      <c r="K2770" s="25" t="str">
        <f>IF(OR(E2770="",E2770="!!!",F2770="NEW"),"",INDEX(J$1:J2769,SUMPRODUCT(MAX(ROW(E$1:E2769)*(E2770=E$1:E2769)))))</f>
        <v> </v>
      </c>
      <c r="L2770" s="26"/>
    </row>
    <row r="2771" spans="1:12">
      <c r="A2771" s="20" t="s">
        <v>690</v>
      </c>
      <c r="B2771" s="27" t="s">
        <v>945</v>
      </c>
      <c r="C2771" s="27" t="s">
        <v>523</v>
      </c>
      <c r="D2771" s="27" t="s">
        <v>524</v>
      </c>
      <c r="E2771" s="21">
        <f>IF(D2771="?OLD","!!!","")</f>
        <v/>
      </c>
      <c r="F2771" s="22" t="str">
        <f>IF(OR(E2771="",E2771="!!!"),"",IF(NOT(ISNA(VLOOKUP(E2771,E$1:E2770,1,FALSE()))),"OLD",IF(AND(E2771&lt;&gt;"",E2771&lt;&gt;"!!!"),"NEW","")))</f>
        <v> </v>
      </c>
      <c r="G2771" s="23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4" t="str">
        <f>IF(J2771&lt;&gt;1,"",IF(I2771="SBJ","CB","?"))</f>
        <v> </v>
      </c>
      <c r="I2771" s="25" t="str">
        <f>IF(OR(E2771="",E2771="!!!",F2771="NEW"),"",INDEX(B2770:B$2,-1+SUMPRODUCT(MAX(ROW(E2770:E$2)*(E2771=E2770:E$2)))))</f>
        <v> </v>
      </c>
      <c r="J2771" s="25" t="str">
        <f>IF(OR(E2771="",E2771="!!!",F2771="NEW"),"",COUNTBLANK(OFFSET(A$1,,,SUMPRODUCT(MAX(ROW(E$2:E2771)*(E2771=E$2:E2771)))))-COUNTBLANK(OFFSET(A$1,,,SUMPRODUCT(MAX(ROW(E$1:E2770)*(E2=E$1:E2770))))))</f>
        <v> </v>
      </c>
      <c r="K2771" s="25" t="str">
        <f>IF(OR(E2771="",E2771="!!!",F2771="NEW"),"",INDEX(J$1:J2770,SUMPRODUCT(MAX(ROW(E$1:E2770)*(E2771=E$1:E2770)))))</f>
        <v> </v>
      </c>
      <c r="L2771" s="26"/>
    </row>
    <row r="2772" spans="1:12">
      <c r="A2772" s="20" t="s">
        <v>538</v>
      </c>
      <c r="E2772" s="21">
        <f>IF(D2772="?OLD","!!!","")</f>
        <v/>
      </c>
      <c r="F2772" s="22" t="str">
        <f>IF(OR(E2772="",E2772="!!!"),"",IF(NOT(ISNA(VLOOKUP(E2772,E$1:E2771,1,FALSE()))),"OLD",IF(AND(E2772&lt;&gt;"",E2772&lt;&gt;"!!!"),"NEW","")))</f>
        <v> </v>
      </c>
      <c r="G2772" s="23" t="str">
        <f>IF(OR(E2772="",E2772="!!!"),"",IF(OR(J2772=0,AND(J2772=1,K2772=1),AND(J2772=1,I2772="SBJ"),AND(J2772=1,I2772=0)),"?IN_FOCUS",IF(J2772&lt;=2,"?ACTIVATED",IF(J2772&lt;&gt;"","?FAMILIAR",IF(F2772="NEW",IF(ISNA(VLOOKUP(E2772,#REF!,1,FALSE())),"?TYPE_IDENTIFIABLE","?REFERENTIAL"),"_")))))</f>
        <v> </v>
      </c>
      <c r="H2772" s="24" t="str">
        <f>IF(J2772&lt;&gt;1,"",IF(I2772="SBJ","CB","?"))</f>
        <v> </v>
      </c>
      <c r="I2772" s="25" t="str">
        <f>IF(OR(E2772="",E2772="!!!",F2772="NEW"),"",INDEX(B2771:B$2,-1+SUMPRODUCT(MAX(ROW(E2771:E$2)*(E2772=E2771:E$2)))))</f>
        <v> </v>
      </c>
      <c r="J2772" s="25" t="str">
        <f>IF(OR(E2772="",E2772="!!!",F2772="NEW"),"",COUNTBLANK(OFFSET(A$1,,,SUMPRODUCT(MAX(ROW(E$2:E2772)*(E2772=E$2:E2772)))))-COUNTBLANK(OFFSET(A$1,,,SUMPRODUCT(MAX(ROW(E$1:E2771)*(E2=E$1:E2771))))))</f>
        <v> </v>
      </c>
      <c r="K2772" s="25" t="str">
        <f>IF(OR(E2772="",E2772="!!!",F2772="NEW"),"",INDEX(J$1:J2771,SUMPRODUCT(MAX(ROW(E$1:E2771)*(E2772=E$1:E2771)))))</f>
        <v> </v>
      </c>
      <c r="L2772" s="26"/>
    </row>
    <row r="2773" spans="1:12">
      <c r="A2773" s="20" t="s">
        <v>1480</v>
      </c>
      <c r="B2773" s="27" t="s">
        <v>624</v>
      </c>
      <c r="C2773" s="27" t="s">
        <v>540</v>
      </c>
      <c r="D2773" s="27" t="s">
        <v>524</v>
      </c>
      <c r="E2773" s="21">
        <f>IF(D2773="?OLD","!!!","")</f>
        <v/>
      </c>
      <c r="F2773" s="22" t="str">
        <f>IF(OR(E2773="",E2773="!!!"),"",IF(NOT(ISNA(VLOOKUP(E2773,E$1:E2772,1,FALSE()))),"OLD",IF(AND(E2773&lt;&gt;"",E2773&lt;&gt;"!!!"),"NEW","")))</f>
        <v> </v>
      </c>
      <c r="G2773" s="23" t="str">
        <f>IF(OR(E2773="",E2773="!!!"),"",IF(OR(J2773=0,AND(J2773=1,K2773=1),AND(J2773=1,I2773="SBJ"),AND(J2773=1,I2773=0)),"?IN_FOCUS",IF(J2773&lt;=2,"?ACTIVATED",IF(J2773&lt;&gt;"","?FAMILIAR",IF(F2773="NEW",IF(ISNA(VLOOKUP(E2773,#REF!,1,FALSE())),"?TYPE_IDENTIFIABLE","?REFERENTIAL"),"_")))))</f>
        <v> </v>
      </c>
      <c r="H2773" s="24" t="str">
        <f>IF(J2773&lt;&gt;1,"",IF(I2773="SBJ","CB","?"))</f>
        <v> </v>
      </c>
      <c r="I2773" s="25" t="str">
        <f>IF(OR(E2773="",E2773="!!!",F2773="NEW"),"",INDEX(B2772:B$2,-1+SUMPRODUCT(MAX(ROW(E2772:E$2)*(E2773=E2772:E$2)))))</f>
        <v> </v>
      </c>
      <c r="J2773" s="25" t="str">
        <f>IF(OR(E2773="",E2773="!!!",F2773="NEW"),"",COUNTBLANK(OFFSET(A$1,,,SUMPRODUCT(MAX(ROW(E$2:E2773)*(E2773=E$2:E2773)))))-COUNTBLANK(OFFSET(A$1,,,SUMPRODUCT(MAX(ROW(E$1:E2772)*(E2=E$1:E2772))))))</f>
        <v> </v>
      </c>
      <c r="K2773" s="25" t="str">
        <f>IF(OR(E2773="",E2773="!!!",F2773="NEW"),"",INDEX(J$1:J2772,SUMPRODUCT(MAX(ROW(E$1:E2772)*(E2773=E$1:E2772)))))</f>
        <v> </v>
      </c>
      <c r="L2773" s="26"/>
    </row>
    <row r="2774" spans="1:12">
      <c r="A2774" s="20" t="s">
        <v>549</v>
      </c>
      <c r="E2774" s="21">
        <f>IF(D2774="?OLD","!!!","")</f>
        <v/>
      </c>
      <c r="F2774" s="22" t="str">
        <f>IF(OR(E2774="",E2774="!!!"),"",IF(NOT(ISNA(VLOOKUP(E2774,E$1:E2773,1,FALSE()))),"OLD",IF(AND(E2774&lt;&gt;"",E2774&lt;&gt;"!!!"),"NEW","")))</f>
        <v> </v>
      </c>
      <c r="G2774" s="23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4" t="str">
        <f>IF(J2774&lt;&gt;1,"",IF(I2774="SBJ","CB","?"))</f>
        <v> </v>
      </c>
      <c r="I2774" s="25" t="str">
        <f>IF(OR(E2774="",E2774="!!!",F2774="NEW"),"",INDEX(B2773:B$2,-1+SUMPRODUCT(MAX(ROW(E2773:E$2)*(E2774=E2773:E$2)))))</f>
        <v> </v>
      </c>
      <c r="J2774" s="25" t="str">
        <f>IF(OR(E2774="",E2774="!!!",F2774="NEW"),"",COUNTBLANK(OFFSET(A$1,,,SUMPRODUCT(MAX(ROW(E$2:E2774)*(E2774=E$2:E2774)))))-COUNTBLANK(OFFSET(A$1,,,SUMPRODUCT(MAX(ROW(E$1:E2773)*(E2=E$1:E2773))))))</f>
        <v> </v>
      </c>
      <c r="K2774" s="25" t="str">
        <f>IF(OR(E2774="",E2774="!!!",F2774="NEW"),"",INDEX(J$1:J2773,SUMPRODUCT(MAX(ROW(E$1:E2773)*(E2774=E$1:E2773)))))</f>
        <v> </v>
      </c>
      <c r="L2774" s="26"/>
    </row>
    <row r="2775" spans="1:12">
      <c r="A2775" s="20" t="s">
        <v>581</v>
      </c>
      <c r="E2775" s="21">
        <f>IF(D2775="?OLD","!!!","")</f>
        <v/>
      </c>
      <c r="F2775" s="22" t="str">
        <f>IF(OR(E2775="",E2775="!!!"),"",IF(NOT(ISNA(VLOOKUP(E2775,E$1:E2774,1,FALSE()))),"OLD",IF(AND(E2775&lt;&gt;"",E2775&lt;&gt;"!!!"),"NEW","")))</f>
        <v> </v>
      </c>
      <c r="G2775" s="23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4" t="str">
        <f>IF(J2775&lt;&gt;1,"",IF(I2775="SBJ","CB","?"))</f>
        <v> </v>
      </c>
      <c r="I2775" s="25" t="str">
        <f>IF(OR(E2775="",E2775="!!!",F2775="NEW"),"",INDEX(B2774:B$2,-1+SUMPRODUCT(MAX(ROW(E2774:E$2)*(E2775=E2774:E$2)))))</f>
        <v> </v>
      </c>
      <c r="J2775" s="25" t="str">
        <f>IF(OR(E2775="",E2775="!!!",F2775="NEW"),"",COUNTBLANK(OFFSET(A$1,,,SUMPRODUCT(MAX(ROW(E$2:E2775)*(E2775=E$2:E2775)))))-COUNTBLANK(OFFSET(A$1,,,SUMPRODUCT(MAX(ROW(E$1:E2774)*(E2=E$1:E2774))))))</f>
        <v> </v>
      </c>
      <c r="K2775" s="25" t="str">
        <f>IF(OR(E2775="",E2775="!!!",F2775="NEW"),"",INDEX(J$1:J2774,SUMPRODUCT(MAX(ROW(E$1:E2774)*(E2775=E$1:E2774)))))</f>
        <v> </v>
      </c>
      <c r="L2775" s="26"/>
    </row>
    <row r="2776" spans="1:12">
      <c r="A2776" s="20" t="s">
        <v>1338</v>
      </c>
      <c r="E2776" s="21">
        <f>IF(D2776="?OLD","!!!","")</f>
        <v/>
      </c>
      <c r="F2776" s="22" t="str">
        <f>IF(OR(E2776="",E2776="!!!"),"",IF(NOT(ISNA(VLOOKUP(E2776,E$1:E2775,1,FALSE()))),"OLD",IF(AND(E2776&lt;&gt;"",E2776&lt;&gt;"!!!"),"NEW","")))</f>
        <v> </v>
      </c>
      <c r="G2776" s="23" t="str">
        <f>IF(OR(E2776="",E2776="!!!"),"",IF(OR(J2776=0,AND(J2776=1,K2776=1),AND(J2776=1,I2776="SBJ"),AND(J2776=1,I2776=0)),"?IN_FOCUS",IF(J2776&lt;=2,"?ACTIVATED",IF(J2776&lt;&gt;"","?FAMILIAR",IF(F2776="NEW",IF(ISNA(VLOOKUP(E2776,#REF!,1,FALSE())),"?TYPE_IDENTIFIABLE","?REFERENTIAL"),"_")))))</f>
        <v> </v>
      </c>
      <c r="H2776" s="24" t="str">
        <f>IF(J2776&lt;&gt;1,"",IF(I2776="SBJ","CB","?"))</f>
        <v> </v>
      </c>
      <c r="I2776" s="25" t="str">
        <f>IF(OR(E2776="",E2776="!!!",F2776="NEW"),"",INDEX(B2775:B$2,-1+SUMPRODUCT(MAX(ROW(E2775:E$2)*(E2776=E2775:E$2)))))</f>
        <v> </v>
      </c>
      <c r="J2776" s="25" t="str">
        <f>IF(OR(E2776="",E2776="!!!",F2776="NEW"),"",COUNTBLANK(OFFSET(A$1,,,SUMPRODUCT(MAX(ROW(E$2:E2776)*(E2776=E$2:E2776)))))-COUNTBLANK(OFFSET(A$1,,,SUMPRODUCT(MAX(ROW(E$1:E2775)*(E2=E$1:E2775))))))</f>
        <v> </v>
      </c>
      <c r="K2776" s="25" t="str">
        <f>IF(OR(E2776="",E2776="!!!",F2776="NEW"),"",INDEX(J$1:J2775,SUMPRODUCT(MAX(ROW(E$1:E2775)*(E2776=E$1:E2775)))))</f>
        <v> </v>
      </c>
      <c r="L2776" s="26"/>
    </row>
    <row r="2777" spans="1:12">
      <c r="A2777" s="20" t="s">
        <v>1481</v>
      </c>
      <c r="B2777" s="27" t="s">
        <v>945</v>
      </c>
      <c r="C2777" s="27" t="s">
        <v>564</v>
      </c>
      <c r="E2777" s="21">
        <f>IF(D2777="?OLD","!!!","")</f>
        <v/>
      </c>
      <c r="F2777" s="22" t="str">
        <f>IF(OR(E2777="",E2777="!!!"),"",IF(NOT(ISNA(VLOOKUP(E2777,E$1:E2776,1,FALSE()))),"OLD",IF(AND(E2777&lt;&gt;"",E2777&lt;&gt;"!!!"),"NEW","")))</f>
        <v> </v>
      </c>
      <c r="G2777" s="23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4" t="str">
        <f>IF(J2777&lt;&gt;1,"",IF(I2777="SBJ","CB","?"))</f>
        <v> </v>
      </c>
      <c r="I2777" s="25" t="str">
        <f>IF(OR(E2777="",E2777="!!!",F2777="NEW"),"",INDEX(B2776:B$2,-1+SUMPRODUCT(MAX(ROW(E2776:E$2)*(E2777=E2776:E$2)))))</f>
        <v> </v>
      </c>
      <c r="J2777" s="25" t="str">
        <f>IF(OR(E2777="",E2777="!!!",F2777="NEW"),"",COUNTBLANK(OFFSET(A$1,,,SUMPRODUCT(MAX(ROW(E$2:E2777)*(E2777=E$2:E2777)))))-COUNTBLANK(OFFSET(A$1,,,SUMPRODUCT(MAX(ROW(E$1:E2776)*(E2=E$1:E2776))))))</f>
        <v> </v>
      </c>
      <c r="K2777" s="25" t="str">
        <f>IF(OR(E2777="",E2777="!!!",F2777="NEW"),"",INDEX(J$1:J2776,SUMPRODUCT(MAX(ROW(E$1:E2776)*(E2777=E$1:E2776)))))</f>
        <v> </v>
      </c>
      <c r="L2777" s="26"/>
    </row>
    <row r="2778" spans="1:12">
      <c r="A2778" s="20" t="s">
        <v>1340</v>
      </c>
      <c r="E2778" s="21">
        <f>IF(D2778="?OLD","!!!","")</f>
        <v/>
      </c>
      <c r="F2778" s="22" t="str">
        <f>IF(OR(E2778="",E2778="!!!"),"",IF(NOT(ISNA(VLOOKUP(E2778,E$1:E2777,1,FALSE()))),"OLD",IF(AND(E2778&lt;&gt;"",E2778&lt;&gt;"!!!"),"NEW","")))</f>
        <v> </v>
      </c>
      <c r="G2778" s="23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4" t="str">
        <f>IF(J2778&lt;&gt;1,"",IF(I2778="SBJ","CB","?"))</f>
        <v> </v>
      </c>
      <c r="I2778" s="25" t="str">
        <f>IF(OR(E2778="",E2778="!!!",F2778="NEW"),"",INDEX(B2777:B$2,-1+SUMPRODUCT(MAX(ROW(E2777:E$2)*(E2778=E2777:E$2)))))</f>
        <v> </v>
      </c>
      <c r="J2778" s="25" t="str">
        <f>IF(OR(E2778="",E2778="!!!",F2778="NEW"),"",COUNTBLANK(OFFSET(A$1,,,SUMPRODUCT(MAX(ROW(E$2:E2778)*(E2778=E$2:E2778)))))-COUNTBLANK(OFFSET(A$1,,,SUMPRODUCT(MAX(ROW(E$1:E2777)*(E2=E$1:E2777))))))</f>
        <v> </v>
      </c>
      <c r="K2778" s="25" t="str">
        <f>IF(OR(E2778="",E2778="!!!",F2778="NEW"),"",INDEX(J$1:J2777,SUMPRODUCT(MAX(ROW(E$1:E2777)*(E2778=E$1:E2777)))))</f>
        <v> </v>
      </c>
      <c r="L2778" s="26"/>
    </row>
    <row r="2779" spans="1:12">
      <c r="A2779" s="20"/>
    </row>
    <row r="2780" spans="1:12">
      <c r="A2780" s="20" t="s">
        <v>1482</v>
      </c>
    </row>
    <row r="2781" spans="1:12">
      <c r="A2781" s="20" t="s">
        <v>11</v>
      </c>
      <c r="E2781" s="21">
        <f>IF(D2781="?OLD","!!!","")</f>
        <v/>
      </c>
      <c r="F2781" s="22" t="str">
        <f>IF(OR(E2781="",E2781="!!!"),"",IF(NOT(ISNA(VLOOKUP(E2781,E$1:E2780,1,FALSE()))),"OLD",IF(AND(E2781&lt;&gt;"",E2781&lt;&gt;"!!!"),"NEW","")))</f>
        <v> </v>
      </c>
      <c r="G2781" s="23" t="str">
        <f>IF(OR(E2781="",E2781="!!!"),"",IF(OR(J2781=0,AND(J2781=1,K2781=1),AND(J2781=1,I2781="SBJ"),AND(J2781=1,I2781=0)),"?IN_FOCUS",IF(J2781&lt;=2,"?ACTIVATED",IF(J2781&lt;&gt;"","?FAMILIAR",IF(F2781="NEW",IF(ISNA(VLOOKUP(E2781,#REF!,1,FALSE())),"?TYPE_IDENTIFIABLE","?REFERENTIAL"),"_")))))</f>
        <v> </v>
      </c>
      <c r="H2781" s="24" t="str">
        <f>IF(J2781&lt;&gt;1,"",IF(I2781="SBJ","CB","?"))</f>
        <v> </v>
      </c>
      <c r="I2781" s="25" t="str">
        <f>IF(OR(E2781="",E2781="!!!",F2781="NEW"),"",INDEX(B2780:B$2,-1+SUMPRODUCT(MAX(ROW(E2780:E$2)*(E2781=E2780:E$2)))))</f>
        <v> </v>
      </c>
      <c r="J2781" s="25" t="str">
        <f>IF(OR(E2781="",E2781="!!!",F2781="NEW"),"",COUNTBLANK(OFFSET(A$1,,,SUMPRODUCT(MAX(ROW(E$2:E2781)*(E2781=E$2:E2781)))))-COUNTBLANK(OFFSET(A$1,,,SUMPRODUCT(MAX(ROW(E$1:E2780)*(E2=E$1:E2780))))))</f>
        <v> </v>
      </c>
      <c r="K2781" s="25" t="str">
        <f>IF(OR(E2781="",E2781="!!!",F2781="NEW"),"",INDEX(J$1:J2780,SUMPRODUCT(MAX(ROW(E$1:E2780)*(E2781=E$1:E2780)))))</f>
        <v> </v>
      </c>
      <c r="L2781" s="26"/>
    </row>
    <row r="2782" spans="1:12">
      <c r="A2782" s="20" t="s">
        <v>429</v>
      </c>
      <c r="E2782" s="21">
        <f>IF(D2782="?OLD","!!!","")</f>
        <v/>
      </c>
      <c r="F2782" s="22" t="str">
        <f>IF(OR(E2782="",E2782="!!!"),"",IF(NOT(ISNA(VLOOKUP(E2782,E$1:E2781,1,FALSE()))),"OLD",IF(AND(E2782&lt;&gt;"",E2782&lt;&gt;"!!!"),"NEW","")))</f>
        <v> </v>
      </c>
      <c r="G2782" s="23" t="str">
        <f>IF(OR(E2782="",E2782="!!!"),"",IF(OR(J2782=0,AND(J2782=1,K2782=1),AND(J2782=1,I2782="SBJ"),AND(J2782=1,I2782=0)),"?IN_FOCUS",IF(J2782&lt;=2,"?ACTIVATED",IF(J2782&lt;&gt;"","?FAMILIAR",IF(F2782="NEW",IF(ISNA(VLOOKUP(E2782,#REF!,1,FALSE())),"?TYPE_IDENTIFIABLE","?REFERENTIAL"),"_")))))</f>
        <v> </v>
      </c>
      <c r="H2782" s="24" t="str">
        <f>IF(J2782&lt;&gt;1,"",IF(I2782="SBJ","CB","?"))</f>
        <v> </v>
      </c>
      <c r="I2782" s="25" t="str">
        <f>IF(OR(E2782="",E2782="!!!",F2782="NEW"),"",INDEX(B2781:B$2,-1+SUMPRODUCT(MAX(ROW(E2781:E$2)*(E2782=E2781:E$2)))))</f>
        <v> </v>
      </c>
      <c r="J2782" s="25" t="str">
        <f>IF(OR(E2782="",E2782="!!!",F2782="NEW"),"",COUNTBLANK(OFFSET(A$1,,,SUMPRODUCT(MAX(ROW(E$2:E2782)*(E2782=E$2:E2782)))))-COUNTBLANK(OFFSET(A$1,,,SUMPRODUCT(MAX(ROW(E$1:E2781)*(E2=E$1:E2781))))))</f>
        <v> </v>
      </c>
      <c r="K2782" s="25" t="str">
        <f>IF(OR(E2782="",E2782="!!!",F2782="NEW"),"",INDEX(J$1:J2781,SUMPRODUCT(MAX(ROW(E$1:E2781)*(E2782=E$1:E2781)))))</f>
        <v> </v>
      </c>
      <c r="L2782" s="26"/>
    </row>
    <row r="2783" spans="1:12">
      <c r="A2783" s="20" t="s">
        <v>1483</v>
      </c>
      <c r="E2783" s="21">
        <f>IF(D2783="?OLD","!!!","")</f>
        <v/>
      </c>
      <c r="F2783" s="22" t="str">
        <f>IF(OR(E2783="",E2783="!!!"),"",IF(NOT(ISNA(VLOOKUP(E2783,E$1:E2782,1,FALSE()))),"OLD",IF(AND(E2783&lt;&gt;"",E2783&lt;&gt;"!!!"),"NEW","")))</f>
        <v> </v>
      </c>
      <c r="G2783" s="23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4" t="str">
        <f>IF(J2783&lt;&gt;1,"",IF(I2783="SBJ","CB","?"))</f>
        <v> </v>
      </c>
      <c r="I2783" s="25" t="str">
        <f>IF(OR(E2783="",E2783="!!!",F2783="NEW"),"",INDEX(B2782:B$2,-1+SUMPRODUCT(MAX(ROW(E2782:E$2)*(E2783=E2782:E$2)))))</f>
        <v> </v>
      </c>
      <c r="J2783" s="25" t="str">
        <f>IF(OR(E2783="",E2783="!!!",F2783="NEW"),"",COUNTBLANK(OFFSET(A$1,,,SUMPRODUCT(MAX(ROW(E$2:E2783)*(E2783=E$2:E2783)))))-COUNTBLANK(OFFSET(A$1,,,SUMPRODUCT(MAX(ROW(E$1:E2782)*(E2=E$1:E2782))))))</f>
        <v> </v>
      </c>
      <c r="K2783" s="25" t="str">
        <f>IF(OR(E2783="",E2783="!!!",F2783="NEW"),"",INDEX(J$1:J2782,SUMPRODUCT(MAX(ROW(E$1:E2782)*(E2783=E$1:E2782)))))</f>
        <v> </v>
      </c>
      <c r="L2783" s="26"/>
    </row>
    <row r="2784" spans="1:12">
      <c r="A2784" s="20" t="s">
        <v>751</v>
      </c>
      <c r="E2784" s="21">
        <f>IF(D2784="?OLD","!!!","")</f>
        <v/>
      </c>
      <c r="F2784" s="22" t="str">
        <f>IF(OR(E2784="",E2784="!!!"),"",IF(NOT(ISNA(VLOOKUP(E2784,E$1:E2783,1,FALSE()))),"OLD",IF(AND(E2784&lt;&gt;"",E2784&lt;&gt;"!!!"),"NEW","")))</f>
        <v> </v>
      </c>
      <c r="G2784" s="23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4" t="str">
        <f>IF(J2784&lt;&gt;1,"",IF(I2784="SBJ","CB","?"))</f>
        <v> </v>
      </c>
      <c r="I2784" s="25" t="str">
        <f>IF(OR(E2784="",E2784="!!!",F2784="NEW"),"",INDEX(B2783:B$2,-1+SUMPRODUCT(MAX(ROW(E2783:E$2)*(E2784=E2783:E$2)))))</f>
        <v> </v>
      </c>
      <c r="J2784" s="25" t="str">
        <f>IF(OR(E2784="",E2784="!!!",F2784="NEW"),"",COUNTBLANK(OFFSET(A$1,,,SUMPRODUCT(MAX(ROW(E$2:E2784)*(E2784=E$2:E2784)))))-COUNTBLANK(OFFSET(A$1,,,SUMPRODUCT(MAX(ROW(E$1:E2783)*(E2=E$1:E2783))))))</f>
        <v> </v>
      </c>
      <c r="K2784" s="25" t="str">
        <f>IF(OR(E2784="",E2784="!!!",F2784="NEW"),"",INDEX(J$1:J2783,SUMPRODUCT(MAX(ROW(E$1:E2783)*(E2784=E$1:E2783)))))</f>
        <v> </v>
      </c>
      <c r="L2784" s="26"/>
    </row>
    <row r="2785" spans="1:12">
      <c r="A2785" s="20" t="s">
        <v>528</v>
      </c>
      <c r="E2785" s="21">
        <f>IF(D2785="?OLD","!!!","")</f>
        <v/>
      </c>
      <c r="F2785" s="22" t="str">
        <f>IF(OR(E2785="",E2785="!!!"),"",IF(NOT(ISNA(VLOOKUP(E2785,E$1:E2784,1,FALSE()))),"OLD",IF(AND(E2785&lt;&gt;"",E2785&lt;&gt;"!!!"),"NEW","")))</f>
        <v> </v>
      </c>
      <c r="G2785" s="23" t="str">
        <f>IF(OR(E2785="",E2785="!!!"),"",IF(OR(J2785=0,AND(J2785=1,K2785=1),AND(J2785=1,I2785="SBJ"),AND(J2785=1,I2785=0)),"?IN_FOCUS",IF(J2785&lt;=2,"?ACTIVATED",IF(J2785&lt;&gt;"","?FAMILIAR",IF(F2785="NEW",IF(ISNA(VLOOKUP(E2785,#REF!,1,FALSE())),"?TYPE_IDENTIFIABLE","?REFERENTIAL"),"_")))))</f>
        <v> </v>
      </c>
      <c r="H2785" s="24" t="str">
        <f>IF(J2785&lt;&gt;1,"",IF(I2785="SBJ","CB","?"))</f>
        <v> </v>
      </c>
      <c r="I2785" s="25" t="str">
        <f>IF(OR(E2785="",E2785="!!!",F2785="NEW"),"",INDEX(B2784:B$2,-1+SUMPRODUCT(MAX(ROW(E2784:E$2)*(E2785=E2784:E$2)))))</f>
        <v> </v>
      </c>
      <c r="J2785" s="25" t="str">
        <f>IF(OR(E2785="",E2785="!!!",F2785="NEW"),"",COUNTBLANK(OFFSET(A$1,,,SUMPRODUCT(MAX(ROW(E$2:E2785)*(E2785=E$2:E2785)))))-COUNTBLANK(OFFSET(A$1,,,SUMPRODUCT(MAX(ROW(E$1:E2784)*(E2=E$1:E2784))))))</f>
        <v> </v>
      </c>
      <c r="K2785" s="25" t="str">
        <f>IF(OR(E2785="",E2785="!!!",F2785="NEW"),"",INDEX(J$1:J2784,SUMPRODUCT(MAX(ROW(E$1:E2784)*(E2785=E$1:E2784)))))</f>
        <v> </v>
      </c>
      <c r="L2785" s="26"/>
    </row>
    <row r="2786" spans="1:12">
      <c r="A2786" s="20" t="s">
        <v>913</v>
      </c>
      <c r="B2786" s="27" t="s">
        <v>667</v>
      </c>
      <c r="C2786" s="27" t="s">
        <v>523</v>
      </c>
      <c r="D2786" s="27" t="s">
        <v>524</v>
      </c>
      <c r="E2786" s="21">
        <f>IF(D2786="?OLD","!!!","")</f>
        <v/>
      </c>
      <c r="F2786" s="22" t="str">
        <f>IF(OR(E2786="",E2786="!!!"),"",IF(NOT(ISNA(VLOOKUP(E2786,E$1:E2785,1,FALSE()))),"OLD",IF(AND(E2786&lt;&gt;"",E2786&lt;&gt;"!!!"),"NEW","")))</f>
        <v> </v>
      </c>
      <c r="G2786" s="23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4" t="str">
        <f>IF(J2786&lt;&gt;1,"",IF(I2786="SBJ","CB","?"))</f>
        <v> </v>
      </c>
      <c r="I2786" s="25" t="str">
        <f>IF(OR(E2786="",E2786="!!!",F2786="NEW"),"",INDEX(B2785:B$2,-1+SUMPRODUCT(MAX(ROW(E2785:E$2)*(E2786=E2785:E$2)))))</f>
        <v> </v>
      </c>
      <c r="J2786" s="25" t="str">
        <f>IF(OR(E2786="",E2786="!!!",F2786="NEW"),"",COUNTBLANK(OFFSET(A$1,,,SUMPRODUCT(MAX(ROW(E$2:E2786)*(E2786=E$2:E2786)))))-COUNTBLANK(OFFSET(A$1,,,SUMPRODUCT(MAX(ROW(E$1:E2785)*(E2=E$1:E2785))))))</f>
        <v> </v>
      </c>
      <c r="K2786" s="25" t="str">
        <f>IF(OR(E2786="",E2786="!!!",F2786="NEW"),"",INDEX(J$1:J2785,SUMPRODUCT(MAX(ROW(E$1:E2785)*(E2786=E$1:E2785)))))</f>
        <v> </v>
      </c>
      <c r="L2786" s="26"/>
    </row>
    <row r="2787" spans="1:12">
      <c r="A2787" s="20" t="s">
        <v>920</v>
      </c>
      <c r="E2787" s="21">
        <f>IF(D2787="?OLD","!!!","")</f>
        <v/>
      </c>
      <c r="F2787" s="22" t="str">
        <f>IF(OR(E2787="",E2787="!!!"),"",IF(NOT(ISNA(VLOOKUP(E2787,E$1:E2786,1,FALSE()))),"OLD",IF(AND(E2787&lt;&gt;"",E2787&lt;&gt;"!!!"),"NEW","")))</f>
        <v> </v>
      </c>
      <c r="G2787" s="23" t="str">
        <f>IF(OR(E2787="",E2787="!!!"),"",IF(OR(J2787=0,AND(J2787=1,K2787=1),AND(J2787=1,I2787="SBJ"),AND(J2787=1,I2787=0)),"?IN_FOCUS",IF(J2787&lt;=2,"?ACTIVATED",IF(J2787&lt;&gt;"","?FAMILIAR",IF(F2787="NEW",IF(ISNA(VLOOKUP(E2787,#REF!,1,FALSE())),"?TYPE_IDENTIFIABLE","?REFERENTIAL"),"_")))))</f>
        <v> </v>
      </c>
      <c r="H2787" s="24" t="str">
        <f>IF(J2787&lt;&gt;1,"",IF(I2787="SBJ","CB","?"))</f>
        <v> </v>
      </c>
      <c r="I2787" s="25" t="str">
        <f>IF(OR(E2787="",E2787="!!!",F2787="NEW"),"",INDEX(B2786:B$2,-1+SUMPRODUCT(MAX(ROW(E2786:E$2)*(E2787=E2786:E$2)))))</f>
        <v> </v>
      </c>
      <c r="J2787" s="25" t="str">
        <f>IF(OR(E2787="",E2787="!!!",F2787="NEW"),"",COUNTBLANK(OFFSET(A$1,,,SUMPRODUCT(MAX(ROW(E$2:E2787)*(E2787=E$2:E2787)))))-COUNTBLANK(OFFSET(A$1,,,SUMPRODUCT(MAX(ROW(E$1:E2786)*(E2=E$1:E2786))))))</f>
        <v> </v>
      </c>
      <c r="K2787" s="25" t="str">
        <f>IF(OR(E2787="",E2787="!!!",F2787="NEW"),"",INDEX(J$1:J2786,SUMPRODUCT(MAX(ROW(E$1:E2786)*(E2787=E$1:E2786)))))</f>
        <v> </v>
      </c>
      <c r="L2787" s="26"/>
    </row>
    <row r="2788" spans="1:12">
      <c r="A2788" s="20" t="s">
        <v>528</v>
      </c>
      <c r="E2788" s="21">
        <f>IF(D2788="?OLD","!!!","")</f>
        <v/>
      </c>
      <c r="F2788" s="22" t="str">
        <f>IF(OR(E2788="",E2788="!!!"),"",IF(NOT(ISNA(VLOOKUP(E2788,E$1:E2787,1,FALSE()))),"OLD",IF(AND(E2788&lt;&gt;"",E2788&lt;&gt;"!!!"),"NEW","")))</f>
        <v> </v>
      </c>
      <c r="G2788" s="23" t="str">
        <f>IF(OR(E2788="",E2788="!!!"),"",IF(OR(J2788=0,AND(J2788=1,K2788=1),AND(J2788=1,I2788="SBJ"),AND(J2788=1,I2788=0)),"?IN_FOCUS",IF(J2788&lt;=2,"?ACTIVATED",IF(J2788&lt;&gt;"","?FAMILIAR",IF(F2788="NEW",IF(ISNA(VLOOKUP(E2788,#REF!,1,FALSE())),"?TYPE_IDENTIFIABLE","?REFERENTIAL"),"_")))))</f>
        <v> </v>
      </c>
      <c r="H2788" s="24" t="str">
        <f>IF(J2788&lt;&gt;1,"",IF(I2788="SBJ","CB","?"))</f>
        <v> </v>
      </c>
      <c r="I2788" s="25" t="str">
        <f>IF(OR(E2788="",E2788="!!!",F2788="NEW"),"",INDEX(B2787:B$2,-1+SUMPRODUCT(MAX(ROW(E2787:E$2)*(E2788=E2787:E$2)))))</f>
        <v> </v>
      </c>
      <c r="J2788" s="25" t="str">
        <f>IF(OR(E2788="",E2788="!!!",F2788="NEW"),"",COUNTBLANK(OFFSET(A$1,,,SUMPRODUCT(MAX(ROW(E$2:E2788)*(E2788=E$2:E2788)))))-COUNTBLANK(OFFSET(A$1,,,SUMPRODUCT(MAX(ROW(E$1:E2787)*(E2=E$1:E2787))))))</f>
        <v> </v>
      </c>
      <c r="K2788" s="25" t="str">
        <f>IF(OR(E2788="",E2788="!!!",F2788="NEW"),"",INDEX(J$1:J2787,SUMPRODUCT(MAX(ROW(E$1:E2787)*(E2788=E$1:E2787)))))</f>
        <v> </v>
      </c>
      <c r="L2788" s="26"/>
    </row>
    <row r="2789" spans="1:12">
      <c r="A2789" s="20" t="s">
        <v>568</v>
      </c>
      <c r="E2789" s="21">
        <f>IF(D2789="?OLD","!!!","")</f>
        <v/>
      </c>
      <c r="F2789" s="22" t="str">
        <f>IF(OR(E2789="",E2789="!!!"),"",IF(NOT(ISNA(VLOOKUP(E2789,E$1:E2788,1,FALSE()))),"OLD",IF(AND(E2789&lt;&gt;"",E2789&lt;&gt;"!!!"),"NEW","")))</f>
        <v> </v>
      </c>
      <c r="G2789" s="23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4" t="str">
        <f>IF(J2789&lt;&gt;1,"",IF(I2789="SBJ","CB","?"))</f>
        <v> </v>
      </c>
      <c r="I2789" s="25" t="str">
        <f>IF(OR(E2789="",E2789="!!!",F2789="NEW"),"",INDEX(B2788:B$2,-1+SUMPRODUCT(MAX(ROW(E2788:E$2)*(E2789=E2788:E$2)))))</f>
        <v> </v>
      </c>
      <c r="J2789" s="25" t="str">
        <f>IF(OR(E2789="",E2789="!!!",F2789="NEW"),"",COUNTBLANK(OFFSET(A$1,,,SUMPRODUCT(MAX(ROW(E$2:E2789)*(E2789=E$2:E2789)))))-COUNTBLANK(OFFSET(A$1,,,SUMPRODUCT(MAX(ROW(E$1:E2788)*(E2=E$1:E2788))))))</f>
        <v> </v>
      </c>
      <c r="K2789" s="25" t="str">
        <f>IF(OR(E2789="",E2789="!!!",F2789="NEW"),"",INDEX(J$1:J2788,SUMPRODUCT(MAX(ROW(E$1:E2788)*(E2789=E$1:E2788)))))</f>
        <v> </v>
      </c>
      <c r="L2789" s="26"/>
    </row>
    <row r="2790" spans="1:12">
      <c r="A2790" s="20" t="s">
        <v>1484</v>
      </c>
      <c r="E2790" s="21">
        <f>IF(D2790="?OLD","!!!","")</f>
        <v/>
      </c>
      <c r="F2790" s="22" t="str">
        <f>IF(OR(E2790="",E2790="!!!"),"",IF(NOT(ISNA(VLOOKUP(E2790,E$1:E2789,1,FALSE()))),"OLD",IF(AND(E2790&lt;&gt;"",E2790&lt;&gt;"!!!"),"NEW","")))</f>
        <v> </v>
      </c>
      <c r="G2790" s="23" t="str">
        <f>IF(OR(E2790="",E2790="!!!"),"",IF(OR(J2790=0,AND(J2790=1,K2790=1),AND(J2790=1,I2790="SBJ"),AND(J2790=1,I2790=0)),"?IN_FOCUS",IF(J2790&lt;=2,"?ACTIVATED",IF(J2790&lt;&gt;"","?FAMILIAR",IF(F2790="NEW",IF(ISNA(VLOOKUP(E2790,#REF!,1,FALSE())),"?TYPE_IDENTIFIABLE","?REFERENTIAL"),"_")))))</f>
        <v> </v>
      </c>
      <c r="H2790" s="24" t="str">
        <f>IF(J2790&lt;&gt;1,"",IF(I2790="SBJ","CB","?"))</f>
        <v> </v>
      </c>
      <c r="I2790" s="25" t="str">
        <f>IF(OR(E2790="",E2790="!!!",F2790="NEW"),"",INDEX(B2789:B$2,-1+SUMPRODUCT(MAX(ROW(E2789:E$2)*(E2790=E2789:E$2)))))</f>
        <v> </v>
      </c>
      <c r="J2790" s="25" t="str">
        <f>IF(OR(E2790="",E2790="!!!",F2790="NEW"),"",COUNTBLANK(OFFSET(A$1,,,SUMPRODUCT(MAX(ROW(E$2:E2790)*(E2790=E$2:E2790)))))-COUNTBLANK(OFFSET(A$1,,,SUMPRODUCT(MAX(ROW(E$1:E2789)*(E2=E$1:E2789))))))</f>
        <v> </v>
      </c>
      <c r="K2790" s="25" t="str">
        <f>IF(OR(E2790="",E2790="!!!",F2790="NEW"),"",INDEX(J$1:J2789,SUMPRODUCT(MAX(ROW(E$1:E2789)*(E2790=E$1:E2789)))))</f>
        <v> </v>
      </c>
      <c r="L2790" s="26"/>
    </row>
    <row r="2791" spans="1:12">
      <c r="A2791" s="20" t="s">
        <v>1485</v>
      </c>
      <c r="B2791" s="27" t="s">
        <v>556</v>
      </c>
      <c r="C2791" s="27" t="s">
        <v>540</v>
      </c>
      <c r="D2791" s="27" t="s">
        <v>524</v>
      </c>
      <c r="E2791" s="21">
        <f>IF(D2791="?OLD","!!!","")</f>
        <v/>
      </c>
      <c r="F2791" s="22" t="str">
        <f>IF(OR(E2791="",E2791="!!!"),"",IF(NOT(ISNA(VLOOKUP(E2791,E$1:E2790,1,FALSE()))),"OLD",IF(AND(E2791&lt;&gt;"",E2791&lt;&gt;"!!!"),"NEW","")))</f>
        <v> </v>
      </c>
      <c r="G2791" s="23" t="str">
        <f>IF(OR(E2791="",E2791="!!!"),"",IF(OR(J2791=0,AND(J2791=1,K2791=1),AND(J2791=1,I2791="SBJ"),AND(J2791=1,I2791=0)),"?IN_FOCUS",IF(J2791&lt;=2,"?ACTIVATED",IF(J2791&lt;&gt;"","?FAMILIAR",IF(F2791="NEW",IF(ISNA(VLOOKUP(E2791,#REF!,1,FALSE())),"?TYPE_IDENTIFIABLE","?REFERENTIAL"),"_")))))</f>
        <v> </v>
      </c>
      <c r="H2791" s="24" t="str">
        <f>IF(J2791&lt;&gt;1,"",IF(I2791="SBJ","CB","?"))</f>
        <v> </v>
      </c>
      <c r="I2791" s="25" t="str">
        <f>IF(OR(E2791="",E2791="!!!",F2791="NEW"),"",INDEX(B2790:B$2,-1+SUMPRODUCT(MAX(ROW(E2790:E$2)*(E2791=E2790:E$2)))))</f>
        <v> </v>
      </c>
      <c r="J2791" s="25" t="str">
        <f>IF(OR(E2791="",E2791="!!!",F2791="NEW"),"",COUNTBLANK(OFFSET(A$1,,,SUMPRODUCT(MAX(ROW(E$2:E2791)*(E2791=E$2:E2791)))))-COUNTBLANK(OFFSET(A$1,,,SUMPRODUCT(MAX(ROW(E$1:E2790)*(E2=E$1:E2790))))))</f>
        <v> </v>
      </c>
      <c r="K2791" s="25" t="str">
        <f>IF(OR(E2791="",E2791="!!!",F2791="NEW"),"",INDEX(J$1:J2790,SUMPRODUCT(MAX(ROW(E$1:E2790)*(E2791=E$1:E2790)))))</f>
        <v> </v>
      </c>
      <c r="L2791" s="26"/>
    </row>
    <row r="2792" spans="1:12">
      <c r="A2792" s="20" t="s">
        <v>518</v>
      </c>
      <c r="E2792" s="21">
        <f>IF(D2792="?OLD","!!!","")</f>
        <v/>
      </c>
      <c r="F2792" s="22" t="str">
        <f>IF(OR(E2792="",E2792="!!!"),"",IF(NOT(ISNA(VLOOKUP(E2792,E$1:E2791,1,FALSE()))),"OLD",IF(AND(E2792&lt;&gt;"",E2792&lt;&gt;"!!!"),"NEW","")))</f>
        <v> </v>
      </c>
      <c r="G2792" s="23" t="str">
        <f>IF(OR(E2792="",E2792="!!!"),"",IF(OR(J2792=0,AND(J2792=1,K2792=1),AND(J2792=1,I2792="SBJ"),AND(J2792=1,I2792=0)),"?IN_FOCUS",IF(J2792&lt;=2,"?ACTIVATED",IF(J2792&lt;&gt;"","?FAMILIAR",IF(F2792="NEW",IF(ISNA(VLOOKUP(E2792,#REF!,1,FALSE())),"?TYPE_IDENTIFIABLE","?REFERENTIAL"),"_")))))</f>
        <v> </v>
      </c>
      <c r="H2792" s="24" t="str">
        <f>IF(J2792&lt;&gt;1,"",IF(I2792="SBJ","CB","?"))</f>
        <v> </v>
      </c>
      <c r="I2792" s="25" t="str">
        <f>IF(OR(E2792="",E2792="!!!",F2792="NEW"),"",INDEX(B2791:B$2,-1+SUMPRODUCT(MAX(ROW(E2791:E$2)*(E2792=E2791:E$2)))))</f>
        <v> </v>
      </c>
      <c r="J2792" s="25" t="str">
        <f>IF(OR(E2792="",E2792="!!!",F2792="NEW"),"",COUNTBLANK(OFFSET(A$1,,,SUMPRODUCT(MAX(ROW(E$2:E2792)*(E2792=E$2:E2792)))))-COUNTBLANK(OFFSET(A$1,,,SUMPRODUCT(MAX(ROW(E$1:E2791)*(E2=E$1:E2791))))))</f>
        <v> </v>
      </c>
      <c r="K2792" s="25" t="str">
        <f>IF(OR(E2792="",E2792="!!!",F2792="NEW"),"",INDEX(J$1:J2791,SUMPRODUCT(MAX(ROW(E$1:E2791)*(E2792=E$1:E2791)))))</f>
        <v> </v>
      </c>
      <c r="L2792" s="26"/>
    </row>
    <row r="2793" spans="1:12">
      <c r="A2793" s="20" t="s">
        <v>1486</v>
      </c>
      <c r="B2793" s="27" t="s">
        <v>534</v>
      </c>
      <c r="C2793" s="27" t="s">
        <v>540</v>
      </c>
      <c r="D2793" s="27" t="s">
        <v>524</v>
      </c>
      <c r="E2793" s="21">
        <f>IF(D2793="?OLD","!!!","")</f>
        <v/>
      </c>
      <c r="F2793" s="22" t="str">
        <f>IF(OR(E2793="",E2793="!!!"),"",IF(NOT(ISNA(VLOOKUP(E2793,E$1:E2792,1,FALSE()))),"OLD",IF(AND(E2793&lt;&gt;"",E2793&lt;&gt;"!!!"),"NEW","")))</f>
        <v> </v>
      </c>
      <c r="G2793" s="23" t="str">
        <f>IF(OR(E2793="",E2793="!!!"),"",IF(OR(J2793=0,AND(J2793=1,K2793=1),AND(J2793=1,I2793="SBJ"),AND(J2793=1,I2793=0)),"?IN_FOCUS",IF(J2793&lt;=2,"?ACTIVATED",IF(J2793&lt;&gt;"","?FAMILIAR",IF(F2793="NEW",IF(ISNA(VLOOKUP(E2793,#REF!,1,FALSE())),"?TYPE_IDENTIFIABLE","?REFERENTIAL"),"_")))))</f>
        <v> </v>
      </c>
      <c r="H2793" s="24" t="str">
        <f>IF(J2793&lt;&gt;1,"",IF(I2793="SBJ","CB","?"))</f>
        <v> </v>
      </c>
      <c r="I2793" s="25" t="str">
        <f>IF(OR(E2793="",E2793="!!!",F2793="NEW"),"",INDEX(B2792:B$2,-1+SUMPRODUCT(MAX(ROW(E2792:E$2)*(E2793=E2792:E$2)))))</f>
        <v> </v>
      </c>
      <c r="J2793" s="25" t="str">
        <f>IF(OR(E2793="",E2793="!!!",F2793="NEW"),"",COUNTBLANK(OFFSET(A$1,,,SUMPRODUCT(MAX(ROW(E$2:E2793)*(E2793=E$2:E2793)))))-COUNTBLANK(OFFSET(A$1,,,SUMPRODUCT(MAX(ROW(E$1:E2792)*(E2=E$1:E2792))))))</f>
        <v> </v>
      </c>
      <c r="K2793" s="25" t="str">
        <f>IF(OR(E2793="",E2793="!!!",F2793="NEW"),"",INDEX(J$1:J2792,SUMPRODUCT(MAX(ROW(E$1:E2792)*(E2793=E$1:E2792)))))</f>
        <v> </v>
      </c>
      <c r="L2793" s="26"/>
    </row>
    <row r="2794" spans="1:12">
      <c r="A2794" s="20" t="s">
        <v>518</v>
      </c>
      <c r="E2794" s="21">
        <f>IF(D2794="?OLD","!!!","")</f>
        <v/>
      </c>
      <c r="F2794" s="22" t="str">
        <f>IF(OR(E2794="",E2794="!!!"),"",IF(NOT(ISNA(VLOOKUP(E2794,E$1:E2793,1,FALSE()))),"OLD",IF(AND(E2794&lt;&gt;"",E2794&lt;&gt;"!!!"),"NEW","")))</f>
        <v> </v>
      </c>
      <c r="G2794" s="23" t="str">
        <f>IF(OR(E2794="",E2794="!!!"),"",IF(OR(J2794=0,AND(J2794=1,K2794=1),AND(J2794=1,I2794="SBJ"),AND(J2794=1,I2794=0)),"?IN_FOCUS",IF(J2794&lt;=2,"?ACTIVATED",IF(J2794&lt;&gt;"","?FAMILIAR",IF(F2794="NEW",IF(ISNA(VLOOKUP(E2794,#REF!,1,FALSE())),"?TYPE_IDENTIFIABLE","?REFERENTIAL"),"_")))))</f>
        <v> </v>
      </c>
      <c r="H2794" s="24" t="str">
        <f>IF(J2794&lt;&gt;1,"",IF(I2794="SBJ","CB","?"))</f>
        <v> </v>
      </c>
      <c r="I2794" s="25" t="str">
        <f>IF(OR(E2794="",E2794="!!!",F2794="NEW"),"",INDEX(B2793:B$2,-1+SUMPRODUCT(MAX(ROW(E2793:E$2)*(E2794=E2793:E$2)))))</f>
        <v> </v>
      </c>
      <c r="J2794" s="25" t="str">
        <f>IF(OR(E2794="",E2794="!!!",F2794="NEW"),"",COUNTBLANK(OFFSET(A$1,,,SUMPRODUCT(MAX(ROW(E$2:E2794)*(E2794=E$2:E2794)))))-COUNTBLANK(OFFSET(A$1,,,SUMPRODUCT(MAX(ROW(E$1:E2793)*(E2=E$1:E2793))))))</f>
        <v> </v>
      </c>
      <c r="K2794" s="25" t="str">
        <f>IF(OR(E2794="",E2794="!!!",F2794="NEW"),"",INDEX(J$1:J2793,SUMPRODUCT(MAX(ROW(E$1:E2793)*(E2794=E$1:E2793)))))</f>
        <v> </v>
      </c>
      <c r="L2794" s="26"/>
    </row>
    <row r="2795" spans="1:12">
      <c r="A2795" s="20" t="s">
        <v>1042</v>
      </c>
      <c r="E2795" s="21">
        <f>IF(D2795="?OLD","!!!","")</f>
        <v/>
      </c>
      <c r="F2795" s="22" t="str">
        <f>IF(OR(E2795="",E2795="!!!"),"",IF(NOT(ISNA(VLOOKUP(E2795,E$1:E2794,1,FALSE()))),"OLD",IF(AND(E2795&lt;&gt;"",E2795&lt;&gt;"!!!"),"NEW","")))</f>
        <v> </v>
      </c>
      <c r="G2795" s="23" t="str">
        <f>IF(OR(E2795="",E2795="!!!"),"",IF(OR(J2795=0,AND(J2795=1,K2795=1),AND(J2795=1,I2795="SBJ"),AND(J2795=1,I2795=0)),"?IN_FOCUS",IF(J2795&lt;=2,"?ACTIVATED",IF(J2795&lt;&gt;"","?FAMILIAR",IF(F2795="NEW",IF(ISNA(VLOOKUP(E2795,#REF!,1,FALSE())),"?TYPE_IDENTIFIABLE","?REFERENTIAL"),"_")))))</f>
        <v> </v>
      </c>
      <c r="H2795" s="24" t="str">
        <f>IF(J2795&lt;&gt;1,"",IF(I2795="SBJ","CB","?"))</f>
        <v> </v>
      </c>
      <c r="I2795" s="25" t="str">
        <f>IF(OR(E2795="",E2795="!!!",F2795="NEW"),"",INDEX(B2794:B$2,-1+SUMPRODUCT(MAX(ROW(E2794:E$2)*(E2795=E2794:E$2)))))</f>
        <v> </v>
      </c>
      <c r="J2795" s="25" t="str">
        <f>IF(OR(E2795="",E2795="!!!",F2795="NEW"),"",COUNTBLANK(OFFSET(A$1,,,SUMPRODUCT(MAX(ROW(E$2:E2795)*(E2795=E$2:E2795)))))-COUNTBLANK(OFFSET(A$1,,,SUMPRODUCT(MAX(ROW(E$1:E2794)*(E2=E$1:E2794))))))</f>
        <v> </v>
      </c>
      <c r="K2795" s="25" t="str">
        <f>IF(OR(E2795="",E2795="!!!",F2795="NEW"),"",INDEX(J$1:J2794,SUMPRODUCT(MAX(ROW(E$1:E2794)*(E2795=E$1:E2794)))))</f>
        <v> </v>
      </c>
      <c r="L2795" s="26"/>
    </row>
    <row r="2796" spans="1:12">
      <c r="A2796" s="20" t="s">
        <v>542</v>
      </c>
      <c r="E2796" s="21">
        <f>IF(D2796="?OLD","!!!","")</f>
        <v/>
      </c>
      <c r="F2796" s="22" t="str">
        <f>IF(OR(E2796="",E2796="!!!"),"",IF(NOT(ISNA(VLOOKUP(E2796,E$1:E2795,1,FALSE()))),"OLD",IF(AND(E2796&lt;&gt;"",E2796&lt;&gt;"!!!"),"NEW","")))</f>
        <v> </v>
      </c>
      <c r="G2796" s="23" t="str">
        <f>IF(OR(E2796="",E2796="!!!"),"",IF(OR(J2796=0,AND(J2796=1,K2796=1),AND(J2796=1,I2796="SBJ"),AND(J2796=1,I2796=0)),"?IN_FOCUS",IF(J2796&lt;=2,"?ACTIVATED",IF(J2796&lt;&gt;"","?FAMILIAR",IF(F2796="NEW",IF(ISNA(VLOOKUP(E2796,#REF!,1,FALSE())),"?TYPE_IDENTIFIABLE","?REFERENTIAL"),"_")))))</f>
        <v> </v>
      </c>
      <c r="H2796" s="24" t="str">
        <f>IF(J2796&lt;&gt;1,"",IF(I2796="SBJ","CB","?"))</f>
        <v> </v>
      </c>
      <c r="I2796" s="25" t="str">
        <f>IF(OR(E2796="",E2796="!!!",F2796="NEW"),"",INDEX(B2795:B$2,-1+SUMPRODUCT(MAX(ROW(E2795:E$2)*(E2796=E2795:E$2)))))</f>
        <v> </v>
      </c>
      <c r="J2796" s="25" t="str">
        <f>IF(OR(E2796="",E2796="!!!",F2796="NEW"),"",COUNTBLANK(OFFSET(A$1,,,SUMPRODUCT(MAX(ROW(E$2:E2796)*(E2796=E$2:E2796)))))-COUNTBLANK(OFFSET(A$1,,,SUMPRODUCT(MAX(ROW(E$1:E2795)*(E2=E$1:E2795))))))</f>
        <v> </v>
      </c>
      <c r="K2796" s="25" t="str">
        <f>IF(OR(E2796="",E2796="!!!",F2796="NEW"),"",INDEX(J$1:J2795,SUMPRODUCT(MAX(ROW(E$1:E2795)*(E2796=E$1:E2795)))))</f>
        <v> </v>
      </c>
      <c r="L2796" s="26"/>
    </row>
    <row r="2797" spans="1:12">
      <c r="A2797" s="20" t="s">
        <v>700</v>
      </c>
      <c r="B2797" s="27" t="s">
        <v>699</v>
      </c>
      <c r="C2797" s="27" t="s">
        <v>669</v>
      </c>
      <c r="D2797" s="27" t="s">
        <v>524</v>
      </c>
      <c r="E2797" s="21">
        <f>IF(D2797="?OLD","!!!","")</f>
        <v/>
      </c>
      <c r="F2797" s="22" t="str">
        <f>IF(OR(E2797="",E2797="!!!"),"",IF(NOT(ISNA(VLOOKUP(E2797,E$1:E2796,1,FALSE()))),"OLD",IF(AND(E2797&lt;&gt;"",E2797&lt;&gt;"!!!"),"NEW","")))</f>
        <v> </v>
      </c>
      <c r="G2797" s="23" t="str">
        <f>IF(OR(E2797="",E2797="!!!"),"",IF(OR(J2797=0,AND(J2797=1,K2797=1),AND(J2797=1,I2797="SBJ"),AND(J2797=1,I2797=0)),"?IN_FOCUS",IF(J2797&lt;=2,"?ACTIVATED",IF(J2797&lt;&gt;"","?FAMILIAR",IF(F2797="NEW",IF(ISNA(VLOOKUP(E2797,#REF!,1,FALSE())),"?TYPE_IDENTIFIABLE","?REFERENTIAL"),"_")))))</f>
        <v> </v>
      </c>
      <c r="H2797" s="24" t="str">
        <f>IF(J2797&lt;&gt;1,"",IF(I2797="SBJ","CB","?"))</f>
        <v> </v>
      </c>
      <c r="I2797" s="25" t="str">
        <f>IF(OR(E2797="",E2797="!!!",F2797="NEW"),"",INDEX(B2796:B$2,-1+SUMPRODUCT(MAX(ROW(E2796:E$2)*(E2797=E2796:E$2)))))</f>
        <v> </v>
      </c>
      <c r="J2797" s="25" t="str">
        <f>IF(OR(E2797="",E2797="!!!",F2797="NEW"),"",COUNTBLANK(OFFSET(A$1,,,SUMPRODUCT(MAX(ROW(E$2:E2797)*(E2797=E$2:E2797)))))-COUNTBLANK(OFFSET(A$1,,,SUMPRODUCT(MAX(ROW(E$1:E2796)*(E2=E$1:E2796))))))</f>
        <v> </v>
      </c>
      <c r="K2797" s="25" t="str">
        <f>IF(OR(E2797="",E2797="!!!",F2797="NEW"),"",INDEX(J$1:J2796,SUMPRODUCT(MAX(ROW(E$1:E2796)*(E2797=E$1:E2796)))))</f>
        <v> </v>
      </c>
      <c r="L2797" s="26"/>
    </row>
    <row r="2798" spans="1:12">
      <c r="A2798" s="20" t="s">
        <v>835</v>
      </c>
      <c r="B2798" s="27" t="s">
        <v>641</v>
      </c>
      <c r="C2798" s="27" t="s">
        <v>545</v>
      </c>
      <c r="D2798" s="27" t="s">
        <v>524</v>
      </c>
      <c r="E2798" s="21">
        <f>IF(D2798="?OLD","!!!","")</f>
        <v/>
      </c>
      <c r="F2798" s="22" t="str">
        <f>IF(OR(E2798="",E2798="!!!"),"",IF(NOT(ISNA(VLOOKUP(E2798,E$1:E2797,1,FALSE()))),"OLD",IF(AND(E2798&lt;&gt;"",E2798&lt;&gt;"!!!"),"NEW","")))</f>
        <v> </v>
      </c>
      <c r="G2798" s="23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4" t="str">
        <f>IF(J2798&lt;&gt;1,"",IF(I2798="SBJ","CB","?"))</f>
        <v> </v>
      </c>
      <c r="I2798" s="25" t="str">
        <f>IF(OR(E2798="",E2798="!!!",F2798="NEW"),"",INDEX(B2797:B$2,-1+SUMPRODUCT(MAX(ROW(E2797:E$2)*(E2798=E2797:E$2)))))</f>
        <v> </v>
      </c>
      <c r="J2798" s="25" t="str">
        <f>IF(OR(E2798="",E2798="!!!",F2798="NEW"),"",COUNTBLANK(OFFSET(A$1,,,SUMPRODUCT(MAX(ROW(E$2:E2798)*(E2798=E$2:E2798)))))-COUNTBLANK(OFFSET(A$1,,,SUMPRODUCT(MAX(ROW(E$1:E2797)*(E2=E$1:E2797))))))</f>
        <v> </v>
      </c>
      <c r="K2798" s="25" t="str">
        <f>IF(OR(E2798="",E2798="!!!",F2798="NEW"),"",INDEX(J$1:J2797,SUMPRODUCT(MAX(ROW(E$1:E2797)*(E2798=E$1:E2797)))))</f>
        <v> </v>
      </c>
      <c r="L2798" s="26"/>
    </row>
    <row r="2799" spans="1:12">
      <c r="A2799" s="20" t="s">
        <v>565</v>
      </c>
      <c r="E2799" s="21">
        <f>IF(D2799="?OLD","!!!","")</f>
        <v/>
      </c>
      <c r="F2799" s="22" t="str">
        <f>IF(OR(E2799="",E2799="!!!"),"",IF(NOT(ISNA(VLOOKUP(E2799,E$1:E2798,1,FALSE()))),"OLD",IF(AND(E2799&lt;&gt;"",E2799&lt;&gt;"!!!"),"NEW","")))</f>
        <v> </v>
      </c>
      <c r="G2799" s="23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4" t="str">
        <f>IF(J2799&lt;&gt;1,"",IF(I2799="SBJ","CB","?"))</f>
        <v> </v>
      </c>
      <c r="I2799" s="25" t="str">
        <f>IF(OR(E2799="",E2799="!!!",F2799="NEW"),"",INDEX(B2798:B$2,-1+SUMPRODUCT(MAX(ROW(E2798:E$2)*(E2799=E2798:E$2)))))</f>
        <v> </v>
      </c>
      <c r="J2799" s="25" t="str">
        <f>IF(OR(E2799="",E2799="!!!",F2799="NEW"),"",COUNTBLANK(OFFSET(A$1,,,SUMPRODUCT(MAX(ROW(E$2:E2799)*(E2799=E$2:E2799)))))-COUNTBLANK(OFFSET(A$1,,,SUMPRODUCT(MAX(ROW(E$1:E2798)*(E2=E$1:E2798))))))</f>
        <v> </v>
      </c>
      <c r="K2799" s="25" t="str">
        <f>IF(OR(E2799="",E2799="!!!",F2799="NEW"),"",INDEX(J$1:J2798,SUMPRODUCT(MAX(ROW(E$1:E2798)*(E2799=E$1:E2798)))))</f>
        <v> </v>
      </c>
      <c r="L2799" s="26"/>
    </row>
    <row r="2800" spans="1:12">
      <c r="A2800" s="20" t="s">
        <v>1487</v>
      </c>
      <c r="E2800" s="21">
        <f>IF(D2800="?OLD","!!!","")</f>
        <v/>
      </c>
      <c r="F2800" s="22" t="str">
        <f>IF(OR(E2800="",E2800="!!!"),"",IF(NOT(ISNA(VLOOKUP(E2800,E$1:E2799,1,FALSE()))),"OLD",IF(AND(E2800&lt;&gt;"",E2800&lt;&gt;"!!!"),"NEW","")))</f>
        <v> </v>
      </c>
      <c r="G2800" s="23" t="str">
        <f>IF(OR(E2800="",E2800="!!!"),"",IF(OR(J2800=0,AND(J2800=1,K2800=1),AND(J2800=1,I2800="SBJ"),AND(J2800=1,I2800=0)),"?IN_FOCUS",IF(J2800&lt;=2,"?ACTIVATED",IF(J2800&lt;&gt;"","?FAMILIAR",IF(F2800="NEW",IF(ISNA(VLOOKUP(E2800,#REF!,1,FALSE())),"?TYPE_IDENTIFIABLE","?REFERENTIAL"),"_")))))</f>
        <v> </v>
      </c>
      <c r="H2800" s="24" t="str">
        <f>IF(J2800&lt;&gt;1,"",IF(I2800="SBJ","CB","?"))</f>
        <v> </v>
      </c>
      <c r="I2800" s="25" t="str">
        <f>IF(OR(E2800="",E2800="!!!",F2800="NEW"),"",INDEX(B2799:B$2,-1+SUMPRODUCT(MAX(ROW(E2799:E$2)*(E2800=E2799:E$2)))))</f>
        <v> </v>
      </c>
      <c r="J2800" s="25" t="str">
        <f>IF(OR(E2800="",E2800="!!!",F2800="NEW"),"",COUNTBLANK(OFFSET(A$1,,,SUMPRODUCT(MAX(ROW(E$2:E2800)*(E2800=E$2:E2800)))))-COUNTBLANK(OFFSET(A$1,,,SUMPRODUCT(MAX(ROW(E$1:E2799)*(E2=E$1:E2799))))))</f>
        <v> </v>
      </c>
      <c r="K2800" s="25" t="str">
        <f>IF(OR(E2800="",E2800="!!!",F2800="NEW"),"",INDEX(J$1:J2799,SUMPRODUCT(MAX(ROW(E$1:E2799)*(E2800=E$1:E2799)))))</f>
        <v> </v>
      </c>
      <c r="L2800" s="26"/>
    </row>
    <row r="2801" spans="1:12">
      <c r="A2801" s="20" t="s">
        <v>358</v>
      </c>
      <c r="B2801" s="27" t="s">
        <v>633</v>
      </c>
      <c r="C2801" s="27" t="s">
        <v>523</v>
      </c>
      <c r="D2801" s="27" t="s">
        <v>524</v>
      </c>
      <c r="E2801" s="21">
        <f>IF(D2801="?OLD","!!!","")</f>
        <v/>
      </c>
      <c r="F2801" s="22" t="str">
        <f>IF(OR(E2801="",E2801="!!!"),"",IF(NOT(ISNA(VLOOKUP(E2801,E$1:E2800,1,FALSE()))),"OLD",IF(AND(E2801&lt;&gt;"",E2801&lt;&gt;"!!!"),"NEW","")))</f>
        <v> </v>
      </c>
      <c r="G2801" s="23" t="str">
        <f>IF(OR(E2801="",E2801="!!!"),"",IF(OR(J2801=0,AND(J2801=1,K2801=1),AND(J2801=1,I2801="SBJ"),AND(J2801=1,I2801=0)),"?IN_FOCUS",IF(J2801&lt;=2,"?ACTIVATED",IF(J2801&lt;&gt;"","?FAMILIAR",IF(F2801="NEW",IF(ISNA(VLOOKUP(E2801,#REF!,1,FALSE())),"?TYPE_IDENTIFIABLE","?REFERENTIAL"),"_")))))</f>
        <v> </v>
      </c>
      <c r="H2801" s="24" t="str">
        <f>IF(J2801&lt;&gt;1,"",IF(I2801="SBJ","CB","?"))</f>
        <v> </v>
      </c>
      <c r="I2801" s="25" t="str">
        <f>IF(OR(E2801="",E2801="!!!",F2801="NEW"),"",INDEX(B2800:B$2,-1+SUMPRODUCT(MAX(ROW(E2800:E$2)*(E2801=E2800:E$2)))))</f>
        <v> </v>
      </c>
      <c r="J2801" s="25" t="str">
        <f>IF(OR(E2801="",E2801="!!!",F2801="NEW"),"",COUNTBLANK(OFFSET(A$1,,,SUMPRODUCT(MAX(ROW(E$2:E2801)*(E2801=E$2:E2801)))))-COUNTBLANK(OFFSET(A$1,,,SUMPRODUCT(MAX(ROW(E$1:E2800)*(E2=E$1:E2800))))))</f>
        <v> </v>
      </c>
      <c r="K2801" s="25" t="str">
        <f>IF(OR(E2801="",E2801="!!!",F2801="NEW"),"",INDEX(J$1:J2800,SUMPRODUCT(MAX(ROW(E$1:E2800)*(E2801=E$1:E2800)))))</f>
        <v> </v>
      </c>
      <c r="L2801" s="26"/>
    </row>
    <row r="2802" spans="1:12">
      <c r="A2802" s="20" t="s">
        <v>542</v>
      </c>
      <c r="E2802" s="21">
        <f>IF(D2802="?OLD","!!!","")</f>
        <v/>
      </c>
      <c r="F2802" s="22" t="str">
        <f>IF(OR(E2802="",E2802="!!!"),"",IF(NOT(ISNA(VLOOKUP(E2802,E$1:E2801,1,FALSE()))),"OLD",IF(AND(E2802&lt;&gt;"",E2802&lt;&gt;"!!!"),"NEW","")))</f>
        <v> </v>
      </c>
      <c r="G2802" s="23" t="str">
        <f>IF(OR(E2802="",E2802="!!!"),"",IF(OR(J2802=0,AND(J2802=1,K2802=1),AND(J2802=1,I2802="SBJ"),AND(J2802=1,I2802=0)),"?IN_FOCUS",IF(J2802&lt;=2,"?ACTIVATED",IF(J2802&lt;&gt;"","?FAMILIAR",IF(F2802="NEW",IF(ISNA(VLOOKUP(E2802,#REF!,1,FALSE())),"?TYPE_IDENTIFIABLE","?REFERENTIAL"),"_")))))</f>
        <v> </v>
      </c>
      <c r="H2802" s="24" t="str">
        <f>IF(J2802&lt;&gt;1,"",IF(I2802="SBJ","CB","?"))</f>
        <v> </v>
      </c>
      <c r="I2802" s="25" t="str">
        <f>IF(OR(E2802="",E2802="!!!",F2802="NEW"),"",INDEX(B2801:B$2,-1+SUMPRODUCT(MAX(ROW(E2801:E$2)*(E2802=E2801:E$2)))))</f>
        <v> </v>
      </c>
      <c r="J2802" s="25" t="str">
        <f>IF(OR(E2802="",E2802="!!!",F2802="NEW"),"",COUNTBLANK(OFFSET(A$1,,,SUMPRODUCT(MAX(ROW(E$2:E2802)*(E2802=E$2:E2802)))))-COUNTBLANK(OFFSET(A$1,,,SUMPRODUCT(MAX(ROW(E$1:E2801)*(E2=E$1:E2801))))))</f>
        <v> </v>
      </c>
      <c r="K2802" s="25" t="str">
        <f>IF(OR(E2802="",E2802="!!!",F2802="NEW"),"",INDEX(J$1:J2801,SUMPRODUCT(MAX(ROW(E$1:E2801)*(E2802=E$1:E2801)))))</f>
        <v> </v>
      </c>
      <c r="L2802" s="26"/>
    </row>
    <row r="2803" spans="1:12">
      <c r="A2803" s="20" t="s">
        <v>1488</v>
      </c>
      <c r="E2803" s="21">
        <f>IF(D2803="?OLD","!!!","")</f>
        <v/>
      </c>
      <c r="F2803" s="22" t="str">
        <f>IF(OR(E2803="",E2803="!!!"),"",IF(NOT(ISNA(VLOOKUP(E2803,E$1:E2802,1,FALSE()))),"OLD",IF(AND(E2803&lt;&gt;"",E2803&lt;&gt;"!!!"),"NEW","")))</f>
        <v> </v>
      </c>
      <c r="G2803" s="23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4" t="str">
        <f>IF(J2803&lt;&gt;1,"",IF(I2803="SBJ","CB","?"))</f>
        <v> </v>
      </c>
      <c r="I2803" s="25" t="str">
        <f>IF(OR(E2803="",E2803="!!!",F2803="NEW"),"",INDEX(B2802:B$2,-1+SUMPRODUCT(MAX(ROW(E2802:E$2)*(E2803=E2802:E$2)))))</f>
        <v> </v>
      </c>
      <c r="J2803" s="25" t="str">
        <f>IF(OR(E2803="",E2803="!!!",F2803="NEW"),"",COUNTBLANK(OFFSET(A$1,,,SUMPRODUCT(MAX(ROW(E$2:E2803)*(E2803=E$2:E2803)))))-COUNTBLANK(OFFSET(A$1,,,SUMPRODUCT(MAX(ROW(E$1:E2802)*(E2=E$1:E2802))))))</f>
        <v> </v>
      </c>
      <c r="K2803" s="25" t="str">
        <f>IF(OR(E2803="",E2803="!!!",F2803="NEW"),"",INDEX(J$1:J2802,SUMPRODUCT(MAX(ROW(E$1:E2802)*(E2803=E$1:E2802)))))</f>
        <v> </v>
      </c>
      <c r="L2803" s="26"/>
    </row>
    <row r="2804" spans="1:12">
      <c r="A2804" s="20" t="s">
        <v>571</v>
      </c>
      <c r="E2804" s="21">
        <f>IF(D2804="?OLD","!!!","")</f>
        <v/>
      </c>
      <c r="F2804" s="22" t="str">
        <f>IF(OR(E2804="",E2804="!!!"),"",IF(NOT(ISNA(VLOOKUP(E2804,E$1:E2803,1,FALSE()))),"OLD",IF(AND(E2804&lt;&gt;"",E2804&lt;&gt;"!!!"),"NEW","")))</f>
        <v> </v>
      </c>
      <c r="G2804" s="23" t="str">
        <f>IF(OR(E2804="",E2804="!!!"),"",IF(OR(J2804=0,AND(J2804=1,K2804=1),AND(J2804=1,I2804="SBJ"),AND(J2804=1,I2804=0)),"?IN_FOCUS",IF(J2804&lt;=2,"?ACTIVATED",IF(J2804&lt;&gt;"","?FAMILIAR",IF(F2804="NEW",IF(ISNA(VLOOKUP(E2804,#REF!,1,FALSE())),"?TYPE_IDENTIFIABLE","?REFERENTIAL"),"_")))))</f>
        <v> </v>
      </c>
      <c r="H2804" s="24" t="str">
        <f>IF(J2804&lt;&gt;1,"",IF(I2804="SBJ","CB","?"))</f>
        <v> </v>
      </c>
      <c r="I2804" s="25" t="str">
        <f>IF(OR(E2804="",E2804="!!!",F2804="NEW"),"",INDEX(B2803:B$2,-1+SUMPRODUCT(MAX(ROW(E2803:E$2)*(E2804=E2803:E$2)))))</f>
        <v> </v>
      </c>
      <c r="J2804" s="25" t="str">
        <f>IF(OR(E2804="",E2804="!!!",F2804="NEW"),"",COUNTBLANK(OFFSET(A$1,,,SUMPRODUCT(MAX(ROW(E$2:E2804)*(E2804=E$2:E2804)))))-COUNTBLANK(OFFSET(A$1,,,SUMPRODUCT(MAX(ROW(E$1:E2803)*(E2=E$1:E2803))))))</f>
        <v> </v>
      </c>
      <c r="K2804" s="25" t="str">
        <f>IF(OR(E2804="",E2804="!!!",F2804="NEW"),"",INDEX(J$1:J2803,SUMPRODUCT(MAX(ROW(E$1:E2803)*(E2804=E$1:E2803)))))</f>
        <v> </v>
      </c>
      <c r="L2804" s="26"/>
    </row>
    <row r="2805" spans="1:12">
      <c r="A2805" s="20" t="s">
        <v>1489</v>
      </c>
      <c r="B2805" s="27" t="s">
        <v>556</v>
      </c>
      <c r="C2805" s="27" t="s">
        <v>545</v>
      </c>
      <c r="D2805" s="27" t="s">
        <v>524</v>
      </c>
      <c r="E2805" s="21">
        <f>IF(D2805="?OLD","!!!","")</f>
        <v/>
      </c>
      <c r="F2805" s="22" t="str">
        <f>IF(OR(E2805="",E2805="!!!"),"",IF(NOT(ISNA(VLOOKUP(E2805,E$1:E2804,1,FALSE()))),"OLD",IF(AND(E2805&lt;&gt;"",E2805&lt;&gt;"!!!"),"NEW","")))</f>
        <v> </v>
      </c>
      <c r="G2805" s="23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4" t="str">
        <f>IF(J2805&lt;&gt;1,"",IF(I2805="SBJ","CB","?"))</f>
        <v> </v>
      </c>
      <c r="I2805" s="25" t="str">
        <f>IF(OR(E2805="",E2805="!!!",F2805="NEW"),"",INDEX(B2804:B$2,-1+SUMPRODUCT(MAX(ROW(E2804:E$2)*(E2805=E2804:E$2)))))</f>
        <v> </v>
      </c>
      <c r="J2805" s="25" t="str">
        <f>IF(OR(E2805="",E2805="!!!",F2805="NEW"),"",COUNTBLANK(OFFSET(A$1,,,SUMPRODUCT(MAX(ROW(E$2:E2805)*(E2805=E$2:E2805)))))-COUNTBLANK(OFFSET(A$1,,,SUMPRODUCT(MAX(ROW(E$1:E2804)*(E2=E$1:E2804))))))</f>
        <v> </v>
      </c>
      <c r="K2805" s="25" t="str">
        <f>IF(OR(E2805="",E2805="!!!",F2805="NEW"),"",INDEX(J$1:J2804,SUMPRODUCT(MAX(ROW(E$1:E2804)*(E2805=E$1:E2804)))))</f>
        <v> </v>
      </c>
      <c r="L2805" s="26"/>
    </row>
    <row r="2806" spans="1:12">
      <c r="A2806" s="20" t="s">
        <v>518</v>
      </c>
      <c r="E2806" s="21">
        <f>IF(D2806="?OLD","!!!","")</f>
        <v/>
      </c>
      <c r="F2806" s="22" t="str">
        <f>IF(OR(E2806="",E2806="!!!"),"",IF(NOT(ISNA(VLOOKUP(E2806,E$1:E2805,1,FALSE()))),"OLD",IF(AND(E2806&lt;&gt;"",E2806&lt;&gt;"!!!"),"NEW","")))</f>
        <v> </v>
      </c>
      <c r="G2806" s="23" t="str">
        <f>IF(OR(E2806="",E2806="!!!"),"",IF(OR(J2806=0,AND(J2806=1,K2806=1),AND(J2806=1,I2806="SBJ"),AND(J2806=1,I2806=0)),"?IN_FOCUS",IF(J2806&lt;=2,"?ACTIVATED",IF(J2806&lt;&gt;"","?FAMILIAR",IF(F2806="NEW",IF(ISNA(VLOOKUP(E2806,#REF!,1,FALSE())),"?TYPE_IDENTIFIABLE","?REFERENTIAL"),"_")))))</f>
        <v> </v>
      </c>
      <c r="H2806" s="24" t="str">
        <f>IF(J2806&lt;&gt;1,"",IF(I2806="SBJ","CB","?"))</f>
        <v> </v>
      </c>
      <c r="I2806" s="25" t="str">
        <f>IF(OR(E2806="",E2806="!!!",F2806="NEW"),"",INDEX(B2805:B$2,-1+SUMPRODUCT(MAX(ROW(E2805:E$2)*(E2806=E2805:E$2)))))</f>
        <v> </v>
      </c>
      <c r="J2806" s="25" t="str">
        <f>IF(OR(E2806="",E2806="!!!",F2806="NEW"),"",COUNTBLANK(OFFSET(A$1,,,SUMPRODUCT(MAX(ROW(E$2:E2806)*(E2806=E$2:E2806)))))-COUNTBLANK(OFFSET(A$1,,,SUMPRODUCT(MAX(ROW(E$1:E2805)*(E2=E$1:E2805))))))</f>
        <v> </v>
      </c>
      <c r="K2806" s="25" t="str">
        <f>IF(OR(E2806="",E2806="!!!",F2806="NEW"),"",INDEX(J$1:J2805,SUMPRODUCT(MAX(ROW(E$1:E2805)*(E2806=E$1:E2805)))))</f>
        <v> </v>
      </c>
      <c r="L2806" s="26"/>
    </row>
    <row r="2807" spans="1:12">
      <c r="A2807" s="20" t="s">
        <v>1490</v>
      </c>
      <c r="E2807" s="21">
        <f>IF(D2807="?OLD","!!!","")</f>
        <v/>
      </c>
      <c r="F2807" s="22" t="str">
        <f>IF(OR(E2807="",E2807="!!!"),"",IF(NOT(ISNA(VLOOKUP(E2807,E$1:E2806,1,FALSE()))),"OLD",IF(AND(E2807&lt;&gt;"",E2807&lt;&gt;"!!!"),"NEW","")))</f>
        <v> </v>
      </c>
      <c r="G2807" s="23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4" t="str">
        <f>IF(J2807&lt;&gt;1,"",IF(I2807="SBJ","CB","?"))</f>
        <v> </v>
      </c>
      <c r="I2807" s="25" t="str">
        <f>IF(OR(E2807="",E2807="!!!",F2807="NEW"),"",INDEX(B2806:B$2,-1+SUMPRODUCT(MAX(ROW(E2806:E$2)*(E2807=E2806:E$2)))))</f>
        <v> </v>
      </c>
      <c r="J2807" s="25" t="str">
        <f>IF(OR(E2807="",E2807="!!!",F2807="NEW"),"",COUNTBLANK(OFFSET(A$1,,,SUMPRODUCT(MAX(ROW(E$2:E2807)*(E2807=E$2:E2807)))))-COUNTBLANK(OFFSET(A$1,,,SUMPRODUCT(MAX(ROW(E$1:E2806)*(E2=E$1:E2806))))))</f>
        <v> </v>
      </c>
      <c r="K2807" s="25" t="str">
        <f>IF(OR(E2807="",E2807="!!!",F2807="NEW"),"",INDEX(J$1:J2806,SUMPRODUCT(MAX(ROW(E$1:E2806)*(E2807=E$1:E2806)))))</f>
        <v> </v>
      </c>
      <c r="L2807" s="26"/>
    </row>
    <row r="2808" spans="1:12">
      <c r="A2808" s="20" t="s">
        <v>565</v>
      </c>
      <c r="E2808" s="21">
        <f>IF(D2808="?OLD","!!!","")</f>
        <v/>
      </c>
      <c r="F2808" s="22" t="str">
        <f>IF(OR(E2808="",E2808="!!!"),"",IF(NOT(ISNA(VLOOKUP(E2808,E$1:E2807,1,FALSE()))),"OLD",IF(AND(E2808&lt;&gt;"",E2808&lt;&gt;"!!!"),"NEW","")))</f>
        <v> </v>
      </c>
      <c r="G2808" s="23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4" t="str">
        <f>IF(J2808&lt;&gt;1,"",IF(I2808="SBJ","CB","?"))</f>
        <v> </v>
      </c>
      <c r="I2808" s="25" t="str">
        <f>IF(OR(E2808="",E2808="!!!",F2808="NEW"),"",INDEX(B2807:B$2,-1+SUMPRODUCT(MAX(ROW(E2807:E$2)*(E2808=E2807:E$2)))))</f>
        <v> </v>
      </c>
      <c r="J2808" s="25" t="str">
        <f>IF(OR(E2808="",E2808="!!!",F2808="NEW"),"",COUNTBLANK(OFFSET(A$1,,,SUMPRODUCT(MAX(ROW(E$2:E2808)*(E2808=E$2:E2808)))))-COUNTBLANK(OFFSET(A$1,,,SUMPRODUCT(MAX(ROW(E$1:E2807)*(E2=E$1:E2807))))))</f>
        <v> </v>
      </c>
      <c r="K2808" s="25" t="str">
        <f>IF(OR(E2808="",E2808="!!!",F2808="NEW"),"",INDEX(J$1:J2807,SUMPRODUCT(MAX(ROW(E$1:E2807)*(E2808=E$1:E2807)))))</f>
        <v> </v>
      </c>
      <c r="L2808" s="26"/>
    </row>
    <row r="2809" spans="1:12">
      <c r="A2809" s="20" t="s">
        <v>577</v>
      </c>
      <c r="E2809" s="21">
        <f>IF(D2809="?OLD","!!!","")</f>
        <v/>
      </c>
      <c r="F2809" s="22" t="str">
        <f>IF(OR(E2809="",E2809="!!!"),"",IF(NOT(ISNA(VLOOKUP(E2809,E$1:E2808,1,FALSE()))),"OLD",IF(AND(E2809&lt;&gt;"",E2809&lt;&gt;"!!!"),"NEW","")))</f>
        <v> </v>
      </c>
      <c r="G2809" s="23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4" t="str">
        <f>IF(J2809&lt;&gt;1,"",IF(I2809="SBJ","CB","?"))</f>
        <v> </v>
      </c>
      <c r="I2809" s="25" t="str">
        <f>IF(OR(E2809="",E2809="!!!",F2809="NEW"),"",INDEX(B2808:B$2,-1+SUMPRODUCT(MAX(ROW(E2808:E$2)*(E2809=E2808:E$2)))))</f>
        <v> </v>
      </c>
      <c r="J2809" s="25" t="str">
        <f>IF(OR(E2809="",E2809="!!!",F2809="NEW"),"",COUNTBLANK(OFFSET(A$1,,,SUMPRODUCT(MAX(ROW(E$2:E2809)*(E2809=E$2:E2809)))))-COUNTBLANK(OFFSET(A$1,,,SUMPRODUCT(MAX(ROW(E$1:E2808)*(E2=E$1:E2808))))))</f>
        <v> </v>
      </c>
      <c r="K2809" s="25" t="str">
        <f>IF(OR(E2809="",E2809="!!!",F2809="NEW"),"",INDEX(J$1:J2808,SUMPRODUCT(MAX(ROW(E$1:E2808)*(E2809=E$1:E2808)))))</f>
        <v> </v>
      </c>
      <c r="L2809" s="26"/>
    </row>
    <row r="2810" spans="1:12">
      <c r="A2810" s="20" t="s">
        <v>571</v>
      </c>
      <c r="E2810" s="21">
        <f>IF(D2810="?OLD","!!!","")</f>
        <v/>
      </c>
      <c r="F2810" s="22" t="str">
        <f>IF(OR(E2810="",E2810="!!!"),"",IF(NOT(ISNA(VLOOKUP(E2810,E$1:E2809,1,FALSE()))),"OLD",IF(AND(E2810&lt;&gt;"",E2810&lt;&gt;"!!!"),"NEW","")))</f>
        <v> </v>
      </c>
      <c r="G2810" s="23" t="str">
        <f>IF(OR(E2810="",E2810="!!!"),"",IF(OR(J2810=0,AND(J2810=1,K2810=1),AND(J2810=1,I2810="SBJ"),AND(J2810=1,I2810=0)),"?IN_FOCUS",IF(J2810&lt;=2,"?ACTIVATED",IF(J2810&lt;&gt;"","?FAMILIAR",IF(F2810="NEW",IF(ISNA(VLOOKUP(E2810,#REF!,1,FALSE())),"?TYPE_IDENTIFIABLE","?REFERENTIAL"),"_")))))</f>
        <v> </v>
      </c>
      <c r="H2810" s="24" t="str">
        <f>IF(J2810&lt;&gt;1,"",IF(I2810="SBJ","CB","?"))</f>
        <v> </v>
      </c>
      <c r="I2810" s="25" t="str">
        <f>IF(OR(E2810="",E2810="!!!",F2810="NEW"),"",INDEX(B2809:B$2,-1+SUMPRODUCT(MAX(ROW(E2809:E$2)*(E2810=E2809:E$2)))))</f>
        <v> </v>
      </c>
      <c r="J2810" s="25" t="str">
        <f>IF(OR(E2810="",E2810="!!!",F2810="NEW"),"",COUNTBLANK(OFFSET(A$1,,,SUMPRODUCT(MAX(ROW(E$2:E2810)*(E2810=E$2:E2810)))))-COUNTBLANK(OFFSET(A$1,,,SUMPRODUCT(MAX(ROW(E$1:E2809)*(E2=E$1:E2809))))))</f>
        <v> </v>
      </c>
      <c r="K2810" s="25" t="str">
        <f>IF(OR(E2810="",E2810="!!!",F2810="NEW"),"",INDEX(J$1:J2809,SUMPRODUCT(MAX(ROW(E$1:E2809)*(E2810=E$1:E2809)))))</f>
        <v> </v>
      </c>
      <c r="L2810" s="26"/>
    </row>
    <row r="2811" spans="1:12">
      <c r="A2811" s="20" t="s">
        <v>948</v>
      </c>
      <c r="E2811" s="21">
        <f>IF(D2811="?OLD","!!!","")</f>
        <v/>
      </c>
      <c r="F2811" s="22" t="str">
        <f>IF(OR(E2811="",E2811="!!!"),"",IF(NOT(ISNA(VLOOKUP(E2811,E$1:E2810,1,FALSE()))),"OLD",IF(AND(E2811&lt;&gt;"",E2811&lt;&gt;"!!!"),"NEW","")))</f>
        <v> </v>
      </c>
      <c r="G2811" s="23" t="str">
        <f>IF(OR(E2811="",E2811="!!!"),"",IF(OR(J2811=0,AND(J2811=1,K2811=1),AND(J2811=1,I2811="SBJ"),AND(J2811=1,I2811=0)),"?IN_FOCUS",IF(J2811&lt;=2,"?ACTIVATED",IF(J2811&lt;&gt;"","?FAMILIAR",IF(F2811="NEW",IF(ISNA(VLOOKUP(E2811,#REF!,1,FALSE())),"?TYPE_IDENTIFIABLE","?REFERENTIAL"),"_")))))</f>
        <v> </v>
      </c>
      <c r="H2811" s="24" t="str">
        <f>IF(J2811&lt;&gt;1,"",IF(I2811="SBJ","CB","?"))</f>
        <v> </v>
      </c>
      <c r="I2811" s="25" t="str">
        <f>IF(OR(E2811="",E2811="!!!",F2811="NEW"),"",INDEX(B2810:B$2,-1+SUMPRODUCT(MAX(ROW(E2810:E$2)*(E2811=E2810:E$2)))))</f>
        <v> </v>
      </c>
      <c r="J2811" s="25" t="str">
        <f>IF(OR(E2811="",E2811="!!!",F2811="NEW"),"",COUNTBLANK(OFFSET(A$1,,,SUMPRODUCT(MAX(ROW(E$2:E2811)*(E2811=E$2:E2811)))))-COUNTBLANK(OFFSET(A$1,,,SUMPRODUCT(MAX(ROW(E$1:E2810)*(E2=E$1:E2810))))))</f>
        <v> </v>
      </c>
      <c r="K2811" s="25" t="str">
        <f>IF(OR(E2811="",E2811="!!!",F2811="NEW"),"",INDEX(J$1:J2810,SUMPRODUCT(MAX(ROW(E$1:E2810)*(E2811=E$1:E2810)))))</f>
        <v> </v>
      </c>
      <c r="L2811" s="26"/>
    </row>
    <row r="2812" spans="1:12">
      <c r="A2812" s="20" t="s">
        <v>1254</v>
      </c>
      <c r="B2812" s="27" t="s">
        <v>641</v>
      </c>
      <c r="C2812" s="27" t="s">
        <v>545</v>
      </c>
      <c r="D2812" s="27" t="s">
        <v>524</v>
      </c>
      <c r="E2812" s="21">
        <f>IF(D2812="?OLD","!!!","")</f>
        <v/>
      </c>
      <c r="F2812" s="22" t="str">
        <f>IF(OR(E2812="",E2812="!!!"),"",IF(NOT(ISNA(VLOOKUP(E2812,E$1:E2811,1,FALSE()))),"OLD",IF(AND(E2812&lt;&gt;"",E2812&lt;&gt;"!!!"),"NEW","")))</f>
        <v> </v>
      </c>
      <c r="G2812" s="23" t="str">
        <f>IF(OR(E2812="",E2812="!!!"),"",IF(OR(J2812=0,AND(J2812=1,K2812=1),AND(J2812=1,I2812="SBJ"),AND(J2812=1,I2812=0)),"?IN_FOCUS",IF(J2812&lt;=2,"?ACTIVATED",IF(J2812&lt;&gt;"","?FAMILIAR",IF(F2812="NEW",IF(ISNA(VLOOKUP(E2812,#REF!,1,FALSE())),"?TYPE_IDENTIFIABLE","?REFERENTIAL"),"_")))))</f>
        <v> </v>
      </c>
      <c r="H2812" s="24" t="str">
        <f>IF(J2812&lt;&gt;1,"",IF(I2812="SBJ","CB","?"))</f>
        <v> </v>
      </c>
      <c r="I2812" s="25" t="str">
        <f>IF(OR(E2812="",E2812="!!!",F2812="NEW"),"",INDEX(B2811:B$2,-1+SUMPRODUCT(MAX(ROW(E2811:E$2)*(E2812=E2811:E$2)))))</f>
        <v> </v>
      </c>
      <c r="J2812" s="25" t="str">
        <f>IF(OR(E2812="",E2812="!!!",F2812="NEW"),"",COUNTBLANK(OFFSET(A$1,,,SUMPRODUCT(MAX(ROW(E$2:E2812)*(E2812=E$2:E2812)))))-COUNTBLANK(OFFSET(A$1,,,SUMPRODUCT(MAX(ROW(E$1:E2811)*(E2=E$1:E2811))))))</f>
        <v> </v>
      </c>
      <c r="K2812" s="25" t="str">
        <f>IF(OR(E2812="",E2812="!!!",F2812="NEW"),"",INDEX(J$1:J2811,SUMPRODUCT(MAX(ROW(E$1:E2811)*(E2812=E$1:E2811)))))</f>
        <v> </v>
      </c>
      <c r="L2812" s="26"/>
    </row>
    <row r="2813" spans="1:12">
      <c r="A2813" s="20" t="s">
        <v>565</v>
      </c>
      <c r="E2813" s="21">
        <f>IF(D2813="?OLD","!!!","")</f>
        <v/>
      </c>
      <c r="F2813" s="22" t="str">
        <f>IF(OR(E2813="",E2813="!!!"),"",IF(NOT(ISNA(VLOOKUP(E2813,E$1:E2812,1,FALSE()))),"OLD",IF(AND(E2813&lt;&gt;"",E2813&lt;&gt;"!!!"),"NEW","")))</f>
        <v> </v>
      </c>
      <c r="G2813" s="23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4" t="str">
        <f>IF(J2813&lt;&gt;1,"",IF(I2813="SBJ","CB","?"))</f>
        <v> </v>
      </c>
      <c r="I2813" s="25" t="str">
        <f>IF(OR(E2813="",E2813="!!!",F2813="NEW"),"",INDEX(B2812:B$2,-1+SUMPRODUCT(MAX(ROW(E2812:E$2)*(E2813=E2812:E$2)))))</f>
        <v> </v>
      </c>
      <c r="J2813" s="25" t="str">
        <f>IF(OR(E2813="",E2813="!!!",F2813="NEW"),"",COUNTBLANK(OFFSET(A$1,,,SUMPRODUCT(MAX(ROW(E$2:E2813)*(E2813=E$2:E2813)))))-COUNTBLANK(OFFSET(A$1,,,SUMPRODUCT(MAX(ROW(E$1:E2812)*(E2=E$1:E2812))))))</f>
        <v> </v>
      </c>
      <c r="K2813" s="25" t="str">
        <f>IF(OR(E2813="",E2813="!!!",F2813="NEW"),"",INDEX(J$1:J2812,SUMPRODUCT(MAX(ROW(E$1:E2812)*(E2813=E$1:E2812)))))</f>
        <v> </v>
      </c>
      <c r="L2813" s="26"/>
    </row>
    <row r="2814" spans="1:12">
      <c r="A2814" s="20" t="s">
        <v>542</v>
      </c>
      <c r="E2814" s="21">
        <f>IF(D2814="?OLD","!!!","")</f>
        <v/>
      </c>
      <c r="F2814" s="22" t="str">
        <f>IF(OR(E2814="",E2814="!!!"),"",IF(NOT(ISNA(VLOOKUP(E2814,E$1:E2813,1,FALSE()))),"OLD",IF(AND(E2814&lt;&gt;"",E2814&lt;&gt;"!!!"),"NEW","")))</f>
        <v> </v>
      </c>
      <c r="G2814" s="23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4" t="str">
        <f>IF(J2814&lt;&gt;1,"",IF(I2814="SBJ","CB","?"))</f>
        <v> </v>
      </c>
      <c r="I2814" s="25" t="str">
        <f>IF(OR(E2814="",E2814="!!!",F2814="NEW"),"",INDEX(B2813:B$2,-1+SUMPRODUCT(MAX(ROW(E2813:E$2)*(E2814=E2813:E$2)))))</f>
        <v> </v>
      </c>
      <c r="J2814" s="25" t="str">
        <f>IF(OR(E2814="",E2814="!!!",F2814="NEW"),"",COUNTBLANK(OFFSET(A$1,,,SUMPRODUCT(MAX(ROW(E$2:E2814)*(E2814=E$2:E2814)))))-COUNTBLANK(OFFSET(A$1,,,SUMPRODUCT(MAX(ROW(E$1:E2813)*(E2=E$1:E2813))))))</f>
        <v> </v>
      </c>
      <c r="K2814" s="25" t="str">
        <f>IF(OR(E2814="",E2814="!!!",F2814="NEW"),"",INDEX(J$1:J2813,SUMPRODUCT(MAX(ROW(E$1:E2813)*(E2814=E$1:E2813)))))</f>
        <v> </v>
      </c>
      <c r="L2814" s="26"/>
    </row>
    <row r="2815" spans="1:12">
      <c r="A2815" s="20" t="s">
        <v>1491</v>
      </c>
      <c r="E2815" s="21">
        <f>IF(D2815="?OLD","!!!","")</f>
        <v/>
      </c>
      <c r="F2815" s="22" t="str">
        <f>IF(OR(E2815="",E2815="!!!"),"",IF(NOT(ISNA(VLOOKUP(E2815,E$1:E2814,1,FALSE()))),"OLD",IF(AND(E2815&lt;&gt;"",E2815&lt;&gt;"!!!"),"NEW","")))</f>
        <v> </v>
      </c>
      <c r="G2815" s="23" t="str">
        <f>IF(OR(E2815="",E2815="!!!"),"",IF(OR(J2815=0,AND(J2815=1,K2815=1),AND(J2815=1,I2815="SBJ"),AND(J2815=1,I2815=0)),"?IN_FOCUS",IF(J2815&lt;=2,"?ACTIVATED",IF(J2815&lt;&gt;"","?FAMILIAR",IF(F2815="NEW",IF(ISNA(VLOOKUP(E2815,#REF!,1,FALSE())),"?TYPE_IDENTIFIABLE","?REFERENTIAL"),"_")))))</f>
        <v> </v>
      </c>
      <c r="H2815" s="24" t="str">
        <f>IF(J2815&lt;&gt;1,"",IF(I2815="SBJ","CB","?"))</f>
        <v> </v>
      </c>
      <c r="I2815" s="25" t="str">
        <f>IF(OR(E2815="",E2815="!!!",F2815="NEW"),"",INDEX(B2814:B$2,-1+SUMPRODUCT(MAX(ROW(E2814:E$2)*(E2815=E2814:E$2)))))</f>
        <v> </v>
      </c>
      <c r="J2815" s="25" t="str">
        <f>IF(OR(E2815="",E2815="!!!",F2815="NEW"),"",COUNTBLANK(OFFSET(A$1,,,SUMPRODUCT(MAX(ROW(E$2:E2815)*(E2815=E$2:E2815)))))-COUNTBLANK(OFFSET(A$1,,,SUMPRODUCT(MAX(ROW(E$1:E2814)*(E2=E$1:E2814))))))</f>
        <v> </v>
      </c>
      <c r="K2815" s="25" t="str">
        <f>IF(OR(E2815="",E2815="!!!",F2815="NEW"),"",INDEX(J$1:J2814,SUMPRODUCT(MAX(ROW(E$1:E2814)*(E2815=E$1:E2814)))))</f>
        <v> </v>
      </c>
      <c r="L2815" s="26"/>
    </row>
    <row r="2816" spans="1:12">
      <c r="A2816" s="20" t="s">
        <v>520</v>
      </c>
      <c r="E2816" s="21">
        <f>IF(D2816="?OLD","!!!","")</f>
        <v/>
      </c>
      <c r="F2816" s="22" t="str">
        <f>IF(OR(E2816="",E2816="!!!"),"",IF(NOT(ISNA(VLOOKUP(E2816,E$1:E2815,1,FALSE()))),"OLD",IF(AND(E2816&lt;&gt;"",E2816&lt;&gt;"!!!"),"NEW","")))</f>
        <v> </v>
      </c>
      <c r="G2816" s="23" t="str">
        <f>IF(OR(E2816="",E2816="!!!"),"",IF(OR(J2816=0,AND(J2816=1,K2816=1),AND(J2816=1,I2816="SBJ"),AND(J2816=1,I2816=0)),"?IN_FOCUS",IF(J2816&lt;=2,"?ACTIVATED",IF(J2816&lt;&gt;"","?FAMILIAR",IF(F2816="NEW",IF(ISNA(VLOOKUP(E2816,#REF!,1,FALSE())),"?TYPE_IDENTIFIABLE","?REFERENTIAL"),"_")))))</f>
        <v> </v>
      </c>
      <c r="H2816" s="24" t="str">
        <f>IF(J2816&lt;&gt;1,"",IF(I2816="SBJ","CB","?"))</f>
        <v> </v>
      </c>
      <c r="I2816" s="25" t="str">
        <f>IF(OR(E2816="",E2816="!!!",F2816="NEW"),"",INDEX(B2815:B$2,-1+SUMPRODUCT(MAX(ROW(E2815:E$2)*(E2816=E2815:E$2)))))</f>
        <v> </v>
      </c>
      <c r="J2816" s="25" t="str">
        <f>IF(OR(E2816="",E2816="!!!",F2816="NEW"),"",COUNTBLANK(OFFSET(A$1,,,SUMPRODUCT(MAX(ROW(E$2:E2816)*(E2816=E$2:E2816)))))-COUNTBLANK(OFFSET(A$1,,,SUMPRODUCT(MAX(ROW(E$1:E2815)*(E2=E$1:E2815))))))</f>
        <v> </v>
      </c>
      <c r="K2816" s="25" t="str">
        <f>IF(OR(E2816="",E2816="!!!",F2816="NEW"),"",INDEX(J$1:J2815,SUMPRODUCT(MAX(ROW(E$1:E2815)*(E2816=E$1:E2815)))))</f>
        <v> </v>
      </c>
      <c r="L2816" s="26"/>
    </row>
    <row r="2817" spans="1:12">
      <c r="A2817" s="20" t="s">
        <v>682</v>
      </c>
      <c r="E2817" s="21">
        <f>IF(D2817="?OLD","!!!","")</f>
        <v/>
      </c>
      <c r="F2817" s="22" t="str">
        <f>IF(OR(E2817="",E2817="!!!"),"",IF(NOT(ISNA(VLOOKUP(E2817,E$1:E2816,1,FALSE()))),"OLD",IF(AND(E2817&lt;&gt;"",E2817&lt;&gt;"!!!"),"NEW","")))</f>
        <v> </v>
      </c>
      <c r="G2817" s="23" t="str">
        <f>IF(OR(E2817="",E2817="!!!"),"",IF(OR(J2817=0,AND(J2817=1,K2817=1),AND(J2817=1,I2817="SBJ"),AND(J2817=1,I2817=0)),"?IN_FOCUS",IF(J2817&lt;=2,"?ACTIVATED",IF(J2817&lt;&gt;"","?FAMILIAR",IF(F2817="NEW",IF(ISNA(VLOOKUP(E2817,#REF!,1,FALSE())),"?TYPE_IDENTIFIABLE","?REFERENTIAL"),"_")))))</f>
        <v> </v>
      </c>
      <c r="H2817" s="24" t="str">
        <f>IF(J2817&lt;&gt;1,"",IF(I2817="SBJ","CB","?"))</f>
        <v> </v>
      </c>
      <c r="I2817" s="25" t="str">
        <f>IF(OR(E2817="",E2817="!!!",F2817="NEW"),"",INDEX(B2816:B$2,-1+SUMPRODUCT(MAX(ROW(E2816:E$2)*(E2817=E2816:E$2)))))</f>
        <v> </v>
      </c>
      <c r="J2817" s="25" t="str">
        <f>IF(OR(E2817="",E2817="!!!",F2817="NEW"),"",COUNTBLANK(OFFSET(A$1,,,SUMPRODUCT(MAX(ROW(E$2:E2817)*(E2817=E$2:E2817)))))-COUNTBLANK(OFFSET(A$1,,,SUMPRODUCT(MAX(ROW(E$1:E2816)*(E2=E$1:E2816))))))</f>
        <v> </v>
      </c>
      <c r="K2817" s="25" t="str">
        <f>IF(OR(E2817="",E2817="!!!",F2817="NEW"),"",INDEX(J$1:J2816,SUMPRODUCT(MAX(ROW(E$1:E2816)*(E2817=E$1:E2816)))))</f>
        <v> </v>
      </c>
      <c r="L2817" s="26"/>
    </row>
    <row r="2818" spans="1:12">
      <c r="A2818" s="20" t="s">
        <v>1492</v>
      </c>
      <c r="B2818" s="27" t="s">
        <v>699</v>
      </c>
      <c r="C2818" s="27" t="s">
        <v>545</v>
      </c>
      <c r="D2818" s="27" t="s">
        <v>524</v>
      </c>
      <c r="E2818" s="21">
        <f>IF(D2818="?OLD","!!!","")</f>
        <v/>
      </c>
      <c r="F2818" s="22" t="str">
        <f>IF(OR(E2818="",E2818="!!!"),"",IF(NOT(ISNA(VLOOKUP(E2818,E$1:E2817,1,FALSE()))),"OLD",IF(AND(E2818&lt;&gt;"",E2818&lt;&gt;"!!!"),"NEW","")))</f>
        <v> </v>
      </c>
      <c r="G2818" s="23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4" t="str">
        <f>IF(J2818&lt;&gt;1,"",IF(I2818="SBJ","CB","?"))</f>
        <v> </v>
      </c>
      <c r="I2818" s="25" t="str">
        <f>IF(OR(E2818="",E2818="!!!",F2818="NEW"),"",INDEX(B2817:B$2,-1+SUMPRODUCT(MAX(ROW(E2817:E$2)*(E2818=E2817:E$2)))))</f>
        <v> </v>
      </c>
      <c r="J2818" s="25" t="str">
        <f>IF(OR(E2818="",E2818="!!!",F2818="NEW"),"",COUNTBLANK(OFFSET(A$1,,,SUMPRODUCT(MAX(ROW(E$2:E2818)*(E2818=E$2:E2818)))))-COUNTBLANK(OFFSET(A$1,,,SUMPRODUCT(MAX(ROW(E$1:E2817)*(E2=E$1:E2817))))))</f>
        <v> </v>
      </c>
      <c r="K2818" s="25" t="str">
        <f>IF(OR(E2818="",E2818="!!!",F2818="NEW"),"",INDEX(J$1:J2817,SUMPRODUCT(MAX(ROW(E$1:E2817)*(E2818=E$1:E2817)))))</f>
        <v> </v>
      </c>
      <c r="L2818" s="26"/>
    </row>
    <row r="2819" spans="1:12">
      <c r="A2819" s="20" t="s">
        <v>565</v>
      </c>
      <c r="E2819" s="21">
        <f>IF(D2819="?OLD","!!!","")</f>
        <v/>
      </c>
      <c r="F2819" s="22" t="str">
        <f>IF(OR(E2819="",E2819="!!!"),"",IF(NOT(ISNA(VLOOKUP(E2819,E$1:E2818,1,FALSE()))),"OLD",IF(AND(E2819&lt;&gt;"",E2819&lt;&gt;"!!!"),"NEW","")))</f>
        <v> </v>
      </c>
      <c r="G2819" s="23" t="str">
        <f>IF(OR(E2819="",E2819="!!!"),"",IF(OR(J2819=0,AND(J2819=1,K2819=1),AND(J2819=1,I2819="SBJ"),AND(J2819=1,I2819=0)),"?IN_FOCUS",IF(J2819&lt;=2,"?ACTIVATED",IF(J2819&lt;&gt;"","?FAMILIAR",IF(F2819="NEW",IF(ISNA(VLOOKUP(E2819,#REF!,1,FALSE())),"?TYPE_IDENTIFIABLE","?REFERENTIAL"),"_")))))</f>
        <v> </v>
      </c>
      <c r="H2819" s="24" t="str">
        <f>IF(J2819&lt;&gt;1,"",IF(I2819="SBJ","CB","?"))</f>
        <v> </v>
      </c>
      <c r="I2819" s="25" t="str">
        <f>IF(OR(E2819="",E2819="!!!",F2819="NEW"),"",INDEX(B2818:B$2,-1+SUMPRODUCT(MAX(ROW(E2818:E$2)*(E2819=E2818:E$2)))))</f>
        <v> </v>
      </c>
      <c r="J2819" s="25" t="str">
        <f>IF(OR(E2819="",E2819="!!!",F2819="NEW"),"",COUNTBLANK(OFFSET(A$1,,,SUMPRODUCT(MAX(ROW(E$2:E2819)*(E2819=E$2:E2819)))))-COUNTBLANK(OFFSET(A$1,,,SUMPRODUCT(MAX(ROW(E$1:E2818)*(E2=E$1:E2818))))))</f>
        <v> </v>
      </c>
      <c r="K2819" s="25" t="str">
        <f>IF(OR(E2819="",E2819="!!!",F2819="NEW"),"",INDEX(J$1:J2818,SUMPRODUCT(MAX(ROW(E$1:E2818)*(E2819=E$1:E2818)))))</f>
        <v> </v>
      </c>
      <c r="L2819" s="26"/>
    </row>
    <row r="2820" spans="1:12">
      <c r="A2820" s="20" t="s">
        <v>577</v>
      </c>
      <c r="E2820" s="21">
        <f>IF(D2820="?OLD","!!!","")</f>
        <v/>
      </c>
      <c r="F2820" s="22" t="str">
        <f>IF(OR(E2820="",E2820="!!!"),"",IF(NOT(ISNA(VLOOKUP(E2820,E$1:E2819,1,FALSE()))),"OLD",IF(AND(E2820&lt;&gt;"",E2820&lt;&gt;"!!!"),"NEW","")))</f>
        <v> </v>
      </c>
      <c r="G2820" s="23" t="str">
        <f>IF(OR(E2820="",E2820="!!!"),"",IF(OR(J2820=0,AND(J2820=1,K2820=1),AND(J2820=1,I2820="SBJ"),AND(J2820=1,I2820=0)),"?IN_FOCUS",IF(J2820&lt;=2,"?ACTIVATED",IF(J2820&lt;&gt;"","?FAMILIAR",IF(F2820="NEW",IF(ISNA(VLOOKUP(E2820,#REF!,1,FALSE())),"?TYPE_IDENTIFIABLE","?REFERENTIAL"),"_")))))</f>
        <v> </v>
      </c>
      <c r="H2820" s="24" t="str">
        <f>IF(J2820&lt;&gt;1,"",IF(I2820="SBJ","CB","?"))</f>
        <v> </v>
      </c>
      <c r="I2820" s="25" t="str">
        <f>IF(OR(E2820="",E2820="!!!",F2820="NEW"),"",INDEX(B2819:B$2,-1+SUMPRODUCT(MAX(ROW(E2819:E$2)*(E2820=E2819:E$2)))))</f>
        <v> </v>
      </c>
      <c r="J2820" s="25" t="str">
        <f>IF(OR(E2820="",E2820="!!!",F2820="NEW"),"",COUNTBLANK(OFFSET(A$1,,,SUMPRODUCT(MAX(ROW(E$2:E2820)*(E2820=E$2:E2820)))))-COUNTBLANK(OFFSET(A$1,,,SUMPRODUCT(MAX(ROW(E$1:E2819)*(E2=E$1:E2819))))))</f>
        <v> </v>
      </c>
      <c r="K2820" s="25" t="str">
        <f>IF(OR(E2820="",E2820="!!!",F2820="NEW"),"",INDEX(J$1:J2819,SUMPRODUCT(MAX(ROW(E$1:E2819)*(E2820=E$1:E2819)))))</f>
        <v> </v>
      </c>
      <c r="L2820" s="26"/>
    </row>
    <row r="2821" spans="1:12">
      <c r="A2821" s="20" t="s">
        <v>571</v>
      </c>
      <c r="E2821" s="21">
        <f>IF(D2821="?OLD","!!!","")</f>
        <v/>
      </c>
      <c r="F2821" s="22" t="str">
        <f>IF(OR(E2821="",E2821="!!!"),"",IF(NOT(ISNA(VLOOKUP(E2821,E$1:E2820,1,FALSE()))),"OLD",IF(AND(E2821&lt;&gt;"",E2821&lt;&gt;"!!!"),"NEW","")))</f>
        <v> </v>
      </c>
      <c r="G2821" s="23" t="str">
        <f>IF(OR(E2821="",E2821="!!!"),"",IF(OR(J2821=0,AND(J2821=1,K2821=1),AND(J2821=1,I2821="SBJ"),AND(J2821=1,I2821=0)),"?IN_FOCUS",IF(J2821&lt;=2,"?ACTIVATED",IF(J2821&lt;&gt;"","?FAMILIAR",IF(F2821="NEW",IF(ISNA(VLOOKUP(E2821,#REF!,1,FALSE())),"?TYPE_IDENTIFIABLE","?REFERENTIAL"),"_")))))</f>
        <v> </v>
      </c>
      <c r="H2821" s="24" t="str">
        <f>IF(J2821&lt;&gt;1,"",IF(I2821="SBJ","CB","?"))</f>
        <v> </v>
      </c>
      <c r="I2821" s="25" t="str">
        <f>IF(OR(E2821="",E2821="!!!",F2821="NEW"),"",INDEX(B2820:B$2,-1+SUMPRODUCT(MAX(ROW(E2820:E$2)*(E2821=E2820:E$2)))))</f>
        <v> </v>
      </c>
      <c r="J2821" s="25" t="str">
        <f>IF(OR(E2821="",E2821="!!!",F2821="NEW"),"",COUNTBLANK(OFFSET(A$1,,,SUMPRODUCT(MAX(ROW(E$2:E2821)*(E2821=E$2:E2821)))))-COUNTBLANK(OFFSET(A$1,,,SUMPRODUCT(MAX(ROW(E$1:E2820)*(E2=E$1:E2820))))))</f>
        <v> </v>
      </c>
      <c r="K2821" s="25" t="str">
        <f>IF(OR(E2821="",E2821="!!!",F2821="NEW"),"",INDEX(J$1:J2820,SUMPRODUCT(MAX(ROW(E$1:E2820)*(E2821=E$1:E2820)))))</f>
        <v> </v>
      </c>
      <c r="L2821" s="26"/>
    </row>
    <row r="2822" spans="1:12">
      <c r="A2822" s="20" t="s">
        <v>1493</v>
      </c>
      <c r="B2822" s="27" t="s">
        <v>699</v>
      </c>
      <c r="C2822" s="27" t="s">
        <v>540</v>
      </c>
      <c r="D2822" s="27" t="s">
        <v>524</v>
      </c>
      <c r="E2822" s="21">
        <f>IF(D2822="?OLD","!!!","")</f>
        <v/>
      </c>
      <c r="F2822" s="22" t="str">
        <f>IF(OR(E2822="",E2822="!!!"),"",IF(NOT(ISNA(VLOOKUP(E2822,E$1:E2821,1,FALSE()))),"OLD",IF(AND(E2822&lt;&gt;"",E2822&lt;&gt;"!!!"),"NEW","")))</f>
        <v> </v>
      </c>
      <c r="G2822" s="23" t="str">
        <f>IF(OR(E2822="",E2822="!!!"),"",IF(OR(J2822=0,AND(J2822=1,K2822=1),AND(J2822=1,I2822="SBJ"),AND(J2822=1,I2822=0)),"?IN_FOCUS",IF(J2822&lt;=2,"?ACTIVATED",IF(J2822&lt;&gt;"","?FAMILIAR",IF(F2822="NEW",IF(ISNA(VLOOKUP(E2822,#REF!,1,FALSE())),"?TYPE_IDENTIFIABLE","?REFERENTIAL"),"_")))))</f>
        <v> </v>
      </c>
      <c r="H2822" s="24" t="str">
        <f>IF(J2822&lt;&gt;1,"",IF(I2822="SBJ","CB","?"))</f>
        <v> </v>
      </c>
      <c r="I2822" s="25" t="str">
        <f>IF(OR(E2822="",E2822="!!!",F2822="NEW"),"",INDEX(B2821:B$2,-1+SUMPRODUCT(MAX(ROW(E2821:E$2)*(E2822=E2821:E$2)))))</f>
        <v> </v>
      </c>
      <c r="J2822" s="25" t="str">
        <f>IF(OR(E2822="",E2822="!!!",F2822="NEW"),"",COUNTBLANK(OFFSET(A$1,,,SUMPRODUCT(MAX(ROW(E$2:E2822)*(E2822=E$2:E2822)))))-COUNTBLANK(OFFSET(A$1,,,SUMPRODUCT(MAX(ROW(E$1:E2821)*(E2=E$1:E2821))))))</f>
        <v> </v>
      </c>
      <c r="K2822" s="25" t="str">
        <f>IF(OR(E2822="",E2822="!!!",F2822="NEW"),"",INDEX(J$1:J2821,SUMPRODUCT(MAX(ROW(E$1:E2821)*(E2822=E$1:E2821)))))</f>
        <v> </v>
      </c>
      <c r="L2822" s="26"/>
    </row>
    <row r="2823" spans="1:12">
      <c r="A2823" s="20" t="s">
        <v>518</v>
      </c>
      <c r="E2823" s="21">
        <f>IF(D2823="?OLD","!!!","")</f>
        <v/>
      </c>
      <c r="F2823" s="22" t="str">
        <f>IF(OR(E2823="",E2823="!!!"),"",IF(NOT(ISNA(VLOOKUP(E2823,E$1:E2822,1,FALSE()))),"OLD",IF(AND(E2823&lt;&gt;"",E2823&lt;&gt;"!!!"),"NEW","")))</f>
        <v> </v>
      </c>
      <c r="G2823" s="23" t="str">
        <f>IF(OR(E2823="",E2823="!!!"),"",IF(OR(J2823=0,AND(J2823=1,K2823=1),AND(J2823=1,I2823="SBJ"),AND(J2823=1,I2823=0)),"?IN_FOCUS",IF(J2823&lt;=2,"?ACTIVATED",IF(J2823&lt;&gt;"","?FAMILIAR",IF(F2823="NEW",IF(ISNA(VLOOKUP(E2823,#REF!,1,FALSE())),"?TYPE_IDENTIFIABLE","?REFERENTIAL"),"_")))))</f>
        <v> </v>
      </c>
      <c r="H2823" s="24" t="str">
        <f>IF(J2823&lt;&gt;1,"",IF(I2823="SBJ","CB","?"))</f>
        <v> </v>
      </c>
      <c r="I2823" s="25" t="str">
        <f>IF(OR(E2823="",E2823="!!!",F2823="NEW"),"",INDEX(B2822:B$2,-1+SUMPRODUCT(MAX(ROW(E2822:E$2)*(E2823=E2822:E$2)))))</f>
        <v> </v>
      </c>
      <c r="J2823" s="25" t="str">
        <f>IF(OR(E2823="",E2823="!!!",F2823="NEW"),"",COUNTBLANK(OFFSET(A$1,,,SUMPRODUCT(MAX(ROW(E$2:E2823)*(E2823=E$2:E2823)))))-COUNTBLANK(OFFSET(A$1,,,SUMPRODUCT(MAX(ROW(E$1:E2822)*(E2=E$1:E2822))))))</f>
        <v> </v>
      </c>
      <c r="K2823" s="25" t="str">
        <f>IF(OR(E2823="",E2823="!!!",F2823="NEW"),"",INDEX(J$1:J2822,SUMPRODUCT(MAX(ROW(E$1:E2822)*(E2823=E$1:E2822)))))</f>
        <v> </v>
      </c>
      <c r="L2823" s="26"/>
    </row>
    <row r="2824" spans="1:12">
      <c r="A2824" s="20" t="s">
        <v>571</v>
      </c>
      <c r="E2824" s="21">
        <f>IF(D2824="?OLD","!!!","")</f>
        <v/>
      </c>
      <c r="F2824" s="22" t="str">
        <f>IF(OR(E2824="",E2824="!!!"),"",IF(NOT(ISNA(VLOOKUP(E2824,E$1:E2823,1,FALSE()))),"OLD",IF(AND(E2824&lt;&gt;"",E2824&lt;&gt;"!!!"),"NEW","")))</f>
        <v> </v>
      </c>
      <c r="G2824" s="23" t="str">
        <f>IF(OR(E2824="",E2824="!!!"),"",IF(OR(J2824=0,AND(J2824=1,K2824=1),AND(J2824=1,I2824="SBJ"),AND(J2824=1,I2824=0)),"?IN_FOCUS",IF(J2824&lt;=2,"?ACTIVATED",IF(J2824&lt;&gt;"","?FAMILIAR",IF(F2824="NEW",IF(ISNA(VLOOKUP(E2824,#REF!,1,FALSE())),"?TYPE_IDENTIFIABLE","?REFERENTIAL"),"_")))))</f>
        <v> </v>
      </c>
      <c r="H2824" s="24" t="str">
        <f>IF(J2824&lt;&gt;1,"",IF(I2824="SBJ","CB","?"))</f>
        <v> </v>
      </c>
      <c r="I2824" s="25" t="str">
        <f>IF(OR(E2824="",E2824="!!!",F2824="NEW"),"",INDEX(B2823:B$2,-1+SUMPRODUCT(MAX(ROW(E2823:E$2)*(E2824=E2823:E$2)))))</f>
        <v> </v>
      </c>
      <c r="J2824" s="25" t="str">
        <f>IF(OR(E2824="",E2824="!!!",F2824="NEW"),"",COUNTBLANK(OFFSET(A$1,,,SUMPRODUCT(MAX(ROW(E$2:E2824)*(E2824=E$2:E2824)))))-COUNTBLANK(OFFSET(A$1,,,SUMPRODUCT(MAX(ROW(E$1:E2823)*(E2=E$1:E2823))))))</f>
        <v> </v>
      </c>
      <c r="K2824" s="25" t="str">
        <f>IF(OR(E2824="",E2824="!!!",F2824="NEW"),"",INDEX(J$1:J2823,SUMPRODUCT(MAX(ROW(E$1:E2823)*(E2824=E$1:E2823)))))</f>
        <v> </v>
      </c>
      <c r="L2824" s="26"/>
    </row>
    <row r="2825" spans="1:12">
      <c r="A2825" s="20" t="s">
        <v>912</v>
      </c>
      <c r="B2825" s="27" t="s">
        <v>658</v>
      </c>
      <c r="C2825" s="27" t="s">
        <v>540</v>
      </c>
      <c r="D2825" s="27" t="s">
        <v>524</v>
      </c>
      <c r="E2825" s="21">
        <f>IF(D2825="?OLD","!!!","")</f>
        <v/>
      </c>
      <c r="F2825" s="22" t="str">
        <f>IF(OR(E2825="",E2825="!!!"),"",IF(NOT(ISNA(VLOOKUP(E2825,E$1:E2824,1,FALSE()))),"OLD",IF(AND(E2825&lt;&gt;"",E2825&lt;&gt;"!!!"),"NEW","")))</f>
        <v> </v>
      </c>
      <c r="G2825" s="23" t="str">
        <f>IF(OR(E2825="",E2825="!!!"),"",IF(OR(J2825=0,AND(J2825=1,K2825=1),AND(J2825=1,I2825="SBJ"),AND(J2825=1,I2825=0)),"?IN_FOCUS",IF(J2825&lt;=2,"?ACTIVATED",IF(J2825&lt;&gt;"","?FAMILIAR",IF(F2825="NEW",IF(ISNA(VLOOKUP(E2825,#REF!,1,FALSE())),"?TYPE_IDENTIFIABLE","?REFERENTIAL"),"_")))))</f>
        <v> </v>
      </c>
      <c r="H2825" s="24" t="str">
        <f>IF(J2825&lt;&gt;1,"",IF(I2825="SBJ","CB","?"))</f>
        <v> </v>
      </c>
      <c r="I2825" s="25" t="str">
        <f>IF(OR(E2825="",E2825="!!!",F2825="NEW"),"",INDEX(B2824:B$2,-1+SUMPRODUCT(MAX(ROW(E2824:E$2)*(E2825=E2824:E$2)))))</f>
        <v> </v>
      </c>
      <c r="J2825" s="25" t="str">
        <f>IF(OR(E2825="",E2825="!!!",F2825="NEW"),"",COUNTBLANK(OFFSET(A$1,,,SUMPRODUCT(MAX(ROW(E$2:E2825)*(E2825=E$2:E2825)))))-COUNTBLANK(OFFSET(A$1,,,SUMPRODUCT(MAX(ROW(E$1:E2824)*(E2=E$1:E2824))))))</f>
        <v> </v>
      </c>
      <c r="K2825" s="25" t="str">
        <f>IF(OR(E2825="",E2825="!!!",F2825="NEW"),"",INDEX(J$1:J2824,SUMPRODUCT(MAX(ROW(E$1:E2824)*(E2825=E$1:E2824)))))</f>
        <v> </v>
      </c>
      <c r="L2825" s="26"/>
    </row>
    <row r="2826" spans="1:12">
      <c r="A2826" s="20" t="s">
        <v>518</v>
      </c>
      <c r="E2826" s="21">
        <f>IF(D2826="?OLD","!!!","")</f>
        <v/>
      </c>
      <c r="F2826" s="22" t="str">
        <f>IF(OR(E2826="",E2826="!!!"),"",IF(NOT(ISNA(VLOOKUP(E2826,E$1:E2825,1,FALSE()))),"OLD",IF(AND(E2826&lt;&gt;"",E2826&lt;&gt;"!!!"),"NEW","")))</f>
        <v> </v>
      </c>
      <c r="G2826" s="23" t="str">
        <f>IF(OR(E2826="",E2826="!!!"),"",IF(OR(J2826=0,AND(J2826=1,K2826=1),AND(J2826=1,I2826="SBJ"),AND(J2826=1,I2826=0)),"?IN_FOCUS",IF(J2826&lt;=2,"?ACTIVATED",IF(J2826&lt;&gt;"","?FAMILIAR",IF(F2826="NEW",IF(ISNA(VLOOKUP(E2826,#REF!,1,FALSE())),"?TYPE_IDENTIFIABLE","?REFERENTIAL"),"_")))))</f>
        <v> </v>
      </c>
      <c r="H2826" s="24" t="str">
        <f>IF(J2826&lt;&gt;1,"",IF(I2826="SBJ","CB","?"))</f>
        <v> </v>
      </c>
      <c r="I2826" s="25" t="str">
        <f>IF(OR(E2826="",E2826="!!!",F2826="NEW"),"",INDEX(B2825:B$2,-1+SUMPRODUCT(MAX(ROW(E2825:E$2)*(E2826=E2825:E$2)))))</f>
        <v> </v>
      </c>
      <c r="J2826" s="25" t="str">
        <f>IF(OR(E2826="",E2826="!!!",F2826="NEW"),"",COUNTBLANK(OFFSET(A$1,,,SUMPRODUCT(MAX(ROW(E$2:E2826)*(E2826=E$2:E2826)))))-COUNTBLANK(OFFSET(A$1,,,SUMPRODUCT(MAX(ROW(E$1:E2825)*(E2=E$1:E2825))))))</f>
        <v> </v>
      </c>
      <c r="K2826" s="25" t="str">
        <f>IF(OR(E2826="",E2826="!!!",F2826="NEW"),"",INDEX(J$1:J2825,SUMPRODUCT(MAX(ROW(E$1:E2825)*(E2826=E$1:E2825)))))</f>
        <v> </v>
      </c>
      <c r="L2826" s="26"/>
    </row>
    <row r="2827" spans="1:12">
      <c r="A2827" s="20" t="s">
        <v>730</v>
      </c>
      <c r="E2827" s="21">
        <f>IF(D2827="?OLD","!!!","")</f>
        <v/>
      </c>
      <c r="F2827" s="22" t="str">
        <f>IF(OR(E2827="",E2827="!!!"),"",IF(NOT(ISNA(VLOOKUP(E2827,E$1:E2826,1,FALSE()))),"OLD",IF(AND(E2827&lt;&gt;"",E2827&lt;&gt;"!!!"),"NEW","")))</f>
        <v> </v>
      </c>
      <c r="G2827" s="23" t="str">
        <f>IF(OR(E2827="",E2827="!!!"),"",IF(OR(J2827=0,AND(J2827=1,K2827=1),AND(J2827=1,I2827="SBJ"),AND(J2827=1,I2827=0)),"?IN_FOCUS",IF(J2827&lt;=2,"?ACTIVATED",IF(J2827&lt;&gt;"","?FAMILIAR",IF(F2827="NEW",IF(ISNA(VLOOKUP(E2827,#REF!,1,FALSE())),"?TYPE_IDENTIFIABLE","?REFERENTIAL"),"_")))))</f>
        <v> </v>
      </c>
      <c r="H2827" s="24" t="str">
        <f>IF(J2827&lt;&gt;1,"",IF(I2827="SBJ","CB","?"))</f>
        <v> </v>
      </c>
      <c r="I2827" s="25" t="str">
        <f>IF(OR(E2827="",E2827="!!!",F2827="NEW"),"",INDEX(B2826:B$2,-1+SUMPRODUCT(MAX(ROW(E2826:E$2)*(E2827=E2826:E$2)))))</f>
        <v> </v>
      </c>
      <c r="J2827" s="25" t="str">
        <f>IF(OR(E2827="",E2827="!!!",F2827="NEW"),"",COUNTBLANK(OFFSET(A$1,,,SUMPRODUCT(MAX(ROW(E$2:E2827)*(E2827=E$2:E2827)))))-COUNTBLANK(OFFSET(A$1,,,SUMPRODUCT(MAX(ROW(E$1:E2826)*(E2=E$1:E2826))))))</f>
        <v> </v>
      </c>
      <c r="K2827" s="25" t="str">
        <f>IF(OR(E2827="",E2827="!!!",F2827="NEW"),"",INDEX(J$1:J2826,SUMPRODUCT(MAX(ROW(E$1:E2826)*(E2827=E$1:E2826)))))</f>
        <v> </v>
      </c>
      <c r="L2827" s="26"/>
    </row>
    <row r="2828" spans="1:12">
      <c r="A2828" s="20" t="s">
        <v>1494</v>
      </c>
      <c r="B2828" s="27" t="s">
        <v>618</v>
      </c>
      <c r="C2828" s="27" t="s">
        <v>545</v>
      </c>
      <c r="D2828" s="27" t="s">
        <v>524</v>
      </c>
      <c r="E2828" s="21">
        <f>IF(D2828="?OLD","!!!","")</f>
        <v/>
      </c>
      <c r="F2828" s="22" t="str">
        <f>IF(OR(E2828="",E2828="!!!"),"",IF(NOT(ISNA(VLOOKUP(E2828,E$1:E2827,1,FALSE()))),"OLD",IF(AND(E2828&lt;&gt;"",E2828&lt;&gt;"!!!"),"NEW","")))</f>
        <v> </v>
      </c>
      <c r="G2828" s="23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4" t="str">
        <f>IF(J2828&lt;&gt;1,"",IF(I2828="SBJ","CB","?"))</f>
        <v> </v>
      </c>
      <c r="I2828" s="25" t="str">
        <f>IF(OR(E2828="",E2828="!!!",F2828="NEW"),"",INDEX(B2827:B$2,-1+SUMPRODUCT(MAX(ROW(E2827:E$2)*(E2828=E2827:E$2)))))</f>
        <v> </v>
      </c>
      <c r="J2828" s="25" t="str">
        <f>IF(OR(E2828="",E2828="!!!",F2828="NEW"),"",COUNTBLANK(OFFSET(A$1,,,SUMPRODUCT(MAX(ROW(E$2:E2828)*(E2828=E$2:E2828)))))-COUNTBLANK(OFFSET(A$1,,,SUMPRODUCT(MAX(ROW(E$1:E2827)*(E2=E$1:E2827))))))</f>
        <v> </v>
      </c>
      <c r="K2828" s="25" t="str">
        <f>IF(OR(E2828="",E2828="!!!",F2828="NEW"),"",INDEX(J$1:J2827,SUMPRODUCT(MAX(ROW(E$1:E2827)*(E2828=E$1:E2827)))))</f>
        <v> </v>
      </c>
      <c r="L2828" s="26"/>
    </row>
    <row r="2829" spans="1:12">
      <c r="A2829" s="20" t="s">
        <v>565</v>
      </c>
      <c r="E2829" s="21">
        <f>IF(D2829="?OLD","!!!","")</f>
        <v/>
      </c>
      <c r="F2829" s="22" t="str">
        <f>IF(OR(E2829="",E2829="!!!"),"",IF(NOT(ISNA(VLOOKUP(E2829,E$1:E2828,1,FALSE()))),"OLD",IF(AND(E2829&lt;&gt;"",E2829&lt;&gt;"!!!"),"NEW","")))</f>
        <v> </v>
      </c>
      <c r="G2829" s="23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4" t="str">
        <f>IF(J2829&lt;&gt;1,"",IF(I2829="SBJ","CB","?"))</f>
        <v> </v>
      </c>
      <c r="I2829" s="25" t="str">
        <f>IF(OR(E2829="",E2829="!!!",F2829="NEW"),"",INDEX(B2828:B$2,-1+SUMPRODUCT(MAX(ROW(E2828:E$2)*(E2829=E2828:E$2)))))</f>
        <v> </v>
      </c>
      <c r="J2829" s="25" t="str">
        <f>IF(OR(E2829="",E2829="!!!",F2829="NEW"),"",COUNTBLANK(OFFSET(A$1,,,SUMPRODUCT(MAX(ROW(E$2:E2829)*(E2829=E$2:E2829)))))-COUNTBLANK(OFFSET(A$1,,,SUMPRODUCT(MAX(ROW(E$1:E2828)*(E2=E$1:E2828))))))</f>
        <v> </v>
      </c>
      <c r="K2829" s="25" t="str">
        <f>IF(OR(E2829="",E2829="!!!",F2829="NEW"),"",INDEX(J$1:J2828,SUMPRODUCT(MAX(ROW(E$1:E2828)*(E2829=E$1:E2828)))))</f>
        <v> </v>
      </c>
      <c r="L2829" s="26"/>
    </row>
    <row r="2830" spans="1:12">
      <c r="A2830" s="20" t="s">
        <v>542</v>
      </c>
      <c r="E2830" s="21">
        <f>IF(D2830="?OLD","!!!","")</f>
        <v/>
      </c>
      <c r="F2830" s="22" t="str">
        <f>IF(OR(E2830="",E2830="!!!"),"",IF(NOT(ISNA(VLOOKUP(E2830,E$1:E2829,1,FALSE()))),"OLD",IF(AND(E2830&lt;&gt;"",E2830&lt;&gt;"!!!"),"NEW","")))</f>
        <v> </v>
      </c>
      <c r="G2830" s="23" t="str">
        <f>IF(OR(E2830="",E2830="!!!"),"",IF(OR(J2830=0,AND(J2830=1,K2830=1),AND(J2830=1,I2830="SBJ"),AND(J2830=1,I2830=0)),"?IN_FOCUS",IF(J2830&lt;=2,"?ACTIVATED",IF(J2830&lt;&gt;"","?FAMILIAR",IF(F2830="NEW",IF(ISNA(VLOOKUP(E2830,#REF!,1,FALSE())),"?TYPE_IDENTIFIABLE","?REFERENTIAL"),"_")))))</f>
        <v> </v>
      </c>
      <c r="H2830" s="24" t="str">
        <f>IF(J2830&lt;&gt;1,"",IF(I2830="SBJ","CB","?"))</f>
        <v> </v>
      </c>
      <c r="I2830" s="25" t="str">
        <f>IF(OR(E2830="",E2830="!!!",F2830="NEW"),"",INDEX(B2829:B$2,-1+SUMPRODUCT(MAX(ROW(E2829:E$2)*(E2830=E2829:E$2)))))</f>
        <v> </v>
      </c>
      <c r="J2830" s="25" t="str">
        <f>IF(OR(E2830="",E2830="!!!",F2830="NEW"),"",COUNTBLANK(OFFSET(A$1,,,SUMPRODUCT(MAX(ROW(E$2:E2830)*(E2830=E$2:E2830)))))-COUNTBLANK(OFFSET(A$1,,,SUMPRODUCT(MAX(ROW(E$1:E2829)*(E2=E$1:E2829))))))</f>
        <v> </v>
      </c>
      <c r="K2830" s="25" t="str">
        <f>IF(OR(E2830="",E2830="!!!",F2830="NEW"),"",INDEX(J$1:J2829,SUMPRODUCT(MAX(ROW(E$1:E2829)*(E2830=E$1:E2829)))))</f>
        <v> </v>
      </c>
      <c r="L2830" s="26"/>
    </row>
    <row r="2831" spans="1:12">
      <c r="A2831" s="20" t="s">
        <v>1488</v>
      </c>
      <c r="E2831" s="21">
        <f>IF(D2831="?OLD","!!!","")</f>
        <v/>
      </c>
      <c r="F2831" s="22" t="str">
        <f>IF(OR(E2831="",E2831="!!!"),"",IF(NOT(ISNA(VLOOKUP(E2831,E$1:E2830,1,FALSE()))),"OLD",IF(AND(E2831&lt;&gt;"",E2831&lt;&gt;"!!!"),"NEW","")))</f>
        <v> </v>
      </c>
      <c r="G2831" s="23" t="str">
        <f>IF(OR(E2831="",E2831="!!!"),"",IF(OR(J2831=0,AND(J2831=1,K2831=1),AND(J2831=1,I2831="SBJ"),AND(J2831=1,I2831=0)),"?IN_FOCUS",IF(J2831&lt;=2,"?ACTIVATED",IF(J2831&lt;&gt;"","?FAMILIAR",IF(F2831="NEW",IF(ISNA(VLOOKUP(E2831,#REF!,1,FALSE())),"?TYPE_IDENTIFIABLE","?REFERENTIAL"),"_")))))</f>
        <v> </v>
      </c>
      <c r="H2831" s="24" t="str">
        <f>IF(J2831&lt;&gt;1,"",IF(I2831="SBJ","CB","?"))</f>
        <v> </v>
      </c>
      <c r="I2831" s="25" t="str">
        <f>IF(OR(E2831="",E2831="!!!",F2831="NEW"),"",INDEX(B2830:B$2,-1+SUMPRODUCT(MAX(ROW(E2830:E$2)*(E2831=E2830:E$2)))))</f>
        <v> </v>
      </c>
      <c r="J2831" s="25" t="str">
        <f>IF(OR(E2831="",E2831="!!!",F2831="NEW"),"",COUNTBLANK(OFFSET(A$1,,,SUMPRODUCT(MAX(ROW(E$2:E2831)*(E2831=E$2:E2831)))))-COUNTBLANK(OFFSET(A$1,,,SUMPRODUCT(MAX(ROW(E$1:E2830)*(E2=E$1:E2830))))))</f>
        <v> </v>
      </c>
      <c r="K2831" s="25" t="str">
        <f>IF(OR(E2831="",E2831="!!!",F2831="NEW"),"",INDEX(J$1:J2830,SUMPRODUCT(MAX(ROW(E$1:E2830)*(E2831=E$1:E2830)))))</f>
        <v> </v>
      </c>
      <c r="L2831" s="26"/>
    </row>
    <row r="2832" spans="1:12">
      <c r="A2832" s="20" t="s">
        <v>525</v>
      </c>
      <c r="E2832" s="21">
        <f>IF(D2832="?OLD","!!!","")</f>
        <v/>
      </c>
      <c r="F2832" s="22" t="str">
        <f>IF(OR(E2832="",E2832="!!!"),"",IF(NOT(ISNA(VLOOKUP(E2832,E$1:E2831,1,FALSE()))),"OLD",IF(AND(E2832&lt;&gt;"",E2832&lt;&gt;"!!!"),"NEW","")))</f>
        <v> </v>
      </c>
      <c r="G2832" s="23" t="str">
        <f>IF(OR(E2832="",E2832="!!!"),"",IF(OR(J2832=0,AND(J2832=1,K2832=1),AND(J2832=1,I2832="SBJ"),AND(J2832=1,I2832=0)),"?IN_FOCUS",IF(J2832&lt;=2,"?ACTIVATED",IF(J2832&lt;&gt;"","?FAMILIAR",IF(F2832="NEW",IF(ISNA(VLOOKUP(E2832,#REF!,1,FALSE())),"?TYPE_IDENTIFIABLE","?REFERENTIAL"),"_")))))</f>
        <v> </v>
      </c>
      <c r="H2832" s="24" t="str">
        <f>IF(J2832&lt;&gt;1,"",IF(I2832="SBJ","CB","?"))</f>
        <v> </v>
      </c>
      <c r="I2832" s="25" t="str">
        <f>IF(OR(E2832="",E2832="!!!",F2832="NEW"),"",INDEX(B2831:B$2,-1+SUMPRODUCT(MAX(ROW(E2831:E$2)*(E2832=E2831:E$2)))))</f>
        <v> </v>
      </c>
      <c r="J2832" s="25" t="str">
        <f>IF(OR(E2832="",E2832="!!!",F2832="NEW"),"",COUNTBLANK(OFFSET(A$1,,,SUMPRODUCT(MAX(ROW(E$2:E2832)*(E2832=E$2:E2832)))))-COUNTBLANK(OFFSET(A$1,,,SUMPRODUCT(MAX(ROW(E$1:E2831)*(E2=E$1:E2831))))))</f>
        <v> </v>
      </c>
      <c r="K2832" s="25" t="str">
        <f>IF(OR(E2832="",E2832="!!!",F2832="NEW"),"",INDEX(J$1:J2831,SUMPRODUCT(MAX(ROW(E$1:E2831)*(E2832=E$1:E2831)))))</f>
        <v> </v>
      </c>
      <c r="L2832" s="26"/>
    </row>
    <row r="2833" spans="1:12">
      <c r="A2833" s="20" t="s">
        <v>1495</v>
      </c>
      <c r="B2833" s="27" t="s">
        <v>583</v>
      </c>
      <c r="C2833" s="27" t="s">
        <v>540</v>
      </c>
      <c r="D2833" s="27" t="s">
        <v>524</v>
      </c>
      <c r="E2833" s="21">
        <f>IF(D2833="?OLD","!!!","")</f>
        <v/>
      </c>
      <c r="F2833" s="22" t="str">
        <f>IF(OR(E2833="",E2833="!!!"),"",IF(NOT(ISNA(VLOOKUP(E2833,E$1:E2832,1,FALSE()))),"OLD",IF(AND(E2833&lt;&gt;"",E2833&lt;&gt;"!!!"),"NEW","")))</f>
        <v> </v>
      </c>
      <c r="G2833" s="23" t="str">
        <f>IF(OR(E2833="",E2833="!!!"),"",IF(OR(J2833=0,AND(J2833=1,K2833=1),AND(J2833=1,I2833="SBJ"),AND(J2833=1,I2833=0)),"?IN_FOCUS",IF(J2833&lt;=2,"?ACTIVATED",IF(J2833&lt;&gt;"","?FAMILIAR",IF(F2833="NEW",IF(ISNA(VLOOKUP(E2833,#REF!,1,FALSE())),"?TYPE_IDENTIFIABLE","?REFERENTIAL"),"_")))))</f>
        <v> </v>
      </c>
      <c r="H2833" s="24" t="str">
        <f>IF(J2833&lt;&gt;1,"",IF(I2833="SBJ","CB","?"))</f>
        <v> </v>
      </c>
      <c r="I2833" s="25" t="str">
        <f>IF(OR(E2833="",E2833="!!!",F2833="NEW"),"",INDEX(B2832:B$2,-1+SUMPRODUCT(MAX(ROW(E2832:E$2)*(E2833=E2832:E$2)))))</f>
        <v> </v>
      </c>
      <c r="J2833" s="25" t="str">
        <f>IF(OR(E2833="",E2833="!!!",F2833="NEW"),"",COUNTBLANK(OFFSET(A$1,,,SUMPRODUCT(MAX(ROW(E$2:E2833)*(E2833=E$2:E2833)))))-COUNTBLANK(OFFSET(A$1,,,SUMPRODUCT(MAX(ROW(E$1:E2832)*(E2=E$1:E2832))))))</f>
        <v> </v>
      </c>
      <c r="K2833" s="25" t="str">
        <f>IF(OR(E2833="",E2833="!!!",F2833="NEW"),"",INDEX(J$1:J2832,SUMPRODUCT(MAX(ROW(E$1:E2832)*(E2833=E$1:E2832)))))</f>
        <v> </v>
      </c>
      <c r="L2833" s="26"/>
    </row>
    <row r="2834" spans="1:12">
      <c r="A2834" s="20" t="s">
        <v>518</v>
      </c>
      <c r="E2834" s="21">
        <f>IF(D2834="?OLD","!!!","")</f>
        <v/>
      </c>
      <c r="F2834" s="22" t="str">
        <f>IF(OR(E2834="",E2834="!!!"),"",IF(NOT(ISNA(VLOOKUP(E2834,E$1:E2833,1,FALSE()))),"OLD",IF(AND(E2834&lt;&gt;"",E2834&lt;&gt;"!!!"),"NEW","")))</f>
        <v> </v>
      </c>
      <c r="G2834" s="23" t="str">
        <f>IF(OR(E2834="",E2834="!!!"),"",IF(OR(J2834=0,AND(J2834=1,K2834=1),AND(J2834=1,I2834="SBJ"),AND(J2834=1,I2834=0)),"?IN_FOCUS",IF(J2834&lt;=2,"?ACTIVATED",IF(J2834&lt;&gt;"","?FAMILIAR",IF(F2834="NEW",IF(ISNA(VLOOKUP(E2834,#REF!,1,FALSE())),"?TYPE_IDENTIFIABLE","?REFERENTIAL"),"_")))))</f>
        <v> </v>
      </c>
      <c r="H2834" s="24" t="str">
        <f>IF(J2834&lt;&gt;1,"",IF(I2834="SBJ","CB","?"))</f>
        <v> </v>
      </c>
      <c r="I2834" s="25" t="str">
        <f>IF(OR(E2834="",E2834="!!!",F2834="NEW"),"",INDEX(B2833:B$2,-1+SUMPRODUCT(MAX(ROW(E2833:E$2)*(E2834=E2833:E$2)))))</f>
        <v> </v>
      </c>
      <c r="J2834" s="25" t="str">
        <f>IF(OR(E2834="",E2834="!!!",F2834="NEW"),"",COUNTBLANK(OFFSET(A$1,,,SUMPRODUCT(MAX(ROW(E$2:E2834)*(E2834=E$2:E2834)))))-COUNTBLANK(OFFSET(A$1,,,SUMPRODUCT(MAX(ROW(E$1:E2833)*(E2=E$1:E2833))))))</f>
        <v> </v>
      </c>
      <c r="K2834" s="25" t="str">
        <f>IF(OR(E2834="",E2834="!!!",F2834="NEW"),"",INDEX(J$1:J2833,SUMPRODUCT(MAX(ROW(E$1:E2833)*(E2834=E$1:E2833)))))</f>
        <v> </v>
      </c>
      <c r="L2834" s="26"/>
    </row>
    <row r="2835" spans="1:12">
      <c r="A2835" s="20" t="s">
        <v>1496</v>
      </c>
      <c r="B2835" s="27" t="s">
        <v>618</v>
      </c>
      <c r="C2835" s="27" t="s">
        <v>564</v>
      </c>
      <c r="E2835" s="21">
        <f>IF(D2835="?OLD","!!!","")</f>
        <v/>
      </c>
      <c r="F2835" s="22" t="str">
        <f>IF(OR(E2835="",E2835="!!!"),"",IF(NOT(ISNA(VLOOKUP(E2835,E$1:E2834,1,FALSE()))),"OLD",IF(AND(E2835&lt;&gt;"",E2835&lt;&gt;"!!!"),"NEW","")))</f>
        <v> </v>
      </c>
      <c r="G2835" s="23" t="str">
        <f>IF(OR(E2835="",E2835="!!!"),"",IF(OR(J2835=0,AND(J2835=1,K2835=1),AND(J2835=1,I2835="SBJ"),AND(J2835=1,I2835=0)),"?IN_FOCUS",IF(J2835&lt;=2,"?ACTIVATED",IF(J2835&lt;&gt;"","?FAMILIAR",IF(F2835="NEW",IF(ISNA(VLOOKUP(E2835,#REF!,1,FALSE())),"?TYPE_IDENTIFIABLE","?REFERENTIAL"),"_")))))</f>
        <v> </v>
      </c>
      <c r="H2835" s="24" t="str">
        <f>IF(J2835&lt;&gt;1,"",IF(I2835="SBJ","CB","?"))</f>
        <v> </v>
      </c>
      <c r="I2835" s="25" t="str">
        <f>IF(OR(E2835="",E2835="!!!",F2835="NEW"),"",INDEX(B2834:B$2,-1+SUMPRODUCT(MAX(ROW(E2834:E$2)*(E2835=E2834:E$2)))))</f>
        <v> </v>
      </c>
      <c r="J2835" s="25" t="str">
        <f>IF(OR(E2835="",E2835="!!!",F2835="NEW"),"",COUNTBLANK(OFFSET(A$1,,,SUMPRODUCT(MAX(ROW(E$2:E2835)*(E2835=E$2:E2835)))))-COUNTBLANK(OFFSET(A$1,,,SUMPRODUCT(MAX(ROW(E$1:E2834)*(E2=E$1:E2834))))))</f>
        <v> </v>
      </c>
      <c r="K2835" s="25" t="str">
        <f>IF(OR(E2835="",E2835="!!!",F2835="NEW"),"",INDEX(J$1:J2834,SUMPRODUCT(MAX(ROW(E$1:E2834)*(E2835=E$1:E2834)))))</f>
        <v> </v>
      </c>
      <c r="L2835" s="26"/>
    </row>
    <row r="2836" spans="1:12">
      <c r="A2836" s="20" t="s">
        <v>565</v>
      </c>
      <c r="E2836" s="21">
        <f>IF(D2836="?OLD","!!!","")</f>
        <v/>
      </c>
      <c r="F2836" s="22" t="str">
        <f>IF(OR(E2836="",E2836="!!!"),"",IF(NOT(ISNA(VLOOKUP(E2836,E$1:E2835,1,FALSE()))),"OLD",IF(AND(E2836&lt;&gt;"",E2836&lt;&gt;"!!!"),"NEW","")))</f>
        <v> </v>
      </c>
      <c r="G2836" s="23" t="str">
        <f>IF(OR(E2836="",E2836="!!!"),"",IF(OR(J2836=0,AND(J2836=1,K2836=1),AND(J2836=1,I2836="SBJ"),AND(J2836=1,I2836=0)),"?IN_FOCUS",IF(J2836&lt;=2,"?ACTIVATED",IF(J2836&lt;&gt;"","?FAMILIAR",IF(F2836="NEW",IF(ISNA(VLOOKUP(E2836,#REF!,1,FALSE())),"?TYPE_IDENTIFIABLE","?REFERENTIAL"),"_")))))</f>
        <v> </v>
      </c>
      <c r="H2836" s="24" t="str">
        <f>IF(J2836&lt;&gt;1,"",IF(I2836="SBJ","CB","?"))</f>
        <v> </v>
      </c>
      <c r="I2836" s="25" t="str">
        <f>IF(OR(E2836="",E2836="!!!",F2836="NEW"),"",INDEX(B2835:B$2,-1+SUMPRODUCT(MAX(ROW(E2835:E$2)*(E2836=E2835:E$2)))))</f>
        <v> </v>
      </c>
      <c r="J2836" s="25" t="str">
        <f>IF(OR(E2836="",E2836="!!!",F2836="NEW"),"",COUNTBLANK(OFFSET(A$1,,,SUMPRODUCT(MAX(ROW(E$2:E2836)*(E2836=E$2:E2836)))))-COUNTBLANK(OFFSET(A$1,,,SUMPRODUCT(MAX(ROW(E$1:E2835)*(E2=E$1:E2835))))))</f>
        <v> </v>
      </c>
      <c r="K2836" s="25" t="str">
        <f>IF(OR(E2836="",E2836="!!!",F2836="NEW"),"",INDEX(J$1:J2835,SUMPRODUCT(MAX(ROW(E$1:E2835)*(E2836=E$1:E2835)))))</f>
        <v> </v>
      </c>
      <c r="L2836" s="26"/>
    </row>
    <row r="2837" spans="1:12">
      <c r="A2837" s="20" t="s">
        <v>813</v>
      </c>
      <c r="E2837" s="21">
        <f>IF(D2837="?OLD","!!!","")</f>
        <v/>
      </c>
      <c r="F2837" s="22" t="str">
        <f>IF(OR(E2837="",E2837="!!!"),"",IF(NOT(ISNA(VLOOKUP(E2837,E$1:E2836,1,FALSE()))),"OLD",IF(AND(E2837&lt;&gt;"",E2837&lt;&gt;"!!!"),"NEW","")))</f>
        <v> </v>
      </c>
      <c r="G2837" s="23" t="str">
        <f>IF(OR(E2837="",E2837="!!!"),"",IF(OR(J2837=0,AND(J2837=1,K2837=1),AND(J2837=1,I2837="SBJ"),AND(J2837=1,I2837=0)),"?IN_FOCUS",IF(J2837&lt;=2,"?ACTIVATED",IF(J2837&lt;&gt;"","?FAMILIAR",IF(F2837="NEW",IF(ISNA(VLOOKUP(E2837,#REF!,1,FALSE())),"?TYPE_IDENTIFIABLE","?REFERENTIAL"),"_")))))</f>
        <v> </v>
      </c>
      <c r="H2837" s="24" t="str">
        <f>IF(J2837&lt;&gt;1,"",IF(I2837="SBJ","CB","?"))</f>
        <v> </v>
      </c>
      <c r="I2837" s="25" t="str">
        <f>IF(OR(E2837="",E2837="!!!",F2837="NEW"),"",INDEX(B2836:B$2,-1+SUMPRODUCT(MAX(ROW(E2836:E$2)*(E2837=E2836:E$2)))))</f>
        <v> </v>
      </c>
      <c r="J2837" s="25" t="str">
        <f>IF(OR(E2837="",E2837="!!!",F2837="NEW"),"",COUNTBLANK(OFFSET(A$1,,,SUMPRODUCT(MAX(ROW(E$2:E2837)*(E2837=E$2:E2837)))))-COUNTBLANK(OFFSET(A$1,,,SUMPRODUCT(MAX(ROW(E$1:E2836)*(E2=E$1:E2836))))))</f>
        <v> </v>
      </c>
      <c r="K2837" s="25" t="str">
        <f>IF(OR(E2837="",E2837="!!!",F2837="NEW"),"",INDEX(J$1:J2836,SUMPRODUCT(MAX(ROW(E$1:E2836)*(E2837=E$1:E2836)))))</f>
        <v> </v>
      </c>
      <c r="L2837" s="26"/>
    </row>
    <row r="2838" spans="1:12">
      <c r="A2838" s="20" t="s">
        <v>1044</v>
      </c>
      <c r="E2838" s="21">
        <f>IF(D2838="?OLD","!!!","")</f>
        <v/>
      </c>
      <c r="F2838" s="22" t="str">
        <f>IF(OR(E2838="",E2838="!!!"),"",IF(NOT(ISNA(VLOOKUP(E2838,E$1:E2837,1,FALSE()))),"OLD",IF(AND(E2838&lt;&gt;"",E2838&lt;&gt;"!!!"),"NEW","")))</f>
        <v> </v>
      </c>
      <c r="G2838" s="23" t="str">
        <f>IF(OR(E2838="",E2838="!!!"),"",IF(OR(J2838=0,AND(J2838=1,K2838=1),AND(J2838=1,I2838="SBJ"),AND(J2838=1,I2838=0)),"?IN_FOCUS",IF(J2838&lt;=2,"?ACTIVATED",IF(J2838&lt;&gt;"","?FAMILIAR",IF(F2838="NEW",IF(ISNA(VLOOKUP(E2838,#REF!,1,FALSE())),"?TYPE_IDENTIFIABLE","?REFERENTIAL"),"_")))))</f>
        <v> </v>
      </c>
      <c r="H2838" s="24" t="str">
        <f>IF(J2838&lt;&gt;1,"",IF(I2838="SBJ","CB","?"))</f>
        <v> </v>
      </c>
      <c r="I2838" s="25" t="str">
        <f>IF(OR(E2838="",E2838="!!!",F2838="NEW"),"",INDEX(B2837:B$2,-1+SUMPRODUCT(MAX(ROW(E2837:E$2)*(E2838=E2837:E$2)))))</f>
        <v> </v>
      </c>
      <c r="J2838" s="25" t="str">
        <f>IF(OR(E2838="",E2838="!!!",F2838="NEW"),"",COUNTBLANK(OFFSET(A$1,,,SUMPRODUCT(MAX(ROW(E$2:E2838)*(E2838=E$2:E2838)))))-COUNTBLANK(OFFSET(A$1,,,SUMPRODUCT(MAX(ROW(E$1:E2837)*(E2=E$1:E2837))))))</f>
        <v> </v>
      </c>
      <c r="K2838" s="25" t="str">
        <f>IF(OR(E2838="",E2838="!!!",F2838="NEW"),"",INDEX(J$1:J2837,SUMPRODUCT(MAX(ROW(E$1:E2837)*(E2838=E$1:E2837)))))</f>
        <v> </v>
      </c>
      <c r="L2838" s="26"/>
    </row>
    <row r="2839" spans="1:12">
      <c r="A2839" s="20" t="s">
        <v>518</v>
      </c>
      <c r="E2839" s="21">
        <f>IF(D2839="?OLD","!!!","")</f>
        <v/>
      </c>
      <c r="F2839" s="22" t="str">
        <f>IF(OR(E2839="",E2839="!!!"),"",IF(NOT(ISNA(VLOOKUP(E2839,E$1:E2838,1,FALSE()))),"OLD",IF(AND(E2839&lt;&gt;"",E2839&lt;&gt;"!!!"),"NEW","")))</f>
        <v> </v>
      </c>
      <c r="G2839" s="23" t="str">
        <f>IF(OR(E2839="",E2839="!!!"),"",IF(OR(J2839=0,AND(J2839=1,K2839=1),AND(J2839=1,I2839="SBJ"),AND(J2839=1,I2839=0)),"?IN_FOCUS",IF(J2839&lt;=2,"?ACTIVATED",IF(J2839&lt;&gt;"","?FAMILIAR",IF(F2839="NEW",IF(ISNA(VLOOKUP(E2839,#REF!,1,FALSE())),"?TYPE_IDENTIFIABLE","?REFERENTIAL"),"_")))))</f>
        <v> </v>
      </c>
      <c r="H2839" s="24" t="str">
        <f>IF(J2839&lt;&gt;1,"",IF(I2839="SBJ","CB","?"))</f>
        <v> </v>
      </c>
      <c r="I2839" s="25" t="str">
        <f>IF(OR(E2839="",E2839="!!!",F2839="NEW"),"",INDEX(B2838:B$2,-1+SUMPRODUCT(MAX(ROW(E2838:E$2)*(E2839=E2838:E$2)))))</f>
        <v> </v>
      </c>
      <c r="J2839" s="25" t="str">
        <f>IF(OR(E2839="",E2839="!!!",F2839="NEW"),"",COUNTBLANK(OFFSET(A$1,,,SUMPRODUCT(MAX(ROW(E$2:E2839)*(E2839=E$2:E2839)))))-COUNTBLANK(OFFSET(A$1,,,SUMPRODUCT(MAX(ROW(E$1:E2838)*(E2=E$1:E2838))))))</f>
        <v> </v>
      </c>
      <c r="K2839" s="25" t="str">
        <f>IF(OR(E2839="",E2839="!!!",F2839="NEW"),"",INDEX(J$1:J2838,SUMPRODUCT(MAX(ROW(E$1:E2838)*(E2839=E$1:E2838)))))</f>
        <v> </v>
      </c>
      <c r="L2839" s="26"/>
    </row>
    <row r="2840" spans="1:12">
      <c r="A2840" s="20" t="s">
        <v>730</v>
      </c>
      <c r="E2840" s="21">
        <f>IF(D2840="?OLD","!!!","")</f>
        <v/>
      </c>
      <c r="F2840" s="22" t="str">
        <f>IF(OR(E2840="",E2840="!!!"),"",IF(NOT(ISNA(VLOOKUP(E2840,E$1:E2839,1,FALSE()))),"OLD",IF(AND(E2840&lt;&gt;"",E2840&lt;&gt;"!!!"),"NEW","")))</f>
        <v> </v>
      </c>
      <c r="G2840" s="23" t="str">
        <f>IF(OR(E2840="",E2840="!!!"),"",IF(OR(J2840=0,AND(J2840=1,K2840=1),AND(J2840=1,I2840="SBJ"),AND(J2840=1,I2840=0)),"?IN_FOCUS",IF(J2840&lt;=2,"?ACTIVATED",IF(J2840&lt;&gt;"","?FAMILIAR",IF(F2840="NEW",IF(ISNA(VLOOKUP(E2840,#REF!,1,FALSE())),"?TYPE_IDENTIFIABLE","?REFERENTIAL"),"_")))))</f>
        <v> </v>
      </c>
      <c r="H2840" s="24" t="str">
        <f>IF(J2840&lt;&gt;1,"",IF(I2840="SBJ","CB","?"))</f>
        <v> </v>
      </c>
      <c r="I2840" s="25" t="str">
        <f>IF(OR(E2840="",E2840="!!!",F2840="NEW"),"",INDEX(B2839:B$2,-1+SUMPRODUCT(MAX(ROW(E2839:E$2)*(E2840=E2839:E$2)))))</f>
        <v> </v>
      </c>
      <c r="J2840" s="25" t="str">
        <f>IF(OR(E2840="",E2840="!!!",F2840="NEW"),"",COUNTBLANK(OFFSET(A$1,,,SUMPRODUCT(MAX(ROW(E$2:E2840)*(E2840=E$2:E2840)))))-COUNTBLANK(OFFSET(A$1,,,SUMPRODUCT(MAX(ROW(E$1:E2839)*(E2=E$1:E2839))))))</f>
        <v> </v>
      </c>
      <c r="K2840" s="25" t="str">
        <f>IF(OR(E2840="",E2840="!!!",F2840="NEW"),"",INDEX(J$1:J2839,SUMPRODUCT(MAX(ROW(E$1:E2839)*(E2840=E$1:E2839)))))</f>
        <v> </v>
      </c>
      <c r="L2840" s="26"/>
    </row>
    <row r="2841" spans="1:12">
      <c r="A2841" s="20" t="s">
        <v>877</v>
      </c>
      <c r="B2841" s="27" t="s">
        <v>943</v>
      </c>
      <c r="C2841" s="27" t="s">
        <v>669</v>
      </c>
      <c r="D2841" s="27" t="s">
        <v>524</v>
      </c>
      <c r="E2841" s="21">
        <f>IF(D2841="?OLD","!!!","")</f>
        <v/>
      </c>
      <c r="F2841" s="22" t="str">
        <f>IF(OR(E2841="",E2841="!!!"),"",IF(NOT(ISNA(VLOOKUP(E2841,E$1:E2840,1,FALSE()))),"OLD",IF(AND(E2841&lt;&gt;"",E2841&lt;&gt;"!!!"),"NEW","")))</f>
        <v> </v>
      </c>
      <c r="G2841" s="23" t="str">
        <f>IF(OR(E2841="",E2841="!!!"),"",IF(OR(J2841=0,AND(J2841=1,K2841=1),AND(J2841=1,I2841="SBJ"),AND(J2841=1,I2841=0)),"?IN_FOCUS",IF(J2841&lt;=2,"?ACTIVATED",IF(J2841&lt;&gt;"","?FAMILIAR",IF(F2841="NEW",IF(ISNA(VLOOKUP(E2841,#REF!,1,FALSE())),"?TYPE_IDENTIFIABLE","?REFERENTIAL"),"_")))))</f>
        <v> </v>
      </c>
      <c r="H2841" s="24" t="str">
        <f>IF(J2841&lt;&gt;1,"",IF(I2841="SBJ","CB","?"))</f>
        <v> </v>
      </c>
      <c r="I2841" s="25" t="str">
        <f>IF(OR(E2841="",E2841="!!!",F2841="NEW"),"",INDEX(B2840:B$2,-1+SUMPRODUCT(MAX(ROW(E2840:E$2)*(E2841=E2840:E$2)))))</f>
        <v> </v>
      </c>
      <c r="J2841" s="25" t="str">
        <f>IF(OR(E2841="",E2841="!!!",F2841="NEW"),"",COUNTBLANK(OFFSET(A$1,,,SUMPRODUCT(MAX(ROW(E$2:E2841)*(E2841=E$2:E2841)))))-COUNTBLANK(OFFSET(A$1,,,SUMPRODUCT(MAX(ROW(E$1:E2840)*(E2=E$1:E2840))))))</f>
        <v> </v>
      </c>
      <c r="K2841" s="25" t="str">
        <f>IF(OR(E2841="",E2841="!!!",F2841="NEW"),"",INDEX(J$1:J2840,SUMPRODUCT(MAX(ROW(E$1:E2840)*(E2841=E$1:E2840)))))</f>
        <v> </v>
      </c>
      <c r="L2841" s="26"/>
    </row>
    <row r="2842" spans="1:12">
      <c r="A2842" s="20" t="s">
        <v>1497</v>
      </c>
      <c r="B2842" s="27" t="s">
        <v>618</v>
      </c>
      <c r="C2842" s="27" t="s">
        <v>540</v>
      </c>
      <c r="D2842" s="27" t="s">
        <v>524</v>
      </c>
      <c r="E2842" s="21">
        <f>IF(D2842="?OLD","!!!","")</f>
        <v/>
      </c>
      <c r="F2842" s="22" t="str">
        <f>IF(OR(E2842="",E2842="!!!"),"",IF(NOT(ISNA(VLOOKUP(E2842,E$1:E2841,1,FALSE()))),"OLD",IF(AND(E2842&lt;&gt;"",E2842&lt;&gt;"!!!"),"NEW","")))</f>
        <v> </v>
      </c>
      <c r="G2842" s="23" t="str">
        <f>IF(OR(E2842="",E2842="!!!"),"",IF(OR(J2842=0,AND(J2842=1,K2842=1),AND(J2842=1,I2842="SBJ"),AND(J2842=1,I2842=0)),"?IN_FOCUS",IF(J2842&lt;=2,"?ACTIVATED",IF(J2842&lt;&gt;"","?FAMILIAR",IF(F2842="NEW",IF(ISNA(VLOOKUP(E2842,#REF!,1,FALSE())),"?TYPE_IDENTIFIABLE","?REFERENTIAL"),"_")))))</f>
        <v> </v>
      </c>
      <c r="H2842" s="24" t="str">
        <f>IF(J2842&lt;&gt;1,"",IF(I2842="SBJ","CB","?"))</f>
        <v> </v>
      </c>
      <c r="I2842" s="25" t="str">
        <f>IF(OR(E2842="",E2842="!!!",F2842="NEW"),"",INDEX(B2841:B$2,-1+SUMPRODUCT(MAX(ROW(E2841:E$2)*(E2842=E2841:E$2)))))</f>
        <v> </v>
      </c>
      <c r="J2842" s="25" t="str">
        <f>IF(OR(E2842="",E2842="!!!",F2842="NEW"),"",COUNTBLANK(OFFSET(A$1,,,SUMPRODUCT(MAX(ROW(E$2:E2842)*(E2842=E$2:E2842)))))-COUNTBLANK(OFFSET(A$1,,,SUMPRODUCT(MAX(ROW(E$1:E2841)*(E2=E$1:E2841))))))</f>
        <v> </v>
      </c>
      <c r="K2842" s="25" t="str">
        <f>IF(OR(E2842="",E2842="!!!",F2842="NEW"),"",INDEX(J$1:J2841,SUMPRODUCT(MAX(ROW(E$1:E2841)*(E2842=E$1:E2841)))))</f>
        <v> </v>
      </c>
      <c r="L2842" s="26"/>
    </row>
    <row r="2843" spans="1:12">
      <c r="A2843" s="20" t="s">
        <v>577</v>
      </c>
      <c r="E2843" s="21">
        <f>IF(D2843="?OLD","!!!","")</f>
        <v/>
      </c>
      <c r="F2843" s="22" t="str">
        <f>IF(OR(E2843="",E2843="!!!"),"",IF(NOT(ISNA(VLOOKUP(E2843,E$1:E2842,1,FALSE()))),"OLD",IF(AND(E2843&lt;&gt;"",E2843&lt;&gt;"!!!"),"NEW","")))</f>
        <v> </v>
      </c>
      <c r="G2843" s="23" t="str">
        <f>IF(OR(E2843="",E2843="!!!"),"",IF(OR(J2843=0,AND(J2843=1,K2843=1),AND(J2843=1,I2843="SBJ"),AND(J2843=1,I2843=0)),"?IN_FOCUS",IF(J2843&lt;=2,"?ACTIVATED",IF(J2843&lt;&gt;"","?FAMILIAR",IF(F2843="NEW",IF(ISNA(VLOOKUP(E2843,#REF!,1,FALSE())),"?TYPE_IDENTIFIABLE","?REFERENTIAL"),"_")))))</f>
        <v> </v>
      </c>
      <c r="H2843" s="24" t="str">
        <f>IF(J2843&lt;&gt;1,"",IF(I2843="SBJ","CB","?"))</f>
        <v> </v>
      </c>
      <c r="I2843" s="25" t="str">
        <f>IF(OR(E2843="",E2843="!!!",F2843="NEW"),"",INDEX(B2842:B$2,-1+SUMPRODUCT(MAX(ROW(E2842:E$2)*(E2843=E2842:E$2)))))</f>
        <v> </v>
      </c>
      <c r="J2843" s="25" t="str">
        <f>IF(OR(E2843="",E2843="!!!",F2843="NEW"),"",COUNTBLANK(OFFSET(A$1,,,SUMPRODUCT(MAX(ROW(E$2:E2843)*(E2843=E$2:E2843)))))-COUNTBLANK(OFFSET(A$1,,,SUMPRODUCT(MAX(ROW(E$1:E2842)*(E2=E$1:E2842))))))</f>
        <v> </v>
      </c>
      <c r="K2843" s="25" t="str">
        <f>IF(OR(E2843="",E2843="!!!",F2843="NEW"),"",INDEX(J$1:J2842,SUMPRODUCT(MAX(ROW(E$1:E2842)*(E2843=E$1:E2842)))))</f>
        <v> </v>
      </c>
      <c r="L2843" s="26"/>
    </row>
    <row r="2844" spans="1:12">
      <c r="A2844" s="20" t="s">
        <v>571</v>
      </c>
      <c r="E2844" s="21">
        <f>IF(D2844="?OLD","!!!","")</f>
        <v/>
      </c>
      <c r="F2844" s="22" t="str">
        <f>IF(OR(E2844="",E2844="!!!"),"",IF(NOT(ISNA(VLOOKUP(E2844,E$1:E2843,1,FALSE()))),"OLD",IF(AND(E2844&lt;&gt;"",E2844&lt;&gt;"!!!"),"NEW","")))</f>
        <v> </v>
      </c>
      <c r="G2844" s="23" t="str">
        <f>IF(OR(E2844="",E2844="!!!"),"",IF(OR(J2844=0,AND(J2844=1,K2844=1),AND(J2844=1,I2844="SBJ"),AND(J2844=1,I2844=0)),"?IN_FOCUS",IF(J2844&lt;=2,"?ACTIVATED",IF(J2844&lt;&gt;"","?FAMILIAR",IF(F2844="NEW",IF(ISNA(VLOOKUP(E2844,#REF!,1,FALSE())),"?TYPE_IDENTIFIABLE","?REFERENTIAL"),"_")))))</f>
        <v> </v>
      </c>
      <c r="H2844" s="24" t="str">
        <f>IF(J2844&lt;&gt;1,"",IF(I2844="SBJ","CB","?"))</f>
        <v> </v>
      </c>
      <c r="I2844" s="25" t="str">
        <f>IF(OR(E2844="",E2844="!!!",F2844="NEW"),"",INDEX(B2843:B$2,-1+SUMPRODUCT(MAX(ROW(E2843:E$2)*(E2844=E2843:E$2)))))</f>
        <v> </v>
      </c>
      <c r="J2844" s="25" t="str">
        <f>IF(OR(E2844="",E2844="!!!",F2844="NEW"),"",COUNTBLANK(OFFSET(A$1,,,SUMPRODUCT(MAX(ROW(E$2:E2844)*(E2844=E$2:E2844)))))-COUNTBLANK(OFFSET(A$1,,,SUMPRODUCT(MAX(ROW(E$1:E2843)*(E2=E$1:E2843))))))</f>
        <v> </v>
      </c>
      <c r="K2844" s="25" t="str">
        <f>IF(OR(E2844="",E2844="!!!",F2844="NEW"),"",INDEX(J$1:J2843,SUMPRODUCT(MAX(ROW(E$1:E2843)*(E2844=E$1:E2843)))))</f>
        <v> </v>
      </c>
      <c r="L2844" s="26"/>
    </row>
    <row r="2845" spans="1:12">
      <c r="A2845" s="20" t="s">
        <v>1498</v>
      </c>
      <c r="B2845" s="27" t="s">
        <v>943</v>
      </c>
      <c r="C2845" s="27" t="s">
        <v>545</v>
      </c>
      <c r="D2845" s="27" t="s">
        <v>524</v>
      </c>
      <c r="E2845" s="21">
        <f>IF(D2845="?OLD","!!!","")</f>
        <v/>
      </c>
      <c r="F2845" s="22" t="str">
        <f>IF(OR(E2845="",E2845="!!!"),"",IF(NOT(ISNA(VLOOKUP(E2845,E$1:E2844,1,FALSE()))),"OLD",IF(AND(E2845&lt;&gt;"",E2845&lt;&gt;"!!!"),"NEW","")))</f>
        <v> </v>
      </c>
      <c r="G2845" s="23" t="str">
        <f>IF(OR(E2845="",E2845="!!!"),"",IF(OR(J2845=0,AND(J2845=1,K2845=1),AND(J2845=1,I2845="SBJ"),AND(J2845=1,I2845=0)),"?IN_FOCUS",IF(J2845&lt;=2,"?ACTIVATED",IF(J2845&lt;&gt;"","?FAMILIAR",IF(F2845="NEW",IF(ISNA(VLOOKUP(E2845,#REF!,1,FALSE())),"?TYPE_IDENTIFIABLE","?REFERENTIAL"),"_")))))</f>
        <v> </v>
      </c>
      <c r="H2845" s="24" t="str">
        <f>IF(J2845&lt;&gt;1,"",IF(I2845="SBJ","CB","?"))</f>
        <v> </v>
      </c>
      <c r="I2845" s="25" t="str">
        <f>IF(OR(E2845="",E2845="!!!",F2845="NEW"),"",INDEX(B2844:B$2,-1+SUMPRODUCT(MAX(ROW(E2844:E$2)*(E2845=E2844:E$2)))))</f>
        <v> </v>
      </c>
      <c r="J2845" s="25" t="str">
        <f>IF(OR(E2845="",E2845="!!!",F2845="NEW"),"",COUNTBLANK(OFFSET(A$1,,,SUMPRODUCT(MAX(ROW(E$2:E2845)*(E2845=E$2:E2845)))))-COUNTBLANK(OFFSET(A$1,,,SUMPRODUCT(MAX(ROW(E$1:E2844)*(E2=E$1:E2844))))))</f>
        <v> </v>
      </c>
      <c r="K2845" s="25" t="str">
        <f>IF(OR(E2845="",E2845="!!!",F2845="NEW"),"",INDEX(J$1:J2844,SUMPRODUCT(MAX(ROW(E$1:E2844)*(E2845=E$1:E2844)))))</f>
        <v> </v>
      </c>
      <c r="L2845" s="26"/>
    </row>
    <row r="2846" spans="1:12">
      <c r="A2846" s="20" t="s">
        <v>565</v>
      </c>
      <c r="E2846" s="21">
        <f>IF(D2846="?OLD","!!!","")</f>
        <v/>
      </c>
      <c r="F2846" s="22" t="str">
        <f>IF(OR(E2846="",E2846="!!!"),"",IF(NOT(ISNA(VLOOKUP(E2846,E$1:E2845,1,FALSE()))),"OLD",IF(AND(E2846&lt;&gt;"",E2846&lt;&gt;"!!!"),"NEW","")))</f>
        <v> </v>
      </c>
      <c r="G2846" s="23" t="str">
        <f>IF(OR(E2846="",E2846="!!!"),"",IF(OR(J2846=0,AND(J2846=1,K2846=1),AND(J2846=1,I2846="SBJ"),AND(J2846=1,I2846=0)),"?IN_FOCUS",IF(J2846&lt;=2,"?ACTIVATED",IF(J2846&lt;&gt;"","?FAMILIAR",IF(F2846="NEW",IF(ISNA(VLOOKUP(E2846,#REF!,1,FALSE())),"?TYPE_IDENTIFIABLE","?REFERENTIAL"),"_")))))</f>
        <v> </v>
      </c>
      <c r="H2846" s="24" t="str">
        <f>IF(J2846&lt;&gt;1,"",IF(I2846="SBJ","CB","?"))</f>
        <v> </v>
      </c>
      <c r="I2846" s="25" t="str">
        <f>IF(OR(E2846="",E2846="!!!",F2846="NEW"),"",INDEX(B2845:B$2,-1+SUMPRODUCT(MAX(ROW(E2845:E$2)*(E2846=E2845:E$2)))))</f>
        <v> </v>
      </c>
      <c r="J2846" s="25" t="str">
        <f>IF(OR(E2846="",E2846="!!!",F2846="NEW"),"",COUNTBLANK(OFFSET(A$1,,,SUMPRODUCT(MAX(ROW(E$2:E2846)*(E2846=E$2:E2846)))))-COUNTBLANK(OFFSET(A$1,,,SUMPRODUCT(MAX(ROW(E$1:E2845)*(E2=E$1:E2845))))))</f>
        <v> </v>
      </c>
      <c r="K2846" s="25" t="str">
        <f>IF(OR(E2846="",E2846="!!!",F2846="NEW"),"",INDEX(J$1:J2845,SUMPRODUCT(MAX(ROW(E$1:E2845)*(E2846=E$1:E2845)))))</f>
        <v> </v>
      </c>
      <c r="L2846" s="26"/>
    </row>
    <row r="2847" spans="1:12">
      <c r="A2847" s="20" t="s">
        <v>625</v>
      </c>
      <c r="E2847" s="21">
        <f>IF(D2847="?OLD","!!!","")</f>
        <v/>
      </c>
      <c r="F2847" s="22" t="str">
        <f>IF(OR(E2847="",E2847="!!!"),"",IF(NOT(ISNA(VLOOKUP(E2847,E$1:E2846,1,FALSE()))),"OLD",IF(AND(E2847&lt;&gt;"",E2847&lt;&gt;"!!!"),"NEW","")))</f>
        <v> </v>
      </c>
      <c r="G2847" s="23" t="str">
        <f>IF(OR(E2847="",E2847="!!!"),"",IF(OR(J2847=0,AND(J2847=1,K2847=1),AND(J2847=1,I2847="SBJ"),AND(J2847=1,I2847=0)),"?IN_FOCUS",IF(J2847&lt;=2,"?ACTIVATED",IF(J2847&lt;&gt;"","?FAMILIAR",IF(F2847="NEW",IF(ISNA(VLOOKUP(E2847,#REF!,1,FALSE())),"?TYPE_IDENTIFIABLE","?REFERENTIAL"),"_")))))</f>
        <v> </v>
      </c>
      <c r="H2847" s="24" t="str">
        <f>IF(J2847&lt;&gt;1,"",IF(I2847="SBJ","CB","?"))</f>
        <v> </v>
      </c>
      <c r="I2847" s="25" t="str">
        <f>IF(OR(E2847="",E2847="!!!",F2847="NEW"),"",INDEX(B2846:B$2,-1+SUMPRODUCT(MAX(ROW(E2846:E$2)*(E2847=E2846:E$2)))))</f>
        <v> </v>
      </c>
      <c r="J2847" s="25" t="str">
        <f>IF(OR(E2847="",E2847="!!!",F2847="NEW"),"",COUNTBLANK(OFFSET(A$1,,,SUMPRODUCT(MAX(ROW(E$2:E2847)*(E2847=E$2:E2847)))))-COUNTBLANK(OFFSET(A$1,,,SUMPRODUCT(MAX(ROW(E$1:E2846)*(E2=E$1:E2846))))))</f>
        <v> </v>
      </c>
      <c r="K2847" s="25" t="str">
        <f>IF(OR(E2847="",E2847="!!!",F2847="NEW"),"",INDEX(J$1:J2846,SUMPRODUCT(MAX(ROW(E$1:E2846)*(E2847=E$1:E2846)))))</f>
        <v> </v>
      </c>
      <c r="L2847" s="26"/>
    </row>
    <row r="2848" spans="1:12">
      <c r="A2848" s="20" t="s">
        <v>709</v>
      </c>
      <c r="E2848" s="21">
        <f>IF(D2848="?OLD","!!!","")</f>
        <v/>
      </c>
      <c r="F2848" s="22" t="str">
        <f>IF(OR(E2848="",E2848="!!!"),"",IF(NOT(ISNA(VLOOKUP(E2848,E$1:E2847,1,FALSE()))),"OLD",IF(AND(E2848&lt;&gt;"",E2848&lt;&gt;"!!!"),"NEW","")))</f>
        <v> </v>
      </c>
      <c r="G2848" s="23" t="str">
        <f>IF(OR(E2848="",E2848="!!!"),"",IF(OR(J2848=0,AND(J2848=1,K2848=1),AND(J2848=1,I2848="SBJ"),AND(J2848=1,I2848=0)),"?IN_FOCUS",IF(J2848&lt;=2,"?ACTIVATED",IF(J2848&lt;&gt;"","?FAMILIAR",IF(F2848="NEW",IF(ISNA(VLOOKUP(E2848,#REF!,1,FALSE())),"?TYPE_IDENTIFIABLE","?REFERENTIAL"),"_")))))</f>
        <v> </v>
      </c>
      <c r="H2848" s="24" t="str">
        <f>IF(J2848&lt;&gt;1,"",IF(I2848="SBJ","CB","?"))</f>
        <v> </v>
      </c>
      <c r="I2848" s="25" t="str">
        <f>IF(OR(E2848="",E2848="!!!",F2848="NEW"),"",INDEX(B2847:B$2,-1+SUMPRODUCT(MAX(ROW(E2847:E$2)*(E2848=E2847:E$2)))))</f>
        <v> </v>
      </c>
      <c r="J2848" s="25" t="str">
        <f>IF(OR(E2848="",E2848="!!!",F2848="NEW"),"",COUNTBLANK(OFFSET(A$1,,,SUMPRODUCT(MAX(ROW(E$2:E2848)*(E2848=E$2:E2848)))))-COUNTBLANK(OFFSET(A$1,,,SUMPRODUCT(MAX(ROW(E$1:E2847)*(E2=E$1:E2847))))))</f>
        <v> </v>
      </c>
      <c r="K2848" s="25" t="str">
        <f>IF(OR(E2848="",E2848="!!!",F2848="NEW"),"",INDEX(J$1:J2847,SUMPRODUCT(MAX(ROW(E$1:E2847)*(E2848=E$1:E2847)))))</f>
        <v> </v>
      </c>
      <c r="L2848" s="26"/>
    </row>
    <row r="2849" spans="1:12">
      <c r="A2849" s="20" t="s">
        <v>784</v>
      </c>
      <c r="E2849" s="21">
        <f>IF(D2849="?OLD","!!!","")</f>
        <v/>
      </c>
      <c r="F2849" s="22" t="str">
        <f>IF(OR(E2849="",E2849="!!!"),"",IF(NOT(ISNA(VLOOKUP(E2849,E$1:E2848,1,FALSE()))),"OLD",IF(AND(E2849&lt;&gt;"",E2849&lt;&gt;"!!!"),"NEW","")))</f>
        <v> </v>
      </c>
      <c r="G2849" s="23" t="str">
        <f>IF(OR(E2849="",E2849="!!!"),"",IF(OR(J2849=0,AND(J2849=1,K2849=1),AND(J2849=1,I2849="SBJ"),AND(J2849=1,I2849=0)),"?IN_FOCUS",IF(J2849&lt;=2,"?ACTIVATED",IF(J2849&lt;&gt;"","?FAMILIAR",IF(F2849="NEW",IF(ISNA(VLOOKUP(E2849,#REF!,1,FALSE())),"?TYPE_IDENTIFIABLE","?REFERENTIAL"),"_")))))</f>
        <v> </v>
      </c>
      <c r="H2849" s="24" t="str">
        <f>IF(J2849&lt;&gt;1,"",IF(I2849="SBJ","CB","?"))</f>
        <v> </v>
      </c>
      <c r="I2849" s="25" t="str">
        <f>IF(OR(E2849="",E2849="!!!",F2849="NEW"),"",INDEX(B2848:B$2,-1+SUMPRODUCT(MAX(ROW(E2848:E$2)*(E2849=E2848:E$2)))))</f>
        <v> </v>
      </c>
      <c r="J2849" s="25" t="str">
        <f>IF(OR(E2849="",E2849="!!!",F2849="NEW"),"",COUNTBLANK(OFFSET(A$1,,,SUMPRODUCT(MAX(ROW(E$2:E2849)*(E2849=E$2:E2849)))))-COUNTBLANK(OFFSET(A$1,,,SUMPRODUCT(MAX(ROW(E$1:E2848)*(E2=E$1:E2848))))))</f>
        <v> </v>
      </c>
      <c r="K2849" s="25" t="str">
        <f>IF(OR(E2849="",E2849="!!!",F2849="NEW"),"",INDEX(J$1:J2848,SUMPRODUCT(MAX(ROW(E$1:E2848)*(E2849=E$1:E2848)))))</f>
        <v> </v>
      </c>
      <c r="L2849" s="26"/>
    </row>
    <row r="2850" spans="1:12">
      <c r="A2850" s="20" t="s">
        <v>1485</v>
      </c>
      <c r="B2850" s="27" t="s">
        <v>1185</v>
      </c>
      <c r="C2850" s="27" t="s">
        <v>637</v>
      </c>
      <c r="D2850" s="27" t="s">
        <v>524</v>
      </c>
      <c r="E2850" s="21">
        <f>IF(D2850="?OLD","!!!","")</f>
        <v/>
      </c>
      <c r="F2850" s="22" t="str">
        <f>IF(OR(E2850="",E2850="!!!"),"",IF(NOT(ISNA(VLOOKUP(E2850,E$1:E2849,1,FALSE()))),"OLD",IF(AND(E2850&lt;&gt;"",E2850&lt;&gt;"!!!"),"NEW","")))</f>
        <v> </v>
      </c>
      <c r="G2850" s="23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4" t="str">
        <f>IF(J2850&lt;&gt;1,"",IF(I2850="SBJ","CB","?"))</f>
        <v> </v>
      </c>
      <c r="I2850" s="25" t="str">
        <f>IF(OR(E2850="",E2850="!!!",F2850="NEW"),"",INDEX(B2849:B$2,-1+SUMPRODUCT(MAX(ROW(E2849:E$2)*(E2850=E2849:E$2)))))</f>
        <v> </v>
      </c>
      <c r="J2850" s="25" t="str">
        <f>IF(OR(E2850="",E2850="!!!",F2850="NEW"),"",COUNTBLANK(OFFSET(A$1,,,SUMPRODUCT(MAX(ROW(E$2:E2850)*(E2850=E$2:E2850)))))-COUNTBLANK(OFFSET(A$1,,,SUMPRODUCT(MAX(ROW(E$1:E2849)*(E2=E$1:E2849))))))</f>
        <v> </v>
      </c>
      <c r="K2850" s="25" t="str">
        <f>IF(OR(E2850="",E2850="!!!",F2850="NEW"),"",INDEX(J$1:J2849,SUMPRODUCT(MAX(ROW(E$1:E2849)*(E2850=E$1:E2849)))))</f>
        <v> </v>
      </c>
      <c r="L2850" s="26"/>
    </row>
    <row r="2851" spans="1:12">
      <c r="A2851" s="20" t="s">
        <v>541</v>
      </c>
      <c r="E2851" s="21">
        <f>IF(D2851="?OLD","!!!","")</f>
        <v/>
      </c>
      <c r="F2851" s="22" t="str">
        <f>IF(OR(E2851="",E2851="!!!"),"",IF(NOT(ISNA(VLOOKUP(E2851,E$1:E2850,1,FALSE()))),"OLD",IF(AND(E2851&lt;&gt;"",E2851&lt;&gt;"!!!"),"NEW","")))</f>
        <v> </v>
      </c>
      <c r="G2851" s="23" t="str">
        <f>IF(OR(E2851="",E2851="!!!"),"",IF(OR(J2851=0,AND(J2851=1,K2851=1),AND(J2851=1,I2851="SBJ"),AND(J2851=1,I2851=0)),"?IN_FOCUS",IF(J2851&lt;=2,"?ACTIVATED",IF(J2851&lt;&gt;"","?FAMILIAR",IF(F2851="NEW",IF(ISNA(VLOOKUP(E2851,#REF!,1,FALSE())),"?TYPE_IDENTIFIABLE","?REFERENTIAL"),"_")))))</f>
        <v> </v>
      </c>
      <c r="H2851" s="24" t="str">
        <f>IF(J2851&lt;&gt;1,"",IF(I2851="SBJ","CB","?"))</f>
        <v> </v>
      </c>
      <c r="I2851" s="25" t="str">
        <f>IF(OR(E2851="",E2851="!!!",F2851="NEW"),"",INDEX(B2850:B$2,-1+SUMPRODUCT(MAX(ROW(E2850:E$2)*(E2851=E2850:E$2)))))</f>
        <v> </v>
      </c>
      <c r="J2851" s="25" t="str">
        <f>IF(OR(E2851="",E2851="!!!",F2851="NEW"),"",COUNTBLANK(OFFSET(A$1,,,SUMPRODUCT(MAX(ROW(E$2:E2851)*(E2851=E$2:E2851)))))-COUNTBLANK(OFFSET(A$1,,,SUMPRODUCT(MAX(ROW(E$1:E2850)*(E2=E$1:E2850))))))</f>
        <v> </v>
      </c>
      <c r="K2851" s="25" t="str">
        <f>IF(OR(E2851="",E2851="!!!",F2851="NEW"),"",INDEX(J$1:J2850,SUMPRODUCT(MAX(ROW(E$1:E2850)*(E2851=E$1:E2850)))))</f>
        <v> </v>
      </c>
      <c r="L2851" s="26"/>
    </row>
    <row r="2852" spans="1:12">
      <c r="A2852" s="20" t="s">
        <v>1499</v>
      </c>
      <c r="E2852" s="21">
        <f>IF(D2852="?OLD","!!!","")</f>
        <v/>
      </c>
      <c r="F2852" s="22" t="str">
        <f>IF(OR(E2852="",E2852="!!!"),"",IF(NOT(ISNA(VLOOKUP(E2852,E$1:E2851,1,FALSE()))),"OLD",IF(AND(E2852&lt;&gt;"",E2852&lt;&gt;"!!!"),"NEW","")))</f>
        <v> </v>
      </c>
      <c r="G2852" s="23" t="str">
        <f>IF(OR(E2852="",E2852="!!!"),"",IF(OR(J2852=0,AND(J2852=1,K2852=1),AND(J2852=1,I2852="SBJ"),AND(J2852=1,I2852=0)),"?IN_FOCUS",IF(J2852&lt;=2,"?ACTIVATED",IF(J2852&lt;&gt;"","?FAMILIAR",IF(F2852="NEW",IF(ISNA(VLOOKUP(E2852,#REF!,1,FALSE())),"?TYPE_IDENTIFIABLE","?REFERENTIAL"),"_")))))</f>
        <v> </v>
      </c>
      <c r="H2852" s="24" t="str">
        <f>IF(J2852&lt;&gt;1,"",IF(I2852="SBJ","CB","?"))</f>
        <v> </v>
      </c>
      <c r="I2852" s="25" t="str">
        <f>IF(OR(E2852="",E2852="!!!",F2852="NEW"),"",INDEX(B2851:B$2,-1+SUMPRODUCT(MAX(ROW(E2851:E$2)*(E2852=E2851:E$2)))))</f>
        <v> </v>
      </c>
      <c r="J2852" s="25" t="str">
        <f>IF(OR(E2852="",E2852="!!!",F2852="NEW"),"",COUNTBLANK(OFFSET(A$1,,,SUMPRODUCT(MAX(ROW(E$2:E2852)*(E2852=E$2:E2852)))))-COUNTBLANK(OFFSET(A$1,,,SUMPRODUCT(MAX(ROW(E$1:E2851)*(E2=E$1:E2851))))))</f>
        <v> </v>
      </c>
      <c r="K2852" s="25" t="str">
        <f>IF(OR(E2852="",E2852="!!!",F2852="NEW"),"",INDEX(J$1:J2851,SUMPRODUCT(MAX(ROW(E$1:E2851)*(E2852=E$1:E2851)))))</f>
        <v> </v>
      </c>
      <c r="L2852" s="26"/>
    </row>
    <row r="2853" spans="1:12">
      <c r="A2853" s="20" t="s">
        <v>1500</v>
      </c>
      <c r="B2853" s="27" t="s">
        <v>624</v>
      </c>
      <c r="C2853" s="27" t="s">
        <v>564</v>
      </c>
      <c r="E2853" s="21">
        <f>IF(D2853="?OLD","!!!","")</f>
        <v/>
      </c>
      <c r="F2853" s="22" t="str">
        <f>IF(OR(E2853="",E2853="!!!"),"",IF(NOT(ISNA(VLOOKUP(E2853,E$1:E2852,1,FALSE()))),"OLD",IF(AND(E2853&lt;&gt;"",E2853&lt;&gt;"!!!"),"NEW","")))</f>
        <v> </v>
      </c>
      <c r="G2853" s="23" t="str">
        <f>IF(OR(E2853="",E2853="!!!"),"",IF(OR(J2853=0,AND(J2853=1,K2853=1),AND(J2853=1,I2853="SBJ"),AND(J2853=1,I2853=0)),"?IN_FOCUS",IF(J2853&lt;=2,"?ACTIVATED",IF(J2853&lt;&gt;"","?FAMILIAR",IF(F2853="NEW",IF(ISNA(VLOOKUP(E2853,#REF!,1,FALSE())),"?TYPE_IDENTIFIABLE","?REFERENTIAL"),"_")))))</f>
        <v> </v>
      </c>
      <c r="H2853" s="24" t="str">
        <f>IF(J2853&lt;&gt;1,"",IF(I2853="SBJ","CB","?"))</f>
        <v> </v>
      </c>
      <c r="I2853" s="25" t="str">
        <f>IF(OR(E2853="",E2853="!!!",F2853="NEW"),"",INDEX(B2852:B$2,-1+SUMPRODUCT(MAX(ROW(E2852:E$2)*(E2853=E2852:E$2)))))</f>
        <v> </v>
      </c>
      <c r="J2853" s="25" t="str">
        <f>IF(OR(E2853="",E2853="!!!",F2853="NEW"),"",COUNTBLANK(OFFSET(A$1,,,SUMPRODUCT(MAX(ROW(E$2:E2853)*(E2853=E$2:E2853)))))-COUNTBLANK(OFFSET(A$1,,,SUMPRODUCT(MAX(ROW(E$1:E2852)*(E2=E$1:E2852))))))</f>
        <v> </v>
      </c>
      <c r="K2853" s="25" t="str">
        <f>IF(OR(E2853="",E2853="!!!",F2853="NEW"),"",INDEX(J$1:J2852,SUMPRODUCT(MAX(ROW(E$1:E2852)*(E2853=E$1:E2852)))))</f>
        <v> </v>
      </c>
      <c r="L2853" s="26"/>
    </row>
    <row r="2854" spans="1:12">
      <c r="A2854" s="20" t="s">
        <v>1501</v>
      </c>
      <c r="E2854" s="21">
        <f>IF(D2854="?OLD","!!!","")</f>
        <v/>
      </c>
      <c r="F2854" s="22" t="str">
        <f>IF(OR(E2854="",E2854="!!!"),"",IF(NOT(ISNA(VLOOKUP(E2854,E$1:E2853,1,FALSE()))),"OLD",IF(AND(E2854&lt;&gt;"",E2854&lt;&gt;"!!!"),"NEW","")))</f>
        <v> </v>
      </c>
      <c r="G2854" s="23" t="str">
        <f>IF(OR(E2854="",E2854="!!!"),"",IF(OR(J2854=0,AND(J2854=1,K2854=1),AND(J2854=1,I2854="SBJ"),AND(J2854=1,I2854=0)),"?IN_FOCUS",IF(J2854&lt;=2,"?ACTIVATED",IF(J2854&lt;&gt;"","?FAMILIAR",IF(F2854="NEW",IF(ISNA(VLOOKUP(E2854,#REF!,1,FALSE())),"?TYPE_IDENTIFIABLE","?REFERENTIAL"),"_")))))</f>
        <v> </v>
      </c>
      <c r="H2854" s="24" t="str">
        <f>IF(J2854&lt;&gt;1,"",IF(I2854="SBJ","CB","?"))</f>
        <v> </v>
      </c>
      <c r="I2854" s="25" t="str">
        <f>IF(OR(E2854="",E2854="!!!",F2854="NEW"),"",INDEX(B2853:B$2,-1+SUMPRODUCT(MAX(ROW(E2853:E$2)*(E2854=E2853:E$2)))))</f>
        <v> </v>
      </c>
      <c r="J2854" s="25" t="str">
        <f>IF(OR(E2854="",E2854="!!!",F2854="NEW"),"",COUNTBLANK(OFFSET(A$1,,,SUMPRODUCT(MAX(ROW(E$2:E2854)*(E2854=E$2:E2854)))))-COUNTBLANK(OFFSET(A$1,,,SUMPRODUCT(MAX(ROW(E$1:E2853)*(E2=E$1:E2853))))))</f>
        <v> </v>
      </c>
      <c r="K2854" s="25" t="str">
        <f>IF(OR(E2854="",E2854="!!!",F2854="NEW"),"",INDEX(J$1:J2853,SUMPRODUCT(MAX(ROW(E$1:E2853)*(E2854=E$1:E2853)))))</f>
        <v> </v>
      </c>
      <c r="L2854" s="26"/>
    </row>
    <row r="2855" spans="1:12">
      <c r="A2855" s="20" t="s">
        <v>565</v>
      </c>
      <c r="E2855" s="21">
        <f>IF(D2855="?OLD","!!!","")</f>
        <v/>
      </c>
      <c r="F2855" s="22" t="str">
        <f>IF(OR(E2855="",E2855="!!!"),"",IF(NOT(ISNA(VLOOKUP(E2855,E$1:E2854,1,FALSE()))),"OLD",IF(AND(E2855&lt;&gt;"",E2855&lt;&gt;"!!!"),"NEW","")))</f>
        <v> </v>
      </c>
      <c r="G2855" s="23" t="str">
        <f>IF(OR(E2855="",E2855="!!!"),"",IF(OR(J2855=0,AND(J2855=1,K2855=1),AND(J2855=1,I2855="SBJ"),AND(J2855=1,I2855=0)),"?IN_FOCUS",IF(J2855&lt;=2,"?ACTIVATED",IF(J2855&lt;&gt;"","?FAMILIAR",IF(F2855="NEW",IF(ISNA(VLOOKUP(E2855,#REF!,1,FALSE())),"?TYPE_IDENTIFIABLE","?REFERENTIAL"),"_")))))</f>
        <v> </v>
      </c>
      <c r="H2855" s="24" t="str">
        <f>IF(J2855&lt;&gt;1,"",IF(I2855="SBJ","CB","?"))</f>
        <v> </v>
      </c>
      <c r="I2855" s="25" t="str">
        <f>IF(OR(E2855="",E2855="!!!",F2855="NEW"),"",INDEX(B2854:B$2,-1+SUMPRODUCT(MAX(ROW(E2854:E$2)*(E2855=E2854:E$2)))))</f>
        <v> </v>
      </c>
      <c r="J2855" s="25" t="str">
        <f>IF(OR(E2855="",E2855="!!!",F2855="NEW"),"",COUNTBLANK(OFFSET(A$1,,,SUMPRODUCT(MAX(ROW(E$2:E2855)*(E2855=E$2:E2855)))))-COUNTBLANK(OFFSET(A$1,,,SUMPRODUCT(MAX(ROW(E$1:E2854)*(E2=E$1:E2854))))))</f>
        <v> </v>
      </c>
      <c r="K2855" s="25" t="str">
        <f>IF(OR(E2855="",E2855="!!!",F2855="NEW"),"",INDEX(J$1:J2854,SUMPRODUCT(MAX(ROW(E$1:E2854)*(E2855=E$1:E2854)))))</f>
        <v> </v>
      </c>
      <c r="L2855" s="26"/>
    </row>
    <row r="2856" spans="1:12">
      <c r="A2856" s="20" t="s">
        <v>1502</v>
      </c>
      <c r="B2856" s="27" t="s">
        <v>945</v>
      </c>
      <c r="C2856" s="27" t="s">
        <v>540</v>
      </c>
      <c r="D2856" s="27" t="s">
        <v>524</v>
      </c>
      <c r="E2856" s="21">
        <f>IF(D2856="?OLD","!!!","")</f>
        <v/>
      </c>
      <c r="F2856" s="22" t="str">
        <f>IF(OR(E2856="",E2856="!!!"),"",IF(NOT(ISNA(VLOOKUP(E2856,E$1:E2855,1,FALSE()))),"OLD",IF(AND(E2856&lt;&gt;"",E2856&lt;&gt;"!!!"),"NEW","")))</f>
        <v> </v>
      </c>
      <c r="G2856" s="23" t="str">
        <f>IF(OR(E2856="",E2856="!!!"),"",IF(OR(J2856=0,AND(J2856=1,K2856=1),AND(J2856=1,I2856="SBJ"),AND(J2856=1,I2856=0)),"?IN_FOCUS",IF(J2856&lt;=2,"?ACTIVATED",IF(J2856&lt;&gt;"","?FAMILIAR",IF(F2856="NEW",IF(ISNA(VLOOKUP(E2856,#REF!,1,FALSE())),"?TYPE_IDENTIFIABLE","?REFERENTIAL"),"_")))))</f>
        <v> </v>
      </c>
      <c r="H2856" s="24" t="str">
        <f>IF(J2856&lt;&gt;1,"",IF(I2856="SBJ","CB","?"))</f>
        <v> </v>
      </c>
      <c r="I2856" s="25" t="str">
        <f>IF(OR(E2856="",E2856="!!!",F2856="NEW"),"",INDEX(B2855:B$2,-1+SUMPRODUCT(MAX(ROW(E2855:E$2)*(E2856=E2855:E$2)))))</f>
        <v> </v>
      </c>
      <c r="J2856" s="25" t="str">
        <f>IF(OR(E2856="",E2856="!!!",F2856="NEW"),"",COUNTBLANK(OFFSET(A$1,,,SUMPRODUCT(MAX(ROW(E$2:E2856)*(E2856=E$2:E2856)))))-COUNTBLANK(OFFSET(A$1,,,SUMPRODUCT(MAX(ROW(E$1:E2855)*(E2=E$1:E2855))))))</f>
        <v> </v>
      </c>
      <c r="K2856" s="25" t="str">
        <f>IF(OR(E2856="",E2856="!!!",F2856="NEW"),"",INDEX(J$1:J2855,SUMPRODUCT(MAX(ROW(E$1:E2855)*(E2856=E$1:E2855)))))</f>
        <v> </v>
      </c>
      <c r="L2856" s="26"/>
    </row>
    <row r="2857" spans="1:12">
      <c r="A2857" s="20" t="s">
        <v>518</v>
      </c>
      <c r="E2857" s="21">
        <f>IF(D2857="?OLD","!!!","")</f>
        <v/>
      </c>
      <c r="F2857" s="22" t="str">
        <f>IF(OR(E2857="",E2857="!!!"),"",IF(NOT(ISNA(VLOOKUP(E2857,E$1:E2856,1,FALSE()))),"OLD",IF(AND(E2857&lt;&gt;"",E2857&lt;&gt;"!!!"),"NEW","")))</f>
        <v> </v>
      </c>
      <c r="G2857" s="23" t="str">
        <f>IF(OR(E2857="",E2857="!!!"),"",IF(OR(J2857=0,AND(J2857=1,K2857=1),AND(J2857=1,I2857="SBJ"),AND(J2857=1,I2857=0)),"?IN_FOCUS",IF(J2857&lt;=2,"?ACTIVATED",IF(J2857&lt;&gt;"","?FAMILIAR",IF(F2857="NEW",IF(ISNA(VLOOKUP(E2857,#REF!,1,FALSE())),"?TYPE_IDENTIFIABLE","?REFERENTIAL"),"_")))))</f>
        <v> </v>
      </c>
      <c r="H2857" s="24" t="str">
        <f>IF(J2857&lt;&gt;1,"",IF(I2857="SBJ","CB","?"))</f>
        <v> </v>
      </c>
      <c r="I2857" s="25" t="str">
        <f>IF(OR(E2857="",E2857="!!!",F2857="NEW"),"",INDEX(B2856:B$2,-1+SUMPRODUCT(MAX(ROW(E2856:E$2)*(E2857=E2856:E$2)))))</f>
        <v> </v>
      </c>
      <c r="J2857" s="25" t="str">
        <f>IF(OR(E2857="",E2857="!!!",F2857="NEW"),"",COUNTBLANK(OFFSET(A$1,,,SUMPRODUCT(MAX(ROW(E$2:E2857)*(E2857=E$2:E2857)))))-COUNTBLANK(OFFSET(A$1,,,SUMPRODUCT(MAX(ROW(E$1:E2856)*(E2=E$1:E2856))))))</f>
        <v> </v>
      </c>
      <c r="K2857" s="25" t="str">
        <f>IF(OR(E2857="",E2857="!!!",F2857="NEW"),"",INDEX(J$1:J2856,SUMPRODUCT(MAX(ROW(E$1:E2856)*(E2857=E$1:E2856)))))</f>
        <v> </v>
      </c>
      <c r="L2857" s="26"/>
    </row>
    <row r="2858" spans="1:12">
      <c r="A2858" s="20" t="s">
        <v>1503</v>
      </c>
      <c r="B2858" s="27" t="s">
        <v>1504</v>
      </c>
      <c r="C2858" s="27" t="s">
        <v>540</v>
      </c>
      <c r="D2858" s="27" t="s">
        <v>524</v>
      </c>
      <c r="E2858" s="21">
        <f>IF(D2858="?OLD","!!!","")</f>
        <v/>
      </c>
      <c r="F2858" s="22" t="str">
        <f>IF(OR(E2858="",E2858="!!!"),"",IF(NOT(ISNA(VLOOKUP(E2858,E$1:E2857,1,FALSE()))),"OLD",IF(AND(E2858&lt;&gt;"",E2858&lt;&gt;"!!!"),"NEW","")))</f>
        <v> </v>
      </c>
      <c r="G2858" s="23" t="str">
        <f>IF(OR(E2858="",E2858="!!!"),"",IF(OR(J2858=0,AND(J2858=1,K2858=1),AND(J2858=1,I2858="SBJ"),AND(J2858=1,I2858=0)),"?IN_FOCUS",IF(J2858&lt;=2,"?ACTIVATED",IF(J2858&lt;&gt;"","?FAMILIAR",IF(F2858="NEW",IF(ISNA(VLOOKUP(E2858,#REF!,1,FALSE())),"?TYPE_IDENTIFIABLE","?REFERENTIAL"),"_")))))</f>
        <v> </v>
      </c>
      <c r="H2858" s="24" t="str">
        <f>IF(J2858&lt;&gt;1,"",IF(I2858="SBJ","CB","?"))</f>
        <v> </v>
      </c>
      <c r="I2858" s="25" t="str">
        <f>IF(OR(E2858="",E2858="!!!",F2858="NEW"),"",INDEX(B2857:B$2,-1+SUMPRODUCT(MAX(ROW(E2857:E$2)*(E2858=E2857:E$2)))))</f>
        <v> </v>
      </c>
      <c r="J2858" s="25" t="str">
        <f>IF(OR(E2858="",E2858="!!!",F2858="NEW"),"",COUNTBLANK(OFFSET(A$1,,,SUMPRODUCT(MAX(ROW(E$2:E2858)*(E2858=E$2:E2858)))))-COUNTBLANK(OFFSET(A$1,,,SUMPRODUCT(MAX(ROW(E$1:E2857)*(E2=E$1:E2857))))))</f>
        <v> </v>
      </c>
      <c r="K2858" s="25" t="str">
        <f>IF(OR(E2858="",E2858="!!!",F2858="NEW"),"",INDEX(J$1:J2857,SUMPRODUCT(MAX(ROW(E$1:E2857)*(E2858=E$1:E2857)))))</f>
        <v> </v>
      </c>
      <c r="L2858" s="26"/>
    </row>
    <row r="2859" spans="1:12">
      <c r="A2859" s="20" t="s">
        <v>518</v>
      </c>
      <c r="E2859" s="21">
        <f>IF(D2859="?OLD","!!!","")</f>
        <v/>
      </c>
      <c r="F2859" s="22" t="str">
        <f>IF(OR(E2859="",E2859="!!!"),"",IF(NOT(ISNA(VLOOKUP(E2859,E$1:E2858,1,FALSE()))),"OLD",IF(AND(E2859&lt;&gt;"",E2859&lt;&gt;"!!!"),"NEW","")))</f>
        <v> </v>
      </c>
      <c r="G2859" s="23" t="str">
        <f>IF(OR(E2859="",E2859="!!!"),"",IF(OR(J2859=0,AND(J2859=1,K2859=1),AND(J2859=1,I2859="SBJ"),AND(J2859=1,I2859=0)),"?IN_FOCUS",IF(J2859&lt;=2,"?ACTIVATED",IF(J2859&lt;&gt;"","?FAMILIAR",IF(F2859="NEW",IF(ISNA(VLOOKUP(E2859,#REF!,1,FALSE())),"?TYPE_IDENTIFIABLE","?REFERENTIAL"),"_")))))</f>
        <v> </v>
      </c>
      <c r="H2859" s="24" t="str">
        <f>IF(J2859&lt;&gt;1,"",IF(I2859="SBJ","CB","?"))</f>
        <v> </v>
      </c>
      <c r="I2859" s="25" t="str">
        <f>IF(OR(E2859="",E2859="!!!",F2859="NEW"),"",INDEX(B2858:B$2,-1+SUMPRODUCT(MAX(ROW(E2858:E$2)*(E2859=E2858:E$2)))))</f>
        <v> </v>
      </c>
      <c r="J2859" s="25" t="str">
        <f>IF(OR(E2859="",E2859="!!!",F2859="NEW"),"",COUNTBLANK(OFFSET(A$1,,,SUMPRODUCT(MAX(ROW(E$2:E2859)*(E2859=E$2:E2859)))))-COUNTBLANK(OFFSET(A$1,,,SUMPRODUCT(MAX(ROW(E$1:E2858)*(E2=E$1:E2858))))))</f>
        <v> </v>
      </c>
      <c r="K2859" s="25" t="str">
        <f>IF(OR(E2859="",E2859="!!!",F2859="NEW"),"",INDEX(J$1:J2858,SUMPRODUCT(MAX(ROW(E$1:E2858)*(E2859=E$1:E2858)))))</f>
        <v> </v>
      </c>
      <c r="L2859" s="26"/>
    </row>
    <row r="2860" spans="1:12">
      <c r="A2860" s="20" t="s">
        <v>730</v>
      </c>
      <c r="E2860" s="21">
        <f>IF(D2860="?OLD","!!!","")</f>
        <v/>
      </c>
      <c r="F2860" s="22" t="str">
        <f>IF(OR(E2860="",E2860="!!!"),"",IF(NOT(ISNA(VLOOKUP(E2860,E$1:E2859,1,FALSE()))),"OLD",IF(AND(E2860&lt;&gt;"",E2860&lt;&gt;"!!!"),"NEW","")))</f>
        <v> </v>
      </c>
      <c r="G2860" s="23" t="str">
        <f>IF(OR(E2860="",E2860="!!!"),"",IF(OR(J2860=0,AND(J2860=1,K2860=1),AND(J2860=1,I2860="SBJ"),AND(J2860=1,I2860=0)),"?IN_FOCUS",IF(J2860&lt;=2,"?ACTIVATED",IF(J2860&lt;&gt;"","?FAMILIAR",IF(F2860="NEW",IF(ISNA(VLOOKUP(E2860,#REF!,1,FALSE())),"?TYPE_IDENTIFIABLE","?REFERENTIAL"),"_")))))</f>
        <v> </v>
      </c>
      <c r="H2860" s="24" t="str">
        <f>IF(J2860&lt;&gt;1,"",IF(I2860="SBJ","CB","?"))</f>
        <v> </v>
      </c>
      <c r="I2860" s="25" t="str">
        <f>IF(OR(E2860="",E2860="!!!",F2860="NEW"),"",INDEX(B2859:B$2,-1+SUMPRODUCT(MAX(ROW(E2859:E$2)*(E2860=E2859:E$2)))))</f>
        <v> </v>
      </c>
      <c r="J2860" s="25" t="str">
        <f>IF(OR(E2860="",E2860="!!!",F2860="NEW"),"",COUNTBLANK(OFFSET(A$1,,,SUMPRODUCT(MAX(ROW(E$2:E2860)*(E2860=E$2:E2860)))))-COUNTBLANK(OFFSET(A$1,,,SUMPRODUCT(MAX(ROW(E$1:E2859)*(E2=E$1:E2859))))))</f>
        <v> </v>
      </c>
      <c r="K2860" s="25" t="str">
        <f>IF(OR(E2860="",E2860="!!!",F2860="NEW"),"",INDEX(J$1:J2859,SUMPRODUCT(MAX(ROW(E$1:E2859)*(E2860=E$1:E2859)))))</f>
        <v> </v>
      </c>
      <c r="L2860" s="26"/>
    </row>
    <row r="2861" spans="1:12">
      <c r="A2861" s="20" t="s">
        <v>1505</v>
      </c>
      <c r="B2861" s="27" t="s">
        <v>736</v>
      </c>
      <c r="C2861" s="27" t="s">
        <v>540</v>
      </c>
      <c r="D2861" s="27" t="s">
        <v>524</v>
      </c>
      <c r="E2861" s="21">
        <f>IF(D2861="?OLD","!!!","")</f>
        <v/>
      </c>
      <c r="F2861" s="22" t="str">
        <f>IF(OR(E2861="",E2861="!!!"),"",IF(NOT(ISNA(VLOOKUP(E2861,E$1:E2860,1,FALSE()))),"OLD",IF(AND(E2861&lt;&gt;"",E2861&lt;&gt;"!!!"),"NEW","")))</f>
        <v> </v>
      </c>
      <c r="G2861" s="23" t="str">
        <f>IF(OR(E2861="",E2861="!!!"),"",IF(OR(J2861=0,AND(J2861=1,K2861=1),AND(J2861=1,I2861="SBJ"),AND(J2861=1,I2861=0)),"?IN_FOCUS",IF(J2861&lt;=2,"?ACTIVATED",IF(J2861&lt;&gt;"","?FAMILIAR",IF(F2861="NEW",IF(ISNA(VLOOKUP(E2861,#REF!,1,FALSE())),"?TYPE_IDENTIFIABLE","?REFERENTIAL"),"_")))))</f>
        <v> </v>
      </c>
      <c r="H2861" s="24" t="str">
        <f>IF(J2861&lt;&gt;1,"",IF(I2861="SBJ","CB","?"))</f>
        <v> </v>
      </c>
      <c r="I2861" s="25" t="str">
        <f>IF(OR(E2861="",E2861="!!!",F2861="NEW"),"",INDEX(B2860:B$2,-1+SUMPRODUCT(MAX(ROW(E2860:E$2)*(E2861=E2860:E$2)))))</f>
        <v> </v>
      </c>
      <c r="J2861" s="25" t="str">
        <f>IF(OR(E2861="",E2861="!!!",F2861="NEW"),"",COUNTBLANK(OFFSET(A$1,,,SUMPRODUCT(MAX(ROW(E$2:E2861)*(E2861=E$2:E2861)))))-COUNTBLANK(OFFSET(A$1,,,SUMPRODUCT(MAX(ROW(E$1:E2860)*(E2=E$1:E2860))))))</f>
        <v> </v>
      </c>
      <c r="K2861" s="25" t="str">
        <f>IF(OR(E2861="",E2861="!!!",F2861="NEW"),"",INDEX(J$1:J2860,SUMPRODUCT(MAX(ROW(E$1:E2860)*(E2861=E$1:E2860)))))</f>
        <v> </v>
      </c>
      <c r="L2861" s="26"/>
    </row>
    <row r="2862" spans="1:12">
      <c r="A2862" s="20" t="s">
        <v>518</v>
      </c>
      <c r="E2862" s="21">
        <f>IF(D2862="?OLD","!!!","")</f>
        <v/>
      </c>
      <c r="F2862" s="22" t="str">
        <f>IF(OR(E2862="",E2862="!!!"),"",IF(NOT(ISNA(VLOOKUP(E2862,E$1:E2861,1,FALSE()))),"OLD",IF(AND(E2862&lt;&gt;"",E2862&lt;&gt;"!!!"),"NEW","")))</f>
        <v> </v>
      </c>
      <c r="G2862" s="23" t="str">
        <f>IF(OR(E2862="",E2862="!!!"),"",IF(OR(J2862=0,AND(J2862=1,K2862=1),AND(J2862=1,I2862="SBJ"),AND(J2862=1,I2862=0)),"?IN_FOCUS",IF(J2862&lt;=2,"?ACTIVATED",IF(J2862&lt;&gt;"","?FAMILIAR",IF(F2862="NEW",IF(ISNA(VLOOKUP(E2862,#REF!,1,FALSE())),"?TYPE_IDENTIFIABLE","?REFERENTIAL"),"_")))))</f>
        <v> </v>
      </c>
      <c r="H2862" s="24" t="str">
        <f>IF(J2862&lt;&gt;1,"",IF(I2862="SBJ","CB","?"))</f>
        <v> </v>
      </c>
      <c r="I2862" s="25" t="str">
        <f>IF(OR(E2862="",E2862="!!!",F2862="NEW"),"",INDEX(B2861:B$2,-1+SUMPRODUCT(MAX(ROW(E2861:E$2)*(E2862=E2861:E$2)))))</f>
        <v> </v>
      </c>
      <c r="J2862" s="25" t="str">
        <f>IF(OR(E2862="",E2862="!!!",F2862="NEW"),"",COUNTBLANK(OFFSET(A$1,,,SUMPRODUCT(MAX(ROW(E$2:E2862)*(E2862=E$2:E2862)))))-COUNTBLANK(OFFSET(A$1,,,SUMPRODUCT(MAX(ROW(E$1:E2861)*(E2=E$1:E2861))))))</f>
        <v> </v>
      </c>
      <c r="K2862" s="25" t="str">
        <f>IF(OR(E2862="",E2862="!!!",F2862="NEW"),"",INDEX(J$1:J2861,SUMPRODUCT(MAX(ROW(E$1:E2861)*(E2862=E$1:E2861)))))</f>
        <v> </v>
      </c>
      <c r="L2862" s="26"/>
    </row>
    <row r="2863" spans="1:12">
      <c r="A2863" s="20" t="s">
        <v>1503</v>
      </c>
      <c r="B2863" s="27" t="s">
        <v>950</v>
      </c>
      <c r="C2863" s="27" t="s">
        <v>540</v>
      </c>
      <c r="D2863" s="27" t="s">
        <v>524</v>
      </c>
      <c r="E2863" s="21">
        <f>IF(D2863="?OLD","!!!","")</f>
        <v/>
      </c>
      <c r="F2863" s="22" t="str">
        <f>IF(OR(E2863="",E2863="!!!"),"",IF(NOT(ISNA(VLOOKUP(E2863,E$1:E2862,1,FALSE()))),"OLD",IF(AND(E2863&lt;&gt;"",E2863&lt;&gt;"!!!"),"NEW","")))</f>
        <v> </v>
      </c>
      <c r="G2863" s="23" t="str">
        <f>IF(OR(E2863="",E2863="!!!"),"",IF(OR(J2863=0,AND(J2863=1,K2863=1),AND(J2863=1,I2863="SBJ"),AND(J2863=1,I2863=0)),"?IN_FOCUS",IF(J2863&lt;=2,"?ACTIVATED",IF(J2863&lt;&gt;"","?FAMILIAR",IF(F2863="NEW",IF(ISNA(VLOOKUP(E2863,#REF!,1,FALSE())),"?TYPE_IDENTIFIABLE","?REFERENTIAL"),"_")))))</f>
        <v> </v>
      </c>
      <c r="H2863" s="24" t="str">
        <f>IF(J2863&lt;&gt;1,"",IF(I2863="SBJ","CB","?"))</f>
        <v> </v>
      </c>
      <c r="I2863" s="25" t="str">
        <f>IF(OR(E2863="",E2863="!!!",F2863="NEW"),"",INDEX(B2862:B$2,-1+SUMPRODUCT(MAX(ROW(E2862:E$2)*(E2863=E2862:E$2)))))</f>
        <v> </v>
      </c>
      <c r="J2863" s="25" t="str">
        <f>IF(OR(E2863="",E2863="!!!",F2863="NEW"),"",COUNTBLANK(OFFSET(A$1,,,SUMPRODUCT(MAX(ROW(E$2:E2863)*(E2863=E$2:E2863)))))-COUNTBLANK(OFFSET(A$1,,,SUMPRODUCT(MAX(ROW(E$1:E2862)*(E2=E$1:E2862))))))</f>
        <v> </v>
      </c>
      <c r="K2863" s="25" t="str">
        <f>IF(OR(E2863="",E2863="!!!",F2863="NEW"),"",INDEX(J$1:J2862,SUMPRODUCT(MAX(ROW(E$1:E2862)*(E2863=E$1:E2862)))))</f>
        <v> </v>
      </c>
      <c r="L2863" s="26"/>
    </row>
    <row r="2864" spans="1:12">
      <c r="A2864" s="20" t="s">
        <v>518</v>
      </c>
      <c r="E2864" s="21">
        <f>IF(D2864="?OLD","!!!","")</f>
        <v/>
      </c>
      <c r="F2864" s="22" t="str">
        <f>IF(OR(E2864="",E2864="!!!"),"",IF(NOT(ISNA(VLOOKUP(E2864,E$1:E2863,1,FALSE()))),"OLD",IF(AND(E2864&lt;&gt;"",E2864&lt;&gt;"!!!"),"NEW","")))</f>
        <v> </v>
      </c>
      <c r="G2864" s="23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4" t="str">
        <f>IF(J2864&lt;&gt;1,"",IF(I2864="SBJ","CB","?"))</f>
        <v> </v>
      </c>
      <c r="I2864" s="25" t="str">
        <f>IF(OR(E2864="",E2864="!!!",F2864="NEW"),"",INDEX(B2863:B$2,-1+SUMPRODUCT(MAX(ROW(E2863:E$2)*(E2864=E2863:E$2)))))</f>
        <v> </v>
      </c>
      <c r="J2864" s="25" t="str">
        <f>IF(OR(E2864="",E2864="!!!",F2864="NEW"),"",COUNTBLANK(OFFSET(A$1,,,SUMPRODUCT(MAX(ROW(E$2:E2864)*(E2864=E$2:E2864)))))-COUNTBLANK(OFFSET(A$1,,,SUMPRODUCT(MAX(ROW(E$1:E2863)*(E2=E$1:E2863))))))</f>
        <v> </v>
      </c>
      <c r="K2864" s="25" t="str">
        <f>IF(OR(E2864="",E2864="!!!",F2864="NEW"),"",INDEX(J$1:J2863,SUMPRODUCT(MAX(ROW(E$1:E2863)*(E2864=E$1:E2863)))))</f>
        <v> </v>
      </c>
      <c r="L2864" s="26"/>
    </row>
    <row r="2865" spans="1:12">
      <c r="A2865" s="20" t="s">
        <v>1506</v>
      </c>
      <c r="B2865" s="27" t="s">
        <v>1507</v>
      </c>
      <c r="C2865" s="27" t="s">
        <v>548</v>
      </c>
      <c r="D2865" s="27" t="s">
        <v>524</v>
      </c>
      <c r="E2865" s="21">
        <f>IF(D2865="?OLD","!!!","")</f>
        <v/>
      </c>
      <c r="F2865" s="22" t="str">
        <f>IF(OR(E2865="",E2865="!!!"),"",IF(NOT(ISNA(VLOOKUP(E2865,E$1:E2864,1,FALSE()))),"OLD",IF(AND(E2865&lt;&gt;"",E2865&lt;&gt;"!!!"),"NEW","")))</f>
        <v> </v>
      </c>
      <c r="G2865" s="23" t="str">
        <f>IF(OR(E2865="",E2865="!!!"),"",IF(OR(J2865=0,AND(J2865=1,K2865=1),AND(J2865=1,I2865="SBJ"),AND(J2865=1,I2865=0)),"?IN_FOCUS",IF(J2865&lt;=2,"?ACTIVATED",IF(J2865&lt;&gt;"","?FAMILIAR",IF(F2865="NEW",IF(ISNA(VLOOKUP(E2865,#REF!,1,FALSE())),"?TYPE_IDENTIFIABLE","?REFERENTIAL"),"_")))))</f>
        <v> </v>
      </c>
      <c r="H2865" s="24" t="str">
        <f>IF(J2865&lt;&gt;1,"",IF(I2865="SBJ","CB","?"))</f>
        <v> </v>
      </c>
      <c r="I2865" s="25" t="str">
        <f>IF(OR(E2865="",E2865="!!!",F2865="NEW"),"",INDEX(B2864:B$2,-1+SUMPRODUCT(MAX(ROW(E2864:E$2)*(E2865=E2864:E$2)))))</f>
        <v> </v>
      </c>
      <c r="J2865" s="25" t="str">
        <f>IF(OR(E2865="",E2865="!!!",F2865="NEW"),"",COUNTBLANK(OFFSET(A$1,,,SUMPRODUCT(MAX(ROW(E$2:E2865)*(E2865=E$2:E2865)))))-COUNTBLANK(OFFSET(A$1,,,SUMPRODUCT(MAX(ROW(E$1:E2864)*(E2=E$1:E2864))))))</f>
        <v> </v>
      </c>
      <c r="K2865" s="25" t="str">
        <f>IF(OR(E2865="",E2865="!!!",F2865="NEW"),"",INDEX(J$1:J2864,SUMPRODUCT(MAX(ROW(E$1:E2864)*(E2865=E$1:E2864)))))</f>
        <v> </v>
      </c>
      <c r="L2865" s="26"/>
    </row>
    <row r="2866" spans="1:12">
      <c r="A2866" s="20" t="s">
        <v>625</v>
      </c>
      <c r="E2866" s="21">
        <f>IF(D2866="?OLD","!!!","")</f>
        <v/>
      </c>
      <c r="F2866" s="22" t="str">
        <f>IF(OR(E2866="",E2866="!!!"),"",IF(NOT(ISNA(VLOOKUP(E2866,E$1:E2865,1,FALSE()))),"OLD",IF(AND(E2866&lt;&gt;"",E2866&lt;&gt;"!!!"),"NEW","")))</f>
        <v> </v>
      </c>
      <c r="G2866" s="23" t="str">
        <f>IF(OR(E2866="",E2866="!!!"),"",IF(OR(J2866=0,AND(J2866=1,K2866=1),AND(J2866=1,I2866="SBJ"),AND(J2866=1,I2866=0)),"?IN_FOCUS",IF(J2866&lt;=2,"?ACTIVATED",IF(J2866&lt;&gt;"","?FAMILIAR",IF(F2866="NEW",IF(ISNA(VLOOKUP(E2866,#REF!,1,FALSE())),"?TYPE_IDENTIFIABLE","?REFERENTIAL"),"_")))))</f>
        <v> </v>
      </c>
      <c r="H2866" s="24" t="str">
        <f>IF(J2866&lt;&gt;1,"",IF(I2866="SBJ","CB","?"))</f>
        <v> </v>
      </c>
      <c r="I2866" s="25" t="str">
        <f>IF(OR(E2866="",E2866="!!!",F2866="NEW"),"",INDEX(B2865:B$2,-1+SUMPRODUCT(MAX(ROW(E2865:E$2)*(E2866=E2865:E$2)))))</f>
        <v> </v>
      </c>
      <c r="J2866" s="25" t="str">
        <f>IF(OR(E2866="",E2866="!!!",F2866="NEW"),"",COUNTBLANK(OFFSET(A$1,,,SUMPRODUCT(MAX(ROW(E$2:E2866)*(E2866=E$2:E2866)))))-COUNTBLANK(OFFSET(A$1,,,SUMPRODUCT(MAX(ROW(E$1:E2865)*(E2=E$1:E2865))))))</f>
        <v> </v>
      </c>
      <c r="K2866" s="25" t="str">
        <f>IF(OR(E2866="",E2866="!!!",F2866="NEW"),"",INDEX(J$1:J2865,SUMPRODUCT(MAX(ROW(E$1:E2865)*(E2866=E$1:E2865)))))</f>
        <v> </v>
      </c>
      <c r="L2866" s="26"/>
    </row>
    <row r="2867" spans="1:12">
      <c r="A2867" s="20" t="s">
        <v>518</v>
      </c>
      <c r="E2867" s="21">
        <f>IF(D2867="?OLD","!!!","")</f>
        <v/>
      </c>
      <c r="F2867" s="22" t="str">
        <f>IF(OR(E2867="",E2867="!!!"),"",IF(NOT(ISNA(VLOOKUP(E2867,E$1:E2866,1,FALSE()))),"OLD",IF(AND(E2867&lt;&gt;"",E2867&lt;&gt;"!!!"),"NEW","")))</f>
        <v> </v>
      </c>
      <c r="G2867" s="23" t="str">
        <f>IF(OR(E2867="",E2867="!!!"),"",IF(OR(J2867=0,AND(J2867=1,K2867=1),AND(J2867=1,I2867="SBJ"),AND(J2867=1,I2867=0)),"?IN_FOCUS",IF(J2867&lt;=2,"?ACTIVATED",IF(J2867&lt;&gt;"","?FAMILIAR",IF(F2867="NEW",IF(ISNA(VLOOKUP(E2867,#REF!,1,FALSE())),"?TYPE_IDENTIFIABLE","?REFERENTIAL"),"_")))))</f>
        <v> </v>
      </c>
      <c r="H2867" s="24" t="str">
        <f>IF(J2867&lt;&gt;1,"",IF(I2867="SBJ","CB","?"))</f>
        <v> </v>
      </c>
      <c r="I2867" s="25" t="str">
        <f>IF(OR(E2867="",E2867="!!!",F2867="NEW"),"",INDEX(B2866:B$2,-1+SUMPRODUCT(MAX(ROW(E2866:E$2)*(E2867=E2866:E$2)))))</f>
        <v> </v>
      </c>
      <c r="J2867" s="25" t="str">
        <f>IF(OR(E2867="",E2867="!!!",F2867="NEW"),"",COUNTBLANK(OFFSET(A$1,,,SUMPRODUCT(MAX(ROW(E$2:E2867)*(E2867=E$2:E2867)))))-COUNTBLANK(OFFSET(A$1,,,SUMPRODUCT(MAX(ROW(E$1:E2866)*(E2=E$1:E2866))))))</f>
        <v> </v>
      </c>
      <c r="K2867" s="25" t="str">
        <f>IF(OR(E2867="",E2867="!!!",F2867="NEW"),"",INDEX(J$1:J2866,SUMPRODUCT(MAX(ROW(E$1:E2866)*(E2867=E$1:E2866)))))</f>
        <v> </v>
      </c>
      <c r="L2867" s="26"/>
    </row>
    <row r="2868" spans="1:12">
      <c r="A2868" s="20" t="s">
        <v>1508</v>
      </c>
      <c r="B2868" s="27" t="s">
        <v>1509</v>
      </c>
      <c r="C2868" s="27" t="s">
        <v>548</v>
      </c>
      <c r="D2868" s="27" t="s">
        <v>524</v>
      </c>
      <c r="E2868" s="21">
        <f>IF(D2868="?OLD","!!!","")</f>
        <v/>
      </c>
      <c r="F2868" s="22" t="str">
        <f>IF(OR(E2868="",E2868="!!!"),"",IF(NOT(ISNA(VLOOKUP(E2868,E$1:E2867,1,FALSE()))),"OLD",IF(AND(E2868&lt;&gt;"",E2868&lt;&gt;"!!!"),"NEW","")))</f>
        <v> </v>
      </c>
      <c r="G2868" s="23" t="str">
        <f>IF(OR(E2868="",E2868="!!!"),"",IF(OR(J2868=0,AND(J2868=1,K2868=1),AND(J2868=1,I2868="SBJ"),AND(J2868=1,I2868=0)),"?IN_FOCUS",IF(J2868&lt;=2,"?ACTIVATED",IF(J2868&lt;&gt;"","?FAMILIAR",IF(F2868="NEW",IF(ISNA(VLOOKUP(E2868,#REF!,1,FALSE())),"?TYPE_IDENTIFIABLE","?REFERENTIAL"),"_")))))</f>
        <v> </v>
      </c>
      <c r="H2868" s="24" t="str">
        <f>IF(J2868&lt;&gt;1,"",IF(I2868="SBJ","CB","?"))</f>
        <v> </v>
      </c>
      <c r="I2868" s="25" t="str">
        <f>IF(OR(E2868="",E2868="!!!",F2868="NEW"),"",INDEX(B2867:B$2,-1+SUMPRODUCT(MAX(ROW(E2867:E$2)*(E2868=E2867:E$2)))))</f>
        <v> </v>
      </c>
      <c r="J2868" s="25" t="str">
        <f>IF(OR(E2868="",E2868="!!!",F2868="NEW"),"",COUNTBLANK(OFFSET(A$1,,,SUMPRODUCT(MAX(ROW(E$2:E2868)*(E2868=E$2:E2868)))))-COUNTBLANK(OFFSET(A$1,,,SUMPRODUCT(MAX(ROW(E$1:E2867)*(E2=E$1:E2867))))))</f>
        <v> </v>
      </c>
      <c r="K2868" s="25" t="str">
        <f>IF(OR(E2868="",E2868="!!!",F2868="NEW"),"",INDEX(J$1:J2867,SUMPRODUCT(MAX(ROW(E$1:E2867)*(E2868=E$1:E2867)))))</f>
        <v> </v>
      </c>
      <c r="L2868" s="26"/>
    </row>
    <row r="2869" spans="1:12">
      <c r="A2869" s="20" t="s">
        <v>549</v>
      </c>
      <c r="E2869" s="21">
        <f>IF(D2869="?OLD","!!!","")</f>
        <v/>
      </c>
      <c r="F2869" s="22" t="str">
        <f>IF(OR(E2869="",E2869="!!!"),"",IF(NOT(ISNA(VLOOKUP(E2869,E$1:E2868,1,FALSE()))),"OLD",IF(AND(E2869&lt;&gt;"",E2869&lt;&gt;"!!!"),"NEW","")))</f>
        <v> </v>
      </c>
      <c r="G2869" s="23" t="str">
        <f>IF(OR(E2869="",E2869="!!!"),"",IF(OR(J2869=0,AND(J2869=1,K2869=1),AND(J2869=1,I2869="SBJ"),AND(J2869=1,I2869=0)),"?IN_FOCUS",IF(J2869&lt;=2,"?ACTIVATED",IF(J2869&lt;&gt;"","?FAMILIAR",IF(F2869="NEW",IF(ISNA(VLOOKUP(E2869,#REF!,1,FALSE())),"?TYPE_IDENTIFIABLE","?REFERENTIAL"),"_")))))</f>
        <v> </v>
      </c>
      <c r="H2869" s="24" t="str">
        <f>IF(J2869&lt;&gt;1,"",IF(I2869="SBJ","CB","?"))</f>
        <v> </v>
      </c>
      <c r="I2869" s="25" t="str">
        <f>IF(OR(E2869="",E2869="!!!",F2869="NEW"),"",INDEX(B2868:B$2,-1+SUMPRODUCT(MAX(ROW(E2868:E$2)*(E2869=E2868:E$2)))))</f>
        <v> </v>
      </c>
      <c r="J2869" s="25" t="str">
        <f>IF(OR(E2869="",E2869="!!!",F2869="NEW"),"",COUNTBLANK(OFFSET(A$1,,,SUMPRODUCT(MAX(ROW(E$2:E2869)*(E2869=E$2:E2869)))))-COUNTBLANK(OFFSET(A$1,,,SUMPRODUCT(MAX(ROW(E$1:E2868)*(E2=E$1:E2868))))))</f>
        <v> </v>
      </c>
      <c r="K2869" s="25" t="str">
        <f>IF(OR(E2869="",E2869="!!!",F2869="NEW"),"",INDEX(J$1:J2868,SUMPRODUCT(MAX(ROW(E$1:E2868)*(E2869=E$1:E2868)))))</f>
        <v> </v>
      </c>
      <c r="L2869" s="26"/>
    </row>
    <row r="2870" spans="1:12">
      <c r="A2870" s="20"/>
    </row>
    <row r="2871" spans="1:12">
      <c r="A2871" s="20" t="s">
        <v>1510</v>
      </c>
    </row>
    <row r="2872" spans="1:12">
      <c r="A2872" s="20" t="s">
        <v>1421</v>
      </c>
      <c r="B2872" s="27" t="s">
        <v>680</v>
      </c>
      <c r="C2872" s="27" t="s">
        <v>523</v>
      </c>
      <c r="D2872" s="27" t="s">
        <v>524</v>
      </c>
      <c r="E2872" s="21">
        <f>IF(D2872="?OLD","!!!","")</f>
        <v/>
      </c>
      <c r="F2872" s="22" t="str">
        <f>IF(OR(E2872="",E2872="!!!"),"",IF(NOT(ISNA(VLOOKUP(E2872,E$1:E2871,1,FALSE()))),"OLD",IF(AND(E2872&lt;&gt;"",E2872&lt;&gt;"!!!"),"NEW","")))</f>
        <v> </v>
      </c>
      <c r="G2872" s="23" t="str">
        <f>IF(OR(E2872="",E2872="!!!"),"",IF(OR(J2872=0,AND(J2872=1,K2872=1),AND(J2872=1,I2872="SBJ"),AND(J2872=1,I2872=0)),"?IN_FOCUS",IF(J2872&lt;=2,"?ACTIVATED",IF(J2872&lt;&gt;"","?FAMILIAR",IF(F2872="NEW",IF(ISNA(VLOOKUP(E2872,#REF!,1,FALSE())),"?TYPE_IDENTIFIABLE","?REFERENTIAL"),"_")))))</f>
        <v> </v>
      </c>
      <c r="H2872" s="24" t="str">
        <f>IF(J2872&lt;&gt;1,"",IF(I2872="SBJ","CB","?"))</f>
        <v> </v>
      </c>
      <c r="I2872" s="25" t="str">
        <f>IF(OR(E2872="",E2872="!!!",F2872="NEW"),"",INDEX(B2871:B$2,-1+SUMPRODUCT(MAX(ROW(E2871:E$2)*(E2872=E2871:E$2)))))</f>
        <v> </v>
      </c>
      <c r="J2872" s="25" t="str">
        <f>IF(OR(E2872="",E2872="!!!",F2872="NEW"),"",COUNTBLANK(OFFSET(A$1,,,SUMPRODUCT(MAX(ROW(E$2:E2872)*(E2872=E$2:E2872)))))-COUNTBLANK(OFFSET(A$1,,,SUMPRODUCT(MAX(ROW(E$1:E2871)*(E2=E$1:E2871))))))</f>
        <v> </v>
      </c>
      <c r="K2872" s="25" t="str">
        <f>IF(OR(E2872="",E2872="!!!",F2872="NEW"),"",INDEX(J$1:J2871,SUMPRODUCT(MAX(ROW(E$1:E2871)*(E2872=E$1:E2871)))))</f>
        <v> </v>
      </c>
      <c r="L2872" s="26"/>
    </row>
    <row r="2873" spans="1:12">
      <c r="A2873" s="20" t="s">
        <v>1511</v>
      </c>
      <c r="E2873" s="21">
        <f>IF(D2873="?OLD","!!!","")</f>
        <v/>
      </c>
      <c r="F2873" s="22" t="str">
        <f>IF(OR(E2873="",E2873="!!!"),"",IF(NOT(ISNA(VLOOKUP(E2873,E$1:E2872,1,FALSE()))),"OLD",IF(AND(E2873&lt;&gt;"",E2873&lt;&gt;"!!!"),"NEW","")))</f>
        <v> </v>
      </c>
      <c r="G2873" s="23" t="str">
        <f>IF(OR(E2873="",E2873="!!!"),"",IF(OR(J2873=0,AND(J2873=1,K2873=1),AND(J2873=1,I2873="SBJ"),AND(J2873=1,I2873=0)),"?IN_FOCUS",IF(J2873&lt;=2,"?ACTIVATED",IF(J2873&lt;&gt;"","?FAMILIAR",IF(F2873="NEW",IF(ISNA(VLOOKUP(E2873,#REF!,1,FALSE())),"?TYPE_IDENTIFIABLE","?REFERENTIAL"),"_")))))</f>
        <v> </v>
      </c>
      <c r="H2873" s="24" t="str">
        <f>IF(J2873&lt;&gt;1,"",IF(I2873="SBJ","CB","?"))</f>
        <v> </v>
      </c>
      <c r="I2873" s="25" t="str">
        <f>IF(OR(E2873="",E2873="!!!",F2873="NEW"),"",INDEX(B2872:B$2,-1+SUMPRODUCT(MAX(ROW(E2872:E$2)*(E2873=E2872:E$2)))))</f>
        <v> </v>
      </c>
      <c r="J2873" s="25" t="str">
        <f>IF(OR(E2873="",E2873="!!!",F2873="NEW"),"",COUNTBLANK(OFFSET(A$1,,,SUMPRODUCT(MAX(ROW(E$2:E2873)*(E2873=E$2:E2873)))))-COUNTBLANK(OFFSET(A$1,,,SUMPRODUCT(MAX(ROW(E$1:E2872)*(E2=E$1:E2872))))))</f>
        <v> </v>
      </c>
      <c r="K2873" s="25" t="str">
        <f>IF(OR(E2873="",E2873="!!!",F2873="NEW"),"",INDEX(J$1:J2872,SUMPRODUCT(MAX(ROW(E$1:E2872)*(E2873=E$1:E2872)))))</f>
        <v> </v>
      </c>
      <c r="L2873" s="26"/>
    </row>
    <row r="2874" spans="1:12">
      <c r="A2874" s="20" t="s">
        <v>542</v>
      </c>
      <c r="E2874" s="21">
        <f>IF(D2874="?OLD","!!!","")</f>
        <v/>
      </c>
      <c r="F2874" s="22" t="str">
        <f>IF(OR(E2874="",E2874="!!!"),"",IF(NOT(ISNA(VLOOKUP(E2874,E$1:E2873,1,FALSE()))),"OLD",IF(AND(E2874&lt;&gt;"",E2874&lt;&gt;"!!!"),"NEW","")))</f>
        <v> </v>
      </c>
      <c r="G2874" s="23" t="str">
        <f>IF(OR(E2874="",E2874="!!!"),"",IF(OR(J2874=0,AND(J2874=1,K2874=1),AND(J2874=1,I2874="SBJ"),AND(J2874=1,I2874=0)),"?IN_FOCUS",IF(J2874&lt;=2,"?ACTIVATED",IF(J2874&lt;&gt;"","?FAMILIAR",IF(F2874="NEW",IF(ISNA(VLOOKUP(E2874,#REF!,1,FALSE())),"?TYPE_IDENTIFIABLE","?REFERENTIAL"),"_")))))</f>
        <v> </v>
      </c>
      <c r="H2874" s="24" t="str">
        <f>IF(J2874&lt;&gt;1,"",IF(I2874="SBJ","CB","?"))</f>
        <v> </v>
      </c>
      <c r="I2874" s="25" t="str">
        <f>IF(OR(E2874="",E2874="!!!",F2874="NEW"),"",INDEX(B2873:B$2,-1+SUMPRODUCT(MAX(ROW(E2873:E$2)*(E2874=E2873:E$2)))))</f>
        <v> </v>
      </c>
      <c r="J2874" s="25" t="str">
        <f>IF(OR(E2874="",E2874="!!!",F2874="NEW"),"",COUNTBLANK(OFFSET(A$1,,,SUMPRODUCT(MAX(ROW(E$2:E2874)*(E2874=E$2:E2874)))))-COUNTBLANK(OFFSET(A$1,,,SUMPRODUCT(MAX(ROW(E$1:E2873)*(E2=E$1:E2873))))))</f>
        <v> </v>
      </c>
      <c r="K2874" s="25" t="str">
        <f>IF(OR(E2874="",E2874="!!!",F2874="NEW"),"",INDEX(J$1:J2873,SUMPRODUCT(MAX(ROW(E$1:E2873)*(E2874=E$1:E2873)))))</f>
        <v> </v>
      </c>
      <c r="L2874" s="26"/>
    </row>
    <row r="2875" spans="1:12">
      <c r="A2875" s="20" t="s">
        <v>635</v>
      </c>
      <c r="E2875" s="21">
        <f>IF(D2875="?OLD","!!!","")</f>
        <v/>
      </c>
      <c r="F2875" s="22" t="str">
        <f>IF(OR(E2875="",E2875="!!!"),"",IF(NOT(ISNA(VLOOKUP(E2875,E$1:E2874,1,FALSE()))),"OLD",IF(AND(E2875&lt;&gt;"",E2875&lt;&gt;"!!!"),"NEW","")))</f>
        <v> </v>
      </c>
      <c r="G2875" s="23" t="str">
        <f>IF(OR(E2875="",E2875="!!!"),"",IF(OR(J2875=0,AND(J2875=1,K2875=1),AND(J2875=1,I2875="SBJ"),AND(J2875=1,I2875=0)),"?IN_FOCUS",IF(J2875&lt;=2,"?ACTIVATED",IF(J2875&lt;&gt;"","?FAMILIAR",IF(F2875="NEW",IF(ISNA(VLOOKUP(E2875,#REF!,1,FALSE())),"?TYPE_IDENTIFIABLE","?REFERENTIAL"),"_")))))</f>
        <v> </v>
      </c>
      <c r="H2875" s="24" t="str">
        <f>IF(J2875&lt;&gt;1,"",IF(I2875="SBJ","CB","?"))</f>
        <v> </v>
      </c>
      <c r="I2875" s="25" t="str">
        <f>IF(OR(E2875="",E2875="!!!",F2875="NEW"),"",INDEX(B2874:B$2,-1+SUMPRODUCT(MAX(ROW(E2874:E$2)*(E2875=E2874:E$2)))))</f>
        <v> </v>
      </c>
      <c r="J2875" s="25" t="str">
        <f>IF(OR(E2875="",E2875="!!!",F2875="NEW"),"",COUNTBLANK(OFFSET(A$1,,,SUMPRODUCT(MAX(ROW(E$2:E2875)*(E2875=E$2:E2875)))))-COUNTBLANK(OFFSET(A$1,,,SUMPRODUCT(MAX(ROW(E$1:E2874)*(E2=E$1:E2874))))))</f>
        <v> </v>
      </c>
      <c r="K2875" s="25" t="str">
        <f>IF(OR(E2875="",E2875="!!!",F2875="NEW"),"",INDEX(J$1:J2874,SUMPRODUCT(MAX(ROW(E$1:E2874)*(E2875=E$1:E2874)))))</f>
        <v> </v>
      </c>
      <c r="L2875" s="26"/>
    </row>
    <row r="2876" spans="1:12">
      <c r="A2876" s="20" t="s">
        <v>1114</v>
      </c>
      <c r="B2876" s="27" t="s">
        <v>743</v>
      </c>
      <c r="C2876" s="27" t="s">
        <v>637</v>
      </c>
      <c r="D2876" s="27" t="s">
        <v>524</v>
      </c>
      <c r="E2876" s="21">
        <f>IF(D2876="?OLD","!!!","")</f>
        <v/>
      </c>
      <c r="F2876" s="22" t="str">
        <f>IF(OR(E2876="",E2876="!!!"),"",IF(NOT(ISNA(VLOOKUP(E2876,E$1:E2875,1,FALSE()))),"OLD",IF(AND(E2876&lt;&gt;"",E2876&lt;&gt;"!!!"),"NEW","")))</f>
        <v> </v>
      </c>
      <c r="G2876" s="23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4" t="str">
        <f>IF(J2876&lt;&gt;1,"",IF(I2876="SBJ","CB","?"))</f>
        <v> </v>
      </c>
      <c r="I2876" s="25" t="str">
        <f>IF(OR(E2876="",E2876="!!!",F2876="NEW"),"",INDEX(B2875:B$2,-1+SUMPRODUCT(MAX(ROW(E2875:E$2)*(E2876=E2875:E$2)))))</f>
        <v> </v>
      </c>
      <c r="J2876" s="25" t="str">
        <f>IF(OR(E2876="",E2876="!!!",F2876="NEW"),"",COUNTBLANK(OFFSET(A$1,,,SUMPRODUCT(MAX(ROW(E$2:E2876)*(E2876=E$2:E2876)))))-COUNTBLANK(OFFSET(A$1,,,SUMPRODUCT(MAX(ROW(E$1:E2875)*(E2=E$1:E2875))))))</f>
        <v> </v>
      </c>
      <c r="K2876" s="25" t="str">
        <f>IF(OR(E2876="",E2876="!!!",F2876="NEW"),"",INDEX(J$1:J2875,SUMPRODUCT(MAX(ROW(E$1:E2875)*(E2876=E$1:E2875)))))</f>
        <v> </v>
      </c>
      <c r="L2876" s="26"/>
    </row>
    <row r="2877" spans="1:12">
      <c r="A2877" s="20" t="s">
        <v>518</v>
      </c>
      <c r="E2877" s="21">
        <f>IF(D2877="?OLD","!!!","")</f>
        <v/>
      </c>
      <c r="F2877" s="22" t="str">
        <f>IF(OR(E2877="",E2877="!!!"),"",IF(NOT(ISNA(VLOOKUP(E2877,E$1:E2876,1,FALSE()))),"OLD",IF(AND(E2877&lt;&gt;"",E2877&lt;&gt;"!!!"),"NEW","")))</f>
        <v> </v>
      </c>
      <c r="G2877" s="23" t="str">
        <f>IF(OR(E2877="",E2877="!!!"),"",IF(OR(J2877=0,AND(J2877=1,K2877=1),AND(J2877=1,I2877="SBJ"),AND(J2877=1,I2877=0)),"?IN_FOCUS",IF(J2877&lt;=2,"?ACTIVATED",IF(J2877&lt;&gt;"","?FAMILIAR",IF(F2877="NEW",IF(ISNA(VLOOKUP(E2877,#REF!,1,FALSE())),"?TYPE_IDENTIFIABLE","?REFERENTIAL"),"_")))))</f>
        <v> </v>
      </c>
      <c r="H2877" s="24" t="str">
        <f>IF(J2877&lt;&gt;1,"",IF(I2877="SBJ","CB","?"))</f>
        <v> </v>
      </c>
      <c r="I2877" s="25" t="str">
        <f>IF(OR(E2877="",E2877="!!!",F2877="NEW"),"",INDEX(B2876:B$2,-1+SUMPRODUCT(MAX(ROW(E2876:E$2)*(E2877=E2876:E$2)))))</f>
        <v> </v>
      </c>
      <c r="J2877" s="25" t="str">
        <f>IF(OR(E2877="",E2877="!!!",F2877="NEW"),"",COUNTBLANK(OFFSET(A$1,,,SUMPRODUCT(MAX(ROW(E$2:E2877)*(E2877=E$2:E2877)))))-COUNTBLANK(OFFSET(A$1,,,SUMPRODUCT(MAX(ROW(E$1:E2876)*(E2=E$1:E2876))))))</f>
        <v> </v>
      </c>
      <c r="K2877" s="25" t="str">
        <f>IF(OR(E2877="",E2877="!!!",F2877="NEW"),"",INDEX(J$1:J2876,SUMPRODUCT(MAX(ROW(E$1:E2876)*(E2877=E$1:E2876)))))</f>
        <v> </v>
      </c>
      <c r="L2877" s="26"/>
    </row>
    <row r="2878" spans="1:12">
      <c r="A2878" s="20" t="s">
        <v>571</v>
      </c>
      <c r="E2878" s="21">
        <f>IF(D2878="?OLD","!!!","")</f>
        <v/>
      </c>
      <c r="F2878" s="22" t="str">
        <f>IF(OR(E2878="",E2878="!!!"),"",IF(NOT(ISNA(VLOOKUP(E2878,E$1:E2877,1,FALSE()))),"OLD",IF(AND(E2878&lt;&gt;"",E2878&lt;&gt;"!!!"),"NEW","")))</f>
        <v> </v>
      </c>
      <c r="G2878" s="23" t="str">
        <f>IF(OR(E2878="",E2878="!!!"),"",IF(OR(J2878=0,AND(J2878=1,K2878=1),AND(J2878=1,I2878="SBJ"),AND(J2878=1,I2878=0)),"?IN_FOCUS",IF(J2878&lt;=2,"?ACTIVATED",IF(J2878&lt;&gt;"","?FAMILIAR",IF(F2878="NEW",IF(ISNA(VLOOKUP(E2878,#REF!,1,FALSE())),"?TYPE_IDENTIFIABLE","?REFERENTIAL"),"_")))))</f>
        <v> </v>
      </c>
      <c r="H2878" s="24" t="str">
        <f>IF(J2878&lt;&gt;1,"",IF(I2878="SBJ","CB","?"))</f>
        <v> </v>
      </c>
      <c r="I2878" s="25" t="str">
        <f>IF(OR(E2878="",E2878="!!!",F2878="NEW"),"",INDEX(B2877:B$2,-1+SUMPRODUCT(MAX(ROW(E2877:E$2)*(E2878=E2877:E$2)))))</f>
        <v> </v>
      </c>
      <c r="J2878" s="25" t="str">
        <f>IF(OR(E2878="",E2878="!!!",F2878="NEW"),"",COUNTBLANK(OFFSET(A$1,,,SUMPRODUCT(MAX(ROW(E$2:E2878)*(E2878=E$2:E2878)))))-COUNTBLANK(OFFSET(A$1,,,SUMPRODUCT(MAX(ROW(E$1:E2877)*(E2=E$1:E2877))))))</f>
        <v> </v>
      </c>
      <c r="K2878" s="25" t="str">
        <f>IF(OR(E2878="",E2878="!!!",F2878="NEW"),"",INDEX(J$1:J2877,SUMPRODUCT(MAX(ROW(E$1:E2877)*(E2878=E$1:E2877)))))</f>
        <v> </v>
      </c>
      <c r="L2878" s="26"/>
    </row>
    <row r="2879" spans="1:12">
      <c r="A2879" s="20" t="s">
        <v>1512</v>
      </c>
      <c r="B2879" s="27" t="s">
        <v>597</v>
      </c>
      <c r="C2879" s="27" t="s">
        <v>545</v>
      </c>
      <c r="D2879" s="27" t="s">
        <v>524</v>
      </c>
      <c r="E2879" s="21">
        <f>IF(D2879="?OLD","!!!","")</f>
        <v/>
      </c>
      <c r="F2879" s="22" t="str">
        <f>IF(OR(E2879="",E2879="!!!"),"",IF(NOT(ISNA(VLOOKUP(E2879,E$1:E2878,1,FALSE()))),"OLD",IF(AND(E2879&lt;&gt;"",E2879&lt;&gt;"!!!"),"NEW","")))</f>
        <v> </v>
      </c>
      <c r="G2879" s="23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4" t="str">
        <f>IF(J2879&lt;&gt;1,"",IF(I2879="SBJ","CB","?"))</f>
        <v> </v>
      </c>
      <c r="I2879" s="25" t="str">
        <f>IF(OR(E2879="",E2879="!!!",F2879="NEW"),"",INDEX(B2878:B$2,-1+SUMPRODUCT(MAX(ROW(E2878:E$2)*(E2879=E2878:E$2)))))</f>
        <v> </v>
      </c>
      <c r="J2879" s="25" t="str">
        <f>IF(OR(E2879="",E2879="!!!",F2879="NEW"),"",COUNTBLANK(OFFSET(A$1,,,SUMPRODUCT(MAX(ROW(E$2:E2879)*(E2879=E$2:E2879)))))-COUNTBLANK(OFFSET(A$1,,,SUMPRODUCT(MAX(ROW(E$1:E2878)*(E2=E$1:E2878))))))</f>
        <v> </v>
      </c>
      <c r="K2879" s="25" t="str">
        <f>IF(OR(E2879="",E2879="!!!",F2879="NEW"),"",INDEX(J$1:J2878,SUMPRODUCT(MAX(ROW(E$1:E2878)*(E2879=E$1:E2878)))))</f>
        <v> </v>
      </c>
      <c r="L2879" s="26"/>
    </row>
    <row r="2880" spans="1:12">
      <c r="A2880" s="20" t="s">
        <v>571</v>
      </c>
      <c r="E2880" s="21">
        <f>IF(D2880="?OLD","!!!","")</f>
        <v/>
      </c>
      <c r="F2880" s="22" t="str">
        <f>IF(OR(E2880="",E2880="!!!"),"",IF(NOT(ISNA(VLOOKUP(E2880,E$1:E2879,1,FALSE()))),"OLD",IF(AND(E2880&lt;&gt;"",E2880&lt;&gt;"!!!"),"NEW","")))</f>
        <v> </v>
      </c>
      <c r="G2880" s="23" t="str">
        <f>IF(OR(E2880="",E2880="!!!"),"",IF(OR(J2880=0,AND(J2880=1,K2880=1),AND(J2880=1,I2880="SBJ"),AND(J2880=1,I2880=0)),"?IN_FOCUS",IF(J2880&lt;=2,"?ACTIVATED",IF(J2880&lt;&gt;"","?FAMILIAR",IF(F2880="NEW",IF(ISNA(VLOOKUP(E2880,#REF!,1,FALSE())),"?TYPE_IDENTIFIABLE","?REFERENTIAL"),"_")))))</f>
        <v> </v>
      </c>
      <c r="H2880" s="24" t="str">
        <f>IF(J2880&lt;&gt;1,"",IF(I2880="SBJ","CB","?"))</f>
        <v> </v>
      </c>
      <c r="I2880" s="25" t="str">
        <f>IF(OR(E2880="",E2880="!!!",F2880="NEW"),"",INDEX(B2879:B$2,-1+SUMPRODUCT(MAX(ROW(E2879:E$2)*(E2880=E2879:E$2)))))</f>
        <v> </v>
      </c>
      <c r="J2880" s="25" t="str">
        <f>IF(OR(E2880="",E2880="!!!",F2880="NEW"),"",COUNTBLANK(OFFSET(A$1,,,SUMPRODUCT(MAX(ROW(E$2:E2880)*(E2880=E$2:E2880)))))-COUNTBLANK(OFFSET(A$1,,,SUMPRODUCT(MAX(ROW(E$1:E2879)*(E2=E$1:E2879))))))</f>
        <v> </v>
      </c>
      <c r="K2880" s="25" t="str">
        <f>IF(OR(E2880="",E2880="!!!",F2880="NEW"),"",INDEX(J$1:J2879,SUMPRODUCT(MAX(ROW(E$1:E2879)*(E2880=E$1:E2879)))))</f>
        <v> </v>
      </c>
      <c r="L2880" s="26"/>
    </row>
    <row r="2881" spans="1:12">
      <c r="A2881" s="20" t="s">
        <v>1513</v>
      </c>
      <c r="B2881" s="27" t="s">
        <v>544</v>
      </c>
      <c r="C2881" s="27" t="s">
        <v>548</v>
      </c>
      <c r="D2881" s="27" t="s">
        <v>524</v>
      </c>
      <c r="E2881" s="21">
        <f>IF(D2881="?OLD","!!!","")</f>
        <v/>
      </c>
      <c r="F2881" s="22" t="str">
        <f>IF(OR(E2881="",E2881="!!!"),"",IF(NOT(ISNA(VLOOKUP(E2881,E$1:E2880,1,FALSE()))),"OLD",IF(AND(E2881&lt;&gt;"",E2881&lt;&gt;"!!!"),"NEW","")))</f>
        <v> </v>
      </c>
      <c r="G2881" s="23" t="str">
        <f>IF(OR(E2881="",E2881="!!!"),"",IF(OR(J2881=0,AND(J2881=1,K2881=1),AND(J2881=1,I2881="SBJ"),AND(J2881=1,I2881=0)),"?IN_FOCUS",IF(J2881&lt;=2,"?ACTIVATED",IF(J2881&lt;&gt;"","?FAMILIAR",IF(F2881="NEW",IF(ISNA(VLOOKUP(E2881,#REF!,1,FALSE())),"?TYPE_IDENTIFIABLE","?REFERENTIAL"),"_")))))</f>
        <v> </v>
      </c>
      <c r="H2881" s="24" t="str">
        <f>IF(J2881&lt;&gt;1,"",IF(I2881="SBJ","CB","?"))</f>
        <v> </v>
      </c>
      <c r="I2881" s="25" t="str">
        <f>IF(OR(E2881="",E2881="!!!",F2881="NEW"),"",INDEX(B2880:B$2,-1+SUMPRODUCT(MAX(ROW(E2880:E$2)*(E2881=E2880:E$2)))))</f>
        <v> </v>
      </c>
      <c r="J2881" s="25" t="str">
        <f>IF(OR(E2881="",E2881="!!!",F2881="NEW"),"",COUNTBLANK(OFFSET(A$1,,,SUMPRODUCT(MAX(ROW(E$2:E2881)*(E2881=E$2:E2881)))))-COUNTBLANK(OFFSET(A$1,,,SUMPRODUCT(MAX(ROW(E$1:E2880)*(E2=E$1:E2880))))))</f>
        <v> </v>
      </c>
      <c r="K2881" s="25" t="str">
        <f>IF(OR(E2881="",E2881="!!!",F2881="NEW"),"",INDEX(J$1:J2880,SUMPRODUCT(MAX(ROW(E$1:E2880)*(E2881=E$1:E2880)))))</f>
        <v> </v>
      </c>
      <c r="L2881" s="26"/>
    </row>
    <row r="2882" spans="1:12">
      <c r="A2882" s="20" t="s">
        <v>1514</v>
      </c>
      <c r="B2882" s="27" t="s">
        <v>534</v>
      </c>
      <c r="C2882" s="27" t="s">
        <v>548</v>
      </c>
      <c r="D2882" s="27" t="s">
        <v>524</v>
      </c>
      <c r="E2882" s="21">
        <f>IF(D2882="?OLD","!!!","")</f>
        <v/>
      </c>
      <c r="F2882" s="22" t="str">
        <f>IF(OR(E2882="",E2882="!!!"),"",IF(NOT(ISNA(VLOOKUP(E2882,E$1:E2881,1,FALSE()))),"OLD",IF(AND(E2882&lt;&gt;"",E2882&lt;&gt;"!!!"),"NEW","")))</f>
        <v> </v>
      </c>
      <c r="G2882" s="23" t="str">
        <f>IF(OR(E2882="",E2882="!!!"),"",IF(OR(J2882=0,AND(J2882=1,K2882=1),AND(J2882=1,I2882="SBJ"),AND(J2882=1,I2882=0)),"?IN_FOCUS",IF(J2882&lt;=2,"?ACTIVATED",IF(J2882&lt;&gt;"","?FAMILIAR",IF(F2882="NEW",IF(ISNA(VLOOKUP(E2882,#REF!,1,FALSE())),"?TYPE_IDENTIFIABLE","?REFERENTIAL"),"_")))))</f>
        <v> </v>
      </c>
      <c r="H2882" s="24" t="str">
        <f>IF(J2882&lt;&gt;1,"",IF(I2882="SBJ","CB","?"))</f>
        <v> </v>
      </c>
      <c r="I2882" s="25" t="str">
        <f>IF(OR(E2882="",E2882="!!!",F2882="NEW"),"",INDEX(B2881:B$2,-1+SUMPRODUCT(MAX(ROW(E2881:E$2)*(E2882=E2881:E$2)))))</f>
        <v> </v>
      </c>
      <c r="J2882" s="25" t="str">
        <f>IF(OR(E2882="",E2882="!!!",F2882="NEW"),"",COUNTBLANK(OFFSET(A$1,,,SUMPRODUCT(MAX(ROW(E$2:E2882)*(E2882=E$2:E2882)))))-COUNTBLANK(OFFSET(A$1,,,SUMPRODUCT(MAX(ROW(E$1:E2881)*(E2=E$1:E2881))))))</f>
        <v> </v>
      </c>
      <c r="K2882" s="25" t="str">
        <f>IF(OR(E2882="",E2882="!!!",F2882="NEW"),"",INDEX(J$1:J2881,SUMPRODUCT(MAX(ROW(E$1:E2881)*(E2882=E$1:E2881)))))</f>
        <v> </v>
      </c>
      <c r="L2882" s="26"/>
    </row>
    <row r="2883" spans="1:12">
      <c r="A2883" s="20" t="s">
        <v>565</v>
      </c>
      <c r="E2883" s="21">
        <f>IF(D2883="?OLD","!!!","")</f>
        <v/>
      </c>
      <c r="F2883" s="22" t="str">
        <f>IF(OR(E2883="",E2883="!!!"),"",IF(NOT(ISNA(VLOOKUP(E2883,E$1:E2882,1,FALSE()))),"OLD",IF(AND(E2883&lt;&gt;"",E2883&lt;&gt;"!!!"),"NEW","")))</f>
        <v> </v>
      </c>
      <c r="G2883" s="23" t="str">
        <f>IF(OR(E2883="",E2883="!!!"),"",IF(OR(J2883=0,AND(J2883=1,K2883=1),AND(J2883=1,I2883="SBJ"),AND(J2883=1,I2883=0)),"?IN_FOCUS",IF(J2883&lt;=2,"?ACTIVATED",IF(J2883&lt;&gt;"","?FAMILIAR",IF(F2883="NEW",IF(ISNA(VLOOKUP(E2883,#REF!,1,FALSE())),"?TYPE_IDENTIFIABLE","?REFERENTIAL"),"_")))))</f>
        <v> </v>
      </c>
      <c r="H2883" s="24" t="str">
        <f>IF(J2883&lt;&gt;1,"",IF(I2883="SBJ","CB","?"))</f>
        <v> </v>
      </c>
      <c r="I2883" s="25" t="str">
        <f>IF(OR(E2883="",E2883="!!!",F2883="NEW"),"",INDEX(B2882:B$2,-1+SUMPRODUCT(MAX(ROW(E2882:E$2)*(E2883=E2882:E$2)))))</f>
        <v> </v>
      </c>
      <c r="J2883" s="25" t="str">
        <f>IF(OR(E2883="",E2883="!!!",F2883="NEW"),"",COUNTBLANK(OFFSET(A$1,,,SUMPRODUCT(MAX(ROW(E$2:E2883)*(E2883=E$2:E2883)))))-COUNTBLANK(OFFSET(A$1,,,SUMPRODUCT(MAX(ROW(E$1:E2882)*(E2=E$1:E2882))))))</f>
        <v> </v>
      </c>
      <c r="K2883" s="25" t="str">
        <f>IF(OR(E2883="",E2883="!!!",F2883="NEW"),"",INDEX(J$1:J2882,SUMPRODUCT(MAX(ROW(E$1:E2882)*(E2883=E$1:E2882)))))</f>
        <v> </v>
      </c>
      <c r="L2883" s="26"/>
    </row>
    <row r="2884" spans="1:12">
      <c r="A2884" s="20" t="s">
        <v>571</v>
      </c>
      <c r="E2884" s="21">
        <f>IF(D2884="?OLD","!!!","")</f>
        <v/>
      </c>
      <c r="F2884" s="22" t="str">
        <f>IF(OR(E2884="",E2884="!!!"),"",IF(NOT(ISNA(VLOOKUP(E2884,E$1:E2883,1,FALSE()))),"OLD",IF(AND(E2884&lt;&gt;"",E2884&lt;&gt;"!!!"),"NEW","")))</f>
        <v> </v>
      </c>
      <c r="G2884" s="23" t="str">
        <f>IF(OR(E2884="",E2884="!!!"),"",IF(OR(J2884=0,AND(J2884=1,K2884=1),AND(J2884=1,I2884="SBJ"),AND(J2884=1,I2884=0)),"?IN_FOCUS",IF(J2884&lt;=2,"?ACTIVATED",IF(J2884&lt;&gt;"","?FAMILIAR",IF(F2884="NEW",IF(ISNA(VLOOKUP(E2884,#REF!,1,FALSE())),"?TYPE_IDENTIFIABLE","?REFERENTIAL"),"_")))))</f>
        <v> </v>
      </c>
      <c r="H2884" s="24" t="str">
        <f>IF(J2884&lt;&gt;1,"",IF(I2884="SBJ","CB","?"))</f>
        <v> </v>
      </c>
      <c r="I2884" s="25" t="str">
        <f>IF(OR(E2884="",E2884="!!!",F2884="NEW"),"",INDEX(B2883:B$2,-1+SUMPRODUCT(MAX(ROW(E2883:E$2)*(E2884=E2883:E$2)))))</f>
        <v> </v>
      </c>
      <c r="J2884" s="25" t="str">
        <f>IF(OR(E2884="",E2884="!!!",F2884="NEW"),"",COUNTBLANK(OFFSET(A$1,,,SUMPRODUCT(MAX(ROW(E$2:E2884)*(E2884=E$2:E2884)))))-COUNTBLANK(OFFSET(A$1,,,SUMPRODUCT(MAX(ROW(E$1:E2883)*(E2=E$1:E2883))))))</f>
        <v> </v>
      </c>
      <c r="K2884" s="25" t="str">
        <f>IF(OR(E2884="",E2884="!!!",F2884="NEW"),"",INDEX(J$1:J2883,SUMPRODUCT(MAX(ROW(E$1:E2883)*(E2884=E$1:E2883)))))</f>
        <v> </v>
      </c>
      <c r="L2884" s="26"/>
    </row>
    <row r="2885" spans="1:12">
      <c r="A2885" s="20" t="s">
        <v>814</v>
      </c>
      <c r="B2885" s="27" t="s">
        <v>534</v>
      </c>
      <c r="C2885" s="27" t="s">
        <v>540</v>
      </c>
      <c r="D2885" s="27" t="s">
        <v>524</v>
      </c>
      <c r="E2885" s="21">
        <f>IF(D2885="?OLD","!!!","")</f>
        <v/>
      </c>
      <c r="F2885" s="22" t="str">
        <f>IF(OR(E2885="",E2885="!!!"),"",IF(NOT(ISNA(VLOOKUP(E2885,E$1:E2884,1,FALSE()))),"OLD",IF(AND(E2885&lt;&gt;"",E2885&lt;&gt;"!!!"),"NEW","")))</f>
        <v> </v>
      </c>
      <c r="G2885" s="23" t="str">
        <f>IF(OR(E2885="",E2885="!!!"),"",IF(OR(J2885=0,AND(J2885=1,K2885=1),AND(J2885=1,I2885="SBJ"),AND(J2885=1,I2885=0)),"?IN_FOCUS",IF(J2885&lt;=2,"?ACTIVATED",IF(J2885&lt;&gt;"","?FAMILIAR",IF(F2885="NEW",IF(ISNA(VLOOKUP(E2885,#REF!,1,FALSE())),"?TYPE_IDENTIFIABLE","?REFERENTIAL"),"_")))))</f>
        <v> </v>
      </c>
      <c r="H2885" s="24" t="str">
        <f>IF(J2885&lt;&gt;1,"",IF(I2885="SBJ","CB","?"))</f>
        <v> </v>
      </c>
      <c r="I2885" s="25" t="str">
        <f>IF(OR(E2885="",E2885="!!!",F2885="NEW"),"",INDEX(B2884:B$2,-1+SUMPRODUCT(MAX(ROW(E2884:E$2)*(E2885=E2884:E$2)))))</f>
        <v> </v>
      </c>
      <c r="J2885" s="25" t="str">
        <f>IF(OR(E2885="",E2885="!!!",F2885="NEW"),"",COUNTBLANK(OFFSET(A$1,,,SUMPRODUCT(MAX(ROW(E$2:E2885)*(E2885=E$2:E2885)))))-COUNTBLANK(OFFSET(A$1,,,SUMPRODUCT(MAX(ROW(E$1:E2884)*(E2=E$1:E2884))))))</f>
        <v> </v>
      </c>
      <c r="K2885" s="25" t="str">
        <f>IF(OR(E2885="",E2885="!!!",F2885="NEW"),"",INDEX(J$1:J2884,SUMPRODUCT(MAX(ROW(E$1:E2884)*(E2885=E$1:E2884)))))</f>
        <v> </v>
      </c>
      <c r="L2885" s="26"/>
    </row>
    <row r="2886" spans="1:12">
      <c r="A2886" s="20" t="s">
        <v>518</v>
      </c>
      <c r="E2886" s="21">
        <f>IF(D2886="?OLD","!!!","")</f>
        <v/>
      </c>
      <c r="F2886" s="22" t="str">
        <f>IF(OR(E2886="",E2886="!!!"),"",IF(NOT(ISNA(VLOOKUP(E2886,E$1:E2885,1,FALSE()))),"OLD",IF(AND(E2886&lt;&gt;"",E2886&lt;&gt;"!!!"),"NEW","")))</f>
        <v> </v>
      </c>
      <c r="G2886" s="23" t="str">
        <f>IF(OR(E2886="",E2886="!!!"),"",IF(OR(J2886=0,AND(J2886=1,K2886=1),AND(J2886=1,I2886="SBJ"),AND(J2886=1,I2886=0)),"?IN_FOCUS",IF(J2886&lt;=2,"?ACTIVATED",IF(J2886&lt;&gt;"","?FAMILIAR",IF(F2886="NEW",IF(ISNA(VLOOKUP(E2886,#REF!,1,FALSE())),"?TYPE_IDENTIFIABLE","?REFERENTIAL"),"_")))))</f>
        <v> </v>
      </c>
      <c r="H2886" s="24" t="str">
        <f>IF(J2886&lt;&gt;1,"",IF(I2886="SBJ","CB","?"))</f>
        <v> </v>
      </c>
      <c r="I2886" s="25" t="str">
        <f>IF(OR(E2886="",E2886="!!!",F2886="NEW"),"",INDEX(B2885:B$2,-1+SUMPRODUCT(MAX(ROW(E2885:E$2)*(E2886=E2885:E$2)))))</f>
        <v> </v>
      </c>
      <c r="J2886" s="25" t="str">
        <f>IF(OR(E2886="",E2886="!!!",F2886="NEW"),"",COUNTBLANK(OFFSET(A$1,,,SUMPRODUCT(MAX(ROW(E$2:E2886)*(E2886=E$2:E2886)))))-COUNTBLANK(OFFSET(A$1,,,SUMPRODUCT(MAX(ROW(E$1:E2885)*(E2=E$1:E2885))))))</f>
        <v> </v>
      </c>
      <c r="K2886" s="25" t="str">
        <f>IF(OR(E2886="",E2886="!!!",F2886="NEW"),"",INDEX(J$1:J2885,SUMPRODUCT(MAX(ROW(E$1:E2885)*(E2886=E$1:E2885)))))</f>
        <v> </v>
      </c>
      <c r="L2886" s="26"/>
    </row>
    <row r="2887" spans="1:12">
      <c r="A2887" s="20" t="s">
        <v>542</v>
      </c>
      <c r="E2887" s="21">
        <f>IF(D2887="?OLD","!!!","")</f>
        <v/>
      </c>
      <c r="F2887" s="22" t="str">
        <f>IF(OR(E2887="",E2887="!!!"),"",IF(NOT(ISNA(VLOOKUP(E2887,E$1:E2886,1,FALSE()))),"OLD",IF(AND(E2887&lt;&gt;"",E2887&lt;&gt;"!!!"),"NEW","")))</f>
        <v> </v>
      </c>
      <c r="G2887" s="23" t="str">
        <f>IF(OR(E2887="",E2887="!!!"),"",IF(OR(J2887=0,AND(J2887=1,K2887=1),AND(J2887=1,I2887="SBJ"),AND(J2887=1,I2887=0)),"?IN_FOCUS",IF(J2887&lt;=2,"?ACTIVATED",IF(J2887&lt;&gt;"","?FAMILIAR",IF(F2887="NEW",IF(ISNA(VLOOKUP(E2887,#REF!,1,FALSE())),"?TYPE_IDENTIFIABLE","?REFERENTIAL"),"_")))))</f>
        <v> </v>
      </c>
      <c r="H2887" s="24" t="str">
        <f>IF(J2887&lt;&gt;1,"",IF(I2887="SBJ","CB","?"))</f>
        <v> </v>
      </c>
      <c r="I2887" s="25" t="str">
        <f>IF(OR(E2887="",E2887="!!!",F2887="NEW"),"",INDEX(B2886:B$2,-1+SUMPRODUCT(MAX(ROW(E2886:E$2)*(E2887=E2886:E$2)))))</f>
        <v> </v>
      </c>
      <c r="J2887" s="25" t="str">
        <f>IF(OR(E2887="",E2887="!!!",F2887="NEW"),"",COUNTBLANK(OFFSET(A$1,,,SUMPRODUCT(MAX(ROW(E$2:E2887)*(E2887=E$2:E2887)))))-COUNTBLANK(OFFSET(A$1,,,SUMPRODUCT(MAX(ROW(E$1:E2886)*(E2=E$1:E2886))))))</f>
        <v> </v>
      </c>
      <c r="K2887" s="25" t="str">
        <f>IF(OR(E2887="",E2887="!!!",F2887="NEW"),"",INDEX(J$1:J2886,SUMPRODUCT(MAX(ROW(E$1:E2886)*(E2887=E$1:E2886)))))</f>
        <v> </v>
      </c>
      <c r="L2887" s="26"/>
    </row>
    <row r="2888" spans="1:12">
      <c r="A2888" s="20" t="s">
        <v>1068</v>
      </c>
      <c r="B2888" s="27" t="s">
        <v>641</v>
      </c>
      <c r="C2888" s="27" t="s">
        <v>545</v>
      </c>
      <c r="D2888" s="27" t="s">
        <v>524</v>
      </c>
      <c r="E2888" s="21">
        <f>IF(D2888="?OLD","!!!","")</f>
        <v/>
      </c>
      <c r="F2888" s="22" t="str">
        <f>IF(OR(E2888="",E2888="!!!"),"",IF(NOT(ISNA(VLOOKUP(E2888,E$1:E2887,1,FALSE()))),"OLD",IF(AND(E2888&lt;&gt;"",E2888&lt;&gt;"!!!"),"NEW","")))</f>
        <v> </v>
      </c>
      <c r="G2888" s="23" t="str">
        <f>IF(OR(E2888="",E2888="!!!"),"",IF(OR(J2888=0,AND(J2888=1,K2888=1),AND(J2888=1,I2888="SBJ"),AND(J2888=1,I2888=0)),"?IN_FOCUS",IF(J2888&lt;=2,"?ACTIVATED",IF(J2888&lt;&gt;"","?FAMILIAR",IF(F2888="NEW",IF(ISNA(VLOOKUP(E2888,#REF!,1,FALSE())),"?TYPE_IDENTIFIABLE","?REFERENTIAL"),"_")))))</f>
        <v> </v>
      </c>
      <c r="H2888" s="24" t="str">
        <f>IF(J2888&lt;&gt;1,"",IF(I2888="SBJ","CB","?"))</f>
        <v> </v>
      </c>
      <c r="I2888" s="25" t="str">
        <f>IF(OR(E2888="",E2888="!!!",F2888="NEW"),"",INDEX(B2887:B$2,-1+SUMPRODUCT(MAX(ROW(E2887:E$2)*(E2888=E2887:E$2)))))</f>
        <v> </v>
      </c>
      <c r="J2888" s="25" t="str">
        <f>IF(OR(E2888="",E2888="!!!",F2888="NEW"),"",COUNTBLANK(OFFSET(A$1,,,SUMPRODUCT(MAX(ROW(E$2:E2888)*(E2888=E$2:E2888)))))-COUNTBLANK(OFFSET(A$1,,,SUMPRODUCT(MAX(ROW(E$1:E2887)*(E2=E$1:E2887))))))</f>
        <v> </v>
      </c>
      <c r="K2888" s="25" t="str">
        <f>IF(OR(E2888="",E2888="!!!",F2888="NEW"),"",INDEX(J$1:J2887,SUMPRODUCT(MAX(ROW(E$1:E2887)*(E2888=E$1:E2887)))))</f>
        <v> </v>
      </c>
      <c r="L2888" s="26"/>
    </row>
    <row r="2889" spans="1:12">
      <c r="A2889" s="20" t="s">
        <v>1048</v>
      </c>
      <c r="E2889" s="21">
        <f>IF(D2889="?OLD","!!!","")</f>
        <v/>
      </c>
      <c r="F2889" s="22" t="str">
        <f>IF(OR(E2889="",E2889="!!!"),"",IF(NOT(ISNA(VLOOKUP(E2889,E$1:E2888,1,FALSE()))),"OLD",IF(AND(E2889&lt;&gt;"",E2889&lt;&gt;"!!!"),"NEW","")))</f>
        <v> </v>
      </c>
      <c r="G2889" s="23" t="str">
        <f>IF(OR(E2889="",E2889="!!!"),"",IF(OR(J2889=0,AND(J2889=1,K2889=1),AND(J2889=1,I2889="SBJ"),AND(J2889=1,I2889=0)),"?IN_FOCUS",IF(J2889&lt;=2,"?ACTIVATED",IF(J2889&lt;&gt;"","?FAMILIAR",IF(F2889="NEW",IF(ISNA(VLOOKUP(E2889,#REF!,1,FALSE())),"?TYPE_IDENTIFIABLE","?REFERENTIAL"),"_")))))</f>
        <v> </v>
      </c>
      <c r="H2889" s="24" t="str">
        <f>IF(J2889&lt;&gt;1,"",IF(I2889="SBJ","CB","?"))</f>
        <v> </v>
      </c>
      <c r="I2889" s="25" t="str">
        <f>IF(OR(E2889="",E2889="!!!",F2889="NEW"),"",INDEX(B2888:B$2,-1+SUMPRODUCT(MAX(ROW(E2888:E$2)*(E2889=E2888:E$2)))))</f>
        <v> </v>
      </c>
      <c r="J2889" s="25" t="str">
        <f>IF(OR(E2889="",E2889="!!!",F2889="NEW"),"",COUNTBLANK(OFFSET(A$1,,,SUMPRODUCT(MAX(ROW(E$2:E2889)*(E2889=E$2:E2889)))))-COUNTBLANK(OFFSET(A$1,,,SUMPRODUCT(MAX(ROW(E$1:E2888)*(E2=E$1:E2888))))))</f>
        <v> </v>
      </c>
      <c r="K2889" s="25" t="str">
        <f>IF(OR(E2889="",E2889="!!!",F2889="NEW"),"",INDEX(J$1:J2888,SUMPRODUCT(MAX(ROW(E$1:E2888)*(E2889=E$1:E2888)))))</f>
        <v> </v>
      </c>
      <c r="L2889" s="26"/>
    </row>
    <row r="2890" spans="1:12">
      <c r="A2890" s="20" t="s">
        <v>549</v>
      </c>
      <c r="E2890" s="21">
        <f>IF(D2890="?OLD","!!!","")</f>
        <v/>
      </c>
      <c r="F2890" s="22" t="str">
        <f>IF(OR(E2890="",E2890="!!!"),"",IF(NOT(ISNA(VLOOKUP(E2890,E$1:E2889,1,FALSE()))),"OLD",IF(AND(E2890&lt;&gt;"",E2890&lt;&gt;"!!!"),"NEW","")))</f>
        <v> </v>
      </c>
      <c r="G2890" s="23" t="str">
        <f>IF(OR(E2890="",E2890="!!!"),"",IF(OR(J2890=0,AND(J2890=1,K2890=1),AND(J2890=1,I2890="SBJ"),AND(J2890=1,I2890=0)),"?IN_FOCUS",IF(J2890&lt;=2,"?ACTIVATED",IF(J2890&lt;&gt;"","?FAMILIAR",IF(F2890="NEW",IF(ISNA(VLOOKUP(E2890,#REF!,1,FALSE())),"?TYPE_IDENTIFIABLE","?REFERENTIAL"),"_")))))</f>
        <v> </v>
      </c>
      <c r="H2890" s="24" t="str">
        <f>IF(J2890&lt;&gt;1,"",IF(I2890="SBJ","CB","?"))</f>
        <v> </v>
      </c>
      <c r="I2890" s="25" t="str">
        <f>IF(OR(E2890="",E2890="!!!",F2890="NEW"),"",INDEX(B2889:B$2,-1+SUMPRODUCT(MAX(ROW(E2889:E$2)*(E2890=E2889:E$2)))))</f>
        <v> </v>
      </c>
      <c r="J2890" s="25" t="str">
        <f>IF(OR(E2890="",E2890="!!!",F2890="NEW"),"",COUNTBLANK(OFFSET(A$1,,,SUMPRODUCT(MAX(ROW(E$2:E2890)*(E2890=E$2:E2890)))))-COUNTBLANK(OFFSET(A$1,,,SUMPRODUCT(MAX(ROW(E$1:E2889)*(E2=E$1:E2889))))))</f>
        <v> </v>
      </c>
      <c r="K2890" s="25" t="str">
        <f>IF(OR(E2890="",E2890="!!!",F2890="NEW"),"",INDEX(J$1:J2889,SUMPRODUCT(MAX(ROW(E$1:E2889)*(E2890=E$1:E2889)))))</f>
        <v> </v>
      </c>
      <c r="L2890" s="26"/>
    </row>
    <row r="2891" spans="1:12">
      <c r="A2891" s="20"/>
    </row>
    <row r="2892" spans="1:12">
      <c r="A2892" s="20" t="s">
        <v>1515</v>
      </c>
    </row>
    <row r="2893" spans="1:12">
      <c r="A2893" s="20" t="s">
        <v>1516</v>
      </c>
      <c r="E2893" s="21">
        <f>IF(D2893="?OLD","!!!","")</f>
        <v/>
      </c>
      <c r="F2893" s="22" t="str">
        <f>IF(OR(E2893="",E2893="!!!"),"",IF(NOT(ISNA(VLOOKUP(E2893,E$1:E2892,1,FALSE()))),"OLD",IF(AND(E2893&lt;&gt;"",E2893&lt;&gt;"!!!"),"NEW","")))</f>
        <v> </v>
      </c>
      <c r="G2893" s="23" t="str">
        <f>IF(OR(E2893="",E2893="!!!"),"",IF(OR(J2893=0,AND(J2893=1,K2893=1),AND(J2893=1,I2893="SBJ"),AND(J2893=1,I2893=0)),"?IN_FOCUS",IF(J2893&lt;=2,"?ACTIVATED",IF(J2893&lt;&gt;"","?FAMILIAR",IF(F2893="NEW",IF(ISNA(VLOOKUP(E2893,#REF!,1,FALSE())),"?TYPE_IDENTIFIABLE","?REFERENTIAL"),"_")))))</f>
        <v> </v>
      </c>
      <c r="H2893" s="24" t="str">
        <f>IF(J2893&lt;&gt;1,"",IF(I2893="SBJ","CB","?"))</f>
        <v> </v>
      </c>
      <c r="I2893" s="25" t="str">
        <f>IF(OR(E2893="",E2893="!!!",F2893="NEW"),"",INDEX(B2892:B$2,-1+SUMPRODUCT(MAX(ROW(E2892:E$2)*(E2893=E2892:E$2)))))</f>
        <v> </v>
      </c>
      <c r="J2893" s="25" t="str">
        <f>IF(OR(E2893="",E2893="!!!",F2893="NEW"),"",COUNTBLANK(OFFSET(A$1,,,SUMPRODUCT(MAX(ROW(E$2:E2893)*(E2893=E$2:E2893)))))-COUNTBLANK(OFFSET(A$1,,,SUMPRODUCT(MAX(ROW(E$1:E2892)*(E2=E$1:E2892))))))</f>
        <v> </v>
      </c>
      <c r="K2893" s="25" t="str">
        <f>IF(OR(E2893="",E2893="!!!",F2893="NEW"),"",INDEX(J$1:J2892,SUMPRODUCT(MAX(ROW(E$1:E2892)*(E2893=E$1:E2892)))))</f>
        <v> </v>
      </c>
      <c r="L2893" s="26"/>
    </row>
    <row r="2894" spans="1:12">
      <c r="A2894" s="20" t="s">
        <v>1176</v>
      </c>
      <c r="B2894" s="27" t="s">
        <v>680</v>
      </c>
      <c r="C2894" s="27" t="s">
        <v>908</v>
      </c>
      <c r="E2894" s="21">
        <f>IF(D2894="?OLD","!!!","")</f>
        <v/>
      </c>
      <c r="F2894" s="22" t="str">
        <f>IF(OR(E2894="",E2894="!!!"),"",IF(NOT(ISNA(VLOOKUP(E2894,E$1:E2893,1,FALSE()))),"OLD",IF(AND(E2894&lt;&gt;"",E2894&lt;&gt;"!!!"),"NEW","")))</f>
        <v> </v>
      </c>
      <c r="G2894" s="23" t="str">
        <f>IF(OR(E2894="",E2894="!!!"),"",IF(OR(J2894=0,AND(J2894=1,K2894=1),AND(J2894=1,I2894="SBJ"),AND(J2894=1,I2894=0)),"?IN_FOCUS",IF(J2894&lt;=2,"?ACTIVATED",IF(J2894&lt;&gt;"","?FAMILIAR",IF(F2894="NEW",IF(ISNA(VLOOKUP(E2894,#REF!,1,FALSE())),"?TYPE_IDENTIFIABLE","?REFERENTIAL"),"_")))))</f>
        <v> </v>
      </c>
      <c r="H2894" s="24" t="str">
        <f>IF(J2894&lt;&gt;1,"",IF(I2894="SBJ","CB","?"))</f>
        <v> </v>
      </c>
      <c r="I2894" s="25" t="str">
        <f>IF(OR(E2894="",E2894="!!!",F2894="NEW"),"",INDEX(B2893:B$2,-1+SUMPRODUCT(MAX(ROW(E2893:E$2)*(E2894=E2893:E$2)))))</f>
        <v> </v>
      </c>
      <c r="J2894" s="25" t="str">
        <f>IF(OR(E2894="",E2894="!!!",F2894="NEW"),"",COUNTBLANK(OFFSET(A$1,,,SUMPRODUCT(MAX(ROW(E$2:E2894)*(E2894=E$2:E2894)))))-COUNTBLANK(OFFSET(A$1,,,SUMPRODUCT(MAX(ROW(E$1:E2893)*(E2=E$1:E2893))))))</f>
        <v> </v>
      </c>
      <c r="K2894" s="25" t="str">
        <f>IF(OR(E2894="",E2894="!!!",F2894="NEW"),"",INDEX(J$1:J2893,SUMPRODUCT(MAX(ROW(E$1:E2893)*(E2894=E$1:E2893)))))</f>
        <v> </v>
      </c>
      <c r="L2894" s="26"/>
    </row>
    <row r="2895" spans="1:12">
      <c r="A2895" s="20" t="s">
        <v>1517</v>
      </c>
      <c r="E2895" s="21">
        <f>IF(D2895="?OLD","!!!","")</f>
        <v/>
      </c>
      <c r="F2895" s="22" t="str">
        <f>IF(OR(E2895="",E2895="!!!"),"",IF(NOT(ISNA(VLOOKUP(E2895,E$1:E2894,1,FALSE()))),"OLD",IF(AND(E2895&lt;&gt;"",E2895&lt;&gt;"!!!"),"NEW","")))</f>
        <v> </v>
      </c>
      <c r="G2895" s="23" t="str">
        <f>IF(OR(E2895="",E2895="!!!"),"",IF(OR(J2895=0,AND(J2895=1,K2895=1),AND(J2895=1,I2895="SBJ"),AND(J2895=1,I2895=0)),"?IN_FOCUS",IF(J2895&lt;=2,"?ACTIVATED",IF(J2895&lt;&gt;"","?FAMILIAR",IF(F2895="NEW",IF(ISNA(VLOOKUP(E2895,#REF!,1,FALSE())),"?TYPE_IDENTIFIABLE","?REFERENTIAL"),"_")))))</f>
        <v> </v>
      </c>
      <c r="H2895" s="24" t="str">
        <f>IF(J2895&lt;&gt;1,"",IF(I2895="SBJ","CB","?"))</f>
        <v> </v>
      </c>
      <c r="I2895" s="25" t="str">
        <f>IF(OR(E2895="",E2895="!!!",F2895="NEW"),"",INDEX(B2894:B$2,-1+SUMPRODUCT(MAX(ROW(E2894:E$2)*(E2895=E2894:E$2)))))</f>
        <v> </v>
      </c>
      <c r="J2895" s="25" t="str">
        <f>IF(OR(E2895="",E2895="!!!",F2895="NEW"),"",COUNTBLANK(OFFSET(A$1,,,SUMPRODUCT(MAX(ROW(E$2:E2895)*(E2895=E$2:E2895)))))-COUNTBLANK(OFFSET(A$1,,,SUMPRODUCT(MAX(ROW(E$1:E2894)*(E2=E$1:E2894))))))</f>
        <v> </v>
      </c>
      <c r="K2895" s="25" t="str">
        <f>IF(OR(E2895="",E2895="!!!",F2895="NEW"),"",INDEX(J$1:J2894,SUMPRODUCT(MAX(ROW(E$1:E2894)*(E2895=E$1:E2894)))))</f>
        <v> </v>
      </c>
      <c r="L2895" s="26"/>
    </row>
    <row r="2896" spans="1:12">
      <c r="A2896" s="20" t="s">
        <v>571</v>
      </c>
      <c r="E2896" s="21">
        <f>IF(D2896="?OLD","!!!","")</f>
        <v/>
      </c>
      <c r="F2896" s="22" t="str">
        <f>IF(OR(E2896="",E2896="!!!"),"",IF(NOT(ISNA(VLOOKUP(E2896,E$1:E2895,1,FALSE()))),"OLD",IF(AND(E2896&lt;&gt;"",E2896&lt;&gt;"!!!"),"NEW","")))</f>
        <v> </v>
      </c>
      <c r="G2896" s="23" t="str">
        <f>IF(OR(E2896="",E2896="!!!"),"",IF(OR(J2896=0,AND(J2896=1,K2896=1),AND(J2896=1,I2896="SBJ"),AND(J2896=1,I2896=0)),"?IN_FOCUS",IF(J2896&lt;=2,"?ACTIVATED",IF(J2896&lt;&gt;"","?FAMILIAR",IF(F2896="NEW",IF(ISNA(VLOOKUP(E2896,#REF!,1,FALSE())),"?TYPE_IDENTIFIABLE","?REFERENTIAL"),"_")))))</f>
        <v> </v>
      </c>
      <c r="H2896" s="24" t="str">
        <f>IF(J2896&lt;&gt;1,"",IF(I2896="SBJ","CB","?"))</f>
        <v> </v>
      </c>
      <c r="I2896" s="25" t="str">
        <f>IF(OR(E2896="",E2896="!!!",F2896="NEW"),"",INDEX(B2895:B$2,-1+SUMPRODUCT(MAX(ROW(E2895:E$2)*(E2896=E2895:E$2)))))</f>
        <v> </v>
      </c>
      <c r="J2896" s="25" t="str">
        <f>IF(OR(E2896="",E2896="!!!",F2896="NEW"),"",COUNTBLANK(OFFSET(A$1,,,SUMPRODUCT(MAX(ROW(E$2:E2896)*(E2896=E$2:E2896)))))-COUNTBLANK(OFFSET(A$1,,,SUMPRODUCT(MAX(ROW(E$1:E2895)*(E2=E$1:E2895))))))</f>
        <v> </v>
      </c>
      <c r="K2896" s="25" t="str">
        <f>IF(OR(E2896="",E2896="!!!",F2896="NEW"),"",INDEX(J$1:J2895,SUMPRODUCT(MAX(ROW(E$1:E2895)*(E2896=E$1:E2895)))))</f>
        <v> </v>
      </c>
      <c r="L2896" s="26"/>
    </row>
    <row r="2897" spans="1:12">
      <c r="A2897" s="20" t="s">
        <v>814</v>
      </c>
      <c r="B2897" s="27" t="s">
        <v>743</v>
      </c>
      <c r="C2897" s="27" t="s">
        <v>540</v>
      </c>
      <c r="D2897" s="27" t="s">
        <v>524</v>
      </c>
      <c r="E2897" s="21">
        <f>IF(D2897="?OLD","!!!","")</f>
        <v/>
      </c>
      <c r="F2897" s="22" t="str">
        <f>IF(OR(E2897="",E2897="!!!"),"",IF(NOT(ISNA(VLOOKUP(E2897,E$1:E2896,1,FALSE()))),"OLD",IF(AND(E2897&lt;&gt;"",E2897&lt;&gt;"!!!"),"NEW","")))</f>
        <v> </v>
      </c>
      <c r="G2897" s="23" t="str">
        <f>IF(OR(E2897="",E2897="!!!"),"",IF(OR(J2897=0,AND(J2897=1,K2897=1),AND(J2897=1,I2897="SBJ"),AND(J2897=1,I2897=0)),"?IN_FOCUS",IF(J2897&lt;=2,"?ACTIVATED",IF(J2897&lt;&gt;"","?FAMILIAR",IF(F2897="NEW",IF(ISNA(VLOOKUP(E2897,#REF!,1,FALSE())),"?TYPE_IDENTIFIABLE","?REFERENTIAL"),"_")))))</f>
        <v> </v>
      </c>
      <c r="H2897" s="24" t="str">
        <f>IF(J2897&lt;&gt;1,"",IF(I2897="SBJ","CB","?"))</f>
        <v> </v>
      </c>
      <c r="I2897" s="25" t="str">
        <f>IF(OR(E2897="",E2897="!!!",F2897="NEW"),"",INDEX(B2896:B$2,-1+SUMPRODUCT(MAX(ROW(E2896:E$2)*(E2897=E2896:E$2)))))</f>
        <v> </v>
      </c>
      <c r="J2897" s="25" t="str">
        <f>IF(OR(E2897="",E2897="!!!",F2897="NEW"),"",COUNTBLANK(OFFSET(A$1,,,SUMPRODUCT(MAX(ROW(E$2:E2897)*(E2897=E$2:E2897)))))-COUNTBLANK(OFFSET(A$1,,,SUMPRODUCT(MAX(ROW(E$1:E2896)*(E2=E$1:E2896))))))</f>
        <v> </v>
      </c>
      <c r="K2897" s="25" t="str">
        <f>IF(OR(E2897="",E2897="!!!",F2897="NEW"),"",INDEX(J$1:J2896,SUMPRODUCT(MAX(ROW(E$1:E2896)*(E2897=E$1:E2896)))))</f>
        <v> </v>
      </c>
      <c r="L2897" s="26"/>
    </row>
    <row r="2898" spans="1:12">
      <c r="A2898" s="20" t="s">
        <v>518</v>
      </c>
      <c r="E2898" s="21">
        <f>IF(D2898="?OLD","!!!","")</f>
        <v/>
      </c>
      <c r="F2898" s="22" t="str">
        <f>IF(OR(E2898="",E2898="!!!"),"",IF(NOT(ISNA(VLOOKUP(E2898,E$1:E2897,1,FALSE()))),"OLD",IF(AND(E2898&lt;&gt;"",E2898&lt;&gt;"!!!"),"NEW","")))</f>
        <v> </v>
      </c>
      <c r="G2898" s="23" t="str">
        <f>IF(OR(E2898="",E2898="!!!"),"",IF(OR(J2898=0,AND(J2898=1,K2898=1),AND(J2898=1,I2898="SBJ"),AND(J2898=1,I2898=0)),"?IN_FOCUS",IF(J2898&lt;=2,"?ACTIVATED",IF(J2898&lt;&gt;"","?FAMILIAR",IF(F2898="NEW",IF(ISNA(VLOOKUP(E2898,#REF!,1,FALSE())),"?TYPE_IDENTIFIABLE","?REFERENTIAL"),"_")))))</f>
        <v> </v>
      </c>
      <c r="H2898" s="24" t="str">
        <f>IF(J2898&lt;&gt;1,"",IF(I2898="SBJ","CB","?"))</f>
        <v> </v>
      </c>
      <c r="I2898" s="25" t="str">
        <f>IF(OR(E2898="",E2898="!!!",F2898="NEW"),"",INDEX(B2897:B$2,-1+SUMPRODUCT(MAX(ROW(E2897:E$2)*(E2898=E2897:E$2)))))</f>
        <v> </v>
      </c>
      <c r="J2898" s="25" t="str">
        <f>IF(OR(E2898="",E2898="!!!",F2898="NEW"),"",COUNTBLANK(OFFSET(A$1,,,SUMPRODUCT(MAX(ROW(E$2:E2898)*(E2898=E$2:E2898)))))-COUNTBLANK(OFFSET(A$1,,,SUMPRODUCT(MAX(ROW(E$1:E2897)*(E2=E$1:E2897))))))</f>
        <v> </v>
      </c>
      <c r="K2898" s="25" t="str">
        <f>IF(OR(E2898="",E2898="!!!",F2898="NEW"),"",INDEX(J$1:J2897,SUMPRODUCT(MAX(ROW(E$1:E2897)*(E2898=E$1:E2897)))))</f>
        <v> </v>
      </c>
      <c r="L2898" s="26"/>
    </row>
    <row r="2899" spans="1:12">
      <c r="A2899" s="20" t="s">
        <v>666</v>
      </c>
      <c r="B2899" s="27" t="s">
        <v>597</v>
      </c>
      <c r="C2899" s="27" t="s">
        <v>584</v>
      </c>
      <c r="D2899" s="27" t="s">
        <v>524</v>
      </c>
      <c r="E2899" s="21">
        <f>IF(D2899="?OLD","!!!","")</f>
        <v/>
      </c>
      <c r="F2899" s="22" t="str">
        <f>IF(OR(E2899="",E2899="!!!"),"",IF(NOT(ISNA(VLOOKUP(E2899,E$1:E2898,1,FALSE()))),"OLD",IF(AND(E2899&lt;&gt;"",E2899&lt;&gt;"!!!"),"NEW","")))</f>
        <v> </v>
      </c>
      <c r="G2899" s="23" t="str">
        <f>IF(OR(E2899="",E2899="!!!"),"",IF(OR(J2899=0,AND(J2899=1,K2899=1),AND(J2899=1,I2899="SBJ"),AND(J2899=1,I2899=0)),"?IN_FOCUS",IF(J2899&lt;=2,"?ACTIVATED",IF(J2899&lt;&gt;"","?FAMILIAR",IF(F2899="NEW",IF(ISNA(VLOOKUP(E2899,#REF!,1,FALSE())),"?TYPE_IDENTIFIABLE","?REFERENTIAL"),"_")))))</f>
        <v> </v>
      </c>
      <c r="H2899" s="24" t="str">
        <f>IF(J2899&lt;&gt;1,"",IF(I2899="SBJ","CB","?"))</f>
        <v> </v>
      </c>
      <c r="I2899" s="25" t="str">
        <f>IF(OR(E2899="",E2899="!!!",F2899="NEW"),"",INDEX(B2898:B$2,-1+SUMPRODUCT(MAX(ROW(E2898:E$2)*(E2899=E2898:E$2)))))</f>
        <v> </v>
      </c>
      <c r="J2899" s="25" t="str">
        <f>IF(OR(E2899="",E2899="!!!",F2899="NEW"),"",COUNTBLANK(OFFSET(A$1,,,SUMPRODUCT(MAX(ROW(E$2:E2899)*(E2899=E$2:E2899)))))-COUNTBLANK(OFFSET(A$1,,,SUMPRODUCT(MAX(ROW(E$1:E2898)*(E2=E$1:E2898))))))</f>
        <v> </v>
      </c>
      <c r="K2899" s="25" t="str">
        <f>IF(OR(E2899="",E2899="!!!",F2899="NEW"),"",INDEX(J$1:J2898,SUMPRODUCT(MAX(ROW(E$1:E2898)*(E2899=E$1:E2898)))))</f>
        <v> </v>
      </c>
      <c r="L2899" s="26"/>
    </row>
    <row r="2900" spans="1:12">
      <c r="A2900" s="20" t="s">
        <v>719</v>
      </c>
      <c r="E2900" s="21">
        <f>IF(D2900="?OLD","!!!","")</f>
        <v/>
      </c>
      <c r="F2900" s="22" t="str">
        <f>IF(OR(E2900="",E2900="!!!"),"",IF(NOT(ISNA(VLOOKUP(E2900,E$1:E2899,1,FALSE()))),"OLD",IF(AND(E2900&lt;&gt;"",E2900&lt;&gt;"!!!"),"NEW","")))</f>
        <v> </v>
      </c>
      <c r="G2900" s="23" t="str">
        <f>IF(OR(E2900="",E2900="!!!"),"",IF(OR(J2900=0,AND(J2900=1,K2900=1),AND(J2900=1,I2900="SBJ"),AND(J2900=1,I2900=0)),"?IN_FOCUS",IF(J2900&lt;=2,"?ACTIVATED",IF(J2900&lt;&gt;"","?FAMILIAR",IF(F2900="NEW",IF(ISNA(VLOOKUP(E2900,#REF!,1,FALSE())),"?TYPE_IDENTIFIABLE","?REFERENTIAL"),"_")))))</f>
        <v> </v>
      </c>
      <c r="H2900" s="24" t="str">
        <f>IF(J2900&lt;&gt;1,"",IF(I2900="SBJ","CB","?"))</f>
        <v> </v>
      </c>
      <c r="I2900" s="25" t="str">
        <f>IF(OR(E2900="",E2900="!!!",F2900="NEW"),"",INDEX(B2899:B$2,-1+SUMPRODUCT(MAX(ROW(E2899:E$2)*(E2900=E2899:E$2)))))</f>
        <v> </v>
      </c>
      <c r="J2900" s="25" t="str">
        <f>IF(OR(E2900="",E2900="!!!",F2900="NEW"),"",COUNTBLANK(OFFSET(A$1,,,SUMPRODUCT(MAX(ROW(E$2:E2900)*(E2900=E$2:E2900)))))-COUNTBLANK(OFFSET(A$1,,,SUMPRODUCT(MAX(ROW(E$1:E2899)*(E2=E$1:E2899))))))</f>
        <v> </v>
      </c>
      <c r="K2900" s="25" t="str">
        <f>IF(OR(E2900="",E2900="!!!",F2900="NEW"),"",INDEX(J$1:J2899,SUMPRODUCT(MAX(ROW(E$1:E2899)*(E2900=E$1:E2899)))))</f>
        <v> </v>
      </c>
      <c r="L2900" s="26"/>
    </row>
    <row r="2901" spans="1:12">
      <c r="A2901" s="20" t="s">
        <v>1518</v>
      </c>
      <c r="E2901" s="21">
        <f>IF(D2901="?OLD","!!!","")</f>
        <v/>
      </c>
      <c r="F2901" s="22" t="str">
        <f>IF(OR(E2901="",E2901="!!!"),"",IF(NOT(ISNA(VLOOKUP(E2901,E$1:E2900,1,FALSE()))),"OLD",IF(AND(E2901&lt;&gt;"",E2901&lt;&gt;"!!!"),"NEW","")))</f>
        <v> </v>
      </c>
      <c r="G2901" s="23" t="str">
        <f>IF(OR(E2901="",E2901="!!!"),"",IF(OR(J2901=0,AND(J2901=1,K2901=1),AND(J2901=1,I2901="SBJ"),AND(J2901=1,I2901=0)),"?IN_FOCUS",IF(J2901&lt;=2,"?ACTIVATED",IF(J2901&lt;&gt;"","?FAMILIAR",IF(F2901="NEW",IF(ISNA(VLOOKUP(E2901,#REF!,1,FALSE())),"?TYPE_IDENTIFIABLE","?REFERENTIAL"),"_")))))</f>
        <v> </v>
      </c>
      <c r="H2901" s="24" t="str">
        <f>IF(J2901&lt;&gt;1,"",IF(I2901="SBJ","CB","?"))</f>
        <v> </v>
      </c>
      <c r="I2901" s="25" t="str">
        <f>IF(OR(E2901="",E2901="!!!",F2901="NEW"),"",INDEX(B2900:B$2,-1+SUMPRODUCT(MAX(ROW(E2900:E$2)*(E2901=E2900:E$2)))))</f>
        <v> </v>
      </c>
      <c r="J2901" s="25" t="str">
        <f>IF(OR(E2901="",E2901="!!!",F2901="NEW"),"",COUNTBLANK(OFFSET(A$1,,,SUMPRODUCT(MAX(ROW(E$2:E2901)*(E2901=E$2:E2901)))))-COUNTBLANK(OFFSET(A$1,,,SUMPRODUCT(MAX(ROW(E$1:E2900)*(E2=E$1:E2900))))))</f>
        <v> </v>
      </c>
      <c r="K2901" s="25" t="str">
        <f>IF(OR(E2901="",E2901="!!!",F2901="NEW"),"",INDEX(J$1:J2900,SUMPRODUCT(MAX(ROW(E$1:E2900)*(E2901=E$1:E2900)))))</f>
        <v> </v>
      </c>
      <c r="L2901" s="26"/>
    </row>
    <row r="2902" spans="1:12">
      <c r="A2902" s="20" t="s">
        <v>541</v>
      </c>
      <c r="E2902" s="21">
        <f>IF(D2902="?OLD","!!!","")</f>
        <v/>
      </c>
      <c r="F2902" s="22" t="str">
        <f>IF(OR(E2902="",E2902="!!!"),"",IF(NOT(ISNA(VLOOKUP(E2902,E$1:E2901,1,FALSE()))),"OLD",IF(AND(E2902&lt;&gt;"",E2902&lt;&gt;"!!!"),"NEW","")))</f>
        <v> </v>
      </c>
      <c r="G2902" s="23" t="str">
        <f>IF(OR(E2902="",E2902="!!!"),"",IF(OR(J2902=0,AND(J2902=1,K2902=1),AND(J2902=1,I2902="SBJ"),AND(J2902=1,I2902=0)),"?IN_FOCUS",IF(J2902&lt;=2,"?ACTIVATED",IF(J2902&lt;&gt;"","?FAMILIAR",IF(F2902="NEW",IF(ISNA(VLOOKUP(E2902,#REF!,1,FALSE())),"?TYPE_IDENTIFIABLE","?REFERENTIAL"),"_")))))</f>
        <v> </v>
      </c>
      <c r="H2902" s="24" t="str">
        <f>IF(J2902&lt;&gt;1,"",IF(I2902="SBJ","CB","?"))</f>
        <v> </v>
      </c>
      <c r="I2902" s="25" t="str">
        <f>IF(OR(E2902="",E2902="!!!",F2902="NEW"),"",INDEX(B2901:B$2,-1+SUMPRODUCT(MAX(ROW(E2901:E$2)*(E2902=E2901:E$2)))))</f>
        <v> </v>
      </c>
      <c r="J2902" s="25" t="str">
        <f>IF(OR(E2902="",E2902="!!!",F2902="NEW"),"",COUNTBLANK(OFFSET(A$1,,,SUMPRODUCT(MAX(ROW(E$2:E2902)*(E2902=E$2:E2902)))))-COUNTBLANK(OFFSET(A$1,,,SUMPRODUCT(MAX(ROW(E$1:E2901)*(E2=E$1:E2901))))))</f>
        <v> </v>
      </c>
      <c r="K2902" s="25" t="str">
        <f>IF(OR(E2902="",E2902="!!!",F2902="NEW"),"",INDEX(J$1:J2901,SUMPRODUCT(MAX(ROW(E$1:E2901)*(E2902=E$1:E2901)))))</f>
        <v> </v>
      </c>
      <c r="L2902" s="26"/>
    </row>
    <row r="2903" spans="1:12">
      <c r="A2903" s="20" t="s">
        <v>542</v>
      </c>
      <c r="E2903" s="21">
        <f>IF(D2903="?OLD","!!!","")</f>
        <v/>
      </c>
      <c r="F2903" s="22" t="str">
        <f>IF(OR(E2903="",E2903="!!!"),"",IF(NOT(ISNA(VLOOKUP(E2903,E$1:E2902,1,FALSE()))),"OLD",IF(AND(E2903&lt;&gt;"",E2903&lt;&gt;"!!!"),"NEW","")))</f>
        <v> </v>
      </c>
      <c r="G2903" s="23" t="str">
        <f>IF(OR(E2903="",E2903="!!!"),"",IF(OR(J2903=0,AND(J2903=1,K2903=1),AND(J2903=1,I2903="SBJ"),AND(J2903=1,I2903=0)),"?IN_FOCUS",IF(J2903&lt;=2,"?ACTIVATED",IF(J2903&lt;&gt;"","?FAMILIAR",IF(F2903="NEW",IF(ISNA(VLOOKUP(E2903,#REF!,1,FALSE())),"?TYPE_IDENTIFIABLE","?REFERENTIAL"),"_")))))</f>
        <v> </v>
      </c>
      <c r="H2903" s="24" t="str">
        <f>IF(J2903&lt;&gt;1,"",IF(I2903="SBJ","CB","?"))</f>
        <v> </v>
      </c>
      <c r="I2903" s="25" t="str">
        <f>IF(OR(E2903="",E2903="!!!",F2903="NEW"),"",INDEX(B2902:B$2,-1+SUMPRODUCT(MAX(ROW(E2902:E$2)*(E2903=E2902:E$2)))))</f>
        <v> </v>
      </c>
      <c r="J2903" s="25" t="str">
        <f>IF(OR(E2903="",E2903="!!!",F2903="NEW"),"",COUNTBLANK(OFFSET(A$1,,,SUMPRODUCT(MAX(ROW(E$2:E2903)*(E2903=E$2:E2903)))))-COUNTBLANK(OFFSET(A$1,,,SUMPRODUCT(MAX(ROW(E$1:E2902)*(E2=E$1:E2902))))))</f>
        <v> </v>
      </c>
      <c r="K2903" s="25" t="str">
        <f>IF(OR(E2903="",E2903="!!!",F2903="NEW"),"",INDEX(J$1:J2902,SUMPRODUCT(MAX(ROW(E$1:E2902)*(E2903=E$1:E2902)))))</f>
        <v> </v>
      </c>
      <c r="L2903" s="26"/>
    </row>
    <row r="2904" spans="1:12">
      <c r="A2904" s="20" t="s">
        <v>1178</v>
      </c>
      <c r="B2904" s="27" t="s">
        <v>597</v>
      </c>
      <c r="C2904" s="27" t="s">
        <v>540</v>
      </c>
      <c r="D2904" s="27" t="s">
        <v>524</v>
      </c>
      <c r="E2904" s="21">
        <f>IF(D2904="?OLD","!!!","")</f>
        <v/>
      </c>
      <c r="F2904" s="22" t="str">
        <f>IF(OR(E2904="",E2904="!!!"),"",IF(NOT(ISNA(VLOOKUP(E2904,E$1:E2903,1,FALSE()))),"OLD",IF(AND(E2904&lt;&gt;"",E2904&lt;&gt;"!!!"),"NEW","")))</f>
        <v> </v>
      </c>
      <c r="G2904" s="23" t="str">
        <f>IF(OR(E2904="",E2904="!!!"),"",IF(OR(J2904=0,AND(J2904=1,K2904=1),AND(J2904=1,I2904="SBJ"),AND(J2904=1,I2904=0)),"?IN_FOCUS",IF(J2904&lt;=2,"?ACTIVATED",IF(J2904&lt;&gt;"","?FAMILIAR",IF(F2904="NEW",IF(ISNA(VLOOKUP(E2904,#REF!,1,FALSE())),"?TYPE_IDENTIFIABLE","?REFERENTIAL"),"_")))))</f>
        <v> </v>
      </c>
      <c r="H2904" s="24" t="str">
        <f>IF(J2904&lt;&gt;1,"",IF(I2904="SBJ","CB","?"))</f>
        <v> </v>
      </c>
      <c r="I2904" s="25" t="str">
        <f>IF(OR(E2904="",E2904="!!!",F2904="NEW"),"",INDEX(B2903:B$2,-1+SUMPRODUCT(MAX(ROW(E2903:E$2)*(E2904=E2903:E$2)))))</f>
        <v> </v>
      </c>
      <c r="J2904" s="25" t="str">
        <f>IF(OR(E2904="",E2904="!!!",F2904="NEW"),"",COUNTBLANK(OFFSET(A$1,,,SUMPRODUCT(MAX(ROW(E$2:E2904)*(E2904=E$2:E2904)))))-COUNTBLANK(OFFSET(A$1,,,SUMPRODUCT(MAX(ROW(E$1:E2903)*(E2=E$1:E2903))))))</f>
        <v> </v>
      </c>
      <c r="K2904" s="25" t="str">
        <f>IF(OR(E2904="",E2904="!!!",F2904="NEW"),"",INDEX(J$1:J2903,SUMPRODUCT(MAX(ROW(E$1:E2903)*(E2904=E$1:E2903)))))</f>
        <v> </v>
      </c>
      <c r="L2904" s="26"/>
    </row>
    <row r="2905" spans="1:12">
      <c r="A2905" s="20" t="s">
        <v>518</v>
      </c>
      <c r="E2905" s="21">
        <f>IF(D2905="?OLD","!!!","")</f>
        <v/>
      </c>
      <c r="F2905" s="22" t="str">
        <f>IF(OR(E2905="",E2905="!!!"),"",IF(NOT(ISNA(VLOOKUP(E2905,E$1:E2904,1,FALSE()))),"OLD",IF(AND(E2905&lt;&gt;"",E2905&lt;&gt;"!!!"),"NEW","")))</f>
        <v> </v>
      </c>
      <c r="G2905" s="23" t="str">
        <f>IF(OR(E2905="",E2905="!!!"),"",IF(OR(J2905=0,AND(J2905=1,K2905=1),AND(J2905=1,I2905="SBJ"),AND(J2905=1,I2905=0)),"?IN_FOCUS",IF(J2905&lt;=2,"?ACTIVATED",IF(J2905&lt;&gt;"","?FAMILIAR",IF(F2905="NEW",IF(ISNA(VLOOKUP(E2905,#REF!,1,FALSE())),"?TYPE_IDENTIFIABLE","?REFERENTIAL"),"_")))))</f>
        <v> </v>
      </c>
      <c r="H2905" s="24" t="str">
        <f>IF(J2905&lt;&gt;1,"",IF(I2905="SBJ","CB","?"))</f>
        <v> </v>
      </c>
      <c r="I2905" s="25" t="str">
        <f>IF(OR(E2905="",E2905="!!!",F2905="NEW"),"",INDEX(B2904:B$2,-1+SUMPRODUCT(MAX(ROW(E2904:E$2)*(E2905=E2904:E$2)))))</f>
        <v> </v>
      </c>
      <c r="J2905" s="25" t="str">
        <f>IF(OR(E2905="",E2905="!!!",F2905="NEW"),"",COUNTBLANK(OFFSET(A$1,,,SUMPRODUCT(MAX(ROW(E$2:E2905)*(E2905=E$2:E2905)))))-COUNTBLANK(OFFSET(A$1,,,SUMPRODUCT(MAX(ROW(E$1:E2904)*(E2=E$1:E2904))))))</f>
        <v> </v>
      </c>
      <c r="K2905" s="25" t="str">
        <f>IF(OR(E2905="",E2905="!!!",F2905="NEW"),"",INDEX(J$1:J2904,SUMPRODUCT(MAX(ROW(E$1:E2904)*(E2905=E$1:E2904)))))</f>
        <v> </v>
      </c>
      <c r="L2905" s="26"/>
    </row>
    <row r="2906" spans="1:12">
      <c r="A2906" s="20" t="s">
        <v>578</v>
      </c>
      <c r="B2906" s="27" t="s">
        <v>544</v>
      </c>
      <c r="C2906" s="27" t="s">
        <v>564</v>
      </c>
      <c r="E2906" s="21">
        <f>IF(D2906="?OLD","!!!","")</f>
        <v/>
      </c>
      <c r="F2906" s="22" t="str">
        <f>IF(OR(E2906="",E2906="!!!"),"",IF(NOT(ISNA(VLOOKUP(E2906,E$1:E2905,1,FALSE()))),"OLD",IF(AND(E2906&lt;&gt;"",E2906&lt;&gt;"!!!"),"NEW","")))</f>
        <v> </v>
      </c>
      <c r="G2906" s="23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4" t="str">
        <f>IF(J2906&lt;&gt;1,"",IF(I2906="SBJ","CB","?"))</f>
        <v> </v>
      </c>
      <c r="I2906" s="25" t="str">
        <f>IF(OR(E2906="",E2906="!!!",F2906="NEW"),"",INDEX(B2905:B$2,-1+SUMPRODUCT(MAX(ROW(E2905:E$2)*(E2906=E2905:E$2)))))</f>
        <v> </v>
      </c>
      <c r="J2906" s="25" t="str">
        <f>IF(OR(E2906="",E2906="!!!",F2906="NEW"),"",COUNTBLANK(OFFSET(A$1,,,SUMPRODUCT(MAX(ROW(E$2:E2906)*(E2906=E$2:E2906)))))-COUNTBLANK(OFFSET(A$1,,,SUMPRODUCT(MAX(ROW(E$1:E2905)*(E2=E$1:E2905))))))</f>
        <v> </v>
      </c>
      <c r="K2906" s="25" t="str">
        <f>IF(OR(E2906="",E2906="!!!",F2906="NEW"),"",INDEX(J$1:J2905,SUMPRODUCT(MAX(ROW(E$1:E2905)*(E2906=E$1:E2905)))))</f>
        <v> </v>
      </c>
      <c r="L2906" s="26"/>
    </row>
    <row r="2907" spans="1:12">
      <c r="A2907" s="20" t="s">
        <v>518</v>
      </c>
      <c r="E2907" s="21">
        <f>IF(D2907="?OLD","!!!","")</f>
        <v/>
      </c>
      <c r="F2907" s="22" t="str">
        <f>IF(OR(E2907="",E2907="!!!"),"",IF(NOT(ISNA(VLOOKUP(E2907,E$1:E2906,1,FALSE()))),"OLD",IF(AND(E2907&lt;&gt;"",E2907&lt;&gt;"!!!"),"NEW","")))</f>
        <v> </v>
      </c>
      <c r="G2907" s="23" t="str">
        <f>IF(OR(E2907="",E2907="!!!"),"",IF(OR(J2907=0,AND(J2907=1,K2907=1),AND(J2907=1,I2907="SBJ"),AND(J2907=1,I2907=0)),"?IN_FOCUS",IF(J2907&lt;=2,"?ACTIVATED",IF(J2907&lt;&gt;"","?FAMILIAR",IF(F2907="NEW",IF(ISNA(VLOOKUP(E2907,#REF!,1,FALSE())),"?TYPE_IDENTIFIABLE","?REFERENTIAL"),"_")))))</f>
        <v> </v>
      </c>
      <c r="H2907" s="24" t="str">
        <f>IF(J2907&lt;&gt;1,"",IF(I2907="SBJ","CB","?"))</f>
        <v> </v>
      </c>
      <c r="I2907" s="25" t="str">
        <f>IF(OR(E2907="",E2907="!!!",F2907="NEW"),"",INDEX(B2906:B$2,-1+SUMPRODUCT(MAX(ROW(E2906:E$2)*(E2907=E2906:E$2)))))</f>
        <v> </v>
      </c>
      <c r="J2907" s="25" t="str">
        <f>IF(OR(E2907="",E2907="!!!",F2907="NEW"),"",COUNTBLANK(OFFSET(A$1,,,SUMPRODUCT(MAX(ROW(E$2:E2907)*(E2907=E$2:E2907)))))-COUNTBLANK(OFFSET(A$1,,,SUMPRODUCT(MAX(ROW(E$1:E2906)*(E2=E$1:E2906))))))</f>
        <v> </v>
      </c>
      <c r="K2907" s="25" t="str">
        <f>IF(OR(E2907="",E2907="!!!",F2907="NEW"),"",INDEX(J$1:J2906,SUMPRODUCT(MAX(ROW(E$1:E2906)*(E2907=E$1:E2906)))))</f>
        <v> </v>
      </c>
      <c r="L2907" s="26"/>
    </row>
    <row r="2908" spans="1:12">
      <c r="A2908" s="20" t="s">
        <v>1131</v>
      </c>
      <c r="E2908" s="21">
        <f>IF(D2908="?OLD","!!!","")</f>
        <v/>
      </c>
      <c r="F2908" s="22" t="str">
        <f>IF(OR(E2908="",E2908="!!!"),"",IF(NOT(ISNA(VLOOKUP(E2908,E$1:E2907,1,FALSE()))),"OLD",IF(AND(E2908&lt;&gt;"",E2908&lt;&gt;"!!!"),"NEW","")))</f>
        <v> </v>
      </c>
      <c r="G2908" s="23" t="str">
        <f>IF(OR(E2908="",E2908="!!!"),"",IF(OR(J2908=0,AND(J2908=1,K2908=1),AND(J2908=1,I2908="SBJ"),AND(J2908=1,I2908=0)),"?IN_FOCUS",IF(J2908&lt;=2,"?ACTIVATED",IF(J2908&lt;&gt;"","?FAMILIAR",IF(F2908="NEW",IF(ISNA(VLOOKUP(E2908,#REF!,1,FALSE())),"?TYPE_IDENTIFIABLE","?REFERENTIAL"),"_")))))</f>
        <v> </v>
      </c>
      <c r="H2908" s="24" t="str">
        <f>IF(J2908&lt;&gt;1,"",IF(I2908="SBJ","CB","?"))</f>
        <v> </v>
      </c>
      <c r="I2908" s="25" t="str">
        <f>IF(OR(E2908="",E2908="!!!",F2908="NEW"),"",INDEX(B2907:B$2,-1+SUMPRODUCT(MAX(ROW(E2907:E$2)*(E2908=E2907:E$2)))))</f>
        <v> </v>
      </c>
      <c r="J2908" s="25" t="str">
        <f>IF(OR(E2908="",E2908="!!!",F2908="NEW"),"",COUNTBLANK(OFFSET(A$1,,,SUMPRODUCT(MAX(ROW(E$2:E2908)*(E2908=E$2:E2908)))))-COUNTBLANK(OFFSET(A$1,,,SUMPRODUCT(MAX(ROW(E$1:E2907)*(E2=E$1:E2907))))))</f>
        <v> </v>
      </c>
      <c r="K2908" s="25" t="str">
        <f>IF(OR(E2908="",E2908="!!!",F2908="NEW"),"",INDEX(J$1:J2907,SUMPRODUCT(MAX(ROW(E$1:E2907)*(E2908=E$1:E2907)))))</f>
        <v> </v>
      </c>
      <c r="L2908" s="26"/>
    </row>
    <row r="2909" spans="1:12">
      <c r="A2909" s="20" t="s">
        <v>538</v>
      </c>
      <c r="E2909" s="21">
        <f>IF(D2909="?OLD","!!!","")</f>
        <v/>
      </c>
      <c r="F2909" s="22" t="str">
        <f>IF(OR(E2909="",E2909="!!!"),"",IF(NOT(ISNA(VLOOKUP(E2909,E$1:E2908,1,FALSE()))),"OLD",IF(AND(E2909&lt;&gt;"",E2909&lt;&gt;"!!!"),"NEW","")))</f>
        <v> </v>
      </c>
      <c r="G2909" s="23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4" t="str">
        <f>IF(J2909&lt;&gt;1,"",IF(I2909="SBJ","CB","?"))</f>
        <v> </v>
      </c>
      <c r="I2909" s="25" t="str">
        <f>IF(OR(E2909="",E2909="!!!",F2909="NEW"),"",INDEX(B2908:B$2,-1+SUMPRODUCT(MAX(ROW(E2908:E$2)*(E2909=E2908:E$2)))))</f>
        <v> </v>
      </c>
      <c r="J2909" s="25" t="str">
        <f>IF(OR(E2909="",E2909="!!!",F2909="NEW"),"",COUNTBLANK(OFFSET(A$1,,,SUMPRODUCT(MAX(ROW(E$2:E2909)*(E2909=E$2:E2909)))))-COUNTBLANK(OFFSET(A$1,,,SUMPRODUCT(MAX(ROW(E$1:E2908)*(E2=E$1:E2908))))))</f>
        <v> </v>
      </c>
      <c r="K2909" s="25" t="str">
        <f>IF(OR(E2909="",E2909="!!!",F2909="NEW"),"",INDEX(J$1:J2908,SUMPRODUCT(MAX(ROW(E$1:E2908)*(E2909=E$1:E2908)))))</f>
        <v> </v>
      </c>
      <c r="L2909" s="26"/>
    </row>
    <row r="2910" spans="1:12">
      <c r="A2910" s="20" t="s">
        <v>518</v>
      </c>
      <c r="E2910" s="21">
        <f>IF(D2910="?OLD","!!!","")</f>
        <v/>
      </c>
      <c r="F2910" s="22" t="str">
        <f>IF(OR(E2910="",E2910="!!!"),"",IF(NOT(ISNA(VLOOKUP(E2910,E$1:E2909,1,FALSE()))),"OLD",IF(AND(E2910&lt;&gt;"",E2910&lt;&gt;"!!!"),"NEW","")))</f>
        <v> </v>
      </c>
      <c r="G2910" s="23" t="str">
        <f>IF(OR(E2910="",E2910="!!!"),"",IF(OR(J2910=0,AND(J2910=1,K2910=1),AND(J2910=1,I2910="SBJ"),AND(J2910=1,I2910=0)),"?IN_FOCUS",IF(J2910&lt;=2,"?ACTIVATED",IF(J2910&lt;&gt;"","?FAMILIAR",IF(F2910="NEW",IF(ISNA(VLOOKUP(E2910,#REF!,1,FALSE())),"?TYPE_IDENTIFIABLE","?REFERENTIAL"),"_")))))</f>
        <v> </v>
      </c>
      <c r="H2910" s="24" t="str">
        <f>IF(J2910&lt;&gt;1,"",IF(I2910="SBJ","CB","?"))</f>
        <v> </v>
      </c>
      <c r="I2910" s="25" t="str">
        <f>IF(OR(E2910="",E2910="!!!",F2910="NEW"),"",INDEX(B2909:B$2,-1+SUMPRODUCT(MAX(ROW(E2909:E$2)*(E2910=E2909:E$2)))))</f>
        <v> </v>
      </c>
      <c r="J2910" s="25" t="str">
        <f>IF(OR(E2910="",E2910="!!!",F2910="NEW"),"",COUNTBLANK(OFFSET(A$1,,,SUMPRODUCT(MAX(ROW(E$2:E2910)*(E2910=E$2:E2910)))))-COUNTBLANK(OFFSET(A$1,,,SUMPRODUCT(MAX(ROW(E$1:E2909)*(E2=E$1:E2909))))))</f>
        <v> </v>
      </c>
      <c r="K2910" s="25" t="str">
        <f>IF(OR(E2910="",E2910="!!!",F2910="NEW"),"",INDEX(J$1:J2909,SUMPRODUCT(MAX(ROW(E$1:E2909)*(E2910=E$1:E2909)))))</f>
        <v> </v>
      </c>
      <c r="L2910" s="26"/>
    </row>
    <row r="2911" spans="1:12">
      <c r="A2911" s="20" t="s">
        <v>775</v>
      </c>
      <c r="B2911" s="27" t="s">
        <v>534</v>
      </c>
      <c r="C2911" s="27" t="s">
        <v>523</v>
      </c>
      <c r="D2911" s="27" t="s">
        <v>524</v>
      </c>
      <c r="E2911" s="21">
        <f>IF(D2911="?OLD","!!!","")</f>
        <v/>
      </c>
      <c r="F2911" s="22" t="str">
        <f>IF(OR(E2911="",E2911="!!!"),"",IF(NOT(ISNA(VLOOKUP(E2911,E$1:E2910,1,FALSE()))),"OLD",IF(AND(E2911&lt;&gt;"",E2911&lt;&gt;"!!!"),"NEW","")))</f>
        <v> </v>
      </c>
      <c r="G2911" s="23" t="str">
        <f>IF(OR(E2911="",E2911="!!!"),"",IF(OR(J2911=0,AND(J2911=1,K2911=1),AND(J2911=1,I2911="SBJ"),AND(J2911=1,I2911=0)),"?IN_FOCUS",IF(J2911&lt;=2,"?ACTIVATED",IF(J2911&lt;&gt;"","?FAMILIAR",IF(F2911="NEW",IF(ISNA(VLOOKUP(E2911,#REF!,1,FALSE())),"?TYPE_IDENTIFIABLE","?REFERENTIAL"),"_")))))</f>
        <v> </v>
      </c>
      <c r="H2911" s="24" t="str">
        <f>IF(J2911&lt;&gt;1,"",IF(I2911="SBJ","CB","?"))</f>
        <v> </v>
      </c>
      <c r="I2911" s="25" t="str">
        <f>IF(OR(E2911="",E2911="!!!",F2911="NEW"),"",INDEX(B2910:B$2,-1+SUMPRODUCT(MAX(ROW(E2910:E$2)*(E2911=E2910:E$2)))))</f>
        <v> </v>
      </c>
      <c r="J2911" s="25" t="str">
        <f>IF(OR(E2911="",E2911="!!!",F2911="NEW"),"",COUNTBLANK(OFFSET(A$1,,,SUMPRODUCT(MAX(ROW(E$2:E2911)*(E2911=E$2:E2911)))))-COUNTBLANK(OFFSET(A$1,,,SUMPRODUCT(MAX(ROW(E$1:E2910)*(E2=E$1:E2910))))))</f>
        <v> </v>
      </c>
      <c r="K2911" s="25" t="str">
        <f>IF(OR(E2911="",E2911="!!!",F2911="NEW"),"",INDEX(J$1:J2910,SUMPRODUCT(MAX(ROW(E$1:E2910)*(E2911=E$1:E2910)))))</f>
        <v> </v>
      </c>
      <c r="L2911" s="26"/>
    </row>
    <row r="2912" spans="1:12">
      <c r="A2912" s="20" t="s">
        <v>549</v>
      </c>
      <c r="E2912" s="21">
        <f>IF(D2912="?OLD","!!!","")</f>
        <v/>
      </c>
      <c r="F2912" s="22" t="str">
        <f>IF(OR(E2912="",E2912="!!!"),"",IF(NOT(ISNA(VLOOKUP(E2912,E$1:E2911,1,FALSE()))),"OLD",IF(AND(E2912&lt;&gt;"",E2912&lt;&gt;"!!!"),"NEW","")))</f>
        <v> </v>
      </c>
      <c r="G2912" s="23" t="str">
        <f>IF(OR(E2912="",E2912="!!!"),"",IF(OR(J2912=0,AND(J2912=1,K2912=1),AND(J2912=1,I2912="SBJ"),AND(J2912=1,I2912=0)),"?IN_FOCUS",IF(J2912&lt;=2,"?ACTIVATED",IF(J2912&lt;&gt;"","?FAMILIAR",IF(F2912="NEW",IF(ISNA(VLOOKUP(E2912,#REF!,1,FALSE())),"?TYPE_IDENTIFIABLE","?REFERENTIAL"),"_")))))</f>
        <v> </v>
      </c>
      <c r="H2912" s="24" t="str">
        <f>IF(J2912&lt;&gt;1,"",IF(I2912="SBJ","CB","?"))</f>
        <v> </v>
      </c>
      <c r="I2912" s="25" t="str">
        <f>IF(OR(E2912="",E2912="!!!",F2912="NEW"),"",INDEX(B2911:B$2,-1+SUMPRODUCT(MAX(ROW(E2911:E$2)*(E2912=E2911:E$2)))))</f>
        <v> </v>
      </c>
      <c r="J2912" s="25" t="str">
        <f>IF(OR(E2912="",E2912="!!!",F2912="NEW"),"",COUNTBLANK(OFFSET(A$1,,,SUMPRODUCT(MAX(ROW(E$2:E2912)*(E2912=E$2:E2912)))))-COUNTBLANK(OFFSET(A$1,,,SUMPRODUCT(MAX(ROW(E$1:E2911)*(E2=E$1:E2911))))))</f>
        <v> </v>
      </c>
      <c r="K2912" s="25" t="str">
        <f>IF(OR(E2912="",E2912="!!!",F2912="NEW"),"",INDEX(J$1:J2911,SUMPRODUCT(MAX(ROW(E$1:E2911)*(E2912=E$1:E2911)))))</f>
        <v> </v>
      </c>
      <c r="L2912" s="26"/>
    </row>
    <row r="2913" spans="1:12">
      <c r="A2913" s="20"/>
    </row>
    <row r="2914" spans="1:12">
      <c r="A2914" s="20" t="s">
        <v>550</v>
      </c>
      <c r="E2914" s="21">
        <f>IF(D2914="?OLD","!!!","")</f>
        <v/>
      </c>
      <c r="F2914" s="22" t="str">
        <f>IF(OR(E2914="",E2914="!!!"),"",IF(NOT(ISNA(VLOOKUP(E2914,E$1:E2913,1,FALSE()))),"OLD",IF(AND(E2914&lt;&gt;"",E2914&lt;&gt;"!!!"),"NEW","")))</f>
        <v> </v>
      </c>
      <c r="G2914" s="23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4" t="str">
        <f>IF(J2914&lt;&gt;1,"",IF(I2914="SBJ","CB","?"))</f>
        <v> </v>
      </c>
      <c r="I2914" s="25" t="str">
        <f>IF(OR(E2914="",E2914="!!!",F2914="NEW"),"",INDEX(B2913:B$2,-1+SUMPRODUCT(MAX(ROW(E2913:E$2)*(E2914=E2913:E$2)))))</f>
        <v> </v>
      </c>
      <c r="J2914" s="25" t="str">
        <f>IF(OR(E2914="",E2914="!!!",F2914="NEW"),"",COUNTBLANK(OFFSET(A$1,,,SUMPRODUCT(MAX(ROW(E$2:E2914)*(E2914=E$2:E2914)))))-COUNTBLANK(OFFSET(A$1,,,SUMPRODUCT(MAX(ROW(E$1:E2913)*(E2=E$1:E2913))))))</f>
        <v> </v>
      </c>
      <c r="K2914" s="25" t="str">
        <f>IF(OR(E2914="",E2914="!!!",F2914="NEW"),"",INDEX(J$1:J2913,SUMPRODUCT(MAX(ROW(E$1:E2913)*(E2914=E$1:E2913)))))</f>
        <v> </v>
      </c>
      <c r="L2914" s="26"/>
    </row>
    <row r="2915" spans="1:12">
      <c r="A2915" s="20" t="s">
        <v>1519</v>
      </c>
    </row>
    <row r="2916" spans="1:12">
      <c r="A2916" s="20" t="s">
        <v>11</v>
      </c>
      <c r="E2916" s="21">
        <f>IF(D2916="?OLD","!!!","")</f>
        <v/>
      </c>
      <c r="F2916" s="22" t="str">
        <f>IF(OR(E2916="",E2916="!!!"),"",IF(NOT(ISNA(VLOOKUP(E2916,E$1:E2915,1,FALSE()))),"OLD",IF(AND(E2916&lt;&gt;"",E2916&lt;&gt;"!!!"),"NEW","")))</f>
        <v> </v>
      </c>
      <c r="G2916" s="23" t="str">
        <f>IF(OR(E2916="",E2916="!!!"),"",IF(OR(J2916=0,AND(J2916=1,K2916=1),AND(J2916=1,I2916="SBJ"),AND(J2916=1,I2916=0)),"?IN_FOCUS",IF(J2916&lt;=2,"?ACTIVATED",IF(J2916&lt;&gt;"","?FAMILIAR",IF(F2916="NEW",IF(ISNA(VLOOKUP(E2916,#REF!,1,FALSE())),"?TYPE_IDENTIFIABLE","?REFERENTIAL"),"_")))))</f>
        <v> </v>
      </c>
      <c r="H2916" s="24" t="str">
        <f>IF(J2916&lt;&gt;1,"",IF(I2916="SBJ","CB","?"))</f>
        <v> </v>
      </c>
      <c r="I2916" s="25" t="str">
        <f>IF(OR(E2916="",E2916="!!!",F2916="NEW"),"",INDEX(B2915:B$2,-1+SUMPRODUCT(MAX(ROW(E2915:E$2)*(E2916=E2915:E$2)))))</f>
        <v> </v>
      </c>
      <c r="J2916" s="25" t="str">
        <f>IF(OR(E2916="",E2916="!!!",F2916="NEW"),"",COUNTBLANK(OFFSET(A$1,,,SUMPRODUCT(MAX(ROW(E$2:E2916)*(E2916=E$2:E2916)))))-COUNTBLANK(OFFSET(A$1,,,SUMPRODUCT(MAX(ROW(E$1:E2915)*(E2=E$1:E2915))))))</f>
        <v> </v>
      </c>
      <c r="K2916" s="25" t="str">
        <f>IF(OR(E2916="",E2916="!!!",F2916="NEW"),"",INDEX(J$1:J2915,SUMPRODUCT(MAX(ROW(E$1:E2915)*(E2916=E$1:E2915)))))</f>
        <v> </v>
      </c>
      <c r="L2916" s="26"/>
    </row>
    <row r="2917" spans="1:12">
      <c r="A2917" s="20" t="s">
        <v>844</v>
      </c>
      <c r="B2917" s="27" t="s">
        <v>680</v>
      </c>
      <c r="C2917" s="27" t="s">
        <v>548</v>
      </c>
      <c r="D2917" s="27" t="s">
        <v>524</v>
      </c>
      <c r="E2917" s="21">
        <f>IF(D2917="?OLD","!!!","")</f>
        <v/>
      </c>
      <c r="F2917" s="22" t="str">
        <f>IF(OR(E2917="",E2917="!!!"),"",IF(NOT(ISNA(VLOOKUP(E2917,E$1:E2916,1,FALSE()))),"OLD",IF(AND(E2917&lt;&gt;"",E2917&lt;&gt;"!!!"),"NEW","")))</f>
        <v> </v>
      </c>
      <c r="G2917" s="23" t="str">
        <f>IF(OR(E2917="",E2917="!!!"),"",IF(OR(J2917=0,AND(J2917=1,K2917=1),AND(J2917=1,I2917="SBJ"),AND(J2917=1,I2917=0)),"?IN_FOCUS",IF(J2917&lt;=2,"?ACTIVATED",IF(J2917&lt;&gt;"","?FAMILIAR",IF(F2917="NEW",IF(ISNA(VLOOKUP(E2917,#REF!,1,FALSE())),"?TYPE_IDENTIFIABLE","?REFERENTIAL"),"_")))))</f>
        <v> </v>
      </c>
      <c r="H2917" s="24" t="str">
        <f>IF(J2917&lt;&gt;1,"",IF(I2917="SBJ","CB","?"))</f>
        <v> </v>
      </c>
      <c r="I2917" s="25" t="str">
        <f>IF(OR(E2917="",E2917="!!!",F2917="NEW"),"",INDEX(B2916:B$2,-1+SUMPRODUCT(MAX(ROW(E2916:E$2)*(E2917=E2916:E$2)))))</f>
        <v> </v>
      </c>
      <c r="J2917" s="25" t="str">
        <f>IF(OR(E2917="",E2917="!!!",F2917="NEW"),"",COUNTBLANK(OFFSET(A$1,,,SUMPRODUCT(MAX(ROW(E$2:E2917)*(E2917=E$2:E2917)))))-COUNTBLANK(OFFSET(A$1,,,SUMPRODUCT(MAX(ROW(E$1:E2916)*(E2=E$1:E2916))))))</f>
        <v> </v>
      </c>
      <c r="K2917" s="25" t="str">
        <f>IF(OR(E2917="",E2917="!!!",F2917="NEW"),"",INDEX(J$1:J2916,SUMPRODUCT(MAX(ROW(E$1:E2916)*(E2917=E$1:E2916)))))</f>
        <v> </v>
      </c>
      <c r="L2917" s="26"/>
    </row>
    <row r="2918" spans="1:12">
      <c r="A2918" s="20" t="s">
        <v>1438</v>
      </c>
      <c r="B2918" s="27" t="s">
        <v>597</v>
      </c>
      <c r="C2918" s="27" t="s">
        <v>548</v>
      </c>
      <c r="D2918" s="27" t="s">
        <v>524</v>
      </c>
      <c r="E2918" s="21">
        <f>IF(D2918="?OLD","!!!","")</f>
        <v/>
      </c>
      <c r="F2918" s="22" t="str">
        <f>IF(OR(E2918="",E2918="!!!"),"",IF(NOT(ISNA(VLOOKUP(E2918,E$1:E2917,1,FALSE()))),"OLD",IF(AND(E2918&lt;&gt;"",E2918&lt;&gt;"!!!"),"NEW","")))</f>
        <v> </v>
      </c>
      <c r="G2918" s="23" t="str">
        <f>IF(OR(E2918="",E2918="!!!"),"",IF(OR(J2918=0,AND(J2918=1,K2918=1),AND(J2918=1,I2918="SBJ"),AND(J2918=1,I2918=0)),"?IN_FOCUS",IF(J2918&lt;=2,"?ACTIVATED",IF(J2918&lt;&gt;"","?FAMILIAR",IF(F2918="NEW",IF(ISNA(VLOOKUP(E2918,#REF!,1,FALSE())),"?TYPE_IDENTIFIABLE","?REFERENTIAL"),"_")))))</f>
        <v> </v>
      </c>
      <c r="H2918" s="24" t="str">
        <f>IF(J2918&lt;&gt;1,"",IF(I2918="SBJ","CB","?"))</f>
        <v> </v>
      </c>
      <c r="I2918" s="25" t="str">
        <f>IF(OR(E2918="",E2918="!!!",F2918="NEW"),"",INDEX(B2917:B$2,-1+SUMPRODUCT(MAX(ROW(E2917:E$2)*(E2918=E2917:E$2)))))</f>
        <v> </v>
      </c>
      <c r="J2918" s="25" t="str">
        <f>IF(OR(E2918="",E2918="!!!",F2918="NEW"),"",COUNTBLANK(OFFSET(A$1,,,SUMPRODUCT(MAX(ROW(E$2:E2918)*(E2918=E$2:E2918)))))-COUNTBLANK(OFFSET(A$1,,,SUMPRODUCT(MAX(ROW(E$1:E2917)*(E2=E$1:E2917))))))</f>
        <v> </v>
      </c>
      <c r="K2918" s="25" t="str">
        <f>IF(OR(E2918="",E2918="!!!",F2918="NEW"),"",INDEX(J$1:J2917,SUMPRODUCT(MAX(ROW(E$1:E2917)*(E2918=E$1:E2917)))))</f>
        <v> </v>
      </c>
      <c r="L2918" s="26"/>
    </row>
    <row r="2919" spans="1:12">
      <c r="A2919" s="20" t="s">
        <v>920</v>
      </c>
      <c r="E2919" s="21">
        <f>IF(D2919="?OLD","!!!","")</f>
        <v/>
      </c>
      <c r="F2919" s="22" t="str">
        <f>IF(OR(E2919="",E2919="!!!"),"",IF(NOT(ISNA(VLOOKUP(E2919,E$1:E2918,1,FALSE()))),"OLD",IF(AND(E2919&lt;&gt;"",E2919&lt;&gt;"!!!"),"NEW","")))</f>
        <v> </v>
      </c>
      <c r="G2919" s="23" t="str">
        <f>IF(OR(E2919="",E2919="!!!"),"",IF(OR(J2919=0,AND(J2919=1,K2919=1),AND(J2919=1,I2919="SBJ"),AND(J2919=1,I2919=0)),"?IN_FOCUS",IF(J2919&lt;=2,"?ACTIVATED",IF(J2919&lt;&gt;"","?FAMILIAR",IF(F2919="NEW",IF(ISNA(VLOOKUP(E2919,#REF!,1,FALSE())),"?TYPE_IDENTIFIABLE","?REFERENTIAL"),"_")))))</f>
        <v> </v>
      </c>
      <c r="H2919" s="24" t="str">
        <f>IF(J2919&lt;&gt;1,"",IF(I2919="SBJ","CB","?"))</f>
        <v> </v>
      </c>
      <c r="I2919" s="25" t="str">
        <f>IF(OR(E2919="",E2919="!!!",F2919="NEW"),"",INDEX(B2918:B$2,-1+SUMPRODUCT(MAX(ROW(E2918:E$2)*(E2919=E2918:E$2)))))</f>
        <v> </v>
      </c>
      <c r="J2919" s="25" t="str">
        <f>IF(OR(E2919="",E2919="!!!",F2919="NEW"),"",COUNTBLANK(OFFSET(A$1,,,SUMPRODUCT(MAX(ROW(E$2:E2919)*(E2919=E$2:E2919)))))-COUNTBLANK(OFFSET(A$1,,,SUMPRODUCT(MAX(ROW(E$1:E2918)*(E2=E$1:E2918))))))</f>
        <v> </v>
      </c>
      <c r="K2919" s="25" t="str">
        <f>IF(OR(E2919="",E2919="!!!",F2919="NEW"),"",INDEX(J$1:J2918,SUMPRODUCT(MAX(ROW(E$1:E2918)*(E2919=E$1:E2918)))))</f>
        <v> </v>
      </c>
      <c r="L2919" s="26"/>
    </row>
    <row r="2920" spans="1:12">
      <c r="A2920" s="20" t="s">
        <v>645</v>
      </c>
      <c r="B2920" s="27" t="s">
        <v>743</v>
      </c>
      <c r="C2920" s="27" t="s">
        <v>523</v>
      </c>
      <c r="D2920" s="27" t="s">
        <v>524</v>
      </c>
      <c r="E2920" s="21">
        <f>IF(D2920="?OLD","!!!","")</f>
        <v/>
      </c>
      <c r="F2920" s="22" t="str">
        <f>IF(OR(E2920="",E2920="!!!"),"",IF(NOT(ISNA(VLOOKUP(E2920,E$1:E2919,1,FALSE()))),"OLD",IF(AND(E2920&lt;&gt;"",E2920&lt;&gt;"!!!"),"NEW","")))</f>
        <v> </v>
      </c>
      <c r="G2920" s="23" t="str">
        <f>IF(OR(E2920="",E2920="!!!"),"",IF(OR(J2920=0,AND(J2920=1,K2920=1),AND(J2920=1,I2920="SBJ"),AND(J2920=1,I2920=0)),"?IN_FOCUS",IF(J2920&lt;=2,"?ACTIVATED",IF(J2920&lt;&gt;"","?FAMILIAR",IF(F2920="NEW",IF(ISNA(VLOOKUP(E2920,#REF!,1,FALSE())),"?TYPE_IDENTIFIABLE","?REFERENTIAL"),"_")))))</f>
        <v> </v>
      </c>
      <c r="H2920" s="24" t="str">
        <f>IF(J2920&lt;&gt;1,"",IF(I2920="SBJ","CB","?"))</f>
        <v> </v>
      </c>
      <c r="I2920" s="25" t="str">
        <f>IF(OR(E2920="",E2920="!!!",F2920="NEW"),"",INDEX(B2919:B$2,-1+SUMPRODUCT(MAX(ROW(E2919:E$2)*(E2920=E2919:E$2)))))</f>
        <v> </v>
      </c>
      <c r="J2920" s="25" t="str">
        <f>IF(OR(E2920="",E2920="!!!",F2920="NEW"),"",COUNTBLANK(OFFSET(A$1,,,SUMPRODUCT(MAX(ROW(E$2:E2920)*(E2920=E$2:E2920)))))-COUNTBLANK(OFFSET(A$1,,,SUMPRODUCT(MAX(ROW(E$1:E2919)*(E2=E$1:E2919))))))</f>
        <v> </v>
      </c>
      <c r="K2920" s="25" t="str">
        <f>IF(OR(E2920="",E2920="!!!",F2920="NEW"),"",INDEX(J$1:J2919,SUMPRODUCT(MAX(ROW(E$1:E2919)*(E2920=E$1:E2919)))))</f>
        <v> </v>
      </c>
      <c r="L2920" s="26"/>
    </row>
    <row r="2921" spans="1:12">
      <c r="A2921" s="20" t="s">
        <v>927</v>
      </c>
      <c r="E2921" s="21">
        <f>IF(D2921="?OLD","!!!","")</f>
        <v/>
      </c>
      <c r="F2921" s="22" t="str">
        <f>IF(OR(E2921="",E2921="!!!"),"",IF(NOT(ISNA(VLOOKUP(E2921,E$1:E2920,1,FALSE()))),"OLD",IF(AND(E2921&lt;&gt;"",E2921&lt;&gt;"!!!"),"NEW","")))</f>
        <v> </v>
      </c>
      <c r="G2921" s="23" t="str">
        <f>IF(OR(E2921="",E2921="!!!"),"",IF(OR(J2921=0,AND(J2921=1,K2921=1),AND(J2921=1,I2921="SBJ"),AND(J2921=1,I2921=0)),"?IN_FOCUS",IF(J2921&lt;=2,"?ACTIVATED",IF(J2921&lt;&gt;"","?FAMILIAR",IF(F2921="NEW",IF(ISNA(VLOOKUP(E2921,#REF!,1,FALSE())),"?TYPE_IDENTIFIABLE","?REFERENTIAL"),"_")))))</f>
        <v> </v>
      </c>
      <c r="H2921" s="24" t="str">
        <f>IF(J2921&lt;&gt;1,"",IF(I2921="SBJ","CB","?"))</f>
        <v> </v>
      </c>
      <c r="I2921" s="25" t="str">
        <f>IF(OR(E2921="",E2921="!!!",F2921="NEW"),"",INDEX(B2920:B$2,-1+SUMPRODUCT(MAX(ROW(E2920:E$2)*(E2921=E2920:E$2)))))</f>
        <v> </v>
      </c>
      <c r="J2921" s="25" t="str">
        <f>IF(OR(E2921="",E2921="!!!",F2921="NEW"),"",COUNTBLANK(OFFSET(A$1,,,SUMPRODUCT(MAX(ROW(E$2:E2921)*(E2921=E$2:E2921)))))-COUNTBLANK(OFFSET(A$1,,,SUMPRODUCT(MAX(ROW(E$1:E2920)*(E2=E$1:E2920))))))</f>
        <v> </v>
      </c>
      <c r="K2921" s="25" t="str">
        <f>IF(OR(E2921="",E2921="!!!",F2921="NEW"),"",INDEX(J$1:J2920,SUMPRODUCT(MAX(ROW(E$1:E2920)*(E2921=E$1:E2920)))))</f>
        <v> </v>
      </c>
      <c r="L2921" s="26"/>
    </row>
    <row r="2922" spans="1:12">
      <c r="A2922" s="20" t="s">
        <v>594</v>
      </c>
      <c r="E2922" s="21">
        <f>IF(D2922="?OLD","!!!","")</f>
        <v/>
      </c>
      <c r="F2922" s="22" t="str">
        <f>IF(OR(E2922="",E2922="!!!"),"",IF(NOT(ISNA(VLOOKUP(E2922,E$1:E2921,1,FALSE()))),"OLD",IF(AND(E2922&lt;&gt;"",E2922&lt;&gt;"!!!"),"NEW","")))</f>
        <v> </v>
      </c>
      <c r="G2922" s="23" t="str">
        <f>IF(OR(E2922="",E2922="!!!"),"",IF(OR(J2922=0,AND(J2922=1,K2922=1),AND(J2922=1,I2922="SBJ"),AND(J2922=1,I2922=0)),"?IN_FOCUS",IF(J2922&lt;=2,"?ACTIVATED",IF(J2922&lt;&gt;"","?FAMILIAR",IF(F2922="NEW",IF(ISNA(VLOOKUP(E2922,#REF!,1,FALSE())),"?TYPE_IDENTIFIABLE","?REFERENTIAL"),"_")))))</f>
        <v> </v>
      </c>
      <c r="H2922" s="24" t="str">
        <f>IF(J2922&lt;&gt;1,"",IF(I2922="SBJ","CB","?"))</f>
        <v> </v>
      </c>
      <c r="I2922" s="25" t="str">
        <f>IF(OR(E2922="",E2922="!!!",F2922="NEW"),"",INDEX(B2921:B$2,-1+SUMPRODUCT(MAX(ROW(E2921:E$2)*(E2922=E2921:E$2)))))</f>
        <v> </v>
      </c>
      <c r="J2922" s="25" t="str">
        <f>IF(OR(E2922="",E2922="!!!",F2922="NEW"),"",COUNTBLANK(OFFSET(A$1,,,SUMPRODUCT(MAX(ROW(E$2:E2922)*(E2922=E$2:E2922)))))-COUNTBLANK(OFFSET(A$1,,,SUMPRODUCT(MAX(ROW(E$1:E2921)*(E2=E$1:E2921))))))</f>
        <v> </v>
      </c>
      <c r="K2922" s="25" t="str">
        <f>IF(OR(E2922="",E2922="!!!",F2922="NEW"),"",INDEX(J$1:J2921,SUMPRODUCT(MAX(ROW(E$1:E2921)*(E2922=E$1:E2921)))))</f>
        <v> </v>
      </c>
      <c r="L2922" s="26"/>
    </row>
    <row r="2923" spans="1:12">
      <c r="A2923" s="20" t="s">
        <v>581</v>
      </c>
      <c r="E2923" s="21">
        <f>IF(D2923="?OLD","!!!","")</f>
        <v/>
      </c>
      <c r="F2923" s="22" t="str">
        <f>IF(OR(E2923="",E2923="!!!"),"",IF(NOT(ISNA(VLOOKUP(E2923,E$1:E2922,1,FALSE()))),"OLD",IF(AND(E2923&lt;&gt;"",E2923&lt;&gt;"!!!"),"NEW","")))</f>
        <v> </v>
      </c>
      <c r="G2923" s="23" t="str">
        <f>IF(OR(E2923="",E2923="!!!"),"",IF(OR(J2923=0,AND(J2923=1,K2923=1),AND(J2923=1,I2923="SBJ"),AND(J2923=1,I2923=0)),"?IN_FOCUS",IF(J2923&lt;=2,"?ACTIVATED",IF(J2923&lt;&gt;"","?FAMILIAR",IF(F2923="NEW",IF(ISNA(VLOOKUP(E2923,#REF!,1,FALSE())),"?TYPE_IDENTIFIABLE","?REFERENTIAL"),"_")))))</f>
        <v> </v>
      </c>
      <c r="H2923" s="24" t="str">
        <f>IF(J2923&lt;&gt;1,"",IF(I2923="SBJ","CB","?"))</f>
        <v> </v>
      </c>
      <c r="I2923" s="25" t="str">
        <f>IF(OR(E2923="",E2923="!!!",F2923="NEW"),"",INDEX(B2922:B$2,-1+SUMPRODUCT(MAX(ROW(E2922:E$2)*(E2923=E2922:E$2)))))</f>
        <v> </v>
      </c>
      <c r="J2923" s="25" t="str">
        <f>IF(OR(E2923="",E2923="!!!",F2923="NEW"),"",COUNTBLANK(OFFSET(A$1,,,SUMPRODUCT(MAX(ROW(E$2:E2923)*(E2923=E$2:E2923)))))-COUNTBLANK(OFFSET(A$1,,,SUMPRODUCT(MAX(ROW(E$1:E2922)*(E2=E$1:E2922))))))</f>
        <v> </v>
      </c>
      <c r="K2923" s="25" t="str">
        <f>IF(OR(E2923="",E2923="!!!",F2923="NEW"),"",INDEX(J$1:J2922,SUMPRODUCT(MAX(ROW(E$1:E2922)*(E2923=E$1:E2922)))))</f>
        <v> </v>
      </c>
      <c r="L2923" s="26"/>
    </row>
    <row r="2924" spans="1:12">
      <c r="A2924" s="20" t="s">
        <v>1076</v>
      </c>
      <c r="E2924" s="21">
        <f>IF(D2924="?OLD","!!!","")</f>
        <v/>
      </c>
      <c r="F2924" s="22" t="str">
        <f>IF(OR(E2924="",E2924="!!!"),"",IF(NOT(ISNA(VLOOKUP(E2924,E$1:E2923,1,FALSE()))),"OLD",IF(AND(E2924&lt;&gt;"",E2924&lt;&gt;"!!!"),"NEW","")))</f>
        <v> </v>
      </c>
      <c r="G2924" s="23" t="str">
        <f>IF(OR(E2924="",E2924="!!!"),"",IF(OR(J2924=0,AND(J2924=1,K2924=1),AND(J2924=1,I2924="SBJ"),AND(J2924=1,I2924=0)),"?IN_FOCUS",IF(J2924&lt;=2,"?ACTIVATED",IF(J2924&lt;&gt;"","?FAMILIAR",IF(F2924="NEW",IF(ISNA(VLOOKUP(E2924,#REF!,1,FALSE())),"?TYPE_IDENTIFIABLE","?REFERENTIAL"),"_")))))</f>
        <v> </v>
      </c>
      <c r="H2924" s="24" t="str">
        <f>IF(J2924&lt;&gt;1,"",IF(I2924="SBJ","CB","?"))</f>
        <v> </v>
      </c>
      <c r="I2924" s="25" t="str">
        <f>IF(OR(E2924="",E2924="!!!",F2924="NEW"),"",INDEX(B2923:B$2,-1+SUMPRODUCT(MAX(ROW(E2923:E$2)*(E2924=E2923:E$2)))))</f>
        <v> </v>
      </c>
      <c r="J2924" s="25" t="str">
        <f>IF(OR(E2924="",E2924="!!!",F2924="NEW"),"",COUNTBLANK(OFFSET(A$1,,,SUMPRODUCT(MAX(ROW(E$2:E2924)*(E2924=E$2:E2924)))))-COUNTBLANK(OFFSET(A$1,,,SUMPRODUCT(MAX(ROW(E$1:E2923)*(E2=E$1:E2923))))))</f>
        <v> </v>
      </c>
      <c r="K2924" s="25" t="str">
        <f>IF(OR(E2924="",E2924="!!!",F2924="NEW"),"",INDEX(J$1:J2923,SUMPRODUCT(MAX(ROW(E$1:E2923)*(E2924=E$1:E2923)))))</f>
        <v> </v>
      </c>
      <c r="L2924" s="26"/>
    </row>
    <row r="2925" spans="1:12">
      <c r="A2925" s="20" t="s">
        <v>542</v>
      </c>
      <c r="E2925" s="21">
        <f>IF(D2925="?OLD","!!!","")</f>
        <v/>
      </c>
      <c r="F2925" s="22" t="str">
        <f>IF(OR(E2925="",E2925="!!!"),"",IF(NOT(ISNA(VLOOKUP(E2925,E$1:E2924,1,FALSE()))),"OLD",IF(AND(E2925&lt;&gt;"",E2925&lt;&gt;"!!!"),"NEW","")))</f>
        <v> </v>
      </c>
      <c r="G2925" s="23" t="str">
        <f>IF(OR(E2925="",E2925="!!!"),"",IF(OR(J2925=0,AND(J2925=1,K2925=1),AND(J2925=1,I2925="SBJ"),AND(J2925=1,I2925=0)),"?IN_FOCUS",IF(J2925&lt;=2,"?ACTIVATED",IF(J2925&lt;&gt;"","?FAMILIAR",IF(F2925="NEW",IF(ISNA(VLOOKUP(E2925,#REF!,1,FALSE())),"?TYPE_IDENTIFIABLE","?REFERENTIAL"),"_")))))</f>
        <v> </v>
      </c>
      <c r="H2925" s="24" t="str">
        <f>IF(J2925&lt;&gt;1,"",IF(I2925="SBJ","CB","?"))</f>
        <v> </v>
      </c>
      <c r="I2925" s="25" t="str">
        <f>IF(OR(E2925="",E2925="!!!",F2925="NEW"),"",INDEX(B2924:B$2,-1+SUMPRODUCT(MAX(ROW(E2924:E$2)*(E2925=E2924:E$2)))))</f>
        <v> </v>
      </c>
      <c r="J2925" s="25" t="str">
        <f>IF(OR(E2925="",E2925="!!!",F2925="NEW"),"",COUNTBLANK(OFFSET(A$1,,,SUMPRODUCT(MAX(ROW(E$2:E2925)*(E2925=E$2:E2925)))))-COUNTBLANK(OFFSET(A$1,,,SUMPRODUCT(MAX(ROW(E$1:E2924)*(E2=E$1:E2924))))))</f>
        <v> </v>
      </c>
      <c r="K2925" s="25" t="str">
        <f>IF(OR(E2925="",E2925="!!!",F2925="NEW"),"",INDEX(J$1:J2924,SUMPRODUCT(MAX(ROW(E$1:E2924)*(E2925=E$1:E2924)))))</f>
        <v> </v>
      </c>
      <c r="L2925" s="26"/>
    </row>
    <row r="2926" spans="1:12">
      <c r="A2926" s="20" t="s">
        <v>700</v>
      </c>
      <c r="B2926" s="27" t="s">
        <v>597</v>
      </c>
      <c r="C2926" s="27" t="s">
        <v>669</v>
      </c>
      <c r="D2926" s="27" t="s">
        <v>524</v>
      </c>
      <c r="E2926" s="21">
        <f>IF(D2926="?OLD","!!!","")</f>
        <v/>
      </c>
      <c r="F2926" s="22" t="str">
        <f>IF(OR(E2926="",E2926="!!!"),"",IF(NOT(ISNA(VLOOKUP(E2926,E$1:E2925,1,FALSE()))),"OLD",IF(AND(E2926&lt;&gt;"",E2926&lt;&gt;"!!!"),"NEW","")))</f>
        <v> </v>
      </c>
      <c r="G2926" s="23" t="str">
        <f>IF(OR(E2926="",E2926="!!!"),"",IF(OR(J2926=0,AND(J2926=1,K2926=1),AND(J2926=1,I2926="SBJ"),AND(J2926=1,I2926=0)),"?IN_FOCUS",IF(J2926&lt;=2,"?ACTIVATED",IF(J2926&lt;&gt;"","?FAMILIAR",IF(F2926="NEW",IF(ISNA(VLOOKUP(E2926,#REF!,1,FALSE())),"?TYPE_IDENTIFIABLE","?REFERENTIAL"),"_")))))</f>
        <v> </v>
      </c>
      <c r="H2926" s="24" t="str">
        <f>IF(J2926&lt;&gt;1,"",IF(I2926="SBJ","CB","?"))</f>
        <v> </v>
      </c>
      <c r="I2926" s="25" t="str">
        <f>IF(OR(E2926="",E2926="!!!",F2926="NEW"),"",INDEX(B2925:B$2,-1+SUMPRODUCT(MAX(ROW(E2925:E$2)*(E2926=E2925:E$2)))))</f>
        <v> </v>
      </c>
      <c r="J2926" s="25" t="str">
        <f>IF(OR(E2926="",E2926="!!!",F2926="NEW"),"",COUNTBLANK(OFFSET(A$1,,,SUMPRODUCT(MAX(ROW(E$2:E2926)*(E2926=E$2:E2926)))))-COUNTBLANK(OFFSET(A$1,,,SUMPRODUCT(MAX(ROW(E$1:E2925)*(E2=E$1:E2925))))))</f>
        <v> </v>
      </c>
      <c r="K2926" s="25" t="str">
        <f>IF(OR(E2926="",E2926="!!!",F2926="NEW"),"",INDEX(J$1:J2925,SUMPRODUCT(MAX(ROW(E$1:E2925)*(E2926=E$1:E2925)))))</f>
        <v> </v>
      </c>
      <c r="L2926" s="26"/>
    </row>
    <row r="2927" spans="1:12">
      <c r="A2927" s="20" t="s">
        <v>961</v>
      </c>
      <c r="B2927" s="27" t="s">
        <v>592</v>
      </c>
      <c r="C2927" s="27" t="s">
        <v>545</v>
      </c>
      <c r="D2927" s="27" t="s">
        <v>524</v>
      </c>
      <c r="E2927" s="21">
        <f>IF(D2927="?OLD","!!!","")</f>
        <v/>
      </c>
      <c r="F2927" s="22" t="str">
        <f>IF(OR(E2927="",E2927="!!!"),"",IF(NOT(ISNA(VLOOKUP(E2927,E$1:E2926,1,FALSE()))),"OLD",IF(AND(E2927&lt;&gt;"",E2927&lt;&gt;"!!!"),"NEW","")))</f>
        <v> </v>
      </c>
      <c r="G2927" s="23" t="str">
        <f>IF(OR(E2927="",E2927="!!!"),"",IF(OR(J2927=0,AND(J2927=1,K2927=1),AND(J2927=1,I2927="SBJ"),AND(J2927=1,I2927=0)),"?IN_FOCUS",IF(J2927&lt;=2,"?ACTIVATED",IF(J2927&lt;&gt;"","?FAMILIAR",IF(F2927="NEW",IF(ISNA(VLOOKUP(E2927,#REF!,1,FALSE())),"?TYPE_IDENTIFIABLE","?REFERENTIAL"),"_")))))</f>
        <v> </v>
      </c>
      <c r="H2927" s="24" t="str">
        <f>IF(J2927&lt;&gt;1,"",IF(I2927="SBJ","CB","?"))</f>
        <v> </v>
      </c>
      <c r="I2927" s="25" t="str">
        <f>IF(OR(E2927="",E2927="!!!",F2927="NEW"),"",INDEX(B2926:B$2,-1+SUMPRODUCT(MAX(ROW(E2926:E$2)*(E2927=E2926:E$2)))))</f>
        <v> </v>
      </c>
      <c r="J2927" s="25" t="str">
        <f>IF(OR(E2927="",E2927="!!!",F2927="NEW"),"",COUNTBLANK(OFFSET(A$1,,,SUMPRODUCT(MAX(ROW(E$2:E2927)*(E2927=E$2:E2927)))))-COUNTBLANK(OFFSET(A$1,,,SUMPRODUCT(MAX(ROW(E$1:E2926)*(E2=E$1:E2926))))))</f>
        <v> </v>
      </c>
      <c r="K2927" s="25" t="str">
        <f>IF(OR(E2927="",E2927="!!!",F2927="NEW"),"",INDEX(J$1:J2926,SUMPRODUCT(MAX(ROW(E$1:E2926)*(E2927=E$1:E2926)))))</f>
        <v> </v>
      </c>
      <c r="L2927" s="26"/>
    </row>
    <row r="2928" spans="1:12">
      <c r="A2928" s="20" t="s">
        <v>565</v>
      </c>
      <c r="E2928" s="21">
        <f>IF(D2928="?OLD","!!!","")</f>
        <v/>
      </c>
      <c r="F2928" s="22" t="str">
        <f>IF(OR(E2928="",E2928="!!!"),"",IF(NOT(ISNA(VLOOKUP(E2928,E$1:E2927,1,FALSE()))),"OLD",IF(AND(E2928&lt;&gt;"",E2928&lt;&gt;"!!!"),"NEW","")))</f>
        <v> </v>
      </c>
      <c r="G2928" s="23" t="str">
        <f>IF(OR(E2928="",E2928="!!!"),"",IF(OR(J2928=0,AND(J2928=1,K2928=1),AND(J2928=1,I2928="SBJ"),AND(J2928=1,I2928=0)),"?IN_FOCUS",IF(J2928&lt;=2,"?ACTIVATED",IF(J2928&lt;&gt;"","?FAMILIAR",IF(F2928="NEW",IF(ISNA(VLOOKUP(E2928,#REF!,1,FALSE())),"?TYPE_IDENTIFIABLE","?REFERENTIAL"),"_")))))</f>
        <v> </v>
      </c>
      <c r="H2928" s="24" t="str">
        <f>IF(J2928&lt;&gt;1,"",IF(I2928="SBJ","CB","?"))</f>
        <v> </v>
      </c>
      <c r="I2928" s="25" t="str">
        <f>IF(OR(E2928="",E2928="!!!",F2928="NEW"),"",INDEX(B2927:B$2,-1+SUMPRODUCT(MAX(ROW(E2927:E$2)*(E2928=E2927:E$2)))))</f>
        <v> </v>
      </c>
      <c r="J2928" s="25" t="str">
        <f>IF(OR(E2928="",E2928="!!!",F2928="NEW"),"",COUNTBLANK(OFFSET(A$1,,,SUMPRODUCT(MAX(ROW(E$2:E2928)*(E2928=E$2:E2928)))))-COUNTBLANK(OFFSET(A$1,,,SUMPRODUCT(MAX(ROW(E$1:E2927)*(E2=E$1:E2927))))))</f>
        <v> </v>
      </c>
      <c r="K2928" s="25" t="str">
        <f>IF(OR(E2928="",E2928="!!!",F2928="NEW"),"",INDEX(J$1:J2927,SUMPRODUCT(MAX(ROW(E$1:E2927)*(E2928=E$1:E2927)))))</f>
        <v> </v>
      </c>
      <c r="L2928" s="26"/>
    </row>
    <row r="2929" spans="1:12">
      <c r="A2929" s="20" t="s">
        <v>542</v>
      </c>
      <c r="E2929" s="21">
        <f>IF(D2929="?OLD","!!!","")</f>
        <v/>
      </c>
      <c r="F2929" s="22" t="str">
        <f>IF(OR(E2929="",E2929="!!!"),"",IF(NOT(ISNA(VLOOKUP(E2929,E$1:E2928,1,FALSE()))),"OLD",IF(AND(E2929&lt;&gt;"",E2929&lt;&gt;"!!!"),"NEW","")))</f>
        <v> </v>
      </c>
      <c r="G2929" s="23" t="str">
        <f>IF(OR(E2929="",E2929="!!!"),"",IF(OR(J2929=0,AND(J2929=1,K2929=1),AND(J2929=1,I2929="SBJ"),AND(J2929=1,I2929=0)),"?IN_FOCUS",IF(J2929&lt;=2,"?ACTIVATED",IF(J2929&lt;&gt;"","?FAMILIAR",IF(F2929="NEW",IF(ISNA(VLOOKUP(E2929,#REF!,1,FALSE())),"?TYPE_IDENTIFIABLE","?REFERENTIAL"),"_")))))</f>
        <v> </v>
      </c>
      <c r="H2929" s="24" t="str">
        <f>IF(J2929&lt;&gt;1,"",IF(I2929="SBJ","CB","?"))</f>
        <v> </v>
      </c>
      <c r="I2929" s="25" t="str">
        <f>IF(OR(E2929="",E2929="!!!",F2929="NEW"),"",INDEX(B2928:B$2,-1+SUMPRODUCT(MAX(ROW(E2928:E$2)*(E2929=E2928:E$2)))))</f>
        <v> </v>
      </c>
      <c r="J2929" s="25" t="str">
        <f>IF(OR(E2929="",E2929="!!!",F2929="NEW"),"",COUNTBLANK(OFFSET(A$1,,,SUMPRODUCT(MAX(ROW(E$2:E2929)*(E2929=E$2:E2929)))))-COUNTBLANK(OFFSET(A$1,,,SUMPRODUCT(MAX(ROW(E$1:E2928)*(E2=E$1:E2928))))))</f>
        <v> </v>
      </c>
      <c r="K2929" s="25" t="str">
        <f>IF(OR(E2929="",E2929="!!!",F2929="NEW"),"",INDEX(J$1:J2928,SUMPRODUCT(MAX(ROW(E$1:E2928)*(E2929=E$1:E2928)))))</f>
        <v> </v>
      </c>
      <c r="L2929" s="26"/>
    </row>
    <row r="2930" spans="1:12">
      <c r="A2930" s="20" t="s">
        <v>708</v>
      </c>
      <c r="E2930" s="21">
        <f>IF(D2930="?OLD","!!!","")</f>
        <v/>
      </c>
      <c r="F2930" s="22" t="str">
        <f>IF(OR(E2930="",E2930="!!!"),"",IF(NOT(ISNA(VLOOKUP(E2930,E$1:E2929,1,FALSE()))),"OLD",IF(AND(E2930&lt;&gt;"",E2930&lt;&gt;"!!!"),"NEW","")))</f>
        <v> </v>
      </c>
      <c r="G2930" s="23" t="str">
        <f>IF(OR(E2930="",E2930="!!!"),"",IF(OR(J2930=0,AND(J2930=1,K2930=1),AND(J2930=1,I2930="SBJ"),AND(J2930=1,I2930=0)),"?IN_FOCUS",IF(J2930&lt;=2,"?ACTIVATED",IF(J2930&lt;&gt;"","?FAMILIAR",IF(F2930="NEW",IF(ISNA(VLOOKUP(E2930,#REF!,1,FALSE())),"?TYPE_IDENTIFIABLE","?REFERENTIAL"),"_")))))</f>
        <v> </v>
      </c>
      <c r="H2930" s="24" t="str">
        <f>IF(J2930&lt;&gt;1,"",IF(I2930="SBJ","CB","?"))</f>
        <v> </v>
      </c>
      <c r="I2930" s="25" t="str">
        <f>IF(OR(E2930="",E2930="!!!",F2930="NEW"),"",INDEX(B2929:B$2,-1+SUMPRODUCT(MAX(ROW(E2929:E$2)*(E2930=E2929:E$2)))))</f>
        <v> </v>
      </c>
      <c r="J2930" s="25" t="str">
        <f>IF(OR(E2930="",E2930="!!!",F2930="NEW"),"",COUNTBLANK(OFFSET(A$1,,,SUMPRODUCT(MAX(ROW(E$2:E2930)*(E2930=E$2:E2930)))))-COUNTBLANK(OFFSET(A$1,,,SUMPRODUCT(MAX(ROW(E$1:E2929)*(E2=E$1:E2929))))))</f>
        <v> </v>
      </c>
      <c r="K2930" s="25" t="str">
        <f>IF(OR(E2930="",E2930="!!!",F2930="NEW"),"",INDEX(J$1:J2929,SUMPRODUCT(MAX(ROW(E$1:E2929)*(E2930=E$1:E2929)))))</f>
        <v> </v>
      </c>
      <c r="L2930" s="26"/>
    </row>
    <row r="2931" spans="1:12">
      <c r="A2931" s="20" t="s">
        <v>230</v>
      </c>
      <c r="E2931" s="21">
        <f>IF(D2931="?OLD","!!!","")</f>
        <v/>
      </c>
      <c r="F2931" s="22" t="str">
        <f>IF(OR(E2931="",E2931="!!!"),"",IF(NOT(ISNA(VLOOKUP(E2931,E$1:E2930,1,FALSE()))),"OLD",IF(AND(E2931&lt;&gt;"",E2931&lt;&gt;"!!!"),"NEW","")))</f>
        <v> </v>
      </c>
      <c r="G2931" s="23" t="str">
        <f>IF(OR(E2931="",E2931="!!!"),"",IF(OR(J2931=0,AND(J2931=1,K2931=1),AND(J2931=1,I2931="SBJ"),AND(J2931=1,I2931=0)),"?IN_FOCUS",IF(J2931&lt;=2,"?ACTIVATED",IF(J2931&lt;&gt;"","?FAMILIAR",IF(F2931="NEW",IF(ISNA(VLOOKUP(E2931,#REF!,1,FALSE())),"?TYPE_IDENTIFIABLE","?REFERENTIAL"),"_")))))</f>
        <v> </v>
      </c>
      <c r="H2931" s="24" t="str">
        <f>IF(J2931&lt;&gt;1,"",IF(I2931="SBJ","CB","?"))</f>
        <v> </v>
      </c>
      <c r="I2931" s="25" t="str">
        <f>IF(OR(E2931="",E2931="!!!",F2931="NEW"),"",INDEX(B2930:B$2,-1+SUMPRODUCT(MAX(ROW(E2930:E$2)*(E2931=E2930:E$2)))))</f>
        <v> </v>
      </c>
      <c r="J2931" s="25" t="str">
        <f>IF(OR(E2931="",E2931="!!!",F2931="NEW"),"",COUNTBLANK(OFFSET(A$1,,,SUMPRODUCT(MAX(ROW(E$2:E2931)*(E2931=E$2:E2931)))))-COUNTBLANK(OFFSET(A$1,,,SUMPRODUCT(MAX(ROW(E$1:E2930)*(E2=E$1:E2930))))))</f>
        <v> </v>
      </c>
      <c r="K2931" s="25" t="str">
        <f>IF(OR(E2931="",E2931="!!!",F2931="NEW"),"",INDEX(J$1:J2930,SUMPRODUCT(MAX(ROW(E$1:E2930)*(E2931=E$1:E2930)))))</f>
        <v> </v>
      </c>
      <c r="L2931" s="26"/>
    </row>
    <row r="2932" spans="1:12">
      <c r="A2932" s="20" t="s">
        <v>528</v>
      </c>
      <c r="E2932" s="21">
        <f>IF(D2932="?OLD","!!!","")</f>
        <v/>
      </c>
      <c r="F2932" s="22" t="str">
        <f>IF(OR(E2932="",E2932="!!!"),"",IF(NOT(ISNA(VLOOKUP(E2932,E$1:E2931,1,FALSE()))),"OLD",IF(AND(E2932&lt;&gt;"",E2932&lt;&gt;"!!!"),"NEW","")))</f>
        <v> </v>
      </c>
      <c r="G2932" s="23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4" t="str">
        <f>IF(J2932&lt;&gt;1,"",IF(I2932="SBJ","CB","?"))</f>
        <v> </v>
      </c>
      <c r="I2932" s="25" t="str">
        <f>IF(OR(E2932="",E2932="!!!",F2932="NEW"),"",INDEX(B2931:B$2,-1+SUMPRODUCT(MAX(ROW(E2931:E$2)*(E2932=E2931:E$2)))))</f>
        <v> </v>
      </c>
      <c r="J2932" s="25" t="str">
        <f>IF(OR(E2932="",E2932="!!!",F2932="NEW"),"",COUNTBLANK(OFFSET(A$1,,,SUMPRODUCT(MAX(ROW(E$2:E2932)*(E2932=E$2:E2932)))))-COUNTBLANK(OFFSET(A$1,,,SUMPRODUCT(MAX(ROW(E$1:E2931)*(E2=E$1:E2931))))))</f>
        <v> </v>
      </c>
      <c r="K2932" s="25" t="str">
        <f>IF(OR(E2932="",E2932="!!!",F2932="NEW"),"",INDEX(J$1:J2931,SUMPRODUCT(MAX(ROW(E$1:E2931)*(E2932=E$1:E2931)))))</f>
        <v> </v>
      </c>
      <c r="L2932" s="26"/>
    </row>
    <row r="2933" spans="1:12">
      <c r="A2933" s="20" t="s">
        <v>645</v>
      </c>
      <c r="B2933" s="27" t="s">
        <v>556</v>
      </c>
      <c r="C2933" s="27" t="s">
        <v>523</v>
      </c>
      <c r="D2933" s="27" t="s">
        <v>524</v>
      </c>
      <c r="E2933" s="21">
        <f>IF(D2933="?OLD","!!!","")</f>
        <v/>
      </c>
      <c r="F2933" s="22" t="str">
        <f>IF(OR(E2933="",E2933="!!!"),"",IF(NOT(ISNA(VLOOKUP(E2933,E$1:E2932,1,FALSE()))),"OLD",IF(AND(E2933&lt;&gt;"",E2933&lt;&gt;"!!!"),"NEW","")))</f>
        <v> </v>
      </c>
      <c r="G2933" s="23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4" t="str">
        <f>IF(J2933&lt;&gt;1,"",IF(I2933="SBJ","CB","?"))</f>
        <v> </v>
      </c>
      <c r="I2933" s="25" t="str">
        <f>IF(OR(E2933="",E2933="!!!",F2933="NEW"),"",INDEX(B2932:B$2,-1+SUMPRODUCT(MAX(ROW(E2932:E$2)*(E2933=E2932:E$2)))))</f>
        <v> </v>
      </c>
      <c r="J2933" s="25" t="str">
        <f>IF(OR(E2933="",E2933="!!!",F2933="NEW"),"",COUNTBLANK(OFFSET(A$1,,,SUMPRODUCT(MAX(ROW(E$2:E2933)*(E2933=E$2:E2933)))))-COUNTBLANK(OFFSET(A$1,,,SUMPRODUCT(MAX(ROW(E$1:E2932)*(E2=E$1:E2932))))))</f>
        <v> </v>
      </c>
      <c r="K2933" s="25" t="str">
        <f>IF(OR(E2933="",E2933="!!!",F2933="NEW"),"",INDEX(J$1:J2932,SUMPRODUCT(MAX(ROW(E$1:E2932)*(E2933=E$1:E2932)))))</f>
        <v> </v>
      </c>
      <c r="L2933" s="26"/>
    </row>
    <row r="2934" spans="1:12">
      <c r="A2934" s="20" t="s">
        <v>1520</v>
      </c>
      <c r="E2934" s="21">
        <f>IF(D2934="?OLD","!!!","")</f>
        <v/>
      </c>
      <c r="F2934" s="22" t="str">
        <f>IF(OR(E2934="",E2934="!!!"),"",IF(NOT(ISNA(VLOOKUP(E2934,E$1:E2933,1,FALSE()))),"OLD",IF(AND(E2934&lt;&gt;"",E2934&lt;&gt;"!!!"),"NEW","")))</f>
        <v> </v>
      </c>
      <c r="G2934" s="23" t="str">
        <f>IF(OR(E2934="",E2934="!!!"),"",IF(OR(J2934=0,AND(J2934=1,K2934=1),AND(J2934=1,I2934="SBJ"),AND(J2934=1,I2934=0)),"?IN_FOCUS",IF(J2934&lt;=2,"?ACTIVATED",IF(J2934&lt;&gt;"","?FAMILIAR",IF(F2934="NEW",IF(ISNA(VLOOKUP(E2934,#REF!,1,FALSE())),"?TYPE_IDENTIFIABLE","?REFERENTIAL"),"_")))))</f>
        <v> </v>
      </c>
      <c r="H2934" s="24" t="str">
        <f>IF(J2934&lt;&gt;1,"",IF(I2934="SBJ","CB","?"))</f>
        <v> </v>
      </c>
      <c r="I2934" s="25" t="str">
        <f>IF(OR(E2934="",E2934="!!!",F2934="NEW"),"",INDEX(B2933:B$2,-1+SUMPRODUCT(MAX(ROW(E2933:E$2)*(E2934=E2933:E$2)))))</f>
        <v> </v>
      </c>
      <c r="J2934" s="25" t="str">
        <f>IF(OR(E2934="",E2934="!!!",F2934="NEW"),"",COUNTBLANK(OFFSET(A$1,,,SUMPRODUCT(MAX(ROW(E$2:E2934)*(E2934=E$2:E2934)))))-COUNTBLANK(OFFSET(A$1,,,SUMPRODUCT(MAX(ROW(E$1:E2933)*(E2=E$1:E2933))))))</f>
        <v> </v>
      </c>
      <c r="K2934" s="25" t="str">
        <f>IF(OR(E2934="",E2934="!!!",F2934="NEW"),"",INDEX(J$1:J2933,SUMPRODUCT(MAX(ROW(E$1:E2933)*(E2934=E$1:E2933)))))</f>
        <v> </v>
      </c>
      <c r="L2934" s="26"/>
    </row>
    <row r="2935" spans="1:12">
      <c r="A2935" s="20" t="s">
        <v>1521</v>
      </c>
      <c r="E2935" s="21">
        <f>IF(D2935="?OLD","!!!","")</f>
        <v/>
      </c>
      <c r="F2935" s="22" t="str">
        <f>IF(OR(E2935="",E2935="!!!"),"",IF(NOT(ISNA(VLOOKUP(E2935,E$1:E2934,1,FALSE()))),"OLD",IF(AND(E2935&lt;&gt;"",E2935&lt;&gt;"!!!"),"NEW","")))</f>
        <v> </v>
      </c>
      <c r="G2935" s="23" t="str">
        <f>IF(OR(E2935="",E2935="!!!"),"",IF(OR(J2935=0,AND(J2935=1,K2935=1),AND(J2935=1,I2935="SBJ"),AND(J2935=1,I2935=0)),"?IN_FOCUS",IF(J2935&lt;=2,"?ACTIVATED",IF(J2935&lt;&gt;"","?FAMILIAR",IF(F2935="NEW",IF(ISNA(VLOOKUP(E2935,#REF!,1,FALSE())),"?TYPE_IDENTIFIABLE","?REFERENTIAL"),"_")))))</f>
        <v> </v>
      </c>
      <c r="H2935" s="24" t="str">
        <f>IF(J2935&lt;&gt;1,"",IF(I2935="SBJ","CB","?"))</f>
        <v> </v>
      </c>
      <c r="I2935" s="25" t="str">
        <f>IF(OR(E2935="",E2935="!!!",F2935="NEW"),"",INDEX(B2934:B$2,-1+SUMPRODUCT(MAX(ROW(E2934:E$2)*(E2935=E2934:E$2)))))</f>
        <v> </v>
      </c>
      <c r="J2935" s="25" t="str">
        <f>IF(OR(E2935="",E2935="!!!",F2935="NEW"),"",COUNTBLANK(OFFSET(A$1,,,SUMPRODUCT(MAX(ROW(E$2:E2935)*(E2935=E$2:E2935)))))-COUNTBLANK(OFFSET(A$1,,,SUMPRODUCT(MAX(ROW(E$1:E2934)*(E2=E$1:E2934))))))</f>
        <v> </v>
      </c>
      <c r="K2935" s="25" t="str">
        <f>IF(OR(E2935="",E2935="!!!",F2935="NEW"),"",INDEX(J$1:J2934,SUMPRODUCT(MAX(ROW(E$1:E2934)*(E2935=E$1:E2934)))))</f>
        <v> </v>
      </c>
      <c r="L2935" s="26"/>
    </row>
    <row r="2936" spans="1:12">
      <c r="A2936" s="20" t="s">
        <v>571</v>
      </c>
      <c r="E2936" s="21">
        <f>IF(D2936="?OLD","!!!","")</f>
        <v/>
      </c>
      <c r="F2936" s="22" t="str">
        <f>IF(OR(E2936="",E2936="!!!"),"",IF(NOT(ISNA(VLOOKUP(E2936,E$1:E2935,1,FALSE()))),"OLD",IF(AND(E2936&lt;&gt;"",E2936&lt;&gt;"!!!"),"NEW","")))</f>
        <v> </v>
      </c>
      <c r="G2936" s="23" t="str">
        <f>IF(OR(E2936="",E2936="!!!"),"",IF(OR(J2936=0,AND(J2936=1,K2936=1),AND(J2936=1,I2936="SBJ"),AND(J2936=1,I2936=0)),"?IN_FOCUS",IF(J2936&lt;=2,"?ACTIVATED",IF(J2936&lt;&gt;"","?FAMILIAR",IF(F2936="NEW",IF(ISNA(VLOOKUP(E2936,#REF!,1,FALSE())),"?TYPE_IDENTIFIABLE","?REFERENTIAL"),"_")))))</f>
        <v> </v>
      </c>
      <c r="H2936" s="24" t="str">
        <f>IF(J2936&lt;&gt;1,"",IF(I2936="SBJ","CB","?"))</f>
        <v> </v>
      </c>
      <c r="I2936" s="25" t="str">
        <f>IF(OR(E2936="",E2936="!!!",F2936="NEW"),"",INDEX(B2935:B$2,-1+SUMPRODUCT(MAX(ROW(E2935:E$2)*(E2936=E2935:E$2)))))</f>
        <v> </v>
      </c>
      <c r="J2936" s="25" t="str">
        <f>IF(OR(E2936="",E2936="!!!",F2936="NEW"),"",COUNTBLANK(OFFSET(A$1,,,SUMPRODUCT(MAX(ROW(E$2:E2936)*(E2936=E$2:E2936)))))-COUNTBLANK(OFFSET(A$1,,,SUMPRODUCT(MAX(ROW(E$1:E2935)*(E2=E$1:E2935))))))</f>
        <v> </v>
      </c>
      <c r="K2936" s="25" t="str">
        <f>IF(OR(E2936="",E2936="!!!",F2936="NEW"),"",INDEX(J$1:J2935,SUMPRODUCT(MAX(ROW(E$1:E2935)*(E2936=E$1:E2935)))))</f>
        <v> </v>
      </c>
      <c r="L2936" s="26"/>
    </row>
    <row r="2937" spans="1:12">
      <c r="A2937" s="20" t="s">
        <v>1522</v>
      </c>
      <c r="B2937" s="27" t="s">
        <v>556</v>
      </c>
      <c r="C2937" s="27" t="s">
        <v>545</v>
      </c>
      <c r="D2937" s="27" t="s">
        <v>524</v>
      </c>
      <c r="E2937" s="21">
        <f>IF(D2937="?OLD","!!!","")</f>
        <v/>
      </c>
      <c r="F2937" s="22" t="str">
        <f>IF(OR(E2937="",E2937="!!!"),"",IF(NOT(ISNA(VLOOKUP(E2937,E$1:E2936,1,FALSE()))),"OLD",IF(AND(E2937&lt;&gt;"",E2937&lt;&gt;"!!!"),"NEW","")))</f>
        <v> </v>
      </c>
      <c r="G2937" s="23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4" t="str">
        <f>IF(J2937&lt;&gt;1,"",IF(I2937="SBJ","CB","?"))</f>
        <v> </v>
      </c>
      <c r="I2937" s="25" t="str">
        <f>IF(OR(E2937="",E2937="!!!",F2937="NEW"),"",INDEX(B2936:B$2,-1+SUMPRODUCT(MAX(ROW(E2936:E$2)*(E2937=E2936:E$2)))))</f>
        <v> </v>
      </c>
      <c r="J2937" s="25" t="str">
        <f>IF(OR(E2937="",E2937="!!!",F2937="NEW"),"",COUNTBLANK(OFFSET(A$1,,,SUMPRODUCT(MAX(ROW(E$2:E2937)*(E2937=E$2:E2937)))))-COUNTBLANK(OFFSET(A$1,,,SUMPRODUCT(MAX(ROW(E$1:E2936)*(E2=E$1:E2936))))))</f>
        <v> </v>
      </c>
      <c r="K2937" s="25" t="str">
        <f>IF(OR(E2937="",E2937="!!!",F2937="NEW"),"",INDEX(J$1:J2936,SUMPRODUCT(MAX(ROW(E$1:E2936)*(E2937=E$1:E2936)))))</f>
        <v> </v>
      </c>
      <c r="L2937" s="26"/>
    </row>
    <row r="2938" spans="1:12">
      <c r="A2938" s="20" t="s">
        <v>565</v>
      </c>
      <c r="E2938" s="21">
        <f>IF(D2938="?OLD","!!!","")</f>
        <v/>
      </c>
      <c r="F2938" s="22" t="str">
        <f>IF(OR(E2938="",E2938="!!!"),"",IF(NOT(ISNA(VLOOKUP(E2938,E$1:E2937,1,FALSE()))),"OLD",IF(AND(E2938&lt;&gt;"",E2938&lt;&gt;"!!!"),"NEW","")))</f>
        <v> </v>
      </c>
      <c r="G2938" s="23" t="str">
        <f>IF(OR(E2938="",E2938="!!!"),"",IF(OR(J2938=0,AND(J2938=1,K2938=1),AND(J2938=1,I2938="SBJ"),AND(J2938=1,I2938=0)),"?IN_FOCUS",IF(J2938&lt;=2,"?ACTIVATED",IF(J2938&lt;&gt;"","?FAMILIAR",IF(F2938="NEW",IF(ISNA(VLOOKUP(E2938,#REF!,1,FALSE())),"?TYPE_IDENTIFIABLE","?REFERENTIAL"),"_")))))</f>
        <v> </v>
      </c>
      <c r="H2938" s="24" t="str">
        <f>IF(J2938&lt;&gt;1,"",IF(I2938="SBJ","CB","?"))</f>
        <v> </v>
      </c>
      <c r="I2938" s="25" t="str">
        <f>IF(OR(E2938="",E2938="!!!",F2938="NEW"),"",INDEX(B2937:B$2,-1+SUMPRODUCT(MAX(ROW(E2937:E$2)*(E2938=E2937:E$2)))))</f>
        <v> </v>
      </c>
      <c r="J2938" s="25" t="str">
        <f>IF(OR(E2938="",E2938="!!!",F2938="NEW"),"",COUNTBLANK(OFFSET(A$1,,,SUMPRODUCT(MAX(ROW(E$2:E2938)*(E2938=E$2:E2938)))))-COUNTBLANK(OFFSET(A$1,,,SUMPRODUCT(MAX(ROW(E$1:E2937)*(E2=E$1:E2937))))))</f>
        <v> </v>
      </c>
      <c r="K2938" s="25" t="str">
        <f>IF(OR(E2938="",E2938="!!!",F2938="NEW"),"",INDEX(J$1:J2937,SUMPRODUCT(MAX(ROW(E$1:E2937)*(E2938=E$1:E2937)))))</f>
        <v> </v>
      </c>
      <c r="L2938" s="26"/>
    </row>
    <row r="2939" spans="1:12">
      <c r="A2939" s="20" t="s">
        <v>581</v>
      </c>
      <c r="E2939" s="21">
        <f>IF(D2939="?OLD","!!!","")</f>
        <v/>
      </c>
      <c r="F2939" s="22" t="str">
        <f>IF(OR(E2939="",E2939="!!!"),"",IF(NOT(ISNA(VLOOKUP(E2939,E$1:E2938,1,FALSE()))),"OLD",IF(AND(E2939&lt;&gt;"",E2939&lt;&gt;"!!!"),"NEW","")))</f>
        <v> </v>
      </c>
      <c r="G2939" s="23" t="str">
        <f>IF(OR(E2939="",E2939="!!!"),"",IF(OR(J2939=0,AND(J2939=1,K2939=1),AND(J2939=1,I2939="SBJ"),AND(J2939=1,I2939=0)),"?IN_FOCUS",IF(J2939&lt;=2,"?ACTIVATED",IF(J2939&lt;&gt;"","?FAMILIAR",IF(F2939="NEW",IF(ISNA(VLOOKUP(E2939,#REF!,1,FALSE())),"?TYPE_IDENTIFIABLE","?REFERENTIAL"),"_")))))</f>
        <v> </v>
      </c>
      <c r="H2939" s="24" t="str">
        <f>IF(J2939&lt;&gt;1,"",IF(I2939="SBJ","CB","?"))</f>
        <v> </v>
      </c>
      <c r="I2939" s="25" t="str">
        <f>IF(OR(E2939="",E2939="!!!",F2939="NEW"),"",INDEX(B2938:B$2,-1+SUMPRODUCT(MAX(ROW(E2938:E$2)*(E2939=E2938:E$2)))))</f>
        <v> </v>
      </c>
      <c r="J2939" s="25" t="str">
        <f>IF(OR(E2939="",E2939="!!!",F2939="NEW"),"",COUNTBLANK(OFFSET(A$1,,,SUMPRODUCT(MAX(ROW(E$2:E2939)*(E2939=E$2:E2939)))))-COUNTBLANK(OFFSET(A$1,,,SUMPRODUCT(MAX(ROW(E$1:E2938)*(E2=E$1:E2938))))))</f>
        <v> </v>
      </c>
      <c r="K2939" s="25" t="str">
        <f>IF(OR(E2939="",E2939="!!!",F2939="NEW"),"",INDEX(J$1:J2938,SUMPRODUCT(MAX(ROW(E$1:E2938)*(E2939=E$1:E2938)))))</f>
        <v> </v>
      </c>
      <c r="L2939" s="26"/>
    </row>
    <row r="2940" spans="1:12">
      <c r="A2940" s="20" t="s">
        <v>625</v>
      </c>
      <c r="E2940" s="21">
        <f>IF(D2940="?OLD","!!!","")</f>
        <v/>
      </c>
      <c r="F2940" s="22" t="str">
        <f>IF(OR(E2940="",E2940="!!!"),"",IF(NOT(ISNA(VLOOKUP(E2940,E$1:E2939,1,FALSE()))),"OLD",IF(AND(E2940&lt;&gt;"",E2940&lt;&gt;"!!!"),"NEW","")))</f>
        <v> </v>
      </c>
      <c r="G2940" s="23" t="str">
        <f>IF(OR(E2940="",E2940="!!!"),"",IF(OR(J2940=0,AND(J2940=1,K2940=1),AND(J2940=1,I2940="SBJ"),AND(J2940=1,I2940=0)),"?IN_FOCUS",IF(J2940&lt;=2,"?ACTIVATED",IF(J2940&lt;&gt;"","?FAMILIAR",IF(F2940="NEW",IF(ISNA(VLOOKUP(E2940,#REF!,1,FALSE())),"?TYPE_IDENTIFIABLE","?REFERENTIAL"),"_")))))</f>
        <v> </v>
      </c>
      <c r="H2940" s="24" t="str">
        <f>IF(J2940&lt;&gt;1,"",IF(I2940="SBJ","CB","?"))</f>
        <v> </v>
      </c>
      <c r="I2940" s="25" t="str">
        <f>IF(OR(E2940="",E2940="!!!",F2940="NEW"),"",INDEX(B2939:B$2,-1+SUMPRODUCT(MAX(ROW(E2939:E$2)*(E2940=E2939:E$2)))))</f>
        <v> </v>
      </c>
      <c r="J2940" s="25" t="str">
        <f>IF(OR(E2940="",E2940="!!!",F2940="NEW"),"",COUNTBLANK(OFFSET(A$1,,,SUMPRODUCT(MAX(ROW(E$2:E2940)*(E2940=E$2:E2940)))))-COUNTBLANK(OFFSET(A$1,,,SUMPRODUCT(MAX(ROW(E$1:E2939)*(E2=E$1:E2939))))))</f>
        <v> </v>
      </c>
      <c r="K2940" s="25" t="str">
        <f>IF(OR(E2940="",E2940="!!!",F2940="NEW"),"",INDEX(J$1:J2939,SUMPRODUCT(MAX(ROW(E$1:E2939)*(E2940=E$1:E2939)))))</f>
        <v> </v>
      </c>
      <c r="L2940" s="26"/>
    </row>
    <row r="2941" spans="1:12">
      <c r="A2941" s="20" t="s">
        <v>926</v>
      </c>
      <c r="B2941" s="27" t="s">
        <v>873</v>
      </c>
      <c r="C2941" s="27" t="s">
        <v>584</v>
      </c>
      <c r="D2941" s="27" t="s">
        <v>524</v>
      </c>
      <c r="E2941" s="21">
        <f>IF(D2941="?OLD","!!!","")</f>
        <v/>
      </c>
      <c r="F2941" s="22" t="str">
        <f>IF(OR(E2941="",E2941="!!!"),"",IF(NOT(ISNA(VLOOKUP(E2941,E$1:E2940,1,FALSE()))),"OLD",IF(AND(E2941&lt;&gt;"",E2941&lt;&gt;"!!!"),"NEW","")))</f>
        <v> </v>
      </c>
      <c r="G2941" s="23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4" t="str">
        <f>IF(J2941&lt;&gt;1,"",IF(I2941="SBJ","CB","?"))</f>
        <v> </v>
      </c>
      <c r="I2941" s="25" t="str">
        <f>IF(OR(E2941="",E2941="!!!",F2941="NEW"),"",INDEX(B2940:B$2,-1+SUMPRODUCT(MAX(ROW(E2940:E$2)*(E2941=E2940:E$2)))))</f>
        <v> </v>
      </c>
      <c r="J2941" s="25" t="str">
        <f>IF(OR(E2941="",E2941="!!!",F2941="NEW"),"",COUNTBLANK(OFFSET(A$1,,,SUMPRODUCT(MAX(ROW(E$2:E2941)*(E2941=E$2:E2941)))))-COUNTBLANK(OFFSET(A$1,,,SUMPRODUCT(MAX(ROW(E$1:E2940)*(E2=E$1:E2940))))))</f>
        <v> </v>
      </c>
      <c r="K2941" s="25" t="str">
        <f>IF(OR(E2941="",E2941="!!!",F2941="NEW"),"",INDEX(J$1:J2940,SUMPRODUCT(MAX(ROW(E$1:E2940)*(E2941=E$1:E2940)))))</f>
        <v> </v>
      </c>
      <c r="L2941" s="26"/>
    </row>
    <row r="2942" spans="1:12">
      <c r="A2942" s="20" t="s">
        <v>528</v>
      </c>
      <c r="B2942" s="27" t="s">
        <v>643</v>
      </c>
      <c r="E2942" s="21">
        <f>IF(D2942="?OLD","!!!","")</f>
        <v/>
      </c>
      <c r="F2942" s="22" t="str">
        <f>IF(OR(E2942="",E2942="!!!"),"",IF(NOT(ISNA(VLOOKUP(E2942,E$1:E2941,1,FALSE()))),"OLD",IF(AND(E2942&lt;&gt;"",E2942&lt;&gt;"!!!"),"NEW","")))</f>
        <v> </v>
      </c>
      <c r="G2942" s="23" t="str">
        <f>IF(OR(E2942="",E2942="!!!"),"",IF(OR(J2942=0,AND(J2942=1,K2942=1),AND(J2942=1,I2942="SBJ"),AND(J2942=1,I2942=0)),"?IN_FOCUS",IF(J2942&lt;=2,"?ACTIVATED",IF(J2942&lt;&gt;"","?FAMILIAR",IF(F2942="NEW",IF(ISNA(VLOOKUP(E2942,#REF!,1,FALSE())),"?TYPE_IDENTIFIABLE","?REFERENTIAL"),"_")))))</f>
        <v> </v>
      </c>
      <c r="H2942" s="24" t="str">
        <f>IF(J2942&lt;&gt;1,"",IF(I2942="SBJ","CB","?"))</f>
        <v> </v>
      </c>
      <c r="I2942" s="25" t="str">
        <f>IF(OR(E2942="",E2942="!!!",F2942="NEW"),"",INDEX(B2941:B$2,-1+SUMPRODUCT(MAX(ROW(E2941:E$2)*(E2942=E2941:E$2)))))</f>
        <v> </v>
      </c>
      <c r="J2942" s="25" t="str">
        <f>IF(OR(E2942="",E2942="!!!",F2942="NEW"),"",COUNTBLANK(OFFSET(A$1,,,SUMPRODUCT(MAX(ROW(E$2:E2942)*(E2942=E$2:E2942)))))-COUNTBLANK(OFFSET(A$1,,,SUMPRODUCT(MAX(ROW(E$1:E2941)*(E2=E$1:E2941))))))</f>
        <v> </v>
      </c>
      <c r="K2942" s="25" t="str">
        <f>IF(OR(E2942="",E2942="!!!",F2942="NEW"),"",INDEX(J$1:J2941,SUMPRODUCT(MAX(ROW(E$1:E2941)*(E2942=E$1:E2941)))))</f>
        <v> </v>
      </c>
      <c r="L2942" s="26"/>
    </row>
    <row r="2943" spans="1:12">
      <c r="A2943" s="20" t="s">
        <v>645</v>
      </c>
      <c r="B2943" s="27" t="s">
        <v>583</v>
      </c>
      <c r="C2943" s="27" t="s">
        <v>523</v>
      </c>
      <c r="D2943" s="27" t="s">
        <v>524</v>
      </c>
      <c r="E2943" s="21">
        <f>IF(D2943="?OLD","!!!","")</f>
        <v/>
      </c>
      <c r="F2943" s="22" t="str">
        <f>IF(OR(E2943="",E2943="!!!"),"",IF(NOT(ISNA(VLOOKUP(E2943,E$1:E2942,1,FALSE()))),"OLD",IF(AND(E2943&lt;&gt;"",E2943&lt;&gt;"!!!"),"NEW","")))</f>
        <v> </v>
      </c>
      <c r="G2943" s="23" t="str">
        <f>IF(OR(E2943="",E2943="!!!"),"",IF(OR(J2943=0,AND(J2943=1,K2943=1),AND(J2943=1,I2943="SBJ"),AND(J2943=1,I2943=0)),"?IN_FOCUS",IF(J2943&lt;=2,"?ACTIVATED",IF(J2943&lt;&gt;"","?FAMILIAR",IF(F2943="NEW",IF(ISNA(VLOOKUP(E2943,#REF!,1,FALSE())),"?TYPE_IDENTIFIABLE","?REFERENTIAL"),"_")))))</f>
        <v> </v>
      </c>
      <c r="H2943" s="24" t="str">
        <f>IF(J2943&lt;&gt;1,"",IF(I2943="SBJ","CB","?"))</f>
        <v> </v>
      </c>
      <c r="I2943" s="25" t="str">
        <f>IF(OR(E2943="",E2943="!!!",F2943="NEW"),"",INDEX(B2942:B$2,-1+SUMPRODUCT(MAX(ROW(E2942:E$2)*(E2943=E2942:E$2)))))</f>
        <v> </v>
      </c>
      <c r="J2943" s="25" t="str">
        <f>IF(OR(E2943="",E2943="!!!",F2943="NEW"),"",COUNTBLANK(OFFSET(A$1,,,SUMPRODUCT(MAX(ROW(E$2:E2943)*(E2943=E$2:E2943)))))-COUNTBLANK(OFFSET(A$1,,,SUMPRODUCT(MAX(ROW(E$1:E2942)*(E2=E$1:E2942))))))</f>
        <v> </v>
      </c>
      <c r="K2943" s="25" t="str">
        <f>IF(OR(E2943="",E2943="!!!",F2943="NEW"),"",INDEX(J$1:J2942,SUMPRODUCT(MAX(ROW(E$1:E2942)*(E2943=E$1:E2942)))))</f>
        <v> </v>
      </c>
      <c r="L2943" s="26"/>
    </row>
    <row r="2944" spans="1:12">
      <c r="A2944" s="20" t="s">
        <v>1523</v>
      </c>
      <c r="E2944" s="21">
        <f>IF(D2944="?OLD","!!!","")</f>
        <v/>
      </c>
      <c r="F2944" s="22" t="str">
        <f>IF(OR(E2944="",E2944="!!!"),"",IF(NOT(ISNA(VLOOKUP(E2944,E$1:E2943,1,FALSE()))),"OLD",IF(AND(E2944&lt;&gt;"",E2944&lt;&gt;"!!!"),"NEW","")))</f>
        <v> </v>
      </c>
      <c r="G2944" s="23" t="str">
        <f>IF(OR(E2944="",E2944="!!!"),"",IF(OR(J2944=0,AND(J2944=1,K2944=1),AND(J2944=1,I2944="SBJ"),AND(J2944=1,I2944=0)),"?IN_FOCUS",IF(J2944&lt;=2,"?ACTIVATED",IF(J2944&lt;&gt;"","?FAMILIAR",IF(F2944="NEW",IF(ISNA(VLOOKUP(E2944,#REF!,1,FALSE())),"?TYPE_IDENTIFIABLE","?REFERENTIAL"),"_")))))</f>
        <v> </v>
      </c>
      <c r="H2944" s="24" t="str">
        <f>IF(J2944&lt;&gt;1,"",IF(I2944="SBJ","CB","?"))</f>
        <v> </v>
      </c>
      <c r="I2944" s="25" t="str">
        <f>IF(OR(E2944="",E2944="!!!",F2944="NEW"),"",INDEX(B2943:B$2,-1+SUMPRODUCT(MAX(ROW(E2943:E$2)*(E2944=E2943:E$2)))))</f>
        <v> </v>
      </c>
      <c r="J2944" s="25" t="str">
        <f>IF(OR(E2944="",E2944="!!!",F2944="NEW"),"",COUNTBLANK(OFFSET(A$1,,,SUMPRODUCT(MAX(ROW(E$2:E2944)*(E2944=E$2:E2944)))))-COUNTBLANK(OFFSET(A$1,,,SUMPRODUCT(MAX(ROW(E$1:E2943)*(E2=E$1:E2943))))))</f>
        <v> </v>
      </c>
      <c r="K2944" s="25" t="str">
        <f>IF(OR(E2944="",E2944="!!!",F2944="NEW"),"",INDEX(J$1:J2943,SUMPRODUCT(MAX(ROW(E$1:E2943)*(E2944=E$1:E2943)))))</f>
        <v> </v>
      </c>
      <c r="L2944" s="26"/>
    </row>
    <row r="2945" spans="1:12">
      <c r="A2945" s="20" t="s">
        <v>1524</v>
      </c>
      <c r="E2945" s="21">
        <f>IF(D2945="?OLD","!!!","")</f>
        <v/>
      </c>
      <c r="F2945" s="22" t="str">
        <f>IF(OR(E2945="",E2945="!!!"),"",IF(NOT(ISNA(VLOOKUP(E2945,E$1:E2944,1,FALSE()))),"OLD",IF(AND(E2945&lt;&gt;"",E2945&lt;&gt;"!!!"),"NEW","")))</f>
        <v> </v>
      </c>
      <c r="G2945" s="23" t="str">
        <f>IF(OR(E2945="",E2945="!!!"),"",IF(OR(J2945=0,AND(J2945=1,K2945=1),AND(J2945=1,I2945="SBJ"),AND(J2945=1,I2945=0)),"?IN_FOCUS",IF(J2945&lt;=2,"?ACTIVATED",IF(J2945&lt;&gt;"","?FAMILIAR",IF(F2945="NEW",IF(ISNA(VLOOKUP(E2945,#REF!,1,FALSE())),"?TYPE_IDENTIFIABLE","?REFERENTIAL"),"_")))))</f>
        <v> </v>
      </c>
      <c r="H2945" s="24" t="str">
        <f>IF(J2945&lt;&gt;1,"",IF(I2945="SBJ","CB","?"))</f>
        <v> </v>
      </c>
      <c r="I2945" s="25" t="str">
        <f>IF(OR(E2945="",E2945="!!!",F2945="NEW"),"",INDEX(B2944:B$2,-1+SUMPRODUCT(MAX(ROW(E2944:E$2)*(E2945=E2944:E$2)))))</f>
        <v> </v>
      </c>
      <c r="J2945" s="25" t="str">
        <f>IF(OR(E2945="",E2945="!!!",F2945="NEW"),"",COUNTBLANK(OFFSET(A$1,,,SUMPRODUCT(MAX(ROW(E$2:E2945)*(E2945=E$2:E2945)))))-COUNTBLANK(OFFSET(A$1,,,SUMPRODUCT(MAX(ROW(E$1:E2944)*(E2=E$1:E2944))))))</f>
        <v> </v>
      </c>
      <c r="K2945" s="25" t="str">
        <f>IF(OR(E2945="",E2945="!!!",F2945="NEW"),"",INDEX(J$1:J2944,SUMPRODUCT(MAX(ROW(E$1:E2944)*(E2945=E$1:E2944)))))</f>
        <v> </v>
      </c>
      <c r="L2945" s="26"/>
    </row>
    <row r="2946" spans="1:12">
      <c r="A2946" s="20" t="s">
        <v>1432</v>
      </c>
      <c r="B2946" s="27" t="s">
        <v>583</v>
      </c>
      <c r="C2946" s="27" t="s">
        <v>540</v>
      </c>
      <c r="D2946" s="27" t="s">
        <v>524</v>
      </c>
      <c r="E2946" s="21">
        <f>IF(D2946="?OLD","!!!","")</f>
        <v/>
      </c>
      <c r="F2946" s="22" t="str">
        <f>IF(OR(E2946="",E2946="!!!"),"",IF(NOT(ISNA(VLOOKUP(E2946,E$1:E2945,1,FALSE()))),"OLD",IF(AND(E2946&lt;&gt;"",E2946&lt;&gt;"!!!"),"NEW","")))</f>
        <v> </v>
      </c>
      <c r="G2946" s="23" t="str">
        <f>IF(OR(E2946="",E2946="!!!"),"",IF(OR(J2946=0,AND(J2946=1,K2946=1),AND(J2946=1,I2946="SBJ"),AND(J2946=1,I2946=0)),"?IN_FOCUS",IF(J2946&lt;=2,"?ACTIVATED",IF(J2946&lt;&gt;"","?FAMILIAR",IF(F2946="NEW",IF(ISNA(VLOOKUP(E2946,#REF!,1,FALSE())),"?TYPE_IDENTIFIABLE","?REFERENTIAL"),"_")))))</f>
        <v> </v>
      </c>
      <c r="H2946" s="24" t="str">
        <f>IF(J2946&lt;&gt;1,"",IF(I2946="SBJ","CB","?"))</f>
        <v> </v>
      </c>
      <c r="I2946" s="25" t="str">
        <f>IF(OR(E2946="",E2946="!!!",F2946="NEW"),"",INDEX(B2945:B$2,-1+SUMPRODUCT(MAX(ROW(E2945:E$2)*(E2946=E2945:E$2)))))</f>
        <v> </v>
      </c>
      <c r="J2946" s="25" t="str">
        <f>IF(OR(E2946="",E2946="!!!",F2946="NEW"),"",COUNTBLANK(OFFSET(A$1,,,SUMPRODUCT(MAX(ROW(E$2:E2946)*(E2946=E$2:E2946)))))-COUNTBLANK(OFFSET(A$1,,,SUMPRODUCT(MAX(ROW(E$1:E2945)*(E2=E$1:E2945))))))</f>
        <v> </v>
      </c>
      <c r="K2946" s="25" t="str">
        <f>IF(OR(E2946="",E2946="!!!",F2946="NEW"),"",INDEX(J$1:J2945,SUMPRODUCT(MAX(ROW(E$1:E2945)*(E2946=E$1:E2945)))))</f>
        <v> </v>
      </c>
      <c r="L2946" s="26"/>
    </row>
    <row r="2947" spans="1:12">
      <c r="A2947" s="20" t="s">
        <v>518</v>
      </c>
      <c r="E2947" s="21">
        <f>IF(D2947="?OLD","!!!","")</f>
        <v/>
      </c>
      <c r="F2947" s="22" t="str">
        <f>IF(OR(E2947="",E2947="!!!"),"",IF(NOT(ISNA(VLOOKUP(E2947,E$1:E2946,1,FALSE()))),"OLD",IF(AND(E2947&lt;&gt;"",E2947&lt;&gt;"!!!"),"NEW","")))</f>
        <v> </v>
      </c>
      <c r="G2947" s="23" t="str">
        <f>IF(OR(E2947="",E2947="!!!"),"",IF(OR(J2947=0,AND(J2947=1,K2947=1),AND(J2947=1,I2947="SBJ"),AND(J2947=1,I2947=0)),"?IN_FOCUS",IF(J2947&lt;=2,"?ACTIVATED",IF(J2947&lt;&gt;"","?FAMILIAR",IF(F2947="NEW",IF(ISNA(VLOOKUP(E2947,#REF!,1,FALSE())),"?TYPE_IDENTIFIABLE","?REFERENTIAL"),"_")))))</f>
        <v> </v>
      </c>
      <c r="H2947" s="24" t="str">
        <f>IF(J2947&lt;&gt;1,"",IF(I2947="SBJ","CB","?"))</f>
        <v> </v>
      </c>
      <c r="I2947" s="25" t="str">
        <f>IF(OR(E2947="",E2947="!!!",F2947="NEW"),"",INDEX(B2946:B$2,-1+SUMPRODUCT(MAX(ROW(E2946:E$2)*(E2947=E2946:E$2)))))</f>
        <v> </v>
      </c>
      <c r="J2947" s="25" t="str">
        <f>IF(OR(E2947="",E2947="!!!",F2947="NEW"),"",COUNTBLANK(OFFSET(A$1,,,SUMPRODUCT(MAX(ROW(E$2:E2947)*(E2947=E$2:E2947)))))-COUNTBLANK(OFFSET(A$1,,,SUMPRODUCT(MAX(ROW(E$1:E2946)*(E2=E$1:E2946))))))</f>
        <v> </v>
      </c>
      <c r="K2947" s="25" t="str">
        <f>IF(OR(E2947="",E2947="!!!",F2947="NEW"),"",INDEX(J$1:J2946,SUMPRODUCT(MAX(ROW(E$1:E2946)*(E2947=E$1:E2946)))))</f>
        <v> </v>
      </c>
      <c r="L2947" s="26"/>
    </row>
    <row r="2948" spans="1:12">
      <c r="A2948" s="20" t="s">
        <v>1525</v>
      </c>
      <c r="B2948" s="27" t="s">
        <v>618</v>
      </c>
      <c r="C2948" s="27" t="s">
        <v>564</v>
      </c>
      <c r="E2948" s="21">
        <f>IF(D2948="?OLD","!!!","")</f>
        <v/>
      </c>
      <c r="F2948" s="22" t="str">
        <f>IF(OR(E2948="",E2948="!!!"),"",IF(NOT(ISNA(VLOOKUP(E2948,E$1:E2947,1,FALSE()))),"OLD",IF(AND(E2948&lt;&gt;"",E2948&lt;&gt;"!!!"),"NEW","")))</f>
        <v> </v>
      </c>
      <c r="G2948" s="23" t="str">
        <f>IF(OR(E2948="",E2948="!!!"),"",IF(OR(J2948=0,AND(J2948=1,K2948=1),AND(J2948=1,I2948="SBJ"),AND(J2948=1,I2948=0)),"?IN_FOCUS",IF(J2948&lt;=2,"?ACTIVATED",IF(J2948&lt;&gt;"","?FAMILIAR",IF(F2948="NEW",IF(ISNA(VLOOKUP(E2948,#REF!,1,FALSE())),"?TYPE_IDENTIFIABLE","?REFERENTIAL"),"_")))))</f>
        <v> </v>
      </c>
      <c r="H2948" s="24" t="str">
        <f>IF(J2948&lt;&gt;1,"",IF(I2948="SBJ","CB","?"))</f>
        <v> </v>
      </c>
      <c r="I2948" s="25" t="str">
        <f>IF(OR(E2948="",E2948="!!!",F2948="NEW"),"",INDEX(B2947:B$2,-1+SUMPRODUCT(MAX(ROW(E2947:E$2)*(E2948=E2947:E$2)))))</f>
        <v> </v>
      </c>
      <c r="J2948" s="25" t="str">
        <f>IF(OR(E2948="",E2948="!!!",F2948="NEW"),"",COUNTBLANK(OFFSET(A$1,,,SUMPRODUCT(MAX(ROW(E$2:E2948)*(E2948=E$2:E2948)))))-COUNTBLANK(OFFSET(A$1,,,SUMPRODUCT(MAX(ROW(E$1:E2947)*(E2=E$1:E2947))))))</f>
        <v> </v>
      </c>
      <c r="K2948" s="25" t="str">
        <f>IF(OR(E2948="",E2948="!!!",F2948="NEW"),"",INDEX(J$1:J2947,SUMPRODUCT(MAX(ROW(E$1:E2947)*(E2948=E$1:E2947)))))</f>
        <v> </v>
      </c>
      <c r="L2948" s="26"/>
    </row>
    <row r="2949" spans="1:12">
      <c r="A2949" s="20" t="s">
        <v>565</v>
      </c>
      <c r="E2949" s="21">
        <f>IF(D2949="?OLD","!!!","")</f>
        <v/>
      </c>
      <c r="F2949" s="22" t="str">
        <f>IF(OR(E2949="",E2949="!!!"),"",IF(NOT(ISNA(VLOOKUP(E2949,E$1:E2948,1,FALSE()))),"OLD",IF(AND(E2949&lt;&gt;"",E2949&lt;&gt;"!!!"),"NEW","")))</f>
        <v> </v>
      </c>
      <c r="G2949" s="23" t="str">
        <f>IF(OR(E2949="",E2949="!!!"),"",IF(OR(J2949=0,AND(J2949=1,K2949=1),AND(J2949=1,I2949="SBJ"),AND(J2949=1,I2949=0)),"?IN_FOCUS",IF(J2949&lt;=2,"?ACTIVATED",IF(J2949&lt;&gt;"","?FAMILIAR",IF(F2949="NEW",IF(ISNA(VLOOKUP(E2949,#REF!,1,FALSE())),"?TYPE_IDENTIFIABLE","?REFERENTIAL"),"_")))))</f>
        <v> </v>
      </c>
      <c r="H2949" s="24" t="str">
        <f>IF(J2949&lt;&gt;1,"",IF(I2949="SBJ","CB","?"))</f>
        <v> </v>
      </c>
      <c r="I2949" s="25" t="str">
        <f>IF(OR(E2949="",E2949="!!!",F2949="NEW"),"",INDEX(B2948:B$2,-1+SUMPRODUCT(MAX(ROW(E2948:E$2)*(E2949=E2948:E$2)))))</f>
        <v> </v>
      </c>
      <c r="J2949" s="25" t="str">
        <f>IF(OR(E2949="",E2949="!!!",F2949="NEW"),"",COUNTBLANK(OFFSET(A$1,,,SUMPRODUCT(MAX(ROW(E$2:E2949)*(E2949=E$2:E2949)))))-COUNTBLANK(OFFSET(A$1,,,SUMPRODUCT(MAX(ROW(E$1:E2948)*(E2=E$1:E2948))))))</f>
        <v> </v>
      </c>
      <c r="K2949" s="25" t="str">
        <f>IF(OR(E2949="",E2949="!!!",F2949="NEW"),"",INDEX(J$1:J2948,SUMPRODUCT(MAX(ROW(E$1:E2948)*(E2949=E$1:E2948)))))</f>
        <v> </v>
      </c>
      <c r="L2949" s="26"/>
    </row>
    <row r="2950" spans="1:12">
      <c r="A2950" s="20" t="s">
        <v>581</v>
      </c>
      <c r="E2950" s="21">
        <f>IF(D2950="?OLD","!!!","")</f>
        <v/>
      </c>
      <c r="F2950" s="22" t="str">
        <f>IF(OR(E2950="",E2950="!!!"),"",IF(NOT(ISNA(VLOOKUP(E2950,E$1:E2949,1,FALSE()))),"OLD",IF(AND(E2950&lt;&gt;"",E2950&lt;&gt;"!!!"),"NEW","")))</f>
        <v> </v>
      </c>
      <c r="G2950" s="23" t="str">
        <f>IF(OR(E2950="",E2950="!!!"),"",IF(OR(J2950=0,AND(J2950=1,K2950=1),AND(J2950=1,I2950="SBJ"),AND(J2950=1,I2950=0)),"?IN_FOCUS",IF(J2950&lt;=2,"?ACTIVATED",IF(J2950&lt;&gt;"","?FAMILIAR",IF(F2950="NEW",IF(ISNA(VLOOKUP(E2950,#REF!,1,FALSE())),"?TYPE_IDENTIFIABLE","?REFERENTIAL"),"_")))))</f>
        <v> </v>
      </c>
      <c r="H2950" s="24" t="str">
        <f>IF(J2950&lt;&gt;1,"",IF(I2950="SBJ","CB","?"))</f>
        <v> </v>
      </c>
      <c r="I2950" s="25" t="str">
        <f>IF(OR(E2950="",E2950="!!!",F2950="NEW"),"",INDEX(B2949:B$2,-1+SUMPRODUCT(MAX(ROW(E2949:E$2)*(E2950=E2949:E$2)))))</f>
        <v> </v>
      </c>
      <c r="J2950" s="25" t="str">
        <f>IF(OR(E2950="",E2950="!!!",F2950="NEW"),"",COUNTBLANK(OFFSET(A$1,,,SUMPRODUCT(MAX(ROW(E$2:E2950)*(E2950=E$2:E2950)))))-COUNTBLANK(OFFSET(A$1,,,SUMPRODUCT(MAX(ROW(E$1:E2949)*(E2=E$1:E2949))))))</f>
        <v> </v>
      </c>
      <c r="K2950" s="25" t="str">
        <f>IF(OR(E2950="",E2950="!!!",F2950="NEW"),"",INDEX(J$1:J2949,SUMPRODUCT(MAX(ROW(E$1:E2949)*(E2950=E$1:E2949)))))</f>
        <v> </v>
      </c>
      <c r="L2950" s="26"/>
    </row>
    <row r="2951" spans="1:12">
      <c r="A2951" s="20" t="s">
        <v>843</v>
      </c>
      <c r="E2951" s="21">
        <f>IF(D2951="?OLD","!!!","")</f>
        <v/>
      </c>
      <c r="F2951" s="22" t="str">
        <f>IF(OR(E2951="",E2951="!!!"),"",IF(NOT(ISNA(VLOOKUP(E2951,E$1:E2950,1,FALSE()))),"OLD",IF(AND(E2951&lt;&gt;"",E2951&lt;&gt;"!!!"),"NEW","")))</f>
        <v> </v>
      </c>
      <c r="G2951" s="23" t="str">
        <f>IF(OR(E2951="",E2951="!!!"),"",IF(OR(J2951=0,AND(J2951=1,K2951=1),AND(J2951=1,I2951="SBJ"),AND(J2951=1,I2951=0)),"?IN_FOCUS",IF(J2951&lt;=2,"?ACTIVATED",IF(J2951&lt;&gt;"","?FAMILIAR",IF(F2951="NEW",IF(ISNA(VLOOKUP(E2951,#REF!,1,FALSE())),"?TYPE_IDENTIFIABLE","?REFERENTIAL"),"_")))))</f>
        <v> </v>
      </c>
      <c r="H2951" s="24" t="str">
        <f>IF(J2951&lt;&gt;1,"",IF(I2951="SBJ","CB","?"))</f>
        <v> </v>
      </c>
      <c r="I2951" s="25" t="str">
        <f>IF(OR(E2951="",E2951="!!!",F2951="NEW"),"",INDEX(B2950:B$2,-1+SUMPRODUCT(MAX(ROW(E2950:E$2)*(E2951=E2950:E$2)))))</f>
        <v> </v>
      </c>
      <c r="J2951" s="25" t="str">
        <f>IF(OR(E2951="",E2951="!!!",F2951="NEW"),"",COUNTBLANK(OFFSET(A$1,,,SUMPRODUCT(MAX(ROW(E$2:E2951)*(E2951=E$2:E2951)))))-COUNTBLANK(OFFSET(A$1,,,SUMPRODUCT(MAX(ROW(E$1:E2950)*(E2=E$1:E2950))))))</f>
        <v> </v>
      </c>
      <c r="K2951" s="25" t="str">
        <f>IF(OR(E2951="",E2951="!!!",F2951="NEW"),"",INDEX(J$1:J2950,SUMPRODUCT(MAX(ROW(E$1:E2950)*(E2951=E$1:E2950)))))</f>
        <v> </v>
      </c>
      <c r="L2951" s="26"/>
    </row>
    <row r="2952" spans="1:12">
      <c r="A2952" s="20" t="s">
        <v>1526</v>
      </c>
      <c r="E2952" s="21">
        <f>IF(D2952="?OLD","!!!","")</f>
        <v/>
      </c>
      <c r="F2952" s="22" t="str">
        <f>IF(OR(E2952="",E2952="!!!"),"",IF(NOT(ISNA(VLOOKUP(E2952,E$1:E2951,1,FALSE()))),"OLD",IF(AND(E2952&lt;&gt;"",E2952&lt;&gt;"!!!"),"NEW","")))</f>
        <v> </v>
      </c>
      <c r="G2952" s="23" t="str">
        <f>IF(OR(E2952="",E2952="!!!"),"",IF(OR(J2952=0,AND(J2952=1,K2952=1),AND(J2952=1,I2952="SBJ"),AND(J2952=1,I2952=0)),"?IN_FOCUS",IF(J2952&lt;=2,"?ACTIVATED",IF(J2952&lt;&gt;"","?FAMILIAR",IF(F2952="NEW",IF(ISNA(VLOOKUP(E2952,#REF!,1,FALSE())),"?TYPE_IDENTIFIABLE","?REFERENTIAL"),"_")))))</f>
        <v> </v>
      </c>
      <c r="H2952" s="24" t="str">
        <f>IF(J2952&lt;&gt;1,"",IF(I2952="SBJ","CB","?"))</f>
        <v> </v>
      </c>
      <c r="I2952" s="25" t="str">
        <f>IF(OR(E2952="",E2952="!!!",F2952="NEW"),"",INDEX(B2951:B$2,-1+SUMPRODUCT(MAX(ROW(E2951:E$2)*(E2952=E2951:E$2)))))</f>
        <v> </v>
      </c>
      <c r="J2952" s="25" t="str">
        <f>IF(OR(E2952="",E2952="!!!",F2952="NEW"),"",COUNTBLANK(OFFSET(A$1,,,SUMPRODUCT(MAX(ROW(E$2:E2952)*(E2952=E$2:E2952)))))-COUNTBLANK(OFFSET(A$1,,,SUMPRODUCT(MAX(ROW(E$1:E2951)*(E2=E$1:E2951))))))</f>
        <v> </v>
      </c>
      <c r="K2952" s="25" t="str">
        <f>IF(OR(E2952="",E2952="!!!",F2952="NEW"),"",INDEX(J$1:J2951,SUMPRODUCT(MAX(ROW(E$1:E2951)*(E2952=E$1:E2951)))))</f>
        <v> </v>
      </c>
      <c r="L2952" s="26"/>
    </row>
    <row r="2953" spans="1:12">
      <c r="A2953" s="20" t="s">
        <v>1527</v>
      </c>
      <c r="E2953" s="21">
        <f>IF(D2953="?OLD","!!!","")</f>
        <v/>
      </c>
      <c r="F2953" s="22" t="str">
        <f>IF(OR(E2953="",E2953="!!!"),"",IF(NOT(ISNA(VLOOKUP(E2953,E$1:E2952,1,FALSE()))),"OLD",IF(AND(E2953&lt;&gt;"",E2953&lt;&gt;"!!!"),"NEW","")))</f>
        <v> </v>
      </c>
      <c r="G2953" s="23" t="str">
        <f>IF(OR(E2953="",E2953="!!!"),"",IF(OR(J2953=0,AND(J2953=1,K2953=1),AND(J2953=1,I2953="SBJ"),AND(J2953=1,I2953=0)),"?IN_FOCUS",IF(J2953&lt;=2,"?ACTIVATED",IF(J2953&lt;&gt;"","?FAMILIAR",IF(F2953="NEW",IF(ISNA(VLOOKUP(E2953,#REF!,1,FALSE())),"?TYPE_IDENTIFIABLE","?REFERENTIAL"),"_")))))</f>
        <v> </v>
      </c>
      <c r="H2953" s="24" t="str">
        <f>IF(J2953&lt;&gt;1,"",IF(I2953="SBJ","CB","?"))</f>
        <v> </v>
      </c>
      <c r="I2953" s="25" t="str">
        <f>IF(OR(E2953="",E2953="!!!",F2953="NEW"),"",INDEX(B2952:B$2,-1+SUMPRODUCT(MAX(ROW(E2952:E$2)*(E2953=E2952:E$2)))))</f>
        <v> </v>
      </c>
      <c r="J2953" s="25" t="str">
        <f>IF(OR(E2953="",E2953="!!!",F2953="NEW"),"",COUNTBLANK(OFFSET(A$1,,,SUMPRODUCT(MAX(ROW(E$2:E2953)*(E2953=E$2:E2953)))))-COUNTBLANK(OFFSET(A$1,,,SUMPRODUCT(MAX(ROW(E$1:E2952)*(E2=E$1:E2952))))))</f>
        <v> </v>
      </c>
      <c r="K2953" s="25" t="str">
        <f>IF(OR(E2953="",E2953="!!!",F2953="NEW"),"",INDEX(J$1:J2952,SUMPRODUCT(MAX(ROW(E$1:E2952)*(E2953=E$1:E2952)))))</f>
        <v> </v>
      </c>
      <c r="L2953" s="26"/>
    </row>
    <row r="2954" spans="1:12">
      <c r="A2954" s="20" t="s">
        <v>542</v>
      </c>
      <c r="E2954" s="21">
        <f>IF(D2954="?OLD","!!!","")</f>
        <v/>
      </c>
      <c r="F2954" s="22" t="str">
        <f>IF(OR(E2954="",E2954="!!!"),"",IF(NOT(ISNA(VLOOKUP(E2954,E$1:E2953,1,FALSE()))),"OLD",IF(AND(E2954&lt;&gt;"",E2954&lt;&gt;"!!!"),"NEW","")))</f>
        <v> </v>
      </c>
      <c r="G2954" s="23" t="str">
        <f>IF(OR(E2954="",E2954="!!!"),"",IF(OR(J2954=0,AND(J2954=1,K2954=1),AND(J2954=1,I2954="SBJ"),AND(J2954=1,I2954=0)),"?IN_FOCUS",IF(J2954&lt;=2,"?ACTIVATED",IF(J2954&lt;&gt;"","?FAMILIAR",IF(F2954="NEW",IF(ISNA(VLOOKUP(E2954,#REF!,1,FALSE())),"?TYPE_IDENTIFIABLE","?REFERENTIAL"),"_")))))</f>
        <v> </v>
      </c>
      <c r="H2954" s="24" t="str">
        <f>IF(J2954&lt;&gt;1,"",IF(I2954="SBJ","CB","?"))</f>
        <v> </v>
      </c>
      <c r="I2954" s="25" t="str">
        <f>IF(OR(E2954="",E2954="!!!",F2954="NEW"),"",INDEX(B2953:B$2,-1+SUMPRODUCT(MAX(ROW(E2953:E$2)*(E2954=E2953:E$2)))))</f>
        <v> </v>
      </c>
      <c r="J2954" s="25" t="str">
        <f>IF(OR(E2954="",E2954="!!!",F2954="NEW"),"",COUNTBLANK(OFFSET(A$1,,,SUMPRODUCT(MAX(ROW(E$2:E2954)*(E2954=E$2:E2954)))))-COUNTBLANK(OFFSET(A$1,,,SUMPRODUCT(MAX(ROW(E$1:E2953)*(E2=E$1:E2953))))))</f>
        <v> </v>
      </c>
      <c r="K2954" s="25" t="str">
        <f>IF(OR(E2954="",E2954="!!!",F2954="NEW"),"",INDEX(J$1:J2953,SUMPRODUCT(MAX(ROW(E$1:E2953)*(E2954=E$1:E2953)))))</f>
        <v> </v>
      </c>
      <c r="L2954" s="26"/>
    </row>
    <row r="2955" spans="1:12">
      <c r="A2955" s="20" t="s">
        <v>571</v>
      </c>
      <c r="E2955" s="21">
        <f>IF(D2955="?OLD","!!!","")</f>
        <v/>
      </c>
      <c r="F2955" s="22" t="str">
        <f>IF(OR(E2955="",E2955="!!!"),"",IF(NOT(ISNA(VLOOKUP(E2955,E$1:E2954,1,FALSE()))),"OLD",IF(AND(E2955&lt;&gt;"",E2955&lt;&gt;"!!!"),"NEW","")))</f>
        <v> </v>
      </c>
      <c r="G2955" s="23" t="str">
        <f>IF(OR(E2955="",E2955="!!!"),"",IF(OR(J2955=0,AND(J2955=1,K2955=1),AND(J2955=1,I2955="SBJ"),AND(J2955=1,I2955=0)),"?IN_FOCUS",IF(J2955&lt;=2,"?ACTIVATED",IF(J2955&lt;&gt;"","?FAMILIAR",IF(F2955="NEW",IF(ISNA(VLOOKUP(E2955,#REF!,1,FALSE())),"?TYPE_IDENTIFIABLE","?REFERENTIAL"),"_")))))</f>
        <v> </v>
      </c>
      <c r="H2955" s="24" t="str">
        <f>IF(J2955&lt;&gt;1,"",IF(I2955="SBJ","CB","?"))</f>
        <v> </v>
      </c>
      <c r="I2955" s="25" t="str">
        <f>IF(OR(E2955="",E2955="!!!",F2955="NEW"),"",INDEX(B2954:B$2,-1+SUMPRODUCT(MAX(ROW(E2954:E$2)*(E2955=E2954:E$2)))))</f>
        <v> </v>
      </c>
      <c r="J2955" s="25" t="str">
        <f>IF(OR(E2955="",E2955="!!!",F2955="NEW"),"",COUNTBLANK(OFFSET(A$1,,,SUMPRODUCT(MAX(ROW(E$2:E2955)*(E2955=E$2:E2955)))))-COUNTBLANK(OFFSET(A$1,,,SUMPRODUCT(MAX(ROW(E$1:E2954)*(E2=E$1:E2954))))))</f>
        <v> </v>
      </c>
      <c r="K2955" s="25" t="str">
        <f>IF(OR(E2955="",E2955="!!!",F2955="NEW"),"",INDEX(J$1:J2954,SUMPRODUCT(MAX(ROW(E$1:E2954)*(E2955=E$1:E2954)))))</f>
        <v> </v>
      </c>
      <c r="L2955" s="26"/>
    </row>
    <row r="2956" spans="1:12">
      <c r="A2956" s="20" t="s">
        <v>722</v>
      </c>
      <c r="B2956" s="27" t="s">
        <v>658</v>
      </c>
      <c r="C2956" s="27" t="s">
        <v>669</v>
      </c>
      <c r="D2956" s="27" t="s">
        <v>524</v>
      </c>
      <c r="E2956" s="21">
        <f>IF(D2956="?OLD","!!!","")</f>
        <v/>
      </c>
      <c r="F2956" s="22" t="str">
        <f>IF(OR(E2956="",E2956="!!!"),"",IF(NOT(ISNA(VLOOKUP(E2956,E$1:E2955,1,FALSE()))),"OLD",IF(AND(E2956&lt;&gt;"",E2956&lt;&gt;"!!!"),"NEW","")))</f>
        <v> </v>
      </c>
      <c r="G2956" s="23" t="str">
        <f>IF(OR(E2956="",E2956="!!!"),"",IF(OR(J2956=0,AND(J2956=1,K2956=1),AND(J2956=1,I2956="SBJ"),AND(J2956=1,I2956=0)),"?IN_FOCUS",IF(J2956&lt;=2,"?ACTIVATED",IF(J2956&lt;&gt;"","?FAMILIAR",IF(F2956="NEW",IF(ISNA(VLOOKUP(E2956,#REF!,1,FALSE())),"?TYPE_IDENTIFIABLE","?REFERENTIAL"),"_")))))</f>
        <v> </v>
      </c>
      <c r="H2956" s="24" t="str">
        <f>IF(J2956&lt;&gt;1,"",IF(I2956="SBJ","CB","?"))</f>
        <v> </v>
      </c>
      <c r="I2956" s="25" t="str">
        <f>IF(OR(E2956="",E2956="!!!",F2956="NEW"),"",INDEX(B2955:B$2,-1+SUMPRODUCT(MAX(ROW(E2955:E$2)*(E2956=E2955:E$2)))))</f>
        <v> </v>
      </c>
      <c r="J2956" s="25" t="str">
        <f>IF(OR(E2956="",E2956="!!!",F2956="NEW"),"",COUNTBLANK(OFFSET(A$1,,,SUMPRODUCT(MAX(ROW(E$2:E2956)*(E2956=E$2:E2956)))))-COUNTBLANK(OFFSET(A$1,,,SUMPRODUCT(MAX(ROW(E$1:E2955)*(E2=E$1:E2955))))))</f>
        <v> </v>
      </c>
      <c r="K2956" s="25" t="str">
        <f>IF(OR(E2956="",E2956="!!!",F2956="NEW"),"",INDEX(J$1:J2955,SUMPRODUCT(MAX(ROW(E$1:E2955)*(E2956=E$1:E2955)))))</f>
        <v> </v>
      </c>
      <c r="L2956" s="26"/>
    </row>
    <row r="2957" spans="1:12">
      <c r="A2957" s="20" t="s">
        <v>1528</v>
      </c>
      <c r="B2957" s="27" t="s">
        <v>653</v>
      </c>
      <c r="C2957" s="27" t="s">
        <v>545</v>
      </c>
      <c r="D2957" s="27" t="s">
        <v>524</v>
      </c>
      <c r="E2957" s="21">
        <f>IF(D2957="?OLD","!!!","")</f>
        <v/>
      </c>
      <c r="F2957" s="22" t="str">
        <f>IF(OR(E2957="",E2957="!!!"),"",IF(NOT(ISNA(VLOOKUP(E2957,E$1:E2956,1,FALSE()))),"OLD",IF(AND(E2957&lt;&gt;"",E2957&lt;&gt;"!!!"),"NEW","")))</f>
        <v> </v>
      </c>
      <c r="G2957" s="23" t="str">
        <f>IF(OR(E2957="",E2957="!!!"),"",IF(OR(J2957=0,AND(J2957=1,K2957=1),AND(J2957=1,I2957="SBJ"),AND(J2957=1,I2957=0)),"?IN_FOCUS",IF(J2957&lt;=2,"?ACTIVATED",IF(J2957&lt;&gt;"","?FAMILIAR",IF(F2957="NEW",IF(ISNA(VLOOKUP(E2957,#REF!,1,FALSE())),"?TYPE_IDENTIFIABLE","?REFERENTIAL"),"_")))))</f>
        <v> </v>
      </c>
      <c r="H2957" s="24" t="str">
        <f>IF(J2957&lt;&gt;1,"",IF(I2957="SBJ","CB","?"))</f>
        <v> </v>
      </c>
      <c r="I2957" s="25" t="str">
        <f>IF(OR(E2957="",E2957="!!!",F2957="NEW"),"",INDEX(B2956:B$2,-1+SUMPRODUCT(MAX(ROW(E2956:E$2)*(E2957=E2956:E$2)))))</f>
        <v> </v>
      </c>
      <c r="J2957" s="25" t="str">
        <f>IF(OR(E2957="",E2957="!!!",F2957="NEW"),"",COUNTBLANK(OFFSET(A$1,,,SUMPRODUCT(MAX(ROW(E$2:E2957)*(E2957=E$2:E2957)))))-COUNTBLANK(OFFSET(A$1,,,SUMPRODUCT(MAX(ROW(E$1:E2956)*(E2=E$1:E2956))))))</f>
        <v> </v>
      </c>
      <c r="K2957" s="25" t="str">
        <f>IF(OR(E2957="",E2957="!!!",F2957="NEW"),"",INDEX(J$1:J2956,SUMPRODUCT(MAX(ROW(E$1:E2956)*(E2957=E$1:E2956)))))</f>
        <v> </v>
      </c>
      <c r="L2957" s="26"/>
    </row>
    <row r="2958" spans="1:12">
      <c r="A2958" s="20" t="s">
        <v>565</v>
      </c>
      <c r="E2958" s="21">
        <f>IF(D2958="?OLD","!!!","")</f>
        <v/>
      </c>
      <c r="F2958" s="22" t="str">
        <f>IF(OR(E2958="",E2958="!!!"),"",IF(NOT(ISNA(VLOOKUP(E2958,E$1:E2957,1,FALSE()))),"OLD",IF(AND(E2958&lt;&gt;"",E2958&lt;&gt;"!!!"),"NEW","")))</f>
        <v> </v>
      </c>
      <c r="G2958" s="23" t="str">
        <f>IF(OR(E2958="",E2958="!!!"),"",IF(OR(J2958=0,AND(J2958=1,K2958=1),AND(J2958=1,I2958="SBJ"),AND(J2958=1,I2958=0)),"?IN_FOCUS",IF(J2958&lt;=2,"?ACTIVATED",IF(J2958&lt;&gt;"","?FAMILIAR",IF(F2958="NEW",IF(ISNA(VLOOKUP(E2958,#REF!,1,FALSE())),"?TYPE_IDENTIFIABLE","?REFERENTIAL"),"_")))))</f>
        <v> </v>
      </c>
      <c r="H2958" s="24" t="str">
        <f>IF(J2958&lt;&gt;1,"",IF(I2958="SBJ","CB","?"))</f>
        <v> </v>
      </c>
      <c r="I2958" s="25" t="str">
        <f>IF(OR(E2958="",E2958="!!!",F2958="NEW"),"",INDEX(B2957:B$2,-1+SUMPRODUCT(MAX(ROW(E2957:E$2)*(E2958=E2957:E$2)))))</f>
        <v> </v>
      </c>
      <c r="J2958" s="25" t="str">
        <f>IF(OR(E2958="",E2958="!!!",F2958="NEW"),"",COUNTBLANK(OFFSET(A$1,,,SUMPRODUCT(MAX(ROW(E$2:E2958)*(E2958=E$2:E2958)))))-COUNTBLANK(OFFSET(A$1,,,SUMPRODUCT(MAX(ROW(E$1:E2957)*(E2=E$1:E2957))))))</f>
        <v> </v>
      </c>
      <c r="K2958" s="25" t="str">
        <f>IF(OR(E2958="",E2958="!!!",F2958="NEW"),"",INDEX(J$1:J2957,SUMPRODUCT(MAX(ROW(E$1:E2957)*(E2958=E$1:E2957)))))</f>
        <v> </v>
      </c>
      <c r="L2958" s="26"/>
    </row>
    <row r="2959" spans="1:12">
      <c r="A2959" s="20" t="s">
        <v>525</v>
      </c>
      <c r="E2959" s="21">
        <f>IF(D2959="?OLD","!!!","")</f>
        <v/>
      </c>
      <c r="F2959" s="22" t="str">
        <f>IF(OR(E2959="",E2959="!!!"),"",IF(NOT(ISNA(VLOOKUP(E2959,E$1:E2958,1,FALSE()))),"OLD",IF(AND(E2959&lt;&gt;"",E2959&lt;&gt;"!!!"),"NEW","")))</f>
        <v> </v>
      </c>
      <c r="G2959" s="23" t="str">
        <f>IF(OR(E2959="",E2959="!!!"),"",IF(OR(J2959=0,AND(J2959=1,K2959=1),AND(J2959=1,I2959="SBJ"),AND(J2959=1,I2959=0)),"?IN_FOCUS",IF(J2959&lt;=2,"?ACTIVATED",IF(J2959&lt;&gt;"","?FAMILIAR",IF(F2959="NEW",IF(ISNA(VLOOKUP(E2959,#REF!,1,FALSE())),"?TYPE_IDENTIFIABLE","?REFERENTIAL"),"_")))))</f>
        <v> </v>
      </c>
      <c r="H2959" s="24" t="str">
        <f>IF(J2959&lt;&gt;1,"",IF(I2959="SBJ","CB","?"))</f>
        <v> </v>
      </c>
      <c r="I2959" s="25" t="str">
        <f>IF(OR(E2959="",E2959="!!!",F2959="NEW"),"",INDEX(B2958:B$2,-1+SUMPRODUCT(MAX(ROW(E2958:E$2)*(E2959=E2958:E$2)))))</f>
        <v> </v>
      </c>
      <c r="J2959" s="25" t="str">
        <f>IF(OR(E2959="",E2959="!!!",F2959="NEW"),"",COUNTBLANK(OFFSET(A$1,,,SUMPRODUCT(MAX(ROW(E$2:E2959)*(E2959=E$2:E2959)))))-COUNTBLANK(OFFSET(A$1,,,SUMPRODUCT(MAX(ROW(E$1:E2958)*(E2=E$1:E2958))))))</f>
        <v> </v>
      </c>
      <c r="K2959" s="25" t="str">
        <f>IF(OR(E2959="",E2959="!!!",F2959="NEW"),"",INDEX(J$1:J2958,SUMPRODUCT(MAX(ROW(E$1:E2958)*(E2959=E$1:E2958)))))</f>
        <v> </v>
      </c>
      <c r="L2959" s="26"/>
    </row>
    <row r="2960" spans="1:12">
      <c r="A2960" s="20" t="s">
        <v>819</v>
      </c>
      <c r="B2960" s="27" t="s">
        <v>716</v>
      </c>
      <c r="C2960" s="27" t="s">
        <v>527</v>
      </c>
      <c r="E2960" s="21">
        <f>IF(D2960="?OLD","!!!","")</f>
        <v/>
      </c>
      <c r="F2960" s="22" t="str">
        <f>IF(OR(E2960="",E2960="!!!"),"",IF(NOT(ISNA(VLOOKUP(E2960,E$1:E2959,1,FALSE()))),"OLD",IF(AND(E2960&lt;&gt;"",E2960&lt;&gt;"!!!"),"NEW","")))</f>
        <v> </v>
      </c>
      <c r="G2960" s="23" t="str">
        <f>IF(OR(E2960="",E2960="!!!"),"",IF(OR(J2960=0,AND(J2960=1,K2960=1),AND(J2960=1,I2960="SBJ"),AND(J2960=1,I2960=0)),"?IN_FOCUS",IF(J2960&lt;=2,"?ACTIVATED",IF(J2960&lt;&gt;"","?FAMILIAR",IF(F2960="NEW",IF(ISNA(VLOOKUP(E2960,#REF!,1,FALSE())),"?TYPE_IDENTIFIABLE","?REFERENTIAL"),"_")))))</f>
        <v> </v>
      </c>
      <c r="H2960" s="24" t="str">
        <f>IF(J2960&lt;&gt;1,"",IF(I2960="SBJ","CB","?"))</f>
        <v> </v>
      </c>
      <c r="I2960" s="25" t="str">
        <f>IF(OR(E2960="",E2960="!!!",F2960="NEW"),"",INDEX(B2959:B$2,-1+SUMPRODUCT(MAX(ROW(E2959:E$2)*(E2960=E2959:E$2)))))</f>
        <v> </v>
      </c>
      <c r="J2960" s="25" t="str">
        <f>IF(OR(E2960="",E2960="!!!",F2960="NEW"),"",COUNTBLANK(OFFSET(A$1,,,SUMPRODUCT(MAX(ROW(E$2:E2960)*(E2960=E$2:E2960)))))-COUNTBLANK(OFFSET(A$1,,,SUMPRODUCT(MAX(ROW(E$1:E2959)*(E2=E$1:E2959))))))</f>
        <v> </v>
      </c>
      <c r="K2960" s="25" t="str">
        <f>IF(OR(E2960="",E2960="!!!",F2960="NEW"),"",INDEX(J$1:J2959,SUMPRODUCT(MAX(ROW(E$1:E2959)*(E2960=E$1:E2959)))))</f>
        <v> </v>
      </c>
      <c r="L2960" s="26"/>
    </row>
    <row r="2961" spans="1:12">
      <c r="A2961" s="20" t="s">
        <v>1529</v>
      </c>
      <c r="E2961" s="21">
        <f>IF(D2961="?OLD","!!!","")</f>
        <v/>
      </c>
      <c r="F2961" s="22" t="str">
        <f>IF(OR(E2961="",E2961="!!!"),"",IF(NOT(ISNA(VLOOKUP(E2961,E$1:E2960,1,FALSE()))),"OLD",IF(AND(E2961&lt;&gt;"",E2961&lt;&gt;"!!!"),"NEW","")))</f>
        <v> </v>
      </c>
      <c r="G2961" s="23" t="str">
        <f>IF(OR(E2961="",E2961="!!!"),"",IF(OR(J2961=0,AND(J2961=1,K2961=1),AND(J2961=1,I2961="SBJ"),AND(J2961=1,I2961=0)),"?IN_FOCUS",IF(J2961&lt;=2,"?ACTIVATED",IF(J2961&lt;&gt;"","?FAMILIAR",IF(F2961="NEW",IF(ISNA(VLOOKUP(E2961,#REF!,1,FALSE())),"?TYPE_IDENTIFIABLE","?REFERENTIAL"),"_")))))</f>
        <v> </v>
      </c>
      <c r="H2961" s="24" t="str">
        <f>IF(J2961&lt;&gt;1,"",IF(I2961="SBJ","CB","?"))</f>
        <v> </v>
      </c>
      <c r="I2961" s="25" t="str">
        <f>IF(OR(E2961="",E2961="!!!",F2961="NEW"),"",INDEX(B2960:B$2,-1+SUMPRODUCT(MAX(ROW(E2960:E$2)*(E2961=E2960:E$2)))))</f>
        <v> </v>
      </c>
      <c r="J2961" s="25" t="str">
        <f>IF(OR(E2961="",E2961="!!!",F2961="NEW"),"",COUNTBLANK(OFFSET(A$1,,,SUMPRODUCT(MAX(ROW(E$2:E2961)*(E2961=E$2:E2961)))))-COUNTBLANK(OFFSET(A$1,,,SUMPRODUCT(MAX(ROW(E$1:E2960)*(E2=E$1:E2960))))))</f>
        <v> </v>
      </c>
      <c r="K2961" s="25" t="str">
        <f>IF(OR(E2961="",E2961="!!!",F2961="NEW"),"",INDEX(J$1:J2960,SUMPRODUCT(MAX(ROW(E$1:E2960)*(E2961=E$1:E2960)))))</f>
        <v> </v>
      </c>
      <c r="L2961" s="26"/>
    </row>
    <row r="2962" spans="1:12">
      <c r="A2962" s="20" t="s">
        <v>1078</v>
      </c>
      <c r="E2962" s="21">
        <f>IF(D2962="?OLD","!!!","")</f>
        <v/>
      </c>
      <c r="F2962" s="22" t="str">
        <f>IF(OR(E2962="",E2962="!!!"),"",IF(NOT(ISNA(VLOOKUP(E2962,E$1:E2961,1,FALSE()))),"OLD",IF(AND(E2962&lt;&gt;"",E2962&lt;&gt;"!!!"),"NEW","")))</f>
        <v> </v>
      </c>
      <c r="G2962" s="23" t="str">
        <f>IF(OR(E2962="",E2962="!!!"),"",IF(OR(J2962=0,AND(J2962=1,K2962=1),AND(J2962=1,I2962="SBJ"),AND(J2962=1,I2962=0)),"?IN_FOCUS",IF(J2962&lt;=2,"?ACTIVATED",IF(J2962&lt;&gt;"","?FAMILIAR",IF(F2962="NEW",IF(ISNA(VLOOKUP(E2962,#REF!,1,FALSE())),"?TYPE_IDENTIFIABLE","?REFERENTIAL"),"_")))))</f>
        <v> </v>
      </c>
      <c r="H2962" s="24" t="str">
        <f>IF(J2962&lt;&gt;1,"",IF(I2962="SBJ","CB","?"))</f>
        <v> </v>
      </c>
      <c r="I2962" s="25" t="str">
        <f>IF(OR(E2962="",E2962="!!!",F2962="NEW"),"",INDEX(B2961:B$2,-1+SUMPRODUCT(MAX(ROW(E2961:E$2)*(E2962=E2961:E$2)))))</f>
        <v> </v>
      </c>
      <c r="J2962" s="25" t="str">
        <f>IF(OR(E2962="",E2962="!!!",F2962="NEW"),"",COUNTBLANK(OFFSET(A$1,,,SUMPRODUCT(MAX(ROW(E$2:E2962)*(E2962=E$2:E2962)))))-COUNTBLANK(OFFSET(A$1,,,SUMPRODUCT(MAX(ROW(E$1:E2961)*(E2=E$1:E2961))))))</f>
        <v> </v>
      </c>
      <c r="K2962" s="25" t="str">
        <f>IF(OR(E2962="",E2962="!!!",F2962="NEW"),"",INDEX(J$1:J2961,SUMPRODUCT(MAX(ROW(E$1:E2961)*(E2962=E$1:E2961)))))</f>
        <v> </v>
      </c>
      <c r="L2962" s="26"/>
    </row>
    <row r="2963" spans="1:12">
      <c r="A2963" s="20" t="s">
        <v>843</v>
      </c>
      <c r="E2963" s="21">
        <f>IF(D2963="?OLD","!!!","")</f>
        <v/>
      </c>
      <c r="F2963" s="22" t="str">
        <f>IF(OR(E2963="",E2963="!!!"),"",IF(NOT(ISNA(VLOOKUP(E2963,E$1:E2962,1,FALSE()))),"OLD",IF(AND(E2963&lt;&gt;"",E2963&lt;&gt;"!!!"),"NEW","")))</f>
        <v> </v>
      </c>
      <c r="G2963" s="23" t="str">
        <f>IF(OR(E2963="",E2963="!!!"),"",IF(OR(J2963=0,AND(J2963=1,K2963=1),AND(J2963=1,I2963="SBJ"),AND(J2963=1,I2963=0)),"?IN_FOCUS",IF(J2963&lt;=2,"?ACTIVATED",IF(J2963&lt;&gt;"","?FAMILIAR",IF(F2963="NEW",IF(ISNA(VLOOKUP(E2963,#REF!,1,FALSE())),"?TYPE_IDENTIFIABLE","?REFERENTIAL"),"_")))))</f>
        <v> </v>
      </c>
      <c r="H2963" s="24" t="str">
        <f>IF(J2963&lt;&gt;1,"",IF(I2963="SBJ","CB","?"))</f>
        <v> </v>
      </c>
      <c r="I2963" s="25" t="str">
        <f>IF(OR(E2963="",E2963="!!!",F2963="NEW"),"",INDEX(B2962:B$2,-1+SUMPRODUCT(MAX(ROW(E2962:E$2)*(E2963=E2962:E$2)))))</f>
        <v> </v>
      </c>
      <c r="J2963" s="25" t="str">
        <f>IF(OR(E2963="",E2963="!!!",F2963="NEW"),"",COUNTBLANK(OFFSET(A$1,,,SUMPRODUCT(MAX(ROW(E$2:E2963)*(E2963=E$2:E2963)))))-COUNTBLANK(OFFSET(A$1,,,SUMPRODUCT(MAX(ROW(E$1:E2962)*(E2=E$1:E2962))))))</f>
        <v> </v>
      </c>
      <c r="K2963" s="25" t="str">
        <f>IF(OR(E2963="",E2963="!!!",F2963="NEW"),"",INDEX(J$1:J2962,SUMPRODUCT(MAX(ROW(E$1:E2962)*(E2963=E$1:E2962)))))</f>
        <v> </v>
      </c>
      <c r="L2963" s="26"/>
    </row>
    <row r="2964" spans="1:12">
      <c r="A2964" s="20" t="s">
        <v>549</v>
      </c>
      <c r="E2964" s="21">
        <f>IF(D2964="?OLD","!!!","")</f>
        <v/>
      </c>
      <c r="F2964" s="22" t="str">
        <f>IF(OR(E2964="",E2964="!!!"),"",IF(NOT(ISNA(VLOOKUP(E2964,E$1:E2963,1,FALSE()))),"OLD",IF(AND(E2964&lt;&gt;"",E2964&lt;&gt;"!!!"),"NEW","")))</f>
        <v> </v>
      </c>
      <c r="G2964" s="23" t="str">
        <f>IF(OR(E2964="",E2964="!!!"),"",IF(OR(J2964=0,AND(J2964=1,K2964=1),AND(J2964=1,I2964="SBJ"),AND(J2964=1,I2964=0)),"?IN_FOCUS",IF(J2964&lt;=2,"?ACTIVATED",IF(J2964&lt;&gt;"","?FAMILIAR",IF(F2964="NEW",IF(ISNA(VLOOKUP(E2964,#REF!,1,FALSE())),"?TYPE_IDENTIFIABLE","?REFERENTIAL"),"_")))))</f>
        <v> </v>
      </c>
      <c r="H2964" s="24" t="str">
        <f>IF(J2964&lt;&gt;1,"",IF(I2964="SBJ","CB","?"))</f>
        <v> </v>
      </c>
      <c r="I2964" s="25" t="str">
        <f>IF(OR(E2964="",E2964="!!!",F2964="NEW"),"",INDEX(B2963:B$2,-1+SUMPRODUCT(MAX(ROW(E2963:E$2)*(E2964=E2963:E$2)))))</f>
        <v> </v>
      </c>
      <c r="J2964" s="25" t="str">
        <f>IF(OR(E2964="",E2964="!!!",F2964="NEW"),"",COUNTBLANK(OFFSET(A$1,,,SUMPRODUCT(MAX(ROW(E$2:E2964)*(E2964=E$2:E2964)))))-COUNTBLANK(OFFSET(A$1,,,SUMPRODUCT(MAX(ROW(E$1:E2963)*(E2=E$1:E2963))))))</f>
        <v> </v>
      </c>
      <c r="K2964" s="25" t="str">
        <f>IF(OR(E2964="",E2964="!!!",F2964="NEW"),"",INDEX(J$1:J2963,SUMPRODUCT(MAX(ROW(E$1:E2963)*(E2964=E$1:E2963)))))</f>
        <v> </v>
      </c>
      <c r="L2964" s="26"/>
    </row>
    <row r="2965" spans="1:12">
      <c r="A2965" s="20" t="s">
        <v>581</v>
      </c>
      <c r="E2965" s="21">
        <f>IF(D2965="?OLD","!!!","")</f>
        <v/>
      </c>
      <c r="F2965" s="22" t="str">
        <f>IF(OR(E2965="",E2965="!!!"),"",IF(NOT(ISNA(VLOOKUP(E2965,E$1:E2964,1,FALSE()))),"OLD",IF(AND(E2965&lt;&gt;"",E2965&lt;&gt;"!!!"),"NEW","")))</f>
        <v> </v>
      </c>
      <c r="G2965" s="23" t="str">
        <f>IF(OR(E2965="",E2965="!!!"),"",IF(OR(J2965=0,AND(J2965=1,K2965=1),AND(J2965=1,I2965="SBJ"),AND(J2965=1,I2965=0)),"?IN_FOCUS",IF(J2965&lt;=2,"?ACTIVATED",IF(J2965&lt;&gt;"","?FAMILIAR",IF(F2965="NEW",IF(ISNA(VLOOKUP(E2965,#REF!,1,FALSE())),"?TYPE_IDENTIFIABLE","?REFERENTIAL"),"_")))))</f>
        <v> </v>
      </c>
      <c r="H2965" s="24" t="str">
        <f>IF(J2965&lt;&gt;1,"",IF(I2965="SBJ","CB","?"))</f>
        <v> </v>
      </c>
      <c r="I2965" s="25" t="str">
        <f>IF(OR(E2965="",E2965="!!!",F2965="NEW"),"",INDEX(B2964:B$2,-1+SUMPRODUCT(MAX(ROW(E2964:E$2)*(E2965=E2964:E$2)))))</f>
        <v> </v>
      </c>
      <c r="J2965" s="25" t="str">
        <f>IF(OR(E2965="",E2965="!!!",F2965="NEW"),"",COUNTBLANK(OFFSET(A$1,,,SUMPRODUCT(MAX(ROW(E$2:E2965)*(E2965=E$2:E2965)))))-COUNTBLANK(OFFSET(A$1,,,SUMPRODUCT(MAX(ROW(E$1:E2964)*(E2=E$1:E2964))))))</f>
        <v> </v>
      </c>
      <c r="K2965" s="25" t="str">
        <f>IF(OR(E2965="",E2965="!!!",F2965="NEW"),"",INDEX(J$1:J2964,SUMPRODUCT(MAX(ROW(E$1:E2964)*(E2965=E$1:E2964)))))</f>
        <v> </v>
      </c>
      <c r="L2965" s="26"/>
    </row>
    <row r="2966" spans="1:12">
      <c r="A2966" s="20" t="s">
        <v>1454</v>
      </c>
      <c r="E2966" s="21">
        <f>IF(D2966="?OLD","!!!","")</f>
        <v/>
      </c>
      <c r="F2966" s="22" t="str">
        <f>IF(OR(E2966="",E2966="!!!"),"",IF(NOT(ISNA(VLOOKUP(E2966,E$1:E2965,1,FALSE()))),"OLD",IF(AND(E2966&lt;&gt;"",E2966&lt;&gt;"!!!"),"NEW","")))</f>
        <v> </v>
      </c>
      <c r="G2966" s="23" t="str">
        <f>IF(OR(E2966="",E2966="!!!"),"",IF(OR(J2966=0,AND(J2966=1,K2966=1),AND(J2966=1,I2966="SBJ"),AND(J2966=1,I2966=0)),"?IN_FOCUS",IF(J2966&lt;=2,"?ACTIVATED",IF(J2966&lt;&gt;"","?FAMILIAR",IF(F2966="NEW",IF(ISNA(VLOOKUP(E2966,#REF!,1,FALSE())),"?TYPE_IDENTIFIABLE","?REFERENTIAL"),"_")))))</f>
        <v> </v>
      </c>
      <c r="H2966" s="24" t="str">
        <f>IF(J2966&lt;&gt;1,"",IF(I2966="SBJ","CB","?"))</f>
        <v> </v>
      </c>
      <c r="I2966" s="25" t="str">
        <f>IF(OR(E2966="",E2966="!!!",F2966="NEW"),"",INDEX(B2965:B$2,-1+SUMPRODUCT(MAX(ROW(E2965:E$2)*(E2966=E2965:E$2)))))</f>
        <v> </v>
      </c>
      <c r="J2966" s="25" t="str">
        <f>IF(OR(E2966="",E2966="!!!",F2966="NEW"),"",COUNTBLANK(OFFSET(A$1,,,SUMPRODUCT(MAX(ROW(E$2:E2966)*(E2966=E$2:E2966)))))-COUNTBLANK(OFFSET(A$1,,,SUMPRODUCT(MAX(ROW(E$1:E2965)*(E2=E$1:E2965))))))</f>
        <v> </v>
      </c>
      <c r="K2966" s="25" t="str">
        <f>IF(OR(E2966="",E2966="!!!",F2966="NEW"),"",INDEX(J$1:J2965,SUMPRODUCT(MAX(ROW(E$1:E2965)*(E2966=E$1:E2965)))))</f>
        <v> </v>
      </c>
      <c r="L2966" s="26"/>
    </row>
    <row r="2967" spans="1:12">
      <c r="A2967" s="20" t="s">
        <v>1530</v>
      </c>
      <c r="B2967" s="27" t="s">
        <v>658</v>
      </c>
      <c r="C2967" s="27" t="s">
        <v>564</v>
      </c>
      <c r="E2967" s="21">
        <f>IF(D2967="?OLD","!!!","")</f>
        <v/>
      </c>
      <c r="F2967" s="22" t="str">
        <f>IF(OR(E2967="",E2967="!!!"),"",IF(NOT(ISNA(VLOOKUP(E2967,E$1:E2966,1,FALSE()))),"OLD",IF(AND(E2967&lt;&gt;"",E2967&lt;&gt;"!!!"),"NEW","")))</f>
        <v> </v>
      </c>
      <c r="G2967" s="23" t="str">
        <f>IF(OR(E2967="",E2967="!!!"),"",IF(OR(J2967=0,AND(J2967=1,K2967=1),AND(J2967=1,I2967="SBJ"),AND(J2967=1,I2967=0)),"?IN_FOCUS",IF(J2967&lt;=2,"?ACTIVATED",IF(J2967&lt;&gt;"","?FAMILIAR",IF(F2967="NEW",IF(ISNA(VLOOKUP(E2967,#REF!,1,FALSE())),"?TYPE_IDENTIFIABLE","?REFERENTIAL"),"_")))))</f>
        <v> </v>
      </c>
      <c r="H2967" s="24" t="str">
        <f>IF(J2967&lt;&gt;1,"",IF(I2967="SBJ","CB","?"))</f>
        <v> </v>
      </c>
      <c r="I2967" s="25" t="str">
        <f>IF(OR(E2967="",E2967="!!!",F2967="NEW"),"",INDEX(B2966:B$2,-1+SUMPRODUCT(MAX(ROW(E2966:E$2)*(E2967=E2966:E$2)))))</f>
        <v> </v>
      </c>
      <c r="J2967" s="25" t="str">
        <f>IF(OR(E2967="",E2967="!!!",F2967="NEW"),"",COUNTBLANK(OFFSET(A$1,,,SUMPRODUCT(MAX(ROW(E$2:E2967)*(E2967=E$2:E2967)))))-COUNTBLANK(OFFSET(A$1,,,SUMPRODUCT(MAX(ROW(E$1:E2966)*(E2=E$1:E2966))))))</f>
        <v> </v>
      </c>
      <c r="K2967" s="25" t="str">
        <f>IF(OR(E2967="",E2967="!!!",F2967="NEW"),"",INDEX(J$1:J2966,SUMPRODUCT(MAX(ROW(E$1:E2966)*(E2967=E$1:E2966)))))</f>
        <v> </v>
      </c>
      <c r="L2967" s="26"/>
    </row>
    <row r="2968" spans="1:12">
      <c r="A2968" s="20" t="s">
        <v>565</v>
      </c>
      <c r="E2968" s="21">
        <f>IF(D2968="?OLD","!!!","")</f>
        <v/>
      </c>
      <c r="F2968" s="22" t="str">
        <f>IF(OR(E2968="",E2968="!!!"),"",IF(NOT(ISNA(VLOOKUP(E2968,E$1:E2967,1,FALSE()))),"OLD",IF(AND(E2968&lt;&gt;"",E2968&lt;&gt;"!!!"),"NEW","")))</f>
        <v> </v>
      </c>
      <c r="G2968" s="23" t="str">
        <f>IF(OR(E2968="",E2968="!!!"),"",IF(OR(J2968=0,AND(J2968=1,K2968=1),AND(J2968=1,I2968="SBJ"),AND(J2968=1,I2968=0)),"?IN_FOCUS",IF(J2968&lt;=2,"?ACTIVATED",IF(J2968&lt;&gt;"","?FAMILIAR",IF(F2968="NEW",IF(ISNA(VLOOKUP(E2968,#REF!,1,FALSE())),"?TYPE_IDENTIFIABLE","?REFERENTIAL"),"_")))))</f>
        <v> </v>
      </c>
      <c r="H2968" s="24" t="str">
        <f>IF(J2968&lt;&gt;1,"",IF(I2968="SBJ","CB","?"))</f>
        <v> </v>
      </c>
      <c r="I2968" s="25" t="str">
        <f>IF(OR(E2968="",E2968="!!!",F2968="NEW"),"",INDEX(B2967:B$2,-1+SUMPRODUCT(MAX(ROW(E2967:E$2)*(E2968=E2967:E$2)))))</f>
        <v> </v>
      </c>
      <c r="J2968" s="25" t="str">
        <f>IF(OR(E2968="",E2968="!!!",F2968="NEW"),"",COUNTBLANK(OFFSET(A$1,,,SUMPRODUCT(MAX(ROW(E$2:E2968)*(E2968=E$2:E2968)))))-COUNTBLANK(OFFSET(A$1,,,SUMPRODUCT(MAX(ROW(E$1:E2967)*(E2=E$1:E2967))))))</f>
        <v> </v>
      </c>
      <c r="K2968" s="25" t="str">
        <f>IF(OR(E2968="",E2968="!!!",F2968="NEW"),"",INDEX(J$1:J2967,SUMPRODUCT(MAX(ROW(E$1:E2967)*(E2968=E$1:E2967)))))</f>
        <v> </v>
      </c>
      <c r="L2968" s="26"/>
    </row>
    <row r="2969" spans="1:12">
      <c r="A2969" s="20" t="s">
        <v>571</v>
      </c>
      <c r="E2969" s="21">
        <f>IF(D2969="?OLD","!!!","")</f>
        <v/>
      </c>
      <c r="F2969" s="22" t="str">
        <f>IF(OR(E2969="",E2969="!!!"),"",IF(NOT(ISNA(VLOOKUP(E2969,E$1:E2968,1,FALSE()))),"OLD",IF(AND(E2969&lt;&gt;"",E2969&lt;&gt;"!!!"),"NEW","")))</f>
        <v> </v>
      </c>
      <c r="G2969" s="23" t="str">
        <f>IF(OR(E2969="",E2969="!!!"),"",IF(OR(J2969=0,AND(J2969=1,K2969=1),AND(J2969=1,I2969="SBJ"),AND(J2969=1,I2969=0)),"?IN_FOCUS",IF(J2969&lt;=2,"?ACTIVATED",IF(J2969&lt;&gt;"","?FAMILIAR",IF(F2969="NEW",IF(ISNA(VLOOKUP(E2969,#REF!,1,FALSE())),"?TYPE_IDENTIFIABLE","?REFERENTIAL"),"_")))))</f>
        <v> </v>
      </c>
      <c r="H2969" s="24" t="str">
        <f>IF(J2969&lt;&gt;1,"",IF(I2969="SBJ","CB","?"))</f>
        <v> </v>
      </c>
      <c r="I2969" s="25" t="str">
        <f>IF(OR(E2969="",E2969="!!!",F2969="NEW"),"",INDEX(B2968:B$2,-1+SUMPRODUCT(MAX(ROW(E2968:E$2)*(E2969=E2968:E$2)))))</f>
        <v> </v>
      </c>
      <c r="J2969" s="25" t="str">
        <f>IF(OR(E2969="",E2969="!!!",F2969="NEW"),"",COUNTBLANK(OFFSET(A$1,,,SUMPRODUCT(MAX(ROW(E$2:E2969)*(E2969=E$2:E2969)))))-COUNTBLANK(OFFSET(A$1,,,SUMPRODUCT(MAX(ROW(E$1:E2968)*(E2=E$1:E2968))))))</f>
        <v> </v>
      </c>
      <c r="K2969" s="25" t="str">
        <f>IF(OR(E2969="",E2969="!!!",F2969="NEW"),"",INDEX(J$1:J2968,SUMPRODUCT(MAX(ROW(E$1:E2968)*(E2969=E$1:E2968)))))</f>
        <v> </v>
      </c>
      <c r="L2969" s="26"/>
    </row>
    <row r="2970" spans="1:12">
      <c r="A2970" s="20" t="s">
        <v>844</v>
      </c>
      <c r="B2970" s="27" t="s">
        <v>643</v>
      </c>
      <c r="C2970" s="27" t="s">
        <v>548</v>
      </c>
      <c r="D2970" s="27" t="s">
        <v>524</v>
      </c>
      <c r="E2970" s="21">
        <f>IF(D2970="?OLD","!!!","")</f>
        <v/>
      </c>
      <c r="F2970" s="22" t="str">
        <f>IF(OR(E2970="",E2970="!!!"),"",IF(NOT(ISNA(VLOOKUP(E2970,E$1:E2969,1,FALSE()))),"OLD",IF(AND(E2970&lt;&gt;"",E2970&lt;&gt;"!!!"),"NEW","")))</f>
        <v> </v>
      </c>
      <c r="G2970" s="23" t="str">
        <f>IF(OR(E2970="",E2970="!!!"),"",IF(OR(J2970=0,AND(J2970=1,K2970=1),AND(J2970=1,I2970="SBJ"),AND(J2970=1,I2970=0)),"?IN_FOCUS",IF(J2970&lt;=2,"?ACTIVATED",IF(J2970&lt;&gt;"","?FAMILIAR",IF(F2970="NEW",IF(ISNA(VLOOKUP(E2970,#REF!,1,FALSE())),"?TYPE_IDENTIFIABLE","?REFERENTIAL"),"_")))))</f>
        <v> </v>
      </c>
      <c r="H2970" s="24" t="str">
        <f>IF(J2970&lt;&gt;1,"",IF(I2970="SBJ","CB","?"))</f>
        <v> </v>
      </c>
      <c r="I2970" s="25" t="str">
        <f>IF(OR(E2970="",E2970="!!!",F2970="NEW"),"",INDEX(B2969:B$2,-1+SUMPRODUCT(MAX(ROW(E2969:E$2)*(E2970=E2969:E$2)))))</f>
        <v> </v>
      </c>
      <c r="J2970" s="25" t="str">
        <f>IF(OR(E2970="",E2970="!!!",F2970="NEW"),"",COUNTBLANK(OFFSET(A$1,,,SUMPRODUCT(MAX(ROW(E$2:E2970)*(E2970=E$2:E2970)))))-COUNTBLANK(OFFSET(A$1,,,SUMPRODUCT(MAX(ROW(E$1:E2969)*(E2=E$1:E2969))))))</f>
        <v> </v>
      </c>
      <c r="K2970" s="25" t="str">
        <f>IF(OR(E2970="",E2970="!!!",F2970="NEW"),"",INDEX(J$1:J2969,SUMPRODUCT(MAX(ROW(E$1:E2969)*(E2970=E$1:E2969)))))</f>
        <v> </v>
      </c>
      <c r="L2970" s="26"/>
    </row>
    <row r="2971" spans="1:12">
      <c r="A2971" s="20" t="s">
        <v>1438</v>
      </c>
      <c r="B2971" s="27" t="s">
        <v>618</v>
      </c>
      <c r="C2971" s="27" t="s">
        <v>548</v>
      </c>
      <c r="D2971" s="27" t="s">
        <v>524</v>
      </c>
      <c r="E2971" s="21">
        <f>IF(D2971="?OLD","!!!","")</f>
        <v/>
      </c>
      <c r="F2971" s="22" t="str">
        <f>IF(OR(E2971="",E2971="!!!"),"",IF(NOT(ISNA(VLOOKUP(E2971,E$1:E2970,1,FALSE()))),"OLD",IF(AND(E2971&lt;&gt;"",E2971&lt;&gt;"!!!"),"NEW","")))</f>
        <v> </v>
      </c>
      <c r="G2971" s="23" t="str">
        <f>IF(OR(E2971="",E2971="!!!"),"",IF(OR(J2971=0,AND(J2971=1,K2971=1),AND(J2971=1,I2971="SBJ"),AND(J2971=1,I2971=0)),"?IN_FOCUS",IF(J2971&lt;=2,"?ACTIVATED",IF(J2971&lt;&gt;"","?FAMILIAR",IF(F2971="NEW",IF(ISNA(VLOOKUP(E2971,#REF!,1,FALSE())),"?TYPE_IDENTIFIABLE","?REFERENTIAL"),"_")))))</f>
        <v> </v>
      </c>
      <c r="H2971" s="24" t="str">
        <f>IF(J2971&lt;&gt;1,"",IF(I2971="SBJ","CB","?"))</f>
        <v> </v>
      </c>
      <c r="I2971" s="25" t="str">
        <f>IF(OR(E2971="",E2971="!!!",F2971="NEW"),"",INDEX(B2970:B$2,-1+SUMPRODUCT(MAX(ROW(E2970:E$2)*(E2971=E2970:E$2)))))</f>
        <v> </v>
      </c>
      <c r="J2971" s="25" t="str">
        <f>IF(OR(E2971="",E2971="!!!",F2971="NEW"),"",COUNTBLANK(OFFSET(A$1,,,SUMPRODUCT(MAX(ROW(E$2:E2971)*(E2971=E$2:E2971)))))-COUNTBLANK(OFFSET(A$1,,,SUMPRODUCT(MAX(ROW(E$1:E2970)*(E2=E$1:E2970))))))</f>
        <v> </v>
      </c>
      <c r="K2971" s="25" t="str">
        <f>IF(OR(E2971="",E2971="!!!",F2971="NEW"),"",INDEX(J$1:J2970,SUMPRODUCT(MAX(ROW(E$1:E2970)*(E2971=E$1:E2970)))))</f>
        <v> </v>
      </c>
      <c r="L2971" s="26"/>
    </row>
    <row r="2972" spans="1:12">
      <c r="A2972" s="20" t="s">
        <v>1531</v>
      </c>
      <c r="E2972" s="21">
        <f>IF(D2972="?OLD","!!!","")</f>
        <v/>
      </c>
      <c r="F2972" s="22" t="str">
        <f>IF(OR(E2972="",E2972="!!!"),"",IF(NOT(ISNA(VLOOKUP(E2972,E$1:E2971,1,FALSE()))),"OLD",IF(AND(E2972&lt;&gt;"",E2972&lt;&gt;"!!!"),"NEW","")))</f>
        <v> </v>
      </c>
      <c r="G2972" s="23" t="str">
        <f>IF(OR(E2972="",E2972="!!!"),"",IF(OR(J2972=0,AND(J2972=1,K2972=1),AND(J2972=1,I2972="SBJ"),AND(J2972=1,I2972=0)),"?IN_FOCUS",IF(J2972&lt;=2,"?ACTIVATED",IF(J2972&lt;&gt;"","?FAMILIAR",IF(F2972="NEW",IF(ISNA(VLOOKUP(E2972,#REF!,1,FALSE())),"?TYPE_IDENTIFIABLE","?REFERENTIAL"),"_")))))</f>
        <v> </v>
      </c>
      <c r="H2972" s="24" t="str">
        <f>IF(J2972&lt;&gt;1,"",IF(I2972="SBJ","CB","?"))</f>
        <v> </v>
      </c>
      <c r="I2972" s="25" t="str">
        <f>IF(OR(E2972="",E2972="!!!",F2972="NEW"),"",INDEX(B2971:B$2,-1+SUMPRODUCT(MAX(ROW(E2971:E$2)*(E2972=E2971:E$2)))))</f>
        <v> </v>
      </c>
      <c r="J2972" s="25" t="str">
        <f>IF(OR(E2972="",E2972="!!!",F2972="NEW"),"",COUNTBLANK(OFFSET(A$1,,,SUMPRODUCT(MAX(ROW(E$2:E2972)*(E2972=E$2:E2972)))))-COUNTBLANK(OFFSET(A$1,,,SUMPRODUCT(MAX(ROW(E$1:E2971)*(E2=E$1:E2971))))))</f>
        <v> </v>
      </c>
      <c r="K2972" s="25" t="str">
        <f>IF(OR(E2972="",E2972="!!!",F2972="NEW"),"",INDEX(J$1:J2971,SUMPRODUCT(MAX(ROW(E$1:E2971)*(E2972=E$1:E2971)))))</f>
        <v> </v>
      </c>
      <c r="L2972" s="26"/>
    </row>
    <row r="2973" spans="1:12">
      <c r="A2973" s="20" t="s">
        <v>542</v>
      </c>
      <c r="E2973" s="21">
        <f>IF(D2973="?OLD","!!!","")</f>
        <v/>
      </c>
      <c r="F2973" s="22" t="str">
        <f>IF(OR(E2973="",E2973="!!!"),"",IF(NOT(ISNA(VLOOKUP(E2973,E$1:E2972,1,FALSE()))),"OLD",IF(AND(E2973&lt;&gt;"",E2973&lt;&gt;"!!!"),"NEW","")))</f>
        <v> </v>
      </c>
      <c r="G2973" s="23" t="str">
        <f>IF(OR(E2973="",E2973="!!!"),"",IF(OR(J2973=0,AND(J2973=1,K2973=1),AND(J2973=1,I2973="SBJ"),AND(J2973=1,I2973=0)),"?IN_FOCUS",IF(J2973&lt;=2,"?ACTIVATED",IF(J2973&lt;&gt;"","?FAMILIAR",IF(F2973="NEW",IF(ISNA(VLOOKUP(E2973,#REF!,1,FALSE())),"?TYPE_IDENTIFIABLE","?REFERENTIAL"),"_")))))</f>
        <v> </v>
      </c>
      <c r="H2973" s="24" t="str">
        <f>IF(J2973&lt;&gt;1,"",IF(I2973="SBJ","CB","?"))</f>
        <v> </v>
      </c>
      <c r="I2973" s="25" t="str">
        <f>IF(OR(E2973="",E2973="!!!",F2973="NEW"),"",INDEX(B2972:B$2,-1+SUMPRODUCT(MAX(ROW(E2972:E$2)*(E2973=E2972:E$2)))))</f>
        <v> </v>
      </c>
      <c r="J2973" s="25" t="str">
        <f>IF(OR(E2973="",E2973="!!!",F2973="NEW"),"",COUNTBLANK(OFFSET(A$1,,,SUMPRODUCT(MAX(ROW(E$2:E2973)*(E2973=E$2:E2973)))))-COUNTBLANK(OFFSET(A$1,,,SUMPRODUCT(MAX(ROW(E$1:E2972)*(E2=E$1:E2972))))))</f>
        <v> </v>
      </c>
      <c r="K2973" s="25" t="str">
        <f>IF(OR(E2973="",E2973="!!!",F2973="NEW"),"",INDEX(J$1:J2972,SUMPRODUCT(MAX(ROW(E$1:E2972)*(E2973=E$1:E2972)))))</f>
        <v> </v>
      </c>
      <c r="L2973" s="26"/>
    </row>
    <row r="2974" spans="1:12">
      <c r="A2974" s="20" t="s">
        <v>968</v>
      </c>
      <c r="B2974" s="27" t="s">
        <v>618</v>
      </c>
      <c r="C2974" s="27" t="s">
        <v>669</v>
      </c>
      <c r="D2974" s="27" t="s">
        <v>524</v>
      </c>
      <c r="E2974" s="21">
        <f>IF(D2974="?OLD","!!!","")</f>
        <v/>
      </c>
      <c r="F2974" s="22" t="str">
        <f>IF(OR(E2974="",E2974="!!!"),"",IF(NOT(ISNA(VLOOKUP(E2974,E$1:E2973,1,FALSE()))),"OLD",IF(AND(E2974&lt;&gt;"",E2974&lt;&gt;"!!!"),"NEW","")))</f>
        <v> </v>
      </c>
      <c r="G2974" s="23" t="str">
        <f>IF(OR(E2974="",E2974="!!!"),"",IF(OR(J2974=0,AND(J2974=1,K2974=1),AND(J2974=1,I2974="SBJ"),AND(J2974=1,I2974=0)),"?IN_FOCUS",IF(J2974&lt;=2,"?ACTIVATED",IF(J2974&lt;&gt;"","?FAMILIAR",IF(F2974="NEW",IF(ISNA(VLOOKUP(E2974,#REF!,1,FALSE())),"?TYPE_IDENTIFIABLE","?REFERENTIAL"),"_")))))</f>
        <v> </v>
      </c>
      <c r="H2974" s="24" t="str">
        <f>IF(J2974&lt;&gt;1,"",IF(I2974="SBJ","CB","?"))</f>
        <v> </v>
      </c>
      <c r="I2974" s="25" t="str">
        <f>IF(OR(E2974="",E2974="!!!",F2974="NEW"),"",INDEX(B2973:B$2,-1+SUMPRODUCT(MAX(ROW(E2973:E$2)*(E2974=E2973:E$2)))))</f>
        <v> </v>
      </c>
      <c r="J2974" s="25" t="str">
        <f>IF(OR(E2974="",E2974="!!!",F2974="NEW"),"",COUNTBLANK(OFFSET(A$1,,,SUMPRODUCT(MAX(ROW(E$2:E2974)*(E2974=E$2:E2974)))))-COUNTBLANK(OFFSET(A$1,,,SUMPRODUCT(MAX(ROW(E$1:E2973)*(E2=E$1:E2973))))))</f>
        <v> </v>
      </c>
      <c r="K2974" s="25" t="str">
        <f>IF(OR(E2974="",E2974="!!!",F2974="NEW"),"",INDEX(J$1:J2973,SUMPRODUCT(MAX(ROW(E$1:E2973)*(E2974=E$1:E2973)))))</f>
        <v> </v>
      </c>
      <c r="L2974" s="26"/>
    </row>
    <row r="2975" spans="1:12">
      <c r="A2975" s="20" t="s">
        <v>1038</v>
      </c>
      <c r="B2975" s="27" t="s">
        <v>583</v>
      </c>
      <c r="C2975" s="27" t="s">
        <v>545</v>
      </c>
      <c r="D2975" s="27" t="s">
        <v>524</v>
      </c>
      <c r="E2975" s="21">
        <f>IF(D2975="?OLD","!!!","")</f>
        <v/>
      </c>
      <c r="F2975" s="22" t="str">
        <f>IF(OR(E2975="",E2975="!!!"),"",IF(NOT(ISNA(VLOOKUP(E2975,E$1:E2974,1,FALSE()))),"OLD",IF(AND(E2975&lt;&gt;"",E2975&lt;&gt;"!!!"),"NEW","")))</f>
        <v> </v>
      </c>
      <c r="G2975" s="23" t="str">
        <f>IF(OR(E2975="",E2975="!!!"),"",IF(OR(J2975=0,AND(J2975=1,K2975=1),AND(J2975=1,I2975="SBJ"),AND(J2975=1,I2975=0)),"?IN_FOCUS",IF(J2975&lt;=2,"?ACTIVATED",IF(J2975&lt;&gt;"","?FAMILIAR",IF(F2975="NEW",IF(ISNA(VLOOKUP(E2975,#REF!,1,FALSE())),"?TYPE_IDENTIFIABLE","?REFERENTIAL"),"_")))))</f>
        <v> </v>
      </c>
      <c r="H2975" s="24" t="str">
        <f>IF(J2975&lt;&gt;1,"",IF(I2975="SBJ","CB","?"))</f>
        <v> </v>
      </c>
      <c r="I2975" s="25" t="str">
        <f>IF(OR(E2975="",E2975="!!!",F2975="NEW"),"",INDEX(B2974:B$2,-1+SUMPRODUCT(MAX(ROW(E2974:E$2)*(E2975=E2974:E$2)))))</f>
        <v> </v>
      </c>
      <c r="J2975" s="25" t="str">
        <f>IF(OR(E2975="",E2975="!!!",F2975="NEW"),"",COUNTBLANK(OFFSET(A$1,,,SUMPRODUCT(MAX(ROW(E$2:E2975)*(E2975=E$2:E2975)))))-COUNTBLANK(OFFSET(A$1,,,SUMPRODUCT(MAX(ROW(E$1:E2974)*(E2=E$1:E2974))))))</f>
        <v> </v>
      </c>
      <c r="K2975" s="25" t="str">
        <f>IF(OR(E2975="",E2975="!!!",F2975="NEW"),"",INDEX(J$1:J2974,SUMPRODUCT(MAX(ROW(E$1:E2974)*(E2975=E$1:E2974)))))</f>
        <v> </v>
      </c>
      <c r="L2975" s="26"/>
    </row>
    <row r="2976" spans="1:12">
      <c r="A2976" s="20" t="s">
        <v>518</v>
      </c>
      <c r="E2976" s="21">
        <f>IF(D2976="?OLD","!!!","")</f>
        <v/>
      </c>
      <c r="F2976" s="22" t="str">
        <f>IF(OR(E2976="",E2976="!!!"),"",IF(NOT(ISNA(VLOOKUP(E2976,E$1:E2975,1,FALSE()))),"OLD",IF(AND(E2976&lt;&gt;"",E2976&lt;&gt;"!!!"),"NEW","")))</f>
        <v> </v>
      </c>
      <c r="G2976" s="23" t="str">
        <f>IF(OR(E2976="",E2976="!!!"),"",IF(OR(J2976=0,AND(J2976=1,K2976=1),AND(J2976=1,I2976="SBJ"),AND(J2976=1,I2976=0)),"?IN_FOCUS",IF(J2976&lt;=2,"?ACTIVATED",IF(J2976&lt;&gt;"","?FAMILIAR",IF(F2976="NEW",IF(ISNA(VLOOKUP(E2976,#REF!,1,FALSE())),"?TYPE_IDENTIFIABLE","?REFERENTIAL"),"_")))))</f>
        <v> </v>
      </c>
      <c r="H2976" s="24" t="str">
        <f>IF(J2976&lt;&gt;1,"",IF(I2976="SBJ","CB","?"))</f>
        <v> </v>
      </c>
      <c r="I2976" s="25" t="str">
        <f>IF(OR(E2976="",E2976="!!!",F2976="NEW"),"",INDEX(B2975:B$2,-1+SUMPRODUCT(MAX(ROW(E2975:E$2)*(E2976=E2975:E$2)))))</f>
        <v> </v>
      </c>
      <c r="J2976" s="25" t="str">
        <f>IF(OR(E2976="",E2976="!!!",F2976="NEW"),"",COUNTBLANK(OFFSET(A$1,,,SUMPRODUCT(MAX(ROW(E$2:E2976)*(E2976=E$2:E2976)))))-COUNTBLANK(OFFSET(A$1,,,SUMPRODUCT(MAX(ROW(E$1:E2975)*(E2=E$1:E2975))))))</f>
        <v> </v>
      </c>
      <c r="K2976" s="25" t="str">
        <f>IF(OR(E2976="",E2976="!!!",F2976="NEW"),"",INDEX(J$1:J2975,SUMPRODUCT(MAX(ROW(E$1:E2975)*(E2976=E$1:E2975)))))</f>
        <v> </v>
      </c>
      <c r="L2976" s="26"/>
    </row>
    <row r="2977" spans="1:12">
      <c r="A2977" s="20" t="s">
        <v>36</v>
      </c>
      <c r="E2977" s="21">
        <f>IF(D2977="?OLD","!!!","")</f>
        <v/>
      </c>
      <c r="F2977" s="22" t="str">
        <f>IF(OR(E2977="",E2977="!!!"),"",IF(NOT(ISNA(VLOOKUP(E2977,E$1:E2976,1,FALSE()))),"OLD",IF(AND(E2977&lt;&gt;"",E2977&lt;&gt;"!!!"),"NEW","")))</f>
        <v> </v>
      </c>
      <c r="G2977" s="23" t="str">
        <f>IF(OR(E2977="",E2977="!!!"),"",IF(OR(J2977=0,AND(J2977=1,K2977=1),AND(J2977=1,I2977="SBJ"),AND(J2977=1,I2977=0)),"?IN_FOCUS",IF(J2977&lt;=2,"?ACTIVATED",IF(J2977&lt;&gt;"","?FAMILIAR",IF(F2977="NEW",IF(ISNA(VLOOKUP(E2977,#REF!,1,FALSE())),"?TYPE_IDENTIFIABLE","?REFERENTIAL"),"_")))))</f>
        <v> </v>
      </c>
      <c r="H2977" s="24" t="str">
        <f>IF(J2977&lt;&gt;1,"",IF(I2977="SBJ","CB","?"))</f>
        <v> </v>
      </c>
      <c r="I2977" s="25" t="str">
        <f>IF(OR(E2977="",E2977="!!!",F2977="NEW"),"",INDEX(B2976:B$2,-1+SUMPRODUCT(MAX(ROW(E2976:E$2)*(E2977=E2976:E$2)))))</f>
        <v> </v>
      </c>
      <c r="J2977" s="25" t="str">
        <f>IF(OR(E2977="",E2977="!!!",F2977="NEW"),"",COUNTBLANK(OFFSET(A$1,,,SUMPRODUCT(MAX(ROW(E$2:E2977)*(E2977=E$2:E2977)))))-COUNTBLANK(OFFSET(A$1,,,SUMPRODUCT(MAX(ROW(E$1:E2976)*(E2=E$1:E2976))))))</f>
        <v> </v>
      </c>
      <c r="K2977" s="25" t="str">
        <f>IF(OR(E2977="",E2977="!!!",F2977="NEW"),"",INDEX(J$1:J2976,SUMPRODUCT(MAX(ROW(E$1:E2976)*(E2977=E$1:E2976)))))</f>
        <v> </v>
      </c>
      <c r="L2977" s="26"/>
    </row>
    <row r="2978" spans="1:12">
      <c r="A2978" s="20" t="s">
        <v>549</v>
      </c>
      <c r="E2978" s="21">
        <f>IF(D2978="?OLD","!!!","")</f>
        <v/>
      </c>
      <c r="F2978" s="22" t="str">
        <f>IF(OR(E2978="",E2978="!!!"),"",IF(NOT(ISNA(VLOOKUP(E2978,E$1:E2977,1,FALSE()))),"OLD",IF(AND(E2978&lt;&gt;"",E2978&lt;&gt;"!!!"),"NEW","")))</f>
        <v> </v>
      </c>
      <c r="G2978" s="23" t="str">
        <f>IF(OR(E2978="",E2978="!!!"),"",IF(OR(J2978=0,AND(J2978=1,K2978=1),AND(J2978=1,I2978="SBJ"),AND(J2978=1,I2978=0)),"?IN_FOCUS",IF(J2978&lt;=2,"?ACTIVATED",IF(J2978&lt;&gt;"","?FAMILIAR",IF(F2978="NEW",IF(ISNA(VLOOKUP(E2978,#REF!,1,FALSE())),"?TYPE_IDENTIFIABLE","?REFERENTIAL"),"_")))))</f>
        <v> </v>
      </c>
      <c r="H2978" s="24" t="str">
        <f>IF(J2978&lt;&gt;1,"",IF(I2978="SBJ","CB","?"))</f>
        <v> </v>
      </c>
      <c r="I2978" s="25" t="str">
        <f>IF(OR(E2978="",E2978="!!!",F2978="NEW"),"",INDEX(B2977:B$2,-1+SUMPRODUCT(MAX(ROW(E2977:E$2)*(E2978=E2977:E$2)))))</f>
        <v> </v>
      </c>
      <c r="J2978" s="25" t="str">
        <f>IF(OR(E2978="",E2978="!!!",F2978="NEW"),"",COUNTBLANK(OFFSET(A$1,,,SUMPRODUCT(MAX(ROW(E$2:E2978)*(E2978=E$2:E2978)))))-COUNTBLANK(OFFSET(A$1,,,SUMPRODUCT(MAX(ROW(E$1:E2977)*(E2=E$1:E2977))))))</f>
        <v> </v>
      </c>
      <c r="K2978" s="25" t="str">
        <f>IF(OR(E2978="",E2978="!!!",F2978="NEW"),"",INDEX(J$1:J2977,SUMPRODUCT(MAX(ROW(E$1:E2977)*(E2978=E$1:E2977)))))</f>
        <v> </v>
      </c>
      <c r="L2978" s="26"/>
    </row>
    <row r="2979" spans="1:12">
      <c r="A2979" s="20"/>
    </row>
    <row r="2980" spans="1:12">
      <c r="A2980" s="20" t="s">
        <v>1532</v>
      </c>
    </row>
    <row r="2981" spans="1:12">
      <c r="A2981" s="20" t="s">
        <v>1533</v>
      </c>
      <c r="E2981" s="21">
        <f>IF(D2981="?OLD","!!!","")</f>
        <v/>
      </c>
      <c r="F2981" s="22" t="str">
        <f>IF(OR(E2981="",E2981="!!!"),"",IF(NOT(ISNA(VLOOKUP(E2981,E$1:E2980,1,FALSE()))),"OLD",IF(AND(E2981&lt;&gt;"",E2981&lt;&gt;"!!!"),"NEW","")))</f>
        <v> </v>
      </c>
      <c r="G2981" s="23" t="str">
        <f>IF(OR(E2981="",E2981="!!!"),"",IF(OR(J2981=0,AND(J2981=1,K2981=1),AND(J2981=1,I2981="SBJ"),AND(J2981=1,I2981=0)),"?IN_FOCUS",IF(J2981&lt;=2,"?ACTIVATED",IF(J2981&lt;&gt;"","?FAMILIAR",IF(F2981="NEW",IF(ISNA(VLOOKUP(E2981,#REF!,1,FALSE())),"?TYPE_IDENTIFIABLE","?REFERENTIAL"),"_")))))</f>
        <v> </v>
      </c>
      <c r="H2981" s="24" t="str">
        <f>IF(J2981&lt;&gt;1,"",IF(I2981="SBJ","CB","?"))</f>
        <v> </v>
      </c>
      <c r="I2981" s="25" t="str">
        <f>IF(OR(E2981="",E2981="!!!",F2981="NEW"),"",INDEX(B2980:B$2,-1+SUMPRODUCT(MAX(ROW(E2980:E$2)*(E2981=E2980:E$2)))))</f>
        <v> </v>
      </c>
      <c r="J2981" s="25" t="str">
        <f>IF(OR(E2981="",E2981="!!!",F2981="NEW"),"",COUNTBLANK(OFFSET(A$1,,,SUMPRODUCT(MAX(ROW(E$2:E2981)*(E2981=E$2:E2981)))))-COUNTBLANK(OFFSET(A$1,,,SUMPRODUCT(MAX(ROW(E$1:E2980)*(E2=E$1:E2980))))))</f>
        <v> </v>
      </c>
      <c r="K2981" s="25" t="str">
        <f>IF(OR(E2981="",E2981="!!!",F2981="NEW"),"",INDEX(J$1:J2980,SUMPRODUCT(MAX(ROW(E$1:E2980)*(E2981=E$1:E2980)))))</f>
        <v> </v>
      </c>
      <c r="L2981" s="26"/>
    </row>
    <row r="2982" spans="1:12">
      <c r="A2982" s="20" t="s">
        <v>528</v>
      </c>
      <c r="E2982" s="21">
        <f>IF(D2982="?OLD","!!!","")</f>
        <v/>
      </c>
      <c r="F2982" s="22" t="str">
        <f>IF(OR(E2982="",E2982="!!!"),"",IF(NOT(ISNA(VLOOKUP(E2982,E$1:E2981,1,FALSE()))),"OLD",IF(AND(E2982&lt;&gt;"",E2982&lt;&gt;"!!!"),"NEW","")))</f>
        <v> </v>
      </c>
      <c r="G2982" s="23" t="str">
        <f>IF(OR(E2982="",E2982="!!!"),"",IF(OR(J2982=0,AND(J2982=1,K2982=1),AND(J2982=1,I2982="SBJ"),AND(J2982=1,I2982=0)),"?IN_FOCUS",IF(J2982&lt;=2,"?ACTIVATED",IF(J2982&lt;&gt;"","?FAMILIAR",IF(F2982="NEW",IF(ISNA(VLOOKUP(E2982,#REF!,1,FALSE())),"?TYPE_IDENTIFIABLE","?REFERENTIAL"),"_")))))</f>
        <v> </v>
      </c>
      <c r="H2982" s="24" t="str">
        <f>IF(J2982&lt;&gt;1,"",IF(I2982="SBJ","CB","?"))</f>
        <v> </v>
      </c>
      <c r="I2982" s="25" t="str">
        <f>IF(OR(E2982="",E2982="!!!",F2982="NEW"),"",INDEX(B2981:B$2,-1+SUMPRODUCT(MAX(ROW(E2981:E$2)*(E2982=E2981:E$2)))))</f>
        <v> </v>
      </c>
      <c r="J2982" s="25" t="str">
        <f>IF(OR(E2982="",E2982="!!!",F2982="NEW"),"",COUNTBLANK(OFFSET(A$1,,,SUMPRODUCT(MAX(ROW(E$2:E2982)*(E2982=E$2:E2982)))))-COUNTBLANK(OFFSET(A$1,,,SUMPRODUCT(MAX(ROW(E$1:E2981)*(E2=E$1:E2981))))))</f>
        <v> </v>
      </c>
      <c r="K2982" s="25" t="str">
        <f>IF(OR(E2982="",E2982="!!!",F2982="NEW"),"",INDEX(J$1:J2981,SUMPRODUCT(MAX(ROW(E$1:E2981)*(E2982=E$1:E2981)))))</f>
        <v> </v>
      </c>
      <c r="L2982" s="26"/>
    </row>
    <row r="2983" spans="1:12">
      <c r="A2983" s="20" t="s">
        <v>531</v>
      </c>
      <c r="E2983" s="21">
        <f>IF(D2983="?OLD","!!!","")</f>
        <v/>
      </c>
      <c r="F2983" s="22" t="str">
        <f>IF(OR(E2983="",E2983="!!!"),"",IF(NOT(ISNA(VLOOKUP(E2983,E$1:E2982,1,FALSE()))),"OLD",IF(AND(E2983&lt;&gt;"",E2983&lt;&gt;"!!!"),"NEW","")))</f>
        <v> </v>
      </c>
      <c r="G2983" s="23" t="str">
        <f>IF(OR(E2983="",E2983="!!!"),"",IF(OR(J2983=0,AND(J2983=1,K2983=1),AND(J2983=1,I2983="SBJ"),AND(J2983=1,I2983=0)),"?IN_FOCUS",IF(J2983&lt;=2,"?ACTIVATED",IF(J2983&lt;&gt;"","?FAMILIAR",IF(F2983="NEW",IF(ISNA(VLOOKUP(E2983,#REF!,1,FALSE())),"?TYPE_IDENTIFIABLE","?REFERENTIAL"),"_")))))</f>
        <v> </v>
      </c>
      <c r="H2983" s="24" t="str">
        <f>IF(J2983&lt;&gt;1,"",IF(I2983="SBJ","CB","?"))</f>
        <v> </v>
      </c>
      <c r="I2983" s="25" t="str">
        <f>IF(OR(E2983="",E2983="!!!",F2983="NEW"),"",INDEX(B2982:B$2,-1+SUMPRODUCT(MAX(ROW(E2982:E$2)*(E2983=E2982:E$2)))))</f>
        <v> </v>
      </c>
      <c r="J2983" s="25" t="str">
        <f>IF(OR(E2983="",E2983="!!!",F2983="NEW"),"",COUNTBLANK(OFFSET(A$1,,,SUMPRODUCT(MAX(ROW(E$2:E2983)*(E2983=E$2:E2983)))))-COUNTBLANK(OFFSET(A$1,,,SUMPRODUCT(MAX(ROW(E$1:E2982)*(E2=E$1:E2982))))))</f>
        <v> </v>
      </c>
      <c r="K2983" s="25" t="str">
        <f>IF(OR(E2983="",E2983="!!!",F2983="NEW"),"",INDEX(J$1:J2982,SUMPRODUCT(MAX(ROW(E$1:E2982)*(E2983=E$1:E2982)))))</f>
        <v> </v>
      </c>
      <c r="L2983" s="26"/>
    </row>
    <row r="2984" spans="1:12">
      <c r="A2984" s="20" t="s">
        <v>525</v>
      </c>
      <c r="E2984" s="21">
        <f>IF(D2984="?OLD","!!!","")</f>
        <v/>
      </c>
      <c r="F2984" s="22" t="str">
        <f>IF(OR(E2984="",E2984="!!!"),"",IF(NOT(ISNA(VLOOKUP(E2984,E$1:E2983,1,FALSE()))),"OLD",IF(AND(E2984&lt;&gt;"",E2984&lt;&gt;"!!!"),"NEW","")))</f>
        <v> </v>
      </c>
      <c r="G2984" s="23" t="str">
        <f>IF(OR(E2984="",E2984="!!!"),"",IF(OR(J2984=0,AND(J2984=1,K2984=1),AND(J2984=1,I2984="SBJ"),AND(J2984=1,I2984=0)),"?IN_FOCUS",IF(J2984&lt;=2,"?ACTIVATED",IF(J2984&lt;&gt;"","?FAMILIAR",IF(F2984="NEW",IF(ISNA(VLOOKUP(E2984,#REF!,1,FALSE())),"?TYPE_IDENTIFIABLE","?REFERENTIAL"),"_")))))</f>
        <v> </v>
      </c>
      <c r="H2984" s="24" t="str">
        <f>IF(J2984&lt;&gt;1,"",IF(I2984="SBJ","CB","?"))</f>
        <v> </v>
      </c>
      <c r="I2984" s="25" t="str">
        <f>IF(OR(E2984="",E2984="!!!",F2984="NEW"),"",INDEX(B2983:B$2,-1+SUMPRODUCT(MAX(ROW(E2983:E$2)*(E2984=E2983:E$2)))))</f>
        <v> </v>
      </c>
      <c r="J2984" s="25" t="str">
        <f>IF(OR(E2984="",E2984="!!!",F2984="NEW"),"",COUNTBLANK(OFFSET(A$1,,,SUMPRODUCT(MAX(ROW(E$2:E2984)*(E2984=E$2:E2984)))))-COUNTBLANK(OFFSET(A$1,,,SUMPRODUCT(MAX(ROW(E$1:E2983)*(E2=E$1:E2983))))))</f>
        <v> </v>
      </c>
      <c r="K2984" s="25" t="str">
        <f>IF(OR(E2984="",E2984="!!!",F2984="NEW"),"",INDEX(J$1:J2983,SUMPRODUCT(MAX(ROW(E$1:E2983)*(E2984=E$1:E2983)))))</f>
        <v> </v>
      </c>
      <c r="L2984" s="26"/>
    </row>
    <row r="2985" spans="1:12">
      <c r="A2985" s="20" t="s">
        <v>1154</v>
      </c>
      <c r="B2985" s="27" t="s">
        <v>522</v>
      </c>
      <c r="C2985" s="27" t="s">
        <v>540</v>
      </c>
      <c r="D2985" s="27" t="s">
        <v>524</v>
      </c>
      <c r="E2985" s="21">
        <f>IF(D2985="?OLD","!!!","")</f>
        <v/>
      </c>
      <c r="F2985" s="22" t="str">
        <f>IF(OR(E2985="",E2985="!!!"),"",IF(NOT(ISNA(VLOOKUP(E2985,E$1:E2984,1,FALSE()))),"OLD",IF(AND(E2985&lt;&gt;"",E2985&lt;&gt;"!!!"),"NEW","")))</f>
        <v> </v>
      </c>
      <c r="G2985" s="23" t="str">
        <f>IF(OR(E2985="",E2985="!!!"),"",IF(OR(J2985=0,AND(J2985=1,K2985=1),AND(J2985=1,I2985="SBJ"),AND(J2985=1,I2985=0)),"?IN_FOCUS",IF(J2985&lt;=2,"?ACTIVATED",IF(J2985&lt;&gt;"","?FAMILIAR",IF(F2985="NEW",IF(ISNA(VLOOKUP(E2985,#REF!,1,FALSE())),"?TYPE_IDENTIFIABLE","?REFERENTIAL"),"_")))))</f>
        <v> </v>
      </c>
      <c r="H2985" s="24" t="str">
        <f>IF(J2985&lt;&gt;1,"",IF(I2985="SBJ","CB","?"))</f>
        <v> </v>
      </c>
      <c r="I2985" s="25" t="str">
        <f>IF(OR(E2985="",E2985="!!!",F2985="NEW"),"",INDEX(B2984:B$2,-1+SUMPRODUCT(MAX(ROW(E2984:E$2)*(E2985=E2984:E$2)))))</f>
        <v> </v>
      </c>
      <c r="J2985" s="25" t="str">
        <f>IF(OR(E2985="",E2985="!!!",F2985="NEW"),"",COUNTBLANK(OFFSET(A$1,,,SUMPRODUCT(MAX(ROW(E$2:E2985)*(E2985=E$2:E2985)))))-COUNTBLANK(OFFSET(A$1,,,SUMPRODUCT(MAX(ROW(E$1:E2984)*(E2=E$1:E2984))))))</f>
        <v> </v>
      </c>
      <c r="K2985" s="25" t="str">
        <f>IF(OR(E2985="",E2985="!!!",F2985="NEW"),"",INDEX(J$1:J2984,SUMPRODUCT(MAX(ROW(E$1:E2984)*(E2985=E$1:E2984)))))</f>
        <v> </v>
      </c>
      <c r="L2985" s="26"/>
    </row>
    <row r="2986" spans="1:12">
      <c r="A2986" s="20" t="s">
        <v>1157</v>
      </c>
      <c r="E2986" s="21">
        <f>IF(D2986="?OLD","!!!","")</f>
        <v/>
      </c>
      <c r="F2986" s="22" t="str">
        <f>IF(OR(E2986="",E2986="!!!"),"",IF(NOT(ISNA(VLOOKUP(E2986,E$1:E2985,1,FALSE()))),"OLD",IF(AND(E2986&lt;&gt;"",E2986&lt;&gt;"!!!"),"NEW","")))</f>
        <v> </v>
      </c>
      <c r="G2986" s="23" t="str">
        <f>IF(OR(E2986="",E2986="!!!"),"",IF(OR(J2986=0,AND(J2986=1,K2986=1),AND(J2986=1,I2986="SBJ"),AND(J2986=1,I2986=0)),"?IN_FOCUS",IF(J2986&lt;=2,"?ACTIVATED",IF(J2986&lt;&gt;"","?FAMILIAR",IF(F2986="NEW",IF(ISNA(VLOOKUP(E2986,#REF!,1,FALSE())),"?TYPE_IDENTIFIABLE","?REFERENTIAL"),"_")))))</f>
        <v> </v>
      </c>
      <c r="H2986" s="24" t="str">
        <f>IF(J2986&lt;&gt;1,"",IF(I2986="SBJ","CB","?"))</f>
        <v> </v>
      </c>
      <c r="I2986" s="25" t="str">
        <f>IF(OR(E2986="",E2986="!!!",F2986="NEW"),"",INDEX(B2985:B$2,-1+SUMPRODUCT(MAX(ROW(E2985:E$2)*(E2986=E2985:E$2)))))</f>
        <v> </v>
      </c>
      <c r="J2986" s="25" t="str">
        <f>IF(OR(E2986="",E2986="!!!",F2986="NEW"),"",COUNTBLANK(OFFSET(A$1,,,SUMPRODUCT(MAX(ROW(E$2:E2986)*(E2986=E$2:E2986)))))-COUNTBLANK(OFFSET(A$1,,,SUMPRODUCT(MAX(ROW(E$1:E2985)*(E2=E$1:E2985))))))</f>
        <v> </v>
      </c>
      <c r="K2986" s="25" t="str">
        <f>IF(OR(E2986="",E2986="!!!",F2986="NEW"),"",INDEX(J$1:J2985,SUMPRODUCT(MAX(ROW(E$1:E2985)*(E2986=E$1:E2985)))))</f>
        <v> </v>
      </c>
      <c r="L2986" s="26"/>
    </row>
    <row r="2987" spans="1:12">
      <c r="A2987" s="20" t="s">
        <v>525</v>
      </c>
      <c r="E2987" s="21">
        <f>IF(D2987="?OLD","!!!","")</f>
        <v/>
      </c>
      <c r="F2987" s="22" t="str">
        <f>IF(OR(E2987="",E2987="!!!"),"",IF(NOT(ISNA(VLOOKUP(E2987,E$1:E2986,1,FALSE()))),"OLD",IF(AND(E2987&lt;&gt;"",E2987&lt;&gt;"!!!"),"NEW","")))</f>
        <v> </v>
      </c>
      <c r="G2987" s="23" t="str">
        <f>IF(OR(E2987="",E2987="!!!"),"",IF(OR(J2987=0,AND(J2987=1,K2987=1),AND(J2987=1,I2987="SBJ"),AND(J2987=1,I2987=0)),"?IN_FOCUS",IF(J2987&lt;=2,"?ACTIVATED",IF(J2987&lt;&gt;"","?FAMILIAR",IF(F2987="NEW",IF(ISNA(VLOOKUP(E2987,#REF!,1,FALSE())),"?TYPE_IDENTIFIABLE","?REFERENTIAL"),"_")))))</f>
        <v> </v>
      </c>
      <c r="H2987" s="24" t="str">
        <f>IF(J2987&lt;&gt;1,"",IF(I2987="SBJ","CB","?"))</f>
        <v> </v>
      </c>
      <c r="I2987" s="25" t="str">
        <f>IF(OR(E2987="",E2987="!!!",F2987="NEW"),"",INDEX(B2986:B$2,-1+SUMPRODUCT(MAX(ROW(E2986:E$2)*(E2987=E2986:E$2)))))</f>
        <v> </v>
      </c>
      <c r="J2987" s="25" t="str">
        <f>IF(OR(E2987="",E2987="!!!",F2987="NEW"),"",COUNTBLANK(OFFSET(A$1,,,SUMPRODUCT(MAX(ROW(E$2:E2987)*(E2987=E$2:E2987)))))-COUNTBLANK(OFFSET(A$1,,,SUMPRODUCT(MAX(ROW(E$1:E2986)*(E2=E$1:E2986))))))</f>
        <v> </v>
      </c>
      <c r="K2987" s="25" t="str">
        <f>IF(OR(E2987="",E2987="!!!",F2987="NEW"),"",INDEX(J$1:J2986,SUMPRODUCT(MAX(ROW(E$1:E2986)*(E2987=E$1:E2986)))))</f>
        <v> </v>
      </c>
      <c r="L2987" s="26"/>
    </row>
    <row r="2988" spans="1:12">
      <c r="A2988" s="20" t="s">
        <v>1534</v>
      </c>
      <c r="B2988" s="27" t="s">
        <v>544</v>
      </c>
      <c r="C2988" s="27" t="s">
        <v>527</v>
      </c>
      <c r="E2988" s="21">
        <f>IF(D2988="?OLD","!!!","")</f>
        <v/>
      </c>
      <c r="F2988" s="22" t="str">
        <f>IF(OR(E2988="",E2988="!!!"),"",IF(NOT(ISNA(VLOOKUP(E2988,E$1:E2987,1,FALSE()))),"OLD",IF(AND(E2988&lt;&gt;"",E2988&lt;&gt;"!!!"),"NEW","")))</f>
        <v> </v>
      </c>
      <c r="G2988" s="23" t="str">
        <f>IF(OR(E2988="",E2988="!!!"),"",IF(OR(J2988=0,AND(J2988=1,K2988=1),AND(J2988=1,I2988="SBJ"),AND(J2988=1,I2988=0)),"?IN_FOCUS",IF(J2988&lt;=2,"?ACTIVATED",IF(J2988&lt;&gt;"","?FAMILIAR",IF(F2988="NEW",IF(ISNA(VLOOKUP(E2988,#REF!,1,FALSE())),"?TYPE_IDENTIFIABLE","?REFERENTIAL"),"_")))))</f>
        <v> </v>
      </c>
      <c r="H2988" s="24" t="str">
        <f>IF(J2988&lt;&gt;1,"",IF(I2988="SBJ","CB","?"))</f>
        <v> </v>
      </c>
      <c r="I2988" s="25" t="str">
        <f>IF(OR(E2988="",E2988="!!!",F2988="NEW"),"",INDEX(B2987:B$2,-1+SUMPRODUCT(MAX(ROW(E2987:E$2)*(E2988=E2987:E$2)))))</f>
        <v> </v>
      </c>
      <c r="J2988" s="25" t="str">
        <f>IF(OR(E2988="",E2988="!!!",F2988="NEW"),"",COUNTBLANK(OFFSET(A$1,,,SUMPRODUCT(MAX(ROW(E$2:E2988)*(E2988=E$2:E2988)))))-COUNTBLANK(OFFSET(A$1,,,SUMPRODUCT(MAX(ROW(E$1:E2987)*(E2=E$1:E2987))))))</f>
        <v> </v>
      </c>
      <c r="K2988" s="25" t="str">
        <f>IF(OR(E2988="",E2988="!!!",F2988="NEW"),"",INDEX(J$1:J2987,SUMPRODUCT(MAX(ROW(E$1:E2987)*(E2988=E$1:E2987)))))</f>
        <v> </v>
      </c>
      <c r="L2988" s="26"/>
    </row>
    <row r="2989" spans="1:12">
      <c r="A2989" s="20" t="s">
        <v>1535</v>
      </c>
      <c r="E2989" s="21">
        <f>IF(D2989="?OLD","!!!","")</f>
        <v/>
      </c>
      <c r="F2989" s="22" t="str">
        <f>IF(OR(E2989="",E2989="!!!"),"",IF(NOT(ISNA(VLOOKUP(E2989,E$1:E2988,1,FALSE()))),"OLD",IF(AND(E2989&lt;&gt;"",E2989&lt;&gt;"!!!"),"NEW","")))</f>
        <v> </v>
      </c>
      <c r="G2989" s="23" t="str">
        <f>IF(OR(E2989="",E2989="!!!"),"",IF(OR(J2989=0,AND(J2989=1,K2989=1),AND(J2989=1,I2989="SBJ"),AND(J2989=1,I2989=0)),"?IN_FOCUS",IF(J2989&lt;=2,"?ACTIVATED",IF(J2989&lt;&gt;"","?FAMILIAR",IF(F2989="NEW",IF(ISNA(VLOOKUP(E2989,#REF!,1,FALSE())),"?TYPE_IDENTIFIABLE","?REFERENTIAL"),"_")))))</f>
        <v> </v>
      </c>
      <c r="H2989" s="24" t="str">
        <f>IF(J2989&lt;&gt;1,"",IF(I2989="SBJ","CB","?"))</f>
        <v> </v>
      </c>
      <c r="I2989" s="25" t="str">
        <f>IF(OR(E2989="",E2989="!!!",F2989="NEW"),"",INDEX(B2988:B$2,-1+SUMPRODUCT(MAX(ROW(E2988:E$2)*(E2989=E2988:E$2)))))</f>
        <v> </v>
      </c>
      <c r="J2989" s="25" t="str">
        <f>IF(OR(E2989="",E2989="!!!",F2989="NEW"),"",COUNTBLANK(OFFSET(A$1,,,SUMPRODUCT(MAX(ROW(E$2:E2989)*(E2989=E$2:E2989)))))-COUNTBLANK(OFFSET(A$1,,,SUMPRODUCT(MAX(ROW(E$1:E2988)*(E2=E$1:E2988))))))</f>
        <v> </v>
      </c>
      <c r="K2989" s="25" t="str">
        <f>IF(OR(E2989="",E2989="!!!",F2989="NEW"),"",INDEX(J$1:J2988,SUMPRODUCT(MAX(ROW(E$1:E2988)*(E2989=E$1:E2988)))))</f>
        <v> </v>
      </c>
      <c r="L2989" s="26"/>
    </row>
    <row r="2990" spans="1:12">
      <c r="A2990" s="20" t="s">
        <v>625</v>
      </c>
      <c r="E2990" s="21">
        <f>IF(D2990="?OLD","!!!","")</f>
        <v/>
      </c>
      <c r="F2990" s="22" t="str">
        <f>IF(OR(E2990="",E2990="!!!"),"",IF(NOT(ISNA(VLOOKUP(E2990,E$1:E2989,1,FALSE()))),"OLD",IF(AND(E2990&lt;&gt;"",E2990&lt;&gt;"!!!"),"NEW","")))</f>
        <v> </v>
      </c>
      <c r="G2990" s="23" t="str">
        <f>IF(OR(E2990="",E2990="!!!"),"",IF(OR(J2990=0,AND(J2990=1,K2990=1),AND(J2990=1,I2990="SBJ"),AND(J2990=1,I2990=0)),"?IN_FOCUS",IF(J2990&lt;=2,"?ACTIVATED",IF(J2990&lt;&gt;"","?FAMILIAR",IF(F2990="NEW",IF(ISNA(VLOOKUP(E2990,#REF!,1,FALSE())),"?TYPE_IDENTIFIABLE","?REFERENTIAL"),"_")))))</f>
        <v> </v>
      </c>
      <c r="H2990" s="24" t="str">
        <f>IF(J2990&lt;&gt;1,"",IF(I2990="SBJ","CB","?"))</f>
        <v> </v>
      </c>
      <c r="I2990" s="25" t="str">
        <f>IF(OR(E2990="",E2990="!!!",F2990="NEW"),"",INDEX(B2989:B$2,-1+SUMPRODUCT(MAX(ROW(E2989:E$2)*(E2990=E2989:E$2)))))</f>
        <v> </v>
      </c>
      <c r="J2990" s="25" t="str">
        <f>IF(OR(E2990="",E2990="!!!",F2990="NEW"),"",COUNTBLANK(OFFSET(A$1,,,SUMPRODUCT(MAX(ROW(E$2:E2990)*(E2990=E$2:E2990)))))-COUNTBLANK(OFFSET(A$1,,,SUMPRODUCT(MAX(ROW(E$1:E2989)*(E2=E$1:E2989))))))</f>
        <v> </v>
      </c>
      <c r="K2990" s="25" t="str">
        <f>IF(OR(E2990="",E2990="!!!",F2990="NEW"),"",INDEX(J$1:J2989,SUMPRODUCT(MAX(ROW(E$1:E2989)*(E2990=E$1:E2989)))))</f>
        <v> </v>
      </c>
      <c r="L2990" s="26"/>
    </row>
    <row r="2991" spans="1:12">
      <c r="A2991" s="20" t="s">
        <v>571</v>
      </c>
      <c r="B2991" s="27" t="s">
        <v>534</v>
      </c>
      <c r="C2991" s="27" t="s">
        <v>584</v>
      </c>
      <c r="D2991" s="27" t="s">
        <v>524</v>
      </c>
      <c r="E2991" s="21">
        <f>IF(D2991="?OLD","!!!","")</f>
        <v/>
      </c>
      <c r="F2991" s="22" t="str">
        <f>IF(OR(E2991="",E2991="!!!"),"",IF(NOT(ISNA(VLOOKUP(E2991,E$1:E2990,1,FALSE()))),"OLD",IF(AND(E2991&lt;&gt;"",E2991&lt;&gt;"!!!"),"NEW","")))</f>
        <v> </v>
      </c>
      <c r="G2991" s="23" t="str">
        <f>IF(OR(E2991="",E2991="!!!"),"",IF(OR(J2991=0,AND(J2991=1,K2991=1),AND(J2991=1,I2991="SBJ"),AND(J2991=1,I2991=0)),"?IN_FOCUS",IF(J2991&lt;=2,"?ACTIVATED",IF(J2991&lt;&gt;"","?FAMILIAR",IF(F2991="NEW",IF(ISNA(VLOOKUP(E2991,#REF!,1,FALSE())),"?TYPE_IDENTIFIABLE","?REFERENTIAL"),"_")))))</f>
        <v> </v>
      </c>
      <c r="H2991" s="24" t="str">
        <f>IF(J2991&lt;&gt;1,"",IF(I2991="SBJ","CB","?"))</f>
        <v> </v>
      </c>
      <c r="I2991" s="25" t="str">
        <f>IF(OR(E2991="",E2991="!!!",F2991="NEW"),"",INDEX(B2990:B$2,-1+SUMPRODUCT(MAX(ROW(E2990:E$2)*(E2991=E2990:E$2)))))</f>
        <v> </v>
      </c>
      <c r="J2991" s="25" t="str">
        <f>IF(OR(E2991="",E2991="!!!",F2991="NEW"),"",COUNTBLANK(OFFSET(A$1,,,SUMPRODUCT(MAX(ROW(E$2:E2991)*(E2991=E$2:E2991)))))-COUNTBLANK(OFFSET(A$1,,,SUMPRODUCT(MAX(ROW(E$1:E2990)*(E2=E$1:E2990))))))</f>
        <v> </v>
      </c>
      <c r="K2991" s="25" t="str">
        <f>IF(OR(E2991="",E2991="!!!",F2991="NEW"),"",INDEX(J$1:J2990,SUMPRODUCT(MAX(ROW(E$1:E2990)*(E2991=E$1:E2990)))))</f>
        <v> </v>
      </c>
      <c r="L2991" s="26"/>
    </row>
    <row r="2992" spans="1:12">
      <c r="A2992" s="20" t="s">
        <v>528</v>
      </c>
      <c r="B2992" s="27" t="s">
        <v>583</v>
      </c>
      <c r="E2992" s="21">
        <f>IF(D2992="?OLD","!!!","")</f>
        <v/>
      </c>
      <c r="F2992" s="22" t="str">
        <f>IF(OR(E2992="",E2992="!!!"),"",IF(NOT(ISNA(VLOOKUP(E2992,E$1:E2991,1,FALSE()))),"OLD",IF(AND(E2992&lt;&gt;"",E2992&lt;&gt;"!!!"),"NEW","")))</f>
        <v> </v>
      </c>
      <c r="G2992" s="23" t="str">
        <f>IF(OR(E2992="",E2992="!!!"),"",IF(OR(J2992=0,AND(J2992=1,K2992=1),AND(J2992=1,I2992="SBJ"),AND(J2992=1,I2992=0)),"?IN_FOCUS",IF(J2992&lt;=2,"?ACTIVATED",IF(J2992&lt;&gt;"","?FAMILIAR",IF(F2992="NEW",IF(ISNA(VLOOKUP(E2992,#REF!,1,FALSE())),"?TYPE_IDENTIFIABLE","?REFERENTIAL"),"_")))))</f>
        <v> </v>
      </c>
      <c r="H2992" s="24" t="str">
        <f>IF(J2992&lt;&gt;1,"",IF(I2992="SBJ","CB","?"))</f>
        <v> </v>
      </c>
      <c r="I2992" s="25" t="str">
        <f>IF(OR(E2992="",E2992="!!!",F2992="NEW"),"",INDEX(B2991:B$2,-1+SUMPRODUCT(MAX(ROW(E2991:E$2)*(E2992=E2991:E$2)))))</f>
        <v> </v>
      </c>
      <c r="J2992" s="25" t="str">
        <f>IF(OR(E2992="",E2992="!!!",F2992="NEW"),"",COUNTBLANK(OFFSET(A$1,,,SUMPRODUCT(MAX(ROW(E$2:E2992)*(E2992=E$2:E2992)))))-COUNTBLANK(OFFSET(A$1,,,SUMPRODUCT(MAX(ROW(E$1:E2991)*(E2=E$1:E2991))))))</f>
        <v> </v>
      </c>
      <c r="K2992" s="25" t="str">
        <f>IF(OR(E2992="",E2992="!!!",F2992="NEW"),"",INDEX(J$1:J2991,SUMPRODUCT(MAX(ROW(E$1:E2991)*(E2992=E$1:E2991)))))</f>
        <v> </v>
      </c>
      <c r="L2992" s="26"/>
    </row>
    <row r="2993" spans="1:12">
      <c r="A2993" s="20" t="s">
        <v>843</v>
      </c>
      <c r="B2993" s="27" t="s">
        <v>643</v>
      </c>
      <c r="C2993" s="27" t="s">
        <v>523</v>
      </c>
      <c r="D2993" s="27" t="s">
        <v>524</v>
      </c>
      <c r="E2993" s="21">
        <f>IF(D2993="?OLD","!!!","")</f>
        <v/>
      </c>
      <c r="F2993" s="22" t="str">
        <f>IF(OR(E2993="",E2993="!!!"),"",IF(NOT(ISNA(VLOOKUP(E2993,E$1:E2992,1,FALSE()))),"OLD",IF(AND(E2993&lt;&gt;"",E2993&lt;&gt;"!!!"),"NEW","")))</f>
        <v> </v>
      </c>
      <c r="G2993" s="23" t="str">
        <f>IF(OR(E2993="",E2993="!!!"),"",IF(OR(J2993=0,AND(J2993=1,K2993=1),AND(J2993=1,I2993="SBJ"),AND(J2993=1,I2993=0)),"?IN_FOCUS",IF(J2993&lt;=2,"?ACTIVATED",IF(J2993&lt;&gt;"","?FAMILIAR",IF(F2993="NEW",IF(ISNA(VLOOKUP(E2993,#REF!,1,FALSE())),"?TYPE_IDENTIFIABLE","?REFERENTIAL"),"_")))))</f>
        <v> </v>
      </c>
      <c r="H2993" s="24" t="str">
        <f>IF(J2993&lt;&gt;1,"",IF(I2993="SBJ","CB","?"))</f>
        <v> </v>
      </c>
      <c r="I2993" s="25" t="str">
        <f>IF(OR(E2993="",E2993="!!!",F2993="NEW"),"",INDEX(B2992:B$2,-1+SUMPRODUCT(MAX(ROW(E2992:E$2)*(E2993=E2992:E$2)))))</f>
        <v> </v>
      </c>
      <c r="J2993" s="25" t="str">
        <f>IF(OR(E2993="",E2993="!!!",F2993="NEW"),"",COUNTBLANK(OFFSET(A$1,,,SUMPRODUCT(MAX(ROW(E$2:E2993)*(E2993=E$2:E2993)))))-COUNTBLANK(OFFSET(A$1,,,SUMPRODUCT(MAX(ROW(E$1:E2992)*(E2=E$1:E2992))))))</f>
        <v> </v>
      </c>
      <c r="K2993" s="25" t="str">
        <f>IF(OR(E2993="",E2993="!!!",F2993="NEW"),"",INDEX(J$1:J2992,SUMPRODUCT(MAX(ROW(E$1:E2992)*(E2993=E$1:E2992)))))</f>
        <v> </v>
      </c>
      <c r="L2993" s="26"/>
    </row>
    <row r="2994" spans="1:12">
      <c r="A2994" s="20" t="s">
        <v>1167</v>
      </c>
      <c r="E2994" s="21">
        <f>IF(D2994="?OLD","!!!","")</f>
        <v/>
      </c>
      <c r="F2994" s="22" t="str">
        <f>IF(OR(E2994="",E2994="!!!"),"",IF(NOT(ISNA(VLOOKUP(E2994,E$1:E2993,1,FALSE()))),"OLD",IF(AND(E2994&lt;&gt;"",E2994&lt;&gt;"!!!"),"NEW","")))</f>
        <v> </v>
      </c>
      <c r="G2994" s="23" t="str">
        <f>IF(OR(E2994="",E2994="!!!"),"",IF(OR(J2994=0,AND(J2994=1,K2994=1),AND(J2994=1,I2994="SBJ"),AND(J2994=1,I2994=0)),"?IN_FOCUS",IF(J2994&lt;=2,"?ACTIVATED",IF(J2994&lt;&gt;"","?FAMILIAR",IF(F2994="NEW",IF(ISNA(VLOOKUP(E2994,#REF!,1,FALSE())),"?TYPE_IDENTIFIABLE","?REFERENTIAL"),"_")))))</f>
        <v> </v>
      </c>
      <c r="H2994" s="24" t="str">
        <f>IF(J2994&lt;&gt;1,"",IF(I2994="SBJ","CB","?"))</f>
        <v> </v>
      </c>
      <c r="I2994" s="25" t="str">
        <f>IF(OR(E2994="",E2994="!!!",F2994="NEW"),"",INDEX(B2993:B$2,-1+SUMPRODUCT(MAX(ROW(E2993:E$2)*(E2994=E2993:E$2)))))</f>
        <v> </v>
      </c>
      <c r="J2994" s="25" t="str">
        <f>IF(OR(E2994="",E2994="!!!",F2994="NEW"),"",COUNTBLANK(OFFSET(A$1,,,SUMPRODUCT(MAX(ROW(E$2:E2994)*(E2994=E$2:E2994)))))-COUNTBLANK(OFFSET(A$1,,,SUMPRODUCT(MAX(ROW(E$1:E2993)*(E2=E$1:E2993))))))</f>
        <v> </v>
      </c>
      <c r="K2994" s="25" t="str">
        <f>IF(OR(E2994="",E2994="!!!",F2994="NEW"),"",INDEX(J$1:J2993,SUMPRODUCT(MAX(ROW(E$1:E2993)*(E2994=E$1:E2993)))))</f>
        <v> </v>
      </c>
      <c r="L2994" s="26"/>
    </row>
    <row r="2995" spans="1:12">
      <c r="A2995" s="20" t="s">
        <v>196</v>
      </c>
      <c r="E2995" s="21">
        <f>IF(D2995="?OLD","!!!","")</f>
        <v/>
      </c>
      <c r="F2995" s="22" t="str">
        <f>IF(OR(E2995="",E2995="!!!"),"",IF(NOT(ISNA(VLOOKUP(E2995,E$1:E2994,1,FALSE()))),"OLD",IF(AND(E2995&lt;&gt;"",E2995&lt;&gt;"!!!"),"NEW","")))</f>
        <v> </v>
      </c>
      <c r="G2995" s="23" t="str">
        <f>IF(OR(E2995="",E2995="!!!"),"",IF(OR(J2995=0,AND(J2995=1,K2995=1),AND(J2995=1,I2995="SBJ"),AND(J2995=1,I2995=0)),"?IN_FOCUS",IF(J2995&lt;=2,"?ACTIVATED",IF(J2995&lt;&gt;"","?FAMILIAR",IF(F2995="NEW",IF(ISNA(VLOOKUP(E2995,#REF!,1,FALSE())),"?TYPE_IDENTIFIABLE","?REFERENTIAL"),"_")))))</f>
        <v> </v>
      </c>
      <c r="H2995" s="24" t="str">
        <f>IF(J2995&lt;&gt;1,"",IF(I2995="SBJ","CB","?"))</f>
        <v> </v>
      </c>
      <c r="I2995" s="25" t="str">
        <f>IF(OR(E2995="",E2995="!!!",F2995="NEW"),"",INDEX(B2994:B$2,-1+SUMPRODUCT(MAX(ROW(E2994:E$2)*(E2995=E2994:E$2)))))</f>
        <v> </v>
      </c>
      <c r="J2995" s="25" t="str">
        <f>IF(OR(E2995="",E2995="!!!",F2995="NEW"),"",COUNTBLANK(OFFSET(A$1,,,SUMPRODUCT(MAX(ROW(E$2:E2995)*(E2995=E$2:E2995)))))-COUNTBLANK(OFFSET(A$1,,,SUMPRODUCT(MAX(ROW(E$1:E2994)*(E2=E$1:E2994))))))</f>
        <v> </v>
      </c>
      <c r="K2995" s="25" t="str">
        <f>IF(OR(E2995="",E2995="!!!",F2995="NEW"),"",INDEX(J$1:J2994,SUMPRODUCT(MAX(ROW(E$1:E2994)*(E2995=E$1:E2994)))))</f>
        <v> </v>
      </c>
      <c r="L2995" s="26"/>
    </row>
    <row r="2996" spans="1:12">
      <c r="A2996" s="20" t="s">
        <v>520</v>
      </c>
      <c r="E2996" s="21">
        <f>IF(D2996="?OLD","!!!","")</f>
        <v/>
      </c>
      <c r="F2996" s="22" t="str">
        <f>IF(OR(E2996="",E2996="!!!"),"",IF(NOT(ISNA(VLOOKUP(E2996,E$1:E2995,1,FALSE()))),"OLD",IF(AND(E2996&lt;&gt;"",E2996&lt;&gt;"!!!"),"NEW","")))</f>
        <v> </v>
      </c>
      <c r="G2996" s="23" t="str">
        <f>IF(OR(E2996="",E2996="!!!"),"",IF(OR(J2996=0,AND(J2996=1,K2996=1),AND(J2996=1,I2996="SBJ"),AND(J2996=1,I2996=0)),"?IN_FOCUS",IF(J2996&lt;=2,"?ACTIVATED",IF(J2996&lt;&gt;"","?FAMILIAR",IF(F2996="NEW",IF(ISNA(VLOOKUP(E2996,#REF!,1,FALSE())),"?TYPE_IDENTIFIABLE","?REFERENTIAL"),"_")))))</f>
        <v> </v>
      </c>
      <c r="H2996" s="24" t="str">
        <f>IF(J2996&lt;&gt;1,"",IF(I2996="SBJ","CB","?"))</f>
        <v> </v>
      </c>
      <c r="I2996" s="25" t="str">
        <f>IF(OR(E2996="",E2996="!!!",F2996="NEW"),"",INDEX(B2995:B$2,-1+SUMPRODUCT(MAX(ROW(E2995:E$2)*(E2996=E2995:E$2)))))</f>
        <v> </v>
      </c>
      <c r="J2996" s="25" t="str">
        <f>IF(OR(E2996="",E2996="!!!",F2996="NEW"),"",COUNTBLANK(OFFSET(A$1,,,SUMPRODUCT(MAX(ROW(E$2:E2996)*(E2996=E$2:E2996)))))-COUNTBLANK(OFFSET(A$1,,,SUMPRODUCT(MAX(ROW(E$1:E2995)*(E2=E$1:E2995))))))</f>
        <v> </v>
      </c>
      <c r="K2996" s="25" t="str">
        <f>IF(OR(E2996="",E2996="!!!",F2996="NEW"),"",INDEX(J$1:J2995,SUMPRODUCT(MAX(ROW(E$1:E2995)*(E2996=E$1:E2995)))))</f>
        <v> </v>
      </c>
      <c r="L2996" s="26"/>
    </row>
    <row r="2997" spans="1:12">
      <c r="A2997" s="20" t="s">
        <v>1238</v>
      </c>
      <c r="B2997" s="27" t="s">
        <v>658</v>
      </c>
      <c r="C2997" s="27" t="s">
        <v>523</v>
      </c>
      <c r="D2997" s="27" t="s">
        <v>524</v>
      </c>
      <c r="E2997" s="21">
        <f>IF(D2997="?OLD","!!!","")</f>
        <v/>
      </c>
      <c r="F2997" s="22" t="str">
        <f>IF(OR(E2997="",E2997="!!!"),"",IF(NOT(ISNA(VLOOKUP(E2997,E$1:E2996,1,FALSE()))),"OLD",IF(AND(E2997&lt;&gt;"",E2997&lt;&gt;"!!!"),"NEW","")))</f>
        <v> </v>
      </c>
      <c r="G2997" s="23" t="str">
        <f>IF(OR(E2997="",E2997="!!!"),"",IF(OR(J2997=0,AND(J2997=1,K2997=1),AND(J2997=1,I2997="SBJ"),AND(J2997=1,I2997=0)),"?IN_FOCUS",IF(J2997&lt;=2,"?ACTIVATED",IF(J2997&lt;&gt;"","?FAMILIAR",IF(F2997="NEW",IF(ISNA(VLOOKUP(E2997,#REF!,1,FALSE())),"?TYPE_IDENTIFIABLE","?REFERENTIAL"),"_")))))</f>
        <v> </v>
      </c>
      <c r="H2997" s="24" t="str">
        <f>IF(J2997&lt;&gt;1,"",IF(I2997="SBJ","CB","?"))</f>
        <v> </v>
      </c>
      <c r="I2997" s="25" t="str">
        <f>IF(OR(E2997="",E2997="!!!",F2997="NEW"),"",INDEX(B2996:B$2,-1+SUMPRODUCT(MAX(ROW(E2996:E$2)*(E2997=E2996:E$2)))))</f>
        <v> </v>
      </c>
      <c r="J2997" s="25" t="str">
        <f>IF(OR(E2997="",E2997="!!!",F2997="NEW"),"",COUNTBLANK(OFFSET(A$1,,,SUMPRODUCT(MAX(ROW(E$2:E2997)*(E2997=E$2:E2997)))))-COUNTBLANK(OFFSET(A$1,,,SUMPRODUCT(MAX(ROW(E$1:E2996)*(E2=E$1:E2996))))))</f>
        <v> </v>
      </c>
      <c r="K2997" s="25" t="str">
        <f>IF(OR(E2997="",E2997="!!!",F2997="NEW"),"",INDEX(J$1:J2996,SUMPRODUCT(MAX(ROW(E$1:E2996)*(E2997=E$1:E2996)))))</f>
        <v> </v>
      </c>
      <c r="L2997" s="26"/>
    </row>
    <row r="2998" spans="1:12">
      <c r="A2998" s="20" t="s">
        <v>549</v>
      </c>
      <c r="E2998" s="21">
        <f>IF(D2998="?OLD","!!!","")</f>
        <v/>
      </c>
      <c r="F2998" s="22" t="str">
        <f>IF(OR(E2998="",E2998="!!!"),"",IF(NOT(ISNA(VLOOKUP(E2998,E$1:E2997,1,FALSE()))),"OLD",IF(AND(E2998&lt;&gt;"",E2998&lt;&gt;"!!!"),"NEW","")))</f>
        <v> </v>
      </c>
      <c r="G2998" s="23" t="str">
        <f>IF(OR(E2998="",E2998="!!!"),"",IF(OR(J2998=0,AND(J2998=1,K2998=1),AND(J2998=1,I2998="SBJ"),AND(J2998=1,I2998=0)),"?IN_FOCUS",IF(J2998&lt;=2,"?ACTIVATED",IF(J2998&lt;&gt;"","?FAMILIAR",IF(F2998="NEW",IF(ISNA(VLOOKUP(E2998,#REF!,1,FALSE())),"?TYPE_IDENTIFIABLE","?REFERENTIAL"),"_")))))</f>
        <v> </v>
      </c>
      <c r="H2998" s="24" t="str">
        <f>IF(J2998&lt;&gt;1,"",IF(I2998="SBJ","CB","?"))</f>
        <v> </v>
      </c>
      <c r="I2998" s="25" t="str">
        <f>IF(OR(E2998="",E2998="!!!",F2998="NEW"),"",INDEX(B2997:B$2,-1+SUMPRODUCT(MAX(ROW(E2997:E$2)*(E2998=E2997:E$2)))))</f>
        <v> </v>
      </c>
      <c r="J2998" s="25" t="str">
        <f>IF(OR(E2998="",E2998="!!!",F2998="NEW"),"",COUNTBLANK(OFFSET(A$1,,,SUMPRODUCT(MAX(ROW(E$2:E2998)*(E2998=E$2:E2998)))))-COUNTBLANK(OFFSET(A$1,,,SUMPRODUCT(MAX(ROW(E$1:E2997)*(E2=E$1:E2997))))))</f>
        <v> </v>
      </c>
      <c r="K2998" s="25" t="str">
        <f>IF(OR(E2998="",E2998="!!!",F2998="NEW"),"",INDEX(J$1:J2997,SUMPRODUCT(MAX(ROW(E$1:E2997)*(E2998=E$1:E2997)))))</f>
        <v> </v>
      </c>
      <c r="L2998" s="26"/>
    </row>
    <row r="2999" spans="1:12">
      <c r="A2999" s="20"/>
    </row>
    <row r="3000" spans="1:12">
      <c r="A3000" s="20" t="s">
        <v>1536</v>
      </c>
    </row>
    <row r="3001" spans="1:12">
      <c r="A3001" s="20" t="s">
        <v>786</v>
      </c>
      <c r="E3001" s="21">
        <f>IF(D3001="?OLD","!!!","")</f>
        <v/>
      </c>
      <c r="F3001" s="22" t="str">
        <f>IF(OR(E3001="",E3001="!!!"),"",IF(NOT(ISNA(VLOOKUP(E3001,E$1:E3000,1,FALSE()))),"OLD",IF(AND(E3001&lt;&gt;"",E3001&lt;&gt;"!!!"),"NEW","")))</f>
        <v> </v>
      </c>
      <c r="G3001" s="23" t="str">
        <f>IF(OR(E3001="",E3001="!!!"),"",IF(OR(J3001=0,AND(J3001=1,K3001=1),AND(J3001=1,I3001="SBJ"),AND(J3001=1,I3001=0)),"?IN_FOCUS",IF(J3001&lt;=2,"?ACTIVATED",IF(J3001&lt;&gt;"","?FAMILIAR",IF(F3001="NEW",IF(ISNA(VLOOKUP(E3001,#REF!,1,FALSE())),"?TYPE_IDENTIFIABLE","?REFERENTIAL"),"_")))))</f>
        <v> </v>
      </c>
      <c r="H3001" s="24" t="str">
        <f>IF(J3001&lt;&gt;1,"",IF(I3001="SBJ","CB","?"))</f>
        <v> </v>
      </c>
      <c r="I3001" s="25" t="str">
        <f>IF(OR(E3001="",E3001="!!!",F3001="NEW"),"",INDEX(B3000:B$2,-1+SUMPRODUCT(MAX(ROW(E3000:E$2)*(E3001=E3000:E$2)))))</f>
        <v> </v>
      </c>
      <c r="J3001" s="25" t="str">
        <f>IF(OR(E3001="",E3001="!!!",F3001="NEW"),"",COUNTBLANK(OFFSET(A$1,,,SUMPRODUCT(MAX(ROW(E$2:E3001)*(E3001=E$2:E3001)))))-COUNTBLANK(OFFSET(A$1,,,SUMPRODUCT(MAX(ROW(E$1:E3000)*(E2=E$1:E3000))))))</f>
        <v> </v>
      </c>
      <c r="K3001" s="25" t="str">
        <f>IF(OR(E3001="",E3001="!!!",F3001="NEW"),"",INDEX(J$1:J3000,SUMPRODUCT(MAX(ROW(E$1:E3000)*(E3001=E$1:E3000)))))</f>
        <v> </v>
      </c>
      <c r="L3001" s="26"/>
    </row>
    <row r="3002" spans="1:12">
      <c r="A3002" s="20" t="s">
        <v>571</v>
      </c>
      <c r="E3002" s="21">
        <f>IF(D3002="?OLD","!!!","")</f>
        <v/>
      </c>
      <c r="F3002" s="22" t="str">
        <f>IF(OR(E3002="",E3002="!!!"),"",IF(NOT(ISNA(VLOOKUP(E3002,E$1:E3001,1,FALSE()))),"OLD",IF(AND(E3002&lt;&gt;"",E3002&lt;&gt;"!!!"),"NEW","")))</f>
        <v> </v>
      </c>
      <c r="G3002" s="23" t="str">
        <f>IF(OR(E3002="",E3002="!!!"),"",IF(OR(J3002=0,AND(J3002=1,K3002=1),AND(J3002=1,I3002="SBJ"),AND(J3002=1,I3002=0)),"?IN_FOCUS",IF(J3002&lt;=2,"?ACTIVATED",IF(J3002&lt;&gt;"","?FAMILIAR",IF(F3002="NEW",IF(ISNA(VLOOKUP(E3002,#REF!,1,FALSE())),"?TYPE_IDENTIFIABLE","?REFERENTIAL"),"_")))))</f>
        <v> </v>
      </c>
      <c r="H3002" s="24" t="str">
        <f>IF(J3002&lt;&gt;1,"",IF(I3002="SBJ","CB","?"))</f>
        <v> </v>
      </c>
      <c r="I3002" s="25" t="str">
        <f>IF(OR(E3002="",E3002="!!!",F3002="NEW"),"",INDEX(B3001:B$2,-1+SUMPRODUCT(MAX(ROW(E3001:E$2)*(E3002=E3001:E$2)))))</f>
        <v> </v>
      </c>
      <c r="J3002" s="25" t="str">
        <f>IF(OR(E3002="",E3002="!!!",F3002="NEW"),"",COUNTBLANK(OFFSET(A$1,,,SUMPRODUCT(MAX(ROW(E$2:E3002)*(E3002=E$2:E3002)))))-COUNTBLANK(OFFSET(A$1,,,SUMPRODUCT(MAX(ROW(E$1:E3001)*(E2=E$1:E3001))))))</f>
        <v> </v>
      </c>
      <c r="K3002" s="25" t="str">
        <f>IF(OR(E3002="",E3002="!!!",F3002="NEW"),"",INDEX(J$1:J3001,SUMPRODUCT(MAX(ROW(E$1:E3001)*(E3002=E$1:E3001)))))</f>
        <v> </v>
      </c>
      <c r="L3002" s="26"/>
    </row>
    <row r="3003" spans="1:12">
      <c r="A3003" s="20" t="s">
        <v>1537</v>
      </c>
      <c r="B3003" s="27" t="s">
        <v>592</v>
      </c>
      <c r="C3003" s="27" t="s">
        <v>540</v>
      </c>
      <c r="D3003" s="27" t="s">
        <v>524</v>
      </c>
      <c r="E3003" s="21">
        <f>IF(D3003="?OLD","!!!","")</f>
        <v/>
      </c>
      <c r="F3003" s="22" t="str">
        <f>IF(OR(E3003="",E3003="!!!"),"",IF(NOT(ISNA(VLOOKUP(E3003,E$1:E3002,1,FALSE()))),"OLD",IF(AND(E3003&lt;&gt;"",E3003&lt;&gt;"!!!"),"NEW","")))</f>
        <v> </v>
      </c>
      <c r="G3003" s="23" t="str">
        <f>IF(OR(E3003="",E3003="!!!"),"",IF(OR(J3003=0,AND(J3003=1,K3003=1),AND(J3003=1,I3003="SBJ"),AND(J3003=1,I3003=0)),"?IN_FOCUS",IF(J3003&lt;=2,"?ACTIVATED",IF(J3003&lt;&gt;"","?FAMILIAR",IF(F3003="NEW",IF(ISNA(VLOOKUP(E3003,#REF!,1,FALSE())),"?TYPE_IDENTIFIABLE","?REFERENTIAL"),"_")))))</f>
        <v> </v>
      </c>
      <c r="H3003" s="24" t="str">
        <f>IF(J3003&lt;&gt;1,"",IF(I3003="SBJ","CB","?"))</f>
        <v> </v>
      </c>
      <c r="I3003" s="25" t="str">
        <f>IF(OR(E3003="",E3003="!!!",F3003="NEW"),"",INDEX(B3002:B$2,-1+SUMPRODUCT(MAX(ROW(E3002:E$2)*(E3003=E3002:E$2)))))</f>
        <v> </v>
      </c>
      <c r="J3003" s="25" t="str">
        <f>IF(OR(E3003="",E3003="!!!",F3003="NEW"),"",COUNTBLANK(OFFSET(A$1,,,SUMPRODUCT(MAX(ROW(E$2:E3003)*(E3003=E$2:E3003)))))-COUNTBLANK(OFFSET(A$1,,,SUMPRODUCT(MAX(ROW(E$1:E3002)*(E2=E$1:E3002))))))</f>
        <v> </v>
      </c>
      <c r="K3003" s="25" t="str">
        <f>IF(OR(E3003="",E3003="!!!",F3003="NEW"),"",INDEX(J$1:J3002,SUMPRODUCT(MAX(ROW(E$1:E3002)*(E3003=E$1:E3002)))))</f>
        <v> </v>
      </c>
      <c r="L3003" s="26"/>
    </row>
    <row r="3004" spans="1:12">
      <c r="A3004" s="20" t="s">
        <v>518</v>
      </c>
      <c r="E3004" s="21">
        <f>IF(D3004="?OLD","!!!","")</f>
        <v/>
      </c>
      <c r="F3004" s="22" t="str">
        <f>IF(OR(E3004="",E3004="!!!"),"",IF(NOT(ISNA(VLOOKUP(E3004,E$1:E3003,1,FALSE()))),"OLD",IF(AND(E3004&lt;&gt;"",E3004&lt;&gt;"!!!"),"NEW","")))</f>
        <v> </v>
      </c>
      <c r="G3004" s="23" t="str">
        <f>IF(OR(E3004="",E3004="!!!"),"",IF(OR(J3004=0,AND(J3004=1,K3004=1),AND(J3004=1,I3004="SBJ"),AND(J3004=1,I3004=0)),"?IN_FOCUS",IF(J3004&lt;=2,"?ACTIVATED",IF(J3004&lt;&gt;"","?FAMILIAR",IF(F3004="NEW",IF(ISNA(VLOOKUP(E3004,#REF!,1,FALSE())),"?TYPE_IDENTIFIABLE","?REFERENTIAL"),"_")))))</f>
        <v> </v>
      </c>
      <c r="H3004" s="24" t="str">
        <f>IF(J3004&lt;&gt;1,"",IF(I3004="SBJ","CB","?"))</f>
        <v> </v>
      </c>
      <c r="I3004" s="25" t="str">
        <f>IF(OR(E3004="",E3004="!!!",F3004="NEW"),"",INDEX(B3003:B$2,-1+SUMPRODUCT(MAX(ROW(E3003:E$2)*(E3004=E3003:E$2)))))</f>
        <v> </v>
      </c>
      <c r="J3004" s="25" t="str">
        <f>IF(OR(E3004="",E3004="!!!",F3004="NEW"),"",COUNTBLANK(OFFSET(A$1,,,SUMPRODUCT(MAX(ROW(E$2:E3004)*(E3004=E$2:E3004)))))-COUNTBLANK(OFFSET(A$1,,,SUMPRODUCT(MAX(ROW(E$1:E3003)*(E2=E$1:E3003))))))</f>
        <v> </v>
      </c>
      <c r="K3004" s="25" t="str">
        <f>IF(OR(E3004="",E3004="!!!",F3004="NEW"),"",INDEX(J$1:J3003,SUMPRODUCT(MAX(ROW(E$1:E3003)*(E3004=E$1:E3003)))))</f>
        <v> </v>
      </c>
      <c r="L3004" s="26"/>
    </row>
    <row r="3005" spans="1:12">
      <c r="A3005" s="20" t="s">
        <v>571</v>
      </c>
      <c r="E3005" s="21">
        <f>IF(D3005="?OLD","!!!","")</f>
        <v/>
      </c>
      <c r="F3005" s="22" t="str">
        <f>IF(OR(E3005="",E3005="!!!"),"",IF(NOT(ISNA(VLOOKUP(E3005,E$1:E3004,1,FALSE()))),"OLD",IF(AND(E3005&lt;&gt;"",E3005&lt;&gt;"!!!"),"NEW","")))</f>
        <v> </v>
      </c>
      <c r="G3005" s="23" t="str">
        <f>IF(OR(E3005="",E3005="!!!"),"",IF(OR(J3005=0,AND(J3005=1,K3005=1),AND(J3005=1,I3005="SBJ"),AND(J3005=1,I3005=0)),"?IN_FOCUS",IF(J3005&lt;=2,"?ACTIVATED",IF(J3005&lt;&gt;"","?FAMILIAR",IF(F3005="NEW",IF(ISNA(VLOOKUP(E3005,#REF!,1,FALSE())),"?TYPE_IDENTIFIABLE","?REFERENTIAL"),"_")))))</f>
        <v> </v>
      </c>
      <c r="H3005" s="24" t="str">
        <f>IF(J3005&lt;&gt;1,"",IF(I3005="SBJ","CB","?"))</f>
        <v> </v>
      </c>
      <c r="I3005" s="25" t="str">
        <f>IF(OR(E3005="",E3005="!!!",F3005="NEW"),"",INDEX(B3004:B$2,-1+SUMPRODUCT(MAX(ROW(E3004:E$2)*(E3005=E3004:E$2)))))</f>
        <v> </v>
      </c>
      <c r="J3005" s="25" t="str">
        <f>IF(OR(E3005="",E3005="!!!",F3005="NEW"),"",COUNTBLANK(OFFSET(A$1,,,SUMPRODUCT(MAX(ROW(E$2:E3005)*(E3005=E$2:E3005)))))-COUNTBLANK(OFFSET(A$1,,,SUMPRODUCT(MAX(ROW(E$1:E3004)*(E2=E$1:E3004))))))</f>
        <v> </v>
      </c>
      <c r="K3005" s="25" t="str">
        <f>IF(OR(E3005="",E3005="!!!",F3005="NEW"),"",INDEX(J$1:J3004,SUMPRODUCT(MAX(ROW(E$1:E3004)*(E3005=E$1:E3004)))))</f>
        <v> </v>
      </c>
      <c r="L3005" s="26"/>
    </row>
    <row r="3006" spans="1:12">
      <c r="A3006" s="20" t="s">
        <v>872</v>
      </c>
      <c r="B3006" s="27" t="s">
        <v>597</v>
      </c>
      <c r="C3006" s="27" t="s">
        <v>545</v>
      </c>
      <c r="D3006" s="27" t="s">
        <v>524</v>
      </c>
      <c r="E3006" s="21">
        <f>IF(D3006="?OLD","!!!","")</f>
        <v/>
      </c>
      <c r="F3006" s="22" t="str">
        <f>IF(OR(E3006="",E3006="!!!"),"",IF(NOT(ISNA(VLOOKUP(E3006,E$1:E3005,1,FALSE()))),"OLD",IF(AND(E3006&lt;&gt;"",E3006&lt;&gt;"!!!"),"NEW","")))</f>
        <v> </v>
      </c>
      <c r="G3006" s="23" t="str">
        <f>IF(OR(E3006="",E3006="!!!"),"",IF(OR(J3006=0,AND(J3006=1,K3006=1),AND(J3006=1,I3006="SBJ"),AND(J3006=1,I3006=0)),"?IN_FOCUS",IF(J3006&lt;=2,"?ACTIVATED",IF(J3006&lt;&gt;"","?FAMILIAR",IF(F3006="NEW",IF(ISNA(VLOOKUP(E3006,#REF!,1,FALSE())),"?TYPE_IDENTIFIABLE","?REFERENTIAL"),"_")))))</f>
        <v> </v>
      </c>
      <c r="H3006" s="24" t="str">
        <f>IF(J3006&lt;&gt;1,"",IF(I3006="SBJ","CB","?"))</f>
        <v> </v>
      </c>
      <c r="I3006" s="25" t="str">
        <f>IF(OR(E3006="",E3006="!!!",F3006="NEW"),"",INDEX(B3005:B$2,-1+SUMPRODUCT(MAX(ROW(E3005:E$2)*(E3006=E3005:E$2)))))</f>
        <v> </v>
      </c>
      <c r="J3006" s="25" t="str">
        <f>IF(OR(E3006="",E3006="!!!",F3006="NEW"),"",COUNTBLANK(OFFSET(A$1,,,SUMPRODUCT(MAX(ROW(E$2:E3006)*(E3006=E$2:E3006)))))-COUNTBLANK(OFFSET(A$1,,,SUMPRODUCT(MAX(ROW(E$1:E3005)*(E2=E$1:E3005))))))</f>
        <v> </v>
      </c>
      <c r="K3006" s="25" t="str">
        <f>IF(OR(E3006="",E3006="!!!",F3006="NEW"),"",INDEX(J$1:J3005,SUMPRODUCT(MAX(ROW(E$1:E3005)*(E3006=E$1:E3005)))))</f>
        <v> </v>
      </c>
      <c r="L3006" s="26"/>
    </row>
    <row r="3007" spans="1:12">
      <c r="A3007" s="20" t="s">
        <v>565</v>
      </c>
      <c r="E3007" s="21">
        <f>IF(D3007="?OLD","!!!","")</f>
        <v/>
      </c>
      <c r="F3007" s="22" t="str">
        <f>IF(OR(E3007="",E3007="!!!"),"",IF(NOT(ISNA(VLOOKUP(E3007,E$1:E3006,1,FALSE()))),"OLD",IF(AND(E3007&lt;&gt;"",E3007&lt;&gt;"!!!"),"NEW","")))</f>
        <v> </v>
      </c>
      <c r="G3007" s="23" t="str">
        <f>IF(OR(E3007="",E3007="!!!"),"",IF(OR(J3007=0,AND(J3007=1,K3007=1),AND(J3007=1,I3007="SBJ"),AND(J3007=1,I3007=0)),"?IN_FOCUS",IF(J3007&lt;=2,"?ACTIVATED",IF(J3007&lt;&gt;"","?FAMILIAR",IF(F3007="NEW",IF(ISNA(VLOOKUP(E3007,#REF!,1,FALSE())),"?TYPE_IDENTIFIABLE","?REFERENTIAL"),"_")))))</f>
        <v> </v>
      </c>
      <c r="H3007" s="24" t="str">
        <f>IF(J3007&lt;&gt;1,"",IF(I3007="SBJ","CB","?"))</f>
        <v> </v>
      </c>
      <c r="I3007" s="25" t="str">
        <f>IF(OR(E3007="",E3007="!!!",F3007="NEW"),"",INDEX(B3006:B$2,-1+SUMPRODUCT(MAX(ROW(E3006:E$2)*(E3007=E3006:E$2)))))</f>
        <v> </v>
      </c>
      <c r="J3007" s="25" t="str">
        <f>IF(OR(E3007="",E3007="!!!",F3007="NEW"),"",COUNTBLANK(OFFSET(A$1,,,SUMPRODUCT(MAX(ROW(E$2:E3007)*(E3007=E$2:E3007)))))-COUNTBLANK(OFFSET(A$1,,,SUMPRODUCT(MAX(ROW(E$1:E3006)*(E2=E$1:E3006))))))</f>
        <v> </v>
      </c>
      <c r="K3007" s="25" t="str">
        <f>IF(OR(E3007="",E3007="!!!",F3007="NEW"),"",INDEX(J$1:J3006,SUMPRODUCT(MAX(ROW(E$1:E3006)*(E3007=E$1:E3006)))))</f>
        <v> </v>
      </c>
      <c r="L3007" s="26"/>
    </row>
    <row r="3008" spans="1:12">
      <c r="A3008" s="20" t="s">
        <v>623</v>
      </c>
      <c r="E3008" s="21">
        <f>IF(D3008="?OLD","!!!","")</f>
        <v/>
      </c>
      <c r="F3008" s="22" t="str">
        <f>IF(OR(E3008="",E3008="!!!"),"",IF(NOT(ISNA(VLOOKUP(E3008,E$1:E3007,1,FALSE()))),"OLD",IF(AND(E3008&lt;&gt;"",E3008&lt;&gt;"!!!"),"NEW","")))</f>
        <v> </v>
      </c>
      <c r="G3008" s="23" t="str">
        <f>IF(OR(E3008="",E3008="!!!"),"",IF(OR(J3008=0,AND(J3008=1,K3008=1),AND(J3008=1,I3008="SBJ"),AND(J3008=1,I3008=0)),"?IN_FOCUS",IF(J3008&lt;=2,"?ACTIVATED",IF(J3008&lt;&gt;"","?FAMILIAR",IF(F3008="NEW",IF(ISNA(VLOOKUP(E3008,#REF!,1,FALSE())),"?TYPE_IDENTIFIABLE","?REFERENTIAL"),"_")))))</f>
        <v> </v>
      </c>
      <c r="H3008" s="24" t="str">
        <f>IF(J3008&lt;&gt;1,"",IF(I3008="SBJ","CB","?"))</f>
        <v> </v>
      </c>
      <c r="I3008" s="25" t="str">
        <f>IF(OR(E3008="",E3008="!!!",F3008="NEW"),"",INDEX(B3007:B$2,-1+SUMPRODUCT(MAX(ROW(E3007:E$2)*(E3008=E3007:E$2)))))</f>
        <v> </v>
      </c>
      <c r="J3008" s="25" t="str">
        <f>IF(OR(E3008="",E3008="!!!",F3008="NEW"),"",COUNTBLANK(OFFSET(A$1,,,SUMPRODUCT(MAX(ROW(E$2:E3008)*(E3008=E$2:E3008)))))-COUNTBLANK(OFFSET(A$1,,,SUMPRODUCT(MAX(ROW(E$1:E3007)*(E2=E$1:E3007))))))</f>
        <v> </v>
      </c>
      <c r="K3008" s="25" t="str">
        <f>IF(OR(E3008="",E3008="!!!",F3008="NEW"),"",INDEX(J$1:J3007,SUMPRODUCT(MAX(ROW(E$1:E3007)*(E3008=E$1:E3007)))))</f>
        <v> </v>
      </c>
      <c r="L3008" s="26"/>
    </row>
    <row r="3009" spans="1:12">
      <c r="A3009" s="20" t="s">
        <v>542</v>
      </c>
      <c r="E3009" s="21">
        <f>IF(D3009="?OLD","!!!","")</f>
        <v/>
      </c>
      <c r="F3009" s="22" t="str">
        <f>IF(OR(E3009="",E3009="!!!"),"",IF(NOT(ISNA(VLOOKUP(E3009,E$1:E3008,1,FALSE()))),"OLD",IF(AND(E3009&lt;&gt;"",E3009&lt;&gt;"!!!"),"NEW","")))</f>
        <v> </v>
      </c>
      <c r="G3009" s="23" t="str">
        <f>IF(OR(E3009="",E3009="!!!"),"",IF(OR(J3009=0,AND(J3009=1,K3009=1),AND(J3009=1,I3009="SBJ"),AND(J3009=1,I3009=0)),"?IN_FOCUS",IF(J3009&lt;=2,"?ACTIVATED",IF(J3009&lt;&gt;"","?FAMILIAR",IF(F3009="NEW",IF(ISNA(VLOOKUP(E3009,#REF!,1,FALSE())),"?TYPE_IDENTIFIABLE","?REFERENTIAL"),"_")))))</f>
        <v> </v>
      </c>
      <c r="H3009" s="24" t="str">
        <f>IF(J3009&lt;&gt;1,"",IF(I3009="SBJ","CB","?"))</f>
        <v> </v>
      </c>
      <c r="I3009" s="25" t="str">
        <f>IF(OR(E3009="",E3009="!!!",F3009="NEW"),"",INDEX(B3008:B$2,-1+SUMPRODUCT(MAX(ROW(E3008:E$2)*(E3009=E3008:E$2)))))</f>
        <v> </v>
      </c>
      <c r="J3009" s="25" t="str">
        <f>IF(OR(E3009="",E3009="!!!",F3009="NEW"),"",COUNTBLANK(OFFSET(A$1,,,SUMPRODUCT(MAX(ROW(E$2:E3009)*(E3009=E$2:E3009)))))-COUNTBLANK(OFFSET(A$1,,,SUMPRODUCT(MAX(ROW(E$1:E3008)*(E2=E$1:E3008))))))</f>
        <v> </v>
      </c>
      <c r="K3009" s="25" t="str">
        <f>IF(OR(E3009="",E3009="!!!",F3009="NEW"),"",INDEX(J$1:J3008,SUMPRODUCT(MAX(ROW(E$1:E3008)*(E3009=E$1:E3008)))))</f>
        <v> </v>
      </c>
      <c r="L3009" s="26"/>
    </row>
    <row r="3010" spans="1:12">
      <c r="A3010" s="20" t="s">
        <v>700</v>
      </c>
      <c r="B3010" s="27" t="s">
        <v>597</v>
      </c>
      <c r="C3010" s="27" t="s">
        <v>669</v>
      </c>
      <c r="D3010" s="27" t="s">
        <v>524</v>
      </c>
      <c r="E3010" s="21">
        <f>IF(D3010="?OLD","!!!","")</f>
        <v/>
      </c>
      <c r="F3010" s="22" t="str">
        <f>IF(OR(E3010="",E3010="!!!"),"",IF(NOT(ISNA(VLOOKUP(E3010,E$1:E3009,1,FALSE()))),"OLD",IF(AND(E3010&lt;&gt;"",E3010&lt;&gt;"!!!"),"NEW","")))</f>
        <v> </v>
      </c>
      <c r="G3010" s="23" t="str">
        <f>IF(OR(E3010="",E3010="!!!"),"",IF(OR(J3010=0,AND(J3010=1,K3010=1),AND(J3010=1,I3010="SBJ"),AND(J3010=1,I3010=0)),"?IN_FOCUS",IF(J3010&lt;=2,"?ACTIVATED",IF(J3010&lt;&gt;"","?FAMILIAR",IF(F3010="NEW",IF(ISNA(VLOOKUP(E3010,#REF!,1,FALSE())),"?TYPE_IDENTIFIABLE","?REFERENTIAL"),"_")))))</f>
        <v> </v>
      </c>
      <c r="H3010" s="24" t="str">
        <f>IF(J3010&lt;&gt;1,"",IF(I3010="SBJ","CB","?"))</f>
        <v> </v>
      </c>
      <c r="I3010" s="25" t="str">
        <f>IF(OR(E3010="",E3010="!!!",F3010="NEW"),"",INDEX(B3009:B$2,-1+SUMPRODUCT(MAX(ROW(E3009:E$2)*(E3010=E3009:E$2)))))</f>
        <v> </v>
      </c>
      <c r="J3010" s="25" t="str">
        <f>IF(OR(E3010="",E3010="!!!",F3010="NEW"),"",COUNTBLANK(OFFSET(A$1,,,SUMPRODUCT(MAX(ROW(E$2:E3010)*(E3010=E$2:E3010)))))-COUNTBLANK(OFFSET(A$1,,,SUMPRODUCT(MAX(ROW(E$1:E3009)*(E2=E$1:E3009))))))</f>
        <v> </v>
      </c>
      <c r="K3010" s="25" t="str">
        <f>IF(OR(E3010="",E3010="!!!",F3010="NEW"),"",INDEX(J$1:J3009,SUMPRODUCT(MAX(ROW(E$1:E3009)*(E3010=E$1:E3009)))))</f>
        <v> </v>
      </c>
      <c r="L3010" s="26"/>
    </row>
    <row r="3011" spans="1:12">
      <c r="A3011" s="20" t="s">
        <v>967</v>
      </c>
      <c r="B3011" s="27" t="s">
        <v>680</v>
      </c>
      <c r="C3011" s="27" t="s">
        <v>545</v>
      </c>
      <c r="D3011" s="27" t="s">
        <v>524</v>
      </c>
      <c r="E3011" s="21">
        <f>IF(D3011="?OLD","!!!","")</f>
        <v/>
      </c>
      <c r="F3011" s="22" t="str">
        <f>IF(OR(E3011="",E3011="!!!"),"",IF(NOT(ISNA(VLOOKUP(E3011,E$1:E3010,1,FALSE()))),"OLD",IF(AND(E3011&lt;&gt;"",E3011&lt;&gt;"!!!"),"NEW","")))</f>
        <v> </v>
      </c>
      <c r="G3011" s="23" t="str">
        <f>IF(OR(E3011="",E3011="!!!"),"",IF(OR(J3011=0,AND(J3011=1,K3011=1),AND(J3011=1,I3011="SBJ"),AND(J3011=1,I3011=0)),"?IN_FOCUS",IF(J3011&lt;=2,"?ACTIVATED",IF(J3011&lt;&gt;"","?FAMILIAR",IF(F3011="NEW",IF(ISNA(VLOOKUP(E3011,#REF!,1,FALSE())),"?TYPE_IDENTIFIABLE","?REFERENTIAL"),"_")))))</f>
        <v> </v>
      </c>
      <c r="H3011" s="24" t="str">
        <f>IF(J3011&lt;&gt;1,"",IF(I3011="SBJ","CB","?"))</f>
        <v> </v>
      </c>
      <c r="I3011" s="25" t="str">
        <f>IF(OR(E3011="",E3011="!!!",F3011="NEW"),"",INDEX(B3010:B$2,-1+SUMPRODUCT(MAX(ROW(E3010:E$2)*(E3011=E3010:E$2)))))</f>
        <v> </v>
      </c>
      <c r="J3011" s="25" t="str">
        <f>IF(OR(E3011="",E3011="!!!",F3011="NEW"),"",COUNTBLANK(OFFSET(A$1,,,SUMPRODUCT(MAX(ROW(E$2:E3011)*(E3011=E$2:E3011)))))-COUNTBLANK(OFFSET(A$1,,,SUMPRODUCT(MAX(ROW(E$1:E3010)*(E2=E$1:E3010))))))</f>
        <v> </v>
      </c>
      <c r="K3011" s="25" t="str">
        <f>IF(OR(E3011="",E3011="!!!",F3011="NEW"),"",INDEX(J$1:J3010,SUMPRODUCT(MAX(ROW(E$1:E3010)*(E3011=E$1:E3010)))))</f>
        <v> </v>
      </c>
      <c r="L3011" s="26"/>
    </row>
    <row r="3012" spans="1:12">
      <c r="A3012" s="20" t="s">
        <v>771</v>
      </c>
      <c r="E3012" s="21">
        <f>IF(D3012="?OLD","!!!","")</f>
        <v/>
      </c>
      <c r="F3012" s="22" t="str">
        <f>IF(OR(E3012="",E3012="!!!"),"",IF(NOT(ISNA(VLOOKUP(E3012,E$1:E3011,1,FALSE()))),"OLD",IF(AND(E3012&lt;&gt;"",E3012&lt;&gt;"!!!"),"NEW","")))</f>
        <v> </v>
      </c>
      <c r="G3012" s="23" t="str">
        <f>IF(OR(E3012="",E3012="!!!"),"",IF(OR(J3012=0,AND(J3012=1,K3012=1),AND(J3012=1,I3012="SBJ"),AND(J3012=1,I3012=0)),"?IN_FOCUS",IF(J3012&lt;=2,"?ACTIVATED",IF(J3012&lt;&gt;"","?FAMILIAR",IF(F3012="NEW",IF(ISNA(VLOOKUP(E3012,#REF!,1,FALSE())),"?TYPE_IDENTIFIABLE","?REFERENTIAL"),"_")))))</f>
        <v> </v>
      </c>
      <c r="H3012" s="24" t="str">
        <f>IF(J3012&lt;&gt;1,"",IF(I3012="SBJ","CB","?"))</f>
        <v> </v>
      </c>
      <c r="I3012" s="25" t="str">
        <f>IF(OR(E3012="",E3012="!!!",F3012="NEW"),"",INDEX(B3011:B$2,-1+SUMPRODUCT(MAX(ROW(E3011:E$2)*(E3012=E3011:E$2)))))</f>
        <v> </v>
      </c>
      <c r="J3012" s="25" t="str">
        <f>IF(OR(E3012="",E3012="!!!",F3012="NEW"),"",COUNTBLANK(OFFSET(A$1,,,SUMPRODUCT(MAX(ROW(E$2:E3012)*(E3012=E$2:E3012)))))-COUNTBLANK(OFFSET(A$1,,,SUMPRODUCT(MAX(ROW(E$1:E3011)*(E2=E$1:E3011))))))</f>
        <v> </v>
      </c>
      <c r="K3012" s="25" t="str">
        <f>IF(OR(E3012="",E3012="!!!",F3012="NEW"),"",INDEX(J$1:J3011,SUMPRODUCT(MAX(ROW(E$1:E3011)*(E3012=E$1:E3011)))))</f>
        <v> </v>
      </c>
      <c r="L3012" s="26"/>
    </row>
    <row r="3013" spans="1:12">
      <c r="A3013" s="20" t="s">
        <v>1538</v>
      </c>
      <c r="E3013" s="21">
        <f>IF(D3013="?OLD","!!!","")</f>
        <v/>
      </c>
      <c r="F3013" s="22" t="str">
        <f>IF(OR(E3013="",E3013="!!!"),"",IF(NOT(ISNA(VLOOKUP(E3013,E$1:E3012,1,FALSE()))),"OLD",IF(AND(E3013&lt;&gt;"",E3013&lt;&gt;"!!!"),"NEW","")))</f>
        <v> </v>
      </c>
      <c r="G3013" s="23" t="str">
        <f>IF(OR(E3013="",E3013="!!!"),"",IF(OR(J3013=0,AND(J3013=1,K3013=1),AND(J3013=1,I3013="SBJ"),AND(J3013=1,I3013=0)),"?IN_FOCUS",IF(J3013&lt;=2,"?ACTIVATED",IF(J3013&lt;&gt;"","?FAMILIAR",IF(F3013="NEW",IF(ISNA(VLOOKUP(E3013,#REF!,1,FALSE())),"?TYPE_IDENTIFIABLE","?REFERENTIAL"),"_")))))</f>
        <v> </v>
      </c>
      <c r="H3013" s="24" t="str">
        <f>IF(J3013&lt;&gt;1,"",IF(I3013="SBJ","CB","?"))</f>
        <v> </v>
      </c>
      <c r="I3013" s="25" t="str">
        <f>IF(OR(E3013="",E3013="!!!",F3013="NEW"),"",INDEX(B3012:B$2,-1+SUMPRODUCT(MAX(ROW(E3012:E$2)*(E3013=E3012:E$2)))))</f>
        <v> </v>
      </c>
      <c r="J3013" s="25" t="str">
        <f>IF(OR(E3013="",E3013="!!!",F3013="NEW"),"",COUNTBLANK(OFFSET(A$1,,,SUMPRODUCT(MAX(ROW(E$2:E3013)*(E3013=E$2:E3013)))))-COUNTBLANK(OFFSET(A$1,,,SUMPRODUCT(MAX(ROW(E$1:E3012)*(E2=E$1:E3012))))))</f>
        <v> </v>
      </c>
      <c r="K3013" s="25" t="str">
        <f>IF(OR(E3013="",E3013="!!!",F3013="NEW"),"",INDEX(J$1:J3012,SUMPRODUCT(MAX(ROW(E$1:E3012)*(E3013=E$1:E3012)))))</f>
        <v> </v>
      </c>
      <c r="L3013" s="26"/>
    </row>
    <row r="3014" spans="1:12">
      <c r="A3014" s="20" t="s">
        <v>565</v>
      </c>
      <c r="E3014" s="21">
        <f>IF(D3014="?OLD","!!!","")</f>
        <v/>
      </c>
      <c r="F3014" s="22" t="str">
        <f>IF(OR(E3014="",E3014="!!!"),"",IF(NOT(ISNA(VLOOKUP(E3014,E$1:E3013,1,FALSE()))),"OLD",IF(AND(E3014&lt;&gt;"",E3014&lt;&gt;"!!!"),"NEW","")))</f>
        <v> </v>
      </c>
      <c r="G3014" s="23" t="str">
        <f>IF(OR(E3014="",E3014="!!!"),"",IF(OR(J3014=0,AND(J3014=1,K3014=1),AND(J3014=1,I3014="SBJ"),AND(J3014=1,I3014=0)),"?IN_FOCUS",IF(J3014&lt;=2,"?ACTIVATED",IF(J3014&lt;&gt;"","?FAMILIAR",IF(F3014="NEW",IF(ISNA(VLOOKUP(E3014,#REF!,1,FALSE())),"?TYPE_IDENTIFIABLE","?REFERENTIAL"),"_")))))</f>
        <v> </v>
      </c>
      <c r="H3014" s="24" t="str">
        <f>IF(J3014&lt;&gt;1,"",IF(I3014="SBJ","CB","?"))</f>
        <v> </v>
      </c>
      <c r="I3014" s="25" t="str">
        <f>IF(OR(E3014="",E3014="!!!",F3014="NEW"),"",INDEX(B3013:B$2,-1+SUMPRODUCT(MAX(ROW(E3013:E$2)*(E3014=E3013:E$2)))))</f>
        <v> </v>
      </c>
      <c r="J3014" s="25" t="str">
        <f>IF(OR(E3014="",E3014="!!!",F3014="NEW"),"",COUNTBLANK(OFFSET(A$1,,,SUMPRODUCT(MAX(ROW(E$2:E3014)*(E3014=E$2:E3014)))))-COUNTBLANK(OFFSET(A$1,,,SUMPRODUCT(MAX(ROW(E$1:E3013)*(E2=E$1:E3013))))))</f>
        <v> </v>
      </c>
      <c r="K3014" s="25" t="str">
        <f>IF(OR(E3014="",E3014="!!!",F3014="NEW"),"",INDEX(J$1:J3013,SUMPRODUCT(MAX(ROW(E$1:E3013)*(E3014=E$1:E3013)))))</f>
        <v> </v>
      </c>
      <c r="L3014" s="26"/>
    </row>
    <row r="3015" spans="1:12">
      <c r="A3015" s="20" t="s">
        <v>577</v>
      </c>
      <c r="E3015" s="21">
        <f>IF(D3015="?OLD","!!!","")</f>
        <v/>
      </c>
      <c r="F3015" s="22" t="str">
        <f>IF(OR(E3015="",E3015="!!!"),"",IF(NOT(ISNA(VLOOKUP(E3015,E$1:E3014,1,FALSE()))),"OLD",IF(AND(E3015&lt;&gt;"",E3015&lt;&gt;"!!!"),"NEW","")))</f>
        <v> </v>
      </c>
      <c r="G3015" s="23" t="str">
        <f>IF(OR(E3015="",E3015="!!!"),"",IF(OR(J3015=0,AND(J3015=1,K3015=1),AND(J3015=1,I3015="SBJ"),AND(J3015=1,I3015=0)),"?IN_FOCUS",IF(J3015&lt;=2,"?ACTIVATED",IF(J3015&lt;&gt;"","?FAMILIAR",IF(F3015="NEW",IF(ISNA(VLOOKUP(E3015,#REF!,1,FALSE())),"?TYPE_IDENTIFIABLE","?REFERENTIAL"),"_")))))</f>
        <v> </v>
      </c>
      <c r="H3015" s="24" t="str">
        <f>IF(J3015&lt;&gt;1,"",IF(I3015="SBJ","CB","?"))</f>
        <v> </v>
      </c>
      <c r="I3015" s="25" t="str">
        <f>IF(OR(E3015="",E3015="!!!",F3015="NEW"),"",INDEX(B3014:B$2,-1+SUMPRODUCT(MAX(ROW(E3014:E$2)*(E3015=E3014:E$2)))))</f>
        <v> </v>
      </c>
      <c r="J3015" s="25" t="str">
        <f>IF(OR(E3015="",E3015="!!!",F3015="NEW"),"",COUNTBLANK(OFFSET(A$1,,,SUMPRODUCT(MAX(ROW(E$2:E3015)*(E3015=E$2:E3015)))))-COUNTBLANK(OFFSET(A$1,,,SUMPRODUCT(MAX(ROW(E$1:E3014)*(E2=E$1:E3014))))))</f>
        <v> </v>
      </c>
      <c r="K3015" s="25" t="str">
        <f>IF(OR(E3015="",E3015="!!!",F3015="NEW"),"",INDEX(J$1:J3014,SUMPRODUCT(MAX(ROW(E$1:E3014)*(E3015=E$1:E3014)))))</f>
        <v> </v>
      </c>
      <c r="L3015" s="26"/>
    </row>
    <row r="3016" spans="1:12">
      <c r="A3016" s="20" t="s">
        <v>571</v>
      </c>
      <c r="E3016" s="21">
        <f>IF(D3016="?OLD","!!!","")</f>
        <v/>
      </c>
      <c r="F3016" s="22" t="str">
        <f>IF(OR(E3016="",E3016="!!!"),"",IF(NOT(ISNA(VLOOKUP(E3016,E$1:E3015,1,FALSE()))),"OLD",IF(AND(E3016&lt;&gt;"",E3016&lt;&gt;"!!!"),"NEW","")))</f>
        <v> </v>
      </c>
      <c r="G3016" s="23" t="str">
        <f>IF(OR(E3016="",E3016="!!!"),"",IF(OR(J3016=0,AND(J3016=1,K3016=1),AND(J3016=1,I3016="SBJ"),AND(J3016=1,I3016=0)),"?IN_FOCUS",IF(J3016&lt;=2,"?ACTIVATED",IF(J3016&lt;&gt;"","?FAMILIAR",IF(F3016="NEW",IF(ISNA(VLOOKUP(E3016,#REF!,1,FALSE())),"?TYPE_IDENTIFIABLE","?REFERENTIAL"),"_")))))</f>
        <v> </v>
      </c>
      <c r="H3016" s="24" t="str">
        <f>IF(J3016&lt;&gt;1,"",IF(I3016="SBJ","CB","?"))</f>
        <v> </v>
      </c>
      <c r="I3016" s="25" t="str">
        <f>IF(OR(E3016="",E3016="!!!",F3016="NEW"),"",INDEX(B3015:B$2,-1+SUMPRODUCT(MAX(ROW(E3015:E$2)*(E3016=E3015:E$2)))))</f>
        <v> </v>
      </c>
      <c r="J3016" s="25" t="str">
        <f>IF(OR(E3016="",E3016="!!!",F3016="NEW"),"",COUNTBLANK(OFFSET(A$1,,,SUMPRODUCT(MAX(ROW(E$2:E3016)*(E3016=E$2:E3016)))))-COUNTBLANK(OFFSET(A$1,,,SUMPRODUCT(MAX(ROW(E$1:E3015)*(E2=E$1:E3015))))))</f>
        <v> </v>
      </c>
      <c r="K3016" s="25" t="str">
        <f>IF(OR(E3016="",E3016="!!!",F3016="NEW"),"",INDEX(J$1:J3015,SUMPRODUCT(MAX(ROW(E$1:E3015)*(E3016=E$1:E3015)))))</f>
        <v> </v>
      </c>
      <c r="L3016" s="26"/>
    </row>
    <row r="3017" spans="1:12">
      <c r="A3017" s="20" t="s">
        <v>1301</v>
      </c>
      <c r="B3017" s="27" t="s">
        <v>592</v>
      </c>
      <c r="C3017" s="27" t="s">
        <v>545</v>
      </c>
      <c r="D3017" s="27" t="s">
        <v>524</v>
      </c>
      <c r="E3017" s="21">
        <f>IF(D3017="?OLD","!!!","")</f>
        <v/>
      </c>
      <c r="F3017" s="22" t="str">
        <f>IF(OR(E3017="",E3017="!!!"),"",IF(NOT(ISNA(VLOOKUP(E3017,E$1:E3016,1,FALSE()))),"OLD",IF(AND(E3017&lt;&gt;"",E3017&lt;&gt;"!!!"),"NEW","")))</f>
        <v> </v>
      </c>
      <c r="G3017" s="23" t="str">
        <f>IF(OR(E3017="",E3017="!!!"),"",IF(OR(J3017=0,AND(J3017=1,K3017=1),AND(J3017=1,I3017="SBJ"),AND(J3017=1,I3017=0)),"?IN_FOCUS",IF(J3017&lt;=2,"?ACTIVATED",IF(J3017&lt;&gt;"","?FAMILIAR",IF(F3017="NEW",IF(ISNA(VLOOKUP(E3017,#REF!,1,FALSE())),"?TYPE_IDENTIFIABLE","?REFERENTIAL"),"_")))))</f>
        <v> </v>
      </c>
      <c r="H3017" s="24" t="str">
        <f>IF(J3017&lt;&gt;1,"",IF(I3017="SBJ","CB","?"))</f>
        <v> </v>
      </c>
      <c r="I3017" s="25" t="str">
        <f>IF(OR(E3017="",E3017="!!!",F3017="NEW"),"",INDEX(B3016:B$2,-1+SUMPRODUCT(MAX(ROW(E3016:E$2)*(E3017=E3016:E$2)))))</f>
        <v> </v>
      </c>
      <c r="J3017" s="25" t="str">
        <f>IF(OR(E3017="",E3017="!!!",F3017="NEW"),"",COUNTBLANK(OFFSET(A$1,,,SUMPRODUCT(MAX(ROW(E$2:E3017)*(E3017=E$2:E3017)))))-COUNTBLANK(OFFSET(A$1,,,SUMPRODUCT(MAX(ROW(E$1:E3016)*(E2=E$1:E3016))))))</f>
        <v> </v>
      </c>
      <c r="K3017" s="25" t="str">
        <f>IF(OR(E3017="",E3017="!!!",F3017="NEW"),"",INDEX(J$1:J3016,SUMPRODUCT(MAX(ROW(E$1:E3016)*(E3017=E$1:E3016)))))</f>
        <v> </v>
      </c>
      <c r="L3017" s="26"/>
    </row>
    <row r="3018" spans="1:12">
      <c r="A3018" s="20" t="s">
        <v>528</v>
      </c>
      <c r="B3018" s="27" t="s">
        <v>556</v>
      </c>
      <c r="E3018" s="21">
        <f>IF(D3018="?OLD","!!!","")</f>
        <v/>
      </c>
      <c r="F3018" s="22" t="str">
        <f>IF(OR(E3018="",E3018="!!!"),"",IF(NOT(ISNA(VLOOKUP(E3018,E$1:E3017,1,FALSE()))),"OLD",IF(AND(E3018&lt;&gt;"",E3018&lt;&gt;"!!!"),"NEW","")))</f>
        <v> </v>
      </c>
      <c r="G3018" s="23" t="str">
        <f>IF(OR(E3018="",E3018="!!!"),"",IF(OR(J3018=0,AND(J3018=1,K3018=1),AND(J3018=1,I3018="SBJ"),AND(J3018=1,I3018=0)),"?IN_FOCUS",IF(J3018&lt;=2,"?ACTIVATED",IF(J3018&lt;&gt;"","?FAMILIAR",IF(F3018="NEW",IF(ISNA(VLOOKUP(E3018,#REF!,1,FALSE())),"?TYPE_IDENTIFIABLE","?REFERENTIAL"),"_")))))</f>
        <v> </v>
      </c>
      <c r="H3018" s="24" t="str">
        <f>IF(J3018&lt;&gt;1,"",IF(I3018="SBJ","CB","?"))</f>
        <v> </v>
      </c>
      <c r="I3018" s="25" t="str">
        <f>IF(OR(E3018="",E3018="!!!",F3018="NEW"),"",INDEX(B3017:B$2,-1+SUMPRODUCT(MAX(ROW(E3017:E$2)*(E3018=E3017:E$2)))))</f>
        <v> </v>
      </c>
      <c r="J3018" s="25" t="str">
        <f>IF(OR(E3018="",E3018="!!!",F3018="NEW"),"",COUNTBLANK(OFFSET(A$1,,,SUMPRODUCT(MAX(ROW(E$2:E3018)*(E3018=E$2:E3018)))))-COUNTBLANK(OFFSET(A$1,,,SUMPRODUCT(MAX(ROW(E$1:E3017)*(E2=E$1:E3017))))))</f>
        <v> </v>
      </c>
      <c r="K3018" s="25" t="str">
        <f>IF(OR(E3018="",E3018="!!!",F3018="NEW"),"",INDEX(J$1:J3017,SUMPRODUCT(MAX(ROW(E$1:E3017)*(E3018=E$1:E3017)))))</f>
        <v> </v>
      </c>
      <c r="L3018" s="26"/>
    </row>
    <row r="3019" spans="1:12">
      <c r="A3019" s="20" t="s">
        <v>565</v>
      </c>
      <c r="E3019" s="21">
        <f>IF(D3019="?OLD","!!!","")</f>
        <v/>
      </c>
      <c r="F3019" s="22" t="str">
        <f>IF(OR(E3019="",E3019="!!!"),"",IF(NOT(ISNA(VLOOKUP(E3019,E$1:E3018,1,FALSE()))),"OLD",IF(AND(E3019&lt;&gt;"",E3019&lt;&gt;"!!!"),"NEW","")))</f>
        <v> </v>
      </c>
      <c r="G3019" s="23" t="str">
        <f>IF(OR(E3019="",E3019="!!!"),"",IF(OR(J3019=0,AND(J3019=1,K3019=1),AND(J3019=1,I3019="SBJ"),AND(J3019=1,I3019=0)),"?IN_FOCUS",IF(J3019&lt;=2,"?ACTIVATED",IF(J3019&lt;&gt;"","?FAMILIAR",IF(F3019="NEW",IF(ISNA(VLOOKUP(E3019,#REF!,1,FALSE())),"?TYPE_IDENTIFIABLE","?REFERENTIAL"),"_")))))</f>
        <v> </v>
      </c>
      <c r="H3019" s="24" t="str">
        <f>IF(J3019&lt;&gt;1,"",IF(I3019="SBJ","CB","?"))</f>
        <v> </v>
      </c>
      <c r="I3019" s="25" t="str">
        <f>IF(OR(E3019="",E3019="!!!",F3019="NEW"),"",INDEX(B3018:B$2,-1+SUMPRODUCT(MAX(ROW(E3018:E$2)*(E3019=E3018:E$2)))))</f>
        <v> </v>
      </c>
      <c r="J3019" s="25" t="str">
        <f>IF(OR(E3019="",E3019="!!!",F3019="NEW"),"",COUNTBLANK(OFFSET(A$1,,,SUMPRODUCT(MAX(ROW(E$2:E3019)*(E3019=E$2:E3019)))))-COUNTBLANK(OFFSET(A$1,,,SUMPRODUCT(MAX(ROW(E$1:E3018)*(E2=E$1:E3018))))))</f>
        <v> </v>
      </c>
      <c r="K3019" s="25" t="str">
        <f>IF(OR(E3019="",E3019="!!!",F3019="NEW"),"",INDEX(J$1:J3018,SUMPRODUCT(MAX(ROW(E$1:E3018)*(E3019=E$1:E3018)))))</f>
        <v> </v>
      </c>
      <c r="L3019" s="26"/>
    </row>
    <row r="3020" spans="1:12">
      <c r="A3020" s="20" t="s">
        <v>843</v>
      </c>
      <c r="E3020" s="21">
        <f>IF(D3020="?OLD","!!!","")</f>
        <v/>
      </c>
      <c r="F3020" s="22" t="str">
        <f>IF(OR(E3020="",E3020="!!!"),"",IF(NOT(ISNA(VLOOKUP(E3020,E$1:E3019,1,FALSE()))),"OLD",IF(AND(E3020&lt;&gt;"",E3020&lt;&gt;"!!!"),"NEW","")))</f>
        <v> </v>
      </c>
      <c r="G3020" s="23" t="str">
        <f>IF(OR(E3020="",E3020="!!!"),"",IF(OR(J3020=0,AND(J3020=1,K3020=1),AND(J3020=1,I3020="SBJ"),AND(J3020=1,I3020=0)),"?IN_FOCUS",IF(J3020&lt;=2,"?ACTIVATED",IF(J3020&lt;&gt;"","?FAMILIAR",IF(F3020="NEW",IF(ISNA(VLOOKUP(E3020,#REF!,1,FALSE())),"?TYPE_IDENTIFIABLE","?REFERENTIAL"),"_")))))</f>
        <v> </v>
      </c>
      <c r="H3020" s="24" t="str">
        <f>IF(J3020&lt;&gt;1,"",IF(I3020="SBJ","CB","?"))</f>
        <v> </v>
      </c>
      <c r="I3020" s="25" t="str">
        <f>IF(OR(E3020="",E3020="!!!",F3020="NEW"),"",INDEX(B3019:B$2,-1+SUMPRODUCT(MAX(ROW(E3019:E$2)*(E3020=E3019:E$2)))))</f>
        <v> </v>
      </c>
      <c r="J3020" s="25" t="str">
        <f>IF(OR(E3020="",E3020="!!!",F3020="NEW"),"",COUNTBLANK(OFFSET(A$1,,,SUMPRODUCT(MAX(ROW(E$2:E3020)*(E3020=E$2:E3020)))))-COUNTBLANK(OFFSET(A$1,,,SUMPRODUCT(MAX(ROW(E$1:E3019)*(E2=E$1:E3019))))))</f>
        <v> </v>
      </c>
      <c r="K3020" s="25" t="str">
        <f>IF(OR(E3020="",E3020="!!!",F3020="NEW"),"",INDEX(J$1:J3019,SUMPRODUCT(MAX(ROW(E$1:E3019)*(E3020=E$1:E3019)))))</f>
        <v> </v>
      </c>
      <c r="L3020" s="26"/>
    </row>
    <row r="3021" spans="1:12">
      <c r="A3021" s="20" t="s">
        <v>645</v>
      </c>
      <c r="B3021" s="27" t="s">
        <v>556</v>
      </c>
      <c r="C3021" s="27" t="s">
        <v>523</v>
      </c>
      <c r="D3021" s="27" t="s">
        <v>524</v>
      </c>
      <c r="E3021" s="21">
        <f>IF(D3021="?OLD","!!!","")</f>
        <v/>
      </c>
      <c r="F3021" s="22" t="str">
        <f>IF(OR(E3021="",E3021="!!!"),"",IF(NOT(ISNA(VLOOKUP(E3021,E$1:E3020,1,FALSE()))),"OLD",IF(AND(E3021&lt;&gt;"",E3021&lt;&gt;"!!!"),"NEW","")))</f>
        <v> </v>
      </c>
      <c r="G3021" s="23" t="str">
        <f>IF(OR(E3021="",E3021="!!!"),"",IF(OR(J3021=0,AND(J3021=1,K3021=1),AND(J3021=1,I3021="SBJ"),AND(J3021=1,I3021=0)),"?IN_FOCUS",IF(J3021&lt;=2,"?ACTIVATED",IF(J3021&lt;&gt;"","?FAMILIAR",IF(F3021="NEW",IF(ISNA(VLOOKUP(E3021,#REF!,1,FALSE())),"?TYPE_IDENTIFIABLE","?REFERENTIAL"),"_")))))</f>
        <v> </v>
      </c>
      <c r="H3021" s="24" t="str">
        <f>IF(J3021&lt;&gt;1,"",IF(I3021="SBJ","CB","?"))</f>
        <v> </v>
      </c>
      <c r="I3021" s="25" t="str">
        <f>IF(OR(E3021="",E3021="!!!",F3021="NEW"),"",INDEX(B3020:B$2,-1+SUMPRODUCT(MAX(ROW(E3020:E$2)*(E3021=E3020:E$2)))))</f>
        <v> </v>
      </c>
      <c r="J3021" s="25" t="str">
        <f>IF(OR(E3021="",E3021="!!!",F3021="NEW"),"",COUNTBLANK(OFFSET(A$1,,,SUMPRODUCT(MAX(ROW(E$2:E3021)*(E3021=E$2:E3021)))))-COUNTBLANK(OFFSET(A$1,,,SUMPRODUCT(MAX(ROW(E$1:E3020)*(E2=E$1:E3020))))))</f>
        <v> </v>
      </c>
      <c r="K3021" s="25" t="str">
        <f>IF(OR(E3021="",E3021="!!!",F3021="NEW"),"",INDEX(J$1:J3020,SUMPRODUCT(MAX(ROW(E$1:E3020)*(E3021=E$1:E3020)))))</f>
        <v> </v>
      </c>
      <c r="L3021" s="26"/>
    </row>
    <row r="3022" spans="1:12">
      <c r="A3022" s="20" t="s">
        <v>1539</v>
      </c>
      <c r="E3022" s="21">
        <f>IF(D3022="?OLD","!!!","")</f>
        <v/>
      </c>
      <c r="F3022" s="22" t="str">
        <f>IF(OR(E3022="",E3022="!!!"),"",IF(NOT(ISNA(VLOOKUP(E3022,E$1:E3021,1,FALSE()))),"OLD",IF(AND(E3022&lt;&gt;"",E3022&lt;&gt;"!!!"),"NEW","")))</f>
        <v> </v>
      </c>
      <c r="G3022" s="23" t="str">
        <f>IF(OR(E3022="",E3022="!!!"),"",IF(OR(J3022=0,AND(J3022=1,K3022=1),AND(J3022=1,I3022="SBJ"),AND(J3022=1,I3022=0)),"?IN_FOCUS",IF(J3022&lt;=2,"?ACTIVATED",IF(J3022&lt;&gt;"","?FAMILIAR",IF(F3022="NEW",IF(ISNA(VLOOKUP(E3022,#REF!,1,FALSE())),"?TYPE_IDENTIFIABLE","?REFERENTIAL"),"_")))))</f>
        <v> </v>
      </c>
      <c r="H3022" s="24" t="str">
        <f>IF(J3022&lt;&gt;1,"",IF(I3022="SBJ","CB","?"))</f>
        <v> </v>
      </c>
      <c r="I3022" s="25" t="str">
        <f>IF(OR(E3022="",E3022="!!!",F3022="NEW"),"",INDEX(B3021:B$2,-1+SUMPRODUCT(MAX(ROW(E3021:E$2)*(E3022=E3021:E$2)))))</f>
        <v> </v>
      </c>
      <c r="J3022" s="25" t="str">
        <f>IF(OR(E3022="",E3022="!!!",F3022="NEW"),"",COUNTBLANK(OFFSET(A$1,,,SUMPRODUCT(MAX(ROW(E$2:E3022)*(E3022=E$2:E3022)))))-COUNTBLANK(OFFSET(A$1,,,SUMPRODUCT(MAX(ROW(E$1:E3021)*(E2=E$1:E3021))))))</f>
        <v> </v>
      </c>
      <c r="K3022" s="25" t="str">
        <f>IF(OR(E3022="",E3022="!!!",F3022="NEW"),"",INDEX(J$1:J3021,SUMPRODUCT(MAX(ROW(E$1:E3021)*(E3022=E$1:E3021)))))</f>
        <v> </v>
      </c>
      <c r="L3022" s="26"/>
    </row>
    <row r="3023" spans="1:12">
      <c r="A3023" s="20" t="s">
        <v>1540</v>
      </c>
      <c r="E3023" s="21">
        <f>IF(D3023="?OLD","!!!","")</f>
        <v/>
      </c>
      <c r="F3023" s="22" t="str">
        <f>IF(OR(E3023="",E3023="!!!"),"",IF(NOT(ISNA(VLOOKUP(E3023,E$1:E3022,1,FALSE()))),"OLD",IF(AND(E3023&lt;&gt;"",E3023&lt;&gt;"!!!"),"NEW","")))</f>
        <v> </v>
      </c>
      <c r="G3023" s="23" t="str">
        <f>IF(OR(E3023="",E3023="!!!"),"",IF(OR(J3023=0,AND(J3023=1,K3023=1),AND(J3023=1,I3023="SBJ"),AND(J3023=1,I3023=0)),"?IN_FOCUS",IF(J3023&lt;=2,"?ACTIVATED",IF(J3023&lt;&gt;"","?FAMILIAR",IF(F3023="NEW",IF(ISNA(VLOOKUP(E3023,#REF!,1,FALSE())),"?TYPE_IDENTIFIABLE","?REFERENTIAL"),"_")))))</f>
        <v> </v>
      </c>
      <c r="H3023" s="24" t="str">
        <f>IF(J3023&lt;&gt;1,"",IF(I3023="SBJ","CB","?"))</f>
        <v> </v>
      </c>
      <c r="I3023" s="25" t="str">
        <f>IF(OR(E3023="",E3023="!!!",F3023="NEW"),"",INDEX(B3022:B$2,-1+SUMPRODUCT(MAX(ROW(E3022:E$2)*(E3023=E3022:E$2)))))</f>
        <v> </v>
      </c>
      <c r="J3023" s="25" t="str">
        <f>IF(OR(E3023="",E3023="!!!",F3023="NEW"),"",COUNTBLANK(OFFSET(A$1,,,SUMPRODUCT(MAX(ROW(E$2:E3023)*(E3023=E$2:E3023)))))-COUNTBLANK(OFFSET(A$1,,,SUMPRODUCT(MAX(ROW(E$1:E3022)*(E2=E$1:E3022))))))</f>
        <v> </v>
      </c>
      <c r="K3023" s="25" t="str">
        <f>IF(OR(E3023="",E3023="!!!",F3023="NEW"),"",INDEX(J$1:J3022,SUMPRODUCT(MAX(ROW(E$1:E3022)*(E3023=E$1:E3022)))))</f>
        <v> </v>
      </c>
      <c r="L3023" s="26"/>
    </row>
    <row r="3024" spans="1:12">
      <c r="A3024" s="20" t="s">
        <v>565</v>
      </c>
      <c r="E3024" s="21">
        <f>IF(D3024="?OLD","!!!","")</f>
        <v/>
      </c>
      <c r="F3024" s="22" t="str">
        <f>IF(OR(E3024="",E3024="!!!"),"",IF(NOT(ISNA(VLOOKUP(E3024,E$1:E3023,1,FALSE()))),"OLD",IF(AND(E3024&lt;&gt;"",E3024&lt;&gt;"!!!"),"NEW","")))</f>
        <v> </v>
      </c>
      <c r="G3024" s="23" t="str">
        <f>IF(OR(E3024="",E3024="!!!"),"",IF(OR(J3024=0,AND(J3024=1,K3024=1),AND(J3024=1,I3024="SBJ"),AND(J3024=1,I3024=0)),"?IN_FOCUS",IF(J3024&lt;=2,"?ACTIVATED",IF(J3024&lt;&gt;"","?FAMILIAR",IF(F3024="NEW",IF(ISNA(VLOOKUP(E3024,#REF!,1,FALSE())),"?TYPE_IDENTIFIABLE","?REFERENTIAL"),"_")))))</f>
        <v> </v>
      </c>
      <c r="H3024" s="24" t="str">
        <f>IF(J3024&lt;&gt;1,"",IF(I3024="SBJ","CB","?"))</f>
        <v> </v>
      </c>
      <c r="I3024" s="25" t="str">
        <f>IF(OR(E3024="",E3024="!!!",F3024="NEW"),"",INDEX(B3023:B$2,-1+SUMPRODUCT(MAX(ROW(E3023:E$2)*(E3024=E3023:E$2)))))</f>
        <v> </v>
      </c>
      <c r="J3024" s="25" t="str">
        <f>IF(OR(E3024="",E3024="!!!",F3024="NEW"),"",COUNTBLANK(OFFSET(A$1,,,SUMPRODUCT(MAX(ROW(E$2:E3024)*(E3024=E$2:E3024)))))-COUNTBLANK(OFFSET(A$1,,,SUMPRODUCT(MAX(ROW(E$1:E3023)*(E2=E$1:E3023))))))</f>
        <v> </v>
      </c>
      <c r="K3024" s="25" t="str">
        <f>IF(OR(E3024="",E3024="!!!",F3024="NEW"),"",INDEX(J$1:J3023,SUMPRODUCT(MAX(ROW(E$1:E3023)*(E3024=E$1:E3023)))))</f>
        <v> </v>
      </c>
      <c r="L3024" s="26"/>
    </row>
    <row r="3025" spans="1:12">
      <c r="A3025" s="20" t="s">
        <v>574</v>
      </c>
      <c r="E3025" s="21">
        <f>IF(D3025="?OLD","!!!","")</f>
        <v/>
      </c>
      <c r="F3025" s="22" t="str">
        <f>IF(OR(E3025="",E3025="!!!"),"",IF(NOT(ISNA(VLOOKUP(E3025,E$1:E3024,1,FALSE()))),"OLD",IF(AND(E3025&lt;&gt;"",E3025&lt;&gt;"!!!"),"NEW","")))</f>
        <v> </v>
      </c>
      <c r="G3025" s="23" t="str">
        <f>IF(OR(E3025="",E3025="!!!"),"",IF(OR(J3025=0,AND(J3025=1,K3025=1),AND(J3025=1,I3025="SBJ"),AND(J3025=1,I3025=0)),"?IN_FOCUS",IF(J3025&lt;=2,"?ACTIVATED",IF(J3025&lt;&gt;"","?FAMILIAR",IF(F3025="NEW",IF(ISNA(VLOOKUP(E3025,#REF!,1,FALSE())),"?TYPE_IDENTIFIABLE","?REFERENTIAL"),"_")))))</f>
        <v> </v>
      </c>
      <c r="H3025" s="24" t="str">
        <f>IF(J3025&lt;&gt;1,"",IF(I3025="SBJ","CB","?"))</f>
        <v> </v>
      </c>
      <c r="I3025" s="25" t="str">
        <f>IF(OR(E3025="",E3025="!!!",F3025="NEW"),"",INDEX(B3024:B$2,-1+SUMPRODUCT(MAX(ROW(E3024:E$2)*(E3025=E3024:E$2)))))</f>
        <v> </v>
      </c>
      <c r="J3025" s="25" t="str">
        <f>IF(OR(E3025="",E3025="!!!",F3025="NEW"),"",COUNTBLANK(OFFSET(A$1,,,SUMPRODUCT(MAX(ROW(E$2:E3025)*(E3025=E$2:E3025)))))-COUNTBLANK(OFFSET(A$1,,,SUMPRODUCT(MAX(ROW(E$1:E3024)*(E2=E$1:E3024))))))</f>
        <v> </v>
      </c>
      <c r="K3025" s="25" t="str">
        <f>IF(OR(E3025="",E3025="!!!",F3025="NEW"),"",INDEX(J$1:J3024,SUMPRODUCT(MAX(ROW(E$1:E3024)*(E3025=E$1:E3024)))))</f>
        <v> </v>
      </c>
      <c r="L3025" s="26"/>
    </row>
    <row r="3026" spans="1:12">
      <c r="A3026" s="20" t="s">
        <v>358</v>
      </c>
      <c r="B3026" s="27" t="s">
        <v>667</v>
      </c>
      <c r="C3026" s="27" t="s">
        <v>523</v>
      </c>
      <c r="D3026" s="27" t="s">
        <v>524</v>
      </c>
      <c r="E3026" s="21">
        <f>IF(D3026="?OLD","!!!","")</f>
        <v/>
      </c>
      <c r="F3026" s="22" t="str">
        <f>IF(OR(E3026="",E3026="!!!"),"",IF(NOT(ISNA(VLOOKUP(E3026,E$1:E3025,1,FALSE()))),"OLD",IF(AND(E3026&lt;&gt;"",E3026&lt;&gt;"!!!"),"NEW","")))</f>
        <v> </v>
      </c>
      <c r="G3026" s="23" t="str">
        <f>IF(OR(E3026="",E3026="!!!"),"",IF(OR(J3026=0,AND(J3026=1,K3026=1),AND(J3026=1,I3026="SBJ"),AND(J3026=1,I3026=0)),"?IN_FOCUS",IF(J3026&lt;=2,"?ACTIVATED",IF(J3026&lt;&gt;"","?FAMILIAR",IF(F3026="NEW",IF(ISNA(VLOOKUP(E3026,#REF!,1,FALSE())),"?TYPE_IDENTIFIABLE","?REFERENTIAL"),"_")))))</f>
        <v> </v>
      </c>
      <c r="H3026" s="24" t="str">
        <f>IF(J3026&lt;&gt;1,"",IF(I3026="SBJ","CB","?"))</f>
        <v> </v>
      </c>
      <c r="I3026" s="25" t="str">
        <f>IF(OR(E3026="",E3026="!!!",F3026="NEW"),"",INDEX(B3025:B$2,-1+SUMPRODUCT(MAX(ROW(E3025:E$2)*(E3026=E3025:E$2)))))</f>
        <v> </v>
      </c>
      <c r="J3026" s="25" t="str">
        <f>IF(OR(E3026="",E3026="!!!",F3026="NEW"),"",COUNTBLANK(OFFSET(A$1,,,SUMPRODUCT(MAX(ROW(E$2:E3026)*(E3026=E$2:E3026)))))-COUNTBLANK(OFFSET(A$1,,,SUMPRODUCT(MAX(ROW(E$1:E3025)*(E2=E$1:E3025))))))</f>
        <v> </v>
      </c>
      <c r="K3026" s="25" t="str">
        <f>IF(OR(E3026="",E3026="!!!",F3026="NEW"),"",INDEX(J$1:J3025,SUMPRODUCT(MAX(ROW(E$1:E3025)*(E3026=E$1:E3025)))))</f>
        <v> </v>
      </c>
      <c r="L3026" s="26"/>
    </row>
    <row r="3027" spans="1:12">
      <c r="A3027" s="20" t="s">
        <v>568</v>
      </c>
      <c r="E3027" s="21">
        <f>IF(D3027="?OLD","!!!","")</f>
        <v/>
      </c>
      <c r="F3027" s="22" t="str">
        <f>IF(OR(E3027="",E3027="!!!"),"",IF(NOT(ISNA(VLOOKUP(E3027,E$1:E3026,1,FALSE()))),"OLD",IF(AND(E3027&lt;&gt;"",E3027&lt;&gt;"!!!"),"NEW","")))</f>
        <v> </v>
      </c>
      <c r="G3027" s="23" t="str">
        <f>IF(OR(E3027="",E3027="!!!"),"",IF(OR(J3027=0,AND(J3027=1,K3027=1),AND(J3027=1,I3027="SBJ"),AND(J3027=1,I3027=0)),"?IN_FOCUS",IF(J3027&lt;=2,"?ACTIVATED",IF(J3027&lt;&gt;"","?FAMILIAR",IF(F3027="NEW",IF(ISNA(VLOOKUP(E3027,#REF!,1,FALSE())),"?TYPE_IDENTIFIABLE","?REFERENTIAL"),"_")))))</f>
        <v> </v>
      </c>
      <c r="H3027" s="24" t="str">
        <f>IF(J3027&lt;&gt;1,"",IF(I3027="SBJ","CB","?"))</f>
        <v> </v>
      </c>
      <c r="I3027" s="25" t="str">
        <f>IF(OR(E3027="",E3027="!!!",F3027="NEW"),"",INDEX(B3026:B$2,-1+SUMPRODUCT(MAX(ROW(E3026:E$2)*(E3027=E3026:E$2)))))</f>
        <v> </v>
      </c>
      <c r="J3027" s="25" t="str">
        <f>IF(OR(E3027="",E3027="!!!",F3027="NEW"),"",COUNTBLANK(OFFSET(A$1,,,SUMPRODUCT(MAX(ROW(E$2:E3027)*(E3027=E$2:E3027)))))-COUNTBLANK(OFFSET(A$1,,,SUMPRODUCT(MAX(ROW(E$1:E3026)*(E2=E$1:E3026))))))</f>
        <v> </v>
      </c>
      <c r="K3027" s="25" t="str">
        <f>IF(OR(E3027="",E3027="!!!",F3027="NEW"),"",INDEX(J$1:J3026,SUMPRODUCT(MAX(ROW(E$1:E3026)*(E3027=E$1:E3026)))))</f>
        <v> </v>
      </c>
      <c r="L3027" s="26"/>
    </row>
    <row r="3028" spans="1:12">
      <c r="A3028" s="20" t="s">
        <v>67</v>
      </c>
      <c r="E3028" s="21">
        <f>IF(D3028="?OLD","!!!","")</f>
        <v/>
      </c>
      <c r="F3028" s="22" t="str">
        <f>IF(OR(E3028="",E3028="!!!"),"",IF(NOT(ISNA(VLOOKUP(E3028,E$1:E3027,1,FALSE()))),"OLD",IF(AND(E3028&lt;&gt;"",E3028&lt;&gt;"!!!"),"NEW","")))</f>
        <v> </v>
      </c>
      <c r="G3028" s="23" t="str">
        <f>IF(OR(E3028="",E3028="!!!"),"",IF(OR(J3028=0,AND(J3028=1,K3028=1),AND(J3028=1,I3028="SBJ"),AND(J3028=1,I3028=0)),"?IN_FOCUS",IF(J3028&lt;=2,"?ACTIVATED",IF(J3028&lt;&gt;"","?FAMILIAR",IF(F3028="NEW",IF(ISNA(VLOOKUP(E3028,#REF!,1,FALSE())),"?TYPE_IDENTIFIABLE","?REFERENTIAL"),"_")))))</f>
        <v> </v>
      </c>
      <c r="H3028" s="24" t="str">
        <f>IF(J3028&lt;&gt;1,"",IF(I3028="SBJ","CB","?"))</f>
        <v> </v>
      </c>
      <c r="I3028" s="25" t="str">
        <f>IF(OR(E3028="",E3028="!!!",F3028="NEW"),"",INDEX(B3027:B$2,-1+SUMPRODUCT(MAX(ROW(E3027:E$2)*(E3028=E3027:E$2)))))</f>
        <v> </v>
      </c>
      <c r="J3028" s="25" t="str">
        <f>IF(OR(E3028="",E3028="!!!",F3028="NEW"),"",COUNTBLANK(OFFSET(A$1,,,SUMPRODUCT(MAX(ROW(E$2:E3028)*(E3028=E$2:E3028)))))-COUNTBLANK(OFFSET(A$1,,,SUMPRODUCT(MAX(ROW(E$1:E3027)*(E2=E$1:E3027))))))</f>
        <v> </v>
      </c>
      <c r="K3028" s="25" t="str">
        <f>IF(OR(E3028="",E3028="!!!",F3028="NEW"),"",INDEX(J$1:J3027,SUMPRODUCT(MAX(ROW(E$1:E3027)*(E3028=E$1:E3027)))))</f>
        <v> </v>
      </c>
      <c r="L3028" s="26"/>
    </row>
    <row r="3029" spans="1:12">
      <c r="A3029" s="20" t="s">
        <v>683</v>
      </c>
      <c r="B3029" s="27" t="s">
        <v>522</v>
      </c>
      <c r="C3029" s="27" t="s">
        <v>908</v>
      </c>
      <c r="E3029" s="21">
        <f>IF(D3029="?OLD","!!!","")</f>
        <v/>
      </c>
      <c r="F3029" s="22" t="str">
        <f>IF(OR(E3029="",E3029="!!!"),"",IF(NOT(ISNA(VLOOKUP(E3029,E$1:E3028,1,FALSE()))),"OLD",IF(AND(E3029&lt;&gt;"",E3029&lt;&gt;"!!!"),"NEW","")))</f>
        <v> </v>
      </c>
      <c r="G3029" s="23" t="str">
        <f>IF(OR(E3029="",E3029="!!!"),"",IF(OR(J3029=0,AND(J3029=1,K3029=1),AND(J3029=1,I3029="SBJ"),AND(J3029=1,I3029=0)),"?IN_FOCUS",IF(J3029&lt;=2,"?ACTIVATED",IF(J3029&lt;&gt;"","?FAMILIAR",IF(F3029="NEW",IF(ISNA(VLOOKUP(E3029,#REF!,1,FALSE())),"?TYPE_IDENTIFIABLE","?REFERENTIAL"),"_")))))</f>
        <v> </v>
      </c>
      <c r="H3029" s="24" t="str">
        <f>IF(J3029&lt;&gt;1,"",IF(I3029="SBJ","CB","?"))</f>
        <v> </v>
      </c>
      <c r="I3029" s="25" t="str">
        <f>IF(OR(E3029="",E3029="!!!",F3029="NEW"),"",INDEX(B3028:B$2,-1+SUMPRODUCT(MAX(ROW(E3028:E$2)*(E3029=E3028:E$2)))))</f>
        <v> </v>
      </c>
      <c r="J3029" s="25" t="str">
        <f>IF(OR(E3029="",E3029="!!!",F3029="NEW"),"",COUNTBLANK(OFFSET(A$1,,,SUMPRODUCT(MAX(ROW(E$2:E3029)*(E3029=E$2:E3029)))))-COUNTBLANK(OFFSET(A$1,,,SUMPRODUCT(MAX(ROW(E$1:E3028)*(E2=E$1:E3028))))))</f>
        <v> </v>
      </c>
      <c r="K3029" s="25" t="str">
        <f>IF(OR(E3029="",E3029="!!!",F3029="NEW"),"",INDEX(J$1:J3028,SUMPRODUCT(MAX(ROW(E$1:E3028)*(E3029=E$1:E3028)))))</f>
        <v> </v>
      </c>
      <c r="L3029" s="26"/>
    </row>
    <row r="3030" spans="1:12">
      <c r="A3030" s="20" t="s">
        <v>565</v>
      </c>
      <c r="E3030" s="21">
        <f>IF(D3030="?OLD","!!!","")</f>
        <v/>
      </c>
      <c r="F3030" s="22" t="str">
        <f>IF(OR(E3030="",E3030="!!!"),"",IF(NOT(ISNA(VLOOKUP(E3030,E$1:E3029,1,FALSE()))),"OLD",IF(AND(E3030&lt;&gt;"",E3030&lt;&gt;"!!!"),"NEW","")))</f>
        <v> </v>
      </c>
      <c r="G3030" s="23" t="str">
        <f>IF(OR(E3030="",E3030="!!!"),"",IF(OR(J3030=0,AND(J3030=1,K3030=1),AND(J3030=1,I3030="SBJ"),AND(J3030=1,I3030=0)),"?IN_FOCUS",IF(J3030&lt;=2,"?ACTIVATED",IF(J3030&lt;&gt;"","?FAMILIAR",IF(F3030="NEW",IF(ISNA(VLOOKUP(E3030,#REF!,1,FALSE())),"?TYPE_IDENTIFIABLE","?REFERENTIAL"),"_")))))</f>
        <v> </v>
      </c>
      <c r="H3030" s="24" t="str">
        <f>IF(J3030&lt;&gt;1,"",IF(I3030="SBJ","CB","?"))</f>
        <v> </v>
      </c>
      <c r="I3030" s="25" t="str">
        <f>IF(OR(E3030="",E3030="!!!",F3030="NEW"),"",INDEX(B3029:B$2,-1+SUMPRODUCT(MAX(ROW(E3029:E$2)*(E3030=E3029:E$2)))))</f>
        <v> </v>
      </c>
      <c r="J3030" s="25" t="str">
        <f>IF(OR(E3030="",E3030="!!!",F3030="NEW"),"",COUNTBLANK(OFFSET(A$1,,,SUMPRODUCT(MAX(ROW(E$2:E3030)*(E3030=E$2:E3030)))))-COUNTBLANK(OFFSET(A$1,,,SUMPRODUCT(MAX(ROW(E$1:E3029)*(E2=E$1:E3029))))))</f>
        <v> </v>
      </c>
      <c r="K3030" s="25" t="str">
        <f>IF(OR(E3030="",E3030="!!!",F3030="NEW"),"",INDEX(J$1:J3029,SUMPRODUCT(MAX(ROW(E$1:E3029)*(E3030=E$1:E3029)))))</f>
        <v> </v>
      </c>
      <c r="L3030" s="26"/>
    </row>
    <row r="3031" spans="1:12">
      <c r="A3031" s="20" t="s">
        <v>843</v>
      </c>
      <c r="E3031" s="21">
        <f>IF(D3031="?OLD","!!!","")</f>
        <v/>
      </c>
      <c r="F3031" s="22" t="str">
        <f>IF(OR(E3031="",E3031="!!!"),"",IF(NOT(ISNA(VLOOKUP(E3031,E$1:E3030,1,FALSE()))),"OLD",IF(AND(E3031&lt;&gt;"",E3031&lt;&gt;"!!!"),"NEW","")))</f>
        <v> </v>
      </c>
      <c r="G3031" s="23" t="str">
        <f>IF(OR(E3031="",E3031="!!!"),"",IF(OR(J3031=0,AND(J3031=1,K3031=1),AND(J3031=1,I3031="SBJ"),AND(J3031=1,I3031=0)),"?IN_FOCUS",IF(J3031&lt;=2,"?ACTIVATED",IF(J3031&lt;&gt;"","?FAMILIAR",IF(F3031="NEW",IF(ISNA(VLOOKUP(E3031,#REF!,1,FALSE())),"?TYPE_IDENTIFIABLE","?REFERENTIAL"),"_")))))</f>
        <v> </v>
      </c>
      <c r="H3031" s="24" t="str">
        <f>IF(J3031&lt;&gt;1,"",IF(I3031="SBJ","CB","?"))</f>
        <v> </v>
      </c>
      <c r="I3031" s="25" t="str">
        <f>IF(OR(E3031="",E3031="!!!",F3031="NEW"),"",INDEX(B3030:B$2,-1+SUMPRODUCT(MAX(ROW(E3030:E$2)*(E3031=E3030:E$2)))))</f>
        <v> </v>
      </c>
      <c r="J3031" s="25" t="str">
        <f>IF(OR(E3031="",E3031="!!!",F3031="NEW"),"",COUNTBLANK(OFFSET(A$1,,,SUMPRODUCT(MAX(ROW(E$2:E3031)*(E3031=E$2:E3031)))))-COUNTBLANK(OFFSET(A$1,,,SUMPRODUCT(MAX(ROW(E$1:E3030)*(E2=E$1:E3030))))))</f>
        <v> </v>
      </c>
      <c r="K3031" s="25" t="str">
        <f>IF(OR(E3031="",E3031="!!!",F3031="NEW"),"",INDEX(J$1:J3030,SUMPRODUCT(MAX(ROW(E$1:E3030)*(E3031=E$1:E3030)))))</f>
        <v> </v>
      </c>
      <c r="L3031" s="26"/>
    </row>
    <row r="3032" spans="1:12">
      <c r="A3032" s="20" t="s">
        <v>1541</v>
      </c>
      <c r="E3032" s="21">
        <f>IF(D3032="?OLD","!!!","")</f>
        <v/>
      </c>
      <c r="F3032" s="22" t="str">
        <f>IF(OR(E3032="",E3032="!!!"),"",IF(NOT(ISNA(VLOOKUP(E3032,E$1:E3031,1,FALSE()))),"OLD",IF(AND(E3032&lt;&gt;"",E3032&lt;&gt;"!!!"),"NEW","")))</f>
        <v> </v>
      </c>
      <c r="G3032" s="23" t="str">
        <f>IF(OR(E3032="",E3032="!!!"),"",IF(OR(J3032=0,AND(J3032=1,K3032=1),AND(J3032=1,I3032="SBJ"),AND(J3032=1,I3032=0)),"?IN_FOCUS",IF(J3032&lt;=2,"?ACTIVATED",IF(J3032&lt;&gt;"","?FAMILIAR",IF(F3032="NEW",IF(ISNA(VLOOKUP(E3032,#REF!,1,FALSE())),"?TYPE_IDENTIFIABLE","?REFERENTIAL"),"_")))))</f>
        <v> </v>
      </c>
      <c r="H3032" s="24" t="str">
        <f>IF(J3032&lt;&gt;1,"",IF(I3032="SBJ","CB","?"))</f>
        <v> </v>
      </c>
      <c r="I3032" s="25" t="str">
        <f>IF(OR(E3032="",E3032="!!!",F3032="NEW"),"",INDEX(B3031:B$2,-1+SUMPRODUCT(MAX(ROW(E3031:E$2)*(E3032=E3031:E$2)))))</f>
        <v> </v>
      </c>
      <c r="J3032" s="25" t="str">
        <f>IF(OR(E3032="",E3032="!!!",F3032="NEW"),"",COUNTBLANK(OFFSET(A$1,,,SUMPRODUCT(MAX(ROW(E$2:E3032)*(E3032=E$2:E3032)))))-COUNTBLANK(OFFSET(A$1,,,SUMPRODUCT(MAX(ROW(E$1:E3031)*(E2=E$1:E3031))))))</f>
        <v> </v>
      </c>
      <c r="K3032" s="25" t="str">
        <f>IF(OR(E3032="",E3032="!!!",F3032="NEW"),"",INDEX(J$1:J3031,SUMPRODUCT(MAX(ROW(E$1:E3031)*(E3032=E$1:E3031)))))</f>
        <v> </v>
      </c>
      <c r="L3032" s="26"/>
    </row>
    <row r="3033" spans="1:12">
      <c r="A3033" s="20" t="s">
        <v>730</v>
      </c>
      <c r="E3033" s="21">
        <f>IF(D3033="?OLD","!!!","")</f>
        <v/>
      </c>
      <c r="F3033" s="22" t="str">
        <f>IF(OR(E3033="",E3033="!!!"),"",IF(NOT(ISNA(VLOOKUP(E3033,E$1:E3032,1,FALSE()))),"OLD",IF(AND(E3033&lt;&gt;"",E3033&lt;&gt;"!!!"),"NEW","")))</f>
        <v> </v>
      </c>
      <c r="G3033" s="23" t="str">
        <f>IF(OR(E3033="",E3033="!!!"),"",IF(OR(J3033=0,AND(J3033=1,K3033=1),AND(J3033=1,I3033="SBJ"),AND(J3033=1,I3033=0)),"?IN_FOCUS",IF(J3033&lt;=2,"?ACTIVATED",IF(J3033&lt;&gt;"","?FAMILIAR",IF(F3033="NEW",IF(ISNA(VLOOKUP(E3033,#REF!,1,FALSE())),"?TYPE_IDENTIFIABLE","?REFERENTIAL"),"_")))))</f>
        <v> </v>
      </c>
      <c r="H3033" s="24" t="str">
        <f>IF(J3033&lt;&gt;1,"",IF(I3033="SBJ","CB","?"))</f>
        <v> </v>
      </c>
      <c r="I3033" s="25" t="str">
        <f>IF(OR(E3033="",E3033="!!!",F3033="NEW"),"",INDEX(B3032:B$2,-1+SUMPRODUCT(MAX(ROW(E3032:E$2)*(E3033=E3032:E$2)))))</f>
        <v> </v>
      </c>
      <c r="J3033" s="25" t="str">
        <f>IF(OR(E3033="",E3033="!!!",F3033="NEW"),"",COUNTBLANK(OFFSET(A$1,,,SUMPRODUCT(MAX(ROW(E$2:E3033)*(E3033=E$2:E3033)))))-COUNTBLANK(OFFSET(A$1,,,SUMPRODUCT(MAX(ROW(E$1:E3032)*(E2=E$1:E3032))))))</f>
        <v> </v>
      </c>
      <c r="K3033" s="25" t="str">
        <f>IF(OR(E3033="",E3033="!!!",F3033="NEW"),"",INDEX(J$1:J3032,SUMPRODUCT(MAX(ROW(E$1:E3032)*(E3033=E$1:E3032)))))</f>
        <v> </v>
      </c>
      <c r="L3033" s="26"/>
    </row>
    <row r="3034" spans="1:12">
      <c r="A3034" s="20" t="s">
        <v>1010</v>
      </c>
      <c r="B3034" s="27" t="s">
        <v>522</v>
      </c>
      <c r="C3034" s="27" t="s">
        <v>545</v>
      </c>
      <c r="D3034" s="27" t="s">
        <v>524</v>
      </c>
      <c r="E3034" s="21">
        <f>IF(D3034="?OLD","!!!","")</f>
        <v/>
      </c>
      <c r="F3034" s="22" t="str">
        <f>IF(OR(E3034="",E3034="!!!"),"",IF(NOT(ISNA(VLOOKUP(E3034,E$1:E3033,1,FALSE()))),"OLD",IF(AND(E3034&lt;&gt;"",E3034&lt;&gt;"!!!"),"NEW","")))</f>
        <v> </v>
      </c>
      <c r="G3034" s="23" t="str">
        <f>IF(OR(E3034="",E3034="!!!"),"",IF(OR(J3034=0,AND(J3034=1,K3034=1),AND(J3034=1,I3034="SBJ"),AND(J3034=1,I3034=0)),"?IN_FOCUS",IF(J3034&lt;=2,"?ACTIVATED",IF(J3034&lt;&gt;"","?FAMILIAR",IF(F3034="NEW",IF(ISNA(VLOOKUP(E3034,#REF!,1,FALSE())),"?TYPE_IDENTIFIABLE","?REFERENTIAL"),"_")))))</f>
        <v> </v>
      </c>
      <c r="H3034" s="24" t="str">
        <f>IF(J3034&lt;&gt;1,"",IF(I3034="SBJ","CB","?"))</f>
        <v> </v>
      </c>
      <c r="I3034" s="25" t="str">
        <f>IF(OR(E3034="",E3034="!!!",F3034="NEW"),"",INDEX(B3033:B$2,-1+SUMPRODUCT(MAX(ROW(E3033:E$2)*(E3034=E3033:E$2)))))</f>
        <v> </v>
      </c>
      <c r="J3034" s="25" t="str">
        <f>IF(OR(E3034="",E3034="!!!",F3034="NEW"),"",COUNTBLANK(OFFSET(A$1,,,SUMPRODUCT(MAX(ROW(E$2:E3034)*(E3034=E$2:E3034)))))-COUNTBLANK(OFFSET(A$1,,,SUMPRODUCT(MAX(ROW(E$1:E3033)*(E2=E$1:E3033))))))</f>
        <v> </v>
      </c>
      <c r="K3034" s="25" t="str">
        <f>IF(OR(E3034="",E3034="!!!",F3034="NEW"),"",INDEX(J$1:J3033,SUMPRODUCT(MAX(ROW(E$1:E3033)*(E3034=E$1:E3033)))))</f>
        <v> </v>
      </c>
      <c r="L3034" s="26"/>
    </row>
    <row r="3035" spans="1:12">
      <c r="A3035" s="20" t="s">
        <v>560</v>
      </c>
      <c r="E3035" s="21">
        <f>IF(D3035="?OLD","!!!","")</f>
        <v/>
      </c>
      <c r="F3035" s="22" t="str">
        <f>IF(OR(E3035="",E3035="!!!"),"",IF(NOT(ISNA(VLOOKUP(E3035,E$1:E3034,1,FALSE()))),"OLD",IF(AND(E3035&lt;&gt;"",E3035&lt;&gt;"!!!"),"NEW","")))</f>
        <v> </v>
      </c>
      <c r="G3035" s="23" t="str">
        <f>IF(OR(E3035="",E3035="!!!"),"",IF(OR(J3035=0,AND(J3035=1,K3035=1),AND(J3035=1,I3035="SBJ"),AND(J3035=1,I3035=0)),"?IN_FOCUS",IF(J3035&lt;=2,"?ACTIVATED",IF(J3035&lt;&gt;"","?FAMILIAR",IF(F3035="NEW",IF(ISNA(VLOOKUP(E3035,#REF!,1,FALSE())),"?TYPE_IDENTIFIABLE","?REFERENTIAL"),"_")))))</f>
        <v> </v>
      </c>
      <c r="H3035" s="24" t="str">
        <f>IF(J3035&lt;&gt;1,"",IF(I3035="SBJ","CB","?"))</f>
        <v> </v>
      </c>
      <c r="I3035" s="25" t="str">
        <f>IF(OR(E3035="",E3035="!!!",F3035="NEW"),"",INDEX(B3034:B$2,-1+SUMPRODUCT(MAX(ROW(E3034:E$2)*(E3035=E3034:E$2)))))</f>
        <v> </v>
      </c>
      <c r="J3035" s="25" t="str">
        <f>IF(OR(E3035="",E3035="!!!",F3035="NEW"),"",COUNTBLANK(OFFSET(A$1,,,SUMPRODUCT(MAX(ROW(E$2:E3035)*(E3035=E$2:E3035)))))-COUNTBLANK(OFFSET(A$1,,,SUMPRODUCT(MAX(ROW(E$1:E3034)*(E2=E$1:E3034))))))</f>
        <v> </v>
      </c>
      <c r="K3035" s="25" t="str">
        <f>IF(OR(E3035="",E3035="!!!",F3035="NEW"),"",INDEX(J$1:J3034,SUMPRODUCT(MAX(ROW(E$1:E3034)*(E3035=E$1:E3034)))))</f>
        <v> </v>
      </c>
      <c r="L3035" s="26"/>
    </row>
    <row r="3036" spans="1:12">
      <c r="A3036" s="20" t="s">
        <v>895</v>
      </c>
      <c r="B3036" s="27" t="s">
        <v>597</v>
      </c>
      <c r="C3036" s="27" t="s">
        <v>540</v>
      </c>
      <c r="D3036" s="27" t="s">
        <v>524</v>
      </c>
      <c r="E3036" s="21">
        <f>IF(D3036="?OLD","!!!","")</f>
        <v/>
      </c>
      <c r="F3036" s="22" t="str">
        <f>IF(OR(E3036="",E3036="!!!"),"",IF(NOT(ISNA(VLOOKUP(E3036,E$1:E3035,1,FALSE()))),"OLD",IF(AND(E3036&lt;&gt;"",E3036&lt;&gt;"!!!"),"NEW","")))</f>
        <v> </v>
      </c>
      <c r="G3036" s="23" t="str">
        <f>IF(OR(E3036="",E3036="!!!"),"",IF(OR(J3036=0,AND(J3036=1,K3036=1),AND(J3036=1,I3036="SBJ"),AND(J3036=1,I3036=0)),"?IN_FOCUS",IF(J3036&lt;=2,"?ACTIVATED",IF(J3036&lt;&gt;"","?FAMILIAR",IF(F3036="NEW",IF(ISNA(VLOOKUP(E3036,#REF!,1,FALSE())),"?TYPE_IDENTIFIABLE","?REFERENTIAL"),"_")))))</f>
        <v> </v>
      </c>
      <c r="H3036" s="24" t="str">
        <f>IF(J3036&lt;&gt;1,"",IF(I3036="SBJ","CB","?"))</f>
        <v> </v>
      </c>
      <c r="I3036" s="25" t="str">
        <f>IF(OR(E3036="",E3036="!!!",F3036="NEW"),"",INDEX(B3035:B$2,-1+SUMPRODUCT(MAX(ROW(E3035:E$2)*(E3036=E3035:E$2)))))</f>
        <v> </v>
      </c>
      <c r="J3036" s="25" t="str">
        <f>IF(OR(E3036="",E3036="!!!",F3036="NEW"),"",COUNTBLANK(OFFSET(A$1,,,SUMPRODUCT(MAX(ROW(E$2:E3036)*(E3036=E$2:E3036)))))-COUNTBLANK(OFFSET(A$1,,,SUMPRODUCT(MAX(ROW(E$1:E3035)*(E2=E$1:E3035))))))</f>
        <v> </v>
      </c>
      <c r="K3036" s="25" t="str">
        <f>IF(OR(E3036="",E3036="!!!",F3036="NEW"),"",INDEX(J$1:J3035,SUMPRODUCT(MAX(ROW(E$1:E3035)*(E3036=E$1:E3035)))))</f>
        <v> </v>
      </c>
      <c r="L3036" s="26"/>
    </row>
    <row r="3037" spans="1:12">
      <c r="A3037" s="20" t="s">
        <v>518</v>
      </c>
      <c r="E3037" s="21">
        <f>IF(D3037="?OLD","!!!","")</f>
        <v/>
      </c>
      <c r="F3037" s="22" t="str">
        <f>IF(OR(E3037="",E3037="!!!"),"",IF(NOT(ISNA(VLOOKUP(E3037,E$1:E3036,1,FALSE()))),"OLD",IF(AND(E3037&lt;&gt;"",E3037&lt;&gt;"!!!"),"NEW","")))</f>
        <v> </v>
      </c>
      <c r="G3037" s="23" t="str">
        <f>IF(OR(E3037="",E3037="!!!"),"",IF(OR(J3037=0,AND(J3037=1,K3037=1),AND(J3037=1,I3037="SBJ"),AND(J3037=1,I3037=0)),"?IN_FOCUS",IF(J3037&lt;=2,"?ACTIVATED",IF(J3037&lt;&gt;"","?FAMILIAR",IF(F3037="NEW",IF(ISNA(VLOOKUP(E3037,#REF!,1,FALSE())),"?TYPE_IDENTIFIABLE","?REFERENTIAL"),"_")))))</f>
        <v> </v>
      </c>
      <c r="H3037" s="24" t="str">
        <f>IF(J3037&lt;&gt;1,"",IF(I3037="SBJ","CB","?"))</f>
        <v> </v>
      </c>
      <c r="I3037" s="25" t="str">
        <f>IF(OR(E3037="",E3037="!!!",F3037="NEW"),"",INDEX(B3036:B$2,-1+SUMPRODUCT(MAX(ROW(E3036:E$2)*(E3037=E3036:E$2)))))</f>
        <v> </v>
      </c>
      <c r="J3037" s="25" t="str">
        <f>IF(OR(E3037="",E3037="!!!",F3037="NEW"),"",COUNTBLANK(OFFSET(A$1,,,SUMPRODUCT(MAX(ROW(E$2:E3037)*(E3037=E$2:E3037)))))-COUNTBLANK(OFFSET(A$1,,,SUMPRODUCT(MAX(ROW(E$1:E3036)*(E2=E$1:E3036))))))</f>
        <v> </v>
      </c>
      <c r="K3037" s="25" t="str">
        <f>IF(OR(E3037="",E3037="!!!",F3037="NEW"),"",INDEX(J$1:J3036,SUMPRODUCT(MAX(ROW(E$1:E3036)*(E3037=E$1:E3036)))))</f>
        <v> </v>
      </c>
      <c r="L3037" s="26"/>
    </row>
    <row r="3038" spans="1:12">
      <c r="A3038" s="20" t="s">
        <v>1542</v>
      </c>
      <c r="B3038" s="27" t="s">
        <v>544</v>
      </c>
      <c r="C3038" s="27" t="s">
        <v>564</v>
      </c>
      <c r="E3038" s="21">
        <f>IF(D3038="?OLD","!!!","")</f>
        <v/>
      </c>
      <c r="F3038" s="22" t="str">
        <f>IF(OR(E3038="",E3038="!!!"),"",IF(NOT(ISNA(VLOOKUP(E3038,E$1:E3037,1,FALSE()))),"OLD",IF(AND(E3038&lt;&gt;"",E3038&lt;&gt;"!!!"),"NEW","")))</f>
        <v> </v>
      </c>
      <c r="G3038" s="23" t="str">
        <f>IF(OR(E3038="",E3038="!!!"),"",IF(OR(J3038=0,AND(J3038=1,K3038=1),AND(J3038=1,I3038="SBJ"),AND(J3038=1,I3038=0)),"?IN_FOCUS",IF(J3038&lt;=2,"?ACTIVATED",IF(J3038&lt;&gt;"","?FAMILIAR",IF(F3038="NEW",IF(ISNA(VLOOKUP(E3038,#REF!,1,FALSE())),"?TYPE_IDENTIFIABLE","?REFERENTIAL"),"_")))))</f>
        <v> </v>
      </c>
      <c r="H3038" s="24" t="str">
        <f>IF(J3038&lt;&gt;1,"",IF(I3038="SBJ","CB","?"))</f>
        <v> </v>
      </c>
      <c r="I3038" s="25" t="str">
        <f>IF(OR(E3038="",E3038="!!!",F3038="NEW"),"",INDEX(B3037:B$2,-1+SUMPRODUCT(MAX(ROW(E3037:E$2)*(E3038=E3037:E$2)))))</f>
        <v> </v>
      </c>
      <c r="J3038" s="25" t="str">
        <f>IF(OR(E3038="",E3038="!!!",F3038="NEW"),"",COUNTBLANK(OFFSET(A$1,,,SUMPRODUCT(MAX(ROW(E$2:E3038)*(E3038=E$2:E3038)))))-COUNTBLANK(OFFSET(A$1,,,SUMPRODUCT(MAX(ROW(E$1:E3037)*(E2=E$1:E3037))))))</f>
        <v> </v>
      </c>
      <c r="K3038" s="25" t="str">
        <f>IF(OR(E3038="",E3038="!!!",F3038="NEW"),"",INDEX(J$1:J3037,SUMPRODUCT(MAX(ROW(E$1:E3037)*(E3038=E$1:E3037)))))</f>
        <v> </v>
      </c>
      <c r="L3038" s="26"/>
    </row>
    <row r="3039" spans="1:12">
      <c r="A3039" s="20" t="s">
        <v>625</v>
      </c>
      <c r="E3039" s="21">
        <f>IF(D3039="?OLD","!!!","")</f>
        <v/>
      </c>
      <c r="F3039" s="22" t="str">
        <f>IF(OR(E3039="",E3039="!!!"),"",IF(NOT(ISNA(VLOOKUP(E3039,E$1:E3038,1,FALSE()))),"OLD",IF(AND(E3039&lt;&gt;"",E3039&lt;&gt;"!!!"),"NEW","")))</f>
        <v> </v>
      </c>
      <c r="G3039" s="23" t="str">
        <f>IF(OR(E3039="",E3039="!!!"),"",IF(OR(J3039=0,AND(J3039=1,K3039=1),AND(J3039=1,I3039="SBJ"),AND(J3039=1,I3039=0)),"?IN_FOCUS",IF(J3039&lt;=2,"?ACTIVATED",IF(J3039&lt;&gt;"","?FAMILIAR",IF(F3039="NEW",IF(ISNA(VLOOKUP(E3039,#REF!,1,FALSE())),"?TYPE_IDENTIFIABLE","?REFERENTIAL"),"_")))))</f>
        <v> </v>
      </c>
      <c r="H3039" s="24" t="str">
        <f>IF(J3039&lt;&gt;1,"",IF(I3039="SBJ","CB","?"))</f>
        <v> </v>
      </c>
      <c r="I3039" s="25" t="str">
        <f>IF(OR(E3039="",E3039="!!!",F3039="NEW"),"",INDEX(B3038:B$2,-1+SUMPRODUCT(MAX(ROW(E3038:E$2)*(E3039=E3038:E$2)))))</f>
        <v> </v>
      </c>
      <c r="J3039" s="25" t="str">
        <f>IF(OR(E3039="",E3039="!!!",F3039="NEW"),"",COUNTBLANK(OFFSET(A$1,,,SUMPRODUCT(MAX(ROW(E$2:E3039)*(E3039=E$2:E3039)))))-COUNTBLANK(OFFSET(A$1,,,SUMPRODUCT(MAX(ROW(E$1:E3038)*(E2=E$1:E3038))))))</f>
        <v> </v>
      </c>
      <c r="K3039" s="25" t="str">
        <f>IF(OR(E3039="",E3039="!!!",F3039="NEW"),"",INDEX(J$1:J3038,SUMPRODUCT(MAX(ROW(E$1:E3038)*(E3039=E$1:E3038)))))</f>
        <v> </v>
      </c>
      <c r="L3039" s="26"/>
    </row>
    <row r="3040" spans="1:12">
      <c r="A3040" s="20" t="s">
        <v>1543</v>
      </c>
      <c r="B3040" s="27" t="s">
        <v>534</v>
      </c>
      <c r="C3040" s="27" t="s">
        <v>564</v>
      </c>
      <c r="E3040" s="21">
        <f>IF(D3040="?OLD","!!!","")</f>
        <v/>
      </c>
      <c r="F3040" s="22" t="str">
        <f>IF(OR(E3040="",E3040="!!!"),"",IF(NOT(ISNA(VLOOKUP(E3040,E$1:E3039,1,FALSE()))),"OLD",IF(AND(E3040&lt;&gt;"",E3040&lt;&gt;"!!!"),"NEW","")))</f>
        <v> </v>
      </c>
      <c r="G3040" s="23" t="str">
        <f>IF(OR(E3040="",E3040="!!!"),"",IF(OR(J3040=0,AND(J3040=1,K3040=1),AND(J3040=1,I3040="SBJ"),AND(J3040=1,I3040=0)),"?IN_FOCUS",IF(J3040&lt;=2,"?ACTIVATED",IF(J3040&lt;&gt;"","?FAMILIAR",IF(F3040="NEW",IF(ISNA(VLOOKUP(E3040,#REF!,1,FALSE())),"?TYPE_IDENTIFIABLE","?REFERENTIAL"),"_")))))</f>
        <v> </v>
      </c>
      <c r="H3040" s="24" t="str">
        <f>IF(J3040&lt;&gt;1,"",IF(I3040="SBJ","CB","?"))</f>
        <v> </v>
      </c>
      <c r="I3040" s="25" t="str">
        <f>IF(OR(E3040="",E3040="!!!",F3040="NEW"),"",INDEX(B3039:B$2,-1+SUMPRODUCT(MAX(ROW(E3039:E$2)*(E3040=E3039:E$2)))))</f>
        <v> </v>
      </c>
      <c r="J3040" s="25" t="str">
        <f>IF(OR(E3040="",E3040="!!!",F3040="NEW"),"",COUNTBLANK(OFFSET(A$1,,,SUMPRODUCT(MAX(ROW(E$2:E3040)*(E3040=E$2:E3040)))))-COUNTBLANK(OFFSET(A$1,,,SUMPRODUCT(MAX(ROW(E$1:E3039)*(E2=E$1:E3039))))))</f>
        <v> </v>
      </c>
      <c r="K3040" s="25" t="str">
        <f>IF(OR(E3040="",E3040="!!!",F3040="NEW"),"",INDEX(J$1:J3039,SUMPRODUCT(MAX(ROW(E$1:E3039)*(E3040=E$1:E3039)))))</f>
        <v> </v>
      </c>
      <c r="L3040" s="26"/>
    </row>
    <row r="3041" spans="1:12">
      <c r="A3041" s="20" t="s">
        <v>565</v>
      </c>
      <c r="E3041" s="21">
        <f>IF(D3041="?OLD","!!!","")</f>
        <v/>
      </c>
      <c r="F3041" s="22" t="str">
        <f>IF(OR(E3041="",E3041="!!!"),"",IF(NOT(ISNA(VLOOKUP(E3041,E$1:E3040,1,FALSE()))),"OLD",IF(AND(E3041&lt;&gt;"",E3041&lt;&gt;"!!!"),"NEW","")))</f>
        <v> </v>
      </c>
      <c r="G3041" s="23" t="str">
        <f>IF(OR(E3041="",E3041="!!!"),"",IF(OR(J3041=0,AND(J3041=1,K3041=1),AND(J3041=1,I3041="SBJ"),AND(J3041=1,I3041=0)),"?IN_FOCUS",IF(J3041&lt;=2,"?ACTIVATED",IF(J3041&lt;&gt;"","?FAMILIAR",IF(F3041="NEW",IF(ISNA(VLOOKUP(E3041,#REF!,1,FALSE())),"?TYPE_IDENTIFIABLE","?REFERENTIAL"),"_")))))</f>
        <v> </v>
      </c>
      <c r="H3041" s="24" t="str">
        <f>IF(J3041&lt;&gt;1,"",IF(I3041="SBJ","CB","?"))</f>
        <v> </v>
      </c>
      <c r="I3041" s="25" t="str">
        <f>IF(OR(E3041="",E3041="!!!",F3041="NEW"),"",INDEX(B3040:B$2,-1+SUMPRODUCT(MAX(ROW(E3040:E$2)*(E3041=E3040:E$2)))))</f>
        <v> </v>
      </c>
      <c r="J3041" s="25" t="str">
        <f>IF(OR(E3041="",E3041="!!!",F3041="NEW"),"",COUNTBLANK(OFFSET(A$1,,,SUMPRODUCT(MAX(ROW(E$2:E3041)*(E3041=E$2:E3041)))))-COUNTBLANK(OFFSET(A$1,,,SUMPRODUCT(MAX(ROW(E$1:E3040)*(E2=E$1:E3040))))))</f>
        <v> </v>
      </c>
      <c r="K3041" s="25" t="str">
        <f>IF(OR(E3041="",E3041="!!!",F3041="NEW"),"",INDEX(J$1:J3040,SUMPRODUCT(MAX(ROW(E$1:E3040)*(E3041=E$1:E3040)))))</f>
        <v> </v>
      </c>
      <c r="L3041" s="26"/>
    </row>
    <row r="3042" spans="1:12">
      <c r="A3042" s="20" t="s">
        <v>358</v>
      </c>
      <c r="B3042" s="27" t="s">
        <v>633</v>
      </c>
      <c r="C3042" s="27" t="s">
        <v>523</v>
      </c>
      <c r="D3042" s="27" t="s">
        <v>524</v>
      </c>
      <c r="E3042" s="21">
        <f>IF(D3042="?OLD","!!!","")</f>
        <v/>
      </c>
      <c r="F3042" s="22" t="str">
        <f>IF(OR(E3042="",E3042="!!!"),"",IF(NOT(ISNA(VLOOKUP(E3042,E$1:E3041,1,FALSE()))),"OLD",IF(AND(E3042&lt;&gt;"",E3042&lt;&gt;"!!!"),"NEW","")))</f>
        <v> </v>
      </c>
      <c r="G3042" s="23" t="str">
        <f>IF(OR(E3042="",E3042="!!!"),"",IF(OR(J3042=0,AND(J3042=1,K3042=1),AND(J3042=1,I3042="SBJ"),AND(J3042=1,I3042=0)),"?IN_FOCUS",IF(J3042&lt;=2,"?ACTIVATED",IF(J3042&lt;&gt;"","?FAMILIAR",IF(F3042="NEW",IF(ISNA(VLOOKUP(E3042,#REF!,1,FALSE())),"?TYPE_IDENTIFIABLE","?REFERENTIAL"),"_")))))</f>
        <v> </v>
      </c>
      <c r="H3042" s="24" t="str">
        <f>IF(J3042&lt;&gt;1,"",IF(I3042="SBJ","CB","?"))</f>
        <v> </v>
      </c>
      <c r="I3042" s="25" t="str">
        <f>IF(OR(E3042="",E3042="!!!",F3042="NEW"),"",INDEX(B3041:B$2,-1+SUMPRODUCT(MAX(ROW(E3041:E$2)*(E3042=E3041:E$2)))))</f>
        <v> </v>
      </c>
      <c r="J3042" s="25" t="str">
        <f>IF(OR(E3042="",E3042="!!!",F3042="NEW"),"",COUNTBLANK(OFFSET(A$1,,,SUMPRODUCT(MAX(ROW(E$2:E3042)*(E3042=E$2:E3042)))))-COUNTBLANK(OFFSET(A$1,,,SUMPRODUCT(MAX(ROW(E$1:E3041)*(E2=E$1:E3041))))))</f>
        <v> </v>
      </c>
      <c r="K3042" s="25" t="str">
        <f>IF(OR(E3042="",E3042="!!!",F3042="NEW"),"",INDEX(J$1:J3041,SUMPRODUCT(MAX(ROW(E$1:E3041)*(E3042=E$1:E3041)))))</f>
        <v> </v>
      </c>
      <c r="L3042" s="26"/>
    </row>
    <row r="3043" spans="1:12">
      <c r="A3043" s="20" t="s">
        <v>708</v>
      </c>
      <c r="E3043" s="21">
        <f>IF(D3043="?OLD","!!!","")</f>
        <v/>
      </c>
      <c r="F3043" s="22" t="str">
        <f>IF(OR(E3043="",E3043="!!!"),"",IF(NOT(ISNA(VLOOKUP(E3043,E$1:E3042,1,FALSE()))),"OLD",IF(AND(E3043&lt;&gt;"",E3043&lt;&gt;"!!!"),"NEW","")))</f>
        <v> </v>
      </c>
      <c r="G3043" s="23" t="str">
        <f>IF(OR(E3043="",E3043="!!!"),"",IF(OR(J3043=0,AND(J3043=1,K3043=1),AND(J3043=1,I3043="SBJ"),AND(J3043=1,I3043=0)),"?IN_FOCUS",IF(J3043&lt;=2,"?ACTIVATED",IF(J3043&lt;&gt;"","?FAMILIAR",IF(F3043="NEW",IF(ISNA(VLOOKUP(E3043,#REF!,1,FALSE())),"?TYPE_IDENTIFIABLE","?REFERENTIAL"),"_")))))</f>
        <v> </v>
      </c>
      <c r="H3043" s="24" t="str">
        <f>IF(J3043&lt;&gt;1,"",IF(I3043="SBJ","CB","?"))</f>
        <v> </v>
      </c>
      <c r="I3043" s="25" t="str">
        <f>IF(OR(E3043="",E3043="!!!",F3043="NEW"),"",INDEX(B3042:B$2,-1+SUMPRODUCT(MAX(ROW(E3042:E$2)*(E3043=E3042:E$2)))))</f>
        <v> </v>
      </c>
      <c r="J3043" s="25" t="str">
        <f>IF(OR(E3043="",E3043="!!!",F3043="NEW"),"",COUNTBLANK(OFFSET(A$1,,,SUMPRODUCT(MAX(ROW(E$2:E3043)*(E3043=E$2:E3043)))))-COUNTBLANK(OFFSET(A$1,,,SUMPRODUCT(MAX(ROW(E$1:E3042)*(E2=E$1:E3042))))))</f>
        <v> </v>
      </c>
      <c r="K3043" s="25" t="str">
        <f>IF(OR(E3043="",E3043="!!!",F3043="NEW"),"",INDEX(J$1:J3042,SUMPRODUCT(MAX(ROW(E$1:E3042)*(E3043=E$1:E3042)))))</f>
        <v> </v>
      </c>
      <c r="L3043" s="26"/>
    </row>
    <row r="3044" spans="1:12">
      <c r="A3044" s="20" t="s">
        <v>1544</v>
      </c>
      <c r="E3044" s="21">
        <f>IF(D3044="?OLD","!!!","")</f>
        <v/>
      </c>
      <c r="F3044" s="22" t="str">
        <f>IF(OR(E3044="",E3044="!!!"),"",IF(NOT(ISNA(VLOOKUP(E3044,E$1:E3043,1,FALSE()))),"OLD",IF(AND(E3044&lt;&gt;"",E3044&lt;&gt;"!!!"),"NEW","")))</f>
        <v> </v>
      </c>
      <c r="G3044" s="23" t="str">
        <f>IF(OR(E3044="",E3044="!!!"),"",IF(OR(J3044=0,AND(J3044=1,K3044=1),AND(J3044=1,I3044="SBJ"),AND(J3044=1,I3044=0)),"?IN_FOCUS",IF(J3044&lt;=2,"?ACTIVATED",IF(J3044&lt;&gt;"","?FAMILIAR",IF(F3044="NEW",IF(ISNA(VLOOKUP(E3044,#REF!,1,FALSE())),"?TYPE_IDENTIFIABLE","?REFERENTIAL"),"_")))))</f>
        <v> </v>
      </c>
      <c r="H3044" s="24" t="str">
        <f>IF(J3044&lt;&gt;1,"",IF(I3044="SBJ","CB","?"))</f>
        <v> </v>
      </c>
      <c r="I3044" s="25" t="str">
        <f>IF(OR(E3044="",E3044="!!!",F3044="NEW"),"",INDEX(B3043:B$2,-1+SUMPRODUCT(MAX(ROW(E3043:E$2)*(E3044=E3043:E$2)))))</f>
        <v> </v>
      </c>
      <c r="J3044" s="25" t="str">
        <f>IF(OR(E3044="",E3044="!!!",F3044="NEW"),"",COUNTBLANK(OFFSET(A$1,,,SUMPRODUCT(MAX(ROW(E$2:E3044)*(E3044=E$2:E3044)))))-COUNTBLANK(OFFSET(A$1,,,SUMPRODUCT(MAX(ROW(E$1:E3043)*(E2=E$1:E3043))))))</f>
        <v> </v>
      </c>
      <c r="K3044" s="25" t="str">
        <f>IF(OR(E3044="",E3044="!!!",F3044="NEW"),"",INDEX(J$1:J3043,SUMPRODUCT(MAX(ROW(E$1:E3043)*(E3044=E$1:E3043)))))</f>
        <v> </v>
      </c>
      <c r="L3044" s="26"/>
    </row>
    <row r="3045" spans="1:12">
      <c r="A3045" s="20" t="s">
        <v>1545</v>
      </c>
      <c r="E3045" s="21">
        <f>IF(D3045="?OLD","!!!","")</f>
        <v/>
      </c>
      <c r="F3045" s="22" t="str">
        <f>IF(OR(E3045="",E3045="!!!"),"",IF(NOT(ISNA(VLOOKUP(E3045,E$1:E3044,1,FALSE()))),"OLD",IF(AND(E3045&lt;&gt;"",E3045&lt;&gt;"!!!"),"NEW","")))</f>
        <v> </v>
      </c>
      <c r="G3045" s="23" t="str">
        <f>IF(OR(E3045="",E3045="!!!"),"",IF(OR(J3045=0,AND(J3045=1,K3045=1),AND(J3045=1,I3045="SBJ"),AND(J3045=1,I3045=0)),"?IN_FOCUS",IF(J3045&lt;=2,"?ACTIVATED",IF(J3045&lt;&gt;"","?FAMILIAR",IF(F3045="NEW",IF(ISNA(VLOOKUP(E3045,#REF!,1,FALSE())),"?TYPE_IDENTIFIABLE","?REFERENTIAL"),"_")))))</f>
        <v> </v>
      </c>
      <c r="H3045" s="24" t="str">
        <f>IF(J3045&lt;&gt;1,"",IF(I3045="SBJ","CB","?"))</f>
        <v> </v>
      </c>
      <c r="I3045" s="25" t="str">
        <f>IF(OR(E3045="",E3045="!!!",F3045="NEW"),"",INDEX(B3044:B$2,-1+SUMPRODUCT(MAX(ROW(E3044:E$2)*(E3045=E3044:E$2)))))</f>
        <v> </v>
      </c>
      <c r="J3045" s="25" t="str">
        <f>IF(OR(E3045="",E3045="!!!",F3045="NEW"),"",COUNTBLANK(OFFSET(A$1,,,SUMPRODUCT(MAX(ROW(E$2:E3045)*(E3045=E$2:E3045)))))-COUNTBLANK(OFFSET(A$1,,,SUMPRODUCT(MAX(ROW(E$1:E3044)*(E2=E$1:E3044))))))</f>
        <v> </v>
      </c>
      <c r="K3045" s="25" t="str">
        <f>IF(OR(E3045="",E3045="!!!",F3045="NEW"),"",INDEX(J$1:J3044,SUMPRODUCT(MAX(ROW(E$1:E3044)*(E3045=E$1:E3044)))))</f>
        <v> </v>
      </c>
      <c r="L3045" s="26"/>
    </row>
    <row r="3046" spans="1:12">
      <c r="A3046" s="20" t="s">
        <v>560</v>
      </c>
      <c r="E3046" s="21">
        <f>IF(D3046="?OLD","!!!","")</f>
        <v/>
      </c>
      <c r="F3046" s="22" t="str">
        <f>IF(OR(E3046="",E3046="!!!"),"",IF(NOT(ISNA(VLOOKUP(E3046,E$1:E3045,1,FALSE()))),"OLD",IF(AND(E3046&lt;&gt;"",E3046&lt;&gt;"!!!"),"NEW","")))</f>
        <v> </v>
      </c>
      <c r="G3046" s="23" t="str">
        <f>IF(OR(E3046="",E3046="!!!"),"",IF(OR(J3046=0,AND(J3046=1,K3046=1),AND(J3046=1,I3046="SBJ"),AND(J3046=1,I3046=0)),"?IN_FOCUS",IF(J3046&lt;=2,"?ACTIVATED",IF(J3046&lt;&gt;"","?FAMILIAR",IF(F3046="NEW",IF(ISNA(VLOOKUP(E3046,#REF!,1,FALSE())),"?TYPE_IDENTIFIABLE","?REFERENTIAL"),"_")))))</f>
        <v> </v>
      </c>
      <c r="H3046" s="24" t="str">
        <f>IF(J3046&lt;&gt;1,"",IF(I3046="SBJ","CB","?"))</f>
        <v> </v>
      </c>
      <c r="I3046" s="25" t="str">
        <f>IF(OR(E3046="",E3046="!!!",F3046="NEW"),"",INDEX(B3045:B$2,-1+SUMPRODUCT(MAX(ROW(E3045:E$2)*(E3046=E3045:E$2)))))</f>
        <v> </v>
      </c>
      <c r="J3046" s="25" t="str">
        <f>IF(OR(E3046="",E3046="!!!",F3046="NEW"),"",COUNTBLANK(OFFSET(A$1,,,SUMPRODUCT(MAX(ROW(E$2:E3046)*(E3046=E$2:E3046)))))-COUNTBLANK(OFFSET(A$1,,,SUMPRODUCT(MAX(ROW(E$1:E3045)*(E2=E$1:E3045))))))</f>
        <v> </v>
      </c>
      <c r="K3046" s="25" t="str">
        <f>IF(OR(E3046="",E3046="!!!",F3046="NEW"),"",INDEX(J$1:J3045,SUMPRODUCT(MAX(ROW(E$1:E3045)*(E3046=E$1:E3045)))))</f>
        <v> </v>
      </c>
      <c r="L3046" s="26"/>
    </row>
    <row r="3047" spans="1:12">
      <c r="A3047" s="20" t="s">
        <v>538</v>
      </c>
      <c r="E3047" s="21">
        <f>IF(D3047="?OLD","!!!","")</f>
        <v/>
      </c>
      <c r="F3047" s="22" t="str">
        <f>IF(OR(E3047="",E3047="!!!"),"",IF(NOT(ISNA(VLOOKUP(E3047,E$1:E3046,1,FALSE()))),"OLD",IF(AND(E3047&lt;&gt;"",E3047&lt;&gt;"!!!"),"NEW","")))</f>
        <v> </v>
      </c>
      <c r="G3047" s="23" t="str">
        <f>IF(OR(E3047="",E3047="!!!"),"",IF(OR(J3047=0,AND(J3047=1,K3047=1),AND(J3047=1,I3047="SBJ"),AND(J3047=1,I3047=0)),"?IN_FOCUS",IF(J3047&lt;=2,"?ACTIVATED",IF(J3047&lt;&gt;"","?FAMILIAR",IF(F3047="NEW",IF(ISNA(VLOOKUP(E3047,#REF!,1,FALSE())),"?TYPE_IDENTIFIABLE","?REFERENTIAL"),"_")))))</f>
        <v> </v>
      </c>
      <c r="H3047" s="24" t="str">
        <f>IF(J3047&lt;&gt;1,"",IF(I3047="SBJ","CB","?"))</f>
        <v> </v>
      </c>
      <c r="I3047" s="25" t="str">
        <f>IF(OR(E3047="",E3047="!!!",F3047="NEW"),"",INDEX(B3046:B$2,-1+SUMPRODUCT(MAX(ROW(E3046:E$2)*(E3047=E3046:E$2)))))</f>
        <v> </v>
      </c>
      <c r="J3047" s="25" t="str">
        <f>IF(OR(E3047="",E3047="!!!",F3047="NEW"),"",COUNTBLANK(OFFSET(A$1,,,SUMPRODUCT(MAX(ROW(E$2:E3047)*(E3047=E$2:E3047)))))-COUNTBLANK(OFFSET(A$1,,,SUMPRODUCT(MAX(ROW(E$1:E3046)*(E2=E$1:E3046))))))</f>
        <v> </v>
      </c>
      <c r="K3047" s="25" t="str">
        <f>IF(OR(E3047="",E3047="!!!",F3047="NEW"),"",INDEX(J$1:J3046,SUMPRODUCT(MAX(ROW(E$1:E3046)*(E3047=E$1:E3046)))))</f>
        <v> </v>
      </c>
      <c r="L3047" s="26"/>
    </row>
    <row r="3048" spans="1:12">
      <c r="A3048" s="20" t="s">
        <v>948</v>
      </c>
      <c r="B3048" s="27" t="s">
        <v>544</v>
      </c>
      <c r="C3048" s="27" t="s">
        <v>527</v>
      </c>
      <c r="E3048" s="21">
        <f>IF(D3048="?OLD","!!!","")</f>
        <v/>
      </c>
      <c r="F3048" s="22" t="str">
        <f>IF(OR(E3048="",E3048="!!!"),"",IF(NOT(ISNA(VLOOKUP(E3048,E$1:E3047,1,FALSE()))),"OLD",IF(AND(E3048&lt;&gt;"",E3048&lt;&gt;"!!!"),"NEW","")))</f>
        <v> </v>
      </c>
      <c r="G3048" s="23" t="str">
        <f>IF(OR(E3048="",E3048="!!!"),"",IF(OR(J3048=0,AND(J3048=1,K3048=1),AND(J3048=1,I3048="SBJ"),AND(J3048=1,I3048=0)),"?IN_FOCUS",IF(J3048&lt;=2,"?ACTIVATED",IF(J3048&lt;&gt;"","?FAMILIAR",IF(F3048="NEW",IF(ISNA(VLOOKUP(E3048,#REF!,1,FALSE())),"?TYPE_IDENTIFIABLE","?REFERENTIAL"),"_")))))</f>
        <v> </v>
      </c>
      <c r="H3048" s="24" t="str">
        <f>IF(J3048&lt;&gt;1,"",IF(I3048="SBJ","CB","?"))</f>
        <v> </v>
      </c>
      <c r="I3048" s="25" t="str">
        <f>IF(OR(E3048="",E3048="!!!",F3048="NEW"),"",INDEX(B3047:B$2,-1+SUMPRODUCT(MAX(ROW(E3047:E$2)*(E3048=E3047:E$2)))))</f>
        <v> </v>
      </c>
      <c r="J3048" s="25" t="str">
        <f>IF(OR(E3048="",E3048="!!!",F3048="NEW"),"",COUNTBLANK(OFFSET(A$1,,,SUMPRODUCT(MAX(ROW(E$2:E3048)*(E3048=E$2:E3048)))))-COUNTBLANK(OFFSET(A$1,,,SUMPRODUCT(MAX(ROW(E$1:E3047)*(E2=E$1:E3047))))))</f>
        <v> </v>
      </c>
      <c r="K3048" s="25" t="str">
        <f>IF(OR(E3048="",E3048="!!!",F3048="NEW"),"",INDEX(J$1:J3047,SUMPRODUCT(MAX(ROW(E$1:E3047)*(E3048=E$1:E3047)))))</f>
        <v> </v>
      </c>
      <c r="L3048" s="26"/>
    </row>
    <row r="3049" spans="1:12">
      <c r="A3049" s="20" t="s">
        <v>528</v>
      </c>
      <c r="B3049" s="27" t="s">
        <v>873</v>
      </c>
      <c r="E3049" s="21">
        <f>IF(D3049="?OLD","!!!","")</f>
        <v/>
      </c>
      <c r="F3049" s="22" t="str">
        <f>IF(OR(E3049="",E3049="!!!"),"",IF(NOT(ISNA(VLOOKUP(E3049,E$1:E3048,1,FALSE()))),"OLD",IF(AND(E3049&lt;&gt;"",E3049&lt;&gt;"!!!"),"NEW","")))</f>
        <v> </v>
      </c>
      <c r="G3049" s="23" t="str">
        <f>IF(OR(E3049="",E3049="!!!"),"",IF(OR(J3049=0,AND(J3049=1,K3049=1),AND(J3049=1,I3049="SBJ"),AND(J3049=1,I3049=0)),"?IN_FOCUS",IF(J3049&lt;=2,"?ACTIVATED",IF(J3049&lt;&gt;"","?FAMILIAR",IF(F3049="NEW",IF(ISNA(VLOOKUP(E3049,#REF!,1,FALSE())),"?TYPE_IDENTIFIABLE","?REFERENTIAL"),"_")))))</f>
        <v> </v>
      </c>
      <c r="H3049" s="24" t="str">
        <f>IF(J3049&lt;&gt;1,"",IF(I3049="SBJ","CB","?"))</f>
        <v> </v>
      </c>
      <c r="I3049" s="25" t="str">
        <f>IF(OR(E3049="",E3049="!!!",F3049="NEW"),"",INDEX(B3048:B$2,-1+SUMPRODUCT(MAX(ROW(E3048:E$2)*(E3049=E3048:E$2)))))</f>
        <v> </v>
      </c>
      <c r="J3049" s="25" t="str">
        <f>IF(OR(E3049="",E3049="!!!",F3049="NEW"),"",COUNTBLANK(OFFSET(A$1,,,SUMPRODUCT(MAX(ROW(E$2:E3049)*(E3049=E$2:E3049)))))-COUNTBLANK(OFFSET(A$1,,,SUMPRODUCT(MAX(ROW(E$1:E3048)*(E2=E$1:E3048))))))</f>
        <v> </v>
      </c>
      <c r="K3049" s="25" t="str">
        <f>IF(OR(E3049="",E3049="!!!",F3049="NEW"),"",INDEX(J$1:J3048,SUMPRODUCT(MAX(ROW(E$1:E3048)*(E3049=E$1:E3048)))))</f>
        <v> </v>
      </c>
      <c r="L3049" s="26"/>
    </row>
    <row r="3050" spans="1:12">
      <c r="A3050" s="20" t="s">
        <v>1487</v>
      </c>
      <c r="E3050" s="21">
        <f>IF(D3050="?OLD","!!!","")</f>
        <v/>
      </c>
      <c r="F3050" s="22" t="str">
        <f>IF(OR(E3050="",E3050="!!!"),"",IF(NOT(ISNA(VLOOKUP(E3050,E$1:E3049,1,FALSE()))),"OLD",IF(AND(E3050&lt;&gt;"",E3050&lt;&gt;"!!!"),"NEW","")))</f>
        <v> </v>
      </c>
      <c r="G3050" s="23" t="str">
        <f>IF(OR(E3050="",E3050="!!!"),"",IF(OR(J3050=0,AND(J3050=1,K3050=1),AND(J3050=1,I3050="SBJ"),AND(J3050=1,I3050=0)),"?IN_FOCUS",IF(J3050&lt;=2,"?ACTIVATED",IF(J3050&lt;&gt;"","?FAMILIAR",IF(F3050="NEW",IF(ISNA(VLOOKUP(E3050,#REF!,1,FALSE())),"?TYPE_IDENTIFIABLE","?REFERENTIAL"),"_")))))</f>
        <v> </v>
      </c>
      <c r="H3050" s="24" t="str">
        <f>IF(J3050&lt;&gt;1,"",IF(I3050="SBJ","CB","?"))</f>
        <v> </v>
      </c>
      <c r="I3050" s="25" t="str">
        <f>IF(OR(E3050="",E3050="!!!",F3050="NEW"),"",INDEX(B3049:B$2,-1+SUMPRODUCT(MAX(ROW(E3049:E$2)*(E3050=E3049:E$2)))))</f>
        <v> </v>
      </c>
      <c r="J3050" s="25" t="str">
        <f>IF(OR(E3050="",E3050="!!!",F3050="NEW"),"",COUNTBLANK(OFFSET(A$1,,,SUMPRODUCT(MAX(ROW(E$2:E3050)*(E3050=E$2:E3050)))))-COUNTBLANK(OFFSET(A$1,,,SUMPRODUCT(MAX(ROW(E$1:E3049)*(E2=E$1:E3049))))))</f>
        <v> </v>
      </c>
      <c r="K3050" s="25" t="str">
        <f>IF(OR(E3050="",E3050="!!!",F3050="NEW"),"",INDEX(J$1:J3049,SUMPRODUCT(MAX(ROW(E$1:E3049)*(E3050=E$1:E3049)))))</f>
        <v> </v>
      </c>
      <c r="L3050" s="26"/>
    </row>
    <row r="3051" spans="1:12">
      <c r="A3051" s="20" t="s">
        <v>549</v>
      </c>
      <c r="E3051" s="21">
        <f>IF(D3051="?OLD","!!!","")</f>
        <v/>
      </c>
      <c r="F3051" s="22" t="str">
        <f>IF(OR(E3051="",E3051="!!!"),"",IF(NOT(ISNA(VLOOKUP(E3051,E$1:E3050,1,FALSE()))),"OLD",IF(AND(E3051&lt;&gt;"",E3051&lt;&gt;"!!!"),"NEW","")))</f>
        <v> </v>
      </c>
      <c r="G3051" s="23" t="str">
        <f>IF(OR(E3051="",E3051="!!!"),"",IF(OR(J3051=0,AND(J3051=1,K3051=1),AND(J3051=1,I3051="SBJ"),AND(J3051=1,I3051=0)),"?IN_FOCUS",IF(J3051&lt;=2,"?ACTIVATED",IF(J3051&lt;&gt;"","?FAMILIAR",IF(F3051="NEW",IF(ISNA(VLOOKUP(E3051,#REF!,1,FALSE())),"?TYPE_IDENTIFIABLE","?REFERENTIAL"),"_")))))</f>
        <v> </v>
      </c>
      <c r="H3051" s="24" t="str">
        <f>IF(J3051&lt;&gt;1,"",IF(I3051="SBJ","CB","?"))</f>
        <v> </v>
      </c>
      <c r="I3051" s="25" t="str">
        <f>IF(OR(E3051="",E3051="!!!",F3051="NEW"),"",INDEX(B3050:B$2,-1+SUMPRODUCT(MAX(ROW(E3050:E$2)*(E3051=E3050:E$2)))))</f>
        <v> </v>
      </c>
      <c r="J3051" s="25" t="str">
        <f>IF(OR(E3051="",E3051="!!!",F3051="NEW"),"",COUNTBLANK(OFFSET(A$1,,,SUMPRODUCT(MAX(ROW(E$2:E3051)*(E3051=E$2:E3051)))))-COUNTBLANK(OFFSET(A$1,,,SUMPRODUCT(MAX(ROW(E$1:E3050)*(E2=E$1:E3050))))))</f>
        <v> </v>
      </c>
      <c r="K3051" s="25" t="str">
        <f>IF(OR(E3051="",E3051="!!!",F3051="NEW"),"",INDEX(J$1:J3050,SUMPRODUCT(MAX(ROW(E$1:E3050)*(E3051=E$1:E3050)))))</f>
        <v> </v>
      </c>
      <c r="L3051" s="26"/>
    </row>
    <row r="3052" spans="1:12">
      <c r="A3052" s="20"/>
    </row>
    <row r="3053" spans="1:12">
      <c r="A3053" s="20" t="s">
        <v>1546</v>
      </c>
    </row>
    <row r="3054" spans="1:12">
      <c r="A3054" s="20" t="s">
        <v>1076</v>
      </c>
      <c r="E3054" s="21">
        <f>IF(D3054="?OLD","!!!","")</f>
        <v/>
      </c>
      <c r="F3054" s="22" t="str">
        <f>IF(OR(E3054="",E3054="!!!"),"",IF(NOT(ISNA(VLOOKUP(E3054,E$1:E3053,1,FALSE()))),"OLD",IF(AND(E3054&lt;&gt;"",E3054&lt;&gt;"!!!"),"NEW","")))</f>
        <v> </v>
      </c>
      <c r="G3054" s="23" t="str">
        <f>IF(OR(E3054="",E3054="!!!"),"",IF(OR(J3054=0,AND(J3054=1,K3054=1),AND(J3054=1,I3054="SBJ"),AND(J3054=1,I3054=0)),"?IN_FOCUS",IF(J3054&lt;=2,"?ACTIVATED",IF(J3054&lt;&gt;"","?FAMILIAR",IF(F3054="NEW",IF(ISNA(VLOOKUP(E3054,#REF!,1,FALSE())),"?TYPE_IDENTIFIABLE","?REFERENTIAL"),"_")))))</f>
        <v> </v>
      </c>
      <c r="H3054" s="24" t="str">
        <f>IF(J3054&lt;&gt;1,"",IF(I3054="SBJ","CB","?"))</f>
        <v> </v>
      </c>
      <c r="I3054" s="25" t="str">
        <f>IF(OR(E3054="",E3054="!!!",F3054="NEW"),"",INDEX(B3053:B$2,-1+SUMPRODUCT(MAX(ROW(E3053:E$2)*(E3054=E3053:E$2)))))</f>
        <v> </v>
      </c>
      <c r="J3054" s="25" t="str">
        <f>IF(OR(E3054="",E3054="!!!",F3054="NEW"),"",COUNTBLANK(OFFSET(A$1,,,SUMPRODUCT(MAX(ROW(E$2:E3054)*(E3054=E$2:E3054)))))-COUNTBLANK(OFFSET(A$1,,,SUMPRODUCT(MAX(ROW(E$1:E3053)*(E2=E$1:E3053))))))</f>
        <v> </v>
      </c>
      <c r="K3054" s="25" t="str">
        <f>IF(OR(E3054="",E3054="!!!",F3054="NEW"),"",INDEX(J$1:J3053,SUMPRODUCT(MAX(ROW(E$1:E3053)*(E3054=E$1:E3053)))))</f>
        <v> </v>
      </c>
      <c r="L3054" s="26"/>
    </row>
    <row r="3055" spans="1:12">
      <c r="A3055" s="20" t="s">
        <v>542</v>
      </c>
      <c r="E3055" s="21">
        <f>IF(D3055="?OLD","!!!","")</f>
        <v/>
      </c>
      <c r="F3055" s="22" t="str">
        <f>IF(OR(E3055="",E3055="!!!"),"",IF(NOT(ISNA(VLOOKUP(E3055,E$1:E3054,1,FALSE()))),"OLD",IF(AND(E3055&lt;&gt;"",E3055&lt;&gt;"!!!"),"NEW","")))</f>
        <v> </v>
      </c>
      <c r="G3055" s="23" t="str">
        <f>IF(OR(E3055="",E3055="!!!"),"",IF(OR(J3055=0,AND(J3055=1,K3055=1),AND(J3055=1,I3055="SBJ"),AND(J3055=1,I3055=0)),"?IN_FOCUS",IF(J3055&lt;=2,"?ACTIVATED",IF(J3055&lt;&gt;"","?FAMILIAR",IF(F3055="NEW",IF(ISNA(VLOOKUP(E3055,#REF!,1,FALSE())),"?TYPE_IDENTIFIABLE","?REFERENTIAL"),"_")))))</f>
        <v> </v>
      </c>
      <c r="H3055" s="24" t="str">
        <f>IF(J3055&lt;&gt;1,"",IF(I3055="SBJ","CB","?"))</f>
        <v> </v>
      </c>
      <c r="I3055" s="25" t="str">
        <f>IF(OR(E3055="",E3055="!!!",F3055="NEW"),"",INDEX(B3054:B$2,-1+SUMPRODUCT(MAX(ROW(E3054:E$2)*(E3055=E3054:E$2)))))</f>
        <v> </v>
      </c>
      <c r="J3055" s="25" t="str">
        <f>IF(OR(E3055="",E3055="!!!",F3055="NEW"),"",COUNTBLANK(OFFSET(A$1,,,SUMPRODUCT(MAX(ROW(E$2:E3055)*(E3055=E$2:E3055)))))-COUNTBLANK(OFFSET(A$1,,,SUMPRODUCT(MAX(ROW(E$1:E3054)*(E2=E$1:E3054))))))</f>
        <v> </v>
      </c>
      <c r="K3055" s="25" t="str">
        <f>IF(OR(E3055="",E3055="!!!",F3055="NEW"),"",INDEX(J$1:J3054,SUMPRODUCT(MAX(ROW(E$1:E3054)*(E3055=E$1:E3054)))))</f>
        <v> </v>
      </c>
      <c r="L3055" s="26"/>
    </row>
    <row r="3056" spans="1:12">
      <c r="A3056" s="20" t="s">
        <v>707</v>
      </c>
      <c r="B3056" s="27" t="s">
        <v>592</v>
      </c>
      <c r="C3056" s="27" t="s">
        <v>545</v>
      </c>
      <c r="D3056" s="27" t="s">
        <v>524</v>
      </c>
      <c r="E3056" s="21">
        <f>IF(D3056="?OLD","!!!","")</f>
        <v/>
      </c>
      <c r="F3056" s="22" t="str">
        <f>IF(OR(E3056="",E3056="!!!"),"",IF(NOT(ISNA(VLOOKUP(E3056,E$1:E3055,1,FALSE()))),"OLD",IF(AND(E3056&lt;&gt;"",E3056&lt;&gt;"!!!"),"NEW","")))</f>
        <v> </v>
      </c>
      <c r="G3056" s="23" t="str">
        <f>IF(OR(E3056="",E3056="!!!"),"",IF(OR(J3056=0,AND(J3056=1,K3056=1),AND(J3056=1,I3056="SBJ"),AND(J3056=1,I3056=0)),"?IN_FOCUS",IF(J3056&lt;=2,"?ACTIVATED",IF(J3056&lt;&gt;"","?FAMILIAR",IF(F3056="NEW",IF(ISNA(VLOOKUP(E3056,#REF!,1,FALSE())),"?TYPE_IDENTIFIABLE","?REFERENTIAL"),"_")))))</f>
        <v> </v>
      </c>
      <c r="H3056" s="24" t="str">
        <f>IF(J3056&lt;&gt;1,"",IF(I3056="SBJ","CB","?"))</f>
        <v> </v>
      </c>
      <c r="I3056" s="25" t="str">
        <f>IF(OR(E3056="",E3056="!!!",F3056="NEW"),"",INDEX(B3055:B$2,-1+SUMPRODUCT(MAX(ROW(E3055:E$2)*(E3056=E3055:E$2)))))</f>
        <v> </v>
      </c>
      <c r="J3056" s="25" t="str">
        <f>IF(OR(E3056="",E3056="!!!",F3056="NEW"),"",COUNTBLANK(OFFSET(A$1,,,SUMPRODUCT(MAX(ROW(E$2:E3056)*(E3056=E$2:E3056)))))-COUNTBLANK(OFFSET(A$1,,,SUMPRODUCT(MAX(ROW(E$1:E3055)*(E2=E$1:E3055))))))</f>
        <v> </v>
      </c>
      <c r="K3056" s="25" t="str">
        <f>IF(OR(E3056="",E3056="!!!",F3056="NEW"),"",INDEX(J$1:J3055,SUMPRODUCT(MAX(ROW(E$1:E3055)*(E3056=E$1:E3055)))))</f>
        <v> </v>
      </c>
      <c r="L3056" s="26"/>
    </row>
    <row r="3057" spans="1:12">
      <c r="A3057" s="20" t="s">
        <v>358</v>
      </c>
      <c r="B3057" s="27" t="s">
        <v>680</v>
      </c>
      <c r="C3057" s="27" t="s">
        <v>523</v>
      </c>
      <c r="D3057" s="27" t="s">
        <v>524</v>
      </c>
      <c r="E3057" s="21">
        <f>IF(D3057="?OLD","!!!","")</f>
        <v/>
      </c>
      <c r="F3057" s="22" t="str">
        <f>IF(OR(E3057="",E3057="!!!"),"",IF(NOT(ISNA(VLOOKUP(E3057,E$1:E3056,1,FALSE()))),"OLD",IF(AND(E3057&lt;&gt;"",E3057&lt;&gt;"!!!"),"NEW","")))</f>
        <v> </v>
      </c>
      <c r="G3057" s="23" t="str">
        <f>IF(OR(E3057="",E3057="!!!"),"",IF(OR(J3057=0,AND(J3057=1,K3057=1),AND(J3057=1,I3057="SBJ"),AND(J3057=1,I3057=0)),"?IN_FOCUS",IF(J3057&lt;=2,"?ACTIVATED",IF(J3057&lt;&gt;"","?FAMILIAR",IF(F3057="NEW",IF(ISNA(VLOOKUP(E3057,#REF!,1,FALSE())),"?TYPE_IDENTIFIABLE","?REFERENTIAL"),"_")))))</f>
        <v> </v>
      </c>
      <c r="H3057" s="24" t="str">
        <f>IF(J3057&lt;&gt;1,"",IF(I3057="SBJ","CB","?"))</f>
        <v> </v>
      </c>
      <c r="I3057" s="25" t="str">
        <f>IF(OR(E3057="",E3057="!!!",F3057="NEW"),"",INDEX(B3056:B$2,-1+SUMPRODUCT(MAX(ROW(E3056:E$2)*(E3057=E3056:E$2)))))</f>
        <v> </v>
      </c>
      <c r="J3057" s="25" t="str">
        <f>IF(OR(E3057="",E3057="!!!",F3057="NEW"),"",COUNTBLANK(OFFSET(A$1,,,SUMPRODUCT(MAX(ROW(E$2:E3057)*(E3057=E$2:E3057)))))-COUNTBLANK(OFFSET(A$1,,,SUMPRODUCT(MAX(ROW(E$1:E3056)*(E2=E$1:E3056))))))</f>
        <v> </v>
      </c>
      <c r="K3057" s="25" t="str">
        <f>IF(OR(E3057="",E3057="!!!",F3057="NEW"),"",INDEX(J$1:J3056,SUMPRODUCT(MAX(ROW(E$1:E3056)*(E3057=E$1:E3056)))))</f>
        <v> </v>
      </c>
      <c r="L3057" s="26"/>
    </row>
    <row r="3058" spans="1:12">
      <c r="A3058" s="20" t="s">
        <v>1547</v>
      </c>
      <c r="E3058" s="21">
        <f>IF(D3058="?OLD","!!!","")</f>
        <v/>
      </c>
      <c r="F3058" s="22" t="str">
        <f>IF(OR(E3058="",E3058="!!!"),"",IF(NOT(ISNA(VLOOKUP(E3058,E$1:E3057,1,FALSE()))),"OLD",IF(AND(E3058&lt;&gt;"",E3058&lt;&gt;"!!!"),"NEW","")))</f>
        <v> </v>
      </c>
      <c r="G3058" s="23" t="str">
        <f>IF(OR(E3058="",E3058="!!!"),"",IF(OR(J3058=0,AND(J3058=1,K3058=1),AND(J3058=1,I3058="SBJ"),AND(J3058=1,I3058=0)),"?IN_FOCUS",IF(J3058&lt;=2,"?ACTIVATED",IF(J3058&lt;&gt;"","?FAMILIAR",IF(F3058="NEW",IF(ISNA(VLOOKUP(E3058,#REF!,1,FALSE())),"?TYPE_IDENTIFIABLE","?REFERENTIAL"),"_")))))</f>
        <v> </v>
      </c>
      <c r="H3058" s="24" t="str">
        <f>IF(J3058&lt;&gt;1,"",IF(I3058="SBJ","CB","?"))</f>
        <v> </v>
      </c>
      <c r="I3058" s="25" t="str">
        <f>IF(OR(E3058="",E3058="!!!",F3058="NEW"),"",INDEX(B3057:B$2,-1+SUMPRODUCT(MAX(ROW(E3057:E$2)*(E3058=E3057:E$2)))))</f>
        <v> </v>
      </c>
      <c r="J3058" s="25" t="str">
        <f>IF(OR(E3058="",E3058="!!!",F3058="NEW"),"",COUNTBLANK(OFFSET(A$1,,,SUMPRODUCT(MAX(ROW(E$2:E3058)*(E3058=E$2:E3058)))))-COUNTBLANK(OFFSET(A$1,,,SUMPRODUCT(MAX(ROW(E$1:E3057)*(E2=E$1:E3057))))))</f>
        <v> </v>
      </c>
      <c r="K3058" s="25" t="str">
        <f>IF(OR(E3058="",E3058="!!!",F3058="NEW"),"",INDEX(J$1:J3057,SUMPRODUCT(MAX(ROW(E$1:E3057)*(E3058=E$1:E3057)))))</f>
        <v> </v>
      </c>
      <c r="L3058" s="26"/>
    </row>
    <row r="3059" spans="1:12">
      <c r="A3059" s="20" t="s">
        <v>1548</v>
      </c>
      <c r="E3059" s="21">
        <f>IF(D3059="?OLD","!!!","")</f>
        <v/>
      </c>
      <c r="F3059" s="22" t="str">
        <f>IF(OR(E3059="",E3059="!!!"),"",IF(NOT(ISNA(VLOOKUP(E3059,E$1:E3058,1,FALSE()))),"OLD",IF(AND(E3059&lt;&gt;"",E3059&lt;&gt;"!!!"),"NEW","")))</f>
        <v> </v>
      </c>
      <c r="G3059" s="23" t="str">
        <f>IF(OR(E3059="",E3059="!!!"),"",IF(OR(J3059=0,AND(J3059=1,K3059=1),AND(J3059=1,I3059="SBJ"),AND(J3059=1,I3059=0)),"?IN_FOCUS",IF(J3059&lt;=2,"?ACTIVATED",IF(J3059&lt;&gt;"","?FAMILIAR",IF(F3059="NEW",IF(ISNA(VLOOKUP(E3059,#REF!,1,FALSE())),"?TYPE_IDENTIFIABLE","?REFERENTIAL"),"_")))))</f>
        <v> </v>
      </c>
      <c r="H3059" s="24" t="str">
        <f>IF(J3059&lt;&gt;1,"",IF(I3059="SBJ","CB","?"))</f>
        <v> </v>
      </c>
      <c r="I3059" s="25" t="str">
        <f>IF(OR(E3059="",E3059="!!!",F3059="NEW"),"",INDEX(B3058:B$2,-1+SUMPRODUCT(MAX(ROW(E3058:E$2)*(E3059=E3058:E$2)))))</f>
        <v> </v>
      </c>
      <c r="J3059" s="25" t="str">
        <f>IF(OR(E3059="",E3059="!!!",F3059="NEW"),"",COUNTBLANK(OFFSET(A$1,,,SUMPRODUCT(MAX(ROW(E$2:E3059)*(E3059=E$2:E3059)))))-COUNTBLANK(OFFSET(A$1,,,SUMPRODUCT(MAX(ROW(E$1:E3058)*(E2=E$1:E3058))))))</f>
        <v> </v>
      </c>
      <c r="K3059" s="25" t="str">
        <f>IF(OR(E3059="",E3059="!!!",F3059="NEW"),"",INDEX(J$1:J3058,SUMPRODUCT(MAX(ROW(E$1:E3058)*(E3059=E$1:E3058)))))</f>
        <v> </v>
      </c>
      <c r="L3059" s="26"/>
    </row>
    <row r="3060" spans="1:12">
      <c r="A3060" s="20" t="s">
        <v>1432</v>
      </c>
      <c r="B3060" s="27" t="s">
        <v>743</v>
      </c>
      <c r="C3060" s="27" t="s">
        <v>637</v>
      </c>
      <c r="D3060" s="27" t="s">
        <v>524</v>
      </c>
      <c r="E3060" s="21">
        <f>IF(D3060="?OLD","!!!","")</f>
        <v/>
      </c>
      <c r="F3060" s="22" t="str">
        <f>IF(OR(E3060="",E3060="!!!"),"",IF(NOT(ISNA(VLOOKUP(E3060,E$1:E3059,1,FALSE()))),"OLD",IF(AND(E3060&lt;&gt;"",E3060&lt;&gt;"!!!"),"NEW","")))</f>
        <v> </v>
      </c>
      <c r="G3060" s="23" t="str">
        <f>IF(OR(E3060="",E3060="!!!"),"",IF(OR(J3060=0,AND(J3060=1,K3060=1),AND(J3060=1,I3060="SBJ"),AND(J3060=1,I3060=0)),"?IN_FOCUS",IF(J3060&lt;=2,"?ACTIVATED",IF(J3060&lt;&gt;"","?FAMILIAR",IF(F3060="NEW",IF(ISNA(VLOOKUP(E3060,#REF!,1,FALSE())),"?TYPE_IDENTIFIABLE","?REFERENTIAL"),"_")))))</f>
        <v> </v>
      </c>
      <c r="H3060" s="24" t="str">
        <f>IF(J3060&lt;&gt;1,"",IF(I3060="SBJ","CB","?"))</f>
        <v> </v>
      </c>
      <c r="I3060" s="25" t="str">
        <f>IF(OR(E3060="",E3060="!!!",F3060="NEW"),"",INDEX(B3059:B$2,-1+SUMPRODUCT(MAX(ROW(E3059:E$2)*(E3060=E3059:E$2)))))</f>
        <v> </v>
      </c>
      <c r="J3060" s="25" t="str">
        <f>IF(OR(E3060="",E3060="!!!",F3060="NEW"),"",COUNTBLANK(OFFSET(A$1,,,SUMPRODUCT(MAX(ROW(E$2:E3060)*(E3060=E$2:E3060)))))-COUNTBLANK(OFFSET(A$1,,,SUMPRODUCT(MAX(ROW(E$1:E3059)*(E2=E$1:E3059))))))</f>
        <v> </v>
      </c>
      <c r="K3060" s="25" t="str">
        <f>IF(OR(E3060="",E3060="!!!",F3060="NEW"),"",INDEX(J$1:J3059,SUMPRODUCT(MAX(ROW(E$1:E3059)*(E3060=E$1:E3059)))))</f>
        <v> </v>
      </c>
      <c r="L3060" s="26"/>
    </row>
    <row r="3061" spans="1:12">
      <c r="A3061" s="20" t="s">
        <v>518</v>
      </c>
      <c r="E3061" s="21">
        <f>IF(D3061="?OLD","!!!","")</f>
        <v/>
      </c>
      <c r="F3061" s="22" t="str">
        <f>IF(OR(E3061="",E3061="!!!"),"",IF(NOT(ISNA(VLOOKUP(E3061,E$1:E3060,1,FALSE()))),"OLD",IF(AND(E3061&lt;&gt;"",E3061&lt;&gt;"!!!"),"NEW","")))</f>
        <v> </v>
      </c>
      <c r="G3061" s="23" t="str">
        <f>IF(OR(E3061="",E3061="!!!"),"",IF(OR(J3061=0,AND(J3061=1,K3061=1),AND(J3061=1,I3061="SBJ"),AND(J3061=1,I3061=0)),"?IN_FOCUS",IF(J3061&lt;=2,"?ACTIVATED",IF(J3061&lt;&gt;"","?FAMILIAR",IF(F3061="NEW",IF(ISNA(VLOOKUP(E3061,#REF!,1,FALSE())),"?TYPE_IDENTIFIABLE","?REFERENTIAL"),"_")))))</f>
        <v> </v>
      </c>
      <c r="H3061" s="24" t="str">
        <f>IF(J3061&lt;&gt;1,"",IF(I3061="SBJ","CB","?"))</f>
        <v> </v>
      </c>
      <c r="I3061" s="25" t="str">
        <f>IF(OR(E3061="",E3061="!!!",F3061="NEW"),"",INDEX(B3060:B$2,-1+SUMPRODUCT(MAX(ROW(E3060:E$2)*(E3061=E3060:E$2)))))</f>
        <v> </v>
      </c>
      <c r="J3061" s="25" t="str">
        <f>IF(OR(E3061="",E3061="!!!",F3061="NEW"),"",COUNTBLANK(OFFSET(A$1,,,SUMPRODUCT(MAX(ROW(E$2:E3061)*(E3061=E$2:E3061)))))-COUNTBLANK(OFFSET(A$1,,,SUMPRODUCT(MAX(ROW(E$1:E3060)*(E2=E$1:E3060))))))</f>
        <v> </v>
      </c>
      <c r="K3061" s="25" t="str">
        <f>IF(OR(E3061="",E3061="!!!",F3061="NEW"),"",INDEX(J$1:J3060,SUMPRODUCT(MAX(ROW(E$1:E3060)*(E3061=E$1:E3060)))))</f>
        <v> </v>
      </c>
      <c r="L3061" s="26"/>
    </row>
    <row r="3062" spans="1:12">
      <c r="A3062" s="20" t="s">
        <v>1318</v>
      </c>
      <c r="B3062" s="27" t="s">
        <v>597</v>
      </c>
      <c r="C3062" s="27" t="s">
        <v>564</v>
      </c>
      <c r="E3062" s="21">
        <f>IF(D3062="?OLD","!!!","")</f>
        <v/>
      </c>
      <c r="F3062" s="22" t="str">
        <f>IF(OR(E3062="",E3062="!!!"),"",IF(NOT(ISNA(VLOOKUP(E3062,E$1:E3061,1,FALSE()))),"OLD",IF(AND(E3062&lt;&gt;"",E3062&lt;&gt;"!!!"),"NEW","")))</f>
        <v> </v>
      </c>
      <c r="G3062" s="23" t="str">
        <f>IF(OR(E3062="",E3062="!!!"),"",IF(OR(J3062=0,AND(J3062=1,K3062=1),AND(J3062=1,I3062="SBJ"),AND(J3062=1,I3062=0)),"?IN_FOCUS",IF(J3062&lt;=2,"?ACTIVATED",IF(J3062&lt;&gt;"","?FAMILIAR",IF(F3062="NEW",IF(ISNA(VLOOKUP(E3062,#REF!,1,FALSE())),"?TYPE_IDENTIFIABLE","?REFERENTIAL"),"_")))))</f>
        <v> </v>
      </c>
      <c r="H3062" s="24" t="str">
        <f>IF(J3062&lt;&gt;1,"",IF(I3062="SBJ","CB","?"))</f>
        <v> </v>
      </c>
      <c r="I3062" s="25" t="str">
        <f>IF(OR(E3062="",E3062="!!!",F3062="NEW"),"",INDEX(B3061:B$2,-1+SUMPRODUCT(MAX(ROW(E3061:E$2)*(E3062=E3061:E$2)))))</f>
        <v> </v>
      </c>
      <c r="J3062" s="25" t="str">
        <f>IF(OR(E3062="",E3062="!!!",F3062="NEW"),"",COUNTBLANK(OFFSET(A$1,,,SUMPRODUCT(MAX(ROW(E$2:E3062)*(E3062=E$2:E3062)))))-COUNTBLANK(OFFSET(A$1,,,SUMPRODUCT(MAX(ROW(E$1:E3061)*(E2=E$1:E3061))))))</f>
        <v> </v>
      </c>
      <c r="K3062" s="25" t="str">
        <f>IF(OR(E3062="",E3062="!!!",F3062="NEW"),"",INDEX(J$1:J3061,SUMPRODUCT(MAX(ROW(E$1:E3061)*(E3062=E$1:E3061)))))</f>
        <v> </v>
      </c>
      <c r="L3062" s="26"/>
    </row>
    <row r="3063" spans="1:12">
      <c r="A3063" s="20" t="s">
        <v>549</v>
      </c>
      <c r="E3063" s="21">
        <f>IF(D3063="?OLD","!!!","")</f>
        <v/>
      </c>
      <c r="F3063" s="22" t="str">
        <f>IF(OR(E3063="",E3063="!!!"),"",IF(NOT(ISNA(VLOOKUP(E3063,E$1:E3062,1,FALSE()))),"OLD",IF(AND(E3063&lt;&gt;"",E3063&lt;&gt;"!!!"),"NEW","")))</f>
        <v> </v>
      </c>
      <c r="G3063" s="23" t="str">
        <f>IF(OR(E3063="",E3063="!!!"),"",IF(OR(J3063=0,AND(J3063=1,K3063=1),AND(J3063=1,I3063="SBJ"),AND(J3063=1,I3063=0)),"?IN_FOCUS",IF(J3063&lt;=2,"?ACTIVATED",IF(J3063&lt;&gt;"","?FAMILIAR",IF(F3063="NEW",IF(ISNA(VLOOKUP(E3063,#REF!,1,FALSE())),"?TYPE_IDENTIFIABLE","?REFERENTIAL"),"_")))))</f>
        <v> </v>
      </c>
      <c r="H3063" s="24" t="str">
        <f>IF(J3063&lt;&gt;1,"",IF(I3063="SBJ","CB","?"))</f>
        <v> </v>
      </c>
      <c r="I3063" s="25" t="str">
        <f>IF(OR(E3063="",E3063="!!!",F3063="NEW"),"",INDEX(B3062:B$2,-1+SUMPRODUCT(MAX(ROW(E3062:E$2)*(E3063=E3062:E$2)))))</f>
        <v> </v>
      </c>
      <c r="J3063" s="25" t="str">
        <f>IF(OR(E3063="",E3063="!!!",F3063="NEW"),"",COUNTBLANK(OFFSET(A$1,,,SUMPRODUCT(MAX(ROW(E$2:E3063)*(E3063=E$2:E3063)))))-COUNTBLANK(OFFSET(A$1,,,SUMPRODUCT(MAX(ROW(E$1:E3062)*(E2=E$1:E3062))))))</f>
        <v> </v>
      </c>
      <c r="K3063" s="25" t="str">
        <f>IF(OR(E3063="",E3063="!!!",F3063="NEW"),"",INDEX(J$1:J3062,SUMPRODUCT(MAX(ROW(E$1:E3062)*(E3063=E$1:E3062)))))</f>
        <v> </v>
      </c>
      <c r="L3063" s="26"/>
    </row>
    <row r="3064" spans="1:12">
      <c r="A3064" s="20"/>
    </row>
    <row r="3065" spans="1:12">
      <c r="A3065" s="20" t="s">
        <v>1549</v>
      </c>
    </row>
    <row r="3066" spans="1:12">
      <c r="A3066" s="20" t="s">
        <v>1332</v>
      </c>
      <c r="E3066" s="21">
        <f>IF(D3066="?OLD","!!!","")</f>
        <v/>
      </c>
      <c r="F3066" s="22" t="str">
        <f>IF(OR(E3066="",E3066="!!!"),"",IF(NOT(ISNA(VLOOKUP(E3066,E$1:E3065,1,FALSE()))),"OLD",IF(AND(E3066&lt;&gt;"",E3066&lt;&gt;"!!!"),"NEW","")))</f>
        <v> </v>
      </c>
      <c r="G3066" s="23" t="str">
        <f>IF(OR(E3066="",E3066="!!!"),"",IF(OR(J3066=0,AND(J3066=1,K3066=1),AND(J3066=1,I3066="SBJ"),AND(J3066=1,I3066=0)),"?IN_FOCUS",IF(J3066&lt;=2,"?ACTIVATED",IF(J3066&lt;&gt;"","?FAMILIAR",IF(F3066="NEW",IF(ISNA(VLOOKUP(E3066,#REF!,1,FALSE())),"?TYPE_IDENTIFIABLE","?REFERENTIAL"),"_")))))</f>
        <v> </v>
      </c>
      <c r="H3066" s="24" t="str">
        <f>IF(J3066&lt;&gt;1,"",IF(I3066="SBJ","CB","?"))</f>
        <v> </v>
      </c>
      <c r="I3066" s="25" t="str">
        <f>IF(OR(E3066="",E3066="!!!",F3066="NEW"),"",INDEX(B3065:B$2,-1+SUMPRODUCT(MAX(ROW(E3065:E$2)*(E3066=E3065:E$2)))))</f>
        <v> </v>
      </c>
      <c r="J3066" s="25" t="str">
        <f>IF(OR(E3066="",E3066="!!!",F3066="NEW"),"",COUNTBLANK(OFFSET(A$1,,,SUMPRODUCT(MAX(ROW(E$2:E3066)*(E3066=E$2:E3066)))))-COUNTBLANK(OFFSET(A$1,,,SUMPRODUCT(MAX(ROW(E$1:E3065)*(E2=E$1:E3065))))))</f>
        <v> </v>
      </c>
      <c r="K3066" s="25" t="str">
        <f>IF(OR(E3066="",E3066="!!!",F3066="NEW"),"",INDEX(J$1:J3065,SUMPRODUCT(MAX(ROW(E$1:E3065)*(E3066=E$1:E3065)))))</f>
        <v> </v>
      </c>
      <c r="L3066" s="26"/>
    </row>
    <row r="3067" spans="1:12">
      <c r="A3067" s="20" t="s">
        <v>645</v>
      </c>
      <c r="B3067" s="27" t="s">
        <v>522</v>
      </c>
      <c r="C3067" s="27" t="s">
        <v>523</v>
      </c>
      <c r="D3067" s="27" t="s">
        <v>524</v>
      </c>
      <c r="E3067" s="21">
        <f>IF(D3067="?OLD","!!!","")</f>
        <v/>
      </c>
      <c r="F3067" s="22" t="str">
        <f>IF(OR(E3067="",E3067="!!!"),"",IF(NOT(ISNA(VLOOKUP(E3067,E$1:E3066,1,FALSE()))),"OLD",IF(AND(E3067&lt;&gt;"",E3067&lt;&gt;"!!!"),"NEW","")))</f>
        <v> </v>
      </c>
      <c r="G3067" s="23" t="str">
        <f>IF(OR(E3067="",E3067="!!!"),"",IF(OR(J3067=0,AND(J3067=1,K3067=1),AND(J3067=1,I3067="SBJ"),AND(J3067=1,I3067=0)),"?IN_FOCUS",IF(J3067&lt;=2,"?ACTIVATED",IF(J3067&lt;&gt;"","?FAMILIAR",IF(F3067="NEW",IF(ISNA(VLOOKUP(E3067,#REF!,1,FALSE())),"?TYPE_IDENTIFIABLE","?REFERENTIAL"),"_")))))</f>
        <v> </v>
      </c>
      <c r="H3067" s="24" t="str">
        <f>IF(J3067&lt;&gt;1,"",IF(I3067="SBJ","CB","?"))</f>
        <v> </v>
      </c>
      <c r="I3067" s="25" t="str">
        <f>IF(OR(E3067="",E3067="!!!",F3067="NEW"),"",INDEX(B3066:B$2,-1+SUMPRODUCT(MAX(ROW(E3066:E$2)*(E3067=E3066:E$2)))))</f>
        <v> </v>
      </c>
      <c r="J3067" s="25" t="str">
        <f>IF(OR(E3067="",E3067="!!!",F3067="NEW"),"",COUNTBLANK(OFFSET(A$1,,,SUMPRODUCT(MAX(ROW(E$2:E3067)*(E3067=E$2:E3067)))))-COUNTBLANK(OFFSET(A$1,,,SUMPRODUCT(MAX(ROW(E$1:E3066)*(E2=E$1:E3066))))))</f>
        <v> </v>
      </c>
      <c r="K3067" s="25" t="str">
        <f>IF(OR(E3067="",E3067="!!!",F3067="NEW"),"",INDEX(J$1:J3066,SUMPRODUCT(MAX(ROW(E$1:E3066)*(E3067=E$1:E3066)))))</f>
        <v> </v>
      </c>
      <c r="L3067" s="26"/>
    </row>
    <row r="3068" spans="1:12">
      <c r="A3068" s="20" t="s">
        <v>1550</v>
      </c>
      <c r="E3068" s="21">
        <f>IF(D3068="?OLD","!!!","")</f>
        <v/>
      </c>
      <c r="F3068" s="22" t="str">
        <f>IF(OR(E3068="",E3068="!!!"),"",IF(NOT(ISNA(VLOOKUP(E3068,E$1:E3067,1,FALSE()))),"OLD",IF(AND(E3068&lt;&gt;"",E3068&lt;&gt;"!!!"),"NEW","")))</f>
        <v> </v>
      </c>
      <c r="G3068" s="23" t="str">
        <f>IF(OR(E3068="",E3068="!!!"),"",IF(OR(J3068=0,AND(J3068=1,K3068=1),AND(J3068=1,I3068="SBJ"),AND(J3068=1,I3068=0)),"?IN_FOCUS",IF(J3068&lt;=2,"?ACTIVATED",IF(J3068&lt;&gt;"","?FAMILIAR",IF(F3068="NEW",IF(ISNA(VLOOKUP(E3068,#REF!,1,FALSE())),"?TYPE_IDENTIFIABLE","?REFERENTIAL"),"_")))))</f>
        <v> </v>
      </c>
      <c r="H3068" s="24" t="str">
        <f>IF(J3068&lt;&gt;1,"",IF(I3068="SBJ","CB","?"))</f>
        <v> </v>
      </c>
      <c r="I3068" s="25" t="str">
        <f>IF(OR(E3068="",E3068="!!!",F3068="NEW"),"",INDEX(B3067:B$2,-1+SUMPRODUCT(MAX(ROW(E3067:E$2)*(E3068=E3067:E$2)))))</f>
        <v> </v>
      </c>
      <c r="J3068" s="25" t="str">
        <f>IF(OR(E3068="",E3068="!!!",F3068="NEW"),"",COUNTBLANK(OFFSET(A$1,,,SUMPRODUCT(MAX(ROW(E$2:E3068)*(E3068=E$2:E3068)))))-COUNTBLANK(OFFSET(A$1,,,SUMPRODUCT(MAX(ROW(E$1:E3067)*(E2=E$1:E3067))))))</f>
        <v> </v>
      </c>
      <c r="K3068" s="25" t="str">
        <f>IF(OR(E3068="",E3068="!!!",F3068="NEW"),"",INDEX(J$1:J3067,SUMPRODUCT(MAX(ROW(E$1:E3067)*(E3068=E$1:E3067)))))</f>
        <v> </v>
      </c>
      <c r="L3068" s="26"/>
    </row>
    <row r="3069" spans="1:12">
      <c r="A3069" s="20" t="s">
        <v>727</v>
      </c>
      <c r="E3069" s="21">
        <f>IF(D3069="?OLD","!!!","")</f>
        <v/>
      </c>
      <c r="F3069" s="22" t="str">
        <f>IF(OR(E3069="",E3069="!!!"),"",IF(NOT(ISNA(VLOOKUP(E3069,E$1:E3068,1,FALSE()))),"OLD",IF(AND(E3069&lt;&gt;"",E3069&lt;&gt;"!!!"),"NEW","")))</f>
        <v> </v>
      </c>
      <c r="G3069" s="23" t="str">
        <f>IF(OR(E3069="",E3069="!!!"),"",IF(OR(J3069=0,AND(J3069=1,K3069=1),AND(J3069=1,I3069="SBJ"),AND(J3069=1,I3069=0)),"?IN_FOCUS",IF(J3069&lt;=2,"?ACTIVATED",IF(J3069&lt;&gt;"","?FAMILIAR",IF(F3069="NEW",IF(ISNA(VLOOKUP(E3069,#REF!,1,FALSE())),"?TYPE_IDENTIFIABLE","?REFERENTIAL"),"_")))))</f>
        <v> </v>
      </c>
      <c r="H3069" s="24" t="str">
        <f>IF(J3069&lt;&gt;1,"",IF(I3069="SBJ","CB","?"))</f>
        <v> </v>
      </c>
      <c r="I3069" s="25" t="str">
        <f>IF(OR(E3069="",E3069="!!!",F3069="NEW"),"",INDEX(B3068:B$2,-1+SUMPRODUCT(MAX(ROW(E3068:E$2)*(E3069=E3068:E$2)))))</f>
        <v> </v>
      </c>
      <c r="J3069" s="25" t="str">
        <f>IF(OR(E3069="",E3069="!!!",F3069="NEW"),"",COUNTBLANK(OFFSET(A$1,,,SUMPRODUCT(MAX(ROW(E$2:E3069)*(E3069=E$2:E3069)))))-COUNTBLANK(OFFSET(A$1,,,SUMPRODUCT(MAX(ROW(E$1:E3068)*(E2=E$1:E3068))))))</f>
        <v> </v>
      </c>
      <c r="K3069" s="25" t="str">
        <f>IF(OR(E3069="",E3069="!!!",F3069="NEW"),"",INDEX(J$1:J3068,SUMPRODUCT(MAX(ROW(E$1:E3068)*(E3069=E$1:E3068)))))</f>
        <v> </v>
      </c>
      <c r="L3069" s="26"/>
    </row>
    <row r="3070" spans="1:12">
      <c r="A3070" s="20" t="s">
        <v>565</v>
      </c>
      <c r="E3070" s="21">
        <f>IF(D3070="?OLD","!!!","")</f>
        <v/>
      </c>
      <c r="F3070" s="22" t="str">
        <f>IF(OR(E3070="",E3070="!!!"),"",IF(NOT(ISNA(VLOOKUP(E3070,E$1:E3069,1,FALSE()))),"OLD",IF(AND(E3070&lt;&gt;"",E3070&lt;&gt;"!!!"),"NEW","")))</f>
        <v> </v>
      </c>
      <c r="G3070" s="23" t="str">
        <f>IF(OR(E3070="",E3070="!!!"),"",IF(OR(J3070=0,AND(J3070=1,K3070=1),AND(J3070=1,I3070="SBJ"),AND(J3070=1,I3070=0)),"?IN_FOCUS",IF(J3070&lt;=2,"?ACTIVATED",IF(J3070&lt;&gt;"","?FAMILIAR",IF(F3070="NEW",IF(ISNA(VLOOKUP(E3070,#REF!,1,FALSE())),"?TYPE_IDENTIFIABLE","?REFERENTIAL"),"_")))))</f>
        <v> </v>
      </c>
      <c r="H3070" s="24" t="str">
        <f>IF(J3070&lt;&gt;1,"",IF(I3070="SBJ","CB","?"))</f>
        <v> </v>
      </c>
      <c r="I3070" s="25" t="str">
        <f>IF(OR(E3070="",E3070="!!!",F3070="NEW"),"",INDEX(B3069:B$2,-1+SUMPRODUCT(MAX(ROW(E3069:E$2)*(E3070=E3069:E$2)))))</f>
        <v> </v>
      </c>
      <c r="J3070" s="25" t="str">
        <f>IF(OR(E3070="",E3070="!!!",F3070="NEW"),"",COUNTBLANK(OFFSET(A$1,,,SUMPRODUCT(MAX(ROW(E$2:E3070)*(E3070=E$2:E3070)))))-COUNTBLANK(OFFSET(A$1,,,SUMPRODUCT(MAX(ROW(E$1:E3069)*(E2=E$1:E3069))))))</f>
        <v> </v>
      </c>
      <c r="K3070" s="25" t="str">
        <f>IF(OR(E3070="",E3070="!!!",F3070="NEW"),"",INDEX(J$1:J3069,SUMPRODUCT(MAX(ROW(E$1:E3069)*(E3070=E$1:E3069)))))</f>
        <v> </v>
      </c>
      <c r="L3070" s="26"/>
    </row>
    <row r="3071" spans="1:12">
      <c r="A3071" s="20" t="s">
        <v>567</v>
      </c>
      <c r="E3071" s="21">
        <f>IF(D3071="?OLD","!!!","")</f>
        <v/>
      </c>
      <c r="F3071" s="22" t="str">
        <f>IF(OR(E3071="",E3071="!!!"),"",IF(NOT(ISNA(VLOOKUP(E3071,E$1:E3070,1,FALSE()))),"OLD",IF(AND(E3071&lt;&gt;"",E3071&lt;&gt;"!!!"),"NEW","")))</f>
        <v> </v>
      </c>
      <c r="G3071" s="23" t="str">
        <f>IF(OR(E3071="",E3071="!!!"),"",IF(OR(J3071=0,AND(J3071=1,K3071=1),AND(J3071=1,I3071="SBJ"),AND(J3071=1,I3071=0)),"?IN_FOCUS",IF(J3071&lt;=2,"?ACTIVATED",IF(J3071&lt;&gt;"","?FAMILIAR",IF(F3071="NEW",IF(ISNA(VLOOKUP(E3071,#REF!,1,FALSE())),"?TYPE_IDENTIFIABLE","?REFERENTIAL"),"_")))))</f>
        <v> </v>
      </c>
      <c r="H3071" s="24" t="str">
        <f>IF(J3071&lt;&gt;1,"",IF(I3071="SBJ","CB","?"))</f>
        <v> </v>
      </c>
      <c r="I3071" s="25" t="str">
        <f>IF(OR(E3071="",E3071="!!!",F3071="NEW"),"",INDEX(B3070:B$2,-1+SUMPRODUCT(MAX(ROW(E3070:E$2)*(E3071=E3070:E$2)))))</f>
        <v> </v>
      </c>
      <c r="J3071" s="25" t="str">
        <f>IF(OR(E3071="",E3071="!!!",F3071="NEW"),"",COUNTBLANK(OFFSET(A$1,,,SUMPRODUCT(MAX(ROW(E$2:E3071)*(E3071=E$2:E3071)))))-COUNTBLANK(OFFSET(A$1,,,SUMPRODUCT(MAX(ROW(E$1:E3070)*(E2=E$1:E3070))))))</f>
        <v> </v>
      </c>
      <c r="K3071" s="25" t="str">
        <f>IF(OR(E3071="",E3071="!!!",F3071="NEW"),"",INDEX(J$1:J3070,SUMPRODUCT(MAX(ROW(E$1:E3070)*(E3071=E$1:E3070)))))</f>
        <v> </v>
      </c>
      <c r="L3071" s="26"/>
    </row>
    <row r="3072" spans="1:12">
      <c r="A3072" s="20" t="s">
        <v>708</v>
      </c>
      <c r="E3072" s="21">
        <f>IF(D3072="?OLD","!!!","")</f>
        <v/>
      </c>
      <c r="F3072" s="22" t="str">
        <f>IF(OR(E3072="",E3072="!!!"),"",IF(NOT(ISNA(VLOOKUP(E3072,E$1:E3071,1,FALSE()))),"OLD",IF(AND(E3072&lt;&gt;"",E3072&lt;&gt;"!!!"),"NEW","")))</f>
        <v> </v>
      </c>
      <c r="G3072" s="23" t="str">
        <f>IF(OR(E3072="",E3072="!!!"),"",IF(OR(J3072=0,AND(J3072=1,K3072=1),AND(J3072=1,I3072="SBJ"),AND(J3072=1,I3072=0)),"?IN_FOCUS",IF(J3072&lt;=2,"?ACTIVATED",IF(J3072&lt;&gt;"","?FAMILIAR",IF(F3072="NEW",IF(ISNA(VLOOKUP(E3072,#REF!,1,FALSE())),"?TYPE_IDENTIFIABLE","?REFERENTIAL"),"_")))))</f>
        <v> </v>
      </c>
      <c r="H3072" s="24" t="str">
        <f>IF(J3072&lt;&gt;1,"",IF(I3072="SBJ","CB","?"))</f>
        <v> </v>
      </c>
      <c r="I3072" s="25" t="str">
        <f>IF(OR(E3072="",E3072="!!!",F3072="NEW"),"",INDEX(B3071:B$2,-1+SUMPRODUCT(MAX(ROW(E3071:E$2)*(E3072=E3071:E$2)))))</f>
        <v> </v>
      </c>
      <c r="J3072" s="25" t="str">
        <f>IF(OR(E3072="",E3072="!!!",F3072="NEW"),"",COUNTBLANK(OFFSET(A$1,,,SUMPRODUCT(MAX(ROW(E$2:E3072)*(E3072=E$2:E3072)))))-COUNTBLANK(OFFSET(A$1,,,SUMPRODUCT(MAX(ROW(E$1:E3071)*(E2=E$1:E3071))))))</f>
        <v> </v>
      </c>
      <c r="K3072" s="25" t="str">
        <f>IF(OR(E3072="",E3072="!!!",F3072="NEW"),"",INDEX(J$1:J3071,SUMPRODUCT(MAX(ROW(E$1:E3071)*(E3072=E$1:E3071)))))</f>
        <v> </v>
      </c>
      <c r="L3072" s="26"/>
    </row>
    <row r="3073" spans="1:12">
      <c r="A3073" s="20" t="s">
        <v>558</v>
      </c>
      <c r="E3073" s="21">
        <f>IF(D3073="?OLD","!!!","")</f>
        <v/>
      </c>
      <c r="F3073" s="22" t="str">
        <f>IF(OR(E3073="",E3073="!!!"),"",IF(NOT(ISNA(VLOOKUP(E3073,E$1:E3072,1,FALSE()))),"OLD",IF(AND(E3073&lt;&gt;"",E3073&lt;&gt;"!!!"),"NEW","")))</f>
        <v> </v>
      </c>
      <c r="G3073" s="23" t="str">
        <f>IF(OR(E3073="",E3073="!!!"),"",IF(OR(J3073=0,AND(J3073=1,K3073=1),AND(J3073=1,I3073="SBJ"),AND(J3073=1,I3073=0)),"?IN_FOCUS",IF(J3073&lt;=2,"?ACTIVATED",IF(J3073&lt;&gt;"","?FAMILIAR",IF(F3073="NEW",IF(ISNA(VLOOKUP(E3073,#REF!,1,FALSE())),"?TYPE_IDENTIFIABLE","?REFERENTIAL"),"_")))))</f>
        <v> </v>
      </c>
      <c r="H3073" s="24" t="str">
        <f>IF(J3073&lt;&gt;1,"",IF(I3073="SBJ","CB","?"))</f>
        <v> </v>
      </c>
      <c r="I3073" s="25" t="str">
        <f>IF(OR(E3073="",E3073="!!!",F3073="NEW"),"",INDEX(B3072:B$2,-1+SUMPRODUCT(MAX(ROW(E3072:E$2)*(E3073=E3072:E$2)))))</f>
        <v> </v>
      </c>
      <c r="J3073" s="25" t="str">
        <f>IF(OR(E3073="",E3073="!!!",F3073="NEW"),"",COUNTBLANK(OFFSET(A$1,,,SUMPRODUCT(MAX(ROW(E$2:E3073)*(E3073=E$2:E3073)))))-COUNTBLANK(OFFSET(A$1,,,SUMPRODUCT(MAX(ROW(E$1:E3072)*(E2=E$1:E3072))))))</f>
        <v> </v>
      </c>
      <c r="K3073" s="25" t="str">
        <f>IF(OR(E3073="",E3073="!!!",F3073="NEW"),"",INDEX(J$1:J3072,SUMPRODUCT(MAX(ROW(E$1:E3072)*(E3073=E$1:E3072)))))</f>
        <v> </v>
      </c>
      <c r="L3073" s="26"/>
    </row>
    <row r="3074" spans="1:12">
      <c r="A3074" s="20" t="s">
        <v>1551</v>
      </c>
      <c r="E3074" s="21">
        <f>IF(D3074="?OLD","!!!","")</f>
        <v/>
      </c>
      <c r="F3074" s="22" t="str">
        <f>IF(OR(E3074="",E3074="!!!"),"",IF(NOT(ISNA(VLOOKUP(E3074,E$1:E3073,1,FALSE()))),"OLD",IF(AND(E3074&lt;&gt;"",E3074&lt;&gt;"!!!"),"NEW","")))</f>
        <v> </v>
      </c>
      <c r="G3074" s="23" t="str">
        <f>IF(OR(E3074="",E3074="!!!"),"",IF(OR(J3074=0,AND(J3074=1,K3074=1),AND(J3074=1,I3074="SBJ"),AND(J3074=1,I3074=0)),"?IN_FOCUS",IF(J3074&lt;=2,"?ACTIVATED",IF(J3074&lt;&gt;"","?FAMILIAR",IF(F3074="NEW",IF(ISNA(VLOOKUP(E3074,#REF!,1,FALSE())),"?TYPE_IDENTIFIABLE","?REFERENTIAL"),"_")))))</f>
        <v> </v>
      </c>
      <c r="H3074" s="24" t="str">
        <f>IF(J3074&lt;&gt;1,"",IF(I3074="SBJ","CB","?"))</f>
        <v> </v>
      </c>
      <c r="I3074" s="25" t="str">
        <f>IF(OR(E3074="",E3074="!!!",F3074="NEW"),"",INDEX(B3073:B$2,-1+SUMPRODUCT(MAX(ROW(E3073:E$2)*(E3074=E3073:E$2)))))</f>
        <v> </v>
      </c>
      <c r="J3074" s="25" t="str">
        <f>IF(OR(E3074="",E3074="!!!",F3074="NEW"),"",COUNTBLANK(OFFSET(A$1,,,SUMPRODUCT(MAX(ROW(E$2:E3074)*(E3074=E$2:E3074)))))-COUNTBLANK(OFFSET(A$1,,,SUMPRODUCT(MAX(ROW(E$1:E3073)*(E2=E$1:E3073))))))</f>
        <v> </v>
      </c>
      <c r="K3074" s="25" t="str">
        <f>IF(OR(E3074="",E3074="!!!",F3074="NEW"),"",INDEX(J$1:J3073,SUMPRODUCT(MAX(ROW(E$1:E3073)*(E3074=E$1:E3073)))))</f>
        <v> </v>
      </c>
      <c r="L3074" s="26"/>
    </row>
    <row r="3075" spans="1:12">
      <c r="A3075" s="20" t="s">
        <v>1180</v>
      </c>
      <c r="B3075" s="27" t="s">
        <v>743</v>
      </c>
      <c r="C3075" s="27" t="s">
        <v>535</v>
      </c>
      <c r="E3075" s="21">
        <f>IF(D3075="?OLD","!!!","")</f>
        <v/>
      </c>
      <c r="F3075" s="22" t="str">
        <f>IF(OR(E3075="",E3075="!!!"),"",IF(NOT(ISNA(VLOOKUP(E3075,E$1:E3074,1,FALSE()))),"OLD",IF(AND(E3075&lt;&gt;"",E3075&lt;&gt;"!!!"),"NEW","")))</f>
        <v> </v>
      </c>
      <c r="G3075" s="23" t="str">
        <f>IF(OR(E3075="",E3075="!!!"),"",IF(OR(J3075=0,AND(J3075=1,K3075=1),AND(J3075=1,I3075="SBJ"),AND(J3075=1,I3075=0)),"?IN_FOCUS",IF(J3075&lt;=2,"?ACTIVATED",IF(J3075&lt;&gt;"","?FAMILIAR",IF(F3075="NEW",IF(ISNA(VLOOKUP(E3075,#REF!,1,FALSE())),"?TYPE_IDENTIFIABLE","?REFERENTIAL"),"_")))))</f>
        <v> </v>
      </c>
      <c r="H3075" s="24" t="str">
        <f>IF(J3075&lt;&gt;1,"",IF(I3075="SBJ","CB","?"))</f>
        <v> </v>
      </c>
      <c r="I3075" s="25" t="str">
        <f>IF(OR(E3075="",E3075="!!!",F3075="NEW"),"",INDEX(B3074:B$2,-1+SUMPRODUCT(MAX(ROW(E3074:E$2)*(E3075=E3074:E$2)))))</f>
        <v> </v>
      </c>
      <c r="J3075" s="25" t="str">
        <f>IF(OR(E3075="",E3075="!!!",F3075="NEW"),"",COUNTBLANK(OFFSET(A$1,,,SUMPRODUCT(MAX(ROW(E$2:E3075)*(E3075=E$2:E3075)))))-COUNTBLANK(OFFSET(A$1,,,SUMPRODUCT(MAX(ROW(E$1:E3074)*(E2=E$1:E3074))))))</f>
        <v> </v>
      </c>
      <c r="K3075" s="25" t="str">
        <f>IF(OR(E3075="",E3075="!!!",F3075="NEW"),"",INDEX(J$1:J3074,SUMPRODUCT(MAX(ROW(E$1:E3074)*(E3075=E$1:E3074)))))</f>
        <v> </v>
      </c>
      <c r="L3075" s="26"/>
    </row>
    <row r="3076" spans="1:12">
      <c r="A3076" s="20" t="s">
        <v>549</v>
      </c>
      <c r="E3076" s="21">
        <f>IF(D3076="?OLD","!!!","")</f>
        <v/>
      </c>
      <c r="F3076" s="22" t="str">
        <f>IF(OR(E3076="",E3076="!!!"),"",IF(NOT(ISNA(VLOOKUP(E3076,E$1:E3075,1,FALSE()))),"OLD",IF(AND(E3076&lt;&gt;"",E3076&lt;&gt;"!!!"),"NEW","")))</f>
        <v> </v>
      </c>
      <c r="G3076" s="23" t="str">
        <f>IF(OR(E3076="",E3076="!!!"),"",IF(OR(J3076=0,AND(J3076=1,K3076=1),AND(J3076=1,I3076="SBJ"),AND(J3076=1,I3076=0)),"?IN_FOCUS",IF(J3076&lt;=2,"?ACTIVATED",IF(J3076&lt;&gt;"","?FAMILIAR",IF(F3076="NEW",IF(ISNA(VLOOKUP(E3076,#REF!,1,FALSE())),"?TYPE_IDENTIFIABLE","?REFERENTIAL"),"_")))))</f>
        <v> </v>
      </c>
      <c r="H3076" s="24" t="str">
        <f>IF(J3076&lt;&gt;1,"",IF(I3076="SBJ","CB","?"))</f>
        <v> </v>
      </c>
      <c r="I3076" s="25" t="str">
        <f>IF(OR(E3076="",E3076="!!!",F3076="NEW"),"",INDEX(B3075:B$2,-1+SUMPRODUCT(MAX(ROW(E3075:E$2)*(E3076=E3075:E$2)))))</f>
        <v> </v>
      </c>
      <c r="J3076" s="25" t="str">
        <f>IF(OR(E3076="",E3076="!!!",F3076="NEW"),"",COUNTBLANK(OFFSET(A$1,,,SUMPRODUCT(MAX(ROW(E$2:E3076)*(E3076=E$2:E3076)))))-COUNTBLANK(OFFSET(A$1,,,SUMPRODUCT(MAX(ROW(E$1:E3075)*(E2=E$1:E3075))))))</f>
        <v> </v>
      </c>
      <c r="K3076" s="25" t="str">
        <f>IF(OR(E3076="",E3076="!!!",F3076="NEW"),"",INDEX(J$1:J3075,SUMPRODUCT(MAX(ROW(E$1:E3075)*(E3076=E$1:E3075)))))</f>
        <v> </v>
      </c>
      <c r="L3076" s="26"/>
    </row>
    <row r="3077" spans="1:12">
      <c r="A3077" s="20"/>
    </row>
    <row r="3078" spans="1:12">
      <c r="A3078" s="20" t="s">
        <v>1552</v>
      </c>
    </row>
    <row r="3079" spans="1:12">
      <c r="A3079" s="20" t="s">
        <v>774</v>
      </c>
      <c r="E3079" s="21">
        <f>IF(D3079="?OLD","!!!","")</f>
        <v/>
      </c>
      <c r="F3079" s="22" t="str">
        <f>IF(OR(E3079="",E3079="!!!"),"",IF(NOT(ISNA(VLOOKUP(E3079,E$1:E3078,1,FALSE()))),"OLD",IF(AND(E3079&lt;&gt;"",E3079&lt;&gt;"!!!"),"NEW","")))</f>
        <v> </v>
      </c>
      <c r="G3079" s="23" t="str">
        <f>IF(OR(E3079="",E3079="!!!"),"",IF(OR(J3079=0,AND(J3079=1,K3079=1),AND(J3079=1,I3079="SBJ"),AND(J3079=1,I3079=0)),"?IN_FOCUS",IF(J3079&lt;=2,"?ACTIVATED",IF(J3079&lt;&gt;"","?FAMILIAR",IF(F3079="NEW",IF(ISNA(VLOOKUP(E3079,#REF!,1,FALSE())),"?TYPE_IDENTIFIABLE","?REFERENTIAL"),"_")))))</f>
        <v> </v>
      </c>
      <c r="H3079" s="24" t="str">
        <f>IF(J3079&lt;&gt;1,"",IF(I3079="SBJ","CB","?"))</f>
        <v> </v>
      </c>
      <c r="I3079" s="25" t="str">
        <f>IF(OR(E3079="",E3079="!!!",F3079="NEW"),"",INDEX(B3078:B$2,-1+SUMPRODUCT(MAX(ROW(E3078:E$2)*(E3079=E3078:E$2)))))</f>
        <v> </v>
      </c>
      <c r="J3079" s="25" t="str">
        <f>IF(OR(E3079="",E3079="!!!",F3079="NEW"),"",COUNTBLANK(OFFSET(A$1,,,SUMPRODUCT(MAX(ROW(E$2:E3079)*(E3079=E$2:E3079)))))-COUNTBLANK(OFFSET(A$1,,,SUMPRODUCT(MAX(ROW(E$1:E3078)*(E2=E$1:E3078))))))</f>
        <v> </v>
      </c>
      <c r="K3079" s="25" t="str">
        <f>IF(OR(E3079="",E3079="!!!",F3079="NEW"),"",INDEX(J$1:J3078,SUMPRODUCT(MAX(ROW(E$1:E3078)*(E3079=E$1:E3078)))))</f>
        <v> </v>
      </c>
      <c r="L3079" s="26"/>
    </row>
    <row r="3080" spans="1:12">
      <c r="A3080" s="20" t="s">
        <v>560</v>
      </c>
      <c r="E3080" s="21">
        <f>IF(D3080="?OLD","!!!","")</f>
        <v/>
      </c>
      <c r="F3080" s="22" t="str">
        <f>IF(OR(E3080="",E3080="!!!"),"",IF(NOT(ISNA(VLOOKUP(E3080,E$1:E3079,1,FALSE()))),"OLD",IF(AND(E3080&lt;&gt;"",E3080&lt;&gt;"!!!"),"NEW","")))</f>
        <v> </v>
      </c>
      <c r="G3080" s="23" t="str">
        <f>IF(OR(E3080="",E3080="!!!"),"",IF(OR(J3080=0,AND(J3080=1,K3080=1),AND(J3080=1,I3080="SBJ"),AND(J3080=1,I3080=0)),"?IN_FOCUS",IF(J3080&lt;=2,"?ACTIVATED",IF(J3080&lt;&gt;"","?FAMILIAR",IF(F3080="NEW",IF(ISNA(VLOOKUP(E3080,#REF!,1,FALSE())),"?TYPE_IDENTIFIABLE","?REFERENTIAL"),"_")))))</f>
        <v> </v>
      </c>
      <c r="H3080" s="24" t="str">
        <f>IF(J3080&lt;&gt;1,"",IF(I3080="SBJ","CB","?"))</f>
        <v> </v>
      </c>
      <c r="I3080" s="25" t="str">
        <f>IF(OR(E3080="",E3080="!!!",F3080="NEW"),"",INDEX(B3079:B$2,-1+SUMPRODUCT(MAX(ROW(E3079:E$2)*(E3080=E3079:E$2)))))</f>
        <v> </v>
      </c>
      <c r="J3080" s="25" t="str">
        <f>IF(OR(E3080="",E3080="!!!",F3080="NEW"),"",COUNTBLANK(OFFSET(A$1,,,SUMPRODUCT(MAX(ROW(E$2:E3080)*(E3080=E$2:E3080)))))-COUNTBLANK(OFFSET(A$1,,,SUMPRODUCT(MAX(ROW(E$1:E3079)*(E2=E$1:E3079))))))</f>
        <v> </v>
      </c>
      <c r="K3080" s="25" t="str">
        <f>IF(OR(E3080="",E3080="!!!",F3080="NEW"),"",INDEX(J$1:J3079,SUMPRODUCT(MAX(ROW(E$1:E3079)*(E3080=E$1:E3079)))))</f>
        <v> </v>
      </c>
      <c r="L3080" s="26"/>
    </row>
    <row r="3081" spans="1:12">
      <c r="A3081" s="20" t="s">
        <v>1553</v>
      </c>
      <c r="B3081" s="27" t="s">
        <v>592</v>
      </c>
      <c r="C3081" s="27" t="s">
        <v>540</v>
      </c>
      <c r="D3081" s="27" t="s">
        <v>524</v>
      </c>
      <c r="E3081" s="21">
        <f>IF(D3081="?OLD","!!!","")</f>
        <v/>
      </c>
      <c r="F3081" s="22" t="str">
        <f>IF(OR(E3081="",E3081="!!!"),"",IF(NOT(ISNA(VLOOKUP(E3081,E$1:E3080,1,FALSE()))),"OLD",IF(AND(E3081&lt;&gt;"",E3081&lt;&gt;"!!!"),"NEW","")))</f>
        <v> </v>
      </c>
      <c r="G3081" s="23" t="str">
        <f>IF(OR(E3081="",E3081="!!!"),"",IF(OR(J3081=0,AND(J3081=1,K3081=1),AND(J3081=1,I3081="SBJ"),AND(J3081=1,I3081=0)),"?IN_FOCUS",IF(J3081&lt;=2,"?ACTIVATED",IF(J3081&lt;&gt;"","?FAMILIAR",IF(F3081="NEW",IF(ISNA(VLOOKUP(E3081,#REF!,1,FALSE())),"?TYPE_IDENTIFIABLE","?REFERENTIAL"),"_")))))</f>
        <v> </v>
      </c>
      <c r="H3081" s="24" t="str">
        <f>IF(J3081&lt;&gt;1,"",IF(I3081="SBJ","CB","?"))</f>
        <v> </v>
      </c>
      <c r="I3081" s="25" t="str">
        <f>IF(OR(E3081="",E3081="!!!",F3081="NEW"),"",INDEX(B3080:B$2,-1+SUMPRODUCT(MAX(ROW(E3080:E$2)*(E3081=E3080:E$2)))))</f>
        <v> </v>
      </c>
      <c r="J3081" s="25" t="str">
        <f>IF(OR(E3081="",E3081="!!!",F3081="NEW"),"",COUNTBLANK(OFFSET(A$1,,,SUMPRODUCT(MAX(ROW(E$2:E3081)*(E3081=E$2:E3081)))))-COUNTBLANK(OFFSET(A$1,,,SUMPRODUCT(MAX(ROW(E$1:E3080)*(E2=E$1:E3080))))))</f>
        <v> </v>
      </c>
      <c r="K3081" s="25" t="str">
        <f>IF(OR(E3081="",E3081="!!!",F3081="NEW"),"",INDEX(J$1:J3080,SUMPRODUCT(MAX(ROW(E$1:E3080)*(E3081=E$1:E3080)))))</f>
        <v> </v>
      </c>
      <c r="L3081" s="26"/>
    </row>
    <row r="3082" spans="1:12">
      <c r="A3082" s="20" t="s">
        <v>518</v>
      </c>
      <c r="E3082" s="21">
        <f>IF(D3082="?OLD","!!!","")</f>
        <v/>
      </c>
      <c r="F3082" s="22" t="str">
        <f>IF(OR(E3082="",E3082="!!!"),"",IF(NOT(ISNA(VLOOKUP(E3082,E$1:E3081,1,FALSE()))),"OLD",IF(AND(E3082&lt;&gt;"",E3082&lt;&gt;"!!!"),"NEW","")))</f>
        <v> </v>
      </c>
      <c r="G3082" s="23" t="str">
        <f>IF(OR(E3082="",E3082="!!!"),"",IF(OR(J3082=0,AND(J3082=1,K3082=1),AND(J3082=1,I3082="SBJ"),AND(J3082=1,I3082=0)),"?IN_FOCUS",IF(J3082&lt;=2,"?ACTIVATED",IF(J3082&lt;&gt;"","?FAMILIAR",IF(F3082="NEW",IF(ISNA(VLOOKUP(E3082,#REF!,1,FALSE())),"?TYPE_IDENTIFIABLE","?REFERENTIAL"),"_")))))</f>
        <v> </v>
      </c>
      <c r="H3082" s="24" t="str">
        <f>IF(J3082&lt;&gt;1,"",IF(I3082="SBJ","CB","?"))</f>
        <v> </v>
      </c>
      <c r="I3082" s="25" t="str">
        <f>IF(OR(E3082="",E3082="!!!",F3082="NEW"),"",INDEX(B3081:B$2,-1+SUMPRODUCT(MAX(ROW(E3081:E$2)*(E3082=E3081:E$2)))))</f>
        <v> </v>
      </c>
      <c r="J3082" s="25" t="str">
        <f>IF(OR(E3082="",E3082="!!!",F3082="NEW"),"",COUNTBLANK(OFFSET(A$1,,,SUMPRODUCT(MAX(ROW(E$2:E3082)*(E3082=E$2:E3082)))))-COUNTBLANK(OFFSET(A$1,,,SUMPRODUCT(MAX(ROW(E$1:E3081)*(E2=E$1:E3081))))))</f>
        <v> </v>
      </c>
      <c r="K3082" s="25" t="str">
        <f>IF(OR(E3082="",E3082="!!!",F3082="NEW"),"",INDEX(J$1:J3081,SUMPRODUCT(MAX(ROW(E$1:E3081)*(E3082=E$1:E3081)))))</f>
        <v> </v>
      </c>
      <c r="L3082" s="26"/>
    </row>
    <row r="3083" spans="1:12">
      <c r="A3083" s="20" t="s">
        <v>730</v>
      </c>
      <c r="E3083" s="21">
        <f>IF(D3083="?OLD","!!!","")</f>
        <v/>
      </c>
      <c r="F3083" s="22" t="str">
        <f>IF(OR(E3083="",E3083="!!!"),"",IF(NOT(ISNA(VLOOKUP(E3083,E$1:E3082,1,FALSE()))),"OLD",IF(AND(E3083&lt;&gt;"",E3083&lt;&gt;"!!!"),"NEW","")))</f>
        <v> </v>
      </c>
      <c r="G3083" s="23" t="str">
        <f>IF(OR(E3083="",E3083="!!!"),"",IF(OR(J3083=0,AND(J3083=1,K3083=1),AND(J3083=1,I3083="SBJ"),AND(J3083=1,I3083=0)),"?IN_FOCUS",IF(J3083&lt;=2,"?ACTIVATED",IF(J3083&lt;&gt;"","?FAMILIAR",IF(F3083="NEW",IF(ISNA(VLOOKUP(E3083,#REF!,1,FALSE())),"?TYPE_IDENTIFIABLE","?REFERENTIAL"),"_")))))</f>
        <v> </v>
      </c>
      <c r="H3083" s="24" t="str">
        <f>IF(J3083&lt;&gt;1,"",IF(I3083="SBJ","CB","?"))</f>
        <v> </v>
      </c>
      <c r="I3083" s="25" t="str">
        <f>IF(OR(E3083="",E3083="!!!",F3083="NEW"),"",INDEX(B3082:B$2,-1+SUMPRODUCT(MAX(ROW(E3082:E$2)*(E3083=E3082:E$2)))))</f>
        <v> </v>
      </c>
      <c r="J3083" s="25" t="str">
        <f>IF(OR(E3083="",E3083="!!!",F3083="NEW"),"",COUNTBLANK(OFFSET(A$1,,,SUMPRODUCT(MAX(ROW(E$2:E3083)*(E3083=E$2:E3083)))))-COUNTBLANK(OFFSET(A$1,,,SUMPRODUCT(MAX(ROW(E$1:E3082)*(E2=E$1:E3082))))))</f>
        <v> </v>
      </c>
      <c r="K3083" s="25" t="str">
        <f>IF(OR(E3083="",E3083="!!!",F3083="NEW"),"",INDEX(J$1:J3082,SUMPRODUCT(MAX(ROW(E$1:E3082)*(E3083=E$1:E3082)))))</f>
        <v> </v>
      </c>
      <c r="L3083" s="26"/>
    </row>
    <row r="3084" spans="1:12">
      <c r="A3084" s="20" t="s">
        <v>1554</v>
      </c>
      <c r="B3084" s="27" t="s">
        <v>597</v>
      </c>
      <c r="C3084" s="27" t="s">
        <v>545</v>
      </c>
      <c r="D3084" s="27" t="s">
        <v>524</v>
      </c>
      <c r="E3084" s="21">
        <f>IF(D3084="?OLD","!!!","")</f>
        <v/>
      </c>
      <c r="F3084" s="22" t="str">
        <f>IF(OR(E3084="",E3084="!!!"),"",IF(NOT(ISNA(VLOOKUP(E3084,E$1:E3083,1,FALSE()))),"OLD",IF(AND(E3084&lt;&gt;"",E3084&lt;&gt;"!!!"),"NEW","")))</f>
        <v> </v>
      </c>
      <c r="G3084" s="23" t="str">
        <f>IF(OR(E3084="",E3084="!!!"),"",IF(OR(J3084=0,AND(J3084=1,K3084=1),AND(J3084=1,I3084="SBJ"),AND(J3084=1,I3084=0)),"?IN_FOCUS",IF(J3084&lt;=2,"?ACTIVATED",IF(J3084&lt;&gt;"","?FAMILIAR",IF(F3084="NEW",IF(ISNA(VLOOKUP(E3084,#REF!,1,FALSE())),"?TYPE_IDENTIFIABLE","?REFERENTIAL"),"_")))))</f>
        <v> </v>
      </c>
      <c r="H3084" s="24" t="str">
        <f>IF(J3084&lt;&gt;1,"",IF(I3084="SBJ","CB","?"))</f>
        <v> </v>
      </c>
      <c r="I3084" s="25" t="str">
        <f>IF(OR(E3084="",E3084="!!!",F3084="NEW"),"",INDEX(B3083:B$2,-1+SUMPRODUCT(MAX(ROW(E3083:E$2)*(E3084=E3083:E$2)))))</f>
        <v> </v>
      </c>
      <c r="J3084" s="25" t="str">
        <f>IF(OR(E3084="",E3084="!!!",F3084="NEW"),"",COUNTBLANK(OFFSET(A$1,,,SUMPRODUCT(MAX(ROW(E$2:E3084)*(E3084=E$2:E3084)))))-COUNTBLANK(OFFSET(A$1,,,SUMPRODUCT(MAX(ROW(E$1:E3083)*(E2=E$1:E3083))))))</f>
        <v> </v>
      </c>
      <c r="K3084" s="25" t="str">
        <f>IF(OR(E3084="",E3084="!!!",F3084="NEW"),"",INDEX(J$1:J3083,SUMPRODUCT(MAX(ROW(E$1:E3083)*(E3084=E$1:E3083)))))</f>
        <v> </v>
      </c>
      <c r="L3084" s="26"/>
    </row>
    <row r="3085" spans="1:12">
      <c r="A3085" s="20" t="s">
        <v>528</v>
      </c>
      <c r="B3085" s="27" t="s">
        <v>529</v>
      </c>
      <c r="E3085" s="21">
        <f>IF(D3085="?OLD","!!!","")</f>
        <v/>
      </c>
      <c r="F3085" s="22" t="str">
        <f>IF(OR(E3085="",E3085="!!!"),"",IF(NOT(ISNA(VLOOKUP(E3085,E$1:E3084,1,FALSE()))),"OLD",IF(AND(E3085&lt;&gt;"",E3085&lt;&gt;"!!!"),"NEW","")))</f>
        <v> </v>
      </c>
      <c r="G3085" s="23" t="str">
        <f>IF(OR(E3085="",E3085="!!!"),"",IF(OR(J3085=0,AND(J3085=1,K3085=1),AND(J3085=1,I3085="SBJ"),AND(J3085=1,I3085=0)),"?IN_FOCUS",IF(J3085&lt;=2,"?ACTIVATED",IF(J3085&lt;&gt;"","?FAMILIAR",IF(F3085="NEW",IF(ISNA(VLOOKUP(E3085,#REF!,1,FALSE())),"?TYPE_IDENTIFIABLE","?REFERENTIAL"),"_")))))</f>
        <v> </v>
      </c>
      <c r="H3085" s="24" t="str">
        <f>IF(J3085&lt;&gt;1,"",IF(I3085="SBJ","CB","?"))</f>
        <v> </v>
      </c>
      <c r="I3085" s="25" t="str">
        <f>IF(OR(E3085="",E3085="!!!",F3085="NEW"),"",INDEX(B3084:B$2,-1+SUMPRODUCT(MAX(ROW(E3084:E$2)*(E3085=E3084:E$2)))))</f>
        <v> </v>
      </c>
      <c r="J3085" s="25" t="str">
        <f>IF(OR(E3085="",E3085="!!!",F3085="NEW"),"",COUNTBLANK(OFFSET(A$1,,,SUMPRODUCT(MAX(ROW(E$2:E3085)*(E3085=E$2:E3085)))))-COUNTBLANK(OFFSET(A$1,,,SUMPRODUCT(MAX(ROW(E$1:E3084)*(E2=E$1:E3084))))))</f>
        <v> </v>
      </c>
      <c r="K3085" s="25" t="str">
        <f>IF(OR(E3085="",E3085="!!!",F3085="NEW"),"",INDEX(J$1:J3084,SUMPRODUCT(MAX(ROW(E$1:E3084)*(E3085=E$1:E3084)))))</f>
        <v> </v>
      </c>
      <c r="L3085" s="26"/>
    </row>
    <row r="3086" spans="1:12">
      <c r="A3086" s="20" t="s">
        <v>651</v>
      </c>
      <c r="E3086" s="21">
        <f>IF(D3086="?OLD","!!!","")</f>
        <v/>
      </c>
      <c r="F3086" s="22" t="str">
        <f>IF(OR(E3086="",E3086="!!!"),"",IF(NOT(ISNA(VLOOKUP(E3086,E$1:E3085,1,FALSE()))),"OLD",IF(AND(E3086&lt;&gt;"",E3086&lt;&gt;"!!!"),"NEW","")))</f>
        <v> </v>
      </c>
      <c r="G3086" s="23" t="str">
        <f>IF(OR(E3086="",E3086="!!!"),"",IF(OR(J3086=0,AND(J3086=1,K3086=1),AND(J3086=1,I3086="SBJ"),AND(J3086=1,I3086=0)),"?IN_FOCUS",IF(J3086&lt;=2,"?ACTIVATED",IF(J3086&lt;&gt;"","?FAMILIAR",IF(F3086="NEW",IF(ISNA(VLOOKUP(E3086,#REF!,1,FALSE())),"?TYPE_IDENTIFIABLE","?REFERENTIAL"),"_")))))</f>
        <v> </v>
      </c>
      <c r="H3086" s="24" t="str">
        <f>IF(J3086&lt;&gt;1,"",IF(I3086="SBJ","CB","?"))</f>
        <v> </v>
      </c>
      <c r="I3086" s="25" t="str">
        <f>IF(OR(E3086="",E3086="!!!",F3086="NEW"),"",INDEX(B3085:B$2,-1+SUMPRODUCT(MAX(ROW(E3085:E$2)*(E3086=E3085:E$2)))))</f>
        <v> </v>
      </c>
      <c r="J3086" s="25" t="str">
        <f>IF(OR(E3086="",E3086="!!!",F3086="NEW"),"",COUNTBLANK(OFFSET(A$1,,,SUMPRODUCT(MAX(ROW(E$2:E3086)*(E3086=E$2:E3086)))))-COUNTBLANK(OFFSET(A$1,,,SUMPRODUCT(MAX(ROW(E$1:E3085)*(E2=E$1:E3085))))))</f>
        <v> </v>
      </c>
      <c r="K3086" s="25" t="str">
        <f>IF(OR(E3086="",E3086="!!!",F3086="NEW"),"",INDEX(J$1:J3085,SUMPRODUCT(MAX(ROW(E$1:E3085)*(E3086=E$1:E3085)))))</f>
        <v> </v>
      </c>
      <c r="L3086" s="26"/>
    </row>
    <row r="3087" spans="1:12">
      <c r="A3087" s="20" t="s">
        <v>520</v>
      </c>
      <c r="E3087" s="21">
        <f>IF(D3087="?OLD","!!!","")</f>
        <v/>
      </c>
      <c r="F3087" s="22" t="str">
        <f>IF(OR(E3087="",E3087="!!!"),"",IF(NOT(ISNA(VLOOKUP(E3087,E$1:E3086,1,FALSE()))),"OLD",IF(AND(E3087&lt;&gt;"",E3087&lt;&gt;"!!!"),"NEW","")))</f>
        <v> </v>
      </c>
      <c r="G3087" s="23" t="str">
        <f>IF(OR(E3087="",E3087="!!!"),"",IF(OR(J3087=0,AND(J3087=1,K3087=1),AND(J3087=1,I3087="SBJ"),AND(J3087=1,I3087=0)),"?IN_FOCUS",IF(J3087&lt;=2,"?ACTIVATED",IF(J3087&lt;&gt;"","?FAMILIAR",IF(F3087="NEW",IF(ISNA(VLOOKUP(E3087,#REF!,1,FALSE())),"?TYPE_IDENTIFIABLE","?REFERENTIAL"),"_")))))</f>
        <v> </v>
      </c>
      <c r="H3087" s="24" t="str">
        <f>IF(J3087&lt;&gt;1,"",IF(I3087="SBJ","CB","?"))</f>
        <v> </v>
      </c>
      <c r="I3087" s="25" t="str">
        <f>IF(OR(E3087="",E3087="!!!",F3087="NEW"),"",INDEX(B3086:B$2,-1+SUMPRODUCT(MAX(ROW(E3086:E$2)*(E3087=E3086:E$2)))))</f>
        <v> </v>
      </c>
      <c r="J3087" s="25" t="str">
        <f>IF(OR(E3087="",E3087="!!!",F3087="NEW"),"",COUNTBLANK(OFFSET(A$1,,,SUMPRODUCT(MAX(ROW(E$2:E3087)*(E3087=E$2:E3087)))))-COUNTBLANK(OFFSET(A$1,,,SUMPRODUCT(MAX(ROW(E$1:E3086)*(E2=E$1:E3086))))))</f>
        <v> </v>
      </c>
      <c r="K3087" s="25" t="str">
        <f>IF(OR(E3087="",E3087="!!!",F3087="NEW"),"",INDEX(J$1:J3086,SUMPRODUCT(MAX(ROW(E$1:E3086)*(E3087=E$1:E3086)))))</f>
        <v> </v>
      </c>
      <c r="L3087" s="26"/>
    </row>
    <row r="3088" spans="1:12">
      <c r="A3088" s="20" t="s">
        <v>1002</v>
      </c>
      <c r="B3088" s="27" t="s">
        <v>573</v>
      </c>
      <c r="C3088" s="27" t="s">
        <v>523</v>
      </c>
      <c r="D3088" s="27" t="s">
        <v>524</v>
      </c>
      <c r="E3088" s="21">
        <f>IF(D3088="?OLD","!!!","")</f>
        <v/>
      </c>
      <c r="F3088" s="22" t="str">
        <f>IF(OR(E3088="",E3088="!!!"),"",IF(NOT(ISNA(VLOOKUP(E3088,E$1:E3087,1,FALSE()))),"OLD",IF(AND(E3088&lt;&gt;"",E3088&lt;&gt;"!!!"),"NEW","")))</f>
        <v> </v>
      </c>
      <c r="G3088" s="23" t="str">
        <f>IF(OR(E3088="",E3088="!!!"),"",IF(OR(J3088=0,AND(J3088=1,K3088=1),AND(J3088=1,I3088="SBJ"),AND(J3088=1,I3088=0)),"?IN_FOCUS",IF(J3088&lt;=2,"?ACTIVATED",IF(J3088&lt;&gt;"","?FAMILIAR",IF(F3088="NEW",IF(ISNA(VLOOKUP(E3088,#REF!,1,FALSE())),"?TYPE_IDENTIFIABLE","?REFERENTIAL"),"_")))))</f>
        <v> </v>
      </c>
      <c r="H3088" s="24" t="str">
        <f>IF(J3088&lt;&gt;1,"",IF(I3088="SBJ","CB","?"))</f>
        <v> </v>
      </c>
      <c r="I3088" s="25" t="str">
        <f>IF(OR(E3088="",E3088="!!!",F3088="NEW"),"",INDEX(B3087:B$2,-1+SUMPRODUCT(MAX(ROW(E3087:E$2)*(E3088=E3087:E$2)))))</f>
        <v> </v>
      </c>
      <c r="J3088" s="25" t="str">
        <f>IF(OR(E3088="",E3088="!!!",F3088="NEW"),"",COUNTBLANK(OFFSET(A$1,,,SUMPRODUCT(MAX(ROW(E$2:E3088)*(E3088=E$2:E3088)))))-COUNTBLANK(OFFSET(A$1,,,SUMPRODUCT(MAX(ROW(E$1:E3087)*(E2=E$1:E3087))))))</f>
        <v> </v>
      </c>
      <c r="K3088" s="25" t="str">
        <f>IF(OR(E3088="",E3088="!!!",F3088="NEW"),"",INDEX(J$1:J3087,SUMPRODUCT(MAX(ROW(E$1:E3087)*(E3088=E$1:E3087)))))</f>
        <v> </v>
      </c>
      <c r="L3088" s="26"/>
    </row>
    <row r="3089" spans="1:12">
      <c r="A3089" s="20" t="s">
        <v>565</v>
      </c>
      <c r="E3089" s="21">
        <f>IF(D3089="?OLD","!!!","")</f>
        <v/>
      </c>
      <c r="F3089" s="22" t="str">
        <f>IF(OR(E3089="",E3089="!!!"),"",IF(NOT(ISNA(VLOOKUP(E3089,E$1:E3088,1,FALSE()))),"OLD",IF(AND(E3089&lt;&gt;"",E3089&lt;&gt;"!!!"),"NEW","")))</f>
        <v> </v>
      </c>
      <c r="G3089" s="23" t="str">
        <f>IF(OR(E3089="",E3089="!!!"),"",IF(OR(J3089=0,AND(J3089=1,K3089=1),AND(J3089=1,I3089="SBJ"),AND(J3089=1,I3089=0)),"?IN_FOCUS",IF(J3089&lt;=2,"?ACTIVATED",IF(J3089&lt;&gt;"","?FAMILIAR",IF(F3089="NEW",IF(ISNA(VLOOKUP(E3089,#REF!,1,FALSE())),"?TYPE_IDENTIFIABLE","?REFERENTIAL"),"_")))))</f>
        <v> </v>
      </c>
      <c r="H3089" s="24" t="str">
        <f>IF(J3089&lt;&gt;1,"",IF(I3089="SBJ","CB","?"))</f>
        <v> </v>
      </c>
      <c r="I3089" s="25" t="str">
        <f>IF(OR(E3089="",E3089="!!!",F3089="NEW"),"",INDEX(B3088:B$2,-1+SUMPRODUCT(MAX(ROW(E3088:E$2)*(E3089=E3088:E$2)))))</f>
        <v> </v>
      </c>
      <c r="J3089" s="25" t="str">
        <f>IF(OR(E3089="",E3089="!!!",F3089="NEW"),"",COUNTBLANK(OFFSET(A$1,,,SUMPRODUCT(MAX(ROW(E$2:E3089)*(E3089=E$2:E3089)))))-COUNTBLANK(OFFSET(A$1,,,SUMPRODUCT(MAX(ROW(E$1:E3088)*(E2=E$1:E3088))))))</f>
        <v> </v>
      </c>
      <c r="K3089" s="25" t="str">
        <f>IF(OR(E3089="",E3089="!!!",F3089="NEW"),"",INDEX(J$1:J3088,SUMPRODUCT(MAX(ROW(E$1:E3088)*(E3089=E$1:E3088)))))</f>
        <v> </v>
      </c>
      <c r="L3089" s="26"/>
    </row>
    <row r="3090" spans="1:12">
      <c r="A3090" s="20" t="s">
        <v>708</v>
      </c>
      <c r="E3090" s="21">
        <f>IF(D3090="?OLD","!!!","")</f>
        <v/>
      </c>
      <c r="F3090" s="22" t="str">
        <f>IF(OR(E3090="",E3090="!!!"),"",IF(NOT(ISNA(VLOOKUP(E3090,E$1:E3089,1,FALSE()))),"OLD",IF(AND(E3090&lt;&gt;"",E3090&lt;&gt;"!!!"),"NEW","")))</f>
        <v> </v>
      </c>
      <c r="G3090" s="23" t="str">
        <f>IF(OR(E3090="",E3090="!!!"),"",IF(OR(J3090=0,AND(J3090=1,K3090=1),AND(J3090=1,I3090="SBJ"),AND(J3090=1,I3090=0)),"?IN_FOCUS",IF(J3090&lt;=2,"?ACTIVATED",IF(J3090&lt;&gt;"","?FAMILIAR",IF(F3090="NEW",IF(ISNA(VLOOKUP(E3090,#REF!,1,FALSE())),"?TYPE_IDENTIFIABLE","?REFERENTIAL"),"_")))))</f>
        <v> </v>
      </c>
      <c r="H3090" s="24" t="str">
        <f>IF(J3090&lt;&gt;1,"",IF(I3090="SBJ","CB","?"))</f>
        <v> </v>
      </c>
      <c r="I3090" s="25" t="str">
        <f>IF(OR(E3090="",E3090="!!!",F3090="NEW"),"",INDEX(B3089:B$2,-1+SUMPRODUCT(MAX(ROW(E3089:E$2)*(E3090=E3089:E$2)))))</f>
        <v> </v>
      </c>
      <c r="J3090" s="25" t="str">
        <f>IF(OR(E3090="",E3090="!!!",F3090="NEW"),"",COUNTBLANK(OFFSET(A$1,,,SUMPRODUCT(MAX(ROW(E$2:E3090)*(E3090=E$2:E3090)))))-COUNTBLANK(OFFSET(A$1,,,SUMPRODUCT(MAX(ROW(E$1:E3089)*(E2=E$1:E3089))))))</f>
        <v> </v>
      </c>
      <c r="K3090" s="25" t="str">
        <f>IF(OR(E3090="",E3090="!!!",F3090="NEW"),"",INDEX(J$1:J3089,SUMPRODUCT(MAX(ROW(E$1:E3089)*(E3090=E$1:E3089)))))</f>
        <v> </v>
      </c>
      <c r="L3090" s="26"/>
    </row>
    <row r="3091" spans="1:12">
      <c r="A3091" s="20" t="s">
        <v>751</v>
      </c>
      <c r="E3091" s="21">
        <f>IF(D3091="?OLD","!!!","")</f>
        <v/>
      </c>
      <c r="F3091" s="22" t="str">
        <f>IF(OR(E3091="",E3091="!!!"),"",IF(NOT(ISNA(VLOOKUP(E3091,E$1:E3090,1,FALSE()))),"OLD",IF(AND(E3091&lt;&gt;"",E3091&lt;&gt;"!!!"),"NEW","")))</f>
        <v> </v>
      </c>
      <c r="G3091" s="23" t="str">
        <f>IF(OR(E3091="",E3091="!!!"),"",IF(OR(J3091=0,AND(J3091=1,K3091=1),AND(J3091=1,I3091="SBJ"),AND(J3091=1,I3091=0)),"?IN_FOCUS",IF(J3091&lt;=2,"?ACTIVATED",IF(J3091&lt;&gt;"","?FAMILIAR",IF(F3091="NEW",IF(ISNA(VLOOKUP(E3091,#REF!,1,FALSE())),"?TYPE_IDENTIFIABLE","?REFERENTIAL"),"_")))))</f>
        <v> </v>
      </c>
      <c r="H3091" s="24" t="str">
        <f>IF(J3091&lt;&gt;1,"",IF(I3091="SBJ","CB","?"))</f>
        <v> </v>
      </c>
      <c r="I3091" s="25" t="str">
        <f>IF(OR(E3091="",E3091="!!!",F3091="NEW"),"",INDEX(B3090:B$2,-1+SUMPRODUCT(MAX(ROW(E3090:E$2)*(E3091=E3090:E$2)))))</f>
        <v> </v>
      </c>
      <c r="J3091" s="25" t="str">
        <f>IF(OR(E3091="",E3091="!!!",F3091="NEW"),"",COUNTBLANK(OFFSET(A$1,,,SUMPRODUCT(MAX(ROW(E$2:E3091)*(E3091=E$2:E3091)))))-COUNTBLANK(OFFSET(A$1,,,SUMPRODUCT(MAX(ROW(E$1:E3090)*(E2=E$1:E3090))))))</f>
        <v> </v>
      </c>
      <c r="K3091" s="25" t="str">
        <f>IF(OR(E3091="",E3091="!!!",F3091="NEW"),"",INDEX(J$1:J3090,SUMPRODUCT(MAX(ROW(E$1:E3090)*(E3091=E$1:E3090)))))</f>
        <v> </v>
      </c>
      <c r="L3091" s="26"/>
    </row>
    <row r="3092" spans="1:12">
      <c r="A3092" s="20" t="s">
        <v>1555</v>
      </c>
      <c r="E3092" s="21">
        <f>IF(D3092="?OLD","!!!","")</f>
        <v/>
      </c>
      <c r="F3092" s="22" t="str">
        <f>IF(OR(E3092="",E3092="!!!"),"",IF(NOT(ISNA(VLOOKUP(E3092,E$1:E3091,1,FALSE()))),"OLD",IF(AND(E3092&lt;&gt;"",E3092&lt;&gt;"!!!"),"NEW","")))</f>
        <v> </v>
      </c>
      <c r="G3092" s="23" t="str">
        <f>IF(OR(E3092="",E3092="!!!"),"",IF(OR(J3092=0,AND(J3092=1,K3092=1),AND(J3092=1,I3092="SBJ"),AND(J3092=1,I3092=0)),"?IN_FOCUS",IF(J3092&lt;=2,"?ACTIVATED",IF(J3092&lt;&gt;"","?FAMILIAR",IF(F3092="NEW",IF(ISNA(VLOOKUP(E3092,#REF!,1,FALSE())),"?TYPE_IDENTIFIABLE","?REFERENTIAL"),"_")))))</f>
        <v> </v>
      </c>
      <c r="H3092" s="24" t="str">
        <f>IF(J3092&lt;&gt;1,"",IF(I3092="SBJ","CB","?"))</f>
        <v> </v>
      </c>
      <c r="I3092" s="25" t="str">
        <f>IF(OR(E3092="",E3092="!!!",F3092="NEW"),"",INDEX(B3091:B$2,-1+SUMPRODUCT(MAX(ROW(E3091:E$2)*(E3092=E3091:E$2)))))</f>
        <v> </v>
      </c>
      <c r="J3092" s="25" t="str">
        <f>IF(OR(E3092="",E3092="!!!",F3092="NEW"),"",COUNTBLANK(OFFSET(A$1,,,SUMPRODUCT(MAX(ROW(E$2:E3092)*(E3092=E$2:E3092)))))-COUNTBLANK(OFFSET(A$1,,,SUMPRODUCT(MAX(ROW(E$1:E3091)*(E2=E$1:E3091))))))</f>
        <v> </v>
      </c>
      <c r="K3092" s="25" t="str">
        <f>IF(OR(E3092="",E3092="!!!",F3092="NEW"),"",INDEX(J$1:J3091,SUMPRODUCT(MAX(ROW(E$1:E3091)*(E3092=E$1:E3091)))))</f>
        <v> </v>
      </c>
      <c r="L3092" s="26"/>
    </row>
    <row r="3093" spans="1:12">
      <c r="A3093" s="20" t="s">
        <v>518</v>
      </c>
      <c r="E3093" s="21">
        <f>IF(D3093="?OLD","!!!","")</f>
        <v/>
      </c>
      <c r="F3093" s="22" t="str">
        <f>IF(OR(E3093="",E3093="!!!"),"",IF(NOT(ISNA(VLOOKUP(E3093,E$1:E3092,1,FALSE()))),"OLD",IF(AND(E3093&lt;&gt;"",E3093&lt;&gt;"!!!"),"NEW","")))</f>
        <v> </v>
      </c>
      <c r="G3093" s="23" t="str">
        <f>IF(OR(E3093="",E3093="!!!"),"",IF(OR(J3093=0,AND(J3093=1,K3093=1),AND(J3093=1,I3093="SBJ"),AND(J3093=1,I3093=0)),"?IN_FOCUS",IF(J3093&lt;=2,"?ACTIVATED",IF(J3093&lt;&gt;"","?FAMILIAR",IF(F3093="NEW",IF(ISNA(VLOOKUP(E3093,#REF!,1,FALSE())),"?TYPE_IDENTIFIABLE","?REFERENTIAL"),"_")))))</f>
        <v> </v>
      </c>
      <c r="H3093" s="24" t="str">
        <f>IF(J3093&lt;&gt;1,"",IF(I3093="SBJ","CB","?"))</f>
        <v> </v>
      </c>
      <c r="I3093" s="25" t="str">
        <f>IF(OR(E3093="",E3093="!!!",F3093="NEW"),"",INDEX(B3092:B$2,-1+SUMPRODUCT(MAX(ROW(E3092:E$2)*(E3093=E3092:E$2)))))</f>
        <v> </v>
      </c>
      <c r="J3093" s="25" t="str">
        <f>IF(OR(E3093="",E3093="!!!",F3093="NEW"),"",COUNTBLANK(OFFSET(A$1,,,SUMPRODUCT(MAX(ROW(E$2:E3093)*(E3093=E$2:E3093)))))-COUNTBLANK(OFFSET(A$1,,,SUMPRODUCT(MAX(ROW(E$1:E3092)*(E2=E$1:E3092))))))</f>
        <v> </v>
      </c>
      <c r="K3093" s="25" t="str">
        <f>IF(OR(E3093="",E3093="!!!",F3093="NEW"),"",INDEX(J$1:J3092,SUMPRODUCT(MAX(ROW(E$1:E3092)*(E3093=E$1:E3092)))))</f>
        <v> </v>
      </c>
      <c r="L3093" s="26"/>
    </row>
    <row r="3094" spans="1:12">
      <c r="A3094" s="20" t="s">
        <v>730</v>
      </c>
      <c r="E3094" s="21">
        <f>IF(D3094="?OLD","!!!","")</f>
        <v/>
      </c>
      <c r="F3094" s="22" t="str">
        <f>IF(OR(E3094="",E3094="!!!"),"",IF(NOT(ISNA(VLOOKUP(E3094,E$1:E3093,1,FALSE()))),"OLD",IF(AND(E3094&lt;&gt;"",E3094&lt;&gt;"!!!"),"NEW","")))</f>
        <v> </v>
      </c>
      <c r="G3094" s="23" t="str">
        <f>IF(OR(E3094="",E3094="!!!"),"",IF(OR(J3094=0,AND(J3094=1,K3094=1),AND(J3094=1,I3094="SBJ"),AND(J3094=1,I3094=0)),"?IN_FOCUS",IF(J3094&lt;=2,"?ACTIVATED",IF(J3094&lt;&gt;"","?FAMILIAR",IF(F3094="NEW",IF(ISNA(VLOOKUP(E3094,#REF!,1,FALSE())),"?TYPE_IDENTIFIABLE","?REFERENTIAL"),"_")))))</f>
        <v> </v>
      </c>
      <c r="H3094" s="24" t="str">
        <f>IF(J3094&lt;&gt;1,"",IF(I3094="SBJ","CB","?"))</f>
        <v> </v>
      </c>
      <c r="I3094" s="25" t="str">
        <f>IF(OR(E3094="",E3094="!!!",F3094="NEW"),"",INDEX(B3093:B$2,-1+SUMPRODUCT(MAX(ROW(E3093:E$2)*(E3094=E3093:E$2)))))</f>
        <v> </v>
      </c>
      <c r="J3094" s="25" t="str">
        <f>IF(OR(E3094="",E3094="!!!",F3094="NEW"),"",COUNTBLANK(OFFSET(A$1,,,SUMPRODUCT(MAX(ROW(E$2:E3094)*(E3094=E$2:E3094)))))-COUNTBLANK(OFFSET(A$1,,,SUMPRODUCT(MAX(ROW(E$1:E3093)*(E2=E$1:E3093))))))</f>
        <v> </v>
      </c>
      <c r="K3094" s="25" t="str">
        <f>IF(OR(E3094="",E3094="!!!",F3094="NEW"),"",INDEX(J$1:J3093,SUMPRODUCT(MAX(ROW(E$1:E3093)*(E3094=E$1:E3093)))))</f>
        <v> </v>
      </c>
      <c r="L3094" s="26"/>
    </row>
    <row r="3095" spans="1:12">
      <c r="A3095" s="20" t="s">
        <v>1554</v>
      </c>
      <c r="B3095" s="27" t="s">
        <v>680</v>
      </c>
      <c r="C3095" s="27" t="s">
        <v>545</v>
      </c>
      <c r="D3095" s="27" t="s">
        <v>524</v>
      </c>
      <c r="E3095" s="21">
        <f>IF(D3095="?OLD","!!!","")</f>
        <v/>
      </c>
      <c r="F3095" s="22" t="str">
        <f>IF(OR(E3095="",E3095="!!!"),"",IF(NOT(ISNA(VLOOKUP(E3095,E$1:E3094,1,FALSE()))),"OLD",IF(AND(E3095&lt;&gt;"",E3095&lt;&gt;"!!!"),"NEW","")))</f>
        <v> </v>
      </c>
      <c r="G3095" s="23" t="str">
        <f>IF(OR(E3095="",E3095="!!!"),"",IF(OR(J3095=0,AND(J3095=1,K3095=1),AND(J3095=1,I3095="SBJ"),AND(J3095=1,I3095=0)),"?IN_FOCUS",IF(J3095&lt;=2,"?ACTIVATED",IF(J3095&lt;&gt;"","?FAMILIAR",IF(F3095="NEW",IF(ISNA(VLOOKUP(E3095,#REF!,1,FALSE())),"?TYPE_IDENTIFIABLE","?REFERENTIAL"),"_")))))</f>
        <v> </v>
      </c>
      <c r="H3095" s="24" t="str">
        <f>IF(J3095&lt;&gt;1,"",IF(I3095="SBJ","CB","?"))</f>
        <v> </v>
      </c>
      <c r="I3095" s="25" t="str">
        <f>IF(OR(E3095="",E3095="!!!",F3095="NEW"),"",INDEX(B3094:B$2,-1+SUMPRODUCT(MAX(ROW(E3094:E$2)*(E3095=E3094:E$2)))))</f>
        <v> </v>
      </c>
      <c r="J3095" s="25" t="str">
        <f>IF(OR(E3095="",E3095="!!!",F3095="NEW"),"",COUNTBLANK(OFFSET(A$1,,,SUMPRODUCT(MAX(ROW(E$2:E3095)*(E3095=E$2:E3095)))))-COUNTBLANK(OFFSET(A$1,,,SUMPRODUCT(MAX(ROW(E$1:E3094)*(E2=E$1:E3094))))))</f>
        <v> </v>
      </c>
      <c r="K3095" s="25" t="str">
        <f>IF(OR(E3095="",E3095="!!!",F3095="NEW"),"",INDEX(J$1:J3094,SUMPRODUCT(MAX(ROW(E$1:E3094)*(E3095=E$1:E3094)))))</f>
        <v> </v>
      </c>
      <c r="L3095" s="26"/>
    </row>
    <row r="3096" spans="1:12">
      <c r="A3096" s="20" t="s">
        <v>528</v>
      </c>
      <c r="B3096" s="27" t="s">
        <v>633</v>
      </c>
      <c r="E3096" s="21">
        <f>IF(D3096="?OLD","!!!","")</f>
        <v/>
      </c>
      <c r="F3096" s="22" t="str">
        <f>IF(OR(E3096="",E3096="!!!"),"",IF(NOT(ISNA(VLOOKUP(E3096,E$1:E3095,1,FALSE()))),"OLD",IF(AND(E3096&lt;&gt;"",E3096&lt;&gt;"!!!"),"NEW","")))</f>
        <v> </v>
      </c>
      <c r="G3096" s="23" t="str">
        <f>IF(OR(E3096="",E3096="!!!"),"",IF(OR(J3096=0,AND(J3096=1,K3096=1),AND(J3096=1,I3096="SBJ"),AND(J3096=1,I3096=0)),"?IN_FOCUS",IF(J3096&lt;=2,"?ACTIVATED",IF(J3096&lt;&gt;"","?FAMILIAR",IF(F3096="NEW",IF(ISNA(VLOOKUP(E3096,#REF!,1,FALSE())),"?TYPE_IDENTIFIABLE","?REFERENTIAL"),"_")))))</f>
        <v> </v>
      </c>
      <c r="H3096" s="24" t="str">
        <f>IF(J3096&lt;&gt;1,"",IF(I3096="SBJ","CB","?"))</f>
        <v> </v>
      </c>
      <c r="I3096" s="25" t="str">
        <f>IF(OR(E3096="",E3096="!!!",F3096="NEW"),"",INDEX(B3095:B$2,-1+SUMPRODUCT(MAX(ROW(E3095:E$2)*(E3096=E3095:E$2)))))</f>
        <v> </v>
      </c>
      <c r="J3096" s="25" t="str">
        <f>IF(OR(E3096="",E3096="!!!",F3096="NEW"),"",COUNTBLANK(OFFSET(A$1,,,SUMPRODUCT(MAX(ROW(E$2:E3096)*(E3096=E$2:E3096)))))-COUNTBLANK(OFFSET(A$1,,,SUMPRODUCT(MAX(ROW(E$1:E3095)*(E2=E$1:E3095))))))</f>
        <v> </v>
      </c>
      <c r="K3096" s="25" t="str">
        <f>IF(OR(E3096="",E3096="!!!",F3096="NEW"),"",INDEX(J$1:J3095,SUMPRODUCT(MAX(ROW(E$1:E3095)*(E3096=E$1:E3095)))))</f>
        <v> </v>
      </c>
      <c r="L3096" s="26"/>
    </row>
    <row r="3097" spans="1:12">
      <c r="A3097" s="20" t="s">
        <v>651</v>
      </c>
      <c r="E3097" s="21">
        <f>IF(D3097="?OLD","!!!","")</f>
        <v/>
      </c>
      <c r="F3097" s="22" t="str">
        <f>IF(OR(E3097="",E3097="!!!"),"",IF(NOT(ISNA(VLOOKUP(E3097,E$1:E3096,1,FALSE()))),"OLD",IF(AND(E3097&lt;&gt;"",E3097&lt;&gt;"!!!"),"NEW","")))</f>
        <v> </v>
      </c>
      <c r="G3097" s="23" t="str">
        <f>IF(OR(E3097="",E3097="!!!"),"",IF(OR(J3097=0,AND(J3097=1,K3097=1),AND(J3097=1,I3097="SBJ"),AND(J3097=1,I3097=0)),"?IN_FOCUS",IF(J3097&lt;=2,"?ACTIVATED",IF(J3097&lt;&gt;"","?FAMILIAR",IF(F3097="NEW",IF(ISNA(VLOOKUP(E3097,#REF!,1,FALSE())),"?TYPE_IDENTIFIABLE","?REFERENTIAL"),"_")))))</f>
        <v> </v>
      </c>
      <c r="H3097" s="24" t="str">
        <f>IF(J3097&lt;&gt;1,"",IF(I3097="SBJ","CB","?"))</f>
        <v> </v>
      </c>
      <c r="I3097" s="25" t="str">
        <f>IF(OR(E3097="",E3097="!!!",F3097="NEW"),"",INDEX(B3096:B$2,-1+SUMPRODUCT(MAX(ROW(E3096:E$2)*(E3097=E3096:E$2)))))</f>
        <v> </v>
      </c>
      <c r="J3097" s="25" t="str">
        <f>IF(OR(E3097="",E3097="!!!",F3097="NEW"),"",COUNTBLANK(OFFSET(A$1,,,SUMPRODUCT(MAX(ROW(E$2:E3097)*(E3097=E$2:E3097)))))-COUNTBLANK(OFFSET(A$1,,,SUMPRODUCT(MAX(ROW(E$1:E3096)*(E2=E$1:E3096))))))</f>
        <v> </v>
      </c>
      <c r="K3097" s="25" t="str">
        <f>IF(OR(E3097="",E3097="!!!",F3097="NEW"),"",INDEX(J$1:J3096,SUMPRODUCT(MAX(ROW(E$1:E3096)*(E3097=E$1:E3096)))))</f>
        <v> </v>
      </c>
      <c r="L3097" s="26"/>
    </row>
    <row r="3098" spans="1:12">
      <c r="A3098" s="20" t="s">
        <v>520</v>
      </c>
      <c r="E3098" s="21">
        <f>IF(D3098="?OLD","!!!","")</f>
        <v/>
      </c>
      <c r="F3098" s="22" t="str">
        <f>IF(OR(E3098="",E3098="!!!"),"",IF(NOT(ISNA(VLOOKUP(E3098,E$1:E3097,1,FALSE()))),"OLD",IF(AND(E3098&lt;&gt;"",E3098&lt;&gt;"!!!"),"NEW","")))</f>
        <v> </v>
      </c>
      <c r="G3098" s="23" t="str">
        <f>IF(OR(E3098="",E3098="!!!"),"",IF(OR(J3098=0,AND(J3098=1,K3098=1),AND(J3098=1,I3098="SBJ"),AND(J3098=1,I3098=0)),"?IN_FOCUS",IF(J3098&lt;=2,"?ACTIVATED",IF(J3098&lt;&gt;"","?FAMILIAR",IF(F3098="NEW",IF(ISNA(VLOOKUP(E3098,#REF!,1,FALSE())),"?TYPE_IDENTIFIABLE","?REFERENTIAL"),"_")))))</f>
        <v> </v>
      </c>
      <c r="H3098" s="24" t="str">
        <f>IF(J3098&lt;&gt;1,"",IF(I3098="SBJ","CB","?"))</f>
        <v> </v>
      </c>
      <c r="I3098" s="25" t="str">
        <f>IF(OR(E3098="",E3098="!!!",F3098="NEW"),"",INDEX(B3097:B$2,-1+SUMPRODUCT(MAX(ROW(E3097:E$2)*(E3098=E3097:E$2)))))</f>
        <v> </v>
      </c>
      <c r="J3098" s="25" t="str">
        <f>IF(OR(E3098="",E3098="!!!",F3098="NEW"),"",COUNTBLANK(OFFSET(A$1,,,SUMPRODUCT(MAX(ROW(E$2:E3098)*(E3098=E$2:E3098)))))-COUNTBLANK(OFFSET(A$1,,,SUMPRODUCT(MAX(ROW(E$1:E3097)*(E2=E$1:E3097))))))</f>
        <v> </v>
      </c>
      <c r="K3098" s="25" t="str">
        <f>IF(OR(E3098="",E3098="!!!",F3098="NEW"),"",INDEX(J$1:J3097,SUMPRODUCT(MAX(ROW(E$1:E3097)*(E3098=E$1:E3097)))))</f>
        <v> </v>
      </c>
      <c r="L3098" s="26"/>
    </row>
    <row r="3099" spans="1:12">
      <c r="A3099" s="20" t="s">
        <v>1002</v>
      </c>
      <c r="B3099" s="27" t="s">
        <v>556</v>
      </c>
      <c r="C3099" s="27" t="s">
        <v>523</v>
      </c>
      <c r="D3099" s="27" t="s">
        <v>524</v>
      </c>
      <c r="E3099" s="21">
        <f>IF(D3099="?OLD","!!!","")</f>
        <v/>
      </c>
      <c r="F3099" s="22" t="str">
        <f>IF(OR(E3099="",E3099="!!!"),"",IF(NOT(ISNA(VLOOKUP(E3099,E$1:E3098,1,FALSE()))),"OLD",IF(AND(E3099&lt;&gt;"",E3099&lt;&gt;"!!!"),"NEW","")))</f>
        <v> </v>
      </c>
      <c r="G3099" s="23" t="str">
        <f>IF(OR(E3099="",E3099="!!!"),"",IF(OR(J3099=0,AND(J3099=1,K3099=1),AND(J3099=1,I3099="SBJ"),AND(J3099=1,I3099=0)),"?IN_FOCUS",IF(J3099&lt;=2,"?ACTIVATED",IF(J3099&lt;&gt;"","?FAMILIAR",IF(F3099="NEW",IF(ISNA(VLOOKUP(E3099,#REF!,1,FALSE())),"?TYPE_IDENTIFIABLE","?REFERENTIAL"),"_")))))</f>
        <v> </v>
      </c>
      <c r="H3099" s="24" t="str">
        <f>IF(J3099&lt;&gt;1,"",IF(I3099="SBJ","CB","?"))</f>
        <v> </v>
      </c>
      <c r="I3099" s="25" t="str">
        <f>IF(OR(E3099="",E3099="!!!",F3099="NEW"),"",INDEX(B3098:B$2,-1+SUMPRODUCT(MAX(ROW(E3098:E$2)*(E3099=E3098:E$2)))))</f>
        <v> </v>
      </c>
      <c r="J3099" s="25" t="str">
        <f>IF(OR(E3099="",E3099="!!!",F3099="NEW"),"",COUNTBLANK(OFFSET(A$1,,,SUMPRODUCT(MAX(ROW(E$2:E3099)*(E3099=E$2:E3099)))))-COUNTBLANK(OFFSET(A$1,,,SUMPRODUCT(MAX(ROW(E$1:E3098)*(E2=E$1:E3098))))))</f>
        <v> </v>
      </c>
      <c r="K3099" s="25" t="str">
        <f>IF(OR(E3099="",E3099="!!!",F3099="NEW"),"",INDEX(J$1:J3098,SUMPRODUCT(MAX(ROW(E$1:E3098)*(E3099=E$1:E3098)))))</f>
        <v> </v>
      </c>
      <c r="L3099" s="26"/>
    </row>
    <row r="3100" spans="1:12">
      <c r="A3100" s="20" t="s">
        <v>549</v>
      </c>
      <c r="E3100" s="21">
        <f>IF(D3100="?OLD","!!!","")</f>
        <v/>
      </c>
      <c r="F3100" s="22" t="str">
        <f>IF(OR(E3100="",E3100="!!!"),"",IF(NOT(ISNA(VLOOKUP(E3100,E$1:E3099,1,FALSE()))),"OLD",IF(AND(E3100&lt;&gt;"",E3100&lt;&gt;"!!!"),"NEW","")))</f>
        <v> </v>
      </c>
      <c r="G3100" s="23" t="str">
        <f>IF(OR(E3100="",E3100="!!!"),"",IF(OR(J3100=0,AND(J3100=1,K3100=1),AND(J3100=1,I3100="SBJ"),AND(J3100=1,I3100=0)),"?IN_FOCUS",IF(J3100&lt;=2,"?ACTIVATED",IF(J3100&lt;&gt;"","?FAMILIAR",IF(F3100="NEW",IF(ISNA(VLOOKUP(E3100,#REF!,1,FALSE())),"?TYPE_IDENTIFIABLE","?REFERENTIAL"),"_")))))</f>
        <v> </v>
      </c>
      <c r="H3100" s="24" t="str">
        <f>IF(J3100&lt;&gt;1,"",IF(I3100="SBJ","CB","?"))</f>
        <v> </v>
      </c>
      <c r="I3100" s="25" t="str">
        <f>IF(OR(E3100="",E3100="!!!",F3100="NEW"),"",INDEX(B3099:B$2,-1+SUMPRODUCT(MAX(ROW(E3099:E$2)*(E3100=E3099:E$2)))))</f>
        <v> </v>
      </c>
      <c r="J3100" s="25" t="str">
        <f>IF(OR(E3100="",E3100="!!!",F3100="NEW"),"",COUNTBLANK(OFFSET(A$1,,,SUMPRODUCT(MAX(ROW(E$2:E3100)*(E3100=E$2:E3100)))))-COUNTBLANK(OFFSET(A$1,,,SUMPRODUCT(MAX(ROW(E$1:E3099)*(E2=E$1:E3099))))))</f>
        <v> </v>
      </c>
      <c r="K3100" s="25" t="str">
        <f>IF(OR(E3100="",E3100="!!!",F3100="NEW"),"",INDEX(J$1:J3099,SUMPRODUCT(MAX(ROW(E$1:E3099)*(E3100=E$1:E3099)))))</f>
        <v> </v>
      </c>
      <c r="L3100" s="26"/>
    </row>
    <row r="3101" spans="1:12">
      <c r="A3101" s="20"/>
    </row>
    <row r="3102" spans="1:12">
      <c r="A3102" s="20" t="s">
        <v>1556</v>
      </c>
    </row>
    <row r="3103" spans="1:12">
      <c r="A3103" s="20" t="s">
        <v>1036</v>
      </c>
      <c r="E3103" s="21">
        <f>IF(D3103="?OLD","!!!","")</f>
        <v/>
      </c>
      <c r="F3103" s="22" t="str">
        <f>IF(OR(E3103="",E3103="!!!"),"",IF(NOT(ISNA(VLOOKUP(E3103,E$1:E3102,1,FALSE()))),"OLD",IF(AND(E3103&lt;&gt;"",E3103&lt;&gt;"!!!"),"NEW","")))</f>
        <v> </v>
      </c>
      <c r="G3103" s="23" t="str">
        <f>IF(OR(E3103="",E3103="!!!"),"",IF(OR(J3103=0,AND(J3103=1,K3103=1),AND(J3103=1,I3103="SBJ"),AND(J3103=1,I3103=0)),"?IN_FOCUS",IF(J3103&lt;=2,"?ACTIVATED",IF(J3103&lt;&gt;"","?FAMILIAR",IF(F3103="NEW",IF(ISNA(VLOOKUP(E3103,#REF!,1,FALSE())),"?TYPE_IDENTIFIABLE","?REFERENTIAL"),"_")))))</f>
        <v> </v>
      </c>
      <c r="H3103" s="24" t="str">
        <f>IF(J3103&lt;&gt;1,"",IF(I3103="SBJ","CB","?"))</f>
        <v> </v>
      </c>
      <c r="I3103" s="25" t="str">
        <f>IF(OR(E3103="",E3103="!!!",F3103="NEW"),"",INDEX(B3102:B$2,-1+SUMPRODUCT(MAX(ROW(E3102:E$2)*(E3103=E3102:E$2)))))</f>
        <v> </v>
      </c>
      <c r="J3103" s="25" t="str">
        <f>IF(OR(E3103="",E3103="!!!",F3103="NEW"),"",COUNTBLANK(OFFSET(A$1,,,SUMPRODUCT(MAX(ROW(E$2:E3103)*(E3103=E$2:E3103)))))-COUNTBLANK(OFFSET(A$1,,,SUMPRODUCT(MAX(ROW(E$1:E3102)*(E2=E$1:E3102))))))</f>
        <v> </v>
      </c>
      <c r="K3103" s="25" t="str">
        <f>IF(OR(E3103="",E3103="!!!",F3103="NEW"),"",INDEX(J$1:J3102,SUMPRODUCT(MAX(ROW(E$1:E3102)*(E3103=E$1:E3102)))))</f>
        <v> </v>
      </c>
      <c r="L3103" s="26"/>
    </row>
    <row r="3104" spans="1:12">
      <c r="A3104" s="20" t="s">
        <v>635</v>
      </c>
      <c r="E3104" s="21">
        <f>IF(D3104="?OLD","!!!","")</f>
        <v/>
      </c>
      <c r="F3104" s="22" t="str">
        <f>IF(OR(E3104="",E3104="!!!"),"",IF(NOT(ISNA(VLOOKUP(E3104,E$1:E3103,1,FALSE()))),"OLD",IF(AND(E3104&lt;&gt;"",E3104&lt;&gt;"!!!"),"NEW","")))</f>
        <v> </v>
      </c>
      <c r="G3104" s="23" t="str">
        <f>IF(OR(E3104="",E3104="!!!"),"",IF(OR(J3104=0,AND(J3104=1,K3104=1),AND(J3104=1,I3104="SBJ"),AND(J3104=1,I3104=0)),"?IN_FOCUS",IF(J3104&lt;=2,"?ACTIVATED",IF(J3104&lt;&gt;"","?FAMILIAR",IF(F3104="NEW",IF(ISNA(VLOOKUP(E3104,#REF!,1,FALSE())),"?TYPE_IDENTIFIABLE","?REFERENTIAL"),"_")))))</f>
        <v> </v>
      </c>
      <c r="H3104" s="24" t="str">
        <f>IF(J3104&lt;&gt;1,"",IF(I3104="SBJ","CB","?"))</f>
        <v> </v>
      </c>
      <c r="I3104" s="25" t="str">
        <f>IF(OR(E3104="",E3104="!!!",F3104="NEW"),"",INDEX(B3103:B$2,-1+SUMPRODUCT(MAX(ROW(E3103:E$2)*(E3104=E3103:E$2)))))</f>
        <v> </v>
      </c>
      <c r="J3104" s="25" t="str">
        <f>IF(OR(E3104="",E3104="!!!",F3104="NEW"),"",COUNTBLANK(OFFSET(A$1,,,SUMPRODUCT(MAX(ROW(E$2:E3104)*(E3104=E$2:E3104)))))-COUNTBLANK(OFFSET(A$1,,,SUMPRODUCT(MAX(ROW(E$1:E3103)*(E2=E$1:E3103))))))</f>
        <v> </v>
      </c>
      <c r="K3104" s="25" t="str">
        <f>IF(OR(E3104="",E3104="!!!",F3104="NEW"),"",INDEX(J$1:J3103,SUMPRODUCT(MAX(ROW(E$1:E3103)*(E3104=E$1:E3103)))))</f>
        <v> </v>
      </c>
      <c r="L3104" s="26"/>
    </row>
    <row r="3105" spans="1:12">
      <c r="A3105" s="20" t="s">
        <v>1275</v>
      </c>
      <c r="B3105" s="27" t="s">
        <v>680</v>
      </c>
      <c r="C3105" s="27" t="s">
        <v>637</v>
      </c>
      <c r="D3105" s="27" t="s">
        <v>524</v>
      </c>
      <c r="E3105" s="21">
        <f>IF(D3105="?OLD","!!!","")</f>
        <v/>
      </c>
      <c r="F3105" s="22" t="str">
        <f>IF(OR(E3105="",E3105="!!!"),"",IF(NOT(ISNA(VLOOKUP(E3105,E$1:E3104,1,FALSE()))),"OLD",IF(AND(E3105&lt;&gt;"",E3105&lt;&gt;"!!!"),"NEW","")))</f>
        <v> </v>
      </c>
      <c r="G3105" s="23" t="str">
        <f>IF(OR(E3105="",E3105="!!!"),"",IF(OR(J3105=0,AND(J3105=1,K3105=1),AND(J3105=1,I3105="SBJ"),AND(J3105=1,I3105=0)),"?IN_FOCUS",IF(J3105&lt;=2,"?ACTIVATED",IF(J3105&lt;&gt;"","?FAMILIAR",IF(F3105="NEW",IF(ISNA(VLOOKUP(E3105,#REF!,1,FALSE())),"?TYPE_IDENTIFIABLE","?REFERENTIAL"),"_")))))</f>
        <v> </v>
      </c>
      <c r="H3105" s="24" t="str">
        <f>IF(J3105&lt;&gt;1,"",IF(I3105="SBJ","CB","?"))</f>
        <v> </v>
      </c>
      <c r="I3105" s="25" t="str">
        <f>IF(OR(E3105="",E3105="!!!",F3105="NEW"),"",INDEX(B3104:B$2,-1+SUMPRODUCT(MAX(ROW(E3104:E$2)*(E3105=E3104:E$2)))))</f>
        <v> </v>
      </c>
      <c r="J3105" s="25" t="str">
        <f>IF(OR(E3105="",E3105="!!!",F3105="NEW"),"",COUNTBLANK(OFFSET(A$1,,,SUMPRODUCT(MAX(ROW(E$2:E3105)*(E3105=E$2:E3105)))))-COUNTBLANK(OFFSET(A$1,,,SUMPRODUCT(MAX(ROW(E$1:E3104)*(E2=E$1:E3104))))))</f>
        <v> </v>
      </c>
      <c r="K3105" s="25" t="str">
        <f>IF(OR(E3105="",E3105="!!!",F3105="NEW"),"",INDEX(J$1:J3104,SUMPRODUCT(MAX(ROW(E$1:E3104)*(E3105=E$1:E3104)))))</f>
        <v> </v>
      </c>
      <c r="L3105" s="26"/>
    </row>
    <row r="3106" spans="1:12">
      <c r="A3106" s="20" t="s">
        <v>577</v>
      </c>
      <c r="E3106" s="21">
        <f>IF(D3106="?OLD","!!!","")</f>
        <v/>
      </c>
      <c r="F3106" s="22" t="str">
        <f>IF(OR(E3106="",E3106="!!!"),"",IF(NOT(ISNA(VLOOKUP(E3106,E$1:E3105,1,FALSE()))),"OLD",IF(AND(E3106&lt;&gt;"",E3106&lt;&gt;"!!!"),"NEW","")))</f>
        <v> </v>
      </c>
      <c r="G3106" s="23" t="str">
        <f>IF(OR(E3106="",E3106="!!!"),"",IF(OR(J3106=0,AND(J3106=1,K3106=1),AND(J3106=1,I3106="SBJ"),AND(J3106=1,I3106=0)),"?IN_FOCUS",IF(J3106&lt;=2,"?ACTIVATED",IF(J3106&lt;&gt;"","?FAMILIAR",IF(F3106="NEW",IF(ISNA(VLOOKUP(E3106,#REF!,1,FALSE())),"?TYPE_IDENTIFIABLE","?REFERENTIAL"),"_")))))</f>
        <v> </v>
      </c>
      <c r="H3106" s="24" t="str">
        <f>IF(J3106&lt;&gt;1,"",IF(I3106="SBJ","CB","?"))</f>
        <v> </v>
      </c>
      <c r="I3106" s="25" t="str">
        <f>IF(OR(E3106="",E3106="!!!",F3106="NEW"),"",INDEX(B3105:B$2,-1+SUMPRODUCT(MAX(ROW(E3105:E$2)*(E3106=E3105:E$2)))))</f>
        <v> </v>
      </c>
      <c r="J3106" s="25" t="str">
        <f>IF(OR(E3106="",E3106="!!!",F3106="NEW"),"",COUNTBLANK(OFFSET(A$1,,,SUMPRODUCT(MAX(ROW(E$2:E3106)*(E3106=E$2:E3106)))))-COUNTBLANK(OFFSET(A$1,,,SUMPRODUCT(MAX(ROW(E$1:E3105)*(E2=E$1:E3105))))))</f>
        <v> </v>
      </c>
      <c r="K3106" s="25" t="str">
        <f>IF(OR(E3106="",E3106="!!!",F3106="NEW"),"",INDEX(J$1:J3105,SUMPRODUCT(MAX(ROW(E$1:E3105)*(E3106=E$1:E3105)))))</f>
        <v> </v>
      </c>
      <c r="L3106" s="26"/>
    </row>
    <row r="3107" spans="1:12">
      <c r="A3107" s="20" t="s">
        <v>542</v>
      </c>
      <c r="E3107" s="21">
        <f>IF(D3107="?OLD","!!!","")</f>
        <v/>
      </c>
      <c r="F3107" s="22" t="str">
        <f>IF(OR(E3107="",E3107="!!!"),"",IF(NOT(ISNA(VLOOKUP(E3107,E$1:E3106,1,FALSE()))),"OLD",IF(AND(E3107&lt;&gt;"",E3107&lt;&gt;"!!!"),"NEW","")))</f>
        <v> </v>
      </c>
      <c r="G3107" s="23" t="str">
        <f>IF(OR(E3107="",E3107="!!!"),"",IF(OR(J3107=0,AND(J3107=1,K3107=1),AND(J3107=1,I3107="SBJ"),AND(J3107=1,I3107=0)),"?IN_FOCUS",IF(J3107&lt;=2,"?ACTIVATED",IF(J3107&lt;&gt;"","?FAMILIAR",IF(F3107="NEW",IF(ISNA(VLOOKUP(E3107,#REF!,1,FALSE())),"?TYPE_IDENTIFIABLE","?REFERENTIAL"),"_")))))</f>
        <v> </v>
      </c>
      <c r="H3107" s="24" t="str">
        <f>IF(J3107&lt;&gt;1,"",IF(I3107="SBJ","CB","?"))</f>
        <v> </v>
      </c>
      <c r="I3107" s="25" t="str">
        <f>IF(OR(E3107="",E3107="!!!",F3107="NEW"),"",INDEX(B3106:B$2,-1+SUMPRODUCT(MAX(ROW(E3106:E$2)*(E3107=E3106:E$2)))))</f>
        <v> </v>
      </c>
      <c r="J3107" s="25" t="str">
        <f>IF(OR(E3107="",E3107="!!!",F3107="NEW"),"",COUNTBLANK(OFFSET(A$1,,,SUMPRODUCT(MAX(ROW(E$2:E3107)*(E3107=E$2:E3107)))))-COUNTBLANK(OFFSET(A$1,,,SUMPRODUCT(MAX(ROW(E$1:E3106)*(E2=E$1:E3106))))))</f>
        <v> </v>
      </c>
      <c r="K3107" s="25" t="str">
        <f>IF(OR(E3107="",E3107="!!!",F3107="NEW"),"",INDEX(J$1:J3106,SUMPRODUCT(MAX(ROW(E$1:E3106)*(E3107=E$1:E3106)))))</f>
        <v> </v>
      </c>
      <c r="L3107" s="26"/>
    </row>
    <row r="3108" spans="1:12">
      <c r="A3108" s="20" t="s">
        <v>700</v>
      </c>
      <c r="B3108" s="27" t="s">
        <v>544</v>
      </c>
      <c r="C3108" s="27" t="s">
        <v>669</v>
      </c>
      <c r="D3108" s="27" t="s">
        <v>524</v>
      </c>
      <c r="E3108" s="21">
        <f>IF(D3108="?OLD","!!!","")</f>
        <v/>
      </c>
      <c r="F3108" s="22" t="str">
        <f>IF(OR(E3108="",E3108="!!!"),"",IF(NOT(ISNA(VLOOKUP(E3108,E$1:E3107,1,FALSE()))),"OLD",IF(AND(E3108&lt;&gt;"",E3108&lt;&gt;"!!!"),"NEW","")))</f>
        <v> </v>
      </c>
      <c r="G3108" s="23" t="str">
        <f>IF(OR(E3108="",E3108="!!!"),"",IF(OR(J3108=0,AND(J3108=1,K3108=1),AND(J3108=1,I3108="SBJ"),AND(J3108=1,I3108=0)),"?IN_FOCUS",IF(J3108&lt;=2,"?ACTIVATED",IF(J3108&lt;&gt;"","?FAMILIAR",IF(F3108="NEW",IF(ISNA(VLOOKUP(E3108,#REF!,1,FALSE())),"?TYPE_IDENTIFIABLE","?REFERENTIAL"),"_")))))</f>
        <v> </v>
      </c>
      <c r="H3108" s="24" t="str">
        <f>IF(J3108&lt;&gt;1,"",IF(I3108="SBJ","CB","?"))</f>
        <v> </v>
      </c>
      <c r="I3108" s="25" t="str">
        <f>IF(OR(E3108="",E3108="!!!",F3108="NEW"),"",INDEX(B3107:B$2,-1+SUMPRODUCT(MAX(ROW(E3107:E$2)*(E3108=E3107:E$2)))))</f>
        <v> </v>
      </c>
      <c r="J3108" s="25" t="str">
        <f>IF(OR(E3108="",E3108="!!!",F3108="NEW"),"",COUNTBLANK(OFFSET(A$1,,,SUMPRODUCT(MAX(ROW(E$2:E3108)*(E3108=E$2:E3108)))))-COUNTBLANK(OFFSET(A$1,,,SUMPRODUCT(MAX(ROW(E$1:E3107)*(E2=E$1:E3107))))))</f>
        <v> </v>
      </c>
      <c r="K3108" s="25" t="str">
        <f>IF(OR(E3108="",E3108="!!!",F3108="NEW"),"",INDEX(J$1:J3107,SUMPRODUCT(MAX(ROW(E$1:E3107)*(E3108=E$1:E3107)))))</f>
        <v> </v>
      </c>
      <c r="L3108" s="26"/>
    </row>
    <row r="3109" spans="1:12">
      <c r="A3109" s="20" t="s">
        <v>790</v>
      </c>
      <c r="B3109" s="27" t="s">
        <v>597</v>
      </c>
      <c r="C3109" s="27" t="s">
        <v>545</v>
      </c>
      <c r="D3109" s="27" t="s">
        <v>524</v>
      </c>
      <c r="E3109" s="21">
        <f>IF(D3109="?OLD","!!!","")</f>
        <v/>
      </c>
      <c r="F3109" s="22" t="str">
        <f>IF(OR(E3109="",E3109="!!!"),"",IF(NOT(ISNA(VLOOKUP(E3109,E$1:E3108,1,FALSE()))),"OLD",IF(AND(E3109&lt;&gt;"",E3109&lt;&gt;"!!!"),"NEW","")))</f>
        <v> </v>
      </c>
      <c r="G3109" s="23" t="str">
        <f>IF(OR(E3109="",E3109="!!!"),"",IF(OR(J3109=0,AND(J3109=1,K3109=1),AND(J3109=1,I3109="SBJ"),AND(J3109=1,I3109=0)),"?IN_FOCUS",IF(J3109&lt;=2,"?ACTIVATED",IF(J3109&lt;&gt;"","?FAMILIAR",IF(F3109="NEW",IF(ISNA(VLOOKUP(E3109,#REF!,1,FALSE())),"?TYPE_IDENTIFIABLE","?REFERENTIAL"),"_")))))</f>
        <v> </v>
      </c>
      <c r="H3109" s="24" t="str">
        <f>IF(J3109&lt;&gt;1,"",IF(I3109="SBJ","CB","?"))</f>
        <v> </v>
      </c>
      <c r="I3109" s="25" t="str">
        <f>IF(OR(E3109="",E3109="!!!",F3109="NEW"),"",INDEX(B3108:B$2,-1+SUMPRODUCT(MAX(ROW(E3108:E$2)*(E3109=E3108:E$2)))))</f>
        <v> </v>
      </c>
      <c r="J3109" s="25" t="str">
        <f>IF(OR(E3109="",E3109="!!!",F3109="NEW"),"",COUNTBLANK(OFFSET(A$1,,,SUMPRODUCT(MAX(ROW(E$2:E3109)*(E3109=E$2:E3109)))))-COUNTBLANK(OFFSET(A$1,,,SUMPRODUCT(MAX(ROW(E$1:E3108)*(E2=E$1:E3108))))))</f>
        <v> </v>
      </c>
      <c r="K3109" s="25" t="str">
        <f>IF(OR(E3109="",E3109="!!!",F3109="NEW"),"",INDEX(J$1:J3108,SUMPRODUCT(MAX(ROW(E$1:E3108)*(E3109=E$1:E3108)))))</f>
        <v> </v>
      </c>
      <c r="L3109" s="26"/>
    </row>
    <row r="3110" spans="1:12">
      <c r="A3110" s="20" t="s">
        <v>518</v>
      </c>
      <c r="E3110" s="21">
        <f>IF(D3110="?OLD","!!!","")</f>
        <v/>
      </c>
      <c r="F3110" s="22" t="str">
        <f>IF(OR(E3110="",E3110="!!!"),"",IF(NOT(ISNA(VLOOKUP(E3110,E$1:E3109,1,FALSE()))),"OLD",IF(AND(E3110&lt;&gt;"",E3110&lt;&gt;"!!!"),"NEW","")))</f>
        <v> </v>
      </c>
      <c r="G3110" s="23" t="str">
        <f>IF(OR(E3110="",E3110="!!!"),"",IF(OR(J3110=0,AND(J3110=1,K3110=1),AND(J3110=1,I3110="SBJ"),AND(J3110=1,I3110=0)),"?IN_FOCUS",IF(J3110&lt;=2,"?ACTIVATED",IF(J3110&lt;&gt;"","?FAMILIAR",IF(F3110="NEW",IF(ISNA(VLOOKUP(E3110,#REF!,1,FALSE())),"?TYPE_IDENTIFIABLE","?REFERENTIAL"),"_")))))</f>
        <v> </v>
      </c>
      <c r="H3110" s="24" t="str">
        <f>IF(J3110&lt;&gt;1,"",IF(I3110="SBJ","CB","?"))</f>
        <v> </v>
      </c>
      <c r="I3110" s="25" t="str">
        <f>IF(OR(E3110="",E3110="!!!",F3110="NEW"),"",INDEX(B3109:B$2,-1+SUMPRODUCT(MAX(ROW(E3109:E$2)*(E3110=E3109:E$2)))))</f>
        <v> </v>
      </c>
      <c r="J3110" s="25" t="str">
        <f>IF(OR(E3110="",E3110="!!!",F3110="NEW"),"",COUNTBLANK(OFFSET(A$1,,,SUMPRODUCT(MAX(ROW(E$2:E3110)*(E3110=E$2:E3110)))))-COUNTBLANK(OFFSET(A$1,,,SUMPRODUCT(MAX(ROW(E$1:E3109)*(E2=E$1:E3109))))))</f>
        <v> </v>
      </c>
      <c r="K3110" s="25" t="str">
        <f>IF(OR(E3110="",E3110="!!!",F3110="NEW"),"",INDEX(J$1:J3109,SUMPRODUCT(MAX(ROW(E$1:E3109)*(E3110=E$1:E3109)))))</f>
        <v> </v>
      </c>
      <c r="L3110" s="26"/>
    </row>
    <row r="3111" spans="1:12">
      <c r="A3111" s="20" t="s">
        <v>332</v>
      </c>
      <c r="E3111" s="21">
        <f>IF(D3111="?OLD","!!!","")</f>
        <v/>
      </c>
      <c r="F3111" s="22" t="str">
        <f>IF(OR(E3111="",E3111="!!!"),"",IF(NOT(ISNA(VLOOKUP(E3111,E$1:E3110,1,FALSE()))),"OLD",IF(AND(E3111&lt;&gt;"",E3111&lt;&gt;"!!!"),"NEW","")))</f>
        <v> </v>
      </c>
      <c r="G3111" s="23" t="str">
        <f>IF(OR(E3111="",E3111="!!!"),"",IF(OR(J3111=0,AND(J3111=1,K3111=1),AND(J3111=1,I3111="SBJ"),AND(J3111=1,I3111=0)),"?IN_FOCUS",IF(J3111&lt;=2,"?ACTIVATED",IF(J3111&lt;&gt;"","?FAMILIAR",IF(F3111="NEW",IF(ISNA(VLOOKUP(E3111,#REF!,1,FALSE())),"?TYPE_IDENTIFIABLE","?REFERENTIAL"),"_")))))</f>
        <v> </v>
      </c>
      <c r="H3111" s="24" t="str">
        <f>IF(J3111&lt;&gt;1,"",IF(I3111="SBJ","CB","?"))</f>
        <v> </v>
      </c>
      <c r="I3111" s="25" t="str">
        <f>IF(OR(E3111="",E3111="!!!",F3111="NEW"),"",INDEX(B3110:B$2,-1+SUMPRODUCT(MAX(ROW(E3110:E$2)*(E3111=E3110:E$2)))))</f>
        <v> </v>
      </c>
      <c r="J3111" s="25" t="str">
        <f>IF(OR(E3111="",E3111="!!!",F3111="NEW"),"",COUNTBLANK(OFFSET(A$1,,,SUMPRODUCT(MAX(ROW(E$2:E3111)*(E3111=E$2:E3111)))))-COUNTBLANK(OFFSET(A$1,,,SUMPRODUCT(MAX(ROW(E$1:E3110)*(E2=E$1:E3110))))))</f>
        <v> </v>
      </c>
      <c r="K3111" s="25" t="str">
        <f>IF(OR(E3111="",E3111="!!!",F3111="NEW"),"",INDEX(J$1:J3110,SUMPRODUCT(MAX(ROW(E$1:E3110)*(E3111=E$1:E3110)))))</f>
        <v> </v>
      </c>
      <c r="L3111" s="26"/>
    </row>
    <row r="3112" spans="1:12">
      <c r="A3112" s="20" t="s">
        <v>1557</v>
      </c>
      <c r="E3112" s="21">
        <f>IF(D3112="?OLD","!!!","")</f>
        <v/>
      </c>
      <c r="F3112" s="22" t="str">
        <f>IF(OR(E3112="",E3112="!!!"),"",IF(NOT(ISNA(VLOOKUP(E3112,E$1:E3111,1,FALSE()))),"OLD",IF(AND(E3112&lt;&gt;"",E3112&lt;&gt;"!!!"),"NEW","")))</f>
        <v> </v>
      </c>
      <c r="G3112" s="23" t="str">
        <f>IF(OR(E3112="",E3112="!!!"),"",IF(OR(J3112=0,AND(J3112=1,K3112=1),AND(J3112=1,I3112="SBJ"),AND(J3112=1,I3112=0)),"?IN_FOCUS",IF(J3112&lt;=2,"?ACTIVATED",IF(J3112&lt;&gt;"","?FAMILIAR",IF(F3112="NEW",IF(ISNA(VLOOKUP(E3112,#REF!,1,FALSE())),"?TYPE_IDENTIFIABLE","?REFERENTIAL"),"_")))))</f>
        <v> </v>
      </c>
      <c r="H3112" s="24" t="str">
        <f>IF(J3112&lt;&gt;1,"",IF(I3112="SBJ","CB","?"))</f>
        <v> </v>
      </c>
      <c r="I3112" s="25" t="str">
        <f>IF(OR(E3112="",E3112="!!!",F3112="NEW"),"",INDEX(B3111:B$2,-1+SUMPRODUCT(MAX(ROW(E3111:E$2)*(E3112=E3111:E$2)))))</f>
        <v> </v>
      </c>
      <c r="J3112" s="25" t="str">
        <f>IF(OR(E3112="",E3112="!!!",F3112="NEW"),"",COUNTBLANK(OFFSET(A$1,,,SUMPRODUCT(MAX(ROW(E$2:E3112)*(E3112=E$2:E3112)))))-COUNTBLANK(OFFSET(A$1,,,SUMPRODUCT(MAX(ROW(E$1:E3111)*(E2=E$1:E3111))))))</f>
        <v> </v>
      </c>
      <c r="K3112" s="25" t="str">
        <f>IF(OR(E3112="",E3112="!!!",F3112="NEW"),"",INDEX(J$1:J3111,SUMPRODUCT(MAX(ROW(E$1:E3111)*(E3112=E$1:E3111)))))</f>
        <v> </v>
      </c>
      <c r="L3112" s="26"/>
    </row>
    <row r="3113" spans="1:12">
      <c r="A3113" s="20" t="s">
        <v>1558</v>
      </c>
      <c r="E3113" s="21">
        <f>IF(D3113="?OLD","!!!","")</f>
        <v/>
      </c>
      <c r="F3113" s="22" t="str">
        <f>IF(OR(E3113="",E3113="!!!"),"",IF(NOT(ISNA(VLOOKUP(E3113,E$1:E3112,1,FALSE()))),"OLD",IF(AND(E3113&lt;&gt;"",E3113&lt;&gt;"!!!"),"NEW","")))</f>
        <v> </v>
      </c>
      <c r="G3113" s="23" t="str">
        <f>IF(OR(E3113="",E3113="!!!"),"",IF(OR(J3113=0,AND(J3113=1,K3113=1),AND(J3113=1,I3113="SBJ"),AND(J3113=1,I3113=0)),"?IN_FOCUS",IF(J3113&lt;=2,"?ACTIVATED",IF(J3113&lt;&gt;"","?FAMILIAR",IF(F3113="NEW",IF(ISNA(VLOOKUP(E3113,#REF!,1,FALSE())),"?TYPE_IDENTIFIABLE","?REFERENTIAL"),"_")))))</f>
        <v> </v>
      </c>
      <c r="H3113" s="24" t="str">
        <f>IF(J3113&lt;&gt;1,"",IF(I3113="SBJ","CB","?"))</f>
        <v> </v>
      </c>
      <c r="I3113" s="25" t="str">
        <f>IF(OR(E3113="",E3113="!!!",F3113="NEW"),"",INDEX(B3112:B$2,-1+SUMPRODUCT(MAX(ROW(E3112:E$2)*(E3113=E3112:E$2)))))</f>
        <v> </v>
      </c>
      <c r="J3113" s="25" t="str">
        <f>IF(OR(E3113="",E3113="!!!",F3113="NEW"),"",COUNTBLANK(OFFSET(A$1,,,SUMPRODUCT(MAX(ROW(E$2:E3113)*(E3113=E$2:E3113)))))-COUNTBLANK(OFFSET(A$1,,,SUMPRODUCT(MAX(ROW(E$1:E3112)*(E2=E$1:E3112))))))</f>
        <v> </v>
      </c>
      <c r="K3113" s="25" t="str">
        <f>IF(OR(E3113="",E3113="!!!",F3113="NEW"),"",INDEX(J$1:J3112,SUMPRODUCT(MAX(ROW(E$1:E3112)*(E3113=E$1:E3112)))))</f>
        <v> </v>
      </c>
      <c r="L3113" s="26"/>
    </row>
    <row r="3114" spans="1:12">
      <c r="A3114" s="20" t="s">
        <v>806</v>
      </c>
      <c r="E3114" s="21">
        <f>IF(D3114="?OLD","!!!","")</f>
        <v/>
      </c>
      <c r="F3114" s="22" t="str">
        <f>IF(OR(E3114="",E3114="!!!"),"",IF(NOT(ISNA(VLOOKUP(E3114,E$1:E3113,1,FALSE()))),"OLD",IF(AND(E3114&lt;&gt;"",E3114&lt;&gt;"!!!"),"NEW","")))</f>
        <v> </v>
      </c>
      <c r="G3114" s="23" t="str">
        <f>IF(OR(E3114="",E3114="!!!"),"",IF(OR(J3114=0,AND(J3114=1,K3114=1),AND(J3114=1,I3114="SBJ"),AND(J3114=1,I3114=0)),"?IN_FOCUS",IF(J3114&lt;=2,"?ACTIVATED",IF(J3114&lt;&gt;"","?FAMILIAR",IF(F3114="NEW",IF(ISNA(VLOOKUP(E3114,#REF!,1,FALSE())),"?TYPE_IDENTIFIABLE","?REFERENTIAL"),"_")))))</f>
        <v> </v>
      </c>
      <c r="H3114" s="24" t="str">
        <f>IF(J3114&lt;&gt;1,"",IF(I3114="SBJ","CB","?"))</f>
        <v> </v>
      </c>
      <c r="I3114" s="25" t="str">
        <f>IF(OR(E3114="",E3114="!!!",F3114="NEW"),"",INDEX(B3113:B$2,-1+SUMPRODUCT(MAX(ROW(E3113:E$2)*(E3114=E3113:E$2)))))</f>
        <v> </v>
      </c>
      <c r="J3114" s="25" t="str">
        <f>IF(OR(E3114="",E3114="!!!",F3114="NEW"),"",COUNTBLANK(OFFSET(A$1,,,SUMPRODUCT(MAX(ROW(E$2:E3114)*(E3114=E$2:E3114)))))-COUNTBLANK(OFFSET(A$1,,,SUMPRODUCT(MAX(ROW(E$1:E3113)*(E2=E$1:E3113))))))</f>
        <v> </v>
      </c>
      <c r="K3114" s="25" t="str">
        <f>IF(OR(E3114="",E3114="!!!",F3114="NEW"),"",INDEX(J$1:J3113,SUMPRODUCT(MAX(ROW(E$1:E3113)*(E3114=E$1:E3113)))))</f>
        <v> </v>
      </c>
      <c r="L3114" s="26"/>
    </row>
    <row r="3115" spans="1:12">
      <c r="A3115" s="20" t="s">
        <v>358</v>
      </c>
      <c r="B3115" s="27" t="s">
        <v>667</v>
      </c>
      <c r="C3115" s="27" t="s">
        <v>523</v>
      </c>
      <c r="D3115" s="27" t="s">
        <v>524</v>
      </c>
      <c r="E3115" s="21">
        <f>IF(D3115="?OLD","!!!","")</f>
        <v/>
      </c>
      <c r="F3115" s="22" t="str">
        <f>IF(OR(E3115="",E3115="!!!"),"",IF(NOT(ISNA(VLOOKUP(E3115,E$1:E3114,1,FALSE()))),"OLD",IF(AND(E3115&lt;&gt;"",E3115&lt;&gt;"!!!"),"NEW","")))</f>
        <v> </v>
      </c>
      <c r="G3115" s="23" t="str">
        <f>IF(OR(E3115="",E3115="!!!"),"",IF(OR(J3115=0,AND(J3115=1,K3115=1),AND(J3115=1,I3115="SBJ"),AND(J3115=1,I3115=0)),"?IN_FOCUS",IF(J3115&lt;=2,"?ACTIVATED",IF(J3115&lt;&gt;"","?FAMILIAR",IF(F3115="NEW",IF(ISNA(VLOOKUP(E3115,#REF!,1,FALSE())),"?TYPE_IDENTIFIABLE","?REFERENTIAL"),"_")))))</f>
        <v> </v>
      </c>
      <c r="H3115" s="24" t="str">
        <f>IF(J3115&lt;&gt;1,"",IF(I3115="SBJ","CB","?"))</f>
        <v> </v>
      </c>
      <c r="I3115" s="25" t="str">
        <f>IF(OR(E3115="",E3115="!!!",F3115="NEW"),"",INDEX(B3114:B$2,-1+SUMPRODUCT(MAX(ROW(E3114:E$2)*(E3115=E3114:E$2)))))</f>
        <v> </v>
      </c>
      <c r="J3115" s="25" t="str">
        <f>IF(OR(E3115="",E3115="!!!",F3115="NEW"),"",COUNTBLANK(OFFSET(A$1,,,SUMPRODUCT(MAX(ROW(E$2:E3115)*(E3115=E$2:E3115)))))-COUNTBLANK(OFFSET(A$1,,,SUMPRODUCT(MAX(ROW(E$1:E3114)*(E2=E$1:E3114))))))</f>
        <v> </v>
      </c>
      <c r="K3115" s="25" t="str">
        <f>IF(OR(E3115="",E3115="!!!",F3115="NEW"),"",INDEX(J$1:J3114,SUMPRODUCT(MAX(ROW(E$1:E3114)*(E3115=E$1:E3114)))))</f>
        <v> </v>
      </c>
      <c r="L3115" s="26"/>
    </row>
    <row r="3116" spans="1:12">
      <c r="A3116" s="20" t="s">
        <v>1559</v>
      </c>
      <c r="E3116" s="21">
        <f>IF(D3116="?OLD","!!!","")</f>
        <v/>
      </c>
      <c r="F3116" s="22" t="str">
        <f>IF(OR(E3116="",E3116="!!!"),"",IF(NOT(ISNA(VLOOKUP(E3116,E$1:E3115,1,FALSE()))),"OLD",IF(AND(E3116&lt;&gt;"",E3116&lt;&gt;"!!!"),"NEW","")))</f>
        <v> </v>
      </c>
      <c r="G3116" s="23" t="str">
        <f>IF(OR(E3116="",E3116="!!!"),"",IF(OR(J3116=0,AND(J3116=1,K3116=1),AND(J3116=1,I3116="SBJ"),AND(J3116=1,I3116=0)),"?IN_FOCUS",IF(J3116&lt;=2,"?ACTIVATED",IF(J3116&lt;&gt;"","?FAMILIAR",IF(F3116="NEW",IF(ISNA(VLOOKUP(E3116,#REF!,1,FALSE())),"?TYPE_IDENTIFIABLE","?REFERENTIAL"),"_")))))</f>
        <v> </v>
      </c>
      <c r="H3116" s="24" t="str">
        <f>IF(J3116&lt;&gt;1,"",IF(I3116="SBJ","CB","?"))</f>
        <v> </v>
      </c>
      <c r="I3116" s="25" t="str">
        <f>IF(OR(E3116="",E3116="!!!",F3116="NEW"),"",INDEX(B3115:B$2,-1+SUMPRODUCT(MAX(ROW(E3115:E$2)*(E3116=E3115:E$2)))))</f>
        <v> </v>
      </c>
      <c r="J3116" s="25" t="str">
        <f>IF(OR(E3116="",E3116="!!!",F3116="NEW"),"",COUNTBLANK(OFFSET(A$1,,,SUMPRODUCT(MAX(ROW(E$2:E3116)*(E3116=E$2:E3116)))))-COUNTBLANK(OFFSET(A$1,,,SUMPRODUCT(MAX(ROW(E$1:E3115)*(E2=E$1:E3115))))))</f>
        <v> </v>
      </c>
      <c r="K3116" s="25" t="str">
        <f>IF(OR(E3116="",E3116="!!!",F3116="NEW"),"",INDEX(J$1:J3115,SUMPRODUCT(MAX(ROW(E$1:E3115)*(E3116=E$1:E3115)))))</f>
        <v> </v>
      </c>
      <c r="L3116" s="26"/>
    </row>
    <row r="3117" spans="1:12">
      <c r="A3117" s="20" t="s">
        <v>1560</v>
      </c>
      <c r="E3117" s="21">
        <f>IF(D3117="?OLD","!!!","")</f>
        <v/>
      </c>
      <c r="F3117" s="22" t="str">
        <f>IF(OR(E3117="",E3117="!!!"),"",IF(NOT(ISNA(VLOOKUP(E3117,E$1:E3116,1,FALSE()))),"OLD",IF(AND(E3117&lt;&gt;"",E3117&lt;&gt;"!!!"),"NEW","")))</f>
        <v> </v>
      </c>
      <c r="G3117" s="23" t="str">
        <f>IF(OR(E3117="",E3117="!!!"),"",IF(OR(J3117=0,AND(J3117=1,K3117=1),AND(J3117=1,I3117="SBJ"),AND(J3117=1,I3117=0)),"?IN_FOCUS",IF(J3117&lt;=2,"?ACTIVATED",IF(J3117&lt;&gt;"","?FAMILIAR",IF(F3117="NEW",IF(ISNA(VLOOKUP(E3117,#REF!,1,FALSE())),"?TYPE_IDENTIFIABLE","?REFERENTIAL"),"_")))))</f>
        <v> </v>
      </c>
      <c r="H3117" s="24" t="str">
        <f>IF(J3117&lt;&gt;1,"",IF(I3117="SBJ","CB","?"))</f>
        <v> </v>
      </c>
      <c r="I3117" s="25" t="str">
        <f>IF(OR(E3117="",E3117="!!!",F3117="NEW"),"",INDEX(B3116:B$2,-1+SUMPRODUCT(MAX(ROW(E3116:E$2)*(E3117=E3116:E$2)))))</f>
        <v> </v>
      </c>
      <c r="J3117" s="25" t="str">
        <f>IF(OR(E3117="",E3117="!!!",F3117="NEW"),"",COUNTBLANK(OFFSET(A$1,,,SUMPRODUCT(MAX(ROW(E$2:E3117)*(E3117=E$2:E3117)))))-COUNTBLANK(OFFSET(A$1,,,SUMPRODUCT(MAX(ROW(E$1:E3116)*(E2=E$1:E3116))))))</f>
        <v> </v>
      </c>
      <c r="K3117" s="25" t="str">
        <f>IF(OR(E3117="",E3117="!!!",F3117="NEW"),"",INDEX(J$1:J3116,SUMPRODUCT(MAX(ROW(E$1:E3116)*(E3117=E$1:E3116)))))</f>
        <v> </v>
      </c>
      <c r="L3117" s="26"/>
    </row>
    <row r="3118" spans="1:12">
      <c r="A3118" s="20" t="s">
        <v>542</v>
      </c>
      <c r="E3118" s="21">
        <f>IF(D3118="?OLD","!!!","")</f>
        <v/>
      </c>
      <c r="F3118" s="22" t="str">
        <f>IF(OR(E3118="",E3118="!!!"),"",IF(NOT(ISNA(VLOOKUP(E3118,E$1:E3117,1,FALSE()))),"OLD",IF(AND(E3118&lt;&gt;"",E3118&lt;&gt;"!!!"),"NEW","")))</f>
        <v> </v>
      </c>
      <c r="G3118" s="23" t="str">
        <f>IF(OR(E3118="",E3118="!!!"),"",IF(OR(J3118=0,AND(J3118=1,K3118=1),AND(J3118=1,I3118="SBJ"),AND(J3118=1,I3118=0)),"?IN_FOCUS",IF(J3118&lt;=2,"?ACTIVATED",IF(J3118&lt;&gt;"","?FAMILIAR",IF(F3118="NEW",IF(ISNA(VLOOKUP(E3118,#REF!,1,FALSE())),"?TYPE_IDENTIFIABLE","?REFERENTIAL"),"_")))))</f>
        <v> </v>
      </c>
      <c r="H3118" s="24" t="str">
        <f>IF(J3118&lt;&gt;1,"",IF(I3118="SBJ","CB","?"))</f>
        <v> </v>
      </c>
      <c r="I3118" s="25" t="str">
        <f>IF(OR(E3118="",E3118="!!!",F3118="NEW"),"",INDEX(B3117:B$2,-1+SUMPRODUCT(MAX(ROW(E3117:E$2)*(E3118=E3117:E$2)))))</f>
        <v> </v>
      </c>
      <c r="J3118" s="25" t="str">
        <f>IF(OR(E3118="",E3118="!!!",F3118="NEW"),"",COUNTBLANK(OFFSET(A$1,,,SUMPRODUCT(MAX(ROW(E$2:E3118)*(E3118=E$2:E3118)))))-COUNTBLANK(OFFSET(A$1,,,SUMPRODUCT(MAX(ROW(E$1:E3117)*(E2=E$1:E3117))))))</f>
        <v> </v>
      </c>
      <c r="K3118" s="25" t="str">
        <f>IF(OR(E3118="",E3118="!!!",F3118="NEW"),"",INDEX(J$1:J3117,SUMPRODUCT(MAX(ROW(E$1:E3117)*(E3118=E$1:E3117)))))</f>
        <v> </v>
      </c>
      <c r="L3118" s="26"/>
    </row>
    <row r="3119" spans="1:12">
      <c r="A3119" s="20" t="s">
        <v>429</v>
      </c>
      <c r="E3119" s="21">
        <f>IF(D3119="?OLD","!!!","")</f>
        <v/>
      </c>
      <c r="F3119" s="22" t="str">
        <f>IF(OR(E3119="",E3119="!!!"),"",IF(NOT(ISNA(VLOOKUP(E3119,E$1:E3118,1,FALSE()))),"OLD",IF(AND(E3119&lt;&gt;"",E3119&lt;&gt;"!!!"),"NEW","")))</f>
        <v> </v>
      </c>
      <c r="G3119" s="23" t="str">
        <f>IF(OR(E3119="",E3119="!!!"),"",IF(OR(J3119=0,AND(J3119=1,K3119=1),AND(J3119=1,I3119="SBJ"),AND(J3119=1,I3119=0)),"?IN_FOCUS",IF(J3119&lt;=2,"?ACTIVATED",IF(J3119&lt;&gt;"","?FAMILIAR",IF(F3119="NEW",IF(ISNA(VLOOKUP(E3119,#REF!,1,FALSE())),"?TYPE_IDENTIFIABLE","?REFERENTIAL"),"_")))))</f>
        <v> </v>
      </c>
      <c r="H3119" s="24" t="str">
        <f>IF(J3119&lt;&gt;1,"",IF(I3119="SBJ","CB","?"))</f>
        <v> </v>
      </c>
      <c r="I3119" s="25" t="str">
        <f>IF(OR(E3119="",E3119="!!!",F3119="NEW"),"",INDEX(B3118:B$2,-1+SUMPRODUCT(MAX(ROW(E3118:E$2)*(E3119=E3118:E$2)))))</f>
        <v> </v>
      </c>
      <c r="J3119" s="25" t="str">
        <f>IF(OR(E3119="",E3119="!!!",F3119="NEW"),"",COUNTBLANK(OFFSET(A$1,,,SUMPRODUCT(MAX(ROW(E$2:E3119)*(E3119=E$2:E3119)))))-COUNTBLANK(OFFSET(A$1,,,SUMPRODUCT(MAX(ROW(E$1:E3118)*(E2=E$1:E3118))))))</f>
        <v> </v>
      </c>
      <c r="K3119" s="25" t="str">
        <f>IF(OR(E3119="",E3119="!!!",F3119="NEW"),"",INDEX(J$1:J3118,SUMPRODUCT(MAX(ROW(E$1:E3118)*(E3119=E$1:E3118)))))</f>
        <v> </v>
      </c>
      <c r="L3119" s="26"/>
    </row>
    <row r="3120" spans="1:12">
      <c r="A3120" s="20" t="s">
        <v>777</v>
      </c>
      <c r="B3120" s="27" t="s">
        <v>522</v>
      </c>
      <c r="C3120" s="27" t="s">
        <v>535</v>
      </c>
      <c r="E3120" s="21">
        <f>IF(D3120="?OLD","!!!","")</f>
        <v/>
      </c>
      <c r="F3120" s="22" t="str">
        <f>IF(OR(E3120="",E3120="!!!"),"",IF(NOT(ISNA(VLOOKUP(E3120,E$1:E3119,1,FALSE()))),"OLD",IF(AND(E3120&lt;&gt;"",E3120&lt;&gt;"!!!"),"NEW","")))</f>
        <v> </v>
      </c>
      <c r="G3120" s="23" t="str">
        <f>IF(OR(E3120="",E3120="!!!"),"",IF(OR(J3120=0,AND(J3120=1,K3120=1),AND(J3120=1,I3120="SBJ"),AND(J3120=1,I3120=0)),"?IN_FOCUS",IF(J3120&lt;=2,"?ACTIVATED",IF(J3120&lt;&gt;"","?FAMILIAR",IF(F3120="NEW",IF(ISNA(VLOOKUP(E3120,#REF!,1,FALSE())),"?TYPE_IDENTIFIABLE","?REFERENTIAL"),"_")))))</f>
        <v> </v>
      </c>
      <c r="H3120" s="24" t="str">
        <f>IF(J3120&lt;&gt;1,"",IF(I3120="SBJ","CB","?"))</f>
        <v> </v>
      </c>
      <c r="I3120" s="25" t="str">
        <f>IF(OR(E3120="",E3120="!!!",F3120="NEW"),"",INDEX(B3119:B$2,-1+SUMPRODUCT(MAX(ROW(E3119:E$2)*(E3120=E3119:E$2)))))</f>
        <v> </v>
      </c>
      <c r="J3120" s="25" t="str">
        <f>IF(OR(E3120="",E3120="!!!",F3120="NEW"),"",COUNTBLANK(OFFSET(A$1,,,SUMPRODUCT(MAX(ROW(E$2:E3120)*(E3120=E$2:E3120)))))-COUNTBLANK(OFFSET(A$1,,,SUMPRODUCT(MAX(ROW(E$1:E3119)*(E2=E$1:E3119))))))</f>
        <v> </v>
      </c>
      <c r="K3120" s="25" t="str">
        <f>IF(OR(E3120="",E3120="!!!",F3120="NEW"),"",INDEX(J$1:J3119,SUMPRODUCT(MAX(ROW(E$1:E3119)*(E3120=E$1:E3119)))))</f>
        <v> </v>
      </c>
      <c r="L3120" s="26"/>
    </row>
    <row r="3121" spans="1:12">
      <c r="A3121" s="20" t="s">
        <v>528</v>
      </c>
      <c r="B3121" s="27" t="s">
        <v>529</v>
      </c>
      <c r="E3121" s="21">
        <f>IF(D3121="?OLD","!!!","")</f>
        <v/>
      </c>
      <c r="F3121" s="22" t="str">
        <f>IF(OR(E3121="",E3121="!!!"),"",IF(NOT(ISNA(VLOOKUP(E3121,E$1:E3120,1,FALSE()))),"OLD",IF(AND(E3121&lt;&gt;"",E3121&lt;&gt;"!!!"),"NEW","")))</f>
        <v> </v>
      </c>
      <c r="G3121" s="23" t="str">
        <f>IF(OR(E3121="",E3121="!!!"),"",IF(OR(J3121=0,AND(J3121=1,K3121=1),AND(J3121=1,I3121="SBJ"),AND(J3121=1,I3121=0)),"?IN_FOCUS",IF(J3121&lt;=2,"?ACTIVATED",IF(J3121&lt;&gt;"","?FAMILIAR",IF(F3121="NEW",IF(ISNA(VLOOKUP(E3121,#REF!,1,FALSE())),"?TYPE_IDENTIFIABLE","?REFERENTIAL"),"_")))))</f>
        <v> </v>
      </c>
      <c r="H3121" s="24" t="str">
        <f>IF(J3121&lt;&gt;1,"",IF(I3121="SBJ","CB","?"))</f>
        <v> </v>
      </c>
      <c r="I3121" s="25" t="str">
        <f>IF(OR(E3121="",E3121="!!!",F3121="NEW"),"",INDEX(B3120:B$2,-1+SUMPRODUCT(MAX(ROW(E3120:E$2)*(E3121=E3120:E$2)))))</f>
        <v> </v>
      </c>
      <c r="J3121" s="25" t="str">
        <f>IF(OR(E3121="",E3121="!!!",F3121="NEW"),"",COUNTBLANK(OFFSET(A$1,,,SUMPRODUCT(MAX(ROW(E$2:E3121)*(E3121=E$2:E3121)))))-COUNTBLANK(OFFSET(A$1,,,SUMPRODUCT(MAX(ROW(E$1:E3120)*(E2=E$1:E3120))))))</f>
        <v> </v>
      </c>
      <c r="K3121" s="25" t="str">
        <f>IF(OR(E3121="",E3121="!!!",F3121="NEW"),"",INDEX(J$1:J3120,SUMPRODUCT(MAX(ROW(E$1:E3120)*(E3121=E$1:E3120)))))</f>
        <v> </v>
      </c>
      <c r="L3121" s="26"/>
    </row>
    <row r="3122" spans="1:12">
      <c r="A3122" s="20" t="s">
        <v>645</v>
      </c>
      <c r="B3122" s="27" t="s">
        <v>573</v>
      </c>
      <c r="C3122" s="27" t="s">
        <v>523</v>
      </c>
      <c r="D3122" s="27" t="s">
        <v>524</v>
      </c>
      <c r="E3122" s="21">
        <f>IF(D3122="?OLD","!!!","")</f>
        <v/>
      </c>
      <c r="F3122" s="22" t="str">
        <f>IF(OR(E3122="",E3122="!!!"),"",IF(NOT(ISNA(VLOOKUP(E3122,E$1:E3121,1,FALSE()))),"OLD",IF(AND(E3122&lt;&gt;"",E3122&lt;&gt;"!!!"),"NEW","")))</f>
        <v> </v>
      </c>
      <c r="G3122" s="23" t="str">
        <f>IF(OR(E3122="",E3122="!!!"),"",IF(OR(J3122=0,AND(J3122=1,K3122=1),AND(J3122=1,I3122="SBJ"),AND(J3122=1,I3122=0)),"?IN_FOCUS",IF(J3122&lt;=2,"?ACTIVATED",IF(J3122&lt;&gt;"","?FAMILIAR",IF(F3122="NEW",IF(ISNA(VLOOKUP(E3122,#REF!,1,FALSE())),"?TYPE_IDENTIFIABLE","?REFERENTIAL"),"_")))))</f>
        <v> </v>
      </c>
      <c r="H3122" s="24" t="str">
        <f>IF(J3122&lt;&gt;1,"",IF(I3122="SBJ","CB","?"))</f>
        <v> </v>
      </c>
      <c r="I3122" s="25" t="str">
        <f>IF(OR(E3122="",E3122="!!!",F3122="NEW"),"",INDEX(B3121:B$2,-1+SUMPRODUCT(MAX(ROW(E3121:E$2)*(E3122=E3121:E$2)))))</f>
        <v> </v>
      </c>
      <c r="J3122" s="25" t="str">
        <f>IF(OR(E3122="",E3122="!!!",F3122="NEW"),"",COUNTBLANK(OFFSET(A$1,,,SUMPRODUCT(MAX(ROW(E$2:E3122)*(E3122=E$2:E3122)))))-COUNTBLANK(OFFSET(A$1,,,SUMPRODUCT(MAX(ROW(E$1:E3121)*(E2=E$1:E3121))))))</f>
        <v> </v>
      </c>
      <c r="K3122" s="25" t="str">
        <f>IF(OR(E3122="",E3122="!!!",F3122="NEW"),"",INDEX(J$1:J3121,SUMPRODUCT(MAX(ROW(E$1:E3121)*(E3122=E$1:E3121)))))</f>
        <v> </v>
      </c>
      <c r="L3122" s="26"/>
    </row>
    <row r="3123" spans="1:12">
      <c r="A3123" s="20" t="s">
        <v>1561</v>
      </c>
      <c r="E3123" s="21">
        <f>IF(D3123="?OLD","!!!","")</f>
        <v/>
      </c>
      <c r="F3123" s="22" t="str">
        <f>IF(OR(E3123="",E3123="!!!"),"",IF(NOT(ISNA(VLOOKUP(E3123,E$1:E3122,1,FALSE()))),"OLD",IF(AND(E3123&lt;&gt;"",E3123&lt;&gt;"!!!"),"NEW","")))</f>
        <v> </v>
      </c>
      <c r="G3123" s="23" t="str">
        <f>IF(OR(E3123="",E3123="!!!"),"",IF(OR(J3123=0,AND(J3123=1,K3123=1),AND(J3123=1,I3123="SBJ"),AND(J3123=1,I3123=0)),"?IN_FOCUS",IF(J3123&lt;=2,"?ACTIVATED",IF(J3123&lt;&gt;"","?FAMILIAR",IF(F3123="NEW",IF(ISNA(VLOOKUP(E3123,#REF!,1,FALSE())),"?TYPE_IDENTIFIABLE","?REFERENTIAL"),"_")))))</f>
        <v> </v>
      </c>
      <c r="H3123" s="24" t="str">
        <f>IF(J3123&lt;&gt;1,"",IF(I3123="SBJ","CB","?"))</f>
        <v> </v>
      </c>
      <c r="I3123" s="25" t="str">
        <f>IF(OR(E3123="",E3123="!!!",F3123="NEW"),"",INDEX(B3122:B$2,-1+SUMPRODUCT(MAX(ROW(E3122:E$2)*(E3123=E3122:E$2)))))</f>
        <v> </v>
      </c>
      <c r="J3123" s="25" t="str">
        <f>IF(OR(E3123="",E3123="!!!",F3123="NEW"),"",COUNTBLANK(OFFSET(A$1,,,SUMPRODUCT(MAX(ROW(E$2:E3123)*(E3123=E$2:E3123)))))-COUNTBLANK(OFFSET(A$1,,,SUMPRODUCT(MAX(ROW(E$1:E3122)*(E2=E$1:E3122))))))</f>
        <v> </v>
      </c>
      <c r="K3123" s="25" t="str">
        <f>IF(OR(E3123="",E3123="!!!",F3123="NEW"),"",INDEX(J$1:J3122,SUMPRODUCT(MAX(ROW(E$1:E3122)*(E3123=E$1:E3122)))))</f>
        <v> </v>
      </c>
      <c r="L3123" s="26"/>
    </row>
    <row r="3124" spans="1:12">
      <c r="A3124" s="20" t="s">
        <v>829</v>
      </c>
      <c r="B3124" s="27" t="s">
        <v>573</v>
      </c>
      <c r="C3124" s="27" t="s">
        <v>637</v>
      </c>
      <c r="D3124" s="27" t="s">
        <v>524</v>
      </c>
      <c r="E3124" s="21">
        <f>IF(D3124="?OLD","!!!","")</f>
        <v/>
      </c>
      <c r="F3124" s="22" t="str">
        <f>IF(OR(E3124="",E3124="!!!"),"",IF(NOT(ISNA(VLOOKUP(E3124,E$1:E3123,1,FALSE()))),"OLD",IF(AND(E3124&lt;&gt;"",E3124&lt;&gt;"!!!"),"NEW","")))</f>
        <v> </v>
      </c>
      <c r="G3124" s="23" t="str">
        <f>IF(OR(E3124="",E3124="!!!"),"",IF(OR(J3124=0,AND(J3124=1,K3124=1),AND(J3124=1,I3124="SBJ"),AND(J3124=1,I3124=0)),"?IN_FOCUS",IF(J3124&lt;=2,"?ACTIVATED",IF(J3124&lt;&gt;"","?FAMILIAR",IF(F3124="NEW",IF(ISNA(VLOOKUP(E3124,#REF!,1,FALSE())),"?TYPE_IDENTIFIABLE","?REFERENTIAL"),"_")))))</f>
        <v> </v>
      </c>
      <c r="H3124" s="24" t="str">
        <f>IF(J3124&lt;&gt;1,"",IF(I3124="SBJ","CB","?"))</f>
        <v> </v>
      </c>
      <c r="I3124" s="25" t="str">
        <f>IF(OR(E3124="",E3124="!!!",F3124="NEW"),"",INDEX(B3123:B$2,-1+SUMPRODUCT(MAX(ROW(E3123:E$2)*(E3124=E3123:E$2)))))</f>
        <v> </v>
      </c>
      <c r="J3124" s="25" t="str">
        <f>IF(OR(E3124="",E3124="!!!",F3124="NEW"),"",COUNTBLANK(OFFSET(A$1,,,SUMPRODUCT(MAX(ROW(E$2:E3124)*(E3124=E$2:E3124)))))-COUNTBLANK(OFFSET(A$1,,,SUMPRODUCT(MAX(ROW(E$1:E3123)*(E2=E$1:E3123))))))</f>
        <v> </v>
      </c>
      <c r="K3124" s="25" t="str">
        <f>IF(OR(E3124="",E3124="!!!",F3124="NEW"),"",INDEX(J$1:J3123,SUMPRODUCT(MAX(ROW(E$1:E3123)*(E3124=E$1:E3123)))))</f>
        <v> </v>
      </c>
      <c r="L3124" s="26"/>
    </row>
    <row r="3125" spans="1:12">
      <c r="A3125" s="20" t="s">
        <v>518</v>
      </c>
      <c r="E3125" s="21">
        <f>IF(D3125="?OLD","!!!","")</f>
        <v/>
      </c>
      <c r="F3125" s="22" t="str">
        <f>IF(OR(E3125="",E3125="!!!"),"",IF(NOT(ISNA(VLOOKUP(E3125,E$1:E3124,1,FALSE()))),"OLD",IF(AND(E3125&lt;&gt;"",E3125&lt;&gt;"!!!"),"NEW","")))</f>
        <v> </v>
      </c>
      <c r="G3125" s="23" t="str">
        <f>IF(OR(E3125="",E3125="!!!"),"",IF(OR(J3125=0,AND(J3125=1,K3125=1),AND(J3125=1,I3125="SBJ"),AND(J3125=1,I3125=0)),"?IN_FOCUS",IF(J3125&lt;=2,"?ACTIVATED",IF(J3125&lt;&gt;"","?FAMILIAR",IF(F3125="NEW",IF(ISNA(VLOOKUP(E3125,#REF!,1,FALSE())),"?TYPE_IDENTIFIABLE","?REFERENTIAL"),"_")))))</f>
        <v> </v>
      </c>
      <c r="H3125" s="24" t="str">
        <f>IF(J3125&lt;&gt;1,"",IF(I3125="SBJ","CB","?"))</f>
        <v> </v>
      </c>
      <c r="I3125" s="25" t="str">
        <f>IF(OR(E3125="",E3125="!!!",F3125="NEW"),"",INDEX(B3124:B$2,-1+SUMPRODUCT(MAX(ROW(E3124:E$2)*(E3125=E3124:E$2)))))</f>
        <v> </v>
      </c>
      <c r="J3125" s="25" t="str">
        <f>IF(OR(E3125="",E3125="!!!",F3125="NEW"),"",COUNTBLANK(OFFSET(A$1,,,SUMPRODUCT(MAX(ROW(E$2:E3125)*(E3125=E$2:E3125)))))-COUNTBLANK(OFFSET(A$1,,,SUMPRODUCT(MAX(ROW(E$1:E3124)*(E2=E$1:E3124))))))</f>
        <v> </v>
      </c>
      <c r="K3125" s="25" t="str">
        <f>IF(OR(E3125="",E3125="!!!",F3125="NEW"),"",INDEX(J$1:J3124,SUMPRODUCT(MAX(ROW(E$1:E3124)*(E3125=E$1:E3124)))))</f>
        <v> </v>
      </c>
      <c r="L3125" s="26"/>
    </row>
    <row r="3126" spans="1:12">
      <c r="A3126" s="20" t="s">
        <v>571</v>
      </c>
      <c r="B3126" s="27" t="s">
        <v>658</v>
      </c>
      <c r="C3126" s="27" t="s">
        <v>584</v>
      </c>
      <c r="D3126" s="27" t="s">
        <v>524</v>
      </c>
      <c r="E3126" s="21">
        <f>IF(D3126="?OLD","!!!","")</f>
        <v/>
      </c>
      <c r="F3126" s="22" t="str">
        <f>IF(OR(E3126="",E3126="!!!"),"",IF(NOT(ISNA(VLOOKUP(E3126,E$1:E3125,1,FALSE()))),"OLD",IF(AND(E3126&lt;&gt;"",E3126&lt;&gt;"!!!"),"NEW","")))</f>
        <v> </v>
      </c>
      <c r="G3126" s="23" t="str">
        <f>IF(OR(E3126="",E3126="!!!"),"",IF(OR(J3126=0,AND(J3126=1,K3126=1),AND(J3126=1,I3126="SBJ"),AND(J3126=1,I3126=0)),"?IN_FOCUS",IF(J3126&lt;=2,"?ACTIVATED",IF(J3126&lt;&gt;"","?FAMILIAR",IF(F3126="NEW",IF(ISNA(VLOOKUP(E3126,#REF!,1,FALSE())),"?TYPE_IDENTIFIABLE","?REFERENTIAL"),"_")))))</f>
        <v> </v>
      </c>
      <c r="H3126" s="24" t="str">
        <f>IF(J3126&lt;&gt;1,"",IF(I3126="SBJ","CB","?"))</f>
        <v> </v>
      </c>
      <c r="I3126" s="25" t="str">
        <f>IF(OR(E3126="",E3126="!!!",F3126="NEW"),"",INDEX(B3125:B$2,-1+SUMPRODUCT(MAX(ROW(E3125:E$2)*(E3126=E3125:E$2)))))</f>
        <v> </v>
      </c>
      <c r="J3126" s="25" t="str">
        <f>IF(OR(E3126="",E3126="!!!",F3126="NEW"),"",COUNTBLANK(OFFSET(A$1,,,SUMPRODUCT(MAX(ROW(E$2:E3126)*(E3126=E$2:E3126)))))-COUNTBLANK(OFFSET(A$1,,,SUMPRODUCT(MAX(ROW(E$1:E3125)*(E2=E$1:E3125))))))</f>
        <v> </v>
      </c>
      <c r="K3126" s="25" t="str">
        <f>IF(OR(E3126="",E3126="!!!",F3126="NEW"),"",INDEX(J$1:J3125,SUMPRODUCT(MAX(ROW(E$1:E3125)*(E3126=E$1:E3125)))))</f>
        <v> </v>
      </c>
      <c r="L3126" s="26"/>
    </row>
    <row r="3127" spans="1:12">
      <c r="A3127" s="20" t="s">
        <v>528</v>
      </c>
      <c r="E3127" s="21">
        <f>IF(D3127="?OLD","!!!","")</f>
        <v/>
      </c>
      <c r="F3127" s="22" t="str">
        <f>IF(OR(E3127="",E3127="!!!"),"",IF(NOT(ISNA(VLOOKUP(E3127,E$1:E3126,1,FALSE()))),"OLD",IF(AND(E3127&lt;&gt;"",E3127&lt;&gt;"!!!"),"NEW","")))</f>
        <v> </v>
      </c>
      <c r="G3127" s="23" t="str">
        <f>IF(OR(E3127="",E3127="!!!"),"",IF(OR(J3127=0,AND(J3127=1,K3127=1),AND(J3127=1,I3127="SBJ"),AND(J3127=1,I3127=0)),"?IN_FOCUS",IF(J3127&lt;=2,"?ACTIVATED",IF(J3127&lt;&gt;"","?FAMILIAR",IF(F3127="NEW",IF(ISNA(VLOOKUP(E3127,#REF!,1,FALSE())),"?TYPE_IDENTIFIABLE","?REFERENTIAL"),"_")))))</f>
        <v> </v>
      </c>
      <c r="H3127" s="24" t="str">
        <f>IF(J3127&lt;&gt;1,"",IF(I3127="SBJ","CB","?"))</f>
        <v> </v>
      </c>
      <c r="I3127" s="25" t="str">
        <f>IF(OR(E3127="",E3127="!!!",F3127="NEW"),"",INDEX(B3126:B$2,-1+SUMPRODUCT(MAX(ROW(E3126:E$2)*(E3127=E3126:E$2)))))</f>
        <v> </v>
      </c>
      <c r="J3127" s="25" t="str">
        <f>IF(OR(E3127="",E3127="!!!",F3127="NEW"),"",COUNTBLANK(OFFSET(A$1,,,SUMPRODUCT(MAX(ROW(E$2:E3127)*(E3127=E$2:E3127)))))-COUNTBLANK(OFFSET(A$1,,,SUMPRODUCT(MAX(ROW(E$1:E3126)*(E2=E$1:E3126))))))</f>
        <v> </v>
      </c>
      <c r="K3127" s="25" t="str">
        <f>IF(OR(E3127="",E3127="!!!",F3127="NEW"),"",INDEX(J$1:J3126,SUMPRODUCT(MAX(ROW(E$1:E3126)*(E3127=E$1:E3126)))))</f>
        <v> </v>
      </c>
      <c r="L3127" s="26"/>
    </row>
    <row r="3128" spans="1:12">
      <c r="A3128" s="20" t="s">
        <v>919</v>
      </c>
      <c r="B3128" s="27" t="s">
        <v>641</v>
      </c>
      <c r="C3128" s="27" t="s">
        <v>584</v>
      </c>
      <c r="D3128" s="27" t="s">
        <v>524</v>
      </c>
      <c r="E3128" s="21">
        <f>IF(D3128="?OLD","!!!","")</f>
        <v/>
      </c>
      <c r="F3128" s="22" t="str">
        <f>IF(OR(E3128="",E3128="!!!"),"",IF(NOT(ISNA(VLOOKUP(E3128,E$1:E3127,1,FALSE()))),"OLD",IF(AND(E3128&lt;&gt;"",E3128&lt;&gt;"!!!"),"NEW","")))</f>
        <v> </v>
      </c>
      <c r="G3128" s="23" t="str">
        <f>IF(OR(E3128="",E3128="!!!"),"",IF(OR(J3128=0,AND(J3128=1,K3128=1),AND(J3128=1,I3128="SBJ"),AND(J3128=1,I3128=0)),"?IN_FOCUS",IF(J3128&lt;=2,"?ACTIVATED",IF(J3128&lt;&gt;"","?FAMILIAR",IF(F3128="NEW",IF(ISNA(VLOOKUP(E3128,#REF!,1,FALSE())),"?TYPE_IDENTIFIABLE","?REFERENTIAL"),"_")))))</f>
        <v> </v>
      </c>
      <c r="H3128" s="24" t="str">
        <f>IF(J3128&lt;&gt;1,"",IF(I3128="SBJ","CB","?"))</f>
        <v> </v>
      </c>
      <c r="I3128" s="25" t="str">
        <f>IF(OR(E3128="",E3128="!!!",F3128="NEW"),"",INDEX(B3127:B$2,-1+SUMPRODUCT(MAX(ROW(E3127:E$2)*(E3128=E3127:E$2)))))</f>
        <v> </v>
      </c>
      <c r="J3128" s="25" t="str">
        <f>IF(OR(E3128="",E3128="!!!",F3128="NEW"),"",COUNTBLANK(OFFSET(A$1,,,SUMPRODUCT(MAX(ROW(E$2:E3128)*(E3128=E$2:E3128)))))-COUNTBLANK(OFFSET(A$1,,,SUMPRODUCT(MAX(ROW(E$1:E3127)*(E2=E$1:E3127))))))</f>
        <v> </v>
      </c>
      <c r="K3128" s="25" t="str">
        <f>IF(OR(E3128="",E3128="!!!",F3128="NEW"),"",INDEX(J$1:J3127,SUMPRODUCT(MAX(ROW(E$1:E3127)*(E3128=E$1:E3127)))))</f>
        <v> </v>
      </c>
      <c r="L3128" s="26"/>
    </row>
    <row r="3129" spans="1:12">
      <c r="A3129" s="20" t="s">
        <v>528</v>
      </c>
      <c r="B3129" s="27" t="s">
        <v>643</v>
      </c>
      <c r="E3129" s="21">
        <f>IF(D3129="?OLD","!!!","")</f>
        <v/>
      </c>
      <c r="F3129" s="22" t="str">
        <f>IF(OR(E3129="",E3129="!!!"),"",IF(NOT(ISNA(VLOOKUP(E3129,E$1:E3128,1,FALSE()))),"OLD",IF(AND(E3129&lt;&gt;"",E3129&lt;&gt;"!!!"),"NEW","")))</f>
        <v> </v>
      </c>
      <c r="G3129" s="23" t="str">
        <f>IF(OR(E3129="",E3129="!!!"),"",IF(OR(J3129=0,AND(J3129=1,K3129=1),AND(J3129=1,I3129="SBJ"),AND(J3129=1,I3129=0)),"?IN_FOCUS",IF(J3129&lt;=2,"?ACTIVATED",IF(J3129&lt;&gt;"","?FAMILIAR",IF(F3129="NEW",IF(ISNA(VLOOKUP(E3129,#REF!,1,FALSE())),"?TYPE_IDENTIFIABLE","?REFERENTIAL"),"_")))))</f>
        <v> </v>
      </c>
      <c r="H3129" s="24" t="str">
        <f>IF(J3129&lt;&gt;1,"",IF(I3129="SBJ","CB","?"))</f>
        <v> </v>
      </c>
      <c r="I3129" s="25" t="str">
        <f>IF(OR(E3129="",E3129="!!!",F3129="NEW"),"",INDEX(B3128:B$2,-1+SUMPRODUCT(MAX(ROW(E3128:E$2)*(E3129=E3128:E$2)))))</f>
        <v> </v>
      </c>
      <c r="J3129" s="25" t="str">
        <f>IF(OR(E3129="",E3129="!!!",F3129="NEW"),"",COUNTBLANK(OFFSET(A$1,,,SUMPRODUCT(MAX(ROW(E$2:E3129)*(E3129=E$2:E3129)))))-COUNTBLANK(OFFSET(A$1,,,SUMPRODUCT(MAX(ROW(E$1:E3128)*(E2=E$1:E3128))))))</f>
        <v> </v>
      </c>
      <c r="K3129" s="25" t="str">
        <f>IF(OR(E3129="",E3129="!!!",F3129="NEW"),"",INDEX(J$1:J3128,SUMPRODUCT(MAX(ROW(E$1:E3128)*(E3129=E$1:E3128)))))</f>
        <v> </v>
      </c>
      <c r="L3129" s="26"/>
    </row>
    <row r="3130" spans="1:12">
      <c r="A3130" s="20" t="s">
        <v>645</v>
      </c>
      <c r="B3130" s="27" t="s">
        <v>583</v>
      </c>
      <c r="C3130" s="27" t="s">
        <v>523</v>
      </c>
      <c r="D3130" s="27" t="s">
        <v>524</v>
      </c>
      <c r="E3130" s="21">
        <f>IF(D3130="?OLD","!!!","")</f>
        <v/>
      </c>
      <c r="F3130" s="22" t="str">
        <f>IF(OR(E3130="",E3130="!!!"),"",IF(NOT(ISNA(VLOOKUP(E3130,E$1:E3129,1,FALSE()))),"OLD",IF(AND(E3130&lt;&gt;"",E3130&lt;&gt;"!!!"),"NEW","")))</f>
        <v> </v>
      </c>
      <c r="G3130" s="23" t="str">
        <f>IF(OR(E3130="",E3130="!!!"),"",IF(OR(J3130=0,AND(J3130=1,K3130=1),AND(J3130=1,I3130="SBJ"),AND(J3130=1,I3130=0)),"?IN_FOCUS",IF(J3130&lt;=2,"?ACTIVATED",IF(J3130&lt;&gt;"","?FAMILIAR",IF(F3130="NEW",IF(ISNA(VLOOKUP(E3130,#REF!,1,FALSE())),"?TYPE_IDENTIFIABLE","?REFERENTIAL"),"_")))))</f>
        <v> </v>
      </c>
      <c r="H3130" s="24" t="str">
        <f>IF(J3130&lt;&gt;1,"",IF(I3130="SBJ","CB","?"))</f>
        <v> </v>
      </c>
      <c r="I3130" s="25" t="str">
        <f>IF(OR(E3130="",E3130="!!!",F3130="NEW"),"",INDEX(B3129:B$2,-1+SUMPRODUCT(MAX(ROW(E3129:E$2)*(E3130=E3129:E$2)))))</f>
        <v> </v>
      </c>
      <c r="J3130" s="25" t="str">
        <f>IF(OR(E3130="",E3130="!!!",F3130="NEW"),"",COUNTBLANK(OFFSET(A$1,,,SUMPRODUCT(MAX(ROW(E$2:E3130)*(E3130=E$2:E3130)))))-COUNTBLANK(OFFSET(A$1,,,SUMPRODUCT(MAX(ROW(E$1:E3129)*(E2=E$1:E3129))))))</f>
        <v> </v>
      </c>
      <c r="K3130" s="25" t="str">
        <f>IF(OR(E3130="",E3130="!!!",F3130="NEW"),"",INDEX(J$1:J3129,SUMPRODUCT(MAX(ROW(E$1:E3129)*(E3130=E$1:E3129)))))</f>
        <v> </v>
      </c>
      <c r="L3130" s="26"/>
    </row>
    <row r="3131" spans="1:12">
      <c r="A3131" s="20" t="s">
        <v>1562</v>
      </c>
      <c r="E3131" s="21">
        <f>IF(D3131="?OLD","!!!","")</f>
        <v/>
      </c>
      <c r="F3131" s="22" t="str">
        <f>IF(OR(E3131="",E3131="!!!"),"",IF(NOT(ISNA(VLOOKUP(E3131,E$1:E3130,1,FALSE()))),"OLD",IF(AND(E3131&lt;&gt;"",E3131&lt;&gt;"!!!"),"NEW","")))</f>
        <v> </v>
      </c>
      <c r="G3131" s="23" t="str">
        <f>IF(OR(E3131="",E3131="!!!"),"",IF(OR(J3131=0,AND(J3131=1,K3131=1),AND(J3131=1,I3131="SBJ"),AND(J3131=1,I3131=0)),"?IN_FOCUS",IF(J3131&lt;=2,"?ACTIVATED",IF(J3131&lt;&gt;"","?FAMILIAR",IF(F3131="NEW",IF(ISNA(VLOOKUP(E3131,#REF!,1,FALSE())),"?TYPE_IDENTIFIABLE","?REFERENTIAL"),"_")))))</f>
        <v> </v>
      </c>
      <c r="H3131" s="24" t="str">
        <f>IF(J3131&lt;&gt;1,"",IF(I3131="SBJ","CB","?"))</f>
        <v> </v>
      </c>
      <c r="I3131" s="25" t="str">
        <f>IF(OR(E3131="",E3131="!!!",F3131="NEW"),"",INDEX(B3130:B$2,-1+SUMPRODUCT(MAX(ROW(E3130:E$2)*(E3131=E3130:E$2)))))</f>
        <v> </v>
      </c>
      <c r="J3131" s="25" t="str">
        <f>IF(OR(E3131="",E3131="!!!",F3131="NEW"),"",COUNTBLANK(OFFSET(A$1,,,SUMPRODUCT(MAX(ROW(E$2:E3131)*(E3131=E$2:E3131)))))-COUNTBLANK(OFFSET(A$1,,,SUMPRODUCT(MAX(ROW(E$1:E3130)*(E2=E$1:E3130))))))</f>
        <v> </v>
      </c>
      <c r="K3131" s="25" t="str">
        <f>IF(OR(E3131="",E3131="!!!",F3131="NEW"),"",INDEX(J$1:J3130,SUMPRODUCT(MAX(ROW(E$1:E3130)*(E3131=E$1:E3130)))))</f>
        <v> </v>
      </c>
      <c r="L3131" s="26"/>
    </row>
    <row r="3132" spans="1:12">
      <c r="A3132" s="20" t="s">
        <v>813</v>
      </c>
      <c r="E3132" s="21">
        <f>IF(D3132="?OLD","!!!","")</f>
        <v/>
      </c>
      <c r="F3132" s="22" t="str">
        <f>IF(OR(E3132="",E3132="!!!"),"",IF(NOT(ISNA(VLOOKUP(E3132,E$1:E3131,1,FALSE()))),"OLD",IF(AND(E3132&lt;&gt;"",E3132&lt;&gt;"!!!"),"NEW","")))</f>
        <v> </v>
      </c>
      <c r="G3132" s="23" t="str">
        <f>IF(OR(E3132="",E3132="!!!"),"",IF(OR(J3132=0,AND(J3132=1,K3132=1),AND(J3132=1,I3132="SBJ"),AND(J3132=1,I3132=0)),"?IN_FOCUS",IF(J3132&lt;=2,"?ACTIVATED",IF(J3132&lt;&gt;"","?FAMILIAR",IF(F3132="NEW",IF(ISNA(VLOOKUP(E3132,#REF!,1,FALSE())),"?TYPE_IDENTIFIABLE","?REFERENTIAL"),"_")))))</f>
        <v> </v>
      </c>
      <c r="H3132" s="24" t="str">
        <f>IF(J3132&lt;&gt;1,"",IF(I3132="SBJ","CB","?"))</f>
        <v> </v>
      </c>
      <c r="I3132" s="25" t="str">
        <f>IF(OR(E3132="",E3132="!!!",F3132="NEW"),"",INDEX(B3131:B$2,-1+SUMPRODUCT(MAX(ROW(E3131:E$2)*(E3132=E3131:E$2)))))</f>
        <v> </v>
      </c>
      <c r="J3132" s="25" t="str">
        <f>IF(OR(E3132="",E3132="!!!",F3132="NEW"),"",COUNTBLANK(OFFSET(A$1,,,SUMPRODUCT(MAX(ROW(E$2:E3132)*(E3132=E$2:E3132)))))-COUNTBLANK(OFFSET(A$1,,,SUMPRODUCT(MAX(ROW(E$1:E3131)*(E2=E$1:E3131))))))</f>
        <v> </v>
      </c>
      <c r="K3132" s="25" t="str">
        <f>IF(OR(E3132="",E3132="!!!",F3132="NEW"),"",INDEX(J$1:J3131,SUMPRODUCT(MAX(ROW(E$1:E3131)*(E3132=E$1:E3131)))))</f>
        <v> </v>
      </c>
      <c r="L3132" s="26"/>
    </row>
    <row r="3133" spans="1:12">
      <c r="A3133" s="20" t="s">
        <v>1563</v>
      </c>
      <c r="E3133" s="21">
        <f>IF(D3133="?OLD","!!!","")</f>
        <v/>
      </c>
      <c r="F3133" s="22" t="str">
        <f>IF(OR(E3133="",E3133="!!!"),"",IF(NOT(ISNA(VLOOKUP(E3133,E$1:E3132,1,FALSE()))),"OLD",IF(AND(E3133&lt;&gt;"",E3133&lt;&gt;"!!!"),"NEW","")))</f>
        <v> </v>
      </c>
      <c r="G3133" s="23" t="str">
        <f>IF(OR(E3133="",E3133="!!!"),"",IF(OR(J3133=0,AND(J3133=1,K3133=1),AND(J3133=1,I3133="SBJ"),AND(J3133=1,I3133=0)),"?IN_FOCUS",IF(J3133&lt;=2,"?ACTIVATED",IF(J3133&lt;&gt;"","?FAMILIAR",IF(F3133="NEW",IF(ISNA(VLOOKUP(E3133,#REF!,1,FALSE())),"?TYPE_IDENTIFIABLE","?REFERENTIAL"),"_")))))</f>
        <v> </v>
      </c>
      <c r="H3133" s="24" t="str">
        <f>IF(J3133&lt;&gt;1,"",IF(I3133="SBJ","CB","?"))</f>
        <v> </v>
      </c>
      <c r="I3133" s="25" t="str">
        <f>IF(OR(E3133="",E3133="!!!",F3133="NEW"),"",INDEX(B3132:B$2,-1+SUMPRODUCT(MAX(ROW(E3132:E$2)*(E3133=E3132:E$2)))))</f>
        <v> </v>
      </c>
      <c r="J3133" s="25" t="str">
        <f>IF(OR(E3133="",E3133="!!!",F3133="NEW"),"",COUNTBLANK(OFFSET(A$1,,,SUMPRODUCT(MAX(ROW(E$2:E3133)*(E3133=E$2:E3133)))))-COUNTBLANK(OFFSET(A$1,,,SUMPRODUCT(MAX(ROW(E$1:E3132)*(E2=E$1:E3132))))))</f>
        <v> </v>
      </c>
      <c r="K3133" s="25" t="str">
        <f>IF(OR(E3133="",E3133="!!!",F3133="NEW"),"",INDEX(J$1:J3132,SUMPRODUCT(MAX(ROW(E$1:E3132)*(E3133=E$1:E3132)))))</f>
        <v> </v>
      </c>
      <c r="L3133" s="26"/>
    </row>
    <row r="3134" spans="1:12">
      <c r="A3134" s="20" t="s">
        <v>549</v>
      </c>
      <c r="E3134" s="21">
        <f>IF(D3134="?OLD","!!!","")</f>
        <v/>
      </c>
      <c r="F3134" s="22" t="str">
        <f>IF(OR(E3134="",E3134="!!!"),"",IF(NOT(ISNA(VLOOKUP(E3134,E$1:E3133,1,FALSE()))),"OLD",IF(AND(E3134&lt;&gt;"",E3134&lt;&gt;"!!!"),"NEW","")))</f>
        <v> </v>
      </c>
      <c r="G3134" s="23" t="str">
        <f>IF(OR(E3134="",E3134="!!!"),"",IF(OR(J3134=0,AND(J3134=1,K3134=1),AND(J3134=1,I3134="SBJ"),AND(J3134=1,I3134=0)),"?IN_FOCUS",IF(J3134&lt;=2,"?ACTIVATED",IF(J3134&lt;&gt;"","?FAMILIAR",IF(F3134="NEW",IF(ISNA(VLOOKUP(E3134,#REF!,1,FALSE())),"?TYPE_IDENTIFIABLE","?REFERENTIAL"),"_")))))</f>
        <v> </v>
      </c>
      <c r="H3134" s="24" t="str">
        <f>IF(J3134&lt;&gt;1,"",IF(I3134="SBJ","CB","?"))</f>
        <v> </v>
      </c>
      <c r="I3134" s="25" t="str">
        <f>IF(OR(E3134="",E3134="!!!",F3134="NEW"),"",INDEX(B3133:B$2,-1+SUMPRODUCT(MAX(ROW(E3133:E$2)*(E3134=E3133:E$2)))))</f>
        <v> </v>
      </c>
      <c r="J3134" s="25" t="str">
        <f>IF(OR(E3134="",E3134="!!!",F3134="NEW"),"",COUNTBLANK(OFFSET(A$1,,,SUMPRODUCT(MAX(ROW(E$2:E3134)*(E3134=E$2:E3134)))))-COUNTBLANK(OFFSET(A$1,,,SUMPRODUCT(MAX(ROW(E$1:E3133)*(E2=E$1:E3133))))))</f>
        <v> </v>
      </c>
      <c r="K3134" s="25" t="str">
        <f>IF(OR(E3134="",E3134="!!!",F3134="NEW"),"",INDEX(J$1:J3133,SUMPRODUCT(MAX(ROW(E$1:E3133)*(E3134=E$1:E3133)))))</f>
        <v> </v>
      </c>
      <c r="L3134" s="26"/>
    </row>
    <row r="3135" spans="1:12">
      <c r="A3135" s="20"/>
    </row>
    <row r="3136" spans="1:12">
      <c r="A3136" s="20" t="s">
        <v>1564</v>
      </c>
    </row>
    <row r="3137" spans="1:12">
      <c r="A3137" s="20" t="s">
        <v>1565</v>
      </c>
      <c r="B3137" s="27" t="s">
        <v>680</v>
      </c>
      <c r="C3137" s="27" t="s">
        <v>523</v>
      </c>
      <c r="D3137" s="27" t="s">
        <v>524</v>
      </c>
      <c r="E3137" s="21">
        <f>IF(D3137="?OLD","!!!","")</f>
        <v/>
      </c>
      <c r="F3137" s="22" t="str">
        <f>IF(OR(E3137="",E3137="!!!"),"",IF(NOT(ISNA(VLOOKUP(E3137,E$1:E3136,1,FALSE()))),"OLD",IF(AND(E3137&lt;&gt;"",E3137&lt;&gt;"!!!"),"NEW","")))</f>
        <v> </v>
      </c>
      <c r="G3137" s="23" t="str">
        <f>IF(OR(E3137="",E3137="!!!"),"",IF(OR(J3137=0,AND(J3137=1,K3137=1),AND(J3137=1,I3137="SBJ"),AND(J3137=1,I3137=0)),"?IN_FOCUS",IF(J3137&lt;=2,"?ACTIVATED",IF(J3137&lt;&gt;"","?FAMILIAR",IF(F3137="NEW",IF(ISNA(VLOOKUP(E3137,#REF!,1,FALSE())),"?TYPE_IDENTIFIABLE","?REFERENTIAL"),"_")))))</f>
        <v> </v>
      </c>
      <c r="H3137" s="24" t="str">
        <f>IF(J3137&lt;&gt;1,"",IF(I3137="SBJ","CB","?"))</f>
        <v> </v>
      </c>
      <c r="I3137" s="25" t="str">
        <f>IF(OR(E3137="",E3137="!!!",F3137="NEW"),"",INDEX(B3136:B$2,-1+SUMPRODUCT(MAX(ROW(E3136:E$2)*(E3137=E3136:E$2)))))</f>
        <v> </v>
      </c>
      <c r="J3137" s="25" t="str">
        <f>IF(OR(E3137="",E3137="!!!",F3137="NEW"),"",COUNTBLANK(OFFSET(A$1,,,SUMPRODUCT(MAX(ROW(E$2:E3137)*(E3137=E$2:E3137)))))-COUNTBLANK(OFFSET(A$1,,,SUMPRODUCT(MAX(ROW(E$1:E3136)*(E2=E$1:E3136))))))</f>
        <v> </v>
      </c>
      <c r="K3137" s="25" t="str">
        <f>IF(OR(E3137="",E3137="!!!",F3137="NEW"),"",INDEX(J$1:J3136,SUMPRODUCT(MAX(ROW(E$1:E3136)*(E3137=E$1:E3136)))))</f>
        <v> </v>
      </c>
      <c r="L3137" s="26"/>
    </row>
    <row r="3138" spans="1:12">
      <c r="A3138" s="20" t="s">
        <v>772</v>
      </c>
      <c r="E3138" s="21">
        <f>IF(D3138="?OLD","!!!","")</f>
        <v/>
      </c>
      <c r="F3138" s="22" t="str">
        <f>IF(OR(E3138="",E3138="!!!"),"",IF(NOT(ISNA(VLOOKUP(E3138,E$1:E3137,1,FALSE()))),"OLD",IF(AND(E3138&lt;&gt;"",E3138&lt;&gt;"!!!"),"NEW","")))</f>
        <v> </v>
      </c>
      <c r="G3138" s="23" t="str">
        <f>IF(OR(E3138="",E3138="!!!"),"",IF(OR(J3138=0,AND(J3138=1,K3138=1),AND(J3138=1,I3138="SBJ"),AND(J3138=1,I3138=0)),"?IN_FOCUS",IF(J3138&lt;=2,"?ACTIVATED",IF(J3138&lt;&gt;"","?FAMILIAR",IF(F3138="NEW",IF(ISNA(VLOOKUP(E3138,#REF!,1,FALSE())),"?TYPE_IDENTIFIABLE","?REFERENTIAL"),"_")))))</f>
        <v> </v>
      </c>
      <c r="H3138" s="24" t="str">
        <f>IF(J3138&lt;&gt;1,"",IF(I3138="SBJ","CB","?"))</f>
        <v> </v>
      </c>
      <c r="I3138" s="25" t="str">
        <f>IF(OR(E3138="",E3138="!!!",F3138="NEW"),"",INDEX(B3137:B$2,-1+SUMPRODUCT(MAX(ROW(E3137:E$2)*(E3138=E3137:E$2)))))</f>
        <v> </v>
      </c>
      <c r="J3138" s="25" t="str">
        <f>IF(OR(E3138="",E3138="!!!",F3138="NEW"),"",COUNTBLANK(OFFSET(A$1,,,SUMPRODUCT(MAX(ROW(E$2:E3138)*(E3138=E$2:E3138)))))-COUNTBLANK(OFFSET(A$1,,,SUMPRODUCT(MAX(ROW(E$1:E3137)*(E2=E$1:E3137))))))</f>
        <v> </v>
      </c>
      <c r="K3138" s="25" t="str">
        <f>IF(OR(E3138="",E3138="!!!",F3138="NEW"),"",INDEX(J$1:J3137,SUMPRODUCT(MAX(ROW(E$1:E3137)*(E3138=E$1:E3137)))))</f>
        <v> </v>
      </c>
      <c r="L3138" s="26"/>
    </row>
    <row r="3139" spans="1:12">
      <c r="A3139" s="20" t="s">
        <v>1109</v>
      </c>
      <c r="E3139" s="21">
        <f>IF(D3139="?OLD","!!!","")</f>
        <v/>
      </c>
      <c r="F3139" s="22" t="str">
        <f>IF(OR(E3139="",E3139="!!!"),"",IF(NOT(ISNA(VLOOKUP(E3139,E$1:E3138,1,FALSE()))),"OLD",IF(AND(E3139&lt;&gt;"",E3139&lt;&gt;"!!!"),"NEW","")))</f>
        <v> </v>
      </c>
      <c r="G3139" s="23" t="str">
        <f>IF(OR(E3139="",E3139="!!!"),"",IF(OR(J3139=0,AND(J3139=1,K3139=1),AND(J3139=1,I3139="SBJ"),AND(J3139=1,I3139=0)),"?IN_FOCUS",IF(J3139&lt;=2,"?ACTIVATED",IF(J3139&lt;&gt;"","?FAMILIAR",IF(F3139="NEW",IF(ISNA(VLOOKUP(E3139,#REF!,1,FALSE())),"?TYPE_IDENTIFIABLE","?REFERENTIAL"),"_")))))</f>
        <v> </v>
      </c>
      <c r="H3139" s="24" t="str">
        <f>IF(J3139&lt;&gt;1,"",IF(I3139="SBJ","CB","?"))</f>
        <v> </v>
      </c>
      <c r="I3139" s="25" t="str">
        <f>IF(OR(E3139="",E3139="!!!",F3139="NEW"),"",INDEX(B3138:B$2,-1+SUMPRODUCT(MAX(ROW(E3138:E$2)*(E3139=E3138:E$2)))))</f>
        <v> </v>
      </c>
      <c r="J3139" s="25" t="str">
        <f>IF(OR(E3139="",E3139="!!!",F3139="NEW"),"",COUNTBLANK(OFFSET(A$1,,,SUMPRODUCT(MAX(ROW(E$2:E3139)*(E3139=E$2:E3139)))))-COUNTBLANK(OFFSET(A$1,,,SUMPRODUCT(MAX(ROW(E$1:E3138)*(E2=E$1:E3138))))))</f>
        <v> </v>
      </c>
      <c r="K3139" s="25" t="str">
        <f>IF(OR(E3139="",E3139="!!!",F3139="NEW"),"",INDEX(J$1:J3138,SUMPRODUCT(MAX(ROW(E$1:E3138)*(E3139=E$1:E3138)))))</f>
        <v> </v>
      </c>
      <c r="L3139" s="26"/>
    </row>
    <row r="3140" spans="1:12">
      <c r="A3140" s="20" t="s">
        <v>518</v>
      </c>
      <c r="E3140" s="21">
        <f>IF(D3140="?OLD","!!!","")</f>
        <v/>
      </c>
      <c r="F3140" s="22" t="str">
        <f>IF(OR(E3140="",E3140="!!!"),"",IF(NOT(ISNA(VLOOKUP(E3140,E$1:E3139,1,FALSE()))),"OLD",IF(AND(E3140&lt;&gt;"",E3140&lt;&gt;"!!!"),"NEW","")))</f>
        <v> </v>
      </c>
      <c r="G3140" s="23" t="str">
        <f>IF(OR(E3140="",E3140="!!!"),"",IF(OR(J3140=0,AND(J3140=1,K3140=1),AND(J3140=1,I3140="SBJ"),AND(J3140=1,I3140=0)),"?IN_FOCUS",IF(J3140&lt;=2,"?ACTIVATED",IF(J3140&lt;&gt;"","?FAMILIAR",IF(F3140="NEW",IF(ISNA(VLOOKUP(E3140,#REF!,1,FALSE())),"?TYPE_IDENTIFIABLE","?REFERENTIAL"),"_")))))</f>
        <v> </v>
      </c>
      <c r="H3140" s="24" t="str">
        <f>IF(J3140&lt;&gt;1,"",IF(I3140="SBJ","CB","?"))</f>
        <v> </v>
      </c>
      <c r="I3140" s="25" t="str">
        <f>IF(OR(E3140="",E3140="!!!",F3140="NEW"),"",INDEX(B3139:B$2,-1+SUMPRODUCT(MAX(ROW(E3139:E$2)*(E3140=E3139:E$2)))))</f>
        <v> </v>
      </c>
      <c r="J3140" s="25" t="str">
        <f>IF(OR(E3140="",E3140="!!!",F3140="NEW"),"",COUNTBLANK(OFFSET(A$1,,,SUMPRODUCT(MAX(ROW(E$2:E3140)*(E3140=E$2:E3140)))))-COUNTBLANK(OFFSET(A$1,,,SUMPRODUCT(MAX(ROW(E$1:E3139)*(E2=E$1:E3139))))))</f>
        <v> </v>
      </c>
      <c r="K3140" s="25" t="str">
        <f>IF(OR(E3140="",E3140="!!!",F3140="NEW"),"",INDEX(J$1:J3139,SUMPRODUCT(MAX(ROW(E$1:E3139)*(E3140=E$1:E3139)))))</f>
        <v> </v>
      </c>
      <c r="L3140" s="26"/>
    </row>
    <row r="3141" spans="1:12">
      <c r="A3141" s="20" t="s">
        <v>720</v>
      </c>
      <c r="B3141" s="27" t="s">
        <v>743</v>
      </c>
      <c r="C3141" s="27" t="s">
        <v>557</v>
      </c>
      <c r="E3141" s="21">
        <f>IF(D3141="?OLD","!!!","")</f>
        <v/>
      </c>
      <c r="F3141" s="22" t="str">
        <f>IF(OR(E3141="",E3141="!!!"),"",IF(NOT(ISNA(VLOOKUP(E3141,E$1:E3140,1,FALSE()))),"OLD",IF(AND(E3141&lt;&gt;"",E3141&lt;&gt;"!!!"),"NEW","")))</f>
        <v> </v>
      </c>
      <c r="G3141" s="23" t="str">
        <f>IF(OR(E3141="",E3141="!!!"),"",IF(OR(J3141=0,AND(J3141=1,K3141=1),AND(J3141=1,I3141="SBJ"),AND(J3141=1,I3141=0)),"?IN_FOCUS",IF(J3141&lt;=2,"?ACTIVATED",IF(J3141&lt;&gt;"","?FAMILIAR",IF(F3141="NEW",IF(ISNA(VLOOKUP(E3141,#REF!,1,FALSE())),"?TYPE_IDENTIFIABLE","?REFERENTIAL"),"_")))))</f>
        <v> </v>
      </c>
      <c r="H3141" s="24" t="str">
        <f>IF(J3141&lt;&gt;1,"",IF(I3141="SBJ","CB","?"))</f>
        <v> </v>
      </c>
      <c r="I3141" s="25" t="str">
        <f>IF(OR(E3141="",E3141="!!!",F3141="NEW"),"",INDEX(B3140:B$2,-1+SUMPRODUCT(MAX(ROW(E3140:E$2)*(E3141=E3140:E$2)))))</f>
        <v> </v>
      </c>
      <c r="J3141" s="25" t="str">
        <f>IF(OR(E3141="",E3141="!!!",F3141="NEW"),"",COUNTBLANK(OFFSET(A$1,,,SUMPRODUCT(MAX(ROW(E$2:E3141)*(E3141=E$2:E3141)))))-COUNTBLANK(OFFSET(A$1,,,SUMPRODUCT(MAX(ROW(E$1:E3140)*(E2=E$1:E3140))))))</f>
        <v> </v>
      </c>
      <c r="K3141" s="25" t="str">
        <f>IF(OR(E3141="",E3141="!!!",F3141="NEW"),"",INDEX(J$1:J3140,SUMPRODUCT(MAX(ROW(E$1:E3140)*(E3141=E$1:E3140)))))</f>
        <v> </v>
      </c>
      <c r="L3141" s="26"/>
    </row>
    <row r="3142" spans="1:12">
      <c r="A3142" s="20" t="s">
        <v>528</v>
      </c>
      <c r="B3142" s="27" t="s">
        <v>633</v>
      </c>
      <c r="E3142" s="21">
        <f>IF(D3142="?OLD","!!!","")</f>
        <v/>
      </c>
      <c r="F3142" s="22" t="str">
        <f>IF(OR(E3142="",E3142="!!!"),"",IF(NOT(ISNA(VLOOKUP(E3142,E$1:E3141,1,FALSE()))),"OLD",IF(AND(E3142&lt;&gt;"",E3142&lt;&gt;"!!!"),"NEW","")))</f>
        <v> </v>
      </c>
      <c r="G3142" s="23" t="str">
        <f>IF(OR(E3142="",E3142="!!!"),"",IF(OR(J3142=0,AND(J3142=1,K3142=1),AND(J3142=1,I3142="SBJ"),AND(J3142=1,I3142=0)),"?IN_FOCUS",IF(J3142&lt;=2,"?ACTIVATED",IF(J3142&lt;&gt;"","?FAMILIAR",IF(F3142="NEW",IF(ISNA(VLOOKUP(E3142,#REF!,1,FALSE())),"?TYPE_IDENTIFIABLE","?REFERENTIAL"),"_")))))</f>
        <v> </v>
      </c>
      <c r="H3142" s="24" t="str">
        <f>IF(J3142&lt;&gt;1,"",IF(I3142="SBJ","CB","?"))</f>
        <v> </v>
      </c>
      <c r="I3142" s="25" t="str">
        <f>IF(OR(E3142="",E3142="!!!",F3142="NEW"),"",INDEX(B3141:B$2,-1+SUMPRODUCT(MAX(ROW(E3141:E$2)*(E3142=E3141:E$2)))))</f>
        <v> </v>
      </c>
      <c r="J3142" s="25" t="str">
        <f>IF(OR(E3142="",E3142="!!!",F3142="NEW"),"",COUNTBLANK(OFFSET(A$1,,,SUMPRODUCT(MAX(ROW(E$2:E3142)*(E3142=E$2:E3142)))))-COUNTBLANK(OFFSET(A$1,,,SUMPRODUCT(MAX(ROW(E$1:E3141)*(E2=E$1:E3141))))))</f>
        <v> </v>
      </c>
      <c r="K3142" s="25" t="str">
        <f>IF(OR(E3142="",E3142="!!!",F3142="NEW"),"",INDEX(J$1:J3141,SUMPRODUCT(MAX(ROW(E$1:E3141)*(E3142=E$1:E3141)))))</f>
        <v> </v>
      </c>
      <c r="L3142" s="26"/>
    </row>
    <row r="3143" spans="1:12">
      <c r="A3143" s="20" t="s">
        <v>577</v>
      </c>
      <c r="E3143" s="21">
        <f>IF(D3143="?OLD","!!!","")</f>
        <v/>
      </c>
      <c r="F3143" s="22" t="str">
        <f>IF(OR(E3143="",E3143="!!!"),"",IF(NOT(ISNA(VLOOKUP(E3143,E$1:E3142,1,FALSE()))),"OLD",IF(AND(E3143&lt;&gt;"",E3143&lt;&gt;"!!!"),"NEW","")))</f>
        <v> </v>
      </c>
      <c r="G3143" s="23" t="str">
        <f>IF(OR(E3143="",E3143="!!!"),"",IF(OR(J3143=0,AND(J3143=1,K3143=1),AND(J3143=1,I3143="SBJ"),AND(J3143=1,I3143=0)),"?IN_FOCUS",IF(J3143&lt;=2,"?ACTIVATED",IF(J3143&lt;&gt;"","?FAMILIAR",IF(F3143="NEW",IF(ISNA(VLOOKUP(E3143,#REF!,1,FALSE())),"?TYPE_IDENTIFIABLE","?REFERENTIAL"),"_")))))</f>
        <v> </v>
      </c>
      <c r="H3143" s="24" t="str">
        <f>IF(J3143&lt;&gt;1,"",IF(I3143="SBJ","CB","?"))</f>
        <v> </v>
      </c>
      <c r="I3143" s="25" t="str">
        <f>IF(OR(E3143="",E3143="!!!",F3143="NEW"),"",INDEX(B3142:B$2,-1+SUMPRODUCT(MAX(ROW(E3142:E$2)*(E3143=E3142:E$2)))))</f>
        <v> </v>
      </c>
      <c r="J3143" s="25" t="str">
        <f>IF(OR(E3143="",E3143="!!!",F3143="NEW"),"",COUNTBLANK(OFFSET(A$1,,,SUMPRODUCT(MAX(ROW(E$2:E3143)*(E3143=E$2:E3143)))))-COUNTBLANK(OFFSET(A$1,,,SUMPRODUCT(MAX(ROW(E$1:E3142)*(E2=E$1:E3142))))))</f>
        <v> </v>
      </c>
      <c r="K3143" s="25" t="str">
        <f>IF(OR(E3143="",E3143="!!!",F3143="NEW"),"",INDEX(J$1:J3142,SUMPRODUCT(MAX(ROW(E$1:E3142)*(E3143=E$1:E3142)))))</f>
        <v> </v>
      </c>
      <c r="L3143" s="26"/>
    </row>
    <row r="3144" spans="1:12">
      <c r="A3144" s="20" t="s">
        <v>682</v>
      </c>
      <c r="B3144" s="27" t="s">
        <v>544</v>
      </c>
      <c r="C3144" s="27" t="s">
        <v>584</v>
      </c>
      <c r="D3144" s="27" t="s">
        <v>524</v>
      </c>
      <c r="E3144" s="21">
        <f>IF(D3144="?OLD","!!!","")</f>
        <v/>
      </c>
      <c r="F3144" s="22" t="str">
        <f>IF(OR(E3144="",E3144="!!!"),"",IF(NOT(ISNA(VLOOKUP(E3144,E$1:E3143,1,FALSE()))),"OLD",IF(AND(E3144&lt;&gt;"",E3144&lt;&gt;"!!!"),"NEW","")))</f>
        <v> </v>
      </c>
      <c r="G3144" s="23" t="str">
        <f>IF(OR(E3144="",E3144="!!!"),"",IF(OR(J3144=0,AND(J3144=1,K3144=1),AND(J3144=1,I3144="SBJ"),AND(J3144=1,I3144=0)),"?IN_FOCUS",IF(J3144&lt;=2,"?ACTIVATED",IF(J3144&lt;&gt;"","?FAMILIAR",IF(F3144="NEW",IF(ISNA(VLOOKUP(E3144,#REF!,1,FALSE())),"?TYPE_IDENTIFIABLE","?REFERENTIAL"),"_")))))</f>
        <v> </v>
      </c>
      <c r="H3144" s="24" t="str">
        <f>IF(J3144&lt;&gt;1,"",IF(I3144="SBJ","CB","?"))</f>
        <v> </v>
      </c>
      <c r="I3144" s="25" t="str">
        <f>IF(OR(E3144="",E3144="!!!",F3144="NEW"),"",INDEX(B3143:B$2,-1+SUMPRODUCT(MAX(ROW(E3143:E$2)*(E3144=E3143:E$2)))))</f>
        <v> </v>
      </c>
      <c r="J3144" s="25" t="str">
        <f>IF(OR(E3144="",E3144="!!!",F3144="NEW"),"",COUNTBLANK(OFFSET(A$1,,,SUMPRODUCT(MAX(ROW(E$2:E3144)*(E3144=E$2:E3144)))))-COUNTBLANK(OFFSET(A$1,,,SUMPRODUCT(MAX(ROW(E$1:E3143)*(E2=E$1:E3143))))))</f>
        <v> </v>
      </c>
      <c r="K3144" s="25" t="str">
        <f>IF(OR(E3144="",E3144="!!!",F3144="NEW"),"",INDEX(J$1:J3143,SUMPRODUCT(MAX(ROW(E$1:E3143)*(E3144=E$1:E3143)))))</f>
        <v> </v>
      </c>
      <c r="L3144" s="26"/>
    </row>
    <row r="3145" spans="1:12">
      <c r="A3145" s="20" t="s">
        <v>1566</v>
      </c>
      <c r="E3145" s="21">
        <f>IF(D3145="?OLD","!!!","")</f>
        <v/>
      </c>
      <c r="F3145" s="22" t="str">
        <f>IF(OR(E3145="",E3145="!!!"),"",IF(NOT(ISNA(VLOOKUP(E3145,E$1:E3144,1,FALSE()))),"OLD",IF(AND(E3145&lt;&gt;"",E3145&lt;&gt;"!!!"),"NEW","")))</f>
        <v> </v>
      </c>
      <c r="G3145" s="23" t="str">
        <f>IF(OR(E3145="",E3145="!!!"),"",IF(OR(J3145=0,AND(J3145=1,K3145=1),AND(J3145=1,I3145="SBJ"),AND(J3145=1,I3145=0)),"?IN_FOCUS",IF(J3145&lt;=2,"?ACTIVATED",IF(J3145&lt;&gt;"","?FAMILIAR",IF(F3145="NEW",IF(ISNA(VLOOKUP(E3145,#REF!,1,FALSE())),"?TYPE_IDENTIFIABLE","?REFERENTIAL"),"_")))))</f>
        <v> </v>
      </c>
      <c r="H3145" s="24" t="str">
        <f>IF(J3145&lt;&gt;1,"",IF(I3145="SBJ","CB","?"))</f>
        <v> </v>
      </c>
      <c r="I3145" s="25" t="str">
        <f>IF(OR(E3145="",E3145="!!!",F3145="NEW"),"",INDEX(B3144:B$2,-1+SUMPRODUCT(MAX(ROW(E3144:E$2)*(E3145=E3144:E$2)))))</f>
        <v> </v>
      </c>
      <c r="J3145" s="25" t="str">
        <f>IF(OR(E3145="",E3145="!!!",F3145="NEW"),"",COUNTBLANK(OFFSET(A$1,,,SUMPRODUCT(MAX(ROW(E$2:E3145)*(E3145=E$2:E3145)))))-COUNTBLANK(OFFSET(A$1,,,SUMPRODUCT(MAX(ROW(E$1:E3144)*(E2=E$1:E3144))))))</f>
        <v> </v>
      </c>
      <c r="K3145" s="25" t="str">
        <f>IF(OR(E3145="",E3145="!!!",F3145="NEW"),"",INDEX(J$1:J3144,SUMPRODUCT(MAX(ROW(E$1:E3144)*(E3145=E$1:E3144)))))</f>
        <v> </v>
      </c>
      <c r="L3145" s="26"/>
    </row>
    <row r="3146" spans="1:12">
      <c r="A3146" s="20" t="s">
        <v>542</v>
      </c>
      <c r="E3146" s="21">
        <f>IF(D3146="?OLD","!!!","")</f>
        <v/>
      </c>
      <c r="F3146" s="22" t="str">
        <f>IF(OR(E3146="",E3146="!!!"),"",IF(NOT(ISNA(VLOOKUP(E3146,E$1:E3145,1,FALSE()))),"OLD",IF(AND(E3146&lt;&gt;"",E3146&lt;&gt;"!!!"),"NEW","")))</f>
        <v> </v>
      </c>
      <c r="G3146" s="23" t="str">
        <f>IF(OR(E3146="",E3146="!!!"),"",IF(OR(J3146=0,AND(J3146=1,K3146=1),AND(J3146=1,I3146="SBJ"),AND(J3146=1,I3146=0)),"?IN_FOCUS",IF(J3146&lt;=2,"?ACTIVATED",IF(J3146&lt;&gt;"","?FAMILIAR",IF(F3146="NEW",IF(ISNA(VLOOKUP(E3146,#REF!,1,FALSE())),"?TYPE_IDENTIFIABLE","?REFERENTIAL"),"_")))))</f>
        <v> </v>
      </c>
      <c r="H3146" s="24" t="str">
        <f>IF(J3146&lt;&gt;1,"",IF(I3146="SBJ","CB","?"))</f>
        <v> </v>
      </c>
      <c r="I3146" s="25" t="str">
        <f>IF(OR(E3146="",E3146="!!!",F3146="NEW"),"",INDEX(B3145:B$2,-1+SUMPRODUCT(MAX(ROW(E3145:E$2)*(E3146=E3145:E$2)))))</f>
        <v> </v>
      </c>
      <c r="J3146" s="25" t="str">
        <f>IF(OR(E3146="",E3146="!!!",F3146="NEW"),"",COUNTBLANK(OFFSET(A$1,,,SUMPRODUCT(MAX(ROW(E$2:E3146)*(E3146=E$2:E3146)))))-COUNTBLANK(OFFSET(A$1,,,SUMPRODUCT(MAX(ROW(E$1:E3145)*(E2=E$1:E3145))))))</f>
        <v> </v>
      </c>
      <c r="K3146" s="25" t="str">
        <f>IF(OR(E3146="",E3146="!!!",F3146="NEW"),"",INDEX(J$1:J3145,SUMPRODUCT(MAX(ROW(E$1:E3145)*(E3146=E$1:E3145)))))</f>
        <v> </v>
      </c>
      <c r="L3146" s="26"/>
    </row>
    <row r="3147" spans="1:12">
      <c r="A3147" s="20" t="s">
        <v>1567</v>
      </c>
      <c r="B3147" s="27" t="s">
        <v>534</v>
      </c>
      <c r="C3147" s="27" t="s">
        <v>540</v>
      </c>
      <c r="D3147" s="27" t="s">
        <v>524</v>
      </c>
      <c r="E3147" s="21">
        <f>IF(D3147="?OLD","!!!","")</f>
        <v/>
      </c>
      <c r="F3147" s="22" t="str">
        <f>IF(OR(E3147="",E3147="!!!"),"",IF(NOT(ISNA(VLOOKUP(E3147,E$1:E3146,1,FALSE()))),"OLD",IF(AND(E3147&lt;&gt;"",E3147&lt;&gt;"!!!"),"NEW","")))</f>
        <v> </v>
      </c>
      <c r="G3147" s="23" t="str">
        <f>IF(OR(E3147="",E3147="!!!"),"",IF(OR(J3147=0,AND(J3147=1,K3147=1),AND(J3147=1,I3147="SBJ"),AND(J3147=1,I3147=0)),"?IN_FOCUS",IF(J3147&lt;=2,"?ACTIVATED",IF(J3147&lt;&gt;"","?FAMILIAR",IF(F3147="NEW",IF(ISNA(VLOOKUP(E3147,#REF!,1,FALSE())),"?TYPE_IDENTIFIABLE","?REFERENTIAL"),"_")))))</f>
        <v> </v>
      </c>
      <c r="H3147" s="24" t="str">
        <f>IF(J3147&lt;&gt;1,"",IF(I3147="SBJ","CB","?"))</f>
        <v> </v>
      </c>
      <c r="I3147" s="25" t="str">
        <f>IF(OR(E3147="",E3147="!!!",F3147="NEW"),"",INDEX(B3146:B$2,-1+SUMPRODUCT(MAX(ROW(E3146:E$2)*(E3147=E3146:E$2)))))</f>
        <v> </v>
      </c>
      <c r="J3147" s="25" t="str">
        <f>IF(OR(E3147="",E3147="!!!",F3147="NEW"),"",COUNTBLANK(OFFSET(A$1,,,SUMPRODUCT(MAX(ROW(E$2:E3147)*(E3147=E$2:E3147)))))-COUNTBLANK(OFFSET(A$1,,,SUMPRODUCT(MAX(ROW(E$1:E3146)*(E2=E$1:E3146))))))</f>
        <v> </v>
      </c>
      <c r="K3147" s="25" t="str">
        <f>IF(OR(E3147="",E3147="!!!",F3147="NEW"),"",INDEX(J$1:J3146,SUMPRODUCT(MAX(ROW(E$1:E3146)*(E3147=E$1:E3146)))))</f>
        <v> </v>
      </c>
      <c r="L3147" s="26"/>
    </row>
    <row r="3148" spans="1:12">
      <c r="A3148" s="20" t="s">
        <v>518</v>
      </c>
      <c r="E3148" s="21">
        <f>IF(D3148="?OLD","!!!","")</f>
        <v/>
      </c>
      <c r="F3148" s="22" t="str">
        <f>IF(OR(E3148="",E3148="!!!"),"",IF(NOT(ISNA(VLOOKUP(E3148,E$1:E3147,1,FALSE()))),"OLD",IF(AND(E3148&lt;&gt;"",E3148&lt;&gt;"!!!"),"NEW","")))</f>
        <v> </v>
      </c>
      <c r="G3148" s="23" t="str">
        <f>IF(OR(E3148="",E3148="!!!"),"",IF(OR(J3148=0,AND(J3148=1,K3148=1),AND(J3148=1,I3148="SBJ"),AND(J3148=1,I3148=0)),"?IN_FOCUS",IF(J3148&lt;=2,"?ACTIVATED",IF(J3148&lt;&gt;"","?FAMILIAR",IF(F3148="NEW",IF(ISNA(VLOOKUP(E3148,#REF!,1,FALSE())),"?TYPE_IDENTIFIABLE","?REFERENTIAL"),"_")))))</f>
        <v> </v>
      </c>
      <c r="H3148" s="24" t="str">
        <f>IF(J3148&lt;&gt;1,"",IF(I3148="SBJ","CB","?"))</f>
        <v> </v>
      </c>
      <c r="I3148" s="25" t="str">
        <f>IF(OR(E3148="",E3148="!!!",F3148="NEW"),"",INDEX(B3147:B$2,-1+SUMPRODUCT(MAX(ROW(E3147:E$2)*(E3148=E3147:E$2)))))</f>
        <v> </v>
      </c>
      <c r="J3148" s="25" t="str">
        <f>IF(OR(E3148="",E3148="!!!",F3148="NEW"),"",COUNTBLANK(OFFSET(A$1,,,SUMPRODUCT(MAX(ROW(E$2:E3148)*(E3148=E$2:E3148)))))-COUNTBLANK(OFFSET(A$1,,,SUMPRODUCT(MAX(ROW(E$1:E3147)*(E2=E$1:E3147))))))</f>
        <v> </v>
      </c>
      <c r="K3148" s="25" t="str">
        <f>IF(OR(E3148="",E3148="!!!",F3148="NEW"),"",INDEX(J$1:J3147,SUMPRODUCT(MAX(ROW(E$1:E3147)*(E3148=E$1:E3147)))))</f>
        <v> </v>
      </c>
      <c r="L3148" s="26"/>
    </row>
    <row r="3149" spans="1:12">
      <c r="A3149" s="20" t="s">
        <v>571</v>
      </c>
      <c r="E3149" s="21">
        <f>IF(D3149="?OLD","!!!","")</f>
        <v/>
      </c>
      <c r="F3149" s="22" t="str">
        <f>IF(OR(E3149="",E3149="!!!"),"",IF(NOT(ISNA(VLOOKUP(E3149,E$1:E3148,1,FALSE()))),"OLD",IF(AND(E3149&lt;&gt;"",E3149&lt;&gt;"!!!"),"NEW","")))</f>
        <v> </v>
      </c>
      <c r="G3149" s="23" t="str">
        <f>IF(OR(E3149="",E3149="!!!"),"",IF(OR(J3149=0,AND(J3149=1,K3149=1),AND(J3149=1,I3149="SBJ"),AND(J3149=1,I3149=0)),"?IN_FOCUS",IF(J3149&lt;=2,"?ACTIVATED",IF(J3149&lt;&gt;"","?FAMILIAR",IF(F3149="NEW",IF(ISNA(VLOOKUP(E3149,#REF!,1,FALSE())),"?TYPE_IDENTIFIABLE","?REFERENTIAL"),"_")))))</f>
        <v> </v>
      </c>
      <c r="H3149" s="24" t="str">
        <f>IF(J3149&lt;&gt;1,"",IF(I3149="SBJ","CB","?"))</f>
        <v> </v>
      </c>
      <c r="I3149" s="25" t="str">
        <f>IF(OR(E3149="",E3149="!!!",F3149="NEW"),"",INDEX(B3148:B$2,-1+SUMPRODUCT(MAX(ROW(E3148:E$2)*(E3149=E3148:E$2)))))</f>
        <v> </v>
      </c>
      <c r="J3149" s="25" t="str">
        <f>IF(OR(E3149="",E3149="!!!",F3149="NEW"),"",COUNTBLANK(OFFSET(A$1,,,SUMPRODUCT(MAX(ROW(E$2:E3149)*(E3149=E$2:E3149)))))-COUNTBLANK(OFFSET(A$1,,,SUMPRODUCT(MAX(ROW(E$1:E3148)*(E2=E$1:E3148))))))</f>
        <v> </v>
      </c>
      <c r="K3149" s="25" t="str">
        <f>IF(OR(E3149="",E3149="!!!",F3149="NEW"),"",INDEX(J$1:J3148,SUMPRODUCT(MAX(ROW(E$1:E3148)*(E3149=E$1:E3148)))))</f>
        <v> </v>
      </c>
      <c r="L3149" s="26"/>
    </row>
    <row r="3150" spans="1:12">
      <c r="A3150" s="20" t="s">
        <v>1050</v>
      </c>
      <c r="B3150" s="27" t="s">
        <v>699</v>
      </c>
      <c r="C3150" s="27" t="s">
        <v>669</v>
      </c>
      <c r="D3150" s="27" t="s">
        <v>524</v>
      </c>
      <c r="E3150" s="21">
        <f>IF(D3150="?OLD","!!!","")</f>
        <v/>
      </c>
      <c r="F3150" s="22" t="str">
        <f>IF(OR(E3150="",E3150="!!!"),"",IF(NOT(ISNA(VLOOKUP(E3150,E$1:E3149,1,FALSE()))),"OLD",IF(AND(E3150&lt;&gt;"",E3150&lt;&gt;"!!!"),"NEW","")))</f>
        <v> </v>
      </c>
      <c r="G3150" s="23" t="str">
        <f>IF(OR(E3150="",E3150="!!!"),"",IF(OR(J3150=0,AND(J3150=1,K3150=1),AND(J3150=1,I3150="SBJ"),AND(J3150=1,I3150=0)),"?IN_FOCUS",IF(J3150&lt;=2,"?ACTIVATED",IF(J3150&lt;&gt;"","?FAMILIAR",IF(F3150="NEW",IF(ISNA(VLOOKUP(E3150,#REF!,1,FALSE())),"?TYPE_IDENTIFIABLE","?REFERENTIAL"),"_")))))</f>
        <v> </v>
      </c>
      <c r="H3150" s="24" t="str">
        <f>IF(J3150&lt;&gt;1,"",IF(I3150="SBJ","CB","?"))</f>
        <v> </v>
      </c>
      <c r="I3150" s="25" t="str">
        <f>IF(OR(E3150="",E3150="!!!",F3150="NEW"),"",INDEX(B3149:B$2,-1+SUMPRODUCT(MAX(ROW(E3149:E$2)*(E3150=E3149:E$2)))))</f>
        <v> </v>
      </c>
      <c r="J3150" s="25" t="str">
        <f>IF(OR(E3150="",E3150="!!!",F3150="NEW"),"",COUNTBLANK(OFFSET(A$1,,,SUMPRODUCT(MAX(ROW(E$2:E3150)*(E3150=E$2:E3150)))))-COUNTBLANK(OFFSET(A$1,,,SUMPRODUCT(MAX(ROW(E$1:E3149)*(E2=E$1:E3149))))))</f>
        <v> </v>
      </c>
      <c r="K3150" s="25" t="str">
        <f>IF(OR(E3150="",E3150="!!!",F3150="NEW"),"",INDEX(J$1:J3149,SUMPRODUCT(MAX(ROW(E$1:E3149)*(E3150=E$1:E3149)))))</f>
        <v> </v>
      </c>
      <c r="L3150" s="26"/>
    </row>
    <row r="3151" spans="1:12">
      <c r="A3151" s="20" t="s">
        <v>996</v>
      </c>
      <c r="B3151" s="27" t="s">
        <v>641</v>
      </c>
      <c r="C3151" s="27" t="s">
        <v>545</v>
      </c>
      <c r="D3151" s="27" t="s">
        <v>524</v>
      </c>
      <c r="E3151" s="21">
        <f>IF(D3151="?OLD","!!!","")</f>
        <v/>
      </c>
      <c r="F3151" s="22" t="str">
        <f>IF(OR(E3151="",E3151="!!!"),"",IF(NOT(ISNA(VLOOKUP(E3151,E$1:E3150,1,FALSE()))),"OLD",IF(AND(E3151&lt;&gt;"",E3151&lt;&gt;"!!!"),"NEW","")))</f>
        <v> </v>
      </c>
      <c r="G3151" s="23" t="str">
        <f>IF(OR(E3151="",E3151="!!!"),"",IF(OR(J3151=0,AND(J3151=1,K3151=1),AND(J3151=1,I3151="SBJ"),AND(J3151=1,I3151=0)),"?IN_FOCUS",IF(J3151&lt;=2,"?ACTIVATED",IF(J3151&lt;&gt;"","?FAMILIAR",IF(F3151="NEW",IF(ISNA(VLOOKUP(E3151,#REF!,1,FALSE())),"?TYPE_IDENTIFIABLE","?REFERENTIAL"),"_")))))</f>
        <v> </v>
      </c>
      <c r="H3151" s="24" t="str">
        <f>IF(J3151&lt;&gt;1,"",IF(I3151="SBJ","CB","?"))</f>
        <v> </v>
      </c>
      <c r="I3151" s="25" t="str">
        <f>IF(OR(E3151="",E3151="!!!",F3151="NEW"),"",INDEX(B3150:B$2,-1+SUMPRODUCT(MAX(ROW(E3150:E$2)*(E3151=E3150:E$2)))))</f>
        <v> </v>
      </c>
      <c r="J3151" s="25" t="str">
        <f>IF(OR(E3151="",E3151="!!!",F3151="NEW"),"",COUNTBLANK(OFFSET(A$1,,,SUMPRODUCT(MAX(ROW(E$2:E3151)*(E3151=E$2:E3151)))))-COUNTBLANK(OFFSET(A$1,,,SUMPRODUCT(MAX(ROW(E$1:E3150)*(E2=E$1:E3150))))))</f>
        <v> </v>
      </c>
      <c r="K3151" s="25" t="str">
        <f>IF(OR(E3151="",E3151="!!!",F3151="NEW"),"",INDEX(J$1:J3150,SUMPRODUCT(MAX(ROW(E$1:E3150)*(E3151=E$1:E3150)))))</f>
        <v> </v>
      </c>
      <c r="L3151" s="26"/>
    </row>
    <row r="3152" spans="1:12">
      <c r="A3152" s="20" t="s">
        <v>814</v>
      </c>
      <c r="E3152" s="21">
        <f>IF(D3152="?OLD","!!!","")</f>
        <v/>
      </c>
      <c r="F3152" s="22" t="str">
        <f>IF(OR(E3152="",E3152="!!!"),"",IF(NOT(ISNA(VLOOKUP(E3152,E$1:E3151,1,FALSE()))),"OLD",IF(AND(E3152&lt;&gt;"",E3152&lt;&gt;"!!!"),"NEW","")))</f>
        <v> </v>
      </c>
      <c r="G3152" s="23" t="str">
        <f>IF(OR(E3152="",E3152="!!!"),"",IF(OR(J3152=0,AND(J3152=1,K3152=1),AND(J3152=1,I3152="SBJ"),AND(J3152=1,I3152=0)),"?IN_FOCUS",IF(J3152&lt;=2,"?ACTIVATED",IF(J3152&lt;&gt;"","?FAMILIAR",IF(F3152="NEW",IF(ISNA(VLOOKUP(E3152,#REF!,1,FALSE())),"?TYPE_IDENTIFIABLE","?REFERENTIAL"),"_")))))</f>
        <v> </v>
      </c>
      <c r="H3152" s="24" t="str">
        <f>IF(J3152&lt;&gt;1,"",IF(I3152="SBJ","CB","?"))</f>
        <v> </v>
      </c>
      <c r="I3152" s="25" t="str">
        <f>IF(OR(E3152="",E3152="!!!",F3152="NEW"),"",INDEX(B3151:B$2,-1+SUMPRODUCT(MAX(ROW(E3151:E$2)*(E3152=E3151:E$2)))))</f>
        <v> </v>
      </c>
      <c r="J3152" s="25" t="str">
        <f>IF(OR(E3152="",E3152="!!!",F3152="NEW"),"",COUNTBLANK(OFFSET(A$1,,,SUMPRODUCT(MAX(ROW(E$2:E3152)*(E3152=E$2:E3152)))))-COUNTBLANK(OFFSET(A$1,,,SUMPRODUCT(MAX(ROW(E$1:E3151)*(E2=E$1:E3151))))))</f>
        <v> </v>
      </c>
      <c r="K3152" s="25" t="str">
        <f>IF(OR(E3152="",E3152="!!!",F3152="NEW"),"",INDEX(J$1:J3151,SUMPRODUCT(MAX(ROW(E$1:E3151)*(E3152=E$1:E3151)))))</f>
        <v> </v>
      </c>
      <c r="L3152" s="26"/>
    </row>
    <row r="3153" spans="1:12">
      <c r="A3153" s="20" t="s">
        <v>565</v>
      </c>
      <c r="E3153" s="21">
        <f>IF(D3153="?OLD","!!!","")</f>
        <v/>
      </c>
      <c r="F3153" s="22" t="str">
        <f>IF(OR(E3153="",E3153="!!!"),"",IF(NOT(ISNA(VLOOKUP(E3153,E$1:E3152,1,FALSE()))),"OLD",IF(AND(E3153&lt;&gt;"",E3153&lt;&gt;"!!!"),"NEW","")))</f>
        <v> </v>
      </c>
      <c r="G3153" s="23" t="str">
        <f>IF(OR(E3153="",E3153="!!!"),"",IF(OR(J3153=0,AND(J3153=1,K3153=1),AND(J3153=1,I3153="SBJ"),AND(J3153=1,I3153=0)),"?IN_FOCUS",IF(J3153&lt;=2,"?ACTIVATED",IF(J3153&lt;&gt;"","?FAMILIAR",IF(F3153="NEW",IF(ISNA(VLOOKUP(E3153,#REF!,1,FALSE())),"?TYPE_IDENTIFIABLE","?REFERENTIAL"),"_")))))</f>
        <v> </v>
      </c>
      <c r="H3153" s="24" t="str">
        <f>IF(J3153&lt;&gt;1,"",IF(I3153="SBJ","CB","?"))</f>
        <v> </v>
      </c>
      <c r="I3153" s="25" t="str">
        <f>IF(OR(E3153="",E3153="!!!",F3153="NEW"),"",INDEX(B3152:B$2,-1+SUMPRODUCT(MAX(ROW(E3152:E$2)*(E3153=E3152:E$2)))))</f>
        <v> </v>
      </c>
      <c r="J3153" s="25" t="str">
        <f>IF(OR(E3153="",E3153="!!!",F3153="NEW"),"",COUNTBLANK(OFFSET(A$1,,,SUMPRODUCT(MAX(ROW(E$2:E3153)*(E3153=E$2:E3153)))))-COUNTBLANK(OFFSET(A$1,,,SUMPRODUCT(MAX(ROW(E$1:E3152)*(E2=E$1:E3152))))))</f>
        <v> </v>
      </c>
      <c r="K3153" s="25" t="str">
        <f>IF(OR(E3153="",E3153="!!!",F3153="NEW"),"",INDEX(J$1:J3152,SUMPRODUCT(MAX(ROW(E$1:E3152)*(E3153=E$1:E3152)))))</f>
        <v> </v>
      </c>
      <c r="L3153" s="26"/>
    </row>
    <row r="3154" spans="1:12">
      <c r="A3154" s="20" t="s">
        <v>625</v>
      </c>
      <c r="E3154" s="21">
        <f>IF(D3154="?OLD","!!!","")</f>
        <v/>
      </c>
      <c r="F3154" s="22" t="str">
        <f>IF(OR(E3154="",E3154="!!!"),"",IF(NOT(ISNA(VLOOKUP(E3154,E$1:E3153,1,FALSE()))),"OLD",IF(AND(E3154&lt;&gt;"",E3154&lt;&gt;"!!!"),"NEW","")))</f>
        <v> </v>
      </c>
      <c r="G3154" s="23" t="str">
        <f>IF(OR(E3154="",E3154="!!!"),"",IF(OR(J3154=0,AND(J3154=1,K3154=1),AND(J3154=1,I3154="SBJ"),AND(J3154=1,I3154=0)),"?IN_FOCUS",IF(J3154&lt;=2,"?ACTIVATED",IF(J3154&lt;&gt;"","?FAMILIAR",IF(F3154="NEW",IF(ISNA(VLOOKUP(E3154,#REF!,1,FALSE())),"?TYPE_IDENTIFIABLE","?REFERENTIAL"),"_")))))</f>
        <v> </v>
      </c>
      <c r="H3154" s="24" t="str">
        <f>IF(J3154&lt;&gt;1,"",IF(I3154="SBJ","CB","?"))</f>
        <v> </v>
      </c>
      <c r="I3154" s="25" t="str">
        <f>IF(OR(E3154="",E3154="!!!",F3154="NEW"),"",INDEX(B3153:B$2,-1+SUMPRODUCT(MAX(ROW(E3153:E$2)*(E3154=E3153:E$2)))))</f>
        <v> </v>
      </c>
      <c r="J3154" s="25" t="str">
        <f>IF(OR(E3154="",E3154="!!!",F3154="NEW"),"",COUNTBLANK(OFFSET(A$1,,,SUMPRODUCT(MAX(ROW(E$2:E3154)*(E3154=E$2:E3154)))))-COUNTBLANK(OFFSET(A$1,,,SUMPRODUCT(MAX(ROW(E$1:E3153)*(E2=E$1:E3153))))))</f>
        <v> </v>
      </c>
      <c r="K3154" s="25" t="str">
        <f>IF(OR(E3154="",E3154="!!!",F3154="NEW"),"",INDEX(J$1:J3153,SUMPRODUCT(MAX(ROW(E$1:E3153)*(E3154=E$1:E3153)))))</f>
        <v> </v>
      </c>
      <c r="L3154" s="26"/>
    </row>
    <row r="3155" spans="1:12">
      <c r="A3155" s="20" t="s">
        <v>1568</v>
      </c>
      <c r="E3155" s="21">
        <f>IF(D3155="?OLD","!!!","")</f>
        <v/>
      </c>
      <c r="F3155" s="22" t="str">
        <f>IF(OR(E3155="",E3155="!!!"),"",IF(NOT(ISNA(VLOOKUP(E3155,E$1:E3154,1,FALSE()))),"OLD",IF(AND(E3155&lt;&gt;"",E3155&lt;&gt;"!!!"),"NEW","")))</f>
        <v> </v>
      </c>
      <c r="G3155" s="23" t="str">
        <f>IF(OR(E3155="",E3155="!!!"),"",IF(OR(J3155=0,AND(J3155=1,K3155=1),AND(J3155=1,I3155="SBJ"),AND(J3155=1,I3155=0)),"?IN_FOCUS",IF(J3155&lt;=2,"?ACTIVATED",IF(J3155&lt;&gt;"","?FAMILIAR",IF(F3155="NEW",IF(ISNA(VLOOKUP(E3155,#REF!,1,FALSE())),"?TYPE_IDENTIFIABLE","?REFERENTIAL"),"_")))))</f>
        <v> </v>
      </c>
      <c r="H3155" s="24" t="str">
        <f>IF(J3155&lt;&gt;1,"",IF(I3155="SBJ","CB","?"))</f>
        <v> </v>
      </c>
      <c r="I3155" s="25" t="str">
        <f>IF(OR(E3155="",E3155="!!!",F3155="NEW"),"",INDEX(B3154:B$2,-1+SUMPRODUCT(MAX(ROW(E3154:E$2)*(E3155=E3154:E$2)))))</f>
        <v> </v>
      </c>
      <c r="J3155" s="25" t="str">
        <f>IF(OR(E3155="",E3155="!!!",F3155="NEW"),"",COUNTBLANK(OFFSET(A$1,,,SUMPRODUCT(MAX(ROW(E$2:E3155)*(E3155=E$2:E3155)))))-COUNTBLANK(OFFSET(A$1,,,SUMPRODUCT(MAX(ROW(E$1:E3154)*(E2=E$1:E3154))))))</f>
        <v> </v>
      </c>
      <c r="K3155" s="25" t="str">
        <f>IF(OR(E3155="",E3155="!!!",F3155="NEW"),"",INDEX(J$1:J3154,SUMPRODUCT(MAX(ROW(E$1:E3154)*(E3155=E$1:E3154)))))</f>
        <v> </v>
      </c>
      <c r="L3155" s="26"/>
    </row>
    <row r="3156" spans="1:12">
      <c r="A3156" s="20" t="s">
        <v>1132</v>
      </c>
      <c r="E3156" s="21">
        <f>IF(D3156="?OLD","!!!","")</f>
        <v/>
      </c>
      <c r="F3156" s="22" t="str">
        <f>IF(OR(E3156="",E3156="!!!"),"",IF(NOT(ISNA(VLOOKUP(E3156,E$1:E3155,1,FALSE()))),"OLD",IF(AND(E3156&lt;&gt;"",E3156&lt;&gt;"!!!"),"NEW","")))</f>
        <v> </v>
      </c>
      <c r="G3156" s="23" t="str">
        <f>IF(OR(E3156="",E3156="!!!"),"",IF(OR(J3156=0,AND(J3156=1,K3156=1),AND(J3156=1,I3156="SBJ"),AND(J3156=1,I3156=0)),"?IN_FOCUS",IF(J3156&lt;=2,"?ACTIVATED",IF(J3156&lt;&gt;"","?FAMILIAR",IF(F3156="NEW",IF(ISNA(VLOOKUP(E3156,#REF!,1,FALSE())),"?TYPE_IDENTIFIABLE","?REFERENTIAL"),"_")))))</f>
        <v> </v>
      </c>
      <c r="H3156" s="24" t="str">
        <f>IF(J3156&lt;&gt;1,"",IF(I3156="SBJ","CB","?"))</f>
        <v> </v>
      </c>
      <c r="I3156" s="25" t="str">
        <f>IF(OR(E3156="",E3156="!!!",F3156="NEW"),"",INDEX(B3155:B$2,-1+SUMPRODUCT(MAX(ROW(E3155:E$2)*(E3156=E3155:E$2)))))</f>
        <v> </v>
      </c>
      <c r="J3156" s="25" t="str">
        <f>IF(OR(E3156="",E3156="!!!",F3156="NEW"),"",COUNTBLANK(OFFSET(A$1,,,SUMPRODUCT(MAX(ROW(E$2:E3156)*(E3156=E$2:E3156)))))-COUNTBLANK(OFFSET(A$1,,,SUMPRODUCT(MAX(ROW(E$1:E3155)*(E2=E$1:E3155))))))</f>
        <v> </v>
      </c>
      <c r="K3156" s="25" t="str">
        <f>IF(OR(E3156="",E3156="!!!",F3156="NEW"),"",INDEX(J$1:J3155,SUMPRODUCT(MAX(ROW(E$1:E3155)*(E3156=E$1:E3155)))))</f>
        <v> </v>
      </c>
      <c r="L3156" s="26"/>
    </row>
    <row r="3157" spans="1:12">
      <c r="A3157" s="20" t="s">
        <v>775</v>
      </c>
      <c r="B3157" s="27" t="s">
        <v>522</v>
      </c>
      <c r="C3157" s="27" t="s">
        <v>523</v>
      </c>
      <c r="D3157" s="27" t="s">
        <v>524</v>
      </c>
      <c r="E3157" s="21">
        <f>IF(D3157="?OLD","!!!","")</f>
        <v/>
      </c>
      <c r="F3157" s="22" t="str">
        <f>IF(OR(E3157="",E3157="!!!"),"",IF(NOT(ISNA(VLOOKUP(E3157,E$1:E3156,1,FALSE()))),"OLD",IF(AND(E3157&lt;&gt;"",E3157&lt;&gt;"!!!"),"NEW","")))</f>
        <v> </v>
      </c>
      <c r="G3157" s="23" t="str">
        <f>IF(OR(E3157="",E3157="!!!"),"",IF(OR(J3157=0,AND(J3157=1,K3157=1),AND(J3157=1,I3157="SBJ"),AND(J3157=1,I3157=0)),"?IN_FOCUS",IF(J3157&lt;=2,"?ACTIVATED",IF(J3157&lt;&gt;"","?FAMILIAR",IF(F3157="NEW",IF(ISNA(VLOOKUP(E3157,#REF!,1,FALSE())),"?TYPE_IDENTIFIABLE","?REFERENTIAL"),"_")))))</f>
        <v> </v>
      </c>
      <c r="H3157" s="24" t="str">
        <f>IF(J3157&lt;&gt;1,"",IF(I3157="SBJ","CB","?"))</f>
        <v> </v>
      </c>
      <c r="I3157" s="25" t="str">
        <f>IF(OR(E3157="",E3157="!!!",F3157="NEW"),"",INDEX(B3156:B$2,-1+SUMPRODUCT(MAX(ROW(E3156:E$2)*(E3157=E3156:E$2)))))</f>
        <v> </v>
      </c>
      <c r="J3157" s="25" t="str">
        <f>IF(OR(E3157="",E3157="!!!",F3157="NEW"),"",COUNTBLANK(OFFSET(A$1,,,SUMPRODUCT(MAX(ROW(E$2:E3157)*(E3157=E$2:E3157)))))-COUNTBLANK(OFFSET(A$1,,,SUMPRODUCT(MAX(ROW(E$1:E3156)*(E2=E$1:E3156))))))</f>
        <v> </v>
      </c>
      <c r="K3157" s="25" t="str">
        <f>IF(OR(E3157="",E3157="!!!",F3157="NEW"),"",INDEX(J$1:J3156,SUMPRODUCT(MAX(ROW(E$1:E3156)*(E3157=E$1:E3156)))))</f>
        <v> </v>
      </c>
      <c r="L3157" s="26"/>
    </row>
    <row r="3158" spans="1:12">
      <c r="A3158" s="20" t="s">
        <v>549</v>
      </c>
      <c r="E3158" s="21">
        <f>IF(D3158="?OLD","!!!","")</f>
        <v/>
      </c>
      <c r="F3158" s="22" t="str">
        <f>IF(OR(E3158="",E3158="!!!"),"",IF(NOT(ISNA(VLOOKUP(E3158,E$1:E3157,1,FALSE()))),"OLD",IF(AND(E3158&lt;&gt;"",E3158&lt;&gt;"!!!"),"NEW","")))</f>
        <v> </v>
      </c>
      <c r="G3158" s="23" t="str">
        <f>IF(OR(E3158="",E3158="!!!"),"",IF(OR(J3158=0,AND(J3158=1,K3158=1),AND(J3158=1,I3158="SBJ"),AND(J3158=1,I3158=0)),"?IN_FOCUS",IF(J3158&lt;=2,"?ACTIVATED",IF(J3158&lt;&gt;"","?FAMILIAR",IF(F3158="NEW",IF(ISNA(VLOOKUP(E3158,#REF!,1,FALSE())),"?TYPE_IDENTIFIABLE","?REFERENTIAL"),"_")))))</f>
        <v> </v>
      </c>
      <c r="H3158" s="24" t="str">
        <f>IF(J3158&lt;&gt;1,"",IF(I3158="SBJ","CB","?"))</f>
        <v> </v>
      </c>
      <c r="I3158" s="25" t="str">
        <f>IF(OR(E3158="",E3158="!!!",F3158="NEW"),"",INDEX(B3157:B$2,-1+SUMPRODUCT(MAX(ROW(E3157:E$2)*(E3158=E3157:E$2)))))</f>
        <v> </v>
      </c>
      <c r="J3158" s="25" t="str">
        <f>IF(OR(E3158="",E3158="!!!",F3158="NEW"),"",COUNTBLANK(OFFSET(A$1,,,SUMPRODUCT(MAX(ROW(E$2:E3158)*(E3158=E$2:E3158)))))-COUNTBLANK(OFFSET(A$1,,,SUMPRODUCT(MAX(ROW(E$1:E3157)*(E2=E$1:E3157))))))</f>
        <v> </v>
      </c>
      <c r="K3158" s="25" t="str">
        <f>IF(OR(E3158="",E3158="!!!",F3158="NEW"),"",INDEX(J$1:J3157,SUMPRODUCT(MAX(ROW(E$1:E3157)*(E3158=E$1:E3157)))))</f>
        <v> </v>
      </c>
      <c r="L3158" s="26"/>
    </row>
    <row r="3159" spans="1:12">
      <c r="A3159" s="20"/>
    </row>
    <row r="3160" spans="1:12">
      <c r="A3160" s="20" t="s">
        <v>1569</v>
      </c>
    </row>
    <row r="3161" spans="1:12">
      <c r="A3161" s="20" t="s">
        <v>1332</v>
      </c>
      <c r="E3161" s="21">
        <f>IF(D3161="?OLD","!!!","")</f>
        <v/>
      </c>
      <c r="F3161" s="22" t="str">
        <f>IF(OR(E3161="",E3161="!!!"),"",IF(NOT(ISNA(VLOOKUP(E3161,E$1:E3160,1,FALSE()))),"OLD",IF(AND(E3161&lt;&gt;"",E3161&lt;&gt;"!!!"),"NEW","")))</f>
        <v> </v>
      </c>
      <c r="G3161" s="23" t="str">
        <f>IF(OR(E3161="",E3161="!!!"),"",IF(OR(J3161=0,AND(J3161=1,K3161=1),AND(J3161=1,I3161="SBJ"),AND(J3161=1,I3161=0)),"?IN_FOCUS",IF(J3161&lt;=2,"?ACTIVATED",IF(J3161&lt;&gt;"","?FAMILIAR",IF(F3161="NEW",IF(ISNA(VLOOKUP(E3161,#REF!,1,FALSE())),"?TYPE_IDENTIFIABLE","?REFERENTIAL"),"_")))))</f>
        <v> </v>
      </c>
      <c r="H3161" s="24" t="str">
        <f>IF(J3161&lt;&gt;1,"",IF(I3161="SBJ","CB","?"))</f>
        <v> </v>
      </c>
      <c r="I3161" s="25" t="str">
        <f>IF(OR(E3161="",E3161="!!!",F3161="NEW"),"",INDEX(B3160:B$2,-1+SUMPRODUCT(MAX(ROW(E3160:E$2)*(E3161=E3160:E$2)))))</f>
        <v> </v>
      </c>
      <c r="J3161" s="25" t="str">
        <f>IF(OR(E3161="",E3161="!!!",F3161="NEW"),"",COUNTBLANK(OFFSET(A$1,,,SUMPRODUCT(MAX(ROW(E$2:E3161)*(E3161=E$2:E3161)))))-COUNTBLANK(OFFSET(A$1,,,SUMPRODUCT(MAX(ROW(E$1:E3160)*(E2=E$1:E3160))))))</f>
        <v> </v>
      </c>
      <c r="K3161" s="25" t="str">
        <f>IF(OR(E3161="",E3161="!!!",F3161="NEW"),"",INDEX(J$1:J3160,SUMPRODUCT(MAX(ROW(E$1:E3160)*(E3161=E$1:E3160)))))</f>
        <v> </v>
      </c>
      <c r="L3161" s="26"/>
    </row>
    <row r="3162" spans="1:12">
      <c r="A3162" s="20" t="s">
        <v>1570</v>
      </c>
      <c r="E3162" s="21">
        <f>IF(D3162="?OLD","!!!","")</f>
        <v/>
      </c>
      <c r="F3162" s="22" t="str">
        <f>IF(OR(E3162="",E3162="!!!"),"",IF(NOT(ISNA(VLOOKUP(E3162,E$1:E3161,1,FALSE()))),"OLD",IF(AND(E3162&lt;&gt;"",E3162&lt;&gt;"!!!"),"NEW","")))</f>
        <v> </v>
      </c>
      <c r="G3162" s="23" t="str">
        <f>IF(OR(E3162="",E3162="!!!"),"",IF(OR(J3162=0,AND(J3162=1,K3162=1),AND(J3162=1,I3162="SBJ"),AND(J3162=1,I3162=0)),"?IN_FOCUS",IF(J3162&lt;=2,"?ACTIVATED",IF(J3162&lt;&gt;"","?FAMILIAR",IF(F3162="NEW",IF(ISNA(VLOOKUP(E3162,#REF!,1,FALSE())),"?TYPE_IDENTIFIABLE","?REFERENTIAL"),"_")))))</f>
        <v> </v>
      </c>
      <c r="H3162" s="24" t="str">
        <f>IF(J3162&lt;&gt;1,"",IF(I3162="SBJ","CB","?"))</f>
        <v> </v>
      </c>
      <c r="I3162" s="25" t="str">
        <f>IF(OR(E3162="",E3162="!!!",F3162="NEW"),"",INDEX(B3161:B$2,-1+SUMPRODUCT(MAX(ROW(E3161:E$2)*(E3162=E3161:E$2)))))</f>
        <v> </v>
      </c>
      <c r="J3162" s="25" t="str">
        <f>IF(OR(E3162="",E3162="!!!",F3162="NEW"),"",COUNTBLANK(OFFSET(A$1,,,SUMPRODUCT(MAX(ROW(E$2:E3162)*(E3162=E$2:E3162)))))-COUNTBLANK(OFFSET(A$1,,,SUMPRODUCT(MAX(ROW(E$1:E3161)*(E2=E$1:E3161))))))</f>
        <v> </v>
      </c>
      <c r="K3162" s="25" t="str">
        <f>IF(OR(E3162="",E3162="!!!",F3162="NEW"),"",INDEX(J$1:J3161,SUMPRODUCT(MAX(ROW(E$1:E3161)*(E3162=E$1:E3161)))))</f>
        <v> </v>
      </c>
      <c r="L3162" s="26"/>
    </row>
    <row r="3163" spans="1:12">
      <c r="A3163" s="20" t="s">
        <v>934</v>
      </c>
      <c r="E3163" s="21">
        <f>IF(D3163="?OLD","!!!","")</f>
        <v/>
      </c>
      <c r="F3163" s="22" t="str">
        <f>IF(OR(E3163="",E3163="!!!"),"",IF(NOT(ISNA(VLOOKUP(E3163,E$1:E3162,1,FALSE()))),"OLD",IF(AND(E3163&lt;&gt;"",E3163&lt;&gt;"!!!"),"NEW","")))</f>
        <v> </v>
      </c>
      <c r="G3163" s="23" t="str">
        <f>IF(OR(E3163="",E3163="!!!"),"",IF(OR(J3163=0,AND(J3163=1,K3163=1),AND(J3163=1,I3163="SBJ"),AND(J3163=1,I3163=0)),"?IN_FOCUS",IF(J3163&lt;=2,"?ACTIVATED",IF(J3163&lt;&gt;"","?FAMILIAR",IF(F3163="NEW",IF(ISNA(VLOOKUP(E3163,#REF!,1,FALSE())),"?TYPE_IDENTIFIABLE","?REFERENTIAL"),"_")))))</f>
        <v> </v>
      </c>
      <c r="H3163" s="24" t="str">
        <f>IF(J3163&lt;&gt;1,"",IF(I3163="SBJ","CB","?"))</f>
        <v> </v>
      </c>
      <c r="I3163" s="25" t="str">
        <f>IF(OR(E3163="",E3163="!!!",F3163="NEW"),"",INDEX(B3162:B$2,-1+SUMPRODUCT(MAX(ROW(E3162:E$2)*(E3163=E3162:E$2)))))</f>
        <v> </v>
      </c>
      <c r="J3163" s="25" t="str">
        <f>IF(OR(E3163="",E3163="!!!",F3163="NEW"),"",COUNTBLANK(OFFSET(A$1,,,SUMPRODUCT(MAX(ROW(E$2:E3163)*(E3163=E$2:E3163)))))-COUNTBLANK(OFFSET(A$1,,,SUMPRODUCT(MAX(ROW(E$1:E3162)*(E2=E$1:E3162))))))</f>
        <v> </v>
      </c>
      <c r="K3163" s="25" t="str">
        <f>IF(OR(E3163="",E3163="!!!",F3163="NEW"),"",INDEX(J$1:J3162,SUMPRODUCT(MAX(ROW(E$1:E3162)*(E3163=E$1:E3162)))))</f>
        <v> </v>
      </c>
      <c r="L3163" s="26"/>
    </row>
    <row r="3164" spans="1:12">
      <c r="A3164" s="20" t="s">
        <v>542</v>
      </c>
      <c r="E3164" s="21">
        <f>IF(D3164="?OLD","!!!","")</f>
        <v/>
      </c>
      <c r="F3164" s="22" t="str">
        <f>IF(OR(E3164="",E3164="!!!"),"",IF(NOT(ISNA(VLOOKUP(E3164,E$1:E3163,1,FALSE()))),"OLD",IF(AND(E3164&lt;&gt;"",E3164&lt;&gt;"!!!"),"NEW","")))</f>
        <v> </v>
      </c>
      <c r="G3164" s="23" t="str">
        <f>IF(OR(E3164="",E3164="!!!"),"",IF(OR(J3164=0,AND(J3164=1,K3164=1),AND(J3164=1,I3164="SBJ"),AND(J3164=1,I3164=0)),"?IN_FOCUS",IF(J3164&lt;=2,"?ACTIVATED",IF(J3164&lt;&gt;"","?FAMILIAR",IF(F3164="NEW",IF(ISNA(VLOOKUP(E3164,#REF!,1,FALSE())),"?TYPE_IDENTIFIABLE","?REFERENTIAL"),"_")))))</f>
        <v> </v>
      </c>
      <c r="H3164" s="24" t="str">
        <f>IF(J3164&lt;&gt;1,"",IF(I3164="SBJ","CB","?"))</f>
        <v> </v>
      </c>
      <c r="I3164" s="25" t="str">
        <f>IF(OR(E3164="",E3164="!!!",F3164="NEW"),"",INDEX(B3163:B$2,-1+SUMPRODUCT(MAX(ROW(E3163:E$2)*(E3164=E3163:E$2)))))</f>
        <v> </v>
      </c>
      <c r="J3164" s="25" t="str">
        <f>IF(OR(E3164="",E3164="!!!",F3164="NEW"),"",COUNTBLANK(OFFSET(A$1,,,SUMPRODUCT(MAX(ROW(E$2:E3164)*(E3164=E$2:E3164)))))-COUNTBLANK(OFFSET(A$1,,,SUMPRODUCT(MAX(ROW(E$1:E3163)*(E2=E$1:E3163))))))</f>
        <v> </v>
      </c>
      <c r="K3164" s="25" t="str">
        <f>IF(OR(E3164="",E3164="!!!",F3164="NEW"),"",INDEX(J$1:J3163,SUMPRODUCT(MAX(ROW(E$1:E3163)*(E3164=E$1:E3163)))))</f>
        <v> </v>
      </c>
      <c r="L3164" s="26"/>
    </row>
    <row r="3165" spans="1:12">
      <c r="A3165" s="20" t="s">
        <v>720</v>
      </c>
      <c r="B3165" s="27" t="s">
        <v>573</v>
      </c>
      <c r="C3165" s="27" t="s">
        <v>557</v>
      </c>
      <c r="E3165" s="21">
        <f>IF(D3165="?OLD","!!!","")</f>
        <v/>
      </c>
      <c r="F3165" s="22" t="str">
        <f>IF(OR(E3165="",E3165="!!!"),"",IF(NOT(ISNA(VLOOKUP(E3165,E$1:E3164,1,FALSE()))),"OLD",IF(AND(E3165&lt;&gt;"",E3165&lt;&gt;"!!!"),"NEW","")))</f>
        <v> </v>
      </c>
      <c r="G3165" s="23" t="str">
        <f>IF(OR(E3165="",E3165="!!!"),"",IF(OR(J3165=0,AND(J3165=1,K3165=1),AND(J3165=1,I3165="SBJ"),AND(J3165=1,I3165=0)),"?IN_FOCUS",IF(J3165&lt;=2,"?ACTIVATED",IF(J3165&lt;&gt;"","?FAMILIAR",IF(F3165="NEW",IF(ISNA(VLOOKUP(E3165,#REF!,1,FALSE())),"?TYPE_IDENTIFIABLE","?REFERENTIAL"),"_")))))</f>
        <v> </v>
      </c>
      <c r="H3165" s="24" t="str">
        <f>IF(J3165&lt;&gt;1,"",IF(I3165="SBJ","CB","?"))</f>
        <v> </v>
      </c>
      <c r="I3165" s="25" t="str">
        <f>IF(OR(E3165="",E3165="!!!",F3165="NEW"),"",INDEX(B3164:B$2,-1+SUMPRODUCT(MAX(ROW(E3164:E$2)*(E3165=E3164:E$2)))))</f>
        <v> </v>
      </c>
      <c r="J3165" s="25" t="str">
        <f>IF(OR(E3165="",E3165="!!!",F3165="NEW"),"",COUNTBLANK(OFFSET(A$1,,,SUMPRODUCT(MAX(ROW(E$2:E3165)*(E3165=E$2:E3165)))))-COUNTBLANK(OFFSET(A$1,,,SUMPRODUCT(MAX(ROW(E$1:E3164)*(E2=E$1:E3164))))))</f>
        <v> </v>
      </c>
      <c r="K3165" s="25" t="str">
        <f>IF(OR(E3165="",E3165="!!!",F3165="NEW"),"",INDEX(J$1:J3164,SUMPRODUCT(MAX(ROW(E$1:E3164)*(E3165=E$1:E3164)))))</f>
        <v> </v>
      </c>
      <c r="L3165" s="26"/>
    </row>
    <row r="3166" spans="1:12">
      <c r="A3166" s="20" t="s">
        <v>542</v>
      </c>
      <c r="E3166" s="21">
        <f>IF(D3166="?OLD","!!!","")</f>
        <v/>
      </c>
      <c r="F3166" s="22" t="str">
        <f>IF(OR(E3166="",E3166="!!!"),"",IF(NOT(ISNA(VLOOKUP(E3166,E$1:E3165,1,FALSE()))),"OLD",IF(AND(E3166&lt;&gt;"",E3166&lt;&gt;"!!!"),"NEW","")))</f>
        <v> </v>
      </c>
      <c r="G3166" s="23" t="str">
        <f>IF(OR(E3166="",E3166="!!!"),"",IF(OR(J3166=0,AND(J3166=1,K3166=1),AND(J3166=1,I3166="SBJ"),AND(J3166=1,I3166=0)),"?IN_FOCUS",IF(J3166&lt;=2,"?ACTIVATED",IF(J3166&lt;&gt;"","?FAMILIAR",IF(F3166="NEW",IF(ISNA(VLOOKUP(E3166,#REF!,1,FALSE())),"?TYPE_IDENTIFIABLE","?REFERENTIAL"),"_")))))</f>
        <v> </v>
      </c>
      <c r="H3166" s="24" t="str">
        <f>IF(J3166&lt;&gt;1,"",IF(I3166="SBJ","CB","?"))</f>
        <v> </v>
      </c>
      <c r="I3166" s="25" t="str">
        <f>IF(OR(E3166="",E3166="!!!",F3166="NEW"),"",INDEX(B3165:B$2,-1+SUMPRODUCT(MAX(ROW(E3165:E$2)*(E3166=E3165:E$2)))))</f>
        <v> </v>
      </c>
      <c r="J3166" s="25" t="str">
        <f>IF(OR(E3166="",E3166="!!!",F3166="NEW"),"",COUNTBLANK(OFFSET(A$1,,,SUMPRODUCT(MAX(ROW(E$2:E3166)*(E3166=E$2:E3166)))))-COUNTBLANK(OFFSET(A$1,,,SUMPRODUCT(MAX(ROW(E$1:E3165)*(E2=E$1:E3165))))))</f>
        <v> </v>
      </c>
      <c r="K3166" s="25" t="str">
        <f>IF(OR(E3166="",E3166="!!!",F3166="NEW"),"",INDEX(J$1:J3165,SUMPRODUCT(MAX(ROW(E$1:E3165)*(E3166=E$1:E3165)))))</f>
        <v> </v>
      </c>
      <c r="L3166" s="26"/>
    </row>
    <row r="3167" spans="1:12">
      <c r="A3167" s="20" t="s">
        <v>1571</v>
      </c>
      <c r="B3167" s="27" t="s">
        <v>573</v>
      </c>
      <c r="C3167" s="27" t="s">
        <v>540</v>
      </c>
      <c r="D3167" s="27" t="s">
        <v>524</v>
      </c>
      <c r="E3167" s="21">
        <f>IF(D3167="?OLD","!!!","")</f>
        <v/>
      </c>
      <c r="F3167" s="22" t="str">
        <f>IF(OR(E3167="",E3167="!!!"),"",IF(NOT(ISNA(VLOOKUP(E3167,E$1:E3166,1,FALSE()))),"OLD",IF(AND(E3167&lt;&gt;"",E3167&lt;&gt;"!!!"),"NEW","")))</f>
        <v> </v>
      </c>
      <c r="G3167" s="23" t="str">
        <f>IF(OR(E3167="",E3167="!!!"),"",IF(OR(J3167=0,AND(J3167=1,K3167=1),AND(J3167=1,I3167="SBJ"),AND(J3167=1,I3167=0)),"?IN_FOCUS",IF(J3167&lt;=2,"?ACTIVATED",IF(J3167&lt;&gt;"","?FAMILIAR",IF(F3167="NEW",IF(ISNA(VLOOKUP(E3167,#REF!,1,FALSE())),"?TYPE_IDENTIFIABLE","?REFERENTIAL"),"_")))))</f>
        <v> </v>
      </c>
      <c r="H3167" s="24" t="str">
        <f>IF(J3167&lt;&gt;1,"",IF(I3167="SBJ","CB","?"))</f>
        <v> </v>
      </c>
      <c r="I3167" s="25" t="str">
        <f>IF(OR(E3167="",E3167="!!!",F3167="NEW"),"",INDEX(B3166:B$2,-1+SUMPRODUCT(MAX(ROW(E3166:E$2)*(E3167=E3166:E$2)))))</f>
        <v> </v>
      </c>
      <c r="J3167" s="25" t="str">
        <f>IF(OR(E3167="",E3167="!!!",F3167="NEW"),"",COUNTBLANK(OFFSET(A$1,,,SUMPRODUCT(MAX(ROW(E$2:E3167)*(E3167=E$2:E3167)))))-COUNTBLANK(OFFSET(A$1,,,SUMPRODUCT(MAX(ROW(E$1:E3166)*(E2=E$1:E3166))))))</f>
        <v> </v>
      </c>
      <c r="K3167" s="25" t="str">
        <f>IF(OR(E3167="",E3167="!!!",F3167="NEW"),"",INDEX(J$1:J3166,SUMPRODUCT(MAX(ROW(E$1:E3166)*(E3167=E$1:E3166)))))</f>
        <v> </v>
      </c>
      <c r="L3167" s="26"/>
    </row>
    <row r="3168" spans="1:12">
      <c r="A3168" s="20" t="s">
        <v>518</v>
      </c>
      <c r="E3168" s="21">
        <f>IF(D3168="?OLD","!!!","")</f>
        <v/>
      </c>
      <c r="F3168" s="22" t="str">
        <f>IF(OR(E3168="",E3168="!!!"),"",IF(NOT(ISNA(VLOOKUP(E3168,E$1:E3167,1,FALSE()))),"OLD",IF(AND(E3168&lt;&gt;"",E3168&lt;&gt;"!!!"),"NEW","")))</f>
        <v> </v>
      </c>
      <c r="G3168" s="23" t="str">
        <f>IF(OR(E3168="",E3168="!!!"),"",IF(OR(J3168=0,AND(J3168=1,K3168=1),AND(J3168=1,I3168="SBJ"),AND(J3168=1,I3168=0)),"?IN_FOCUS",IF(J3168&lt;=2,"?ACTIVATED",IF(J3168&lt;&gt;"","?FAMILIAR",IF(F3168="NEW",IF(ISNA(VLOOKUP(E3168,#REF!,1,FALSE())),"?TYPE_IDENTIFIABLE","?REFERENTIAL"),"_")))))</f>
        <v> </v>
      </c>
      <c r="H3168" s="24" t="str">
        <f>IF(J3168&lt;&gt;1,"",IF(I3168="SBJ","CB","?"))</f>
        <v> </v>
      </c>
      <c r="I3168" s="25" t="str">
        <f>IF(OR(E3168="",E3168="!!!",F3168="NEW"),"",INDEX(B3167:B$2,-1+SUMPRODUCT(MAX(ROW(E3167:E$2)*(E3168=E3167:E$2)))))</f>
        <v> </v>
      </c>
      <c r="J3168" s="25" t="str">
        <f>IF(OR(E3168="",E3168="!!!",F3168="NEW"),"",COUNTBLANK(OFFSET(A$1,,,SUMPRODUCT(MAX(ROW(E$2:E3168)*(E3168=E$2:E3168)))))-COUNTBLANK(OFFSET(A$1,,,SUMPRODUCT(MAX(ROW(E$1:E3167)*(E2=E$1:E3167))))))</f>
        <v> </v>
      </c>
      <c r="K3168" s="25" t="str">
        <f>IF(OR(E3168="",E3168="!!!",F3168="NEW"),"",INDEX(J$1:J3167,SUMPRODUCT(MAX(ROW(E$1:E3167)*(E3168=E$1:E3167)))))</f>
        <v> </v>
      </c>
      <c r="L3168" s="26"/>
    </row>
    <row r="3169" spans="1:12">
      <c r="A3169" s="20" t="s">
        <v>571</v>
      </c>
      <c r="E3169" s="21">
        <f>IF(D3169="?OLD","!!!","")</f>
        <v/>
      </c>
      <c r="F3169" s="22" t="str">
        <f>IF(OR(E3169="",E3169="!!!"),"",IF(NOT(ISNA(VLOOKUP(E3169,E$1:E3168,1,FALSE()))),"OLD",IF(AND(E3169&lt;&gt;"",E3169&lt;&gt;"!!!"),"NEW","")))</f>
        <v> </v>
      </c>
      <c r="G3169" s="23" t="str">
        <f>IF(OR(E3169="",E3169="!!!"),"",IF(OR(J3169=0,AND(J3169=1,K3169=1),AND(J3169=1,I3169="SBJ"),AND(J3169=1,I3169=0)),"?IN_FOCUS",IF(J3169&lt;=2,"?ACTIVATED",IF(J3169&lt;&gt;"","?FAMILIAR",IF(F3169="NEW",IF(ISNA(VLOOKUP(E3169,#REF!,1,FALSE())),"?TYPE_IDENTIFIABLE","?REFERENTIAL"),"_")))))</f>
        <v> </v>
      </c>
      <c r="H3169" s="24" t="str">
        <f>IF(J3169&lt;&gt;1,"",IF(I3169="SBJ","CB","?"))</f>
        <v> </v>
      </c>
      <c r="I3169" s="25" t="str">
        <f>IF(OR(E3169="",E3169="!!!",F3169="NEW"),"",INDEX(B3168:B$2,-1+SUMPRODUCT(MAX(ROW(E3168:E$2)*(E3169=E3168:E$2)))))</f>
        <v> </v>
      </c>
      <c r="J3169" s="25" t="str">
        <f>IF(OR(E3169="",E3169="!!!",F3169="NEW"),"",COUNTBLANK(OFFSET(A$1,,,SUMPRODUCT(MAX(ROW(E$2:E3169)*(E3169=E$2:E3169)))))-COUNTBLANK(OFFSET(A$1,,,SUMPRODUCT(MAX(ROW(E$1:E3168)*(E2=E$1:E3168))))))</f>
        <v> </v>
      </c>
      <c r="K3169" s="25" t="str">
        <f>IF(OR(E3169="",E3169="!!!",F3169="NEW"),"",INDEX(J$1:J3168,SUMPRODUCT(MAX(ROW(E$1:E3168)*(E3169=E$1:E3168)))))</f>
        <v> </v>
      </c>
      <c r="L3169" s="26"/>
    </row>
    <row r="3170" spans="1:12">
      <c r="A3170" s="20" t="s">
        <v>722</v>
      </c>
      <c r="B3170" s="27" t="s">
        <v>699</v>
      </c>
      <c r="C3170" s="27" t="s">
        <v>669</v>
      </c>
      <c r="D3170" s="27" t="s">
        <v>524</v>
      </c>
      <c r="E3170" s="21">
        <f>IF(D3170="?OLD","!!!","")</f>
        <v/>
      </c>
      <c r="F3170" s="22" t="str">
        <f>IF(OR(E3170="",E3170="!!!"),"",IF(NOT(ISNA(VLOOKUP(E3170,E$1:E3169,1,FALSE()))),"OLD",IF(AND(E3170&lt;&gt;"",E3170&lt;&gt;"!!!"),"NEW","")))</f>
        <v> </v>
      </c>
      <c r="G3170" s="23" t="str">
        <f>IF(OR(E3170="",E3170="!!!"),"",IF(OR(J3170=0,AND(J3170=1,K3170=1),AND(J3170=1,I3170="SBJ"),AND(J3170=1,I3170=0)),"?IN_FOCUS",IF(J3170&lt;=2,"?ACTIVATED",IF(J3170&lt;&gt;"","?FAMILIAR",IF(F3170="NEW",IF(ISNA(VLOOKUP(E3170,#REF!,1,FALSE())),"?TYPE_IDENTIFIABLE","?REFERENTIAL"),"_")))))</f>
        <v> </v>
      </c>
      <c r="H3170" s="24" t="str">
        <f>IF(J3170&lt;&gt;1,"",IF(I3170="SBJ","CB","?"))</f>
        <v> </v>
      </c>
      <c r="I3170" s="25" t="str">
        <f>IF(OR(E3170="",E3170="!!!",F3170="NEW"),"",INDEX(B3169:B$2,-1+SUMPRODUCT(MAX(ROW(E3169:E$2)*(E3170=E3169:E$2)))))</f>
        <v> </v>
      </c>
      <c r="J3170" s="25" t="str">
        <f>IF(OR(E3170="",E3170="!!!",F3170="NEW"),"",COUNTBLANK(OFFSET(A$1,,,SUMPRODUCT(MAX(ROW(E$2:E3170)*(E3170=E$2:E3170)))))-COUNTBLANK(OFFSET(A$1,,,SUMPRODUCT(MAX(ROW(E$1:E3169)*(E2=E$1:E3169))))))</f>
        <v> </v>
      </c>
      <c r="K3170" s="25" t="str">
        <f>IF(OR(E3170="",E3170="!!!",F3170="NEW"),"",INDEX(J$1:J3169,SUMPRODUCT(MAX(ROW(E$1:E3169)*(E3170=E$1:E3169)))))</f>
        <v> </v>
      </c>
      <c r="L3170" s="26"/>
    </row>
    <row r="3171" spans="1:12">
      <c r="A3171" s="20" t="s">
        <v>996</v>
      </c>
      <c r="B3171" s="27" t="s">
        <v>641</v>
      </c>
      <c r="C3171" s="27" t="s">
        <v>545</v>
      </c>
      <c r="D3171" s="27" t="s">
        <v>524</v>
      </c>
      <c r="E3171" s="21">
        <f>IF(D3171="?OLD","!!!","")</f>
        <v/>
      </c>
      <c r="F3171" s="22" t="str">
        <f>IF(OR(E3171="",E3171="!!!"),"",IF(NOT(ISNA(VLOOKUP(E3171,E$1:E3170,1,FALSE()))),"OLD",IF(AND(E3171&lt;&gt;"",E3171&lt;&gt;"!!!"),"NEW","")))</f>
        <v> </v>
      </c>
      <c r="G3171" s="23" t="str">
        <f>IF(OR(E3171="",E3171="!!!"),"",IF(OR(J3171=0,AND(J3171=1,K3171=1),AND(J3171=1,I3171="SBJ"),AND(J3171=1,I3171=0)),"?IN_FOCUS",IF(J3171&lt;=2,"?ACTIVATED",IF(J3171&lt;&gt;"","?FAMILIAR",IF(F3171="NEW",IF(ISNA(VLOOKUP(E3171,#REF!,1,FALSE())),"?TYPE_IDENTIFIABLE","?REFERENTIAL"),"_")))))</f>
        <v> </v>
      </c>
      <c r="H3171" s="24" t="str">
        <f>IF(J3171&lt;&gt;1,"",IF(I3171="SBJ","CB","?"))</f>
        <v> </v>
      </c>
      <c r="I3171" s="25" t="str">
        <f>IF(OR(E3171="",E3171="!!!",F3171="NEW"),"",INDEX(B3170:B$2,-1+SUMPRODUCT(MAX(ROW(E3170:E$2)*(E3171=E3170:E$2)))))</f>
        <v> </v>
      </c>
      <c r="J3171" s="25" t="str">
        <f>IF(OR(E3171="",E3171="!!!",F3171="NEW"),"",COUNTBLANK(OFFSET(A$1,,,SUMPRODUCT(MAX(ROW(E$2:E3171)*(E3171=E$2:E3171)))))-COUNTBLANK(OFFSET(A$1,,,SUMPRODUCT(MAX(ROW(E$1:E3170)*(E2=E$1:E3170))))))</f>
        <v> </v>
      </c>
      <c r="K3171" s="25" t="str">
        <f>IF(OR(E3171="",E3171="!!!",F3171="NEW"),"",INDEX(J$1:J3170,SUMPRODUCT(MAX(ROW(E$1:E3170)*(E3171=E$1:E3170)))))</f>
        <v> </v>
      </c>
      <c r="L3171" s="26"/>
    </row>
    <row r="3172" spans="1:12">
      <c r="A3172" s="20" t="s">
        <v>814</v>
      </c>
      <c r="E3172" s="21">
        <f>IF(D3172="?OLD","!!!","")</f>
        <v/>
      </c>
      <c r="F3172" s="22" t="str">
        <f>IF(OR(E3172="",E3172="!!!"),"",IF(NOT(ISNA(VLOOKUP(E3172,E$1:E3171,1,FALSE()))),"OLD",IF(AND(E3172&lt;&gt;"",E3172&lt;&gt;"!!!"),"NEW","")))</f>
        <v> </v>
      </c>
      <c r="G3172" s="23" t="str">
        <f>IF(OR(E3172="",E3172="!!!"),"",IF(OR(J3172=0,AND(J3172=1,K3172=1),AND(J3172=1,I3172="SBJ"),AND(J3172=1,I3172=0)),"?IN_FOCUS",IF(J3172&lt;=2,"?ACTIVATED",IF(J3172&lt;&gt;"","?FAMILIAR",IF(F3172="NEW",IF(ISNA(VLOOKUP(E3172,#REF!,1,FALSE())),"?TYPE_IDENTIFIABLE","?REFERENTIAL"),"_")))))</f>
        <v> </v>
      </c>
      <c r="H3172" s="24" t="str">
        <f>IF(J3172&lt;&gt;1,"",IF(I3172="SBJ","CB","?"))</f>
        <v> </v>
      </c>
      <c r="I3172" s="25" t="str">
        <f>IF(OR(E3172="",E3172="!!!",F3172="NEW"),"",INDEX(B3171:B$2,-1+SUMPRODUCT(MAX(ROW(E3171:E$2)*(E3172=E3171:E$2)))))</f>
        <v> </v>
      </c>
      <c r="J3172" s="25" t="str">
        <f>IF(OR(E3172="",E3172="!!!",F3172="NEW"),"",COUNTBLANK(OFFSET(A$1,,,SUMPRODUCT(MAX(ROW(E$2:E3172)*(E3172=E$2:E3172)))))-COUNTBLANK(OFFSET(A$1,,,SUMPRODUCT(MAX(ROW(E$1:E3171)*(E2=E$1:E3171))))))</f>
        <v> </v>
      </c>
      <c r="K3172" s="25" t="str">
        <f>IF(OR(E3172="",E3172="!!!",F3172="NEW"),"",INDEX(J$1:J3171,SUMPRODUCT(MAX(ROW(E$1:E3171)*(E3172=E$1:E3171)))))</f>
        <v> </v>
      </c>
      <c r="L3172" s="26"/>
    </row>
    <row r="3173" spans="1:12">
      <c r="A3173" s="20" t="s">
        <v>565</v>
      </c>
      <c r="E3173" s="21">
        <f>IF(D3173="?OLD","!!!","")</f>
        <v/>
      </c>
      <c r="F3173" s="22" t="str">
        <f>IF(OR(E3173="",E3173="!!!"),"",IF(NOT(ISNA(VLOOKUP(E3173,E$1:E3172,1,FALSE()))),"OLD",IF(AND(E3173&lt;&gt;"",E3173&lt;&gt;"!!!"),"NEW","")))</f>
        <v> </v>
      </c>
      <c r="G3173" s="23" t="str">
        <f>IF(OR(E3173="",E3173="!!!"),"",IF(OR(J3173=0,AND(J3173=1,K3173=1),AND(J3173=1,I3173="SBJ"),AND(J3173=1,I3173=0)),"?IN_FOCUS",IF(J3173&lt;=2,"?ACTIVATED",IF(J3173&lt;&gt;"","?FAMILIAR",IF(F3173="NEW",IF(ISNA(VLOOKUP(E3173,#REF!,1,FALSE())),"?TYPE_IDENTIFIABLE","?REFERENTIAL"),"_")))))</f>
        <v> </v>
      </c>
      <c r="H3173" s="24" t="str">
        <f>IF(J3173&lt;&gt;1,"",IF(I3173="SBJ","CB","?"))</f>
        <v> </v>
      </c>
      <c r="I3173" s="25" t="str">
        <f>IF(OR(E3173="",E3173="!!!",F3173="NEW"),"",INDEX(B3172:B$2,-1+SUMPRODUCT(MAX(ROW(E3172:E$2)*(E3173=E3172:E$2)))))</f>
        <v> </v>
      </c>
      <c r="J3173" s="25" t="str">
        <f>IF(OR(E3173="",E3173="!!!",F3173="NEW"),"",COUNTBLANK(OFFSET(A$1,,,SUMPRODUCT(MAX(ROW(E$2:E3173)*(E3173=E$2:E3173)))))-COUNTBLANK(OFFSET(A$1,,,SUMPRODUCT(MAX(ROW(E$1:E3172)*(E2=E$1:E3172))))))</f>
        <v> </v>
      </c>
      <c r="K3173" s="25" t="str">
        <f>IF(OR(E3173="",E3173="!!!",F3173="NEW"),"",INDEX(J$1:J3172,SUMPRODUCT(MAX(ROW(E$1:E3172)*(E3173=E$1:E3172)))))</f>
        <v> </v>
      </c>
      <c r="L3173" s="26"/>
    </row>
    <row r="3174" spans="1:12">
      <c r="A3174" s="20" t="s">
        <v>916</v>
      </c>
      <c r="E3174" s="21">
        <f>IF(D3174="?OLD","!!!","")</f>
        <v/>
      </c>
      <c r="F3174" s="22" t="str">
        <f>IF(OR(E3174="",E3174="!!!"),"",IF(NOT(ISNA(VLOOKUP(E3174,E$1:E3173,1,FALSE()))),"OLD",IF(AND(E3174&lt;&gt;"",E3174&lt;&gt;"!!!"),"NEW","")))</f>
        <v> </v>
      </c>
      <c r="G3174" s="23" t="str">
        <f>IF(OR(E3174="",E3174="!!!"),"",IF(OR(J3174=0,AND(J3174=1,K3174=1),AND(J3174=1,I3174="SBJ"),AND(J3174=1,I3174=0)),"?IN_FOCUS",IF(J3174&lt;=2,"?ACTIVATED",IF(J3174&lt;&gt;"","?FAMILIAR",IF(F3174="NEW",IF(ISNA(VLOOKUP(E3174,#REF!,1,FALSE())),"?TYPE_IDENTIFIABLE","?REFERENTIAL"),"_")))))</f>
        <v> </v>
      </c>
      <c r="H3174" s="24" t="str">
        <f>IF(J3174&lt;&gt;1,"",IF(I3174="SBJ","CB","?"))</f>
        <v> </v>
      </c>
      <c r="I3174" s="25" t="str">
        <f>IF(OR(E3174="",E3174="!!!",F3174="NEW"),"",INDEX(B3173:B$2,-1+SUMPRODUCT(MAX(ROW(E3173:E$2)*(E3174=E3173:E$2)))))</f>
        <v> </v>
      </c>
      <c r="J3174" s="25" t="str">
        <f>IF(OR(E3174="",E3174="!!!",F3174="NEW"),"",COUNTBLANK(OFFSET(A$1,,,SUMPRODUCT(MAX(ROW(E$2:E3174)*(E3174=E$2:E3174)))))-COUNTBLANK(OFFSET(A$1,,,SUMPRODUCT(MAX(ROW(E$1:E3173)*(E2=E$1:E3173))))))</f>
        <v> </v>
      </c>
      <c r="K3174" s="25" t="str">
        <f>IF(OR(E3174="",E3174="!!!",F3174="NEW"),"",INDEX(J$1:J3173,SUMPRODUCT(MAX(ROW(E$1:E3173)*(E3174=E$1:E3173)))))</f>
        <v> </v>
      </c>
      <c r="L3174" s="26"/>
    </row>
    <row r="3175" spans="1:12">
      <c r="A3175" s="20" t="s">
        <v>571</v>
      </c>
      <c r="E3175" s="21">
        <f>IF(D3175="?OLD","!!!","")</f>
        <v/>
      </c>
      <c r="F3175" s="22" t="str">
        <f>IF(OR(E3175="",E3175="!!!"),"",IF(NOT(ISNA(VLOOKUP(E3175,E$1:E3174,1,FALSE()))),"OLD",IF(AND(E3175&lt;&gt;"",E3175&lt;&gt;"!!!"),"NEW","")))</f>
        <v> </v>
      </c>
      <c r="G3175" s="23" t="str">
        <f>IF(OR(E3175="",E3175="!!!"),"",IF(OR(J3175=0,AND(J3175=1,K3175=1),AND(J3175=1,I3175="SBJ"),AND(J3175=1,I3175=0)),"?IN_FOCUS",IF(J3175&lt;=2,"?ACTIVATED",IF(J3175&lt;&gt;"","?FAMILIAR",IF(F3175="NEW",IF(ISNA(VLOOKUP(E3175,#REF!,1,FALSE())),"?TYPE_IDENTIFIABLE","?REFERENTIAL"),"_")))))</f>
        <v> </v>
      </c>
      <c r="H3175" s="24" t="str">
        <f>IF(J3175&lt;&gt;1,"",IF(I3175="SBJ","CB","?"))</f>
        <v> </v>
      </c>
      <c r="I3175" s="25" t="str">
        <f>IF(OR(E3175="",E3175="!!!",F3175="NEW"),"",INDEX(B3174:B$2,-1+SUMPRODUCT(MAX(ROW(E3174:E$2)*(E3175=E3174:E$2)))))</f>
        <v> </v>
      </c>
      <c r="J3175" s="25" t="str">
        <f>IF(OR(E3175="",E3175="!!!",F3175="NEW"),"",COUNTBLANK(OFFSET(A$1,,,SUMPRODUCT(MAX(ROW(E$2:E3175)*(E3175=E$2:E3175)))))-COUNTBLANK(OFFSET(A$1,,,SUMPRODUCT(MAX(ROW(E$1:E3174)*(E2=E$1:E3174))))))</f>
        <v> </v>
      </c>
      <c r="K3175" s="25" t="str">
        <f>IF(OR(E3175="",E3175="!!!",F3175="NEW"),"",INDEX(J$1:J3174,SUMPRODUCT(MAX(ROW(E$1:E3174)*(E3175=E$1:E3174)))))</f>
        <v> </v>
      </c>
      <c r="L3175" s="26"/>
    </row>
    <row r="3176" spans="1:12">
      <c r="A3176" s="20" t="s">
        <v>1286</v>
      </c>
      <c r="B3176" s="27" t="s">
        <v>873</v>
      </c>
      <c r="C3176" s="27" t="s">
        <v>545</v>
      </c>
      <c r="D3176" s="27" t="s">
        <v>524</v>
      </c>
      <c r="E3176" s="21">
        <f>IF(D3176="?OLD","!!!","")</f>
        <v/>
      </c>
      <c r="F3176" s="22" t="str">
        <f>IF(OR(E3176="",E3176="!!!"),"",IF(NOT(ISNA(VLOOKUP(E3176,E$1:E3175,1,FALSE()))),"OLD",IF(AND(E3176&lt;&gt;"",E3176&lt;&gt;"!!!"),"NEW","")))</f>
        <v> </v>
      </c>
      <c r="G3176" s="23" t="str">
        <f>IF(OR(E3176="",E3176="!!!"),"",IF(OR(J3176=0,AND(J3176=1,K3176=1),AND(J3176=1,I3176="SBJ"),AND(J3176=1,I3176=0)),"?IN_FOCUS",IF(J3176&lt;=2,"?ACTIVATED",IF(J3176&lt;&gt;"","?FAMILIAR",IF(F3176="NEW",IF(ISNA(VLOOKUP(E3176,#REF!,1,FALSE())),"?TYPE_IDENTIFIABLE","?REFERENTIAL"),"_")))))</f>
        <v> </v>
      </c>
      <c r="H3176" s="24" t="str">
        <f>IF(J3176&lt;&gt;1,"",IF(I3176="SBJ","CB","?"))</f>
        <v> </v>
      </c>
      <c r="I3176" s="25" t="str">
        <f>IF(OR(E3176="",E3176="!!!",F3176="NEW"),"",INDEX(B3175:B$2,-1+SUMPRODUCT(MAX(ROW(E3175:E$2)*(E3176=E3175:E$2)))))</f>
        <v> </v>
      </c>
      <c r="J3176" s="25" t="str">
        <f>IF(OR(E3176="",E3176="!!!",F3176="NEW"),"",COUNTBLANK(OFFSET(A$1,,,SUMPRODUCT(MAX(ROW(E$2:E3176)*(E3176=E$2:E3176)))))-COUNTBLANK(OFFSET(A$1,,,SUMPRODUCT(MAX(ROW(E$1:E3175)*(E2=E$1:E3175))))))</f>
        <v> </v>
      </c>
      <c r="K3176" s="25" t="str">
        <f>IF(OR(E3176="",E3176="!!!",F3176="NEW"),"",INDEX(J$1:J3175,SUMPRODUCT(MAX(ROW(E$1:E3175)*(E3176=E$1:E3175)))))</f>
        <v> </v>
      </c>
      <c r="L3176" s="26"/>
    </row>
    <row r="3177" spans="1:12">
      <c r="A3177" s="20" t="s">
        <v>1264</v>
      </c>
      <c r="E3177" s="21">
        <f>IF(D3177="?OLD","!!!","")</f>
        <v/>
      </c>
      <c r="F3177" s="22" t="str">
        <f>IF(OR(E3177="",E3177="!!!"),"",IF(NOT(ISNA(VLOOKUP(E3177,E$1:E3176,1,FALSE()))),"OLD",IF(AND(E3177&lt;&gt;"",E3177&lt;&gt;"!!!"),"NEW","")))</f>
        <v> </v>
      </c>
      <c r="G3177" s="23" t="str">
        <f>IF(OR(E3177="",E3177="!!!"),"",IF(OR(J3177=0,AND(J3177=1,K3177=1),AND(J3177=1,I3177="SBJ"),AND(J3177=1,I3177=0)),"?IN_FOCUS",IF(J3177&lt;=2,"?ACTIVATED",IF(J3177&lt;&gt;"","?FAMILIAR",IF(F3177="NEW",IF(ISNA(VLOOKUP(E3177,#REF!,1,FALSE())),"?TYPE_IDENTIFIABLE","?REFERENTIAL"),"_")))))</f>
        <v> </v>
      </c>
      <c r="H3177" s="24" t="str">
        <f>IF(J3177&lt;&gt;1,"",IF(I3177="SBJ","CB","?"))</f>
        <v> </v>
      </c>
      <c r="I3177" s="25" t="str">
        <f>IF(OR(E3177="",E3177="!!!",F3177="NEW"),"",INDEX(B3176:B$2,-1+SUMPRODUCT(MAX(ROW(E3176:E$2)*(E3177=E3176:E$2)))))</f>
        <v> </v>
      </c>
      <c r="J3177" s="25" t="str">
        <f>IF(OR(E3177="",E3177="!!!",F3177="NEW"),"",COUNTBLANK(OFFSET(A$1,,,SUMPRODUCT(MAX(ROW(E$2:E3177)*(E3177=E$2:E3177)))))-COUNTBLANK(OFFSET(A$1,,,SUMPRODUCT(MAX(ROW(E$1:E3176)*(E2=E$1:E3176))))))</f>
        <v> </v>
      </c>
      <c r="K3177" s="25" t="str">
        <f>IF(OR(E3177="",E3177="!!!",F3177="NEW"),"",INDEX(J$1:J3176,SUMPRODUCT(MAX(ROW(E$1:E3176)*(E3177=E$1:E3176)))))</f>
        <v> </v>
      </c>
      <c r="L3177" s="26"/>
    </row>
    <row r="3178" spans="1:12">
      <c r="A3178" s="20" t="s">
        <v>751</v>
      </c>
      <c r="E3178" s="21">
        <f>IF(D3178="?OLD","!!!","")</f>
        <v/>
      </c>
      <c r="F3178" s="22" t="str">
        <f>IF(OR(E3178="",E3178="!!!"),"",IF(NOT(ISNA(VLOOKUP(E3178,E$1:E3177,1,FALSE()))),"OLD",IF(AND(E3178&lt;&gt;"",E3178&lt;&gt;"!!!"),"NEW","")))</f>
        <v> </v>
      </c>
      <c r="G3178" s="23" t="str">
        <f>IF(OR(E3178="",E3178="!!!"),"",IF(OR(J3178=0,AND(J3178=1,K3178=1),AND(J3178=1,I3178="SBJ"),AND(J3178=1,I3178=0)),"?IN_FOCUS",IF(J3178&lt;=2,"?ACTIVATED",IF(J3178&lt;&gt;"","?FAMILIAR",IF(F3178="NEW",IF(ISNA(VLOOKUP(E3178,#REF!,1,FALSE())),"?TYPE_IDENTIFIABLE","?REFERENTIAL"),"_")))))</f>
        <v> </v>
      </c>
      <c r="H3178" s="24" t="str">
        <f>IF(J3178&lt;&gt;1,"",IF(I3178="SBJ","CB","?"))</f>
        <v> </v>
      </c>
      <c r="I3178" s="25" t="str">
        <f>IF(OR(E3178="",E3178="!!!",F3178="NEW"),"",INDEX(B3177:B$2,-1+SUMPRODUCT(MAX(ROW(E3177:E$2)*(E3178=E3177:E$2)))))</f>
        <v> </v>
      </c>
      <c r="J3178" s="25" t="str">
        <f>IF(OR(E3178="",E3178="!!!",F3178="NEW"),"",COUNTBLANK(OFFSET(A$1,,,SUMPRODUCT(MAX(ROW(E$2:E3178)*(E3178=E$2:E3178)))))-COUNTBLANK(OFFSET(A$1,,,SUMPRODUCT(MAX(ROW(E$1:E3177)*(E2=E$1:E3177))))))</f>
        <v> </v>
      </c>
      <c r="K3178" s="25" t="str">
        <f>IF(OR(E3178="",E3178="!!!",F3178="NEW"),"",INDEX(J$1:J3177,SUMPRODUCT(MAX(ROW(E$1:E3177)*(E3178=E$1:E3177)))))</f>
        <v> </v>
      </c>
      <c r="L3178" s="26"/>
    </row>
    <row r="3179" spans="1:12">
      <c r="A3179" s="20" t="s">
        <v>647</v>
      </c>
      <c r="E3179" s="21">
        <f>IF(D3179="?OLD","!!!","")</f>
        <v/>
      </c>
      <c r="F3179" s="22" t="str">
        <f>IF(OR(E3179="",E3179="!!!"),"",IF(NOT(ISNA(VLOOKUP(E3179,E$1:E3178,1,FALSE()))),"OLD",IF(AND(E3179&lt;&gt;"",E3179&lt;&gt;"!!!"),"NEW","")))</f>
        <v> </v>
      </c>
      <c r="G3179" s="23" t="str">
        <f>IF(OR(E3179="",E3179="!!!"),"",IF(OR(J3179=0,AND(J3179=1,K3179=1),AND(J3179=1,I3179="SBJ"),AND(J3179=1,I3179=0)),"?IN_FOCUS",IF(J3179&lt;=2,"?ACTIVATED",IF(J3179&lt;&gt;"","?FAMILIAR",IF(F3179="NEW",IF(ISNA(VLOOKUP(E3179,#REF!,1,FALSE())),"?TYPE_IDENTIFIABLE","?REFERENTIAL"),"_")))))</f>
        <v> </v>
      </c>
      <c r="H3179" s="24" t="str">
        <f>IF(J3179&lt;&gt;1,"",IF(I3179="SBJ","CB","?"))</f>
        <v> </v>
      </c>
      <c r="I3179" s="25" t="str">
        <f>IF(OR(E3179="",E3179="!!!",F3179="NEW"),"",INDEX(B3178:B$2,-1+SUMPRODUCT(MAX(ROW(E3178:E$2)*(E3179=E3178:E$2)))))</f>
        <v> </v>
      </c>
      <c r="J3179" s="25" t="str">
        <f>IF(OR(E3179="",E3179="!!!",F3179="NEW"),"",COUNTBLANK(OFFSET(A$1,,,SUMPRODUCT(MAX(ROW(E$2:E3179)*(E3179=E$2:E3179)))))-COUNTBLANK(OFFSET(A$1,,,SUMPRODUCT(MAX(ROW(E$1:E3178)*(E2=E$1:E3178))))))</f>
        <v> </v>
      </c>
      <c r="K3179" s="25" t="str">
        <f>IF(OR(E3179="",E3179="!!!",F3179="NEW"),"",INDEX(J$1:J3178,SUMPRODUCT(MAX(ROW(E$1:E3178)*(E3179=E$1:E3178)))))</f>
        <v> </v>
      </c>
      <c r="L3179" s="26"/>
    </row>
    <row r="3180" spans="1:12">
      <c r="A3180" s="20" t="s">
        <v>1572</v>
      </c>
      <c r="E3180" s="21">
        <f>IF(D3180="?OLD","!!!","")</f>
        <v/>
      </c>
      <c r="F3180" s="22" t="str">
        <f>IF(OR(E3180="",E3180="!!!"),"",IF(NOT(ISNA(VLOOKUP(E3180,E$1:E3179,1,FALSE()))),"OLD",IF(AND(E3180&lt;&gt;"",E3180&lt;&gt;"!!!"),"NEW","")))</f>
        <v> </v>
      </c>
      <c r="G3180" s="23" t="str">
        <f>IF(OR(E3180="",E3180="!!!"),"",IF(OR(J3180=0,AND(J3180=1,K3180=1),AND(J3180=1,I3180="SBJ"),AND(J3180=1,I3180=0)),"?IN_FOCUS",IF(J3180&lt;=2,"?ACTIVATED",IF(J3180&lt;&gt;"","?FAMILIAR",IF(F3180="NEW",IF(ISNA(VLOOKUP(E3180,#REF!,1,FALSE())),"?TYPE_IDENTIFIABLE","?REFERENTIAL"),"_")))))</f>
        <v> </v>
      </c>
      <c r="H3180" s="24" t="str">
        <f>IF(J3180&lt;&gt;1,"",IF(I3180="SBJ","CB","?"))</f>
        <v> </v>
      </c>
      <c r="I3180" s="25" t="str">
        <f>IF(OR(E3180="",E3180="!!!",F3180="NEW"),"",INDEX(B3179:B$2,-1+SUMPRODUCT(MAX(ROW(E3179:E$2)*(E3180=E3179:E$2)))))</f>
        <v> </v>
      </c>
      <c r="J3180" s="25" t="str">
        <f>IF(OR(E3180="",E3180="!!!",F3180="NEW"),"",COUNTBLANK(OFFSET(A$1,,,SUMPRODUCT(MAX(ROW(E$2:E3180)*(E3180=E$2:E3180)))))-COUNTBLANK(OFFSET(A$1,,,SUMPRODUCT(MAX(ROW(E$1:E3179)*(E2=E$1:E3179))))))</f>
        <v> </v>
      </c>
      <c r="K3180" s="25" t="str">
        <f>IF(OR(E3180="",E3180="!!!",F3180="NEW"),"",INDEX(J$1:J3179,SUMPRODUCT(MAX(ROW(E$1:E3179)*(E3180=E$1:E3179)))))</f>
        <v> </v>
      </c>
      <c r="L3180" s="26"/>
    </row>
    <row r="3181" spans="1:12">
      <c r="A3181" s="20" t="s">
        <v>916</v>
      </c>
      <c r="E3181" s="21">
        <f>IF(D3181="?OLD","!!!","")</f>
        <v/>
      </c>
      <c r="F3181" s="22" t="str">
        <f>IF(OR(E3181="",E3181="!!!"),"",IF(NOT(ISNA(VLOOKUP(E3181,E$1:E3180,1,FALSE()))),"OLD",IF(AND(E3181&lt;&gt;"",E3181&lt;&gt;"!!!"),"NEW","")))</f>
        <v> </v>
      </c>
      <c r="G3181" s="23" t="str">
        <f>IF(OR(E3181="",E3181="!!!"),"",IF(OR(J3181=0,AND(J3181=1,K3181=1),AND(J3181=1,I3181="SBJ"),AND(J3181=1,I3181=0)),"?IN_FOCUS",IF(J3181&lt;=2,"?ACTIVATED",IF(J3181&lt;&gt;"","?FAMILIAR",IF(F3181="NEW",IF(ISNA(VLOOKUP(E3181,#REF!,1,FALSE())),"?TYPE_IDENTIFIABLE","?REFERENTIAL"),"_")))))</f>
        <v> </v>
      </c>
      <c r="H3181" s="24" t="str">
        <f>IF(J3181&lt;&gt;1,"",IF(I3181="SBJ","CB","?"))</f>
        <v> </v>
      </c>
      <c r="I3181" s="25" t="str">
        <f>IF(OR(E3181="",E3181="!!!",F3181="NEW"),"",INDEX(B3180:B$2,-1+SUMPRODUCT(MAX(ROW(E3180:E$2)*(E3181=E3180:E$2)))))</f>
        <v> </v>
      </c>
      <c r="J3181" s="25" t="str">
        <f>IF(OR(E3181="",E3181="!!!",F3181="NEW"),"",COUNTBLANK(OFFSET(A$1,,,SUMPRODUCT(MAX(ROW(E$2:E3181)*(E3181=E$2:E3181)))))-COUNTBLANK(OFFSET(A$1,,,SUMPRODUCT(MAX(ROW(E$1:E3180)*(E2=E$1:E3180))))))</f>
        <v> </v>
      </c>
      <c r="K3181" s="25" t="str">
        <f>IF(OR(E3181="",E3181="!!!",F3181="NEW"),"",INDEX(J$1:J3180,SUMPRODUCT(MAX(ROW(E$1:E3180)*(E3181=E$1:E3180)))))</f>
        <v> </v>
      </c>
      <c r="L3181" s="26"/>
    </row>
    <row r="3182" spans="1:12">
      <c r="A3182" s="20" t="s">
        <v>843</v>
      </c>
      <c r="E3182" s="21">
        <f>IF(D3182="?OLD","!!!","")</f>
        <v/>
      </c>
      <c r="F3182" s="22" t="str">
        <f>IF(OR(E3182="",E3182="!!!"),"",IF(NOT(ISNA(VLOOKUP(E3182,E$1:E3181,1,FALSE()))),"OLD",IF(AND(E3182&lt;&gt;"",E3182&lt;&gt;"!!!"),"NEW","")))</f>
        <v> </v>
      </c>
      <c r="G3182" s="23" t="str">
        <f>IF(OR(E3182="",E3182="!!!"),"",IF(OR(J3182=0,AND(J3182=1,K3182=1),AND(J3182=1,I3182="SBJ"),AND(J3182=1,I3182=0)),"?IN_FOCUS",IF(J3182&lt;=2,"?ACTIVATED",IF(J3182&lt;&gt;"","?FAMILIAR",IF(F3182="NEW",IF(ISNA(VLOOKUP(E3182,#REF!,1,FALSE())),"?TYPE_IDENTIFIABLE","?REFERENTIAL"),"_")))))</f>
        <v> </v>
      </c>
      <c r="H3182" s="24" t="str">
        <f>IF(J3182&lt;&gt;1,"",IF(I3182="SBJ","CB","?"))</f>
        <v> </v>
      </c>
      <c r="I3182" s="25" t="str">
        <f>IF(OR(E3182="",E3182="!!!",F3182="NEW"),"",INDEX(B3181:B$2,-1+SUMPRODUCT(MAX(ROW(E3181:E$2)*(E3182=E3181:E$2)))))</f>
        <v> </v>
      </c>
      <c r="J3182" s="25" t="str">
        <f>IF(OR(E3182="",E3182="!!!",F3182="NEW"),"",COUNTBLANK(OFFSET(A$1,,,SUMPRODUCT(MAX(ROW(E$2:E3182)*(E3182=E$2:E3182)))))-COUNTBLANK(OFFSET(A$1,,,SUMPRODUCT(MAX(ROW(E$1:E3181)*(E2=E$1:E3181))))))</f>
        <v> </v>
      </c>
      <c r="K3182" s="25" t="str">
        <f>IF(OR(E3182="",E3182="!!!",F3182="NEW"),"",INDEX(J$1:J3181,SUMPRODUCT(MAX(ROW(E$1:E3181)*(E3182=E$1:E3181)))))</f>
        <v> </v>
      </c>
      <c r="L3182" s="26"/>
    </row>
    <row r="3183" spans="1:12">
      <c r="A3183" s="20" t="s">
        <v>1570</v>
      </c>
      <c r="E3183" s="21">
        <f>IF(D3183="?OLD","!!!","")</f>
        <v/>
      </c>
      <c r="F3183" s="22" t="str">
        <f>IF(OR(E3183="",E3183="!!!"),"",IF(NOT(ISNA(VLOOKUP(E3183,E$1:E3182,1,FALSE()))),"OLD",IF(AND(E3183&lt;&gt;"",E3183&lt;&gt;"!!!"),"NEW","")))</f>
        <v> </v>
      </c>
      <c r="G3183" s="23" t="str">
        <f>IF(OR(E3183="",E3183="!!!"),"",IF(OR(J3183=0,AND(J3183=1,K3183=1),AND(J3183=1,I3183="SBJ"),AND(J3183=1,I3183=0)),"?IN_FOCUS",IF(J3183&lt;=2,"?ACTIVATED",IF(J3183&lt;&gt;"","?FAMILIAR",IF(F3183="NEW",IF(ISNA(VLOOKUP(E3183,#REF!,1,FALSE())),"?TYPE_IDENTIFIABLE","?REFERENTIAL"),"_")))))</f>
        <v> </v>
      </c>
      <c r="H3183" s="24" t="str">
        <f>IF(J3183&lt;&gt;1,"",IF(I3183="SBJ","CB","?"))</f>
        <v> </v>
      </c>
      <c r="I3183" s="25" t="str">
        <f>IF(OR(E3183="",E3183="!!!",F3183="NEW"),"",INDEX(B3182:B$2,-1+SUMPRODUCT(MAX(ROW(E3182:E$2)*(E3183=E3182:E$2)))))</f>
        <v> </v>
      </c>
      <c r="J3183" s="25" t="str">
        <f>IF(OR(E3183="",E3183="!!!",F3183="NEW"),"",COUNTBLANK(OFFSET(A$1,,,SUMPRODUCT(MAX(ROW(E$2:E3183)*(E3183=E$2:E3183)))))-COUNTBLANK(OFFSET(A$1,,,SUMPRODUCT(MAX(ROW(E$1:E3182)*(E2=E$1:E3182))))))</f>
        <v> </v>
      </c>
      <c r="K3183" s="25" t="str">
        <f>IF(OR(E3183="",E3183="!!!",F3183="NEW"),"",INDEX(J$1:J3182,SUMPRODUCT(MAX(ROW(E$1:E3182)*(E3183=E$1:E3182)))))</f>
        <v> </v>
      </c>
      <c r="L3183" s="26"/>
    </row>
    <row r="3184" spans="1:12">
      <c r="A3184" s="20" t="s">
        <v>196</v>
      </c>
      <c r="E3184" s="21">
        <f>IF(D3184="?OLD","!!!","")</f>
        <v/>
      </c>
      <c r="F3184" s="22" t="str">
        <f>IF(OR(E3184="",E3184="!!!"),"",IF(NOT(ISNA(VLOOKUP(E3184,E$1:E3183,1,FALSE()))),"OLD",IF(AND(E3184&lt;&gt;"",E3184&lt;&gt;"!!!"),"NEW","")))</f>
        <v> </v>
      </c>
      <c r="G3184" s="23" t="str">
        <f>IF(OR(E3184="",E3184="!!!"),"",IF(OR(J3184=0,AND(J3184=1,K3184=1),AND(J3184=1,I3184="SBJ"),AND(J3184=1,I3184=0)),"?IN_FOCUS",IF(J3184&lt;=2,"?ACTIVATED",IF(J3184&lt;&gt;"","?FAMILIAR",IF(F3184="NEW",IF(ISNA(VLOOKUP(E3184,#REF!,1,FALSE())),"?TYPE_IDENTIFIABLE","?REFERENTIAL"),"_")))))</f>
        <v> </v>
      </c>
      <c r="H3184" s="24" t="str">
        <f>IF(J3184&lt;&gt;1,"",IF(I3184="SBJ","CB","?"))</f>
        <v> </v>
      </c>
      <c r="I3184" s="25" t="str">
        <f>IF(OR(E3184="",E3184="!!!",F3184="NEW"),"",INDEX(B3183:B$2,-1+SUMPRODUCT(MAX(ROW(E3183:E$2)*(E3184=E3183:E$2)))))</f>
        <v> </v>
      </c>
      <c r="J3184" s="25" t="str">
        <f>IF(OR(E3184="",E3184="!!!",F3184="NEW"),"",COUNTBLANK(OFFSET(A$1,,,SUMPRODUCT(MAX(ROW(E$2:E3184)*(E3184=E$2:E3184)))))-COUNTBLANK(OFFSET(A$1,,,SUMPRODUCT(MAX(ROW(E$1:E3183)*(E2=E$1:E3183))))))</f>
        <v> </v>
      </c>
      <c r="K3184" s="25" t="str">
        <f>IF(OR(E3184="",E3184="!!!",F3184="NEW"),"",INDEX(J$1:J3183,SUMPRODUCT(MAX(ROW(E$1:E3183)*(E3184=E$1:E3183)))))</f>
        <v> </v>
      </c>
      <c r="L3184" s="26"/>
    </row>
    <row r="3185" spans="1:12">
      <c r="A3185" s="20" t="s">
        <v>856</v>
      </c>
      <c r="B3185" s="27" t="s">
        <v>583</v>
      </c>
      <c r="C3185" s="27" t="s">
        <v>584</v>
      </c>
      <c r="D3185" s="27" t="s">
        <v>524</v>
      </c>
      <c r="E3185" s="21">
        <f>IF(D3185="?OLD","!!!","")</f>
        <v/>
      </c>
      <c r="F3185" s="22" t="str">
        <f>IF(OR(E3185="",E3185="!!!"),"",IF(NOT(ISNA(VLOOKUP(E3185,E$1:E3184,1,FALSE()))),"OLD",IF(AND(E3185&lt;&gt;"",E3185&lt;&gt;"!!!"),"NEW","")))</f>
        <v> </v>
      </c>
      <c r="G3185" s="23" t="str">
        <f>IF(OR(E3185="",E3185="!!!"),"",IF(OR(J3185=0,AND(J3185=1,K3185=1),AND(J3185=1,I3185="SBJ"),AND(J3185=1,I3185=0)),"?IN_FOCUS",IF(J3185&lt;=2,"?ACTIVATED",IF(J3185&lt;&gt;"","?FAMILIAR",IF(F3185="NEW",IF(ISNA(VLOOKUP(E3185,#REF!,1,FALSE())),"?TYPE_IDENTIFIABLE","?REFERENTIAL"),"_")))))</f>
        <v> </v>
      </c>
      <c r="H3185" s="24" t="str">
        <f>IF(J3185&lt;&gt;1,"",IF(I3185="SBJ","CB","?"))</f>
        <v> </v>
      </c>
      <c r="I3185" s="25" t="str">
        <f>IF(OR(E3185="",E3185="!!!",F3185="NEW"),"",INDEX(B3184:B$2,-1+SUMPRODUCT(MAX(ROW(E3184:E$2)*(E3185=E3184:E$2)))))</f>
        <v> </v>
      </c>
      <c r="J3185" s="25" t="str">
        <f>IF(OR(E3185="",E3185="!!!",F3185="NEW"),"",COUNTBLANK(OFFSET(A$1,,,SUMPRODUCT(MAX(ROW(E$2:E3185)*(E3185=E$2:E3185)))))-COUNTBLANK(OFFSET(A$1,,,SUMPRODUCT(MAX(ROW(E$1:E3184)*(E2=E$1:E3184))))))</f>
        <v> </v>
      </c>
      <c r="K3185" s="25" t="str">
        <f>IF(OR(E3185="",E3185="!!!",F3185="NEW"),"",INDEX(J$1:J3184,SUMPRODUCT(MAX(ROW(E$1:E3184)*(E3185=E$1:E3184)))))</f>
        <v> </v>
      </c>
      <c r="L3185" s="26"/>
    </row>
    <row r="3186" spans="1:12">
      <c r="A3186" s="20" t="s">
        <v>625</v>
      </c>
      <c r="E3186" s="21">
        <f>IF(D3186="?OLD","!!!","")</f>
        <v/>
      </c>
      <c r="F3186" s="22" t="str">
        <f>IF(OR(E3186="",E3186="!!!"),"",IF(NOT(ISNA(VLOOKUP(E3186,E$1:E3185,1,FALSE()))),"OLD",IF(AND(E3186&lt;&gt;"",E3186&lt;&gt;"!!!"),"NEW","")))</f>
        <v> </v>
      </c>
      <c r="G3186" s="23" t="str">
        <f>IF(OR(E3186="",E3186="!!!"),"",IF(OR(J3186=0,AND(J3186=1,K3186=1),AND(J3186=1,I3186="SBJ"),AND(J3186=1,I3186=0)),"?IN_FOCUS",IF(J3186&lt;=2,"?ACTIVATED",IF(J3186&lt;&gt;"","?FAMILIAR",IF(F3186="NEW",IF(ISNA(VLOOKUP(E3186,#REF!,1,FALSE())),"?TYPE_IDENTIFIABLE","?REFERENTIAL"),"_")))))</f>
        <v> </v>
      </c>
      <c r="H3186" s="24" t="str">
        <f>IF(J3186&lt;&gt;1,"",IF(I3186="SBJ","CB","?"))</f>
        <v> </v>
      </c>
      <c r="I3186" s="25" t="str">
        <f>IF(OR(E3186="",E3186="!!!",F3186="NEW"),"",INDEX(B3185:B$2,-1+SUMPRODUCT(MAX(ROW(E3185:E$2)*(E3186=E3185:E$2)))))</f>
        <v> </v>
      </c>
      <c r="J3186" s="25" t="str">
        <f>IF(OR(E3186="",E3186="!!!",F3186="NEW"),"",COUNTBLANK(OFFSET(A$1,,,SUMPRODUCT(MAX(ROW(E$2:E3186)*(E3186=E$2:E3186)))))-COUNTBLANK(OFFSET(A$1,,,SUMPRODUCT(MAX(ROW(E$1:E3185)*(E2=E$1:E3185))))))</f>
        <v> </v>
      </c>
      <c r="K3186" s="25" t="str">
        <f>IF(OR(E3186="",E3186="!!!",F3186="NEW"),"",INDEX(J$1:J3185,SUMPRODUCT(MAX(ROW(E$1:E3185)*(E3186=E$1:E3185)))))</f>
        <v> </v>
      </c>
      <c r="L3186" s="26"/>
    </row>
    <row r="3187" spans="1:12">
      <c r="A3187" s="20" t="s">
        <v>827</v>
      </c>
      <c r="E3187" s="21">
        <f>IF(D3187="?OLD","!!!","")</f>
        <v/>
      </c>
      <c r="F3187" s="22" t="str">
        <f>IF(OR(E3187="",E3187="!!!"),"",IF(NOT(ISNA(VLOOKUP(E3187,E$1:E3186,1,FALSE()))),"OLD",IF(AND(E3187&lt;&gt;"",E3187&lt;&gt;"!!!"),"NEW","")))</f>
        <v> </v>
      </c>
      <c r="G3187" s="23" t="str">
        <f>IF(OR(E3187="",E3187="!!!"),"",IF(OR(J3187=0,AND(J3187=1,K3187=1),AND(J3187=1,I3187="SBJ"),AND(J3187=1,I3187=0)),"?IN_FOCUS",IF(J3187&lt;=2,"?ACTIVATED",IF(J3187&lt;&gt;"","?FAMILIAR",IF(F3187="NEW",IF(ISNA(VLOOKUP(E3187,#REF!,1,FALSE())),"?TYPE_IDENTIFIABLE","?REFERENTIAL"),"_")))))</f>
        <v> </v>
      </c>
      <c r="H3187" s="24" t="str">
        <f>IF(J3187&lt;&gt;1,"",IF(I3187="SBJ","CB","?"))</f>
        <v> </v>
      </c>
      <c r="I3187" s="25" t="str">
        <f>IF(OR(E3187="",E3187="!!!",F3187="NEW"),"",INDEX(B3186:B$2,-1+SUMPRODUCT(MAX(ROW(E3186:E$2)*(E3187=E3186:E$2)))))</f>
        <v> </v>
      </c>
      <c r="J3187" s="25" t="str">
        <f>IF(OR(E3187="",E3187="!!!",F3187="NEW"),"",COUNTBLANK(OFFSET(A$1,,,SUMPRODUCT(MAX(ROW(E$2:E3187)*(E3187=E$2:E3187)))))-COUNTBLANK(OFFSET(A$1,,,SUMPRODUCT(MAX(ROW(E$1:E3186)*(E2=E$1:E3186))))))</f>
        <v> </v>
      </c>
      <c r="K3187" s="25" t="str">
        <f>IF(OR(E3187="",E3187="!!!",F3187="NEW"),"",INDEX(J$1:J3186,SUMPRODUCT(MAX(ROW(E$1:E3186)*(E3187=E$1:E3186)))))</f>
        <v> </v>
      </c>
      <c r="L3187" s="26"/>
    </row>
    <row r="3188" spans="1:12">
      <c r="A3188" s="20" t="s">
        <v>542</v>
      </c>
      <c r="E3188" s="21">
        <f>IF(D3188="?OLD","!!!","")</f>
        <v/>
      </c>
      <c r="F3188" s="22" t="str">
        <f>IF(OR(E3188="",E3188="!!!"),"",IF(NOT(ISNA(VLOOKUP(E3188,E$1:E3187,1,FALSE()))),"OLD",IF(AND(E3188&lt;&gt;"",E3188&lt;&gt;"!!!"),"NEW","")))</f>
        <v> </v>
      </c>
      <c r="G3188" s="23" t="str">
        <f>IF(OR(E3188="",E3188="!!!"),"",IF(OR(J3188=0,AND(J3188=1,K3188=1),AND(J3188=1,I3188="SBJ"),AND(J3188=1,I3188=0)),"?IN_FOCUS",IF(J3188&lt;=2,"?ACTIVATED",IF(J3188&lt;&gt;"","?FAMILIAR",IF(F3188="NEW",IF(ISNA(VLOOKUP(E3188,#REF!,1,FALSE())),"?TYPE_IDENTIFIABLE","?REFERENTIAL"),"_")))))</f>
        <v> </v>
      </c>
      <c r="H3188" s="24" t="str">
        <f>IF(J3188&lt;&gt;1,"",IF(I3188="SBJ","CB","?"))</f>
        <v> </v>
      </c>
      <c r="I3188" s="25" t="str">
        <f>IF(OR(E3188="",E3188="!!!",F3188="NEW"),"",INDEX(B3187:B$2,-1+SUMPRODUCT(MAX(ROW(E3187:E$2)*(E3188=E3187:E$2)))))</f>
        <v> </v>
      </c>
      <c r="J3188" s="25" t="str">
        <f>IF(OR(E3188="",E3188="!!!",F3188="NEW"),"",COUNTBLANK(OFFSET(A$1,,,SUMPRODUCT(MAX(ROW(E$2:E3188)*(E3188=E$2:E3188)))))-COUNTBLANK(OFFSET(A$1,,,SUMPRODUCT(MAX(ROW(E$1:E3187)*(E2=E$1:E3187))))))</f>
        <v> </v>
      </c>
      <c r="K3188" s="25" t="str">
        <f>IF(OR(E3188="",E3188="!!!",F3188="NEW"),"",INDEX(J$1:J3187,SUMPRODUCT(MAX(ROW(E$1:E3187)*(E3188=E$1:E3187)))))</f>
        <v> </v>
      </c>
      <c r="L3188" s="26"/>
    </row>
    <row r="3189" spans="1:12">
      <c r="A3189" s="20" t="s">
        <v>1573</v>
      </c>
      <c r="B3189" s="27" t="s">
        <v>940</v>
      </c>
      <c r="C3189" s="27" t="s">
        <v>545</v>
      </c>
      <c r="D3189" s="27" t="s">
        <v>524</v>
      </c>
      <c r="E3189" s="21">
        <f>IF(D3189="?OLD","!!!","")</f>
        <v/>
      </c>
      <c r="F3189" s="22" t="str">
        <f>IF(OR(E3189="",E3189="!!!"),"",IF(NOT(ISNA(VLOOKUP(E3189,E$1:E3188,1,FALSE()))),"OLD",IF(AND(E3189&lt;&gt;"",E3189&lt;&gt;"!!!"),"NEW","")))</f>
        <v> </v>
      </c>
      <c r="G3189" s="23" t="str">
        <f>IF(OR(E3189="",E3189="!!!"),"",IF(OR(J3189=0,AND(J3189=1,K3189=1),AND(J3189=1,I3189="SBJ"),AND(J3189=1,I3189=0)),"?IN_FOCUS",IF(J3189&lt;=2,"?ACTIVATED",IF(J3189&lt;&gt;"","?FAMILIAR",IF(F3189="NEW",IF(ISNA(VLOOKUP(E3189,#REF!,1,FALSE())),"?TYPE_IDENTIFIABLE","?REFERENTIAL"),"_")))))</f>
        <v> </v>
      </c>
      <c r="H3189" s="24" t="str">
        <f>IF(J3189&lt;&gt;1,"",IF(I3189="SBJ","CB","?"))</f>
        <v> </v>
      </c>
      <c r="I3189" s="25" t="str">
        <f>IF(OR(E3189="",E3189="!!!",F3189="NEW"),"",INDEX(B3188:B$2,-1+SUMPRODUCT(MAX(ROW(E3188:E$2)*(E3189=E3188:E$2)))))</f>
        <v> </v>
      </c>
      <c r="J3189" s="25" t="str">
        <f>IF(OR(E3189="",E3189="!!!",F3189="NEW"),"",COUNTBLANK(OFFSET(A$1,,,SUMPRODUCT(MAX(ROW(E$2:E3189)*(E3189=E$2:E3189)))))-COUNTBLANK(OFFSET(A$1,,,SUMPRODUCT(MAX(ROW(E$1:E3188)*(E2=E$1:E3188))))))</f>
        <v> </v>
      </c>
      <c r="K3189" s="25" t="str">
        <f>IF(OR(E3189="",E3189="!!!",F3189="NEW"),"",INDEX(J$1:J3188,SUMPRODUCT(MAX(ROW(E$1:E3188)*(E3189=E$1:E3188)))))</f>
        <v> </v>
      </c>
      <c r="L3189" s="26"/>
    </row>
    <row r="3190" spans="1:12">
      <c r="A3190" s="20" t="s">
        <v>542</v>
      </c>
      <c r="E3190" s="21">
        <f>IF(D3190="?OLD","!!!","")</f>
        <v/>
      </c>
      <c r="F3190" s="22" t="str">
        <f>IF(OR(E3190="",E3190="!!!"),"",IF(NOT(ISNA(VLOOKUP(E3190,E$1:E3189,1,FALSE()))),"OLD",IF(AND(E3190&lt;&gt;"",E3190&lt;&gt;"!!!"),"NEW","")))</f>
        <v> </v>
      </c>
      <c r="G3190" s="23" t="str">
        <f>IF(OR(E3190="",E3190="!!!"),"",IF(OR(J3190=0,AND(J3190=1,K3190=1),AND(J3190=1,I3190="SBJ"),AND(J3190=1,I3190=0)),"?IN_FOCUS",IF(J3190&lt;=2,"?ACTIVATED",IF(J3190&lt;&gt;"","?FAMILIAR",IF(F3190="NEW",IF(ISNA(VLOOKUP(E3190,#REF!,1,FALSE())),"?TYPE_IDENTIFIABLE","?REFERENTIAL"),"_")))))</f>
        <v> </v>
      </c>
      <c r="H3190" s="24" t="str">
        <f>IF(J3190&lt;&gt;1,"",IF(I3190="SBJ","CB","?"))</f>
        <v> </v>
      </c>
      <c r="I3190" s="25" t="str">
        <f>IF(OR(E3190="",E3190="!!!",F3190="NEW"),"",INDEX(B3189:B$2,-1+SUMPRODUCT(MAX(ROW(E3189:E$2)*(E3190=E3189:E$2)))))</f>
        <v> </v>
      </c>
      <c r="J3190" s="25" t="str">
        <f>IF(OR(E3190="",E3190="!!!",F3190="NEW"),"",COUNTBLANK(OFFSET(A$1,,,SUMPRODUCT(MAX(ROW(E$2:E3190)*(E3190=E$2:E3190)))))-COUNTBLANK(OFFSET(A$1,,,SUMPRODUCT(MAX(ROW(E$1:E3189)*(E2=E$1:E3189))))))</f>
        <v> </v>
      </c>
      <c r="K3190" s="25" t="str">
        <f>IF(OR(E3190="",E3190="!!!",F3190="NEW"),"",INDEX(J$1:J3189,SUMPRODUCT(MAX(ROW(E$1:E3189)*(E3190=E$1:E3189)))))</f>
        <v> </v>
      </c>
      <c r="L3190" s="26"/>
    </row>
    <row r="3191" spans="1:12">
      <c r="A3191" s="20" t="s">
        <v>720</v>
      </c>
      <c r="B3191" s="27" t="s">
        <v>940</v>
      </c>
      <c r="C3191" s="27" t="s">
        <v>557</v>
      </c>
      <c r="E3191" s="21">
        <f>IF(D3191="?OLD","!!!","")</f>
        <v/>
      </c>
      <c r="F3191" s="22" t="str">
        <f>IF(OR(E3191="",E3191="!!!"),"",IF(NOT(ISNA(VLOOKUP(E3191,E$1:E3190,1,FALSE()))),"OLD",IF(AND(E3191&lt;&gt;"",E3191&lt;&gt;"!!!"),"NEW","")))</f>
        <v> </v>
      </c>
      <c r="G3191" s="23" t="str">
        <f>IF(OR(E3191="",E3191="!!!"),"",IF(OR(J3191=0,AND(J3191=1,K3191=1),AND(J3191=1,I3191="SBJ"),AND(J3191=1,I3191=0)),"?IN_FOCUS",IF(J3191&lt;=2,"?ACTIVATED",IF(J3191&lt;&gt;"","?FAMILIAR",IF(F3191="NEW",IF(ISNA(VLOOKUP(E3191,#REF!,1,FALSE())),"?TYPE_IDENTIFIABLE","?REFERENTIAL"),"_")))))</f>
        <v> </v>
      </c>
      <c r="H3191" s="24" t="str">
        <f>IF(J3191&lt;&gt;1,"",IF(I3191="SBJ","CB","?"))</f>
        <v> </v>
      </c>
      <c r="I3191" s="25" t="str">
        <f>IF(OR(E3191="",E3191="!!!",F3191="NEW"),"",INDEX(B3190:B$2,-1+SUMPRODUCT(MAX(ROW(E3190:E$2)*(E3191=E3190:E$2)))))</f>
        <v> </v>
      </c>
      <c r="J3191" s="25" t="str">
        <f>IF(OR(E3191="",E3191="!!!",F3191="NEW"),"",COUNTBLANK(OFFSET(A$1,,,SUMPRODUCT(MAX(ROW(E$2:E3191)*(E3191=E$2:E3191)))))-COUNTBLANK(OFFSET(A$1,,,SUMPRODUCT(MAX(ROW(E$1:E3190)*(E2=E$1:E3190))))))</f>
        <v> </v>
      </c>
      <c r="K3191" s="25" t="str">
        <f>IF(OR(E3191="",E3191="!!!",F3191="NEW"),"",INDEX(J$1:J3190,SUMPRODUCT(MAX(ROW(E$1:E3190)*(E3191=E$1:E3190)))))</f>
        <v> </v>
      </c>
      <c r="L3191" s="26"/>
    </row>
    <row r="3192" spans="1:12">
      <c r="A3192" s="20" t="s">
        <v>565</v>
      </c>
      <c r="E3192" s="21">
        <f>IF(D3192="?OLD","!!!","")</f>
        <v/>
      </c>
      <c r="F3192" s="22" t="str">
        <f>IF(OR(E3192="",E3192="!!!"),"",IF(NOT(ISNA(VLOOKUP(E3192,E$1:E3191,1,FALSE()))),"OLD",IF(AND(E3192&lt;&gt;"",E3192&lt;&gt;"!!!"),"NEW","")))</f>
        <v> </v>
      </c>
      <c r="G3192" s="23" t="str">
        <f>IF(OR(E3192="",E3192="!!!"),"",IF(OR(J3192=0,AND(J3192=1,K3192=1),AND(J3192=1,I3192="SBJ"),AND(J3192=1,I3192=0)),"?IN_FOCUS",IF(J3192&lt;=2,"?ACTIVATED",IF(J3192&lt;&gt;"","?FAMILIAR",IF(F3192="NEW",IF(ISNA(VLOOKUP(E3192,#REF!,1,FALSE())),"?TYPE_IDENTIFIABLE","?REFERENTIAL"),"_")))))</f>
        <v> </v>
      </c>
      <c r="H3192" s="24" t="str">
        <f>IF(J3192&lt;&gt;1,"",IF(I3192="SBJ","CB","?"))</f>
        <v> </v>
      </c>
      <c r="I3192" s="25" t="str">
        <f>IF(OR(E3192="",E3192="!!!",F3192="NEW"),"",INDEX(B3191:B$2,-1+SUMPRODUCT(MAX(ROW(E3191:E$2)*(E3192=E3191:E$2)))))</f>
        <v> </v>
      </c>
      <c r="J3192" s="25" t="str">
        <f>IF(OR(E3192="",E3192="!!!",F3192="NEW"),"",COUNTBLANK(OFFSET(A$1,,,SUMPRODUCT(MAX(ROW(E$2:E3192)*(E3192=E$2:E3192)))))-COUNTBLANK(OFFSET(A$1,,,SUMPRODUCT(MAX(ROW(E$1:E3191)*(E2=E$1:E3191))))))</f>
        <v> </v>
      </c>
      <c r="K3192" s="25" t="str">
        <f>IF(OR(E3192="",E3192="!!!",F3192="NEW"),"",INDEX(J$1:J3191,SUMPRODUCT(MAX(ROW(E$1:E3191)*(E3192=E$1:E3191)))))</f>
        <v> </v>
      </c>
      <c r="L3192" s="26"/>
    </row>
    <row r="3193" spans="1:12">
      <c r="A3193" s="20" t="s">
        <v>577</v>
      </c>
      <c r="E3193" s="21">
        <f>IF(D3193="?OLD","!!!","")</f>
        <v/>
      </c>
      <c r="F3193" s="22" t="str">
        <f>IF(OR(E3193="",E3193="!!!"),"",IF(NOT(ISNA(VLOOKUP(E3193,E$1:E3192,1,FALSE()))),"OLD",IF(AND(E3193&lt;&gt;"",E3193&lt;&gt;"!!!"),"NEW","")))</f>
        <v> </v>
      </c>
      <c r="G3193" s="23" t="str">
        <f>IF(OR(E3193="",E3193="!!!"),"",IF(OR(J3193=0,AND(J3193=1,K3193=1),AND(J3193=1,I3193="SBJ"),AND(J3193=1,I3193=0)),"?IN_FOCUS",IF(J3193&lt;=2,"?ACTIVATED",IF(J3193&lt;&gt;"","?FAMILIAR",IF(F3193="NEW",IF(ISNA(VLOOKUP(E3193,#REF!,1,FALSE())),"?TYPE_IDENTIFIABLE","?REFERENTIAL"),"_")))))</f>
        <v> </v>
      </c>
      <c r="H3193" s="24" t="str">
        <f>IF(J3193&lt;&gt;1,"",IF(I3193="SBJ","CB","?"))</f>
        <v> </v>
      </c>
      <c r="I3193" s="25" t="str">
        <f>IF(OR(E3193="",E3193="!!!",F3193="NEW"),"",INDEX(B3192:B$2,-1+SUMPRODUCT(MAX(ROW(E3192:E$2)*(E3193=E3192:E$2)))))</f>
        <v> </v>
      </c>
      <c r="J3193" s="25" t="str">
        <f>IF(OR(E3193="",E3193="!!!",F3193="NEW"),"",COUNTBLANK(OFFSET(A$1,,,SUMPRODUCT(MAX(ROW(E$2:E3193)*(E3193=E$2:E3193)))))-COUNTBLANK(OFFSET(A$1,,,SUMPRODUCT(MAX(ROW(E$1:E3192)*(E2=E$1:E3192))))))</f>
        <v> </v>
      </c>
      <c r="K3193" s="25" t="str">
        <f>IF(OR(E3193="",E3193="!!!",F3193="NEW"),"",INDEX(J$1:J3192,SUMPRODUCT(MAX(ROW(E$1:E3192)*(E3193=E$1:E3192)))))</f>
        <v> </v>
      </c>
      <c r="L3193" s="26"/>
    </row>
    <row r="3194" spans="1:12">
      <c r="A3194" s="20" t="s">
        <v>538</v>
      </c>
      <c r="E3194" s="21">
        <f>IF(D3194="?OLD","!!!","")</f>
        <v/>
      </c>
      <c r="F3194" s="22" t="str">
        <f>IF(OR(E3194="",E3194="!!!"),"",IF(NOT(ISNA(VLOOKUP(E3194,E$1:E3193,1,FALSE()))),"OLD",IF(AND(E3194&lt;&gt;"",E3194&lt;&gt;"!!!"),"NEW","")))</f>
        <v> </v>
      </c>
      <c r="G3194" s="23" t="str">
        <f>IF(OR(E3194="",E3194="!!!"),"",IF(OR(J3194=0,AND(J3194=1,K3194=1),AND(J3194=1,I3194="SBJ"),AND(J3194=1,I3194=0)),"?IN_FOCUS",IF(J3194&lt;=2,"?ACTIVATED",IF(J3194&lt;&gt;"","?FAMILIAR",IF(F3194="NEW",IF(ISNA(VLOOKUP(E3194,#REF!,1,FALSE())),"?TYPE_IDENTIFIABLE","?REFERENTIAL"),"_")))))</f>
        <v> </v>
      </c>
      <c r="H3194" s="24" t="str">
        <f>IF(J3194&lt;&gt;1,"",IF(I3194="SBJ","CB","?"))</f>
        <v> </v>
      </c>
      <c r="I3194" s="25" t="str">
        <f>IF(OR(E3194="",E3194="!!!",F3194="NEW"),"",INDEX(B3193:B$2,-1+SUMPRODUCT(MAX(ROW(E3193:E$2)*(E3194=E3193:E$2)))))</f>
        <v> </v>
      </c>
      <c r="J3194" s="25" t="str">
        <f>IF(OR(E3194="",E3194="!!!",F3194="NEW"),"",COUNTBLANK(OFFSET(A$1,,,SUMPRODUCT(MAX(ROW(E$2:E3194)*(E3194=E$2:E3194)))))-COUNTBLANK(OFFSET(A$1,,,SUMPRODUCT(MAX(ROW(E$1:E3193)*(E2=E$1:E3193))))))</f>
        <v> </v>
      </c>
      <c r="K3194" s="25" t="str">
        <f>IF(OR(E3194="",E3194="!!!",F3194="NEW"),"",INDEX(J$1:J3193,SUMPRODUCT(MAX(ROW(E$1:E3193)*(E3194=E$1:E3193)))))</f>
        <v> </v>
      </c>
      <c r="L3194" s="26"/>
    </row>
    <row r="3195" spans="1:12">
      <c r="A3195" s="20" t="s">
        <v>1574</v>
      </c>
      <c r="B3195" s="27" t="s">
        <v>658</v>
      </c>
      <c r="C3195" s="27" t="s">
        <v>527</v>
      </c>
      <c r="E3195" s="21">
        <f>IF(D3195="?OLD","!!!","")</f>
        <v/>
      </c>
      <c r="F3195" s="22" t="str">
        <f>IF(OR(E3195="",E3195="!!!"),"",IF(NOT(ISNA(VLOOKUP(E3195,E$1:E3194,1,FALSE()))),"OLD",IF(AND(E3195&lt;&gt;"",E3195&lt;&gt;"!!!"),"NEW","")))</f>
        <v> </v>
      </c>
      <c r="G3195" s="23" t="str">
        <f>IF(OR(E3195="",E3195="!!!"),"",IF(OR(J3195=0,AND(J3195=1,K3195=1),AND(J3195=1,I3195="SBJ"),AND(J3195=1,I3195=0)),"?IN_FOCUS",IF(J3195&lt;=2,"?ACTIVATED",IF(J3195&lt;&gt;"","?FAMILIAR",IF(F3195="NEW",IF(ISNA(VLOOKUP(E3195,#REF!,1,FALSE())),"?TYPE_IDENTIFIABLE","?REFERENTIAL"),"_")))))</f>
        <v> </v>
      </c>
      <c r="H3195" s="24" t="str">
        <f>IF(J3195&lt;&gt;1,"",IF(I3195="SBJ","CB","?"))</f>
        <v> </v>
      </c>
      <c r="I3195" s="25" t="str">
        <f>IF(OR(E3195="",E3195="!!!",F3195="NEW"),"",INDEX(B3194:B$2,-1+SUMPRODUCT(MAX(ROW(E3194:E$2)*(E3195=E3194:E$2)))))</f>
        <v> </v>
      </c>
      <c r="J3195" s="25" t="str">
        <f>IF(OR(E3195="",E3195="!!!",F3195="NEW"),"",COUNTBLANK(OFFSET(A$1,,,SUMPRODUCT(MAX(ROW(E$2:E3195)*(E3195=E$2:E3195)))))-COUNTBLANK(OFFSET(A$1,,,SUMPRODUCT(MAX(ROW(E$1:E3194)*(E2=E$1:E3194))))))</f>
        <v> </v>
      </c>
      <c r="K3195" s="25" t="str">
        <f>IF(OR(E3195="",E3195="!!!",F3195="NEW"),"",INDEX(J$1:J3194,SUMPRODUCT(MAX(ROW(E$1:E3194)*(E3195=E$1:E3194)))))</f>
        <v> </v>
      </c>
      <c r="L3195" s="26"/>
    </row>
    <row r="3196" spans="1:12">
      <c r="A3196" s="20" t="s">
        <v>1575</v>
      </c>
      <c r="E3196" s="21">
        <f>IF(D3196="?OLD","!!!","")</f>
        <v/>
      </c>
      <c r="F3196" s="22" t="str">
        <f>IF(OR(E3196="",E3196="!!!"),"",IF(NOT(ISNA(VLOOKUP(E3196,E$1:E3195,1,FALSE()))),"OLD",IF(AND(E3196&lt;&gt;"",E3196&lt;&gt;"!!!"),"NEW","")))</f>
        <v> </v>
      </c>
      <c r="G3196" s="23" t="str">
        <f>IF(OR(E3196="",E3196="!!!"),"",IF(OR(J3196=0,AND(J3196=1,K3196=1),AND(J3196=1,I3196="SBJ"),AND(J3196=1,I3196=0)),"?IN_FOCUS",IF(J3196&lt;=2,"?ACTIVATED",IF(J3196&lt;&gt;"","?FAMILIAR",IF(F3196="NEW",IF(ISNA(VLOOKUP(E3196,#REF!,1,FALSE())),"?TYPE_IDENTIFIABLE","?REFERENTIAL"),"_")))))</f>
        <v> </v>
      </c>
      <c r="H3196" s="24" t="str">
        <f>IF(J3196&lt;&gt;1,"",IF(I3196="SBJ","CB","?"))</f>
        <v> </v>
      </c>
      <c r="I3196" s="25" t="str">
        <f>IF(OR(E3196="",E3196="!!!",F3196="NEW"),"",INDEX(B3195:B$2,-1+SUMPRODUCT(MAX(ROW(E3195:E$2)*(E3196=E3195:E$2)))))</f>
        <v> </v>
      </c>
      <c r="J3196" s="25" t="str">
        <f>IF(OR(E3196="",E3196="!!!",F3196="NEW"),"",COUNTBLANK(OFFSET(A$1,,,SUMPRODUCT(MAX(ROW(E$2:E3196)*(E3196=E$2:E3196)))))-COUNTBLANK(OFFSET(A$1,,,SUMPRODUCT(MAX(ROW(E$1:E3195)*(E2=E$1:E3195))))))</f>
        <v> </v>
      </c>
      <c r="K3196" s="25" t="str">
        <f>IF(OR(E3196="",E3196="!!!",F3196="NEW"),"",INDEX(J$1:J3195,SUMPRODUCT(MAX(ROW(E$1:E3195)*(E3196=E$1:E3195)))))</f>
        <v> </v>
      </c>
      <c r="L3196" s="26"/>
    </row>
    <row r="3197" spans="1:12">
      <c r="A3197" s="20" t="s">
        <v>565</v>
      </c>
      <c r="E3197" s="21">
        <f>IF(D3197="?OLD","!!!","")</f>
        <v/>
      </c>
      <c r="F3197" s="22" t="str">
        <f>IF(OR(E3197="",E3197="!!!"),"",IF(NOT(ISNA(VLOOKUP(E3197,E$1:E3196,1,FALSE()))),"OLD",IF(AND(E3197&lt;&gt;"",E3197&lt;&gt;"!!!"),"NEW","")))</f>
        <v> </v>
      </c>
      <c r="G3197" s="23" t="str">
        <f>IF(OR(E3197="",E3197="!!!"),"",IF(OR(J3197=0,AND(J3197=1,K3197=1),AND(J3197=1,I3197="SBJ"),AND(J3197=1,I3197=0)),"?IN_FOCUS",IF(J3197&lt;=2,"?ACTIVATED",IF(J3197&lt;&gt;"","?FAMILIAR",IF(F3197="NEW",IF(ISNA(VLOOKUP(E3197,#REF!,1,FALSE())),"?TYPE_IDENTIFIABLE","?REFERENTIAL"),"_")))))</f>
        <v> </v>
      </c>
      <c r="H3197" s="24" t="str">
        <f>IF(J3197&lt;&gt;1,"",IF(I3197="SBJ","CB","?"))</f>
        <v> </v>
      </c>
      <c r="I3197" s="25" t="str">
        <f>IF(OR(E3197="",E3197="!!!",F3197="NEW"),"",INDEX(B3196:B$2,-1+SUMPRODUCT(MAX(ROW(E3196:E$2)*(E3197=E3196:E$2)))))</f>
        <v> </v>
      </c>
      <c r="J3197" s="25" t="str">
        <f>IF(OR(E3197="",E3197="!!!",F3197="NEW"),"",COUNTBLANK(OFFSET(A$1,,,SUMPRODUCT(MAX(ROW(E$2:E3197)*(E3197=E$2:E3197)))))-COUNTBLANK(OFFSET(A$1,,,SUMPRODUCT(MAX(ROW(E$1:E3196)*(E2=E$1:E3196))))))</f>
        <v> </v>
      </c>
      <c r="K3197" s="25" t="str">
        <f>IF(OR(E3197="",E3197="!!!",F3197="NEW"),"",INDEX(J$1:J3196,SUMPRODUCT(MAX(ROW(E$1:E3196)*(E3197=E$1:E3196)))))</f>
        <v> </v>
      </c>
      <c r="L3197" s="26"/>
    </row>
    <row r="3198" spans="1:12">
      <c r="A3198" s="20" t="s">
        <v>1201</v>
      </c>
      <c r="E3198" s="21">
        <f>IF(D3198="?OLD","!!!","")</f>
        <v/>
      </c>
      <c r="F3198" s="22" t="str">
        <f>IF(OR(E3198="",E3198="!!!"),"",IF(NOT(ISNA(VLOOKUP(E3198,E$1:E3197,1,FALSE()))),"OLD",IF(AND(E3198&lt;&gt;"",E3198&lt;&gt;"!!!"),"NEW","")))</f>
        <v> </v>
      </c>
      <c r="G3198" s="23" t="str">
        <f>IF(OR(E3198="",E3198="!!!"),"",IF(OR(J3198=0,AND(J3198=1,K3198=1),AND(J3198=1,I3198="SBJ"),AND(J3198=1,I3198=0)),"?IN_FOCUS",IF(J3198&lt;=2,"?ACTIVATED",IF(J3198&lt;&gt;"","?FAMILIAR",IF(F3198="NEW",IF(ISNA(VLOOKUP(E3198,#REF!,1,FALSE())),"?TYPE_IDENTIFIABLE","?REFERENTIAL"),"_")))))</f>
        <v> </v>
      </c>
      <c r="H3198" s="24" t="str">
        <f>IF(J3198&lt;&gt;1,"",IF(I3198="SBJ","CB","?"))</f>
        <v> </v>
      </c>
      <c r="I3198" s="25" t="str">
        <f>IF(OR(E3198="",E3198="!!!",F3198="NEW"),"",INDEX(B3197:B$2,-1+SUMPRODUCT(MAX(ROW(E3197:E$2)*(E3198=E3197:E$2)))))</f>
        <v> </v>
      </c>
      <c r="J3198" s="25" t="str">
        <f>IF(OR(E3198="",E3198="!!!",F3198="NEW"),"",COUNTBLANK(OFFSET(A$1,,,SUMPRODUCT(MAX(ROW(E$2:E3198)*(E3198=E$2:E3198)))))-COUNTBLANK(OFFSET(A$1,,,SUMPRODUCT(MAX(ROW(E$1:E3197)*(E2=E$1:E3197))))))</f>
        <v> </v>
      </c>
      <c r="K3198" s="25" t="str">
        <f>IF(OR(E3198="",E3198="!!!",F3198="NEW"),"",INDEX(J$1:J3197,SUMPRODUCT(MAX(ROW(E$1:E3197)*(E3198=E$1:E3197)))))</f>
        <v> </v>
      </c>
      <c r="L3198" s="26"/>
    </row>
    <row r="3199" spans="1:12">
      <c r="A3199" s="20" t="s">
        <v>542</v>
      </c>
      <c r="E3199" s="21">
        <f>IF(D3199="?OLD","!!!","")</f>
        <v/>
      </c>
      <c r="F3199" s="22" t="str">
        <f>IF(OR(E3199="",E3199="!!!"),"",IF(NOT(ISNA(VLOOKUP(E3199,E$1:E3198,1,FALSE()))),"OLD",IF(AND(E3199&lt;&gt;"",E3199&lt;&gt;"!!!"),"NEW","")))</f>
        <v> </v>
      </c>
      <c r="G3199" s="23" t="str">
        <f>IF(OR(E3199="",E3199="!!!"),"",IF(OR(J3199=0,AND(J3199=1,K3199=1),AND(J3199=1,I3199="SBJ"),AND(J3199=1,I3199=0)),"?IN_FOCUS",IF(J3199&lt;=2,"?ACTIVATED",IF(J3199&lt;&gt;"","?FAMILIAR",IF(F3199="NEW",IF(ISNA(VLOOKUP(E3199,#REF!,1,FALSE())),"?TYPE_IDENTIFIABLE","?REFERENTIAL"),"_")))))</f>
        <v> </v>
      </c>
      <c r="H3199" s="24" t="str">
        <f>IF(J3199&lt;&gt;1,"",IF(I3199="SBJ","CB","?"))</f>
        <v> </v>
      </c>
      <c r="I3199" s="25" t="str">
        <f>IF(OR(E3199="",E3199="!!!",F3199="NEW"),"",INDEX(B3198:B$2,-1+SUMPRODUCT(MAX(ROW(E3198:E$2)*(E3199=E3198:E$2)))))</f>
        <v> </v>
      </c>
      <c r="J3199" s="25" t="str">
        <f>IF(OR(E3199="",E3199="!!!",F3199="NEW"),"",COUNTBLANK(OFFSET(A$1,,,SUMPRODUCT(MAX(ROW(E$2:E3199)*(E3199=E$2:E3199)))))-COUNTBLANK(OFFSET(A$1,,,SUMPRODUCT(MAX(ROW(E$1:E3198)*(E2=E$1:E3198))))))</f>
        <v> </v>
      </c>
      <c r="K3199" s="25" t="str">
        <f>IF(OR(E3199="",E3199="!!!",F3199="NEW"),"",INDEX(J$1:J3198,SUMPRODUCT(MAX(ROW(E$1:E3198)*(E3199=E$1:E3198)))))</f>
        <v> </v>
      </c>
      <c r="L3199" s="26"/>
    </row>
    <row r="3200" spans="1:12">
      <c r="A3200" s="20" t="s">
        <v>1576</v>
      </c>
      <c r="E3200" s="21">
        <f>IF(D3200="?OLD","!!!","")</f>
        <v/>
      </c>
      <c r="F3200" s="22" t="str">
        <f>IF(OR(E3200="",E3200="!!!"),"",IF(NOT(ISNA(VLOOKUP(E3200,E$1:E3199,1,FALSE()))),"OLD",IF(AND(E3200&lt;&gt;"",E3200&lt;&gt;"!!!"),"NEW","")))</f>
        <v> </v>
      </c>
      <c r="G3200" s="23" t="str">
        <f>IF(OR(E3200="",E3200="!!!"),"",IF(OR(J3200=0,AND(J3200=1,K3200=1),AND(J3200=1,I3200="SBJ"),AND(J3200=1,I3200=0)),"?IN_FOCUS",IF(J3200&lt;=2,"?ACTIVATED",IF(J3200&lt;&gt;"","?FAMILIAR",IF(F3200="NEW",IF(ISNA(VLOOKUP(E3200,#REF!,1,FALSE())),"?TYPE_IDENTIFIABLE","?REFERENTIAL"),"_")))))</f>
        <v> </v>
      </c>
      <c r="H3200" s="24" t="str">
        <f>IF(J3200&lt;&gt;1,"",IF(I3200="SBJ","CB","?"))</f>
        <v> </v>
      </c>
      <c r="I3200" s="25" t="str">
        <f>IF(OR(E3200="",E3200="!!!",F3200="NEW"),"",INDEX(B3199:B$2,-1+SUMPRODUCT(MAX(ROW(E3199:E$2)*(E3200=E3199:E$2)))))</f>
        <v> </v>
      </c>
      <c r="J3200" s="25" t="str">
        <f>IF(OR(E3200="",E3200="!!!",F3200="NEW"),"",COUNTBLANK(OFFSET(A$1,,,SUMPRODUCT(MAX(ROW(E$2:E3200)*(E3200=E$2:E3200)))))-COUNTBLANK(OFFSET(A$1,,,SUMPRODUCT(MAX(ROW(E$1:E3199)*(E2=E$1:E3199))))))</f>
        <v> </v>
      </c>
      <c r="K3200" s="25" t="str">
        <f>IF(OR(E3200="",E3200="!!!",F3200="NEW"),"",INDEX(J$1:J3199,SUMPRODUCT(MAX(ROW(E$1:E3199)*(E3200=E$1:E3199)))))</f>
        <v> </v>
      </c>
      <c r="L3200" s="26"/>
    </row>
    <row r="3201" spans="1:12">
      <c r="A3201" s="20" t="s">
        <v>1169</v>
      </c>
      <c r="E3201" s="21">
        <f>IF(D3201="?OLD","!!!","")</f>
        <v/>
      </c>
      <c r="F3201" s="22" t="str">
        <f>IF(OR(E3201="",E3201="!!!"),"",IF(NOT(ISNA(VLOOKUP(E3201,E$1:E3200,1,FALSE()))),"OLD",IF(AND(E3201&lt;&gt;"",E3201&lt;&gt;"!!!"),"NEW","")))</f>
        <v> </v>
      </c>
      <c r="G3201" s="23" t="str">
        <f>IF(OR(E3201="",E3201="!!!"),"",IF(OR(J3201=0,AND(J3201=1,K3201=1),AND(J3201=1,I3201="SBJ"),AND(J3201=1,I3201=0)),"?IN_FOCUS",IF(J3201&lt;=2,"?ACTIVATED",IF(J3201&lt;&gt;"","?FAMILIAR",IF(F3201="NEW",IF(ISNA(VLOOKUP(E3201,#REF!,1,FALSE())),"?TYPE_IDENTIFIABLE","?REFERENTIAL"),"_")))))</f>
        <v> </v>
      </c>
      <c r="H3201" s="24" t="str">
        <f>IF(J3201&lt;&gt;1,"",IF(I3201="SBJ","CB","?"))</f>
        <v> </v>
      </c>
      <c r="I3201" s="25" t="str">
        <f>IF(OR(E3201="",E3201="!!!",F3201="NEW"),"",INDEX(B3200:B$2,-1+SUMPRODUCT(MAX(ROW(E3200:E$2)*(E3201=E3200:E$2)))))</f>
        <v> </v>
      </c>
      <c r="J3201" s="25" t="str">
        <f>IF(OR(E3201="",E3201="!!!",F3201="NEW"),"",COUNTBLANK(OFFSET(A$1,,,SUMPRODUCT(MAX(ROW(E$2:E3201)*(E3201=E$2:E3201)))))-COUNTBLANK(OFFSET(A$1,,,SUMPRODUCT(MAX(ROW(E$1:E3200)*(E2=E$1:E3200))))))</f>
        <v> </v>
      </c>
      <c r="K3201" s="25" t="str">
        <f>IF(OR(E3201="",E3201="!!!",F3201="NEW"),"",INDEX(J$1:J3200,SUMPRODUCT(MAX(ROW(E$1:E3200)*(E3201=E$1:E3200)))))</f>
        <v> </v>
      </c>
      <c r="L3201" s="26"/>
    </row>
    <row r="3202" spans="1:12">
      <c r="A3202" s="20" t="s">
        <v>718</v>
      </c>
      <c r="B3202" s="27" t="s">
        <v>522</v>
      </c>
      <c r="C3202" s="27" t="s">
        <v>637</v>
      </c>
      <c r="D3202" s="27" t="s">
        <v>524</v>
      </c>
      <c r="E3202" s="21">
        <f>IF(D3202="?OLD","!!!","")</f>
        <v/>
      </c>
      <c r="F3202" s="22" t="str">
        <f>IF(OR(E3202="",E3202="!!!"),"",IF(NOT(ISNA(VLOOKUP(E3202,E$1:E3201,1,FALSE()))),"OLD",IF(AND(E3202&lt;&gt;"",E3202&lt;&gt;"!!!"),"NEW","")))</f>
        <v> </v>
      </c>
      <c r="G3202" s="23" t="str">
        <f>IF(OR(E3202="",E3202="!!!"),"",IF(OR(J3202=0,AND(J3202=1,K3202=1),AND(J3202=1,I3202="SBJ"),AND(J3202=1,I3202=0)),"?IN_FOCUS",IF(J3202&lt;=2,"?ACTIVATED",IF(J3202&lt;&gt;"","?FAMILIAR",IF(F3202="NEW",IF(ISNA(VLOOKUP(E3202,#REF!,1,FALSE())),"?TYPE_IDENTIFIABLE","?REFERENTIAL"),"_")))))</f>
        <v> </v>
      </c>
      <c r="H3202" s="24" t="str">
        <f>IF(J3202&lt;&gt;1,"",IF(I3202="SBJ","CB","?"))</f>
        <v> </v>
      </c>
      <c r="I3202" s="25" t="str">
        <f>IF(OR(E3202="",E3202="!!!",F3202="NEW"),"",INDEX(B3201:B$2,-1+SUMPRODUCT(MAX(ROW(E3201:E$2)*(E3202=E3201:E$2)))))</f>
        <v> </v>
      </c>
      <c r="J3202" s="25" t="str">
        <f>IF(OR(E3202="",E3202="!!!",F3202="NEW"),"",COUNTBLANK(OFFSET(A$1,,,SUMPRODUCT(MAX(ROW(E$2:E3202)*(E3202=E$2:E3202)))))-COUNTBLANK(OFFSET(A$1,,,SUMPRODUCT(MAX(ROW(E$1:E3201)*(E2=E$1:E3201))))))</f>
        <v> </v>
      </c>
      <c r="K3202" s="25" t="str">
        <f>IF(OR(E3202="",E3202="!!!",F3202="NEW"),"",INDEX(J$1:J3201,SUMPRODUCT(MAX(ROW(E$1:E3201)*(E3202=E$1:E3201)))))</f>
        <v> </v>
      </c>
      <c r="L3202" s="26"/>
    </row>
    <row r="3203" spans="1:12">
      <c r="A3203" s="20" t="s">
        <v>518</v>
      </c>
      <c r="E3203" s="21">
        <f>IF(D3203="?OLD","!!!","")</f>
        <v/>
      </c>
      <c r="F3203" s="22" t="str">
        <f>IF(OR(E3203="",E3203="!!!"),"",IF(NOT(ISNA(VLOOKUP(E3203,E$1:E3202,1,FALSE()))),"OLD",IF(AND(E3203&lt;&gt;"",E3203&lt;&gt;"!!!"),"NEW","")))</f>
        <v> </v>
      </c>
      <c r="G3203" s="23" t="str">
        <f>IF(OR(E3203="",E3203="!!!"),"",IF(OR(J3203=0,AND(J3203=1,K3203=1),AND(J3203=1,I3203="SBJ"),AND(J3203=1,I3203=0)),"?IN_FOCUS",IF(J3203&lt;=2,"?ACTIVATED",IF(J3203&lt;&gt;"","?FAMILIAR",IF(F3203="NEW",IF(ISNA(VLOOKUP(E3203,#REF!,1,FALSE())),"?TYPE_IDENTIFIABLE","?REFERENTIAL"),"_")))))</f>
        <v> </v>
      </c>
      <c r="H3203" s="24" t="str">
        <f>IF(J3203&lt;&gt;1,"",IF(I3203="SBJ","CB","?"))</f>
        <v> </v>
      </c>
      <c r="I3203" s="25" t="str">
        <f>IF(OR(E3203="",E3203="!!!",F3203="NEW"),"",INDEX(B3202:B$2,-1+SUMPRODUCT(MAX(ROW(E3202:E$2)*(E3203=E3202:E$2)))))</f>
        <v> </v>
      </c>
      <c r="J3203" s="25" t="str">
        <f>IF(OR(E3203="",E3203="!!!",F3203="NEW"),"",COUNTBLANK(OFFSET(A$1,,,SUMPRODUCT(MAX(ROW(E$2:E3203)*(E3203=E$2:E3203)))))-COUNTBLANK(OFFSET(A$1,,,SUMPRODUCT(MAX(ROW(E$1:E3202)*(E2=E$1:E3202))))))</f>
        <v> </v>
      </c>
      <c r="K3203" s="25" t="str">
        <f>IF(OR(E3203="",E3203="!!!",F3203="NEW"),"",INDEX(J$1:J3202,SUMPRODUCT(MAX(ROW(E$1:E3202)*(E3203=E$1:E3202)))))</f>
        <v> </v>
      </c>
      <c r="L3203" s="26"/>
    </row>
    <row r="3204" spans="1:12">
      <c r="A3204" s="20" t="s">
        <v>542</v>
      </c>
      <c r="E3204" s="21">
        <f>IF(D3204="?OLD","!!!","")</f>
        <v/>
      </c>
      <c r="F3204" s="22" t="str">
        <f>IF(OR(E3204="",E3204="!!!"),"",IF(NOT(ISNA(VLOOKUP(E3204,E$1:E3203,1,FALSE()))),"OLD",IF(AND(E3204&lt;&gt;"",E3204&lt;&gt;"!!!"),"NEW","")))</f>
        <v> </v>
      </c>
      <c r="G3204" s="23" t="str">
        <f>IF(OR(E3204="",E3204="!!!"),"",IF(OR(J3204=0,AND(J3204=1,K3204=1),AND(J3204=1,I3204="SBJ"),AND(J3204=1,I3204=0)),"?IN_FOCUS",IF(J3204&lt;=2,"?ACTIVATED",IF(J3204&lt;&gt;"","?FAMILIAR",IF(F3204="NEW",IF(ISNA(VLOOKUP(E3204,#REF!,1,FALSE())),"?TYPE_IDENTIFIABLE","?REFERENTIAL"),"_")))))</f>
        <v> </v>
      </c>
      <c r="H3204" s="24" t="str">
        <f>IF(J3204&lt;&gt;1,"",IF(I3204="SBJ","CB","?"))</f>
        <v> </v>
      </c>
      <c r="I3204" s="25" t="str">
        <f>IF(OR(E3204="",E3204="!!!",F3204="NEW"),"",INDEX(B3203:B$2,-1+SUMPRODUCT(MAX(ROW(E3203:E$2)*(E3204=E3203:E$2)))))</f>
        <v> </v>
      </c>
      <c r="J3204" s="25" t="str">
        <f>IF(OR(E3204="",E3204="!!!",F3204="NEW"),"",COUNTBLANK(OFFSET(A$1,,,SUMPRODUCT(MAX(ROW(E$2:E3204)*(E3204=E$2:E3204)))))-COUNTBLANK(OFFSET(A$1,,,SUMPRODUCT(MAX(ROW(E$1:E3203)*(E2=E$1:E3203))))))</f>
        <v> </v>
      </c>
      <c r="K3204" s="25" t="str">
        <f>IF(OR(E3204="",E3204="!!!",F3204="NEW"),"",INDEX(J$1:J3203,SUMPRODUCT(MAX(ROW(E$1:E3203)*(E3204=E$1:E3203)))))</f>
        <v> </v>
      </c>
      <c r="L3204" s="26"/>
    </row>
    <row r="3205" spans="1:12">
      <c r="A3205" s="20" t="s">
        <v>758</v>
      </c>
      <c r="E3205" s="21">
        <f>IF(D3205="?OLD","!!!","")</f>
        <v/>
      </c>
      <c r="F3205" s="22" t="str">
        <f>IF(OR(E3205="",E3205="!!!"),"",IF(NOT(ISNA(VLOOKUP(E3205,E$1:E3204,1,FALSE()))),"OLD",IF(AND(E3205&lt;&gt;"",E3205&lt;&gt;"!!!"),"NEW","")))</f>
        <v> </v>
      </c>
      <c r="G3205" s="23" t="str">
        <f>IF(OR(E3205="",E3205="!!!"),"",IF(OR(J3205=0,AND(J3205=1,K3205=1),AND(J3205=1,I3205="SBJ"),AND(J3205=1,I3205=0)),"?IN_FOCUS",IF(J3205&lt;=2,"?ACTIVATED",IF(J3205&lt;&gt;"","?FAMILIAR",IF(F3205="NEW",IF(ISNA(VLOOKUP(E3205,#REF!,1,FALSE())),"?TYPE_IDENTIFIABLE","?REFERENTIAL"),"_")))))</f>
        <v> </v>
      </c>
      <c r="H3205" s="24" t="str">
        <f>IF(J3205&lt;&gt;1,"",IF(I3205="SBJ","CB","?"))</f>
        <v> </v>
      </c>
      <c r="I3205" s="25" t="str">
        <f>IF(OR(E3205="",E3205="!!!",F3205="NEW"),"",INDEX(B3204:B$2,-1+SUMPRODUCT(MAX(ROW(E3204:E$2)*(E3205=E3204:E$2)))))</f>
        <v> </v>
      </c>
      <c r="J3205" s="25" t="str">
        <f>IF(OR(E3205="",E3205="!!!",F3205="NEW"),"",COUNTBLANK(OFFSET(A$1,,,SUMPRODUCT(MAX(ROW(E$2:E3205)*(E3205=E$2:E3205)))))-COUNTBLANK(OFFSET(A$1,,,SUMPRODUCT(MAX(ROW(E$1:E3204)*(E2=E$1:E3204))))))</f>
        <v> </v>
      </c>
      <c r="K3205" s="25" t="str">
        <f>IF(OR(E3205="",E3205="!!!",F3205="NEW"),"",INDEX(J$1:J3204,SUMPRODUCT(MAX(ROW(E$1:E3204)*(E3205=E$1:E3204)))))</f>
        <v> </v>
      </c>
      <c r="L3205" s="26"/>
    </row>
    <row r="3206" spans="1:12">
      <c r="A3206" s="20" t="s">
        <v>1038</v>
      </c>
      <c r="B3206" s="27" t="s">
        <v>544</v>
      </c>
      <c r="C3206" s="27" t="s">
        <v>545</v>
      </c>
      <c r="D3206" s="27" t="s">
        <v>524</v>
      </c>
      <c r="E3206" s="21">
        <f>IF(D3206="?OLD","!!!","")</f>
        <v/>
      </c>
      <c r="F3206" s="22" t="str">
        <f>IF(OR(E3206="",E3206="!!!"),"",IF(NOT(ISNA(VLOOKUP(E3206,E$1:E3205,1,FALSE()))),"OLD",IF(AND(E3206&lt;&gt;"",E3206&lt;&gt;"!!!"),"NEW","")))</f>
        <v> </v>
      </c>
      <c r="G3206" s="23" t="str">
        <f>IF(OR(E3206="",E3206="!!!"),"",IF(OR(J3206=0,AND(J3206=1,K3206=1),AND(J3206=1,I3206="SBJ"),AND(J3206=1,I3206=0)),"?IN_FOCUS",IF(J3206&lt;=2,"?ACTIVATED",IF(J3206&lt;&gt;"","?FAMILIAR",IF(F3206="NEW",IF(ISNA(VLOOKUP(E3206,#REF!,1,FALSE())),"?TYPE_IDENTIFIABLE","?REFERENTIAL"),"_")))))</f>
        <v> </v>
      </c>
      <c r="H3206" s="24" t="str">
        <f>IF(J3206&lt;&gt;1,"",IF(I3206="SBJ","CB","?"))</f>
        <v> </v>
      </c>
      <c r="I3206" s="25" t="str">
        <f>IF(OR(E3206="",E3206="!!!",F3206="NEW"),"",INDEX(B3205:B$2,-1+SUMPRODUCT(MAX(ROW(E3205:E$2)*(E3206=E3205:E$2)))))</f>
        <v> </v>
      </c>
      <c r="J3206" s="25" t="str">
        <f>IF(OR(E3206="",E3206="!!!",F3206="NEW"),"",COUNTBLANK(OFFSET(A$1,,,SUMPRODUCT(MAX(ROW(E$2:E3206)*(E3206=E$2:E3206)))))-COUNTBLANK(OFFSET(A$1,,,SUMPRODUCT(MAX(ROW(E$1:E3205)*(E2=E$1:E3205))))))</f>
        <v> </v>
      </c>
      <c r="K3206" s="25" t="str">
        <f>IF(OR(E3206="",E3206="!!!",F3206="NEW"),"",INDEX(J$1:J3205,SUMPRODUCT(MAX(ROW(E$1:E3205)*(E3206=E$1:E3205)))))</f>
        <v> </v>
      </c>
      <c r="L3206" s="26"/>
    </row>
    <row r="3207" spans="1:12">
      <c r="A3207" s="20" t="s">
        <v>1577</v>
      </c>
      <c r="E3207" s="21">
        <f>IF(D3207="?OLD","!!!","")</f>
        <v/>
      </c>
      <c r="F3207" s="22" t="str">
        <f>IF(OR(E3207="",E3207="!!!"),"",IF(NOT(ISNA(VLOOKUP(E3207,E$1:E3206,1,FALSE()))),"OLD",IF(AND(E3207&lt;&gt;"",E3207&lt;&gt;"!!!"),"NEW","")))</f>
        <v> </v>
      </c>
      <c r="G3207" s="23" t="str">
        <f>IF(OR(E3207="",E3207="!!!"),"",IF(OR(J3207=0,AND(J3207=1,K3207=1),AND(J3207=1,I3207="SBJ"),AND(J3207=1,I3207=0)),"?IN_FOCUS",IF(J3207&lt;=2,"?ACTIVATED",IF(J3207&lt;&gt;"","?FAMILIAR",IF(F3207="NEW",IF(ISNA(VLOOKUP(E3207,#REF!,1,FALSE())),"?TYPE_IDENTIFIABLE","?REFERENTIAL"),"_")))))</f>
        <v> </v>
      </c>
      <c r="H3207" s="24" t="str">
        <f>IF(J3207&lt;&gt;1,"",IF(I3207="SBJ","CB","?"))</f>
        <v> </v>
      </c>
      <c r="I3207" s="25" t="str">
        <f>IF(OR(E3207="",E3207="!!!",F3207="NEW"),"",INDEX(B3206:B$2,-1+SUMPRODUCT(MAX(ROW(E3206:E$2)*(E3207=E3206:E$2)))))</f>
        <v> </v>
      </c>
      <c r="J3207" s="25" t="str">
        <f>IF(OR(E3207="",E3207="!!!",F3207="NEW"),"",COUNTBLANK(OFFSET(A$1,,,SUMPRODUCT(MAX(ROW(E$2:E3207)*(E3207=E$2:E3207)))))-COUNTBLANK(OFFSET(A$1,,,SUMPRODUCT(MAX(ROW(E$1:E3206)*(E2=E$1:E3206))))))</f>
        <v> </v>
      </c>
      <c r="K3207" s="25" t="str">
        <f>IF(OR(E3207="",E3207="!!!",F3207="NEW"),"",INDEX(J$1:J3206,SUMPRODUCT(MAX(ROW(E$1:E3206)*(E3207=E$1:E3206)))))</f>
        <v> </v>
      </c>
      <c r="L3207" s="26"/>
    </row>
    <row r="3208" spans="1:12">
      <c r="A3208" s="20" t="s">
        <v>549</v>
      </c>
      <c r="E3208" s="21">
        <f>IF(D3208="?OLD","!!!","")</f>
        <v/>
      </c>
      <c r="F3208" s="22" t="str">
        <f>IF(OR(E3208="",E3208="!!!"),"",IF(NOT(ISNA(VLOOKUP(E3208,E$1:E3207,1,FALSE()))),"OLD",IF(AND(E3208&lt;&gt;"",E3208&lt;&gt;"!!!"),"NEW","")))</f>
        <v> </v>
      </c>
      <c r="G3208" s="23" t="str">
        <f>IF(OR(E3208="",E3208="!!!"),"",IF(OR(J3208=0,AND(J3208=1,K3208=1),AND(J3208=1,I3208="SBJ"),AND(J3208=1,I3208=0)),"?IN_FOCUS",IF(J3208&lt;=2,"?ACTIVATED",IF(J3208&lt;&gt;"","?FAMILIAR",IF(F3208="NEW",IF(ISNA(VLOOKUP(E3208,#REF!,1,FALSE())),"?TYPE_IDENTIFIABLE","?REFERENTIAL"),"_")))))</f>
        <v> </v>
      </c>
      <c r="H3208" s="24" t="str">
        <f>IF(J3208&lt;&gt;1,"",IF(I3208="SBJ","CB","?"))</f>
        <v> </v>
      </c>
      <c r="I3208" s="25" t="str">
        <f>IF(OR(E3208="",E3208="!!!",F3208="NEW"),"",INDEX(B3207:B$2,-1+SUMPRODUCT(MAX(ROW(E3207:E$2)*(E3208=E3207:E$2)))))</f>
        <v> </v>
      </c>
      <c r="J3208" s="25" t="str">
        <f>IF(OR(E3208="",E3208="!!!",F3208="NEW"),"",COUNTBLANK(OFFSET(A$1,,,SUMPRODUCT(MAX(ROW(E$2:E3208)*(E3208=E$2:E3208)))))-COUNTBLANK(OFFSET(A$1,,,SUMPRODUCT(MAX(ROW(E$1:E3207)*(E2=E$1:E3207))))))</f>
        <v> </v>
      </c>
      <c r="K3208" s="25" t="str">
        <f>IF(OR(E3208="",E3208="!!!",F3208="NEW"),"",INDEX(J$1:J3207,SUMPRODUCT(MAX(ROW(E$1:E3207)*(E3208=E$1:E3207)))))</f>
        <v> </v>
      </c>
      <c r="L3208" s="26"/>
    </row>
    <row r="3209" spans="1:12">
      <c r="A3209" s="20"/>
    </row>
    <row r="3210" spans="1:12">
      <c r="A3210" s="20" t="s">
        <v>1578</v>
      </c>
    </row>
    <row r="3211" spans="1:12">
      <c r="A3211" s="20" t="s">
        <v>1206</v>
      </c>
      <c r="E3211" s="21">
        <f>IF(D3211="?OLD","!!!","")</f>
        <v/>
      </c>
      <c r="F3211" s="22" t="str">
        <f>IF(OR(E3211="",E3211="!!!"),"",IF(NOT(ISNA(VLOOKUP(E3211,E$1:E3210,1,FALSE()))),"OLD",IF(AND(E3211&lt;&gt;"",E3211&lt;&gt;"!!!"),"NEW","")))</f>
        <v> </v>
      </c>
      <c r="G3211" s="23" t="str">
        <f>IF(OR(E3211="",E3211="!!!"),"",IF(OR(J3211=0,AND(J3211=1,K3211=1),AND(J3211=1,I3211="SBJ"),AND(J3211=1,I3211=0)),"?IN_FOCUS",IF(J3211&lt;=2,"?ACTIVATED",IF(J3211&lt;&gt;"","?FAMILIAR",IF(F3211="NEW",IF(ISNA(VLOOKUP(E3211,#REF!,1,FALSE())),"?TYPE_IDENTIFIABLE","?REFERENTIAL"),"_")))))</f>
        <v> </v>
      </c>
      <c r="H3211" s="24" t="str">
        <f>IF(J3211&lt;&gt;1,"",IF(I3211="SBJ","CB","?"))</f>
        <v> </v>
      </c>
      <c r="I3211" s="25" t="str">
        <f>IF(OR(E3211="",E3211="!!!",F3211="NEW"),"",INDEX(B3210:B$2,-1+SUMPRODUCT(MAX(ROW(E3210:E$2)*(E3211=E3210:E$2)))))</f>
        <v> </v>
      </c>
      <c r="J3211" s="25" t="str">
        <f>IF(OR(E3211="",E3211="!!!",F3211="NEW"),"",COUNTBLANK(OFFSET(A$1,,,SUMPRODUCT(MAX(ROW(E$2:E3211)*(E3211=E$2:E3211)))))-COUNTBLANK(OFFSET(A$1,,,SUMPRODUCT(MAX(ROW(E$1:E3210)*(E2=E$1:E3210))))))</f>
        <v> </v>
      </c>
      <c r="K3211" s="25" t="str">
        <f>IF(OR(E3211="",E3211="!!!",F3211="NEW"),"",INDEX(J$1:J3210,SUMPRODUCT(MAX(ROW(E$1:E3210)*(E3211=E$1:E3210)))))</f>
        <v> </v>
      </c>
      <c r="L3211" s="26"/>
    </row>
    <row r="3212" spans="1:12">
      <c r="A3212" s="20" t="s">
        <v>542</v>
      </c>
      <c r="E3212" s="21">
        <f>IF(D3212="?OLD","!!!","")</f>
        <v/>
      </c>
      <c r="F3212" s="22" t="str">
        <f>IF(OR(E3212="",E3212="!!!"),"",IF(NOT(ISNA(VLOOKUP(E3212,E$1:E3211,1,FALSE()))),"OLD",IF(AND(E3212&lt;&gt;"",E3212&lt;&gt;"!!!"),"NEW","")))</f>
        <v> </v>
      </c>
      <c r="G3212" s="23" t="str">
        <f>IF(OR(E3212="",E3212="!!!"),"",IF(OR(J3212=0,AND(J3212=1,K3212=1),AND(J3212=1,I3212="SBJ"),AND(J3212=1,I3212=0)),"?IN_FOCUS",IF(J3212&lt;=2,"?ACTIVATED",IF(J3212&lt;&gt;"","?FAMILIAR",IF(F3212="NEW",IF(ISNA(VLOOKUP(E3212,#REF!,1,FALSE())),"?TYPE_IDENTIFIABLE","?REFERENTIAL"),"_")))))</f>
        <v> </v>
      </c>
      <c r="H3212" s="24" t="str">
        <f>IF(J3212&lt;&gt;1,"",IF(I3212="SBJ","CB","?"))</f>
        <v> </v>
      </c>
      <c r="I3212" s="25" t="str">
        <f>IF(OR(E3212="",E3212="!!!",F3212="NEW"),"",INDEX(B3211:B$2,-1+SUMPRODUCT(MAX(ROW(E3211:E$2)*(E3212=E3211:E$2)))))</f>
        <v> </v>
      </c>
      <c r="J3212" s="25" t="str">
        <f>IF(OR(E3212="",E3212="!!!",F3212="NEW"),"",COUNTBLANK(OFFSET(A$1,,,SUMPRODUCT(MAX(ROW(E$2:E3212)*(E3212=E$2:E3212)))))-COUNTBLANK(OFFSET(A$1,,,SUMPRODUCT(MAX(ROW(E$1:E3211)*(E2=E$1:E3211))))))</f>
        <v> </v>
      </c>
      <c r="K3212" s="25" t="str">
        <f>IF(OR(E3212="",E3212="!!!",F3212="NEW"),"",INDEX(J$1:J3211,SUMPRODUCT(MAX(ROW(E$1:E3211)*(E3212=E$1:E3211)))))</f>
        <v> </v>
      </c>
      <c r="L3212" s="26"/>
    </row>
    <row r="3213" spans="1:12">
      <c r="A3213" s="20" t="s">
        <v>1499</v>
      </c>
      <c r="E3213" s="21">
        <f>IF(D3213="?OLD","!!!","")</f>
        <v/>
      </c>
      <c r="F3213" s="22" t="str">
        <f>IF(OR(E3213="",E3213="!!!"),"",IF(NOT(ISNA(VLOOKUP(E3213,E$1:E3212,1,FALSE()))),"OLD",IF(AND(E3213&lt;&gt;"",E3213&lt;&gt;"!!!"),"NEW","")))</f>
        <v> </v>
      </c>
      <c r="G3213" s="23" t="str">
        <f>IF(OR(E3213="",E3213="!!!"),"",IF(OR(J3213=0,AND(J3213=1,K3213=1),AND(J3213=1,I3213="SBJ"),AND(J3213=1,I3213=0)),"?IN_FOCUS",IF(J3213&lt;=2,"?ACTIVATED",IF(J3213&lt;&gt;"","?FAMILIAR",IF(F3213="NEW",IF(ISNA(VLOOKUP(E3213,#REF!,1,FALSE())),"?TYPE_IDENTIFIABLE","?REFERENTIAL"),"_")))))</f>
        <v> </v>
      </c>
      <c r="H3213" s="24" t="str">
        <f>IF(J3213&lt;&gt;1,"",IF(I3213="SBJ","CB","?"))</f>
        <v> </v>
      </c>
      <c r="I3213" s="25" t="str">
        <f>IF(OR(E3213="",E3213="!!!",F3213="NEW"),"",INDEX(B3212:B$2,-1+SUMPRODUCT(MAX(ROW(E3212:E$2)*(E3213=E3212:E$2)))))</f>
        <v> </v>
      </c>
      <c r="J3213" s="25" t="str">
        <f>IF(OR(E3213="",E3213="!!!",F3213="NEW"),"",COUNTBLANK(OFFSET(A$1,,,SUMPRODUCT(MAX(ROW(E$2:E3213)*(E3213=E$2:E3213)))))-COUNTBLANK(OFFSET(A$1,,,SUMPRODUCT(MAX(ROW(E$1:E3212)*(E2=E$1:E3212))))))</f>
        <v> </v>
      </c>
      <c r="K3213" s="25" t="str">
        <f>IF(OR(E3213="",E3213="!!!",F3213="NEW"),"",INDEX(J$1:J3212,SUMPRODUCT(MAX(ROW(E$1:E3212)*(E3213=E$1:E3212)))))</f>
        <v> </v>
      </c>
      <c r="L3213" s="26"/>
    </row>
    <row r="3214" spans="1:12">
      <c r="A3214" s="20" t="s">
        <v>1169</v>
      </c>
      <c r="E3214" s="21">
        <f>IF(D3214="?OLD","!!!","")</f>
        <v/>
      </c>
      <c r="F3214" s="22" t="str">
        <f>IF(OR(E3214="",E3214="!!!"),"",IF(NOT(ISNA(VLOOKUP(E3214,E$1:E3213,1,FALSE()))),"OLD",IF(AND(E3214&lt;&gt;"",E3214&lt;&gt;"!!!"),"NEW","")))</f>
        <v> </v>
      </c>
      <c r="G3214" s="23" t="str">
        <f>IF(OR(E3214="",E3214="!!!"),"",IF(OR(J3214=0,AND(J3214=1,K3214=1),AND(J3214=1,I3214="SBJ"),AND(J3214=1,I3214=0)),"?IN_FOCUS",IF(J3214&lt;=2,"?ACTIVATED",IF(J3214&lt;&gt;"","?FAMILIAR",IF(F3214="NEW",IF(ISNA(VLOOKUP(E3214,#REF!,1,FALSE())),"?TYPE_IDENTIFIABLE","?REFERENTIAL"),"_")))))</f>
        <v> </v>
      </c>
      <c r="H3214" s="24" t="str">
        <f>IF(J3214&lt;&gt;1,"",IF(I3214="SBJ","CB","?"))</f>
        <v> </v>
      </c>
      <c r="I3214" s="25" t="str">
        <f>IF(OR(E3214="",E3214="!!!",F3214="NEW"),"",INDEX(B3213:B$2,-1+SUMPRODUCT(MAX(ROW(E3213:E$2)*(E3214=E3213:E$2)))))</f>
        <v> </v>
      </c>
      <c r="J3214" s="25" t="str">
        <f>IF(OR(E3214="",E3214="!!!",F3214="NEW"),"",COUNTBLANK(OFFSET(A$1,,,SUMPRODUCT(MAX(ROW(E$2:E3214)*(E3214=E$2:E3214)))))-COUNTBLANK(OFFSET(A$1,,,SUMPRODUCT(MAX(ROW(E$1:E3213)*(E2=E$1:E3213))))))</f>
        <v> </v>
      </c>
      <c r="K3214" s="25" t="str">
        <f>IF(OR(E3214="",E3214="!!!",F3214="NEW"),"",INDEX(J$1:J3213,SUMPRODUCT(MAX(ROW(E$1:E3213)*(E3214=E$1:E3213)))))</f>
        <v> </v>
      </c>
      <c r="L3214" s="26"/>
    </row>
    <row r="3215" spans="1:12">
      <c r="A3215" s="20" t="s">
        <v>718</v>
      </c>
      <c r="B3215" s="27" t="s">
        <v>522</v>
      </c>
      <c r="C3215" s="27" t="s">
        <v>637</v>
      </c>
      <c r="D3215" s="27" t="s">
        <v>524</v>
      </c>
      <c r="E3215" s="21">
        <f>IF(D3215="?OLD","!!!","")</f>
        <v/>
      </c>
      <c r="F3215" s="22" t="str">
        <f>IF(OR(E3215="",E3215="!!!"),"",IF(NOT(ISNA(VLOOKUP(E3215,E$1:E3214,1,FALSE()))),"OLD",IF(AND(E3215&lt;&gt;"",E3215&lt;&gt;"!!!"),"NEW","")))</f>
        <v> </v>
      </c>
      <c r="G3215" s="23" t="str">
        <f>IF(OR(E3215="",E3215="!!!"),"",IF(OR(J3215=0,AND(J3215=1,K3215=1),AND(J3215=1,I3215="SBJ"),AND(J3215=1,I3215=0)),"?IN_FOCUS",IF(J3215&lt;=2,"?ACTIVATED",IF(J3215&lt;&gt;"","?FAMILIAR",IF(F3215="NEW",IF(ISNA(VLOOKUP(E3215,#REF!,1,FALSE())),"?TYPE_IDENTIFIABLE","?REFERENTIAL"),"_")))))</f>
        <v> </v>
      </c>
      <c r="H3215" s="24" t="str">
        <f>IF(J3215&lt;&gt;1,"",IF(I3215="SBJ","CB","?"))</f>
        <v> </v>
      </c>
      <c r="I3215" s="25" t="str">
        <f>IF(OR(E3215="",E3215="!!!",F3215="NEW"),"",INDEX(B3214:B$2,-1+SUMPRODUCT(MAX(ROW(E3214:E$2)*(E3215=E3214:E$2)))))</f>
        <v> </v>
      </c>
      <c r="J3215" s="25" t="str">
        <f>IF(OR(E3215="",E3215="!!!",F3215="NEW"),"",COUNTBLANK(OFFSET(A$1,,,SUMPRODUCT(MAX(ROW(E$2:E3215)*(E3215=E$2:E3215)))))-COUNTBLANK(OFFSET(A$1,,,SUMPRODUCT(MAX(ROW(E$1:E3214)*(E2=E$1:E3214))))))</f>
        <v> </v>
      </c>
      <c r="K3215" s="25" t="str">
        <f>IF(OR(E3215="",E3215="!!!",F3215="NEW"),"",INDEX(J$1:J3214,SUMPRODUCT(MAX(ROW(E$1:E3214)*(E3215=E$1:E3214)))))</f>
        <v> </v>
      </c>
      <c r="L3215" s="26"/>
    </row>
    <row r="3216" spans="1:12">
      <c r="A3216" s="20" t="s">
        <v>542</v>
      </c>
      <c r="E3216" s="21">
        <f>IF(D3216="?OLD","!!!","")</f>
        <v/>
      </c>
      <c r="F3216" s="22" t="str">
        <f>IF(OR(E3216="",E3216="!!!"),"",IF(NOT(ISNA(VLOOKUP(E3216,E$1:E3215,1,FALSE()))),"OLD",IF(AND(E3216&lt;&gt;"",E3216&lt;&gt;"!!!"),"NEW","")))</f>
        <v> </v>
      </c>
      <c r="G3216" s="23" t="str">
        <f>IF(OR(E3216="",E3216="!!!"),"",IF(OR(J3216=0,AND(J3216=1,K3216=1),AND(J3216=1,I3216="SBJ"),AND(J3216=1,I3216=0)),"?IN_FOCUS",IF(J3216&lt;=2,"?ACTIVATED",IF(J3216&lt;&gt;"","?FAMILIAR",IF(F3216="NEW",IF(ISNA(VLOOKUP(E3216,#REF!,1,FALSE())),"?TYPE_IDENTIFIABLE","?REFERENTIAL"),"_")))))</f>
        <v> </v>
      </c>
      <c r="H3216" s="24" t="str">
        <f>IF(J3216&lt;&gt;1,"",IF(I3216="SBJ","CB","?"))</f>
        <v> </v>
      </c>
      <c r="I3216" s="25" t="str">
        <f>IF(OR(E3216="",E3216="!!!",F3216="NEW"),"",INDEX(B3215:B$2,-1+SUMPRODUCT(MAX(ROW(E3215:E$2)*(E3216=E3215:E$2)))))</f>
        <v> </v>
      </c>
      <c r="J3216" s="25" t="str">
        <f>IF(OR(E3216="",E3216="!!!",F3216="NEW"),"",COUNTBLANK(OFFSET(A$1,,,SUMPRODUCT(MAX(ROW(E$2:E3216)*(E3216=E$2:E3216)))))-COUNTBLANK(OFFSET(A$1,,,SUMPRODUCT(MAX(ROW(E$1:E3215)*(E2=E$1:E3215))))))</f>
        <v> </v>
      </c>
      <c r="K3216" s="25" t="str">
        <f>IF(OR(E3216="",E3216="!!!",F3216="NEW"),"",INDEX(J$1:J3215,SUMPRODUCT(MAX(ROW(E$1:E3215)*(E3216=E$1:E3215)))))</f>
        <v> </v>
      </c>
      <c r="L3216" s="26"/>
    </row>
    <row r="3217" spans="1:12">
      <c r="A3217" s="20" t="s">
        <v>827</v>
      </c>
      <c r="E3217" s="21">
        <f>IF(D3217="?OLD","!!!","")</f>
        <v/>
      </c>
      <c r="F3217" s="22" t="str">
        <f>IF(OR(E3217="",E3217="!!!"),"",IF(NOT(ISNA(VLOOKUP(E3217,E$1:E3216,1,FALSE()))),"OLD",IF(AND(E3217&lt;&gt;"",E3217&lt;&gt;"!!!"),"NEW","")))</f>
        <v> </v>
      </c>
      <c r="G3217" s="23" t="str">
        <f>IF(OR(E3217="",E3217="!!!"),"",IF(OR(J3217=0,AND(J3217=1,K3217=1),AND(J3217=1,I3217="SBJ"),AND(J3217=1,I3217=0)),"?IN_FOCUS",IF(J3217&lt;=2,"?ACTIVATED",IF(J3217&lt;&gt;"","?FAMILIAR",IF(F3217="NEW",IF(ISNA(VLOOKUP(E3217,#REF!,1,FALSE())),"?TYPE_IDENTIFIABLE","?REFERENTIAL"),"_")))))</f>
        <v> </v>
      </c>
      <c r="H3217" s="24" t="str">
        <f>IF(J3217&lt;&gt;1,"",IF(I3217="SBJ","CB","?"))</f>
        <v> </v>
      </c>
      <c r="I3217" s="25" t="str">
        <f>IF(OR(E3217="",E3217="!!!",F3217="NEW"),"",INDEX(B3216:B$2,-1+SUMPRODUCT(MAX(ROW(E3216:E$2)*(E3217=E3216:E$2)))))</f>
        <v> </v>
      </c>
      <c r="J3217" s="25" t="str">
        <f>IF(OR(E3217="",E3217="!!!",F3217="NEW"),"",COUNTBLANK(OFFSET(A$1,,,SUMPRODUCT(MAX(ROW(E$2:E3217)*(E3217=E$2:E3217)))))-COUNTBLANK(OFFSET(A$1,,,SUMPRODUCT(MAX(ROW(E$1:E3216)*(E2=E$1:E3216))))))</f>
        <v> </v>
      </c>
      <c r="K3217" s="25" t="str">
        <f>IF(OR(E3217="",E3217="!!!",F3217="NEW"),"",INDEX(J$1:J3216,SUMPRODUCT(MAX(ROW(E$1:E3216)*(E3217=E$1:E3216)))))</f>
        <v> </v>
      </c>
      <c r="L3217" s="26"/>
    </row>
    <row r="3218" spans="1:12">
      <c r="A3218" s="20" t="s">
        <v>829</v>
      </c>
      <c r="B3218" s="27" t="s">
        <v>556</v>
      </c>
      <c r="C3218" s="27" t="s">
        <v>564</v>
      </c>
      <c r="E3218" s="21">
        <f>IF(D3218="?OLD","!!!","")</f>
        <v/>
      </c>
      <c r="F3218" s="22" t="str">
        <f>IF(OR(E3218="",E3218="!!!"),"",IF(NOT(ISNA(VLOOKUP(E3218,E$1:E3217,1,FALSE()))),"OLD",IF(AND(E3218&lt;&gt;"",E3218&lt;&gt;"!!!"),"NEW","")))</f>
        <v> </v>
      </c>
      <c r="G3218" s="23" t="str">
        <f>IF(OR(E3218="",E3218="!!!"),"",IF(OR(J3218=0,AND(J3218=1,K3218=1),AND(J3218=1,I3218="SBJ"),AND(J3218=1,I3218=0)),"?IN_FOCUS",IF(J3218&lt;=2,"?ACTIVATED",IF(J3218&lt;&gt;"","?FAMILIAR",IF(F3218="NEW",IF(ISNA(VLOOKUP(E3218,#REF!,1,FALSE())),"?TYPE_IDENTIFIABLE","?REFERENTIAL"),"_")))))</f>
        <v> </v>
      </c>
      <c r="H3218" s="24" t="str">
        <f>IF(J3218&lt;&gt;1,"",IF(I3218="SBJ","CB","?"))</f>
        <v> </v>
      </c>
      <c r="I3218" s="25" t="str">
        <f>IF(OR(E3218="",E3218="!!!",F3218="NEW"),"",INDEX(B3217:B$2,-1+SUMPRODUCT(MAX(ROW(E3217:E$2)*(E3218=E3217:E$2)))))</f>
        <v> </v>
      </c>
      <c r="J3218" s="25" t="str">
        <f>IF(OR(E3218="",E3218="!!!",F3218="NEW"),"",COUNTBLANK(OFFSET(A$1,,,SUMPRODUCT(MAX(ROW(E$2:E3218)*(E3218=E$2:E3218)))))-COUNTBLANK(OFFSET(A$1,,,SUMPRODUCT(MAX(ROW(E$1:E3217)*(E2=E$1:E3217))))))</f>
        <v> </v>
      </c>
      <c r="K3218" s="25" t="str">
        <f>IF(OR(E3218="",E3218="!!!",F3218="NEW"),"",INDEX(J$1:J3217,SUMPRODUCT(MAX(ROW(E$1:E3217)*(E3218=E$1:E3217)))))</f>
        <v> </v>
      </c>
      <c r="L3218" s="26"/>
    </row>
    <row r="3219" spans="1:12">
      <c r="A3219" s="20" t="s">
        <v>542</v>
      </c>
      <c r="E3219" s="21">
        <f>IF(D3219="?OLD","!!!","")</f>
        <v/>
      </c>
      <c r="F3219" s="22" t="str">
        <f>IF(OR(E3219="",E3219="!!!"),"",IF(NOT(ISNA(VLOOKUP(E3219,E$1:E3218,1,FALSE()))),"OLD",IF(AND(E3219&lt;&gt;"",E3219&lt;&gt;"!!!"),"NEW","")))</f>
        <v> </v>
      </c>
      <c r="G3219" s="23" t="str">
        <f>IF(OR(E3219="",E3219="!!!"),"",IF(OR(J3219=0,AND(J3219=1,K3219=1),AND(J3219=1,I3219="SBJ"),AND(J3219=1,I3219=0)),"?IN_FOCUS",IF(J3219&lt;=2,"?ACTIVATED",IF(J3219&lt;&gt;"","?FAMILIAR",IF(F3219="NEW",IF(ISNA(VLOOKUP(E3219,#REF!,1,FALSE())),"?TYPE_IDENTIFIABLE","?REFERENTIAL"),"_")))))</f>
        <v> </v>
      </c>
      <c r="H3219" s="24" t="str">
        <f>IF(J3219&lt;&gt;1,"",IF(I3219="SBJ","CB","?"))</f>
        <v> </v>
      </c>
      <c r="I3219" s="25" t="str">
        <f>IF(OR(E3219="",E3219="!!!",F3219="NEW"),"",INDEX(B3218:B$2,-1+SUMPRODUCT(MAX(ROW(E3218:E$2)*(E3219=E3218:E$2)))))</f>
        <v> </v>
      </c>
      <c r="J3219" s="25" t="str">
        <f>IF(OR(E3219="",E3219="!!!",F3219="NEW"),"",COUNTBLANK(OFFSET(A$1,,,SUMPRODUCT(MAX(ROW(E$2:E3219)*(E3219=E$2:E3219)))))-COUNTBLANK(OFFSET(A$1,,,SUMPRODUCT(MAX(ROW(E$1:E3218)*(E2=E$1:E3218))))))</f>
        <v> </v>
      </c>
      <c r="K3219" s="25" t="str">
        <f>IF(OR(E3219="",E3219="!!!",F3219="NEW"),"",INDEX(J$1:J3218,SUMPRODUCT(MAX(ROW(E$1:E3218)*(E3219=E$1:E3218)))))</f>
        <v> </v>
      </c>
      <c r="L3219" s="26"/>
    </row>
    <row r="3220" spans="1:12">
      <c r="A3220" s="20" t="s">
        <v>995</v>
      </c>
      <c r="B3220" s="27" t="s">
        <v>544</v>
      </c>
      <c r="C3220" s="27" t="s">
        <v>523</v>
      </c>
      <c r="D3220" s="27" t="s">
        <v>524</v>
      </c>
      <c r="E3220" s="21">
        <f>IF(D3220="?OLD","!!!","")</f>
        <v/>
      </c>
      <c r="F3220" s="22" t="str">
        <f>IF(OR(E3220="",E3220="!!!"),"",IF(NOT(ISNA(VLOOKUP(E3220,E$1:E3219,1,FALSE()))),"OLD",IF(AND(E3220&lt;&gt;"",E3220&lt;&gt;"!!!"),"NEW","")))</f>
        <v> </v>
      </c>
      <c r="G3220" s="23" t="str">
        <f>IF(OR(E3220="",E3220="!!!"),"",IF(OR(J3220=0,AND(J3220=1,K3220=1),AND(J3220=1,I3220="SBJ"),AND(J3220=1,I3220=0)),"?IN_FOCUS",IF(J3220&lt;=2,"?ACTIVATED",IF(J3220&lt;&gt;"","?FAMILIAR",IF(F3220="NEW",IF(ISNA(VLOOKUP(E3220,#REF!,1,FALSE())),"?TYPE_IDENTIFIABLE","?REFERENTIAL"),"_")))))</f>
        <v> </v>
      </c>
      <c r="H3220" s="24" t="str">
        <f>IF(J3220&lt;&gt;1,"",IF(I3220="SBJ","CB","?"))</f>
        <v> </v>
      </c>
      <c r="I3220" s="25" t="str">
        <f>IF(OR(E3220="",E3220="!!!",F3220="NEW"),"",INDEX(B3219:B$2,-1+SUMPRODUCT(MAX(ROW(E3219:E$2)*(E3220=E3219:E$2)))))</f>
        <v> </v>
      </c>
      <c r="J3220" s="25" t="str">
        <f>IF(OR(E3220="",E3220="!!!",F3220="NEW"),"",COUNTBLANK(OFFSET(A$1,,,SUMPRODUCT(MAX(ROW(E$2:E3220)*(E3220=E$2:E3220)))))-COUNTBLANK(OFFSET(A$1,,,SUMPRODUCT(MAX(ROW(E$1:E3219)*(E2=E$1:E3219))))))</f>
        <v> </v>
      </c>
      <c r="K3220" s="25" t="str">
        <f>IF(OR(E3220="",E3220="!!!",F3220="NEW"),"",INDEX(J$1:J3219,SUMPRODUCT(MAX(ROW(E$1:E3219)*(E3220=E$1:E3219)))))</f>
        <v> </v>
      </c>
      <c r="L3220" s="26"/>
    </row>
    <row r="3221" spans="1:12">
      <c r="A3221" s="20" t="s">
        <v>691</v>
      </c>
      <c r="E3221" s="21">
        <f>IF(D3221="?OLD","!!!","")</f>
        <v/>
      </c>
      <c r="F3221" s="22" t="str">
        <f>IF(OR(E3221="",E3221="!!!"),"",IF(NOT(ISNA(VLOOKUP(E3221,E$1:E3220,1,FALSE()))),"OLD",IF(AND(E3221&lt;&gt;"",E3221&lt;&gt;"!!!"),"NEW","")))</f>
        <v> </v>
      </c>
      <c r="G3221" s="23" t="str">
        <f>IF(OR(E3221="",E3221="!!!"),"",IF(OR(J3221=0,AND(J3221=1,K3221=1),AND(J3221=1,I3221="SBJ"),AND(J3221=1,I3221=0)),"?IN_FOCUS",IF(J3221&lt;=2,"?ACTIVATED",IF(J3221&lt;&gt;"","?FAMILIAR",IF(F3221="NEW",IF(ISNA(VLOOKUP(E3221,#REF!,1,FALSE())),"?TYPE_IDENTIFIABLE","?REFERENTIAL"),"_")))))</f>
        <v> </v>
      </c>
      <c r="H3221" s="24" t="str">
        <f>IF(J3221&lt;&gt;1,"",IF(I3221="SBJ","CB","?"))</f>
        <v> </v>
      </c>
      <c r="I3221" s="25" t="str">
        <f>IF(OR(E3221="",E3221="!!!",F3221="NEW"),"",INDEX(B3220:B$2,-1+SUMPRODUCT(MAX(ROW(E3220:E$2)*(E3221=E3220:E$2)))))</f>
        <v> </v>
      </c>
      <c r="J3221" s="25" t="str">
        <f>IF(OR(E3221="",E3221="!!!",F3221="NEW"),"",COUNTBLANK(OFFSET(A$1,,,SUMPRODUCT(MAX(ROW(E$2:E3221)*(E3221=E$2:E3221)))))-COUNTBLANK(OFFSET(A$1,,,SUMPRODUCT(MAX(ROW(E$1:E3220)*(E2=E$1:E3220))))))</f>
        <v> </v>
      </c>
      <c r="K3221" s="25" t="str">
        <f>IF(OR(E3221="",E3221="!!!",F3221="NEW"),"",INDEX(J$1:J3220,SUMPRODUCT(MAX(ROW(E$1:E3220)*(E3221=E$1:E3220)))))</f>
        <v> </v>
      </c>
      <c r="L3221" s="26"/>
    </row>
    <row r="3222" spans="1:12">
      <c r="A3222" s="20" t="s">
        <v>549</v>
      </c>
      <c r="E3222" s="21">
        <f>IF(D3222="?OLD","!!!","")</f>
        <v/>
      </c>
      <c r="F3222" s="22" t="str">
        <f>IF(OR(E3222="",E3222="!!!"),"",IF(NOT(ISNA(VLOOKUP(E3222,E$1:E3221,1,FALSE()))),"OLD",IF(AND(E3222&lt;&gt;"",E3222&lt;&gt;"!!!"),"NEW","")))</f>
        <v> </v>
      </c>
      <c r="G3222" s="23" t="str">
        <f>IF(OR(E3222="",E3222="!!!"),"",IF(OR(J3222=0,AND(J3222=1,K3222=1),AND(J3222=1,I3222="SBJ"),AND(J3222=1,I3222=0)),"?IN_FOCUS",IF(J3222&lt;=2,"?ACTIVATED",IF(J3222&lt;&gt;"","?FAMILIAR",IF(F3222="NEW",IF(ISNA(VLOOKUP(E3222,#REF!,1,FALSE())),"?TYPE_IDENTIFIABLE","?REFERENTIAL"),"_")))))</f>
        <v> </v>
      </c>
      <c r="H3222" s="24" t="str">
        <f>IF(J3222&lt;&gt;1,"",IF(I3222="SBJ","CB","?"))</f>
        <v> </v>
      </c>
      <c r="I3222" s="25" t="str">
        <f>IF(OR(E3222="",E3222="!!!",F3222="NEW"),"",INDEX(B3221:B$2,-1+SUMPRODUCT(MAX(ROW(E3221:E$2)*(E3222=E3221:E$2)))))</f>
        <v> </v>
      </c>
      <c r="J3222" s="25" t="str">
        <f>IF(OR(E3222="",E3222="!!!",F3222="NEW"),"",COUNTBLANK(OFFSET(A$1,,,SUMPRODUCT(MAX(ROW(E$2:E3222)*(E3222=E$2:E3222)))))-COUNTBLANK(OFFSET(A$1,,,SUMPRODUCT(MAX(ROW(E$1:E3221)*(E2=E$1:E3221))))))</f>
        <v> </v>
      </c>
      <c r="K3222" s="25" t="str">
        <f>IF(OR(E3222="",E3222="!!!",F3222="NEW"),"",INDEX(J$1:J3221,SUMPRODUCT(MAX(ROW(E$1:E3221)*(E3222=E$1:E3221)))))</f>
        <v> </v>
      </c>
      <c r="L3222" s="26"/>
    </row>
    <row r="3223" spans="1:12">
      <c r="A3223" s="20"/>
    </row>
    <row r="3224" spans="1:12">
      <c r="A3224" s="20" t="s">
        <v>550</v>
      </c>
      <c r="E3224" s="21">
        <f>IF(D3224="?OLD","!!!","")</f>
        <v/>
      </c>
      <c r="F3224" s="22" t="str">
        <f>IF(OR(E3224="",E3224="!!!"),"",IF(NOT(ISNA(VLOOKUP(E3224,E$1:E3223,1,FALSE()))),"OLD",IF(AND(E3224&lt;&gt;"",E3224&lt;&gt;"!!!"),"NEW","")))</f>
        <v> </v>
      </c>
      <c r="G3224" s="23" t="str">
        <f>IF(OR(E3224="",E3224="!!!"),"",IF(OR(J3224=0,AND(J3224=1,K3224=1),AND(J3224=1,I3224="SBJ"),AND(J3224=1,I3224=0)),"?IN_FOCUS",IF(J3224&lt;=2,"?ACTIVATED",IF(J3224&lt;&gt;"","?FAMILIAR",IF(F3224="NEW",IF(ISNA(VLOOKUP(E3224,#REF!,1,FALSE())),"?TYPE_IDENTIFIABLE","?REFERENTIAL"),"_")))))</f>
        <v> </v>
      </c>
      <c r="H3224" s="24" t="str">
        <f>IF(J3224&lt;&gt;1,"",IF(I3224="SBJ","CB","?"))</f>
        <v> </v>
      </c>
      <c r="I3224" s="25" t="str">
        <f>IF(OR(E3224="",E3224="!!!",F3224="NEW"),"",INDEX(B3223:B$2,-1+SUMPRODUCT(MAX(ROW(E3223:E$2)*(E3224=E3223:E$2)))))</f>
        <v> </v>
      </c>
      <c r="J3224" s="25" t="str">
        <f>IF(OR(E3224="",E3224="!!!",F3224="NEW"),"",COUNTBLANK(OFFSET(A$1,,,SUMPRODUCT(MAX(ROW(E$2:E3224)*(E3224=E$2:E3224)))))-COUNTBLANK(OFFSET(A$1,,,SUMPRODUCT(MAX(ROW(E$1:E3223)*(E2=E$1:E3223))))))</f>
        <v> </v>
      </c>
      <c r="K3224" s="25" t="str">
        <f>IF(OR(E3224="",E3224="!!!",F3224="NEW"),"",INDEX(J$1:J3223,SUMPRODUCT(MAX(ROW(E$1:E3223)*(E3224=E$1:E3223)))))</f>
        <v> </v>
      </c>
      <c r="L3224" s="26"/>
    </row>
    <row r="3225" spans="1:12">
      <c r="A3225" s="20" t="s">
        <v>1579</v>
      </c>
    </row>
    <row r="3226" spans="1:12">
      <c r="A3226" s="20" t="s">
        <v>1076</v>
      </c>
      <c r="E3226" s="21">
        <f>IF(D3226="?OLD","!!!","")</f>
        <v/>
      </c>
      <c r="F3226" s="22" t="str">
        <f>IF(OR(E3226="",E3226="!!!"),"",IF(NOT(ISNA(VLOOKUP(E3226,E$1:E3225,1,FALSE()))),"OLD",IF(AND(E3226&lt;&gt;"",E3226&lt;&gt;"!!!"),"NEW","")))</f>
        <v> </v>
      </c>
      <c r="G3226" s="23" t="str">
        <f>IF(OR(E3226="",E3226="!!!"),"",IF(OR(J3226=0,AND(J3226=1,K3226=1),AND(J3226=1,I3226="SBJ"),AND(J3226=1,I3226=0)),"?IN_FOCUS",IF(J3226&lt;=2,"?ACTIVATED",IF(J3226&lt;&gt;"","?FAMILIAR",IF(F3226="NEW",IF(ISNA(VLOOKUP(E3226,#REF!,1,FALSE())),"?TYPE_IDENTIFIABLE","?REFERENTIAL"),"_")))))</f>
        <v> </v>
      </c>
      <c r="H3226" s="24" t="str">
        <f>IF(J3226&lt;&gt;1,"",IF(I3226="SBJ","CB","?"))</f>
        <v> </v>
      </c>
      <c r="I3226" s="25" t="str">
        <f>IF(OR(E3226="",E3226="!!!",F3226="NEW"),"",INDEX(B3225:B$2,-1+SUMPRODUCT(MAX(ROW(E3225:E$2)*(E3226=E3225:E$2)))))</f>
        <v> </v>
      </c>
      <c r="J3226" s="25" t="str">
        <f>IF(OR(E3226="",E3226="!!!",F3226="NEW"),"",COUNTBLANK(OFFSET(A$1,,,SUMPRODUCT(MAX(ROW(E$2:E3226)*(E3226=E$2:E3226)))))-COUNTBLANK(OFFSET(A$1,,,SUMPRODUCT(MAX(ROW(E$1:E3225)*(E2=E$1:E3225))))))</f>
        <v> </v>
      </c>
      <c r="K3226" s="25" t="str">
        <f>IF(OR(E3226="",E3226="!!!",F3226="NEW"),"",INDEX(J$1:J3225,SUMPRODUCT(MAX(ROW(E$1:E3225)*(E3226=E$1:E3225)))))</f>
        <v> </v>
      </c>
      <c r="L3226" s="26"/>
    </row>
    <row r="3227" spans="1:12">
      <c r="A3227" s="20" t="s">
        <v>542</v>
      </c>
      <c r="E3227" s="21">
        <f>IF(D3227="?OLD","!!!","")</f>
        <v/>
      </c>
      <c r="F3227" s="22" t="str">
        <f>IF(OR(E3227="",E3227="!!!"),"",IF(NOT(ISNA(VLOOKUP(E3227,E$1:E3226,1,FALSE()))),"OLD",IF(AND(E3227&lt;&gt;"",E3227&lt;&gt;"!!!"),"NEW","")))</f>
        <v> </v>
      </c>
      <c r="G3227" s="23" t="str">
        <f>IF(OR(E3227="",E3227="!!!"),"",IF(OR(J3227=0,AND(J3227=1,K3227=1),AND(J3227=1,I3227="SBJ"),AND(J3227=1,I3227=0)),"?IN_FOCUS",IF(J3227&lt;=2,"?ACTIVATED",IF(J3227&lt;&gt;"","?FAMILIAR",IF(F3227="NEW",IF(ISNA(VLOOKUP(E3227,#REF!,1,FALSE())),"?TYPE_IDENTIFIABLE","?REFERENTIAL"),"_")))))</f>
        <v> </v>
      </c>
      <c r="H3227" s="24" t="str">
        <f>IF(J3227&lt;&gt;1,"",IF(I3227="SBJ","CB","?"))</f>
        <v> </v>
      </c>
      <c r="I3227" s="25" t="str">
        <f>IF(OR(E3227="",E3227="!!!",F3227="NEW"),"",INDEX(B3226:B$2,-1+SUMPRODUCT(MAX(ROW(E3226:E$2)*(E3227=E3226:E$2)))))</f>
        <v> </v>
      </c>
      <c r="J3227" s="25" t="str">
        <f>IF(OR(E3227="",E3227="!!!",F3227="NEW"),"",COUNTBLANK(OFFSET(A$1,,,SUMPRODUCT(MAX(ROW(E$2:E3227)*(E3227=E$2:E3227)))))-COUNTBLANK(OFFSET(A$1,,,SUMPRODUCT(MAX(ROW(E$1:E3226)*(E2=E$1:E3226))))))</f>
        <v> </v>
      </c>
      <c r="K3227" s="25" t="str">
        <f>IF(OR(E3227="",E3227="!!!",F3227="NEW"),"",INDEX(J$1:J3226,SUMPRODUCT(MAX(ROW(E$1:E3226)*(E3227=E$1:E3226)))))</f>
        <v> </v>
      </c>
      <c r="L3227" s="26"/>
    </row>
    <row r="3228" spans="1:12">
      <c r="A3228" s="20" t="s">
        <v>725</v>
      </c>
      <c r="B3228" s="27" t="s">
        <v>592</v>
      </c>
      <c r="C3228" s="27" t="s">
        <v>545</v>
      </c>
      <c r="D3228" s="27" t="s">
        <v>524</v>
      </c>
      <c r="E3228" s="21">
        <f>IF(D3228="?OLD","!!!","")</f>
        <v/>
      </c>
      <c r="F3228" s="22" t="str">
        <f>IF(OR(E3228="",E3228="!!!"),"",IF(NOT(ISNA(VLOOKUP(E3228,E$1:E3227,1,FALSE()))),"OLD",IF(AND(E3228&lt;&gt;"",E3228&lt;&gt;"!!!"),"NEW","")))</f>
        <v> </v>
      </c>
      <c r="G3228" s="23" t="str">
        <f>IF(OR(E3228="",E3228="!!!"),"",IF(OR(J3228=0,AND(J3228=1,K3228=1),AND(J3228=1,I3228="SBJ"),AND(J3228=1,I3228=0)),"?IN_FOCUS",IF(J3228&lt;=2,"?ACTIVATED",IF(J3228&lt;&gt;"","?FAMILIAR",IF(F3228="NEW",IF(ISNA(VLOOKUP(E3228,#REF!,1,FALSE())),"?TYPE_IDENTIFIABLE","?REFERENTIAL"),"_")))))</f>
        <v> </v>
      </c>
      <c r="H3228" s="24" t="str">
        <f>IF(J3228&lt;&gt;1,"",IF(I3228="SBJ","CB","?"))</f>
        <v> </v>
      </c>
      <c r="I3228" s="25" t="str">
        <f>IF(OR(E3228="",E3228="!!!",F3228="NEW"),"",INDEX(B3227:B$2,-1+SUMPRODUCT(MAX(ROW(E3227:E$2)*(E3228=E3227:E$2)))))</f>
        <v> </v>
      </c>
      <c r="J3228" s="25" t="str">
        <f>IF(OR(E3228="",E3228="!!!",F3228="NEW"),"",COUNTBLANK(OFFSET(A$1,,,SUMPRODUCT(MAX(ROW(E$2:E3228)*(E3228=E$2:E3228)))))-COUNTBLANK(OFFSET(A$1,,,SUMPRODUCT(MAX(ROW(E$1:E3227)*(E2=E$1:E3227))))))</f>
        <v> </v>
      </c>
      <c r="K3228" s="25" t="str">
        <f>IF(OR(E3228="",E3228="!!!",F3228="NEW"),"",INDEX(J$1:J3227,SUMPRODUCT(MAX(ROW(E$1:E3227)*(E3228=E$1:E3227)))))</f>
        <v> </v>
      </c>
      <c r="L3228" s="26"/>
    </row>
    <row r="3229" spans="1:12">
      <c r="A3229" s="20" t="s">
        <v>565</v>
      </c>
      <c r="E3229" s="21">
        <f>IF(D3229="?OLD","!!!","")</f>
        <v/>
      </c>
      <c r="F3229" s="22" t="str">
        <f>IF(OR(E3229="",E3229="!!!"),"",IF(NOT(ISNA(VLOOKUP(E3229,E$1:E3228,1,FALSE()))),"OLD",IF(AND(E3229&lt;&gt;"",E3229&lt;&gt;"!!!"),"NEW","")))</f>
        <v> </v>
      </c>
      <c r="G3229" s="23" t="str">
        <f>IF(OR(E3229="",E3229="!!!"),"",IF(OR(J3229=0,AND(J3229=1,K3229=1),AND(J3229=1,I3229="SBJ"),AND(J3229=1,I3229=0)),"?IN_FOCUS",IF(J3229&lt;=2,"?ACTIVATED",IF(J3229&lt;&gt;"","?FAMILIAR",IF(F3229="NEW",IF(ISNA(VLOOKUP(E3229,#REF!,1,FALSE())),"?TYPE_IDENTIFIABLE","?REFERENTIAL"),"_")))))</f>
        <v> </v>
      </c>
      <c r="H3229" s="24" t="str">
        <f>IF(J3229&lt;&gt;1,"",IF(I3229="SBJ","CB","?"))</f>
        <v> </v>
      </c>
      <c r="I3229" s="25" t="str">
        <f>IF(OR(E3229="",E3229="!!!",F3229="NEW"),"",INDEX(B3228:B$2,-1+SUMPRODUCT(MAX(ROW(E3228:E$2)*(E3229=E3228:E$2)))))</f>
        <v> </v>
      </c>
      <c r="J3229" s="25" t="str">
        <f>IF(OR(E3229="",E3229="!!!",F3229="NEW"),"",COUNTBLANK(OFFSET(A$1,,,SUMPRODUCT(MAX(ROW(E$2:E3229)*(E3229=E$2:E3229)))))-COUNTBLANK(OFFSET(A$1,,,SUMPRODUCT(MAX(ROW(E$1:E3228)*(E2=E$1:E3228))))))</f>
        <v> </v>
      </c>
      <c r="K3229" s="25" t="str">
        <f>IF(OR(E3229="",E3229="!!!",F3229="NEW"),"",INDEX(J$1:J3228,SUMPRODUCT(MAX(ROW(E$1:E3228)*(E3229=E$1:E3228)))))</f>
        <v> </v>
      </c>
      <c r="L3229" s="26"/>
    </row>
    <row r="3230" spans="1:12">
      <c r="A3230" s="20" t="s">
        <v>571</v>
      </c>
      <c r="E3230" s="21">
        <f>IF(D3230="?OLD","!!!","")</f>
        <v/>
      </c>
      <c r="F3230" s="22" t="str">
        <f>IF(OR(E3230="",E3230="!!!"),"",IF(NOT(ISNA(VLOOKUP(E3230,E$1:E3229,1,FALSE()))),"OLD",IF(AND(E3230&lt;&gt;"",E3230&lt;&gt;"!!!"),"NEW","")))</f>
        <v> </v>
      </c>
      <c r="G3230" s="23" t="str">
        <f>IF(OR(E3230="",E3230="!!!"),"",IF(OR(J3230=0,AND(J3230=1,K3230=1),AND(J3230=1,I3230="SBJ"),AND(J3230=1,I3230=0)),"?IN_FOCUS",IF(J3230&lt;=2,"?ACTIVATED",IF(J3230&lt;&gt;"","?FAMILIAR",IF(F3230="NEW",IF(ISNA(VLOOKUP(E3230,#REF!,1,FALSE())),"?TYPE_IDENTIFIABLE","?REFERENTIAL"),"_")))))</f>
        <v> </v>
      </c>
      <c r="H3230" s="24" t="str">
        <f>IF(J3230&lt;&gt;1,"",IF(I3230="SBJ","CB","?"))</f>
        <v> </v>
      </c>
      <c r="I3230" s="25" t="str">
        <f>IF(OR(E3230="",E3230="!!!",F3230="NEW"),"",INDEX(B3229:B$2,-1+SUMPRODUCT(MAX(ROW(E3229:E$2)*(E3230=E3229:E$2)))))</f>
        <v> </v>
      </c>
      <c r="J3230" s="25" t="str">
        <f>IF(OR(E3230="",E3230="!!!",F3230="NEW"),"",COUNTBLANK(OFFSET(A$1,,,SUMPRODUCT(MAX(ROW(E$2:E3230)*(E3230=E$2:E3230)))))-COUNTBLANK(OFFSET(A$1,,,SUMPRODUCT(MAX(ROW(E$1:E3229)*(E2=E$1:E3229))))))</f>
        <v> </v>
      </c>
      <c r="K3230" s="25" t="str">
        <f>IF(OR(E3230="",E3230="!!!",F3230="NEW"),"",INDEX(J$1:J3229,SUMPRODUCT(MAX(ROW(E$1:E3229)*(E3230=E$1:E3229)))))</f>
        <v> </v>
      </c>
      <c r="L3230" s="26"/>
    </row>
    <row r="3231" spans="1:12">
      <c r="A3231" s="20" t="s">
        <v>1580</v>
      </c>
      <c r="B3231" s="27" t="s">
        <v>680</v>
      </c>
      <c r="C3231" s="27" t="s">
        <v>545</v>
      </c>
      <c r="D3231" s="27" t="s">
        <v>524</v>
      </c>
      <c r="E3231" s="21">
        <f>IF(D3231="?OLD","!!!","")</f>
        <v/>
      </c>
      <c r="F3231" s="22" t="str">
        <f>IF(OR(E3231="",E3231="!!!"),"",IF(NOT(ISNA(VLOOKUP(E3231,E$1:E3230,1,FALSE()))),"OLD",IF(AND(E3231&lt;&gt;"",E3231&lt;&gt;"!!!"),"NEW","")))</f>
        <v> </v>
      </c>
      <c r="G3231" s="23" t="str">
        <f>IF(OR(E3231="",E3231="!!!"),"",IF(OR(J3231=0,AND(J3231=1,K3231=1),AND(J3231=1,I3231="SBJ"),AND(J3231=1,I3231=0)),"?IN_FOCUS",IF(J3231&lt;=2,"?ACTIVATED",IF(J3231&lt;&gt;"","?FAMILIAR",IF(F3231="NEW",IF(ISNA(VLOOKUP(E3231,#REF!,1,FALSE())),"?TYPE_IDENTIFIABLE","?REFERENTIAL"),"_")))))</f>
        <v> </v>
      </c>
      <c r="H3231" s="24" t="str">
        <f>IF(J3231&lt;&gt;1,"",IF(I3231="SBJ","CB","?"))</f>
        <v> </v>
      </c>
      <c r="I3231" s="25" t="str">
        <f>IF(OR(E3231="",E3231="!!!",F3231="NEW"),"",INDEX(B3230:B$2,-1+SUMPRODUCT(MAX(ROW(E3230:E$2)*(E3231=E3230:E$2)))))</f>
        <v> </v>
      </c>
      <c r="J3231" s="25" t="str">
        <f>IF(OR(E3231="",E3231="!!!",F3231="NEW"),"",COUNTBLANK(OFFSET(A$1,,,SUMPRODUCT(MAX(ROW(E$2:E3231)*(E3231=E$2:E3231)))))-COUNTBLANK(OFFSET(A$1,,,SUMPRODUCT(MAX(ROW(E$1:E3230)*(E2=E$1:E3230))))))</f>
        <v> </v>
      </c>
      <c r="K3231" s="25" t="str">
        <f>IF(OR(E3231="",E3231="!!!",F3231="NEW"),"",INDEX(J$1:J3230,SUMPRODUCT(MAX(ROW(E$1:E3230)*(E3231=E$1:E3230)))))</f>
        <v> </v>
      </c>
      <c r="L3231" s="26"/>
    </row>
    <row r="3232" spans="1:12">
      <c r="A3232" s="20" t="s">
        <v>1581</v>
      </c>
      <c r="E3232" s="21">
        <f>IF(D3232="?OLD","!!!","")</f>
        <v/>
      </c>
      <c r="F3232" s="22" t="str">
        <f>IF(OR(E3232="",E3232="!!!"),"",IF(NOT(ISNA(VLOOKUP(E3232,E$1:E3231,1,FALSE()))),"OLD",IF(AND(E3232&lt;&gt;"",E3232&lt;&gt;"!!!"),"NEW","")))</f>
        <v> </v>
      </c>
      <c r="G3232" s="23" t="str">
        <f>IF(OR(E3232="",E3232="!!!"),"",IF(OR(J3232=0,AND(J3232=1,K3232=1),AND(J3232=1,I3232="SBJ"),AND(J3232=1,I3232=0)),"?IN_FOCUS",IF(J3232&lt;=2,"?ACTIVATED",IF(J3232&lt;&gt;"","?FAMILIAR",IF(F3232="NEW",IF(ISNA(VLOOKUP(E3232,#REF!,1,FALSE())),"?TYPE_IDENTIFIABLE","?REFERENTIAL"),"_")))))</f>
        <v> </v>
      </c>
      <c r="H3232" s="24" t="str">
        <f>IF(J3232&lt;&gt;1,"",IF(I3232="SBJ","CB","?"))</f>
        <v> </v>
      </c>
      <c r="I3232" s="25" t="str">
        <f>IF(OR(E3232="",E3232="!!!",F3232="NEW"),"",INDEX(B3231:B$2,-1+SUMPRODUCT(MAX(ROW(E3231:E$2)*(E3232=E3231:E$2)))))</f>
        <v> </v>
      </c>
      <c r="J3232" s="25" t="str">
        <f>IF(OR(E3232="",E3232="!!!",F3232="NEW"),"",COUNTBLANK(OFFSET(A$1,,,SUMPRODUCT(MAX(ROW(E$2:E3232)*(E3232=E$2:E3232)))))-COUNTBLANK(OFFSET(A$1,,,SUMPRODUCT(MAX(ROW(E$1:E3231)*(E2=E$1:E3231))))))</f>
        <v> </v>
      </c>
      <c r="K3232" s="25" t="str">
        <f>IF(OR(E3232="",E3232="!!!",F3232="NEW"),"",INDEX(J$1:J3231,SUMPRODUCT(MAX(ROW(E$1:E3231)*(E3232=E$1:E3231)))))</f>
        <v> </v>
      </c>
      <c r="L3232" s="26"/>
    </row>
    <row r="3233" spans="1:12">
      <c r="A3233" s="20" t="s">
        <v>518</v>
      </c>
      <c r="E3233" s="21">
        <f>IF(D3233="?OLD","!!!","")</f>
        <v/>
      </c>
      <c r="F3233" s="22" t="str">
        <f>IF(OR(E3233="",E3233="!!!"),"",IF(NOT(ISNA(VLOOKUP(E3233,E$1:E3232,1,FALSE()))),"OLD",IF(AND(E3233&lt;&gt;"",E3233&lt;&gt;"!!!"),"NEW","")))</f>
        <v> </v>
      </c>
      <c r="G3233" s="23" t="str">
        <f>IF(OR(E3233="",E3233="!!!"),"",IF(OR(J3233=0,AND(J3233=1,K3233=1),AND(J3233=1,I3233="SBJ"),AND(J3233=1,I3233=0)),"?IN_FOCUS",IF(J3233&lt;=2,"?ACTIVATED",IF(J3233&lt;&gt;"","?FAMILIAR",IF(F3233="NEW",IF(ISNA(VLOOKUP(E3233,#REF!,1,FALSE())),"?TYPE_IDENTIFIABLE","?REFERENTIAL"),"_")))))</f>
        <v> </v>
      </c>
      <c r="H3233" s="24" t="str">
        <f>IF(J3233&lt;&gt;1,"",IF(I3233="SBJ","CB","?"))</f>
        <v> </v>
      </c>
      <c r="I3233" s="25" t="str">
        <f>IF(OR(E3233="",E3233="!!!",F3233="NEW"),"",INDEX(B3232:B$2,-1+SUMPRODUCT(MAX(ROW(E3232:E$2)*(E3233=E3232:E$2)))))</f>
        <v> </v>
      </c>
      <c r="J3233" s="25" t="str">
        <f>IF(OR(E3233="",E3233="!!!",F3233="NEW"),"",COUNTBLANK(OFFSET(A$1,,,SUMPRODUCT(MAX(ROW(E$2:E3233)*(E3233=E$2:E3233)))))-COUNTBLANK(OFFSET(A$1,,,SUMPRODUCT(MAX(ROW(E$1:E3232)*(E2=E$1:E3232))))))</f>
        <v> </v>
      </c>
      <c r="K3233" s="25" t="str">
        <f>IF(OR(E3233="",E3233="!!!",F3233="NEW"),"",INDEX(J$1:J3232,SUMPRODUCT(MAX(ROW(E$1:E3232)*(E3233=E$1:E3232)))))</f>
        <v> </v>
      </c>
      <c r="L3233" s="26"/>
    </row>
    <row r="3234" spans="1:12">
      <c r="A3234" s="20" t="s">
        <v>542</v>
      </c>
      <c r="E3234" s="21">
        <f>IF(D3234="?OLD","!!!","")</f>
        <v/>
      </c>
      <c r="F3234" s="22" t="str">
        <f>IF(OR(E3234="",E3234="!!!"),"",IF(NOT(ISNA(VLOOKUP(E3234,E$1:E3233,1,FALSE()))),"OLD",IF(AND(E3234&lt;&gt;"",E3234&lt;&gt;"!!!"),"NEW","")))</f>
        <v> </v>
      </c>
      <c r="G3234" s="23" t="str">
        <f>IF(OR(E3234="",E3234="!!!"),"",IF(OR(J3234=0,AND(J3234=1,K3234=1),AND(J3234=1,I3234="SBJ"),AND(J3234=1,I3234=0)),"?IN_FOCUS",IF(J3234&lt;=2,"?ACTIVATED",IF(J3234&lt;&gt;"","?FAMILIAR",IF(F3234="NEW",IF(ISNA(VLOOKUP(E3234,#REF!,1,FALSE())),"?TYPE_IDENTIFIABLE","?REFERENTIAL"),"_")))))</f>
        <v> </v>
      </c>
      <c r="H3234" s="24" t="str">
        <f>IF(J3234&lt;&gt;1,"",IF(I3234="SBJ","CB","?"))</f>
        <v> </v>
      </c>
      <c r="I3234" s="25" t="str">
        <f>IF(OR(E3234="",E3234="!!!",F3234="NEW"),"",INDEX(B3233:B$2,-1+SUMPRODUCT(MAX(ROW(E3233:E$2)*(E3234=E3233:E$2)))))</f>
        <v> </v>
      </c>
      <c r="J3234" s="25" t="str">
        <f>IF(OR(E3234="",E3234="!!!",F3234="NEW"),"",COUNTBLANK(OFFSET(A$1,,,SUMPRODUCT(MAX(ROW(E$2:E3234)*(E3234=E$2:E3234)))))-COUNTBLANK(OFFSET(A$1,,,SUMPRODUCT(MAX(ROW(E$1:E3233)*(E2=E$1:E3233))))))</f>
        <v> </v>
      </c>
      <c r="K3234" s="25" t="str">
        <f>IF(OR(E3234="",E3234="!!!",F3234="NEW"),"",INDEX(J$1:J3233,SUMPRODUCT(MAX(ROW(E$1:E3233)*(E3234=E$1:E3233)))))</f>
        <v> </v>
      </c>
      <c r="L3234" s="26"/>
    </row>
    <row r="3235" spans="1:12">
      <c r="A3235" s="20" t="s">
        <v>580</v>
      </c>
      <c r="B3235" s="27" t="s">
        <v>592</v>
      </c>
      <c r="C3235" s="27" t="s">
        <v>545</v>
      </c>
      <c r="D3235" s="27" t="s">
        <v>524</v>
      </c>
      <c r="E3235" s="21">
        <f>IF(D3235="?OLD","!!!","")</f>
        <v/>
      </c>
      <c r="F3235" s="22" t="str">
        <f>IF(OR(E3235="",E3235="!!!"),"",IF(NOT(ISNA(VLOOKUP(E3235,E$1:E3234,1,FALSE()))),"OLD",IF(AND(E3235&lt;&gt;"",E3235&lt;&gt;"!!!"),"NEW","")))</f>
        <v> </v>
      </c>
      <c r="G3235" s="23" t="str">
        <f>IF(OR(E3235="",E3235="!!!"),"",IF(OR(J3235=0,AND(J3235=1,K3235=1),AND(J3235=1,I3235="SBJ"),AND(J3235=1,I3235=0)),"?IN_FOCUS",IF(J3235&lt;=2,"?ACTIVATED",IF(J3235&lt;&gt;"","?FAMILIAR",IF(F3235="NEW",IF(ISNA(VLOOKUP(E3235,#REF!,1,FALSE())),"?TYPE_IDENTIFIABLE","?REFERENTIAL"),"_")))))</f>
        <v> </v>
      </c>
      <c r="H3235" s="24" t="str">
        <f>IF(J3235&lt;&gt;1,"",IF(I3235="SBJ","CB","?"))</f>
        <v> </v>
      </c>
      <c r="I3235" s="25" t="str">
        <f>IF(OR(E3235="",E3235="!!!",F3235="NEW"),"",INDEX(B3234:B$2,-1+SUMPRODUCT(MAX(ROW(E3234:E$2)*(E3235=E3234:E$2)))))</f>
        <v> </v>
      </c>
      <c r="J3235" s="25" t="str">
        <f>IF(OR(E3235="",E3235="!!!",F3235="NEW"),"",COUNTBLANK(OFFSET(A$1,,,SUMPRODUCT(MAX(ROW(E$2:E3235)*(E3235=E$2:E3235)))))-COUNTBLANK(OFFSET(A$1,,,SUMPRODUCT(MAX(ROW(E$1:E3234)*(E2=E$1:E3234))))))</f>
        <v> </v>
      </c>
      <c r="K3235" s="25" t="str">
        <f>IF(OR(E3235="",E3235="!!!",F3235="NEW"),"",INDEX(J$1:J3234,SUMPRODUCT(MAX(ROW(E$1:E3234)*(E3235=E$1:E3234)))))</f>
        <v> </v>
      </c>
      <c r="L3235" s="26"/>
    </row>
    <row r="3236" spans="1:12">
      <c r="A3236" s="20" t="s">
        <v>581</v>
      </c>
      <c r="E3236" s="21">
        <f>IF(D3236="?OLD","!!!","")</f>
        <v/>
      </c>
      <c r="F3236" s="22" t="str">
        <f>IF(OR(E3236="",E3236="!!!"),"",IF(NOT(ISNA(VLOOKUP(E3236,E$1:E3235,1,FALSE()))),"OLD",IF(AND(E3236&lt;&gt;"",E3236&lt;&gt;"!!!"),"NEW","")))</f>
        <v> </v>
      </c>
      <c r="G3236" s="23" t="str">
        <f>IF(OR(E3236="",E3236="!!!"),"",IF(OR(J3236=0,AND(J3236=1,K3236=1),AND(J3236=1,I3236="SBJ"),AND(J3236=1,I3236=0)),"?IN_FOCUS",IF(J3236&lt;=2,"?ACTIVATED",IF(J3236&lt;&gt;"","?FAMILIAR",IF(F3236="NEW",IF(ISNA(VLOOKUP(E3236,#REF!,1,FALSE())),"?TYPE_IDENTIFIABLE","?REFERENTIAL"),"_")))))</f>
        <v> </v>
      </c>
      <c r="H3236" s="24" t="str">
        <f>IF(J3236&lt;&gt;1,"",IF(I3236="SBJ","CB","?"))</f>
        <v> </v>
      </c>
      <c r="I3236" s="25" t="str">
        <f>IF(OR(E3236="",E3236="!!!",F3236="NEW"),"",INDEX(B3235:B$2,-1+SUMPRODUCT(MAX(ROW(E3235:E$2)*(E3236=E3235:E$2)))))</f>
        <v> </v>
      </c>
      <c r="J3236" s="25" t="str">
        <f>IF(OR(E3236="",E3236="!!!",F3236="NEW"),"",COUNTBLANK(OFFSET(A$1,,,SUMPRODUCT(MAX(ROW(E$2:E3236)*(E3236=E$2:E3236)))))-COUNTBLANK(OFFSET(A$1,,,SUMPRODUCT(MAX(ROW(E$1:E3235)*(E2=E$1:E3235))))))</f>
        <v> </v>
      </c>
      <c r="K3236" s="25" t="str">
        <f>IF(OR(E3236="",E3236="!!!",F3236="NEW"),"",INDEX(J$1:J3235,SUMPRODUCT(MAX(ROW(E$1:E3235)*(E3236=E$1:E3235)))))</f>
        <v> </v>
      </c>
      <c r="L3236" s="26"/>
    </row>
    <row r="3237" spans="1:12">
      <c r="A3237" s="20" t="s">
        <v>1576</v>
      </c>
      <c r="E3237" s="21">
        <f>IF(D3237="?OLD","!!!","")</f>
        <v/>
      </c>
      <c r="F3237" s="22" t="str">
        <f>IF(OR(E3237="",E3237="!!!"),"",IF(NOT(ISNA(VLOOKUP(E3237,E$1:E3236,1,FALSE()))),"OLD",IF(AND(E3237&lt;&gt;"",E3237&lt;&gt;"!!!"),"NEW","")))</f>
        <v> </v>
      </c>
      <c r="G3237" s="23" t="str">
        <f>IF(OR(E3237="",E3237="!!!"),"",IF(OR(J3237=0,AND(J3237=1,K3237=1),AND(J3237=1,I3237="SBJ"),AND(J3237=1,I3237=0)),"?IN_FOCUS",IF(J3237&lt;=2,"?ACTIVATED",IF(J3237&lt;&gt;"","?FAMILIAR",IF(F3237="NEW",IF(ISNA(VLOOKUP(E3237,#REF!,1,FALSE())),"?TYPE_IDENTIFIABLE","?REFERENTIAL"),"_")))))</f>
        <v> </v>
      </c>
      <c r="H3237" s="24" t="str">
        <f>IF(J3237&lt;&gt;1,"",IF(I3237="SBJ","CB","?"))</f>
        <v> </v>
      </c>
      <c r="I3237" s="25" t="str">
        <f>IF(OR(E3237="",E3237="!!!",F3237="NEW"),"",INDEX(B3236:B$2,-1+SUMPRODUCT(MAX(ROW(E3236:E$2)*(E3237=E3236:E$2)))))</f>
        <v> </v>
      </c>
      <c r="J3237" s="25" t="str">
        <f>IF(OR(E3237="",E3237="!!!",F3237="NEW"),"",COUNTBLANK(OFFSET(A$1,,,SUMPRODUCT(MAX(ROW(E$2:E3237)*(E3237=E$2:E3237)))))-COUNTBLANK(OFFSET(A$1,,,SUMPRODUCT(MAX(ROW(E$1:E3236)*(E2=E$1:E3236))))))</f>
        <v> </v>
      </c>
      <c r="K3237" s="25" t="str">
        <f>IF(OR(E3237="",E3237="!!!",F3237="NEW"),"",INDEX(J$1:J3236,SUMPRODUCT(MAX(ROW(E$1:E3236)*(E3237=E$1:E3236)))))</f>
        <v> </v>
      </c>
      <c r="L3237" s="26"/>
    </row>
    <row r="3238" spans="1:12">
      <c r="A3238" s="20" t="s">
        <v>581</v>
      </c>
      <c r="E3238" s="21">
        <f>IF(D3238="?OLD","!!!","")</f>
        <v/>
      </c>
      <c r="F3238" s="22" t="str">
        <f>IF(OR(E3238="",E3238="!!!"),"",IF(NOT(ISNA(VLOOKUP(E3238,E$1:E3237,1,FALSE()))),"OLD",IF(AND(E3238&lt;&gt;"",E3238&lt;&gt;"!!!"),"NEW","")))</f>
        <v> </v>
      </c>
      <c r="G3238" s="23" t="str">
        <f>IF(OR(E3238="",E3238="!!!"),"",IF(OR(J3238=0,AND(J3238=1,K3238=1),AND(J3238=1,I3238="SBJ"),AND(J3238=1,I3238=0)),"?IN_FOCUS",IF(J3238&lt;=2,"?ACTIVATED",IF(J3238&lt;&gt;"","?FAMILIAR",IF(F3238="NEW",IF(ISNA(VLOOKUP(E3238,#REF!,1,FALSE())),"?TYPE_IDENTIFIABLE","?REFERENTIAL"),"_")))))</f>
        <v> </v>
      </c>
      <c r="H3238" s="24" t="str">
        <f>IF(J3238&lt;&gt;1,"",IF(I3238="SBJ","CB","?"))</f>
        <v> </v>
      </c>
      <c r="I3238" s="25" t="str">
        <f>IF(OR(E3238="",E3238="!!!",F3238="NEW"),"",INDEX(B3237:B$2,-1+SUMPRODUCT(MAX(ROW(E3237:E$2)*(E3238=E3237:E$2)))))</f>
        <v> </v>
      </c>
      <c r="J3238" s="25" t="str">
        <f>IF(OR(E3238="",E3238="!!!",F3238="NEW"),"",COUNTBLANK(OFFSET(A$1,,,SUMPRODUCT(MAX(ROW(E$2:E3238)*(E3238=E$2:E3238)))))-COUNTBLANK(OFFSET(A$1,,,SUMPRODUCT(MAX(ROW(E$1:E3237)*(E2=E$1:E3237))))))</f>
        <v> </v>
      </c>
      <c r="K3238" s="25" t="str">
        <f>IF(OR(E3238="",E3238="!!!",F3238="NEW"),"",INDEX(J$1:J3237,SUMPRODUCT(MAX(ROW(E$1:E3237)*(E3238=E$1:E3237)))))</f>
        <v> </v>
      </c>
      <c r="L3238" s="26"/>
    </row>
    <row r="3239" spans="1:12">
      <c r="A3239" s="20" t="s">
        <v>771</v>
      </c>
      <c r="E3239" s="21">
        <f>IF(D3239="?OLD","!!!","")</f>
        <v/>
      </c>
      <c r="F3239" s="22" t="str">
        <f>IF(OR(E3239="",E3239="!!!"),"",IF(NOT(ISNA(VLOOKUP(E3239,E$1:E3238,1,FALSE()))),"OLD",IF(AND(E3239&lt;&gt;"",E3239&lt;&gt;"!!!"),"NEW","")))</f>
        <v> </v>
      </c>
      <c r="G3239" s="23" t="str">
        <f>IF(OR(E3239="",E3239="!!!"),"",IF(OR(J3239=0,AND(J3239=1,K3239=1),AND(J3239=1,I3239="SBJ"),AND(J3239=1,I3239=0)),"?IN_FOCUS",IF(J3239&lt;=2,"?ACTIVATED",IF(J3239&lt;&gt;"","?FAMILIAR",IF(F3239="NEW",IF(ISNA(VLOOKUP(E3239,#REF!,1,FALSE())),"?TYPE_IDENTIFIABLE","?REFERENTIAL"),"_")))))</f>
        <v> </v>
      </c>
      <c r="H3239" s="24" t="str">
        <f>IF(J3239&lt;&gt;1,"",IF(I3239="SBJ","CB","?"))</f>
        <v> </v>
      </c>
      <c r="I3239" s="25" t="str">
        <f>IF(OR(E3239="",E3239="!!!",F3239="NEW"),"",INDEX(B3238:B$2,-1+SUMPRODUCT(MAX(ROW(E3238:E$2)*(E3239=E3238:E$2)))))</f>
        <v> </v>
      </c>
      <c r="J3239" s="25" t="str">
        <f>IF(OR(E3239="",E3239="!!!",F3239="NEW"),"",COUNTBLANK(OFFSET(A$1,,,SUMPRODUCT(MAX(ROW(E$2:E3239)*(E3239=E$2:E3239)))))-COUNTBLANK(OFFSET(A$1,,,SUMPRODUCT(MAX(ROW(E$1:E3238)*(E2=E$1:E3238))))))</f>
        <v> </v>
      </c>
      <c r="K3239" s="25" t="str">
        <f>IF(OR(E3239="",E3239="!!!",F3239="NEW"),"",INDEX(J$1:J3238,SUMPRODUCT(MAX(ROW(E$1:E3238)*(E3239=E$1:E3238)))))</f>
        <v> </v>
      </c>
      <c r="L3239" s="26"/>
    </row>
    <row r="3240" spans="1:12">
      <c r="A3240" s="20" t="s">
        <v>1582</v>
      </c>
      <c r="B3240" s="27" t="s">
        <v>743</v>
      </c>
      <c r="C3240" s="27" t="s">
        <v>564</v>
      </c>
      <c r="E3240" s="21">
        <f>IF(D3240="?OLD","!!!","")</f>
        <v/>
      </c>
      <c r="F3240" s="22" t="str">
        <f>IF(OR(E3240="",E3240="!!!"),"",IF(NOT(ISNA(VLOOKUP(E3240,E$1:E3239,1,FALSE()))),"OLD",IF(AND(E3240&lt;&gt;"",E3240&lt;&gt;"!!!"),"NEW","")))</f>
        <v> </v>
      </c>
      <c r="G3240" s="23" t="str">
        <f>IF(OR(E3240="",E3240="!!!"),"",IF(OR(J3240=0,AND(J3240=1,K3240=1),AND(J3240=1,I3240="SBJ"),AND(J3240=1,I3240=0)),"?IN_FOCUS",IF(J3240&lt;=2,"?ACTIVATED",IF(J3240&lt;&gt;"","?FAMILIAR",IF(F3240="NEW",IF(ISNA(VLOOKUP(E3240,#REF!,1,FALSE())),"?TYPE_IDENTIFIABLE","?REFERENTIAL"),"_")))))</f>
        <v> </v>
      </c>
      <c r="H3240" s="24" t="str">
        <f>IF(J3240&lt;&gt;1,"",IF(I3240="SBJ","CB","?"))</f>
        <v> </v>
      </c>
      <c r="I3240" s="25" t="str">
        <f>IF(OR(E3240="",E3240="!!!",F3240="NEW"),"",INDEX(B3239:B$2,-1+SUMPRODUCT(MAX(ROW(E3239:E$2)*(E3240=E3239:E$2)))))</f>
        <v> </v>
      </c>
      <c r="J3240" s="25" t="str">
        <f>IF(OR(E3240="",E3240="!!!",F3240="NEW"),"",COUNTBLANK(OFFSET(A$1,,,SUMPRODUCT(MAX(ROW(E$2:E3240)*(E3240=E$2:E3240)))))-COUNTBLANK(OFFSET(A$1,,,SUMPRODUCT(MAX(ROW(E$1:E3239)*(E2=E$1:E3239))))))</f>
        <v> </v>
      </c>
      <c r="K3240" s="25" t="str">
        <f>IF(OR(E3240="",E3240="!!!",F3240="NEW"),"",INDEX(J$1:J3239,SUMPRODUCT(MAX(ROW(E$1:E3239)*(E3240=E$1:E3239)))))</f>
        <v> </v>
      </c>
      <c r="L3240" s="26"/>
    </row>
    <row r="3241" spans="1:12">
      <c r="A3241" s="20" t="s">
        <v>577</v>
      </c>
      <c r="E3241" s="21">
        <f>IF(D3241="?OLD","!!!","")</f>
        <v/>
      </c>
      <c r="F3241" s="22" t="str">
        <f>IF(OR(E3241="",E3241="!!!"),"",IF(NOT(ISNA(VLOOKUP(E3241,E$1:E3240,1,FALSE()))),"OLD",IF(AND(E3241&lt;&gt;"",E3241&lt;&gt;"!!!"),"NEW","")))</f>
        <v> </v>
      </c>
      <c r="G3241" s="23" t="str">
        <f>IF(OR(E3241="",E3241="!!!"),"",IF(OR(J3241=0,AND(J3241=1,K3241=1),AND(J3241=1,I3241="SBJ"),AND(J3241=1,I3241=0)),"?IN_FOCUS",IF(J3241&lt;=2,"?ACTIVATED",IF(J3241&lt;&gt;"","?FAMILIAR",IF(F3241="NEW",IF(ISNA(VLOOKUP(E3241,#REF!,1,FALSE())),"?TYPE_IDENTIFIABLE","?REFERENTIAL"),"_")))))</f>
        <v> </v>
      </c>
      <c r="H3241" s="24" t="str">
        <f>IF(J3241&lt;&gt;1,"",IF(I3241="SBJ","CB","?"))</f>
        <v> </v>
      </c>
      <c r="I3241" s="25" t="str">
        <f>IF(OR(E3241="",E3241="!!!",F3241="NEW"),"",INDEX(B3240:B$2,-1+SUMPRODUCT(MAX(ROW(E3240:E$2)*(E3241=E3240:E$2)))))</f>
        <v> </v>
      </c>
      <c r="J3241" s="25" t="str">
        <f>IF(OR(E3241="",E3241="!!!",F3241="NEW"),"",COUNTBLANK(OFFSET(A$1,,,SUMPRODUCT(MAX(ROW(E$2:E3241)*(E3241=E$2:E3241)))))-COUNTBLANK(OFFSET(A$1,,,SUMPRODUCT(MAX(ROW(E$1:E3240)*(E2=E$1:E3240))))))</f>
        <v> </v>
      </c>
      <c r="K3241" s="25" t="str">
        <f>IF(OR(E3241="",E3241="!!!",F3241="NEW"),"",INDEX(J$1:J3240,SUMPRODUCT(MAX(ROW(E$1:E3240)*(E3241=E$1:E3240)))))</f>
        <v> </v>
      </c>
      <c r="L3241" s="26"/>
    </row>
    <row r="3242" spans="1:12">
      <c r="A3242" s="20" t="s">
        <v>542</v>
      </c>
      <c r="E3242" s="21">
        <f>IF(D3242="?OLD","!!!","")</f>
        <v/>
      </c>
      <c r="F3242" s="22" t="str">
        <f>IF(OR(E3242="",E3242="!!!"),"",IF(NOT(ISNA(VLOOKUP(E3242,E$1:E3241,1,FALSE()))),"OLD",IF(AND(E3242&lt;&gt;"",E3242&lt;&gt;"!!!"),"NEW","")))</f>
        <v> </v>
      </c>
      <c r="G3242" s="23" t="str">
        <f>IF(OR(E3242="",E3242="!!!"),"",IF(OR(J3242=0,AND(J3242=1,K3242=1),AND(J3242=1,I3242="SBJ"),AND(J3242=1,I3242=0)),"?IN_FOCUS",IF(J3242&lt;=2,"?ACTIVATED",IF(J3242&lt;&gt;"","?FAMILIAR",IF(F3242="NEW",IF(ISNA(VLOOKUP(E3242,#REF!,1,FALSE())),"?TYPE_IDENTIFIABLE","?REFERENTIAL"),"_")))))</f>
        <v> </v>
      </c>
      <c r="H3242" s="24" t="str">
        <f>IF(J3242&lt;&gt;1,"",IF(I3242="SBJ","CB","?"))</f>
        <v> </v>
      </c>
      <c r="I3242" s="25" t="str">
        <f>IF(OR(E3242="",E3242="!!!",F3242="NEW"),"",INDEX(B3241:B$2,-1+SUMPRODUCT(MAX(ROW(E3241:E$2)*(E3242=E3241:E$2)))))</f>
        <v> </v>
      </c>
      <c r="J3242" s="25" t="str">
        <f>IF(OR(E3242="",E3242="!!!",F3242="NEW"),"",COUNTBLANK(OFFSET(A$1,,,SUMPRODUCT(MAX(ROW(E$2:E3242)*(E3242=E$2:E3242)))))-COUNTBLANK(OFFSET(A$1,,,SUMPRODUCT(MAX(ROW(E$1:E3241)*(E2=E$1:E3241))))))</f>
        <v> </v>
      </c>
      <c r="K3242" s="25" t="str">
        <f>IF(OR(E3242="",E3242="!!!",F3242="NEW"),"",INDEX(J$1:J3241,SUMPRODUCT(MAX(ROW(E$1:E3241)*(E3242=E$1:E3241)))))</f>
        <v> </v>
      </c>
      <c r="L3242" s="26"/>
    </row>
    <row r="3243" spans="1:12">
      <c r="A3243" s="20" t="s">
        <v>580</v>
      </c>
      <c r="B3243" s="27" t="s">
        <v>592</v>
      </c>
      <c r="C3243" s="27" t="s">
        <v>545</v>
      </c>
      <c r="D3243" s="27" t="s">
        <v>524</v>
      </c>
      <c r="E3243" s="21">
        <f>IF(D3243="?OLD","!!!","")</f>
        <v/>
      </c>
      <c r="F3243" s="22" t="str">
        <f>IF(OR(E3243="",E3243="!!!"),"",IF(NOT(ISNA(VLOOKUP(E3243,E$1:E3242,1,FALSE()))),"OLD",IF(AND(E3243&lt;&gt;"",E3243&lt;&gt;"!!!"),"NEW","")))</f>
        <v> </v>
      </c>
      <c r="G3243" s="23" t="str">
        <f>IF(OR(E3243="",E3243="!!!"),"",IF(OR(J3243=0,AND(J3243=1,K3243=1),AND(J3243=1,I3243="SBJ"),AND(J3243=1,I3243=0)),"?IN_FOCUS",IF(J3243&lt;=2,"?ACTIVATED",IF(J3243&lt;&gt;"","?FAMILIAR",IF(F3243="NEW",IF(ISNA(VLOOKUP(E3243,#REF!,1,FALSE())),"?TYPE_IDENTIFIABLE","?REFERENTIAL"),"_")))))</f>
        <v> </v>
      </c>
      <c r="H3243" s="24" t="str">
        <f>IF(J3243&lt;&gt;1,"",IF(I3243="SBJ","CB","?"))</f>
        <v> </v>
      </c>
      <c r="I3243" s="25" t="str">
        <f>IF(OR(E3243="",E3243="!!!",F3243="NEW"),"",INDEX(B3242:B$2,-1+SUMPRODUCT(MAX(ROW(E3242:E$2)*(E3243=E3242:E$2)))))</f>
        <v> </v>
      </c>
      <c r="J3243" s="25" t="str">
        <f>IF(OR(E3243="",E3243="!!!",F3243="NEW"),"",COUNTBLANK(OFFSET(A$1,,,SUMPRODUCT(MAX(ROW(E$2:E3243)*(E3243=E$2:E3243)))))-COUNTBLANK(OFFSET(A$1,,,SUMPRODUCT(MAX(ROW(E$1:E3242)*(E2=E$1:E3242))))))</f>
        <v> </v>
      </c>
      <c r="K3243" s="25" t="str">
        <f>IF(OR(E3243="",E3243="!!!",F3243="NEW"),"",INDEX(J$1:J3242,SUMPRODUCT(MAX(ROW(E$1:E3242)*(E3243=E$1:E3242)))))</f>
        <v> </v>
      </c>
      <c r="L3243" s="26"/>
    </row>
    <row r="3244" spans="1:12">
      <c r="A3244" s="20" t="s">
        <v>581</v>
      </c>
      <c r="E3244" s="21">
        <f>IF(D3244="?OLD","!!!","")</f>
        <v/>
      </c>
      <c r="F3244" s="22" t="str">
        <f>IF(OR(E3244="",E3244="!!!"),"",IF(NOT(ISNA(VLOOKUP(E3244,E$1:E3243,1,FALSE()))),"OLD",IF(AND(E3244&lt;&gt;"",E3244&lt;&gt;"!!!"),"NEW","")))</f>
        <v> </v>
      </c>
      <c r="G3244" s="23" t="str">
        <f>IF(OR(E3244="",E3244="!!!"),"",IF(OR(J3244=0,AND(J3244=1,K3244=1),AND(J3244=1,I3244="SBJ"),AND(J3244=1,I3244=0)),"?IN_FOCUS",IF(J3244&lt;=2,"?ACTIVATED",IF(J3244&lt;&gt;"","?FAMILIAR",IF(F3244="NEW",IF(ISNA(VLOOKUP(E3244,#REF!,1,FALSE())),"?TYPE_IDENTIFIABLE","?REFERENTIAL"),"_")))))</f>
        <v> </v>
      </c>
      <c r="H3244" s="24" t="str">
        <f>IF(J3244&lt;&gt;1,"",IF(I3244="SBJ","CB","?"))</f>
        <v> </v>
      </c>
      <c r="I3244" s="25" t="str">
        <f>IF(OR(E3244="",E3244="!!!",F3244="NEW"),"",INDEX(B3243:B$2,-1+SUMPRODUCT(MAX(ROW(E3243:E$2)*(E3244=E3243:E$2)))))</f>
        <v> </v>
      </c>
      <c r="J3244" s="25" t="str">
        <f>IF(OR(E3244="",E3244="!!!",F3244="NEW"),"",COUNTBLANK(OFFSET(A$1,,,SUMPRODUCT(MAX(ROW(E$2:E3244)*(E3244=E$2:E3244)))))-COUNTBLANK(OFFSET(A$1,,,SUMPRODUCT(MAX(ROW(E$1:E3243)*(E2=E$1:E3243))))))</f>
        <v> </v>
      </c>
      <c r="K3244" s="25" t="str">
        <f>IF(OR(E3244="",E3244="!!!",F3244="NEW"),"",INDEX(J$1:J3243,SUMPRODUCT(MAX(ROW(E$1:E3243)*(E3244=E$1:E3243)))))</f>
        <v> </v>
      </c>
      <c r="L3244" s="26"/>
    </row>
    <row r="3245" spans="1:12">
      <c r="A3245" s="20" t="s">
        <v>1583</v>
      </c>
      <c r="B3245" s="27" t="s">
        <v>597</v>
      </c>
      <c r="C3245" s="27" t="s">
        <v>523</v>
      </c>
      <c r="D3245" s="27" t="s">
        <v>524</v>
      </c>
      <c r="E3245" s="21">
        <f>IF(D3245="?OLD","!!!","")</f>
        <v/>
      </c>
      <c r="F3245" s="22" t="str">
        <f>IF(OR(E3245="",E3245="!!!"),"",IF(NOT(ISNA(VLOOKUP(E3245,E$1:E3244,1,FALSE()))),"OLD",IF(AND(E3245&lt;&gt;"",E3245&lt;&gt;"!!!"),"NEW","")))</f>
        <v> </v>
      </c>
      <c r="G3245" s="23" t="str">
        <f>IF(OR(E3245="",E3245="!!!"),"",IF(OR(J3245=0,AND(J3245=1,K3245=1),AND(J3245=1,I3245="SBJ"),AND(J3245=1,I3245=0)),"?IN_FOCUS",IF(J3245&lt;=2,"?ACTIVATED",IF(J3245&lt;&gt;"","?FAMILIAR",IF(F3245="NEW",IF(ISNA(VLOOKUP(E3245,#REF!,1,FALSE())),"?TYPE_IDENTIFIABLE","?REFERENTIAL"),"_")))))</f>
        <v> </v>
      </c>
      <c r="H3245" s="24" t="str">
        <f>IF(J3245&lt;&gt;1,"",IF(I3245="SBJ","CB","?"))</f>
        <v> </v>
      </c>
      <c r="I3245" s="25" t="str">
        <f>IF(OR(E3245="",E3245="!!!",F3245="NEW"),"",INDEX(B3244:B$2,-1+SUMPRODUCT(MAX(ROW(E3244:E$2)*(E3245=E3244:E$2)))))</f>
        <v> </v>
      </c>
      <c r="J3245" s="25" t="str">
        <f>IF(OR(E3245="",E3245="!!!",F3245="NEW"),"",COUNTBLANK(OFFSET(A$1,,,SUMPRODUCT(MAX(ROW(E$2:E3245)*(E3245=E$2:E3245)))))-COUNTBLANK(OFFSET(A$1,,,SUMPRODUCT(MAX(ROW(E$1:E3244)*(E2=E$1:E3244))))))</f>
        <v> </v>
      </c>
      <c r="K3245" s="25" t="str">
        <f>IF(OR(E3245="",E3245="!!!",F3245="NEW"),"",INDEX(J$1:J3244,SUMPRODUCT(MAX(ROW(E$1:E3244)*(E3245=E$1:E3244)))))</f>
        <v> </v>
      </c>
      <c r="L3245" s="26"/>
    </row>
    <row r="3246" spans="1:12">
      <c r="A3246" s="20" t="s">
        <v>565</v>
      </c>
      <c r="E3246" s="21">
        <f>IF(D3246="?OLD","!!!","")</f>
        <v/>
      </c>
      <c r="F3246" s="22" t="str">
        <f>IF(OR(E3246="",E3246="!!!"),"",IF(NOT(ISNA(VLOOKUP(E3246,E$1:E3245,1,FALSE()))),"OLD",IF(AND(E3246&lt;&gt;"",E3246&lt;&gt;"!!!"),"NEW","")))</f>
        <v> </v>
      </c>
      <c r="G3246" s="23" t="str">
        <f>IF(OR(E3246="",E3246="!!!"),"",IF(OR(J3246=0,AND(J3246=1,K3246=1),AND(J3246=1,I3246="SBJ"),AND(J3246=1,I3246=0)),"?IN_FOCUS",IF(J3246&lt;=2,"?ACTIVATED",IF(J3246&lt;&gt;"","?FAMILIAR",IF(F3246="NEW",IF(ISNA(VLOOKUP(E3246,#REF!,1,FALSE())),"?TYPE_IDENTIFIABLE","?REFERENTIAL"),"_")))))</f>
        <v> </v>
      </c>
      <c r="H3246" s="24" t="str">
        <f>IF(J3246&lt;&gt;1,"",IF(I3246="SBJ","CB","?"))</f>
        <v> </v>
      </c>
      <c r="I3246" s="25" t="str">
        <f>IF(OR(E3246="",E3246="!!!",F3246="NEW"),"",INDEX(B3245:B$2,-1+SUMPRODUCT(MAX(ROW(E3245:E$2)*(E3246=E3245:E$2)))))</f>
        <v> </v>
      </c>
      <c r="J3246" s="25" t="str">
        <f>IF(OR(E3246="",E3246="!!!",F3246="NEW"),"",COUNTBLANK(OFFSET(A$1,,,SUMPRODUCT(MAX(ROW(E$2:E3246)*(E3246=E$2:E3246)))))-COUNTBLANK(OFFSET(A$1,,,SUMPRODUCT(MAX(ROW(E$1:E3245)*(E2=E$1:E3245))))))</f>
        <v> </v>
      </c>
      <c r="K3246" s="25" t="str">
        <f>IF(OR(E3246="",E3246="!!!",F3246="NEW"),"",INDEX(J$1:J3245,SUMPRODUCT(MAX(ROW(E$1:E3245)*(E3246=E$1:E3245)))))</f>
        <v> </v>
      </c>
      <c r="L3246" s="26"/>
    </row>
    <row r="3247" spans="1:12">
      <c r="A3247" s="20" t="s">
        <v>581</v>
      </c>
      <c r="E3247" s="21">
        <f>IF(D3247="?OLD","!!!","")</f>
        <v/>
      </c>
      <c r="F3247" s="22" t="str">
        <f>IF(OR(E3247="",E3247="!!!"),"",IF(NOT(ISNA(VLOOKUP(E3247,E$1:E3246,1,FALSE()))),"OLD",IF(AND(E3247&lt;&gt;"",E3247&lt;&gt;"!!!"),"NEW","")))</f>
        <v> </v>
      </c>
      <c r="G3247" s="23" t="str">
        <f>IF(OR(E3247="",E3247="!!!"),"",IF(OR(J3247=0,AND(J3247=1,K3247=1),AND(J3247=1,I3247="SBJ"),AND(J3247=1,I3247=0)),"?IN_FOCUS",IF(J3247&lt;=2,"?ACTIVATED",IF(J3247&lt;&gt;"","?FAMILIAR",IF(F3247="NEW",IF(ISNA(VLOOKUP(E3247,#REF!,1,FALSE())),"?TYPE_IDENTIFIABLE","?REFERENTIAL"),"_")))))</f>
        <v> </v>
      </c>
      <c r="H3247" s="24" t="str">
        <f>IF(J3247&lt;&gt;1,"",IF(I3247="SBJ","CB","?"))</f>
        <v> </v>
      </c>
      <c r="I3247" s="25" t="str">
        <f>IF(OR(E3247="",E3247="!!!",F3247="NEW"),"",INDEX(B3246:B$2,-1+SUMPRODUCT(MAX(ROW(E3246:E$2)*(E3247=E3246:E$2)))))</f>
        <v> </v>
      </c>
      <c r="J3247" s="25" t="str">
        <f>IF(OR(E3247="",E3247="!!!",F3247="NEW"),"",COUNTBLANK(OFFSET(A$1,,,SUMPRODUCT(MAX(ROW(E$2:E3247)*(E3247=E$2:E3247)))))-COUNTBLANK(OFFSET(A$1,,,SUMPRODUCT(MAX(ROW(E$1:E3246)*(E2=E$1:E3246))))))</f>
        <v> </v>
      </c>
      <c r="K3247" s="25" t="str">
        <f>IF(OR(E3247="",E3247="!!!",F3247="NEW"),"",INDEX(J$1:J3246,SUMPRODUCT(MAX(ROW(E$1:E3246)*(E3247=E$1:E3246)))))</f>
        <v> </v>
      </c>
      <c r="L3247" s="26"/>
    </row>
    <row r="3248" spans="1:12">
      <c r="A3248" s="20" t="s">
        <v>528</v>
      </c>
      <c r="B3248" s="27" t="s">
        <v>633</v>
      </c>
      <c r="E3248" s="21">
        <f>IF(D3248="?OLD","!!!","")</f>
        <v/>
      </c>
      <c r="F3248" s="22" t="str">
        <f>IF(OR(E3248="",E3248="!!!"),"",IF(NOT(ISNA(VLOOKUP(E3248,E$1:E3247,1,FALSE()))),"OLD",IF(AND(E3248&lt;&gt;"",E3248&lt;&gt;"!!!"),"NEW","")))</f>
        <v> </v>
      </c>
      <c r="G3248" s="23" t="str">
        <f>IF(OR(E3248="",E3248="!!!"),"",IF(OR(J3248=0,AND(J3248=1,K3248=1),AND(J3248=1,I3248="SBJ"),AND(J3248=1,I3248=0)),"?IN_FOCUS",IF(J3248&lt;=2,"?ACTIVATED",IF(J3248&lt;&gt;"","?FAMILIAR",IF(F3248="NEW",IF(ISNA(VLOOKUP(E3248,#REF!,1,FALSE())),"?TYPE_IDENTIFIABLE","?REFERENTIAL"),"_")))))</f>
        <v> </v>
      </c>
      <c r="H3248" s="24" t="str">
        <f>IF(J3248&lt;&gt;1,"",IF(I3248="SBJ","CB","?"))</f>
        <v> </v>
      </c>
      <c r="I3248" s="25" t="str">
        <f>IF(OR(E3248="",E3248="!!!",F3248="NEW"),"",INDEX(B3247:B$2,-1+SUMPRODUCT(MAX(ROW(E3247:E$2)*(E3248=E3247:E$2)))))</f>
        <v> </v>
      </c>
      <c r="J3248" s="25" t="str">
        <f>IF(OR(E3248="",E3248="!!!",F3248="NEW"),"",COUNTBLANK(OFFSET(A$1,,,SUMPRODUCT(MAX(ROW(E$2:E3248)*(E3248=E$2:E3248)))))-COUNTBLANK(OFFSET(A$1,,,SUMPRODUCT(MAX(ROW(E$1:E3247)*(E2=E$1:E3247))))))</f>
        <v> </v>
      </c>
      <c r="K3248" s="25" t="str">
        <f>IF(OR(E3248="",E3248="!!!",F3248="NEW"),"",INDEX(J$1:J3247,SUMPRODUCT(MAX(ROW(E$1:E3247)*(E3248=E$1:E3247)))))</f>
        <v> </v>
      </c>
      <c r="L3248" s="26"/>
    </row>
    <row r="3249" spans="1:12">
      <c r="A3249" s="20" t="s">
        <v>1584</v>
      </c>
      <c r="E3249" s="21">
        <f>IF(D3249="?OLD","!!!","")</f>
        <v/>
      </c>
      <c r="F3249" s="22" t="str">
        <f>IF(OR(E3249="",E3249="!!!"),"",IF(NOT(ISNA(VLOOKUP(E3249,E$1:E3248,1,FALSE()))),"OLD",IF(AND(E3249&lt;&gt;"",E3249&lt;&gt;"!!!"),"NEW","")))</f>
        <v> </v>
      </c>
      <c r="G3249" s="23" t="str">
        <f>IF(OR(E3249="",E3249="!!!"),"",IF(OR(J3249=0,AND(J3249=1,K3249=1),AND(J3249=1,I3249="SBJ"),AND(J3249=1,I3249=0)),"?IN_FOCUS",IF(J3249&lt;=2,"?ACTIVATED",IF(J3249&lt;&gt;"","?FAMILIAR",IF(F3249="NEW",IF(ISNA(VLOOKUP(E3249,#REF!,1,FALSE())),"?TYPE_IDENTIFIABLE","?REFERENTIAL"),"_")))))</f>
        <v> </v>
      </c>
      <c r="H3249" s="24" t="str">
        <f>IF(J3249&lt;&gt;1,"",IF(I3249="SBJ","CB","?"))</f>
        <v> </v>
      </c>
      <c r="I3249" s="25" t="str">
        <f>IF(OR(E3249="",E3249="!!!",F3249="NEW"),"",INDEX(B3248:B$2,-1+SUMPRODUCT(MAX(ROW(E3248:E$2)*(E3249=E3248:E$2)))))</f>
        <v> </v>
      </c>
      <c r="J3249" s="25" t="str">
        <f>IF(OR(E3249="",E3249="!!!",F3249="NEW"),"",COUNTBLANK(OFFSET(A$1,,,SUMPRODUCT(MAX(ROW(E$2:E3249)*(E3249=E$2:E3249)))))-COUNTBLANK(OFFSET(A$1,,,SUMPRODUCT(MAX(ROW(E$1:E3248)*(E2=E$1:E3248))))))</f>
        <v> </v>
      </c>
      <c r="K3249" s="25" t="str">
        <f>IF(OR(E3249="",E3249="!!!",F3249="NEW"),"",INDEX(J$1:J3248,SUMPRODUCT(MAX(ROW(E$1:E3248)*(E3249=E$1:E3248)))))</f>
        <v> </v>
      </c>
      <c r="L3249" s="26"/>
    </row>
    <row r="3250" spans="1:12">
      <c r="A3250" s="20" t="s">
        <v>196</v>
      </c>
      <c r="E3250" s="21">
        <f>IF(D3250="?OLD","!!!","")</f>
        <v/>
      </c>
      <c r="F3250" s="22" t="str">
        <f>IF(OR(E3250="",E3250="!!!"),"",IF(NOT(ISNA(VLOOKUP(E3250,E$1:E3249,1,FALSE()))),"OLD",IF(AND(E3250&lt;&gt;"",E3250&lt;&gt;"!!!"),"NEW","")))</f>
        <v> </v>
      </c>
      <c r="G3250" s="23" t="str">
        <f>IF(OR(E3250="",E3250="!!!"),"",IF(OR(J3250=0,AND(J3250=1,K3250=1),AND(J3250=1,I3250="SBJ"),AND(J3250=1,I3250=0)),"?IN_FOCUS",IF(J3250&lt;=2,"?ACTIVATED",IF(J3250&lt;&gt;"","?FAMILIAR",IF(F3250="NEW",IF(ISNA(VLOOKUP(E3250,#REF!,1,FALSE())),"?TYPE_IDENTIFIABLE","?REFERENTIAL"),"_")))))</f>
        <v> </v>
      </c>
      <c r="H3250" s="24" t="str">
        <f>IF(J3250&lt;&gt;1,"",IF(I3250="SBJ","CB","?"))</f>
        <v> </v>
      </c>
      <c r="I3250" s="25" t="str">
        <f>IF(OR(E3250="",E3250="!!!",F3250="NEW"),"",INDEX(B3249:B$2,-1+SUMPRODUCT(MAX(ROW(E3249:E$2)*(E3250=E3249:E$2)))))</f>
        <v> </v>
      </c>
      <c r="J3250" s="25" t="str">
        <f>IF(OR(E3250="",E3250="!!!",F3250="NEW"),"",COUNTBLANK(OFFSET(A$1,,,SUMPRODUCT(MAX(ROW(E$2:E3250)*(E3250=E$2:E3250)))))-COUNTBLANK(OFFSET(A$1,,,SUMPRODUCT(MAX(ROW(E$1:E3249)*(E2=E$1:E3249))))))</f>
        <v> </v>
      </c>
      <c r="K3250" s="25" t="str">
        <f>IF(OR(E3250="",E3250="!!!",F3250="NEW"),"",INDEX(J$1:J3249,SUMPRODUCT(MAX(ROW(E$1:E3249)*(E3250=E$1:E3249)))))</f>
        <v> </v>
      </c>
      <c r="L3250" s="26"/>
    </row>
    <row r="3251" spans="1:12">
      <c r="A3251" s="20" t="s">
        <v>1585</v>
      </c>
      <c r="E3251" s="21">
        <f>IF(D3251="?OLD","!!!","")</f>
        <v/>
      </c>
      <c r="F3251" s="22" t="str">
        <f>IF(OR(E3251="",E3251="!!!"),"",IF(NOT(ISNA(VLOOKUP(E3251,E$1:E3250,1,FALSE()))),"OLD",IF(AND(E3251&lt;&gt;"",E3251&lt;&gt;"!!!"),"NEW","")))</f>
        <v> </v>
      </c>
      <c r="G3251" s="23" t="str">
        <f>IF(OR(E3251="",E3251="!!!"),"",IF(OR(J3251=0,AND(J3251=1,K3251=1),AND(J3251=1,I3251="SBJ"),AND(J3251=1,I3251=0)),"?IN_FOCUS",IF(J3251&lt;=2,"?ACTIVATED",IF(J3251&lt;&gt;"","?FAMILIAR",IF(F3251="NEW",IF(ISNA(VLOOKUP(E3251,#REF!,1,FALSE())),"?TYPE_IDENTIFIABLE","?REFERENTIAL"),"_")))))</f>
        <v> </v>
      </c>
      <c r="H3251" s="24" t="str">
        <f>IF(J3251&lt;&gt;1,"",IF(I3251="SBJ","CB","?"))</f>
        <v> </v>
      </c>
      <c r="I3251" s="25" t="str">
        <f>IF(OR(E3251="",E3251="!!!",F3251="NEW"),"",INDEX(B3250:B$2,-1+SUMPRODUCT(MAX(ROW(E3250:E$2)*(E3251=E3250:E$2)))))</f>
        <v> </v>
      </c>
      <c r="J3251" s="25" t="str">
        <f>IF(OR(E3251="",E3251="!!!",F3251="NEW"),"",COUNTBLANK(OFFSET(A$1,,,SUMPRODUCT(MAX(ROW(E$2:E3251)*(E3251=E$2:E3251)))))-COUNTBLANK(OFFSET(A$1,,,SUMPRODUCT(MAX(ROW(E$1:E3250)*(E2=E$1:E3250))))))</f>
        <v> </v>
      </c>
      <c r="K3251" s="25" t="str">
        <f>IF(OR(E3251="",E3251="!!!",F3251="NEW"),"",INDEX(J$1:J3250,SUMPRODUCT(MAX(ROW(E$1:E3250)*(E3251=E$1:E3250)))))</f>
        <v> </v>
      </c>
      <c r="L3251" s="26"/>
    </row>
    <row r="3252" spans="1:12">
      <c r="A3252" s="20" t="s">
        <v>571</v>
      </c>
      <c r="B3252" s="27" t="s">
        <v>608</v>
      </c>
      <c r="C3252" s="27" t="s">
        <v>584</v>
      </c>
      <c r="D3252" s="27" t="s">
        <v>524</v>
      </c>
      <c r="E3252" s="21">
        <f>IF(D3252="?OLD","!!!","")</f>
        <v/>
      </c>
      <c r="F3252" s="22" t="str">
        <f>IF(OR(E3252="",E3252="!!!"),"",IF(NOT(ISNA(VLOOKUP(E3252,E$1:E3251,1,FALSE()))),"OLD",IF(AND(E3252&lt;&gt;"",E3252&lt;&gt;"!!!"),"NEW","")))</f>
        <v> </v>
      </c>
      <c r="G3252" s="23" t="str">
        <f>IF(OR(E3252="",E3252="!!!"),"",IF(OR(J3252=0,AND(J3252=1,K3252=1),AND(J3252=1,I3252="SBJ"),AND(J3252=1,I3252=0)),"?IN_FOCUS",IF(J3252&lt;=2,"?ACTIVATED",IF(J3252&lt;&gt;"","?FAMILIAR",IF(F3252="NEW",IF(ISNA(VLOOKUP(E3252,#REF!,1,FALSE())),"?TYPE_IDENTIFIABLE","?REFERENTIAL"),"_")))))</f>
        <v> </v>
      </c>
      <c r="H3252" s="24" t="str">
        <f>IF(J3252&lt;&gt;1,"",IF(I3252="SBJ","CB","?"))</f>
        <v> </v>
      </c>
      <c r="I3252" s="25" t="str">
        <f>IF(OR(E3252="",E3252="!!!",F3252="NEW"),"",INDEX(B3251:B$2,-1+SUMPRODUCT(MAX(ROW(E3251:E$2)*(E3252=E3251:E$2)))))</f>
        <v> </v>
      </c>
      <c r="J3252" s="25" t="str">
        <f>IF(OR(E3252="",E3252="!!!",F3252="NEW"),"",COUNTBLANK(OFFSET(A$1,,,SUMPRODUCT(MAX(ROW(E$2:E3252)*(E3252=E$2:E3252)))))-COUNTBLANK(OFFSET(A$1,,,SUMPRODUCT(MAX(ROW(E$1:E3251)*(E2=E$1:E3251))))))</f>
        <v> </v>
      </c>
      <c r="K3252" s="25" t="str">
        <f>IF(OR(E3252="",E3252="!!!",F3252="NEW"),"",INDEX(J$1:J3251,SUMPRODUCT(MAX(ROW(E$1:E3251)*(E3252=E$1:E3251)))))</f>
        <v> </v>
      </c>
      <c r="L3252" s="26"/>
    </row>
    <row r="3253" spans="1:12">
      <c r="A3253" s="20" t="s">
        <v>528</v>
      </c>
      <c r="B3253" s="27" t="s">
        <v>643</v>
      </c>
      <c r="E3253" s="21">
        <f>IF(D3253="?OLD","!!!","")</f>
        <v/>
      </c>
      <c r="F3253" s="22" t="str">
        <f>IF(OR(E3253="",E3253="!!!"),"",IF(NOT(ISNA(VLOOKUP(E3253,E$1:E3252,1,FALSE()))),"OLD",IF(AND(E3253&lt;&gt;"",E3253&lt;&gt;"!!!"),"NEW","")))</f>
        <v> </v>
      </c>
      <c r="G3253" s="23" t="str">
        <f>IF(OR(E3253="",E3253="!!!"),"",IF(OR(J3253=0,AND(J3253=1,K3253=1),AND(J3253=1,I3253="SBJ"),AND(J3253=1,I3253=0)),"?IN_FOCUS",IF(J3253&lt;=2,"?ACTIVATED",IF(J3253&lt;&gt;"","?FAMILIAR",IF(F3253="NEW",IF(ISNA(VLOOKUP(E3253,#REF!,1,FALSE())),"?TYPE_IDENTIFIABLE","?REFERENTIAL"),"_")))))</f>
        <v> </v>
      </c>
      <c r="H3253" s="24" t="str">
        <f>IF(J3253&lt;&gt;1,"",IF(I3253="SBJ","CB","?"))</f>
        <v> </v>
      </c>
      <c r="I3253" s="25" t="str">
        <f>IF(OR(E3253="",E3253="!!!",F3253="NEW"),"",INDEX(B3252:B$2,-1+SUMPRODUCT(MAX(ROW(E3252:E$2)*(E3253=E3252:E$2)))))</f>
        <v> </v>
      </c>
      <c r="J3253" s="25" t="str">
        <f>IF(OR(E3253="",E3253="!!!",F3253="NEW"),"",COUNTBLANK(OFFSET(A$1,,,SUMPRODUCT(MAX(ROW(E$2:E3253)*(E3253=E$2:E3253)))))-COUNTBLANK(OFFSET(A$1,,,SUMPRODUCT(MAX(ROW(E$1:E3252)*(E2=E$1:E3252))))))</f>
        <v> </v>
      </c>
      <c r="K3253" s="25" t="str">
        <f>IF(OR(E3253="",E3253="!!!",F3253="NEW"),"",INDEX(J$1:J3252,SUMPRODUCT(MAX(ROW(E$1:E3252)*(E3253=E$1:E3252)))))</f>
        <v> </v>
      </c>
      <c r="L3253" s="26"/>
    </row>
    <row r="3254" spans="1:12">
      <c r="A3254" s="20" t="s">
        <v>1079</v>
      </c>
      <c r="E3254" s="21">
        <f>IF(D3254="?OLD","!!!","")</f>
        <v/>
      </c>
      <c r="F3254" s="22" t="str">
        <f>IF(OR(E3254="",E3254="!!!"),"",IF(NOT(ISNA(VLOOKUP(E3254,E$1:E3253,1,FALSE()))),"OLD",IF(AND(E3254&lt;&gt;"",E3254&lt;&gt;"!!!"),"NEW","")))</f>
        <v> </v>
      </c>
      <c r="G3254" s="23" t="str">
        <f>IF(OR(E3254="",E3254="!!!"),"",IF(OR(J3254=0,AND(J3254=1,K3254=1),AND(J3254=1,I3254="SBJ"),AND(J3254=1,I3254=0)),"?IN_FOCUS",IF(J3254&lt;=2,"?ACTIVATED",IF(J3254&lt;&gt;"","?FAMILIAR",IF(F3254="NEW",IF(ISNA(VLOOKUP(E3254,#REF!,1,FALSE())),"?TYPE_IDENTIFIABLE","?REFERENTIAL"),"_")))))</f>
        <v> </v>
      </c>
      <c r="H3254" s="24" t="str">
        <f>IF(J3254&lt;&gt;1,"",IF(I3254="SBJ","CB","?"))</f>
        <v> </v>
      </c>
      <c r="I3254" s="25" t="str">
        <f>IF(OR(E3254="",E3254="!!!",F3254="NEW"),"",INDEX(B3253:B$2,-1+SUMPRODUCT(MAX(ROW(E3253:E$2)*(E3254=E3253:E$2)))))</f>
        <v> </v>
      </c>
      <c r="J3254" s="25" t="str">
        <f>IF(OR(E3254="",E3254="!!!",F3254="NEW"),"",COUNTBLANK(OFFSET(A$1,,,SUMPRODUCT(MAX(ROW(E$2:E3254)*(E3254=E$2:E3254)))))-COUNTBLANK(OFFSET(A$1,,,SUMPRODUCT(MAX(ROW(E$1:E3253)*(E2=E$1:E3253))))))</f>
        <v> </v>
      </c>
      <c r="K3254" s="25" t="str">
        <f>IF(OR(E3254="",E3254="!!!",F3254="NEW"),"",INDEX(J$1:J3253,SUMPRODUCT(MAX(ROW(E$1:E3253)*(E3254=E$1:E3253)))))</f>
        <v> </v>
      </c>
      <c r="L3254" s="26"/>
    </row>
    <row r="3255" spans="1:12">
      <c r="A3255" s="20" t="s">
        <v>1586</v>
      </c>
      <c r="E3255" s="21">
        <f>IF(D3255="?OLD","!!!","")</f>
        <v/>
      </c>
      <c r="F3255" s="22" t="str">
        <f>IF(OR(E3255="",E3255="!!!"),"",IF(NOT(ISNA(VLOOKUP(E3255,E$1:E3254,1,FALSE()))),"OLD",IF(AND(E3255&lt;&gt;"",E3255&lt;&gt;"!!!"),"NEW","")))</f>
        <v> </v>
      </c>
      <c r="G3255" s="23" t="str">
        <f>IF(OR(E3255="",E3255="!!!"),"",IF(OR(J3255=0,AND(J3255=1,K3255=1),AND(J3255=1,I3255="SBJ"),AND(J3255=1,I3255=0)),"?IN_FOCUS",IF(J3255&lt;=2,"?ACTIVATED",IF(J3255&lt;&gt;"","?FAMILIAR",IF(F3255="NEW",IF(ISNA(VLOOKUP(E3255,#REF!,1,FALSE())),"?TYPE_IDENTIFIABLE","?REFERENTIAL"),"_")))))</f>
        <v> </v>
      </c>
      <c r="H3255" s="24" t="str">
        <f>IF(J3255&lt;&gt;1,"",IF(I3255="SBJ","CB","?"))</f>
        <v> </v>
      </c>
      <c r="I3255" s="25" t="str">
        <f>IF(OR(E3255="",E3255="!!!",F3255="NEW"),"",INDEX(B3254:B$2,-1+SUMPRODUCT(MAX(ROW(E3254:E$2)*(E3255=E3254:E$2)))))</f>
        <v> </v>
      </c>
      <c r="J3255" s="25" t="str">
        <f>IF(OR(E3255="",E3255="!!!",F3255="NEW"),"",COUNTBLANK(OFFSET(A$1,,,SUMPRODUCT(MAX(ROW(E$2:E3255)*(E3255=E$2:E3255)))))-COUNTBLANK(OFFSET(A$1,,,SUMPRODUCT(MAX(ROW(E$1:E3254)*(E2=E$1:E3254))))))</f>
        <v> </v>
      </c>
      <c r="K3255" s="25" t="str">
        <f>IF(OR(E3255="",E3255="!!!",F3255="NEW"),"",INDEX(J$1:J3254,SUMPRODUCT(MAX(ROW(E$1:E3254)*(E3255=E$1:E3254)))))</f>
        <v> </v>
      </c>
      <c r="L3255" s="26"/>
    </row>
    <row r="3256" spans="1:12">
      <c r="A3256" s="20" t="s">
        <v>565</v>
      </c>
      <c r="E3256" s="21">
        <f>IF(D3256="?OLD","!!!","")</f>
        <v/>
      </c>
      <c r="F3256" s="22" t="str">
        <f>IF(OR(E3256="",E3256="!!!"),"",IF(NOT(ISNA(VLOOKUP(E3256,E$1:E3255,1,FALSE()))),"OLD",IF(AND(E3256&lt;&gt;"",E3256&lt;&gt;"!!!"),"NEW","")))</f>
        <v> </v>
      </c>
      <c r="G3256" s="23" t="str">
        <f>IF(OR(E3256="",E3256="!!!"),"",IF(OR(J3256=0,AND(J3256=1,K3256=1),AND(J3256=1,I3256="SBJ"),AND(J3256=1,I3256=0)),"?IN_FOCUS",IF(J3256&lt;=2,"?ACTIVATED",IF(J3256&lt;&gt;"","?FAMILIAR",IF(F3256="NEW",IF(ISNA(VLOOKUP(E3256,#REF!,1,FALSE())),"?TYPE_IDENTIFIABLE","?REFERENTIAL"),"_")))))</f>
        <v> </v>
      </c>
      <c r="H3256" s="24" t="str">
        <f>IF(J3256&lt;&gt;1,"",IF(I3256="SBJ","CB","?"))</f>
        <v> </v>
      </c>
      <c r="I3256" s="25" t="str">
        <f>IF(OR(E3256="",E3256="!!!",F3256="NEW"),"",INDEX(B3255:B$2,-1+SUMPRODUCT(MAX(ROW(E3255:E$2)*(E3256=E3255:E$2)))))</f>
        <v> </v>
      </c>
      <c r="J3256" s="25" t="str">
        <f>IF(OR(E3256="",E3256="!!!",F3256="NEW"),"",COUNTBLANK(OFFSET(A$1,,,SUMPRODUCT(MAX(ROW(E$2:E3256)*(E3256=E$2:E3256)))))-COUNTBLANK(OFFSET(A$1,,,SUMPRODUCT(MAX(ROW(E$1:E3255)*(E2=E$1:E3255))))))</f>
        <v> </v>
      </c>
      <c r="K3256" s="25" t="str">
        <f>IF(OR(E3256="",E3256="!!!",F3256="NEW"),"",INDEX(J$1:J3255,SUMPRODUCT(MAX(ROW(E$1:E3255)*(E3256=E$1:E3255)))))</f>
        <v> </v>
      </c>
      <c r="L3256" s="26"/>
    </row>
    <row r="3257" spans="1:12">
      <c r="A3257" s="20" t="s">
        <v>1587</v>
      </c>
      <c r="E3257" s="21">
        <f>IF(D3257="?OLD","!!!","")</f>
        <v/>
      </c>
      <c r="F3257" s="22" t="str">
        <f>IF(OR(E3257="",E3257="!!!"),"",IF(NOT(ISNA(VLOOKUP(E3257,E$1:E3256,1,FALSE()))),"OLD",IF(AND(E3257&lt;&gt;"",E3257&lt;&gt;"!!!"),"NEW","")))</f>
        <v> </v>
      </c>
      <c r="G3257" s="23" t="str">
        <f>IF(OR(E3257="",E3257="!!!"),"",IF(OR(J3257=0,AND(J3257=1,K3257=1),AND(J3257=1,I3257="SBJ"),AND(J3257=1,I3257=0)),"?IN_FOCUS",IF(J3257&lt;=2,"?ACTIVATED",IF(J3257&lt;&gt;"","?FAMILIAR",IF(F3257="NEW",IF(ISNA(VLOOKUP(E3257,#REF!,1,FALSE())),"?TYPE_IDENTIFIABLE","?REFERENTIAL"),"_")))))</f>
        <v> </v>
      </c>
      <c r="H3257" s="24" t="str">
        <f>IF(J3257&lt;&gt;1,"",IF(I3257="SBJ","CB","?"))</f>
        <v> </v>
      </c>
      <c r="I3257" s="25" t="str">
        <f>IF(OR(E3257="",E3257="!!!",F3257="NEW"),"",INDEX(B3256:B$2,-1+SUMPRODUCT(MAX(ROW(E3256:E$2)*(E3257=E3256:E$2)))))</f>
        <v> </v>
      </c>
      <c r="J3257" s="25" t="str">
        <f>IF(OR(E3257="",E3257="!!!",F3257="NEW"),"",COUNTBLANK(OFFSET(A$1,,,SUMPRODUCT(MAX(ROW(E$2:E3257)*(E3257=E$2:E3257)))))-COUNTBLANK(OFFSET(A$1,,,SUMPRODUCT(MAX(ROW(E$1:E3256)*(E2=E$1:E3256))))))</f>
        <v> </v>
      </c>
      <c r="K3257" s="25" t="str">
        <f>IF(OR(E3257="",E3257="!!!",F3257="NEW"),"",INDEX(J$1:J3256,SUMPRODUCT(MAX(ROW(E$1:E3256)*(E3257=E$1:E3256)))))</f>
        <v> </v>
      </c>
      <c r="L3257" s="26"/>
    </row>
    <row r="3258" spans="1:12">
      <c r="A3258" s="20" t="s">
        <v>571</v>
      </c>
      <c r="E3258" s="21">
        <f>IF(D3258="?OLD","!!!","")</f>
        <v/>
      </c>
      <c r="F3258" s="22" t="str">
        <f>IF(OR(E3258="",E3258="!!!"),"",IF(NOT(ISNA(VLOOKUP(E3258,E$1:E3257,1,FALSE()))),"OLD",IF(AND(E3258&lt;&gt;"",E3258&lt;&gt;"!!!"),"NEW","")))</f>
        <v> </v>
      </c>
      <c r="G3258" s="23" t="str">
        <f>IF(OR(E3258="",E3258="!!!"),"",IF(OR(J3258=0,AND(J3258=1,K3258=1),AND(J3258=1,I3258="SBJ"),AND(J3258=1,I3258=0)),"?IN_FOCUS",IF(J3258&lt;=2,"?ACTIVATED",IF(J3258&lt;&gt;"","?FAMILIAR",IF(F3258="NEW",IF(ISNA(VLOOKUP(E3258,#REF!,1,FALSE())),"?TYPE_IDENTIFIABLE","?REFERENTIAL"),"_")))))</f>
        <v> </v>
      </c>
      <c r="H3258" s="24" t="str">
        <f>IF(J3258&lt;&gt;1,"",IF(I3258="SBJ","CB","?"))</f>
        <v> </v>
      </c>
      <c r="I3258" s="25" t="str">
        <f>IF(OR(E3258="",E3258="!!!",F3258="NEW"),"",INDEX(B3257:B$2,-1+SUMPRODUCT(MAX(ROW(E3257:E$2)*(E3258=E3257:E$2)))))</f>
        <v> </v>
      </c>
      <c r="J3258" s="25" t="str">
        <f>IF(OR(E3258="",E3258="!!!",F3258="NEW"),"",COUNTBLANK(OFFSET(A$1,,,SUMPRODUCT(MAX(ROW(E$2:E3258)*(E3258=E$2:E3258)))))-COUNTBLANK(OFFSET(A$1,,,SUMPRODUCT(MAX(ROW(E$1:E3257)*(E2=E$1:E3257))))))</f>
        <v> </v>
      </c>
      <c r="K3258" s="25" t="str">
        <f>IF(OR(E3258="",E3258="!!!",F3258="NEW"),"",INDEX(J$1:J3257,SUMPRODUCT(MAX(ROW(E$1:E3257)*(E3258=E$1:E3257)))))</f>
        <v> </v>
      </c>
      <c r="L3258" s="26"/>
    </row>
    <row r="3259" spans="1:12">
      <c r="A3259" s="20" t="s">
        <v>814</v>
      </c>
      <c r="B3259" s="27" t="s">
        <v>583</v>
      </c>
      <c r="C3259" s="27" t="s">
        <v>545</v>
      </c>
      <c r="D3259" s="27" t="s">
        <v>524</v>
      </c>
      <c r="E3259" s="21">
        <f>IF(D3259="?OLD","!!!","")</f>
        <v/>
      </c>
      <c r="F3259" s="22" t="str">
        <f>IF(OR(E3259="",E3259="!!!"),"",IF(NOT(ISNA(VLOOKUP(E3259,E$1:E3258,1,FALSE()))),"OLD",IF(AND(E3259&lt;&gt;"",E3259&lt;&gt;"!!!"),"NEW","")))</f>
        <v> </v>
      </c>
      <c r="G3259" s="23" t="str">
        <f>IF(OR(E3259="",E3259="!!!"),"",IF(OR(J3259=0,AND(J3259=1,K3259=1),AND(J3259=1,I3259="SBJ"),AND(J3259=1,I3259=0)),"?IN_FOCUS",IF(J3259&lt;=2,"?ACTIVATED",IF(J3259&lt;&gt;"","?FAMILIAR",IF(F3259="NEW",IF(ISNA(VLOOKUP(E3259,#REF!,1,FALSE())),"?TYPE_IDENTIFIABLE","?REFERENTIAL"),"_")))))</f>
        <v> </v>
      </c>
      <c r="H3259" s="24" t="str">
        <f>IF(J3259&lt;&gt;1,"",IF(I3259="SBJ","CB","?"))</f>
        <v> </v>
      </c>
      <c r="I3259" s="25" t="str">
        <f>IF(OR(E3259="",E3259="!!!",F3259="NEW"),"",INDEX(B3258:B$2,-1+SUMPRODUCT(MAX(ROW(E3258:E$2)*(E3259=E3258:E$2)))))</f>
        <v> </v>
      </c>
      <c r="J3259" s="25" t="str">
        <f>IF(OR(E3259="",E3259="!!!",F3259="NEW"),"",COUNTBLANK(OFFSET(A$1,,,SUMPRODUCT(MAX(ROW(E$2:E3259)*(E3259=E$2:E3259)))))-COUNTBLANK(OFFSET(A$1,,,SUMPRODUCT(MAX(ROW(E$1:E3258)*(E2=E$1:E3258))))))</f>
        <v> </v>
      </c>
      <c r="K3259" s="25" t="str">
        <f>IF(OR(E3259="",E3259="!!!",F3259="NEW"),"",INDEX(J$1:J3258,SUMPRODUCT(MAX(ROW(E$1:E3258)*(E3259=E$1:E3258)))))</f>
        <v> </v>
      </c>
      <c r="L3259" s="26"/>
    </row>
    <row r="3260" spans="1:12">
      <c r="A3260" s="20" t="s">
        <v>549</v>
      </c>
      <c r="E3260" s="21">
        <f>IF(D3260="?OLD","!!!","")</f>
        <v/>
      </c>
      <c r="F3260" s="22" t="str">
        <f>IF(OR(E3260="",E3260="!!!"),"",IF(NOT(ISNA(VLOOKUP(E3260,E$1:E3259,1,FALSE()))),"OLD",IF(AND(E3260&lt;&gt;"",E3260&lt;&gt;"!!!"),"NEW","")))</f>
        <v> </v>
      </c>
      <c r="G3260" s="23" t="str">
        <f>IF(OR(E3260="",E3260="!!!"),"",IF(OR(J3260=0,AND(J3260=1,K3260=1),AND(J3260=1,I3260="SBJ"),AND(J3260=1,I3260=0)),"?IN_FOCUS",IF(J3260&lt;=2,"?ACTIVATED",IF(J3260&lt;&gt;"","?FAMILIAR",IF(F3260="NEW",IF(ISNA(VLOOKUP(E3260,#REF!,1,FALSE())),"?TYPE_IDENTIFIABLE","?REFERENTIAL"),"_")))))</f>
        <v> </v>
      </c>
      <c r="H3260" s="24" t="str">
        <f>IF(J3260&lt;&gt;1,"",IF(I3260="SBJ","CB","?"))</f>
        <v> </v>
      </c>
      <c r="I3260" s="25" t="str">
        <f>IF(OR(E3260="",E3260="!!!",F3260="NEW"),"",INDEX(B3259:B$2,-1+SUMPRODUCT(MAX(ROW(E3259:E$2)*(E3260=E3259:E$2)))))</f>
        <v> </v>
      </c>
      <c r="J3260" s="25" t="str">
        <f>IF(OR(E3260="",E3260="!!!",F3260="NEW"),"",COUNTBLANK(OFFSET(A$1,,,SUMPRODUCT(MAX(ROW(E$2:E3260)*(E3260=E$2:E3260)))))-COUNTBLANK(OFFSET(A$1,,,SUMPRODUCT(MAX(ROW(E$1:E3259)*(E2=E$1:E3259))))))</f>
        <v> </v>
      </c>
      <c r="K3260" s="25" t="str">
        <f>IF(OR(E3260="",E3260="!!!",F3260="NEW"),"",INDEX(J$1:J3259,SUMPRODUCT(MAX(ROW(E$1:E3259)*(E3260=E$1:E3259)))))</f>
        <v> </v>
      </c>
      <c r="L3260" s="26"/>
    </row>
    <row r="3261" spans="1:12">
      <c r="A3261" s="20"/>
    </row>
    <row r="3262" spans="1:12">
      <c r="A3262" s="20" t="s">
        <v>1588</v>
      </c>
    </row>
    <row r="3263" spans="1:12">
      <c r="A3263" s="20" t="s">
        <v>1589</v>
      </c>
      <c r="B3263" s="27" t="s">
        <v>592</v>
      </c>
      <c r="C3263" s="27" t="s">
        <v>540</v>
      </c>
      <c r="D3263" s="27" t="s">
        <v>524</v>
      </c>
      <c r="E3263" s="21">
        <f>IF(D3263="?OLD","!!!","")</f>
        <v/>
      </c>
      <c r="F3263" s="22" t="str">
        <f>IF(OR(E3263="",E3263="!!!"),"",IF(NOT(ISNA(VLOOKUP(E3263,E$1:E3262,1,FALSE()))),"OLD",IF(AND(E3263&lt;&gt;"",E3263&lt;&gt;"!!!"),"NEW","")))</f>
        <v> </v>
      </c>
      <c r="G3263" s="23" t="str">
        <f>IF(OR(E3263="",E3263="!!!"),"",IF(OR(J3263=0,AND(J3263=1,K3263=1),AND(J3263=1,I3263="SBJ"),AND(J3263=1,I3263=0)),"?IN_FOCUS",IF(J3263&lt;=2,"?ACTIVATED",IF(J3263&lt;&gt;"","?FAMILIAR",IF(F3263="NEW",IF(ISNA(VLOOKUP(E3263,#REF!,1,FALSE())),"?TYPE_IDENTIFIABLE","?REFERENTIAL"),"_")))))</f>
        <v> </v>
      </c>
      <c r="H3263" s="24" t="str">
        <f>IF(J3263&lt;&gt;1,"",IF(I3263="SBJ","CB","?"))</f>
        <v> </v>
      </c>
      <c r="I3263" s="25" t="str">
        <f>IF(OR(E3263="",E3263="!!!",F3263="NEW"),"",INDEX(B3262:B$2,-1+SUMPRODUCT(MAX(ROW(E3262:E$2)*(E3263=E3262:E$2)))))</f>
        <v> </v>
      </c>
      <c r="J3263" s="25" t="str">
        <f>IF(OR(E3263="",E3263="!!!",F3263="NEW"),"",COUNTBLANK(OFFSET(A$1,,,SUMPRODUCT(MAX(ROW(E$2:E3263)*(E3263=E$2:E3263)))))-COUNTBLANK(OFFSET(A$1,,,SUMPRODUCT(MAX(ROW(E$1:E3262)*(E2=E$1:E3262))))))</f>
        <v> </v>
      </c>
      <c r="K3263" s="25" t="str">
        <f>IF(OR(E3263="",E3263="!!!",F3263="NEW"),"",INDEX(J$1:J3262,SUMPRODUCT(MAX(ROW(E$1:E3262)*(E3263=E$1:E3262)))))</f>
        <v> </v>
      </c>
      <c r="L3263" s="26"/>
    </row>
    <row r="3264" spans="1:12">
      <c r="A3264" s="20" t="s">
        <v>525</v>
      </c>
      <c r="E3264" s="21">
        <f>IF(D3264="?OLD","!!!","")</f>
        <v/>
      </c>
      <c r="F3264" s="22" t="str">
        <f>IF(OR(E3264="",E3264="!!!"),"",IF(NOT(ISNA(VLOOKUP(E3264,E$1:E3263,1,FALSE()))),"OLD",IF(AND(E3264&lt;&gt;"",E3264&lt;&gt;"!!!"),"NEW","")))</f>
        <v> </v>
      </c>
      <c r="G3264" s="23" t="str">
        <f>IF(OR(E3264="",E3264="!!!"),"",IF(OR(J3264=0,AND(J3264=1,K3264=1),AND(J3264=1,I3264="SBJ"),AND(J3264=1,I3264=0)),"?IN_FOCUS",IF(J3264&lt;=2,"?ACTIVATED",IF(J3264&lt;&gt;"","?FAMILIAR",IF(F3264="NEW",IF(ISNA(VLOOKUP(E3264,#REF!,1,FALSE())),"?TYPE_IDENTIFIABLE","?REFERENTIAL"),"_")))))</f>
        <v> </v>
      </c>
      <c r="H3264" s="24" t="str">
        <f>IF(J3264&lt;&gt;1,"",IF(I3264="SBJ","CB","?"))</f>
        <v> </v>
      </c>
      <c r="I3264" s="25" t="str">
        <f>IF(OR(E3264="",E3264="!!!",F3264="NEW"),"",INDEX(B3263:B$2,-1+SUMPRODUCT(MAX(ROW(E3263:E$2)*(E3264=E3263:E$2)))))</f>
        <v> </v>
      </c>
      <c r="J3264" s="25" t="str">
        <f>IF(OR(E3264="",E3264="!!!",F3264="NEW"),"",COUNTBLANK(OFFSET(A$1,,,SUMPRODUCT(MAX(ROW(E$2:E3264)*(E3264=E$2:E3264)))))-COUNTBLANK(OFFSET(A$1,,,SUMPRODUCT(MAX(ROW(E$1:E3263)*(E2=E$1:E3263))))))</f>
        <v> </v>
      </c>
      <c r="K3264" s="25" t="str">
        <f>IF(OR(E3264="",E3264="!!!",F3264="NEW"),"",INDEX(J$1:J3263,SUMPRODUCT(MAX(ROW(E$1:E3263)*(E3264=E$1:E3263)))))</f>
        <v> </v>
      </c>
      <c r="L3264" s="26"/>
    </row>
    <row r="3265" spans="1:12">
      <c r="A3265" s="20" t="s">
        <v>1590</v>
      </c>
      <c r="B3265" s="27" t="s">
        <v>592</v>
      </c>
      <c r="C3265" s="27" t="s">
        <v>564</v>
      </c>
      <c r="E3265" s="21">
        <f>IF(D3265="?OLD","!!!","")</f>
        <v/>
      </c>
      <c r="F3265" s="22" t="str">
        <f>IF(OR(E3265="",E3265="!!!"),"",IF(NOT(ISNA(VLOOKUP(E3265,E$1:E3264,1,FALSE()))),"OLD",IF(AND(E3265&lt;&gt;"",E3265&lt;&gt;"!!!"),"NEW","")))</f>
        <v> </v>
      </c>
      <c r="G3265" s="23" t="str">
        <f>IF(OR(E3265="",E3265="!!!"),"",IF(OR(J3265=0,AND(J3265=1,K3265=1),AND(J3265=1,I3265="SBJ"),AND(J3265=1,I3265=0)),"?IN_FOCUS",IF(J3265&lt;=2,"?ACTIVATED",IF(J3265&lt;&gt;"","?FAMILIAR",IF(F3265="NEW",IF(ISNA(VLOOKUP(E3265,#REF!,1,FALSE())),"?TYPE_IDENTIFIABLE","?REFERENTIAL"),"_")))))</f>
        <v> </v>
      </c>
      <c r="H3265" s="24" t="str">
        <f>IF(J3265&lt;&gt;1,"",IF(I3265="SBJ","CB","?"))</f>
        <v> </v>
      </c>
      <c r="I3265" s="25" t="str">
        <f>IF(OR(E3265="",E3265="!!!",F3265="NEW"),"",INDEX(B3264:B$2,-1+SUMPRODUCT(MAX(ROW(E3264:E$2)*(E3265=E3264:E$2)))))</f>
        <v> </v>
      </c>
      <c r="J3265" s="25" t="str">
        <f>IF(OR(E3265="",E3265="!!!",F3265="NEW"),"",COUNTBLANK(OFFSET(A$1,,,SUMPRODUCT(MAX(ROW(E$2:E3265)*(E3265=E$2:E3265)))))-COUNTBLANK(OFFSET(A$1,,,SUMPRODUCT(MAX(ROW(E$1:E3264)*(E2=E$1:E3264))))))</f>
        <v> </v>
      </c>
      <c r="K3265" s="25" t="str">
        <f>IF(OR(E3265="",E3265="!!!",F3265="NEW"),"",INDEX(J$1:J3264,SUMPRODUCT(MAX(ROW(E$1:E3264)*(E3265=E$1:E3264)))))</f>
        <v> </v>
      </c>
      <c r="L3265" s="26"/>
    </row>
    <row r="3266" spans="1:12">
      <c r="A3266" s="20" t="s">
        <v>565</v>
      </c>
      <c r="E3266" s="21">
        <f>IF(D3266="?OLD","!!!","")</f>
        <v/>
      </c>
      <c r="F3266" s="22" t="str">
        <f>IF(OR(E3266="",E3266="!!!"),"",IF(NOT(ISNA(VLOOKUP(E3266,E$1:E3265,1,FALSE()))),"OLD",IF(AND(E3266&lt;&gt;"",E3266&lt;&gt;"!!!"),"NEW","")))</f>
        <v> </v>
      </c>
      <c r="G3266" s="23" t="str">
        <f>IF(OR(E3266="",E3266="!!!"),"",IF(OR(J3266=0,AND(J3266=1,K3266=1),AND(J3266=1,I3266="SBJ"),AND(J3266=1,I3266=0)),"?IN_FOCUS",IF(J3266&lt;=2,"?ACTIVATED",IF(J3266&lt;&gt;"","?FAMILIAR",IF(F3266="NEW",IF(ISNA(VLOOKUP(E3266,#REF!,1,FALSE())),"?TYPE_IDENTIFIABLE","?REFERENTIAL"),"_")))))</f>
        <v> </v>
      </c>
      <c r="H3266" s="24" t="str">
        <f>IF(J3266&lt;&gt;1,"",IF(I3266="SBJ","CB","?"))</f>
        <v> </v>
      </c>
      <c r="I3266" s="25" t="str">
        <f>IF(OR(E3266="",E3266="!!!",F3266="NEW"),"",INDEX(B3265:B$2,-1+SUMPRODUCT(MAX(ROW(E3265:E$2)*(E3266=E3265:E$2)))))</f>
        <v> </v>
      </c>
      <c r="J3266" s="25" t="str">
        <f>IF(OR(E3266="",E3266="!!!",F3266="NEW"),"",COUNTBLANK(OFFSET(A$1,,,SUMPRODUCT(MAX(ROW(E$2:E3266)*(E3266=E$2:E3266)))))-COUNTBLANK(OFFSET(A$1,,,SUMPRODUCT(MAX(ROW(E$1:E3265)*(E2=E$1:E3265))))))</f>
        <v> </v>
      </c>
      <c r="K3266" s="25" t="str">
        <f>IF(OR(E3266="",E3266="!!!",F3266="NEW"),"",INDEX(J$1:J3265,SUMPRODUCT(MAX(ROW(E$1:E3265)*(E3266=E$1:E3265)))))</f>
        <v> </v>
      </c>
      <c r="L3266" s="26"/>
    </row>
    <row r="3267" spans="1:12">
      <c r="A3267" s="20" t="s">
        <v>528</v>
      </c>
      <c r="B3267" s="27" t="s">
        <v>522</v>
      </c>
      <c r="E3267" s="21">
        <f>IF(D3267="?OLD","!!!","")</f>
        <v/>
      </c>
      <c r="F3267" s="22" t="str">
        <f>IF(OR(E3267="",E3267="!!!"),"",IF(NOT(ISNA(VLOOKUP(E3267,E$1:E3266,1,FALSE()))),"OLD",IF(AND(E3267&lt;&gt;"",E3267&lt;&gt;"!!!"),"NEW","")))</f>
        <v> </v>
      </c>
      <c r="G3267" s="23" t="str">
        <f>IF(OR(E3267="",E3267="!!!"),"",IF(OR(J3267=0,AND(J3267=1,K3267=1),AND(J3267=1,I3267="SBJ"),AND(J3267=1,I3267=0)),"?IN_FOCUS",IF(J3267&lt;=2,"?ACTIVATED",IF(J3267&lt;&gt;"","?FAMILIAR",IF(F3267="NEW",IF(ISNA(VLOOKUP(E3267,#REF!,1,FALSE())),"?TYPE_IDENTIFIABLE","?REFERENTIAL"),"_")))))</f>
        <v> </v>
      </c>
      <c r="H3267" s="24" t="str">
        <f>IF(J3267&lt;&gt;1,"",IF(I3267="SBJ","CB","?"))</f>
        <v> </v>
      </c>
      <c r="I3267" s="25" t="str">
        <f>IF(OR(E3267="",E3267="!!!",F3267="NEW"),"",INDEX(B3266:B$2,-1+SUMPRODUCT(MAX(ROW(E3266:E$2)*(E3267=E3266:E$2)))))</f>
        <v> </v>
      </c>
      <c r="J3267" s="25" t="str">
        <f>IF(OR(E3267="",E3267="!!!",F3267="NEW"),"",COUNTBLANK(OFFSET(A$1,,,SUMPRODUCT(MAX(ROW(E$2:E3267)*(E3267=E$2:E3267)))))-COUNTBLANK(OFFSET(A$1,,,SUMPRODUCT(MAX(ROW(E$1:E3266)*(E2=E$1:E3266))))))</f>
        <v> </v>
      </c>
      <c r="K3267" s="25" t="str">
        <f>IF(OR(E3267="",E3267="!!!",F3267="NEW"),"",INDEX(J$1:J3266,SUMPRODUCT(MAX(ROW(E$1:E3266)*(E3267=E$1:E3266)))))</f>
        <v> </v>
      </c>
      <c r="L3267" s="26"/>
    </row>
    <row r="3268" spans="1:12">
      <c r="A3268" s="20" t="s">
        <v>814</v>
      </c>
      <c r="E3268" s="21">
        <f>IF(D3268="?OLD","!!!","")</f>
        <v/>
      </c>
      <c r="F3268" s="22" t="str">
        <f>IF(OR(E3268="",E3268="!!!"),"",IF(NOT(ISNA(VLOOKUP(E3268,E$1:E3267,1,FALSE()))),"OLD",IF(AND(E3268&lt;&gt;"",E3268&lt;&gt;"!!!"),"NEW","")))</f>
        <v> </v>
      </c>
      <c r="G3268" s="23" t="str">
        <f>IF(OR(E3268="",E3268="!!!"),"",IF(OR(J3268=0,AND(J3268=1,K3268=1),AND(J3268=1,I3268="SBJ"),AND(J3268=1,I3268=0)),"?IN_FOCUS",IF(J3268&lt;=2,"?ACTIVATED",IF(J3268&lt;&gt;"","?FAMILIAR",IF(F3268="NEW",IF(ISNA(VLOOKUP(E3268,#REF!,1,FALSE())),"?TYPE_IDENTIFIABLE","?REFERENTIAL"),"_")))))</f>
        <v> </v>
      </c>
      <c r="H3268" s="24" t="str">
        <f>IF(J3268&lt;&gt;1,"",IF(I3268="SBJ","CB","?"))</f>
        <v> </v>
      </c>
      <c r="I3268" s="25" t="str">
        <f>IF(OR(E3268="",E3268="!!!",F3268="NEW"),"",INDEX(B3267:B$2,-1+SUMPRODUCT(MAX(ROW(E3267:E$2)*(E3268=E3267:E$2)))))</f>
        <v> </v>
      </c>
      <c r="J3268" s="25" t="str">
        <f>IF(OR(E3268="",E3268="!!!",F3268="NEW"),"",COUNTBLANK(OFFSET(A$1,,,SUMPRODUCT(MAX(ROW(E$2:E3268)*(E3268=E$2:E3268)))))-COUNTBLANK(OFFSET(A$1,,,SUMPRODUCT(MAX(ROW(E$1:E3267)*(E2=E$1:E3267))))))</f>
        <v> </v>
      </c>
      <c r="K3268" s="25" t="str">
        <f>IF(OR(E3268="",E3268="!!!",F3268="NEW"),"",INDEX(J$1:J3267,SUMPRODUCT(MAX(ROW(E$1:E3267)*(E3268=E$1:E3267)))))</f>
        <v> </v>
      </c>
      <c r="L3268" s="26"/>
    </row>
    <row r="3269" spans="1:12">
      <c r="A3269" s="20" t="s">
        <v>751</v>
      </c>
      <c r="E3269" s="21">
        <f>IF(D3269="?OLD","!!!","")</f>
        <v/>
      </c>
      <c r="F3269" s="22" t="str">
        <f>IF(OR(E3269="",E3269="!!!"),"",IF(NOT(ISNA(VLOOKUP(E3269,E$1:E3268,1,FALSE()))),"OLD",IF(AND(E3269&lt;&gt;"",E3269&lt;&gt;"!!!"),"NEW","")))</f>
        <v> </v>
      </c>
      <c r="G3269" s="23" t="str">
        <f>IF(OR(E3269="",E3269="!!!"),"",IF(OR(J3269=0,AND(J3269=1,K3269=1),AND(J3269=1,I3269="SBJ"),AND(J3269=1,I3269=0)),"?IN_FOCUS",IF(J3269&lt;=2,"?ACTIVATED",IF(J3269&lt;&gt;"","?FAMILIAR",IF(F3269="NEW",IF(ISNA(VLOOKUP(E3269,#REF!,1,FALSE())),"?TYPE_IDENTIFIABLE","?REFERENTIAL"),"_")))))</f>
        <v> </v>
      </c>
      <c r="H3269" s="24" t="str">
        <f>IF(J3269&lt;&gt;1,"",IF(I3269="SBJ","CB","?"))</f>
        <v> </v>
      </c>
      <c r="I3269" s="25" t="str">
        <f>IF(OR(E3269="",E3269="!!!",F3269="NEW"),"",INDEX(B3268:B$2,-1+SUMPRODUCT(MAX(ROW(E3268:E$2)*(E3269=E3268:E$2)))))</f>
        <v> </v>
      </c>
      <c r="J3269" s="25" t="str">
        <f>IF(OR(E3269="",E3269="!!!",F3269="NEW"),"",COUNTBLANK(OFFSET(A$1,,,SUMPRODUCT(MAX(ROW(E$2:E3269)*(E3269=E$2:E3269)))))-COUNTBLANK(OFFSET(A$1,,,SUMPRODUCT(MAX(ROW(E$1:E3268)*(E2=E$1:E3268))))))</f>
        <v> </v>
      </c>
      <c r="K3269" s="25" t="str">
        <f>IF(OR(E3269="",E3269="!!!",F3269="NEW"),"",INDEX(J$1:J3268,SUMPRODUCT(MAX(ROW(E$1:E3268)*(E3269=E$1:E3268)))))</f>
        <v> </v>
      </c>
      <c r="L3269" s="26"/>
    </row>
    <row r="3270" spans="1:12">
      <c r="A3270" s="20" t="s">
        <v>528</v>
      </c>
      <c r="E3270" s="21">
        <f>IF(D3270="?OLD","!!!","")</f>
        <v/>
      </c>
      <c r="F3270" s="22" t="str">
        <f>IF(OR(E3270="",E3270="!!!"),"",IF(NOT(ISNA(VLOOKUP(E3270,E$1:E3269,1,FALSE()))),"OLD",IF(AND(E3270&lt;&gt;"",E3270&lt;&gt;"!!!"),"NEW","")))</f>
        <v> </v>
      </c>
      <c r="G3270" s="23" t="str">
        <f>IF(OR(E3270="",E3270="!!!"),"",IF(OR(J3270=0,AND(J3270=1,K3270=1),AND(J3270=1,I3270="SBJ"),AND(J3270=1,I3270=0)),"?IN_FOCUS",IF(J3270&lt;=2,"?ACTIVATED",IF(J3270&lt;&gt;"","?FAMILIAR",IF(F3270="NEW",IF(ISNA(VLOOKUP(E3270,#REF!,1,FALSE())),"?TYPE_IDENTIFIABLE","?REFERENTIAL"),"_")))))</f>
        <v> </v>
      </c>
      <c r="H3270" s="24" t="str">
        <f>IF(J3270&lt;&gt;1,"",IF(I3270="SBJ","CB","?"))</f>
        <v> </v>
      </c>
      <c r="I3270" s="25" t="str">
        <f>IF(OR(E3270="",E3270="!!!",F3270="NEW"),"",INDEX(B3269:B$2,-1+SUMPRODUCT(MAX(ROW(E3269:E$2)*(E3270=E3269:E$2)))))</f>
        <v> </v>
      </c>
      <c r="J3270" s="25" t="str">
        <f>IF(OR(E3270="",E3270="!!!",F3270="NEW"),"",COUNTBLANK(OFFSET(A$1,,,SUMPRODUCT(MAX(ROW(E$2:E3270)*(E3270=E$2:E3270)))))-COUNTBLANK(OFFSET(A$1,,,SUMPRODUCT(MAX(ROW(E$1:E3269)*(E2=E$1:E3269))))))</f>
        <v> </v>
      </c>
      <c r="K3270" s="25" t="str">
        <f>IF(OR(E3270="",E3270="!!!",F3270="NEW"),"",INDEX(J$1:J3269,SUMPRODUCT(MAX(ROW(E$1:E3269)*(E3270=E$1:E3269)))))</f>
        <v> </v>
      </c>
      <c r="L3270" s="26"/>
    </row>
    <row r="3271" spans="1:12">
      <c r="A3271" s="20" t="s">
        <v>810</v>
      </c>
      <c r="E3271" s="21">
        <f>IF(D3271="?OLD","!!!","")</f>
        <v/>
      </c>
      <c r="F3271" s="22" t="str">
        <f>IF(OR(E3271="",E3271="!!!"),"",IF(NOT(ISNA(VLOOKUP(E3271,E$1:E3270,1,FALSE()))),"OLD",IF(AND(E3271&lt;&gt;"",E3271&lt;&gt;"!!!"),"NEW","")))</f>
        <v> </v>
      </c>
      <c r="G3271" s="23" t="str">
        <f>IF(OR(E3271="",E3271="!!!"),"",IF(OR(J3271=0,AND(J3271=1,K3271=1),AND(J3271=1,I3271="SBJ"),AND(J3271=1,I3271=0)),"?IN_FOCUS",IF(J3271&lt;=2,"?ACTIVATED",IF(J3271&lt;&gt;"","?FAMILIAR",IF(F3271="NEW",IF(ISNA(VLOOKUP(E3271,#REF!,1,FALSE())),"?TYPE_IDENTIFIABLE","?REFERENTIAL"),"_")))))</f>
        <v> </v>
      </c>
      <c r="H3271" s="24" t="str">
        <f>IF(J3271&lt;&gt;1,"",IF(I3271="SBJ","CB","?"))</f>
        <v> </v>
      </c>
      <c r="I3271" s="25" t="str">
        <f>IF(OR(E3271="",E3271="!!!",F3271="NEW"),"",INDEX(B3270:B$2,-1+SUMPRODUCT(MAX(ROW(E3270:E$2)*(E3271=E3270:E$2)))))</f>
        <v> </v>
      </c>
      <c r="J3271" s="25" t="str">
        <f>IF(OR(E3271="",E3271="!!!",F3271="NEW"),"",COUNTBLANK(OFFSET(A$1,,,SUMPRODUCT(MAX(ROW(E$2:E3271)*(E3271=E$2:E3271)))))-COUNTBLANK(OFFSET(A$1,,,SUMPRODUCT(MAX(ROW(E$1:E3270)*(E2=E$1:E3270))))))</f>
        <v> </v>
      </c>
      <c r="K3271" s="25" t="str">
        <f>IF(OR(E3271="",E3271="!!!",F3271="NEW"),"",INDEX(J$1:J3270,SUMPRODUCT(MAX(ROW(E$1:E3270)*(E3271=E$1:E3270)))))</f>
        <v> </v>
      </c>
      <c r="L3271" s="26"/>
    </row>
    <row r="3272" spans="1:12">
      <c r="A3272" s="20" t="s">
        <v>1591</v>
      </c>
      <c r="E3272" s="21">
        <f>IF(D3272="?OLD","!!!","")</f>
        <v/>
      </c>
      <c r="F3272" s="22" t="str">
        <f>IF(OR(E3272="",E3272="!!!"),"",IF(NOT(ISNA(VLOOKUP(E3272,E$1:E3271,1,FALSE()))),"OLD",IF(AND(E3272&lt;&gt;"",E3272&lt;&gt;"!!!"),"NEW","")))</f>
        <v> </v>
      </c>
      <c r="G3272" s="23" t="str">
        <f>IF(OR(E3272="",E3272="!!!"),"",IF(OR(J3272=0,AND(J3272=1,K3272=1),AND(J3272=1,I3272="SBJ"),AND(J3272=1,I3272=0)),"?IN_FOCUS",IF(J3272&lt;=2,"?ACTIVATED",IF(J3272&lt;&gt;"","?FAMILIAR",IF(F3272="NEW",IF(ISNA(VLOOKUP(E3272,#REF!,1,FALSE())),"?TYPE_IDENTIFIABLE","?REFERENTIAL"),"_")))))</f>
        <v> </v>
      </c>
      <c r="H3272" s="24" t="str">
        <f>IF(J3272&lt;&gt;1,"",IF(I3272="SBJ","CB","?"))</f>
        <v> </v>
      </c>
      <c r="I3272" s="25" t="str">
        <f>IF(OR(E3272="",E3272="!!!",F3272="NEW"),"",INDEX(B3271:B$2,-1+SUMPRODUCT(MAX(ROW(E3271:E$2)*(E3272=E3271:E$2)))))</f>
        <v> </v>
      </c>
      <c r="J3272" s="25" t="str">
        <f>IF(OR(E3272="",E3272="!!!",F3272="NEW"),"",COUNTBLANK(OFFSET(A$1,,,SUMPRODUCT(MAX(ROW(E$2:E3272)*(E3272=E$2:E3272)))))-COUNTBLANK(OFFSET(A$1,,,SUMPRODUCT(MAX(ROW(E$1:E3271)*(E2=E$1:E3271))))))</f>
        <v> </v>
      </c>
      <c r="K3272" s="25" t="str">
        <f>IF(OR(E3272="",E3272="!!!",F3272="NEW"),"",INDEX(J$1:J3271,SUMPRODUCT(MAX(ROW(E$1:E3271)*(E3272=E$1:E3271)))))</f>
        <v> </v>
      </c>
      <c r="L3272" s="26"/>
    </row>
    <row r="3273" spans="1:12">
      <c r="A3273" s="20" t="s">
        <v>815</v>
      </c>
      <c r="E3273" s="21">
        <f>IF(D3273="?OLD","!!!","")</f>
        <v/>
      </c>
      <c r="F3273" s="22" t="str">
        <f>IF(OR(E3273="",E3273="!!!"),"",IF(NOT(ISNA(VLOOKUP(E3273,E$1:E3272,1,FALSE()))),"OLD",IF(AND(E3273&lt;&gt;"",E3273&lt;&gt;"!!!"),"NEW","")))</f>
        <v> </v>
      </c>
      <c r="G3273" s="23" t="str">
        <f>IF(OR(E3273="",E3273="!!!"),"",IF(OR(J3273=0,AND(J3273=1,K3273=1),AND(J3273=1,I3273="SBJ"),AND(J3273=1,I3273=0)),"?IN_FOCUS",IF(J3273&lt;=2,"?ACTIVATED",IF(J3273&lt;&gt;"","?FAMILIAR",IF(F3273="NEW",IF(ISNA(VLOOKUP(E3273,#REF!,1,FALSE())),"?TYPE_IDENTIFIABLE","?REFERENTIAL"),"_")))))</f>
        <v> </v>
      </c>
      <c r="H3273" s="24" t="str">
        <f>IF(J3273&lt;&gt;1,"",IF(I3273="SBJ","CB","?"))</f>
        <v> </v>
      </c>
      <c r="I3273" s="25" t="str">
        <f>IF(OR(E3273="",E3273="!!!",F3273="NEW"),"",INDEX(B3272:B$2,-1+SUMPRODUCT(MAX(ROW(E3272:E$2)*(E3273=E3272:E$2)))))</f>
        <v> </v>
      </c>
      <c r="J3273" s="25" t="str">
        <f>IF(OR(E3273="",E3273="!!!",F3273="NEW"),"",COUNTBLANK(OFFSET(A$1,,,SUMPRODUCT(MAX(ROW(E$2:E3273)*(E3273=E$2:E3273)))))-COUNTBLANK(OFFSET(A$1,,,SUMPRODUCT(MAX(ROW(E$1:E3272)*(E2=E$1:E3272))))))</f>
        <v> </v>
      </c>
      <c r="K3273" s="25" t="str">
        <f>IF(OR(E3273="",E3273="!!!",F3273="NEW"),"",INDEX(J$1:J3272,SUMPRODUCT(MAX(ROW(E$1:E3272)*(E3273=E$1:E3272)))))</f>
        <v> </v>
      </c>
      <c r="L3273" s="26"/>
    </row>
    <row r="3274" spans="1:12">
      <c r="A3274" s="20"/>
    </row>
    <row r="3275" spans="1:12">
      <c r="A3275" s="20" t="s">
        <v>1592</v>
      </c>
    </row>
    <row r="3276" spans="1:12">
      <c r="A3276" s="20" t="s">
        <v>1076</v>
      </c>
      <c r="E3276" s="21">
        <f>IF(D3276="?OLD","!!!","")</f>
        <v/>
      </c>
      <c r="F3276" s="22" t="str">
        <f>IF(OR(E3276="",E3276="!!!"),"",IF(NOT(ISNA(VLOOKUP(E3276,E$1:E3275,1,FALSE()))),"OLD",IF(AND(E3276&lt;&gt;"",E3276&lt;&gt;"!!!"),"NEW","")))</f>
        <v> </v>
      </c>
      <c r="G3276" s="23" t="str">
        <f>IF(OR(E3276="",E3276="!!!"),"",IF(OR(J3276=0,AND(J3276=1,K3276=1),AND(J3276=1,I3276="SBJ"),AND(J3276=1,I3276=0)),"?IN_FOCUS",IF(J3276&lt;=2,"?ACTIVATED",IF(J3276&lt;&gt;"","?FAMILIAR",IF(F3276="NEW",IF(ISNA(VLOOKUP(E3276,#REF!,1,FALSE())),"?TYPE_IDENTIFIABLE","?REFERENTIAL"),"_")))))</f>
        <v> </v>
      </c>
      <c r="H3276" s="24" t="str">
        <f>IF(J3276&lt;&gt;1,"",IF(I3276="SBJ","CB","?"))</f>
        <v> </v>
      </c>
      <c r="I3276" s="25" t="str">
        <f>IF(OR(E3276="",E3276="!!!",F3276="NEW"),"",INDEX(B3275:B$2,-1+SUMPRODUCT(MAX(ROW(E3275:E$2)*(E3276=E3275:E$2)))))</f>
        <v> </v>
      </c>
      <c r="J3276" s="25" t="str">
        <f>IF(OR(E3276="",E3276="!!!",F3276="NEW"),"",COUNTBLANK(OFFSET(A$1,,,SUMPRODUCT(MAX(ROW(E$2:E3276)*(E3276=E$2:E3276)))))-COUNTBLANK(OFFSET(A$1,,,SUMPRODUCT(MAX(ROW(E$1:E3275)*(E2=E$1:E3275))))))</f>
        <v> </v>
      </c>
      <c r="K3276" s="25" t="str">
        <f>IF(OR(E3276="",E3276="!!!",F3276="NEW"),"",INDEX(J$1:J3275,SUMPRODUCT(MAX(ROW(E$1:E3275)*(E3276=E$1:E3275)))))</f>
        <v> </v>
      </c>
      <c r="L3276" s="26"/>
    </row>
    <row r="3277" spans="1:12">
      <c r="A3277" s="20" t="s">
        <v>1593</v>
      </c>
      <c r="B3277" s="27" t="s">
        <v>592</v>
      </c>
      <c r="C3277" s="27" t="s">
        <v>548</v>
      </c>
      <c r="D3277" s="27" t="s">
        <v>524</v>
      </c>
      <c r="E3277" s="21">
        <f>IF(D3277="?OLD","!!!","")</f>
        <v/>
      </c>
      <c r="F3277" s="22" t="str">
        <f>IF(OR(E3277="",E3277="!!!"),"",IF(NOT(ISNA(VLOOKUP(E3277,E$1:E3276,1,FALSE()))),"OLD",IF(AND(E3277&lt;&gt;"",E3277&lt;&gt;"!!!"),"NEW","")))</f>
        <v> </v>
      </c>
      <c r="G3277" s="23" t="str">
        <f>IF(OR(E3277="",E3277="!!!"),"",IF(OR(J3277=0,AND(J3277=1,K3277=1),AND(J3277=1,I3277="SBJ"),AND(J3277=1,I3277=0)),"?IN_FOCUS",IF(J3277&lt;=2,"?ACTIVATED",IF(J3277&lt;&gt;"","?FAMILIAR",IF(F3277="NEW",IF(ISNA(VLOOKUP(E3277,#REF!,1,FALSE())),"?TYPE_IDENTIFIABLE","?REFERENTIAL"),"_")))))</f>
        <v> </v>
      </c>
      <c r="H3277" s="24" t="str">
        <f>IF(J3277&lt;&gt;1,"",IF(I3277="SBJ","CB","?"))</f>
        <v> </v>
      </c>
      <c r="I3277" s="25" t="str">
        <f>IF(OR(E3277="",E3277="!!!",F3277="NEW"),"",INDEX(B3276:B$2,-1+SUMPRODUCT(MAX(ROW(E3276:E$2)*(E3277=E3276:E$2)))))</f>
        <v> </v>
      </c>
      <c r="J3277" s="25" t="str">
        <f>IF(OR(E3277="",E3277="!!!",F3277="NEW"),"",COUNTBLANK(OFFSET(A$1,,,SUMPRODUCT(MAX(ROW(E$2:E3277)*(E3277=E$2:E3277)))))-COUNTBLANK(OFFSET(A$1,,,SUMPRODUCT(MAX(ROW(E$1:E3276)*(E2=E$1:E3276))))))</f>
        <v> </v>
      </c>
      <c r="K3277" s="25" t="str">
        <f>IF(OR(E3277="",E3277="!!!",F3277="NEW"),"",INDEX(J$1:J3276,SUMPRODUCT(MAX(ROW(E$1:E3276)*(E3277=E$1:E3276)))))</f>
        <v> </v>
      </c>
      <c r="L3277" s="26"/>
    </row>
    <row r="3278" spans="1:12">
      <c r="A3278" s="20" t="s">
        <v>565</v>
      </c>
      <c r="E3278" s="21">
        <f>IF(D3278="?OLD","!!!","")</f>
        <v/>
      </c>
      <c r="F3278" s="22" t="str">
        <f>IF(OR(E3278="",E3278="!!!"),"",IF(NOT(ISNA(VLOOKUP(E3278,E$1:E3277,1,FALSE()))),"OLD",IF(AND(E3278&lt;&gt;"",E3278&lt;&gt;"!!!"),"NEW","")))</f>
        <v> </v>
      </c>
      <c r="G3278" s="23" t="str">
        <f>IF(OR(E3278="",E3278="!!!"),"",IF(OR(J3278=0,AND(J3278=1,K3278=1),AND(J3278=1,I3278="SBJ"),AND(J3278=1,I3278=0)),"?IN_FOCUS",IF(J3278&lt;=2,"?ACTIVATED",IF(J3278&lt;&gt;"","?FAMILIAR",IF(F3278="NEW",IF(ISNA(VLOOKUP(E3278,#REF!,1,FALSE())),"?TYPE_IDENTIFIABLE","?REFERENTIAL"),"_")))))</f>
        <v> </v>
      </c>
      <c r="H3278" s="24" t="str">
        <f>IF(J3278&lt;&gt;1,"",IF(I3278="SBJ","CB","?"))</f>
        <v> </v>
      </c>
      <c r="I3278" s="25" t="str">
        <f>IF(OR(E3278="",E3278="!!!",F3278="NEW"),"",INDEX(B3277:B$2,-1+SUMPRODUCT(MAX(ROW(E3277:E$2)*(E3278=E3277:E$2)))))</f>
        <v> </v>
      </c>
      <c r="J3278" s="25" t="str">
        <f>IF(OR(E3278="",E3278="!!!",F3278="NEW"),"",COUNTBLANK(OFFSET(A$1,,,SUMPRODUCT(MAX(ROW(E$2:E3278)*(E3278=E$2:E3278)))))-COUNTBLANK(OFFSET(A$1,,,SUMPRODUCT(MAX(ROW(E$1:E3277)*(E2=E$1:E3277))))))</f>
        <v> </v>
      </c>
      <c r="K3278" s="25" t="str">
        <f>IF(OR(E3278="",E3278="!!!",F3278="NEW"),"",INDEX(J$1:J3277,SUMPRODUCT(MAX(ROW(E$1:E3277)*(E3278=E$1:E3277)))))</f>
        <v> </v>
      </c>
      <c r="L3278" s="26"/>
    </row>
    <row r="3279" spans="1:12">
      <c r="A3279" s="20" t="s">
        <v>1594</v>
      </c>
      <c r="E3279" s="21">
        <f>IF(D3279="?OLD","!!!","")</f>
        <v/>
      </c>
      <c r="F3279" s="22" t="str">
        <f>IF(OR(E3279="",E3279="!!!"),"",IF(NOT(ISNA(VLOOKUP(E3279,E$1:E3278,1,FALSE()))),"OLD",IF(AND(E3279&lt;&gt;"",E3279&lt;&gt;"!!!"),"NEW","")))</f>
        <v> </v>
      </c>
      <c r="G3279" s="23" t="str">
        <f>IF(OR(E3279="",E3279="!!!"),"",IF(OR(J3279=0,AND(J3279=1,K3279=1),AND(J3279=1,I3279="SBJ"),AND(J3279=1,I3279=0)),"?IN_FOCUS",IF(J3279&lt;=2,"?ACTIVATED",IF(J3279&lt;&gt;"","?FAMILIAR",IF(F3279="NEW",IF(ISNA(VLOOKUP(E3279,#REF!,1,FALSE())),"?TYPE_IDENTIFIABLE","?REFERENTIAL"),"_")))))</f>
        <v> </v>
      </c>
      <c r="H3279" s="24" t="str">
        <f>IF(J3279&lt;&gt;1,"",IF(I3279="SBJ","CB","?"))</f>
        <v> </v>
      </c>
      <c r="I3279" s="25" t="str">
        <f>IF(OR(E3279="",E3279="!!!",F3279="NEW"),"",INDEX(B3278:B$2,-1+SUMPRODUCT(MAX(ROW(E3278:E$2)*(E3279=E3278:E$2)))))</f>
        <v> </v>
      </c>
      <c r="J3279" s="25" t="str">
        <f>IF(OR(E3279="",E3279="!!!",F3279="NEW"),"",COUNTBLANK(OFFSET(A$1,,,SUMPRODUCT(MAX(ROW(E$2:E3279)*(E3279=E$2:E3279)))))-COUNTBLANK(OFFSET(A$1,,,SUMPRODUCT(MAX(ROW(E$1:E3278)*(E2=E$1:E3278))))))</f>
        <v> </v>
      </c>
      <c r="K3279" s="25" t="str">
        <f>IF(OR(E3279="",E3279="!!!",F3279="NEW"),"",INDEX(J$1:J3278,SUMPRODUCT(MAX(ROW(E$1:E3278)*(E3279=E$1:E3278)))))</f>
        <v> </v>
      </c>
      <c r="L3279" s="26"/>
    </row>
    <row r="3280" spans="1:12">
      <c r="A3280" s="20" t="s">
        <v>538</v>
      </c>
      <c r="E3280" s="21">
        <f>IF(D3280="?OLD","!!!","")</f>
        <v/>
      </c>
      <c r="F3280" s="22" t="str">
        <f>IF(OR(E3280="",E3280="!!!"),"",IF(NOT(ISNA(VLOOKUP(E3280,E$1:E3279,1,FALSE()))),"OLD",IF(AND(E3280&lt;&gt;"",E3280&lt;&gt;"!!!"),"NEW","")))</f>
        <v> </v>
      </c>
      <c r="G3280" s="23" t="str">
        <f>IF(OR(E3280="",E3280="!!!"),"",IF(OR(J3280=0,AND(J3280=1,K3280=1),AND(J3280=1,I3280="SBJ"),AND(J3280=1,I3280=0)),"?IN_FOCUS",IF(J3280&lt;=2,"?ACTIVATED",IF(J3280&lt;&gt;"","?FAMILIAR",IF(F3280="NEW",IF(ISNA(VLOOKUP(E3280,#REF!,1,FALSE())),"?TYPE_IDENTIFIABLE","?REFERENTIAL"),"_")))))</f>
        <v> </v>
      </c>
      <c r="H3280" s="24" t="str">
        <f>IF(J3280&lt;&gt;1,"",IF(I3280="SBJ","CB","?"))</f>
        <v> </v>
      </c>
      <c r="I3280" s="25" t="str">
        <f>IF(OR(E3280="",E3280="!!!",F3280="NEW"),"",INDEX(B3279:B$2,-1+SUMPRODUCT(MAX(ROW(E3279:E$2)*(E3280=E3279:E$2)))))</f>
        <v> </v>
      </c>
      <c r="J3280" s="25" t="str">
        <f>IF(OR(E3280="",E3280="!!!",F3280="NEW"),"",COUNTBLANK(OFFSET(A$1,,,SUMPRODUCT(MAX(ROW(E$2:E3280)*(E3280=E$2:E3280)))))-COUNTBLANK(OFFSET(A$1,,,SUMPRODUCT(MAX(ROW(E$1:E3279)*(E2=E$1:E3279))))))</f>
        <v> </v>
      </c>
      <c r="K3280" s="25" t="str">
        <f>IF(OR(E3280="",E3280="!!!",F3280="NEW"),"",INDEX(J$1:J3279,SUMPRODUCT(MAX(ROW(E$1:E3279)*(E3280=E$1:E3279)))))</f>
        <v> </v>
      </c>
      <c r="L3280" s="26"/>
    </row>
    <row r="3281" spans="1:12">
      <c r="A3281" s="20" t="s">
        <v>1595</v>
      </c>
      <c r="B3281" s="27" t="s">
        <v>743</v>
      </c>
      <c r="C3281" s="27" t="s">
        <v>540</v>
      </c>
      <c r="D3281" s="27" t="s">
        <v>524</v>
      </c>
      <c r="E3281" s="21">
        <f>IF(D3281="?OLD","!!!","")</f>
        <v/>
      </c>
      <c r="F3281" s="22" t="str">
        <f>IF(OR(E3281="",E3281="!!!"),"",IF(NOT(ISNA(VLOOKUP(E3281,E$1:E3280,1,FALSE()))),"OLD",IF(AND(E3281&lt;&gt;"",E3281&lt;&gt;"!!!"),"NEW","")))</f>
        <v> </v>
      </c>
      <c r="G3281" s="23" t="str">
        <f>IF(OR(E3281="",E3281="!!!"),"",IF(OR(J3281=0,AND(J3281=1,K3281=1),AND(J3281=1,I3281="SBJ"),AND(J3281=1,I3281=0)),"?IN_FOCUS",IF(J3281&lt;=2,"?ACTIVATED",IF(J3281&lt;&gt;"","?FAMILIAR",IF(F3281="NEW",IF(ISNA(VLOOKUP(E3281,#REF!,1,FALSE())),"?TYPE_IDENTIFIABLE","?REFERENTIAL"),"_")))))</f>
        <v> </v>
      </c>
      <c r="H3281" s="24" t="str">
        <f>IF(J3281&lt;&gt;1,"",IF(I3281="SBJ","CB","?"))</f>
        <v> </v>
      </c>
      <c r="I3281" s="25" t="str">
        <f>IF(OR(E3281="",E3281="!!!",F3281="NEW"),"",INDEX(B3280:B$2,-1+SUMPRODUCT(MAX(ROW(E3280:E$2)*(E3281=E3280:E$2)))))</f>
        <v> </v>
      </c>
      <c r="J3281" s="25" t="str">
        <f>IF(OR(E3281="",E3281="!!!",F3281="NEW"),"",COUNTBLANK(OFFSET(A$1,,,SUMPRODUCT(MAX(ROW(E$2:E3281)*(E3281=E$2:E3281)))))-COUNTBLANK(OFFSET(A$1,,,SUMPRODUCT(MAX(ROW(E$1:E3280)*(E2=E$1:E3280))))))</f>
        <v> </v>
      </c>
      <c r="K3281" s="25" t="str">
        <f>IF(OR(E3281="",E3281="!!!",F3281="NEW"),"",INDEX(J$1:J3280,SUMPRODUCT(MAX(ROW(E$1:E3280)*(E3281=E$1:E3280)))))</f>
        <v> </v>
      </c>
      <c r="L3281" s="26"/>
    </row>
    <row r="3282" spans="1:12">
      <c r="A3282" s="20" t="s">
        <v>518</v>
      </c>
      <c r="E3282" s="21">
        <f>IF(D3282="?OLD","!!!","")</f>
        <v/>
      </c>
      <c r="F3282" s="22" t="str">
        <f>IF(OR(E3282="",E3282="!!!"),"",IF(NOT(ISNA(VLOOKUP(E3282,E$1:E3281,1,FALSE()))),"OLD",IF(AND(E3282&lt;&gt;"",E3282&lt;&gt;"!!!"),"NEW","")))</f>
        <v> </v>
      </c>
      <c r="G3282" s="23" t="str">
        <f>IF(OR(E3282="",E3282="!!!"),"",IF(OR(J3282=0,AND(J3282=1,K3282=1),AND(J3282=1,I3282="SBJ"),AND(J3282=1,I3282=0)),"?IN_FOCUS",IF(J3282&lt;=2,"?ACTIVATED",IF(J3282&lt;&gt;"","?FAMILIAR",IF(F3282="NEW",IF(ISNA(VLOOKUP(E3282,#REF!,1,FALSE())),"?TYPE_IDENTIFIABLE","?REFERENTIAL"),"_")))))</f>
        <v> </v>
      </c>
      <c r="H3282" s="24" t="str">
        <f>IF(J3282&lt;&gt;1,"",IF(I3282="SBJ","CB","?"))</f>
        <v> </v>
      </c>
      <c r="I3282" s="25" t="str">
        <f>IF(OR(E3282="",E3282="!!!",F3282="NEW"),"",INDEX(B3281:B$2,-1+SUMPRODUCT(MAX(ROW(E3281:E$2)*(E3282=E3281:E$2)))))</f>
        <v> </v>
      </c>
      <c r="J3282" s="25" t="str">
        <f>IF(OR(E3282="",E3282="!!!",F3282="NEW"),"",COUNTBLANK(OFFSET(A$1,,,SUMPRODUCT(MAX(ROW(E$2:E3282)*(E3282=E$2:E3282)))))-COUNTBLANK(OFFSET(A$1,,,SUMPRODUCT(MAX(ROW(E$1:E3281)*(E2=E$1:E3281))))))</f>
        <v> </v>
      </c>
      <c r="K3282" s="25" t="str">
        <f>IF(OR(E3282="",E3282="!!!",F3282="NEW"),"",INDEX(J$1:J3281,SUMPRODUCT(MAX(ROW(E$1:E3281)*(E3282=E$1:E3281)))))</f>
        <v> </v>
      </c>
      <c r="L3282" s="26"/>
    </row>
    <row r="3283" spans="1:12">
      <c r="A3283" s="20" t="s">
        <v>1596</v>
      </c>
      <c r="B3283" s="27" t="s">
        <v>597</v>
      </c>
      <c r="C3283" s="27" t="s">
        <v>564</v>
      </c>
      <c r="E3283" s="21">
        <f>IF(D3283="?OLD","!!!","")</f>
        <v/>
      </c>
      <c r="F3283" s="22" t="str">
        <f>IF(OR(E3283="",E3283="!!!"),"",IF(NOT(ISNA(VLOOKUP(E3283,E$1:E3282,1,FALSE()))),"OLD",IF(AND(E3283&lt;&gt;"",E3283&lt;&gt;"!!!"),"NEW","")))</f>
        <v> </v>
      </c>
      <c r="G3283" s="23" t="str">
        <f>IF(OR(E3283="",E3283="!!!"),"",IF(OR(J3283=0,AND(J3283=1,K3283=1),AND(J3283=1,I3283="SBJ"),AND(J3283=1,I3283=0)),"?IN_FOCUS",IF(J3283&lt;=2,"?ACTIVATED",IF(J3283&lt;&gt;"","?FAMILIAR",IF(F3283="NEW",IF(ISNA(VLOOKUP(E3283,#REF!,1,FALSE())),"?TYPE_IDENTIFIABLE","?REFERENTIAL"),"_")))))</f>
        <v> </v>
      </c>
      <c r="H3283" s="24" t="str">
        <f>IF(J3283&lt;&gt;1,"",IF(I3283="SBJ","CB","?"))</f>
        <v> </v>
      </c>
      <c r="I3283" s="25" t="str">
        <f>IF(OR(E3283="",E3283="!!!",F3283="NEW"),"",INDEX(B3282:B$2,-1+SUMPRODUCT(MAX(ROW(E3282:E$2)*(E3283=E3282:E$2)))))</f>
        <v> </v>
      </c>
      <c r="J3283" s="25" t="str">
        <f>IF(OR(E3283="",E3283="!!!",F3283="NEW"),"",COUNTBLANK(OFFSET(A$1,,,SUMPRODUCT(MAX(ROW(E$2:E3283)*(E3283=E$2:E3283)))))-COUNTBLANK(OFFSET(A$1,,,SUMPRODUCT(MAX(ROW(E$1:E3282)*(E2=E$1:E3282))))))</f>
        <v> </v>
      </c>
      <c r="K3283" s="25" t="str">
        <f>IF(OR(E3283="",E3283="!!!",F3283="NEW"),"",INDEX(J$1:J3282,SUMPRODUCT(MAX(ROW(E$1:E3282)*(E3283=E$1:E3282)))))</f>
        <v> </v>
      </c>
      <c r="L3283" s="26"/>
    </row>
    <row r="3284" spans="1:12">
      <c r="A3284" s="20" t="s">
        <v>577</v>
      </c>
      <c r="E3284" s="21">
        <f>IF(D3284="?OLD","!!!","")</f>
        <v/>
      </c>
      <c r="F3284" s="22" t="str">
        <f>IF(OR(E3284="",E3284="!!!"),"",IF(NOT(ISNA(VLOOKUP(E3284,E$1:E3283,1,FALSE()))),"OLD",IF(AND(E3284&lt;&gt;"",E3284&lt;&gt;"!!!"),"NEW","")))</f>
        <v> </v>
      </c>
      <c r="G3284" s="23" t="str">
        <f>IF(OR(E3284="",E3284="!!!"),"",IF(OR(J3284=0,AND(J3284=1,K3284=1),AND(J3284=1,I3284="SBJ"),AND(J3284=1,I3284=0)),"?IN_FOCUS",IF(J3284&lt;=2,"?ACTIVATED",IF(J3284&lt;&gt;"","?FAMILIAR",IF(F3284="NEW",IF(ISNA(VLOOKUP(E3284,#REF!,1,FALSE())),"?TYPE_IDENTIFIABLE","?REFERENTIAL"),"_")))))</f>
        <v> </v>
      </c>
      <c r="H3284" s="24" t="str">
        <f>IF(J3284&lt;&gt;1,"",IF(I3284="SBJ","CB","?"))</f>
        <v> </v>
      </c>
      <c r="I3284" s="25" t="str">
        <f>IF(OR(E3284="",E3284="!!!",F3284="NEW"),"",INDEX(B3283:B$2,-1+SUMPRODUCT(MAX(ROW(E3283:E$2)*(E3284=E3283:E$2)))))</f>
        <v> </v>
      </c>
      <c r="J3284" s="25" t="str">
        <f>IF(OR(E3284="",E3284="!!!",F3284="NEW"),"",COUNTBLANK(OFFSET(A$1,,,SUMPRODUCT(MAX(ROW(E$2:E3284)*(E3284=E$2:E3284)))))-COUNTBLANK(OFFSET(A$1,,,SUMPRODUCT(MAX(ROW(E$1:E3283)*(E2=E$1:E3283))))))</f>
        <v> </v>
      </c>
      <c r="K3284" s="25" t="str">
        <f>IF(OR(E3284="",E3284="!!!",F3284="NEW"),"",INDEX(J$1:J3283,SUMPRODUCT(MAX(ROW(E$1:E3283)*(E3284=E$1:E3283)))))</f>
        <v> </v>
      </c>
      <c r="L3284" s="26"/>
    </row>
    <row r="3285" spans="1:12">
      <c r="A3285" s="20" t="s">
        <v>682</v>
      </c>
      <c r="E3285" s="21">
        <f>IF(D3285="?OLD","!!!","")</f>
        <v/>
      </c>
      <c r="F3285" s="22" t="str">
        <f>IF(OR(E3285="",E3285="!!!"),"",IF(NOT(ISNA(VLOOKUP(E3285,E$1:E3284,1,FALSE()))),"OLD",IF(AND(E3285&lt;&gt;"",E3285&lt;&gt;"!!!"),"NEW","")))</f>
        <v> </v>
      </c>
      <c r="G3285" s="23" t="str">
        <f>IF(OR(E3285="",E3285="!!!"),"",IF(OR(J3285=0,AND(J3285=1,K3285=1),AND(J3285=1,I3285="SBJ"),AND(J3285=1,I3285=0)),"?IN_FOCUS",IF(J3285&lt;=2,"?ACTIVATED",IF(J3285&lt;&gt;"","?FAMILIAR",IF(F3285="NEW",IF(ISNA(VLOOKUP(E3285,#REF!,1,FALSE())),"?TYPE_IDENTIFIABLE","?REFERENTIAL"),"_")))))</f>
        <v> </v>
      </c>
      <c r="H3285" s="24" t="str">
        <f>IF(J3285&lt;&gt;1,"",IF(I3285="SBJ","CB","?"))</f>
        <v> </v>
      </c>
      <c r="I3285" s="25" t="str">
        <f>IF(OR(E3285="",E3285="!!!",F3285="NEW"),"",INDEX(B3284:B$2,-1+SUMPRODUCT(MAX(ROW(E3284:E$2)*(E3285=E3284:E$2)))))</f>
        <v> </v>
      </c>
      <c r="J3285" s="25" t="str">
        <f>IF(OR(E3285="",E3285="!!!",F3285="NEW"),"",COUNTBLANK(OFFSET(A$1,,,SUMPRODUCT(MAX(ROW(E$2:E3285)*(E3285=E$2:E3285)))))-COUNTBLANK(OFFSET(A$1,,,SUMPRODUCT(MAX(ROW(E$1:E3284)*(E2=E$1:E3284))))))</f>
        <v> </v>
      </c>
      <c r="K3285" s="25" t="str">
        <f>IF(OR(E3285="",E3285="!!!",F3285="NEW"),"",INDEX(J$1:J3284,SUMPRODUCT(MAX(ROW(E$1:E3284)*(E3285=E$1:E3284)))))</f>
        <v> </v>
      </c>
      <c r="L3285" s="26"/>
    </row>
    <row r="3286" spans="1:12">
      <c r="A3286" s="20" t="s">
        <v>683</v>
      </c>
      <c r="B3286" s="27" t="s">
        <v>592</v>
      </c>
      <c r="C3286" s="27" t="s">
        <v>684</v>
      </c>
      <c r="D3286" s="27" t="s">
        <v>524</v>
      </c>
      <c r="E3286" s="21">
        <f>IF(D3286="?OLD","!!!","")</f>
        <v/>
      </c>
      <c r="F3286" s="22" t="str">
        <f>IF(OR(E3286="",E3286="!!!"),"",IF(NOT(ISNA(VLOOKUP(E3286,E$1:E3285,1,FALSE()))),"OLD",IF(AND(E3286&lt;&gt;"",E3286&lt;&gt;"!!!"),"NEW","")))</f>
        <v> </v>
      </c>
      <c r="G3286" s="23" t="str">
        <f>IF(OR(E3286="",E3286="!!!"),"",IF(OR(J3286=0,AND(J3286=1,K3286=1),AND(J3286=1,I3286="SBJ"),AND(J3286=1,I3286=0)),"?IN_FOCUS",IF(J3286&lt;=2,"?ACTIVATED",IF(J3286&lt;&gt;"","?FAMILIAR",IF(F3286="NEW",IF(ISNA(VLOOKUP(E3286,#REF!,1,FALSE())),"?TYPE_IDENTIFIABLE","?REFERENTIAL"),"_")))))</f>
        <v> </v>
      </c>
      <c r="H3286" s="24" t="str">
        <f>IF(J3286&lt;&gt;1,"",IF(I3286="SBJ","CB","?"))</f>
        <v> </v>
      </c>
      <c r="I3286" s="25" t="str">
        <f>IF(OR(E3286="",E3286="!!!",F3286="NEW"),"",INDEX(B3285:B$2,-1+SUMPRODUCT(MAX(ROW(E3285:E$2)*(E3286=E3285:E$2)))))</f>
        <v> </v>
      </c>
      <c r="J3286" s="25" t="str">
        <f>IF(OR(E3286="",E3286="!!!",F3286="NEW"),"",COUNTBLANK(OFFSET(A$1,,,SUMPRODUCT(MAX(ROW(E$2:E3286)*(E3286=E$2:E3286)))))-COUNTBLANK(OFFSET(A$1,,,SUMPRODUCT(MAX(ROW(E$1:E3285)*(E2=E$1:E3285))))))</f>
        <v> </v>
      </c>
      <c r="K3286" s="25" t="str">
        <f>IF(OR(E3286="",E3286="!!!",F3286="NEW"),"",INDEX(J$1:J3285,SUMPRODUCT(MAX(ROW(E$1:E3285)*(E3286=E$1:E3285)))))</f>
        <v> </v>
      </c>
      <c r="L3286" s="26"/>
    </row>
    <row r="3287" spans="1:12">
      <c r="A3287" s="20" t="s">
        <v>1368</v>
      </c>
      <c r="E3287" s="21">
        <f>IF(D3287="?OLD","!!!","")</f>
        <v/>
      </c>
      <c r="F3287" s="22" t="str">
        <f>IF(OR(E3287="",E3287="!!!"),"",IF(NOT(ISNA(VLOOKUP(E3287,E$1:E3286,1,FALSE()))),"OLD",IF(AND(E3287&lt;&gt;"",E3287&lt;&gt;"!!!"),"NEW","")))</f>
        <v> </v>
      </c>
      <c r="G3287" s="23" t="str">
        <f>IF(OR(E3287="",E3287="!!!"),"",IF(OR(J3287=0,AND(J3287=1,K3287=1),AND(J3287=1,I3287="SBJ"),AND(J3287=1,I3287=0)),"?IN_FOCUS",IF(J3287&lt;=2,"?ACTIVATED",IF(J3287&lt;&gt;"","?FAMILIAR",IF(F3287="NEW",IF(ISNA(VLOOKUP(E3287,#REF!,1,FALSE())),"?TYPE_IDENTIFIABLE","?REFERENTIAL"),"_")))))</f>
        <v> </v>
      </c>
      <c r="H3287" s="24" t="str">
        <f>IF(J3287&lt;&gt;1,"",IF(I3287="SBJ","CB","?"))</f>
        <v> </v>
      </c>
      <c r="I3287" s="25" t="str">
        <f>IF(OR(E3287="",E3287="!!!",F3287="NEW"),"",INDEX(B3286:B$2,-1+SUMPRODUCT(MAX(ROW(E3286:E$2)*(E3287=E3286:E$2)))))</f>
        <v> </v>
      </c>
      <c r="J3287" s="25" t="str">
        <f>IF(OR(E3287="",E3287="!!!",F3287="NEW"),"",COUNTBLANK(OFFSET(A$1,,,SUMPRODUCT(MAX(ROW(E$2:E3287)*(E3287=E$2:E3287)))))-COUNTBLANK(OFFSET(A$1,,,SUMPRODUCT(MAX(ROW(E$1:E3286)*(E2=E$1:E3286))))))</f>
        <v> </v>
      </c>
      <c r="K3287" s="25" t="str">
        <f>IF(OR(E3287="",E3287="!!!",F3287="NEW"),"",INDEX(J$1:J3286,SUMPRODUCT(MAX(ROW(E$1:E3286)*(E3287=E$1:E3286)))))</f>
        <v> </v>
      </c>
      <c r="L3287" s="26"/>
    </row>
    <row r="3288" spans="1:12">
      <c r="A3288" s="20" t="s">
        <v>549</v>
      </c>
      <c r="E3288" s="21">
        <f>IF(D3288="?OLD","!!!","")</f>
        <v/>
      </c>
      <c r="F3288" s="22" t="str">
        <f>IF(OR(E3288="",E3288="!!!"),"",IF(NOT(ISNA(VLOOKUP(E3288,E$1:E3287,1,FALSE()))),"OLD",IF(AND(E3288&lt;&gt;"",E3288&lt;&gt;"!!!"),"NEW","")))</f>
        <v> </v>
      </c>
      <c r="G3288" s="23" t="str">
        <f>IF(OR(E3288="",E3288="!!!"),"",IF(OR(J3288=0,AND(J3288=1,K3288=1),AND(J3288=1,I3288="SBJ"),AND(J3288=1,I3288=0)),"?IN_FOCUS",IF(J3288&lt;=2,"?ACTIVATED",IF(J3288&lt;&gt;"","?FAMILIAR",IF(F3288="NEW",IF(ISNA(VLOOKUP(E3288,#REF!,1,FALSE())),"?TYPE_IDENTIFIABLE","?REFERENTIAL"),"_")))))</f>
        <v> </v>
      </c>
      <c r="H3288" s="24" t="str">
        <f>IF(J3288&lt;&gt;1,"",IF(I3288="SBJ","CB","?"))</f>
        <v> </v>
      </c>
      <c r="I3288" s="25" t="str">
        <f>IF(OR(E3288="",E3288="!!!",F3288="NEW"),"",INDEX(B3287:B$2,-1+SUMPRODUCT(MAX(ROW(E3287:E$2)*(E3288=E3287:E$2)))))</f>
        <v> </v>
      </c>
      <c r="J3288" s="25" t="str">
        <f>IF(OR(E3288="",E3288="!!!",F3288="NEW"),"",COUNTBLANK(OFFSET(A$1,,,SUMPRODUCT(MAX(ROW(E$2:E3288)*(E3288=E$2:E3288)))))-COUNTBLANK(OFFSET(A$1,,,SUMPRODUCT(MAX(ROW(E$1:E3287)*(E2=E$1:E3287))))))</f>
        <v> </v>
      </c>
      <c r="K3288" s="25" t="str">
        <f>IF(OR(E3288="",E3288="!!!",F3288="NEW"),"",INDEX(J$1:J3287,SUMPRODUCT(MAX(ROW(E$1:E3287)*(E3288=E$1:E3287)))))</f>
        <v> </v>
      </c>
      <c r="L3288" s="26"/>
    </row>
    <row r="3289" spans="1:12">
      <c r="A3289" s="20"/>
    </row>
    <row r="3290" spans="1:12">
      <c r="A3290" s="20" t="s">
        <v>1597</v>
      </c>
    </row>
    <row r="3291" spans="1:12">
      <c r="A3291" s="20" t="s">
        <v>1598</v>
      </c>
      <c r="E3291" s="21">
        <f>IF(D3291="?OLD","!!!","")</f>
        <v/>
      </c>
      <c r="F3291" s="22" t="str">
        <f>IF(OR(E3291="",E3291="!!!"),"",IF(NOT(ISNA(VLOOKUP(E3291,E$1:E3290,1,FALSE()))),"OLD",IF(AND(E3291&lt;&gt;"",E3291&lt;&gt;"!!!"),"NEW","")))</f>
        <v> </v>
      </c>
      <c r="G3291" s="23" t="str">
        <f>IF(OR(E3291="",E3291="!!!"),"",IF(OR(J3291=0,AND(J3291=1,K3291=1),AND(J3291=1,I3291="SBJ"),AND(J3291=1,I3291=0)),"?IN_FOCUS",IF(J3291&lt;=2,"?ACTIVATED",IF(J3291&lt;&gt;"","?FAMILIAR",IF(F3291="NEW",IF(ISNA(VLOOKUP(E3291,#REF!,1,FALSE())),"?TYPE_IDENTIFIABLE","?REFERENTIAL"),"_")))))</f>
        <v> </v>
      </c>
      <c r="H3291" s="24" t="str">
        <f>IF(J3291&lt;&gt;1,"",IF(I3291="SBJ","CB","?"))</f>
        <v> </v>
      </c>
      <c r="I3291" s="25" t="str">
        <f>IF(OR(E3291="",E3291="!!!",F3291="NEW"),"",INDEX(B3290:B$2,-1+SUMPRODUCT(MAX(ROW(E3290:E$2)*(E3291=E3290:E$2)))))</f>
        <v> </v>
      </c>
      <c r="J3291" s="25" t="str">
        <f>IF(OR(E3291="",E3291="!!!",F3291="NEW"),"",COUNTBLANK(OFFSET(A$1,,,SUMPRODUCT(MAX(ROW(E$2:E3291)*(E3291=E$2:E3291)))))-COUNTBLANK(OFFSET(A$1,,,SUMPRODUCT(MAX(ROW(E$1:E3290)*(E2=E$1:E3290))))))</f>
        <v> </v>
      </c>
      <c r="K3291" s="25" t="str">
        <f>IF(OR(E3291="",E3291="!!!",F3291="NEW"),"",INDEX(J$1:J3290,SUMPRODUCT(MAX(ROW(E$1:E3290)*(E3291=E$1:E3290)))))</f>
        <v> </v>
      </c>
      <c r="L3291" s="26"/>
    </row>
    <row r="3292" spans="1:12">
      <c r="A3292" s="20" t="s">
        <v>574</v>
      </c>
      <c r="E3292" s="21">
        <f>IF(D3292="?OLD","!!!","")</f>
        <v/>
      </c>
      <c r="F3292" s="22" t="str">
        <f>IF(OR(E3292="",E3292="!!!"),"",IF(NOT(ISNA(VLOOKUP(E3292,E$1:E3291,1,FALSE()))),"OLD",IF(AND(E3292&lt;&gt;"",E3292&lt;&gt;"!!!"),"NEW","")))</f>
        <v> </v>
      </c>
      <c r="G3292" s="23" t="str">
        <f>IF(OR(E3292="",E3292="!!!"),"",IF(OR(J3292=0,AND(J3292=1,K3292=1),AND(J3292=1,I3292="SBJ"),AND(J3292=1,I3292=0)),"?IN_FOCUS",IF(J3292&lt;=2,"?ACTIVATED",IF(J3292&lt;&gt;"","?FAMILIAR",IF(F3292="NEW",IF(ISNA(VLOOKUP(E3292,#REF!,1,FALSE())),"?TYPE_IDENTIFIABLE","?REFERENTIAL"),"_")))))</f>
        <v> </v>
      </c>
      <c r="H3292" s="24" t="str">
        <f>IF(J3292&lt;&gt;1,"",IF(I3292="SBJ","CB","?"))</f>
        <v> </v>
      </c>
      <c r="I3292" s="25" t="str">
        <f>IF(OR(E3292="",E3292="!!!",F3292="NEW"),"",INDEX(B3291:B$2,-1+SUMPRODUCT(MAX(ROW(E3291:E$2)*(E3292=E3291:E$2)))))</f>
        <v> </v>
      </c>
      <c r="J3292" s="25" t="str">
        <f>IF(OR(E3292="",E3292="!!!",F3292="NEW"),"",COUNTBLANK(OFFSET(A$1,,,SUMPRODUCT(MAX(ROW(E$2:E3292)*(E3292=E$2:E3292)))))-COUNTBLANK(OFFSET(A$1,,,SUMPRODUCT(MAX(ROW(E$1:E3291)*(E2=E$1:E3291))))))</f>
        <v> </v>
      </c>
      <c r="K3292" s="25" t="str">
        <f>IF(OR(E3292="",E3292="!!!",F3292="NEW"),"",INDEX(J$1:J3291,SUMPRODUCT(MAX(ROW(E$1:E3291)*(E3292=E$1:E3291)))))</f>
        <v> </v>
      </c>
      <c r="L3292" s="26"/>
    </row>
    <row r="3293" spans="1:12">
      <c r="A3293" s="20" t="s">
        <v>1599</v>
      </c>
      <c r="E3293" s="21">
        <f>IF(D3293="?OLD","!!!","")</f>
        <v/>
      </c>
      <c r="F3293" s="22" t="str">
        <f>IF(OR(E3293="",E3293="!!!"),"",IF(NOT(ISNA(VLOOKUP(E3293,E$1:E3292,1,FALSE()))),"OLD",IF(AND(E3293&lt;&gt;"",E3293&lt;&gt;"!!!"),"NEW","")))</f>
        <v> </v>
      </c>
      <c r="G3293" s="23" t="str">
        <f>IF(OR(E3293="",E3293="!!!"),"",IF(OR(J3293=0,AND(J3293=1,K3293=1),AND(J3293=1,I3293="SBJ"),AND(J3293=1,I3293=0)),"?IN_FOCUS",IF(J3293&lt;=2,"?ACTIVATED",IF(J3293&lt;&gt;"","?FAMILIAR",IF(F3293="NEW",IF(ISNA(VLOOKUP(E3293,#REF!,1,FALSE())),"?TYPE_IDENTIFIABLE","?REFERENTIAL"),"_")))))</f>
        <v> </v>
      </c>
      <c r="H3293" s="24" t="str">
        <f>IF(J3293&lt;&gt;1,"",IF(I3293="SBJ","CB","?"))</f>
        <v> </v>
      </c>
      <c r="I3293" s="25" t="str">
        <f>IF(OR(E3293="",E3293="!!!",F3293="NEW"),"",INDEX(B3292:B$2,-1+SUMPRODUCT(MAX(ROW(E3292:E$2)*(E3293=E3292:E$2)))))</f>
        <v> </v>
      </c>
      <c r="J3293" s="25" t="str">
        <f>IF(OR(E3293="",E3293="!!!",F3293="NEW"),"",COUNTBLANK(OFFSET(A$1,,,SUMPRODUCT(MAX(ROW(E$2:E3293)*(E3293=E$2:E3293)))))-COUNTBLANK(OFFSET(A$1,,,SUMPRODUCT(MAX(ROW(E$1:E3292)*(E2=E$1:E3292))))))</f>
        <v> </v>
      </c>
      <c r="K3293" s="25" t="str">
        <f>IF(OR(E3293="",E3293="!!!",F3293="NEW"),"",INDEX(J$1:J3292,SUMPRODUCT(MAX(ROW(E$1:E3292)*(E3293=E$1:E3292)))))</f>
        <v> </v>
      </c>
      <c r="L3293" s="26"/>
    </row>
    <row r="3294" spans="1:12">
      <c r="A3294" s="20" t="s">
        <v>518</v>
      </c>
      <c r="E3294" s="21">
        <f>IF(D3294="?OLD","!!!","")</f>
        <v/>
      </c>
      <c r="F3294" s="22" t="str">
        <f>IF(OR(E3294="",E3294="!!!"),"",IF(NOT(ISNA(VLOOKUP(E3294,E$1:E3293,1,FALSE()))),"OLD",IF(AND(E3294&lt;&gt;"",E3294&lt;&gt;"!!!"),"NEW","")))</f>
        <v> </v>
      </c>
      <c r="G3294" s="23" t="str">
        <f>IF(OR(E3294="",E3294="!!!"),"",IF(OR(J3294=0,AND(J3294=1,K3294=1),AND(J3294=1,I3294="SBJ"),AND(J3294=1,I3294=0)),"?IN_FOCUS",IF(J3294&lt;=2,"?ACTIVATED",IF(J3294&lt;&gt;"","?FAMILIAR",IF(F3294="NEW",IF(ISNA(VLOOKUP(E3294,#REF!,1,FALSE())),"?TYPE_IDENTIFIABLE","?REFERENTIAL"),"_")))))</f>
        <v> </v>
      </c>
      <c r="H3294" s="24" t="str">
        <f>IF(J3294&lt;&gt;1,"",IF(I3294="SBJ","CB","?"))</f>
        <v> </v>
      </c>
      <c r="I3294" s="25" t="str">
        <f>IF(OR(E3294="",E3294="!!!",F3294="NEW"),"",INDEX(B3293:B$2,-1+SUMPRODUCT(MAX(ROW(E3293:E$2)*(E3294=E3293:E$2)))))</f>
        <v> </v>
      </c>
      <c r="J3294" s="25" t="str">
        <f>IF(OR(E3294="",E3294="!!!",F3294="NEW"),"",COUNTBLANK(OFFSET(A$1,,,SUMPRODUCT(MAX(ROW(E$2:E3294)*(E3294=E$2:E3294)))))-COUNTBLANK(OFFSET(A$1,,,SUMPRODUCT(MAX(ROW(E$1:E3293)*(E2=E$1:E3293))))))</f>
        <v> </v>
      </c>
      <c r="K3294" s="25" t="str">
        <f>IF(OR(E3294="",E3294="!!!",F3294="NEW"),"",INDEX(J$1:J3293,SUMPRODUCT(MAX(ROW(E$1:E3293)*(E3294=E$1:E3293)))))</f>
        <v> </v>
      </c>
      <c r="L3294" s="26"/>
    </row>
    <row r="3295" spans="1:12">
      <c r="A3295" s="20" t="s">
        <v>542</v>
      </c>
      <c r="E3295" s="21">
        <f>IF(D3295="?OLD","!!!","")</f>
        <v/>
      </c>
      <c r="F3295" s="22" t="str">
        <f>IF(OR(E3295="",E3295="!!!"),"",IF(NOT(ISNA(VLOOKUP(E3295,E$1:E3294,1,FALSE()))),"OLD",IF(AND(E3295&lt;&gt;"",E3295&lt;&gt;"!!!"),"NEW","")))</f>
        <v> </v>
      </c>
      <c r="G3295" s="23" t="str">
        <f>IF(OR(E3295="",E3295="!!!"),"",IF(OR(J3295=0,AND(J3295=1,K3295=1),AND(J3295=1,I3295="SBJ"),AND(J3295=1,I3295=0)),"?IN_FOCUS",IF(J3295&lt;=2,"?ACTIVATED",IF(J3295&lt;&gt;"","?FAMILIAR",IF(F3295="NEW",IF(ISNA(VLOOKUP(E3295,#REF!,1,FALSE())),"?TYPE_IDENTIFIABLE","?REFERENTIAL"),"_")))))</f>
        <v> </v>
      </c>
      <c r="H3295" s="24" t="str">
        <f>IF(J3295&lt;&gt;1,"",IF(I3295="SBJ","CB","?"))</f>
        <v> </v>
      </c>
      <c r="I3295" s="25" t="str">
        <f>IF(OR(E3295="",E3295="!!!",F3295="NEW"),"",INDEX(B3294:B$2,-1+SUMPRODUCT(MAX(ROW(E3294:E$2)*(E3295=E3294:E$2)))))</f>
        <v> </v>
      </c>
      <c r="J3295" s="25" t="str">
        <f>IF(OR(E3295="",E3295="!!!",F3295="NEW"),"",COUNTBLANK(OFFSET(A$1,,,SUMPRODUCT(MAX(ROW(E$2:E3295)*(E3295=E$2:E3295)))))-COUNTBLANK(OFFSET(A$1,,,SUMPRODUCT(MAX(ROW(E$1:E3294)*(E2=E$1:E3294))))))</f>
        <v> </v>
      </c>
      <c r="K3295" s="25" t="str">
        <f>IF(OR(E3295="",E3295="!!!",F3295="NEW"),"",INDEX(J$1:J3294,SUMPRODUCT(MAX(ROW(E$1:E3294)*(E3295=E$1:E3294)))))</f>
        <v> </v>
      </c>
      <c r="L3295" s="26"/>
    </row>
    <row r="3296" spans="1:12">
      <c r="A3296" s="20" t="s">
        <v>686</v>
      </c>
      <c r="B3296" s="27" t="s">
        <v>743</v>
      </c>
      <c r="C3296" s="27" t="s">
        <v>540</v>
      </c>
      <c r="D3296" s="27" t="s">
        <v>524</v>
      </c>
      <c r="E3296" s="21">
        <f>IF(D3296="?OLD","!!!","")</f>
        <v/>
      </c>
      <c r="F3296" s="22" t="str">
        <f>IF(OR(E3296="",E3296="!!!"),"",IF(NOT(ISNA(VLOOKUP(E3296,E$1:E3295,1,FALSE()))),"OLD",IF(AND(E3296&lt;&gt;"",E3296&lt;&gt;"!!!"),"NEW","")))</f>
        <v> </v>
      </c>
      <c r="G3296" s="23" t="str">
        <f>IF(OR(E3296="",E3296="!!!"),"",IF(OR(J3296=0,AND(J3296=1,K3296=1),AND(J3296=1,I3296="SBJ"),AND(J3296=1,I3296=0)),"?IN_FOCUS",IF(J3296&lt;=2,"?ACTIVATED",IF(J3296&lt;&gt;"","?FAMILIAR",IF(F3296="NEW",IF(ISNA(VLOOKUP(E3296,#REF!,1,FALSE())),"?TYPE_IDENTIFIABLE","?REFERENTIAL"),"_")))))</f>
        <v> </v>
      </c>
      <c r="H3296" s="24" t="str">
        <f>IF(J3296&lt;&gt;1,"",IF(I3296="SBJ","CB","?"))</f>
        <v> </v>
      </c>
      <c r="I3296" s="25" t="str">
        <f>IF(OR(E3296="",E3296="!!!",F3296="NEW"),"",INDEX(B3295:B$2,-1+SUMPRODUCT(MAX(ROW(E3295:E$2)*(E3296=E3295:E$2)))))</f>
        <v> </v>
      </c>
      <c r="J3296" s="25" t="str">
        <f>IF(OR(E3296="",E3296="!!!",F3296="NEW"),"",COUNTBLANK(OFFSET(A$1,,,SUMPRODUCT(MAX(ROW(E$2:E3296)*(E3296=E$2:E3296)))))-COUNTBLANK(OFFSET(A$1,,,SUMPRODUCT(MAX(ROW(E$1:E3295)*(E2=E$1:E3295))))))</f>
        <v> </v>
      </c>
      <c r="K3296" s="25" t="str">
        <f>IF(OR(E3296="",E3296="!!!",F3296="NEW"),"",INDEX(J$1:J3295,SUMPRODUCT(MAX(ROW(E$1:E3295)*(E3296=E$1:E3295)))))</f>
        <v> </v>
      </c>
      <c r="L3296" s="26"/>
    </row>
    <row r="3297" spans="1:12">
      <c r="A3297" s="20" t="s">
        <v>687</v>
      </c>
      <c r="E3297" s="21">
        <f>IF(D3297="?OLD","!!!","")</f>
        <v/>
      </c>
      <c r="F3297" s="22" t="str">
        <f>IF(OR(E3297="",E3297="!!!"),"",IF(NOT(ISNA(VLOOKUP(E3297,E$1:E3296,1,FALSE()))),"OLD",IF(AND(E3297&lt;&gt;"",E3297&lt;&gt;"!!!"),"NEW","")))</f>
        <v> </v>
      </c>
      <c r="G3297" s="23" t="str">
        <f>IF(OR(E3297="",E3297="!!!"),"",IF(OR(J3297=0,AND(J3297=1,K3297=1),AND(J3297=1,I3297="SBJ"),AND(J3297=1,I3297=0)),"?IN_FOCUS",IF(J3297&lt;=2,"?ACTIVATED",IF(J3297&lt;&gt;"","?FAMILIAR",IF(F3297="NEW",IF(ISNA(VLOOKUP(E3297,#REF!,1,FALSE())),"?TYPE_IDENTIFIABLE","?REFERENTIAL"),"_")))))</f>
        <v> </v>
      </c>
      <c r="H3297" s="24" t="str">
        <f>IF(J3297&lt;&gt;1,"",IF(I3297="SBJ","CB","?"))</f>
        <v> </v>
      </c>
      <c r="I3297" s="25" t="str">
        <f>IF(OR(E3297="",E3297="!!!",F3297="NEW"),"",INDEX(B3296:B$2,-1+SUMPRODUCT(MAX(ROW(E3296:E$2)*(E3297=E3296:E$2)))))</f>
        <v> </v>
      </c>
      <c r="J3297" s="25" t="str">
        <f>IF(OR(E3297="",E3297="!!!",F3297="NEW"),"",COUNTBLANK(OFFSET(A$1,,,SUMPRODUCT(MAX(ROW(E$2:E3297)*(E3297=E$2:E3297)))))-COUNTBLANK(OFFSET(A$1,,,SUMPRODUCT(MAX(ROW(E$1:E3296)*(E2=E$1:E3296))))))</f>
        <v> </v>
      </c>
      <c r="K3297" s="25" t="str">
        <f>IF(OR(E3297="",E3297="!!!",F3297="NEW"),"",INDEX(J$1:J3296,SUMPRODUCT(MAX(ROW(E$1:E3296)*(E3297=E$1:E3296)))))</f>
        <v> </v>
      </c>
      <c r="L3297" s="26"/>
    </row>
    <row r="3298" spans="1:12">
      <c r="A3298" s="20" t="s">
        <v>541</v>
      </c>
      <c r="E3298" s="21">
        <f>IF(D3298="?OLD","!!!","")</f>
        <v/>
      </c>
      <c r="F3298" s="22" t="str">
        <f>IF(OR(E3298="",E3298="!!!"),"",IF(NOT(ISNA(VLOOKUP(E3298,E$1:E3297,1,FALSE()))),"OLD",IF(AND(E3298&lt;&gt;"",E3298&lt;&gt;"!!!"),"NEW","")))</f>
        <v> </v>
      </c>
      <c r="G3298" s="23" t="str">
        <f>IF(OR(E3298="",E3298="!!!"),"",IF(OR(J3298=0,AND(J3298=1,K3298=1),AND(J3298=1,I3298="SBJ"),AND(J3298=1,I3298=0)),"?IN_FOCUS",IF(J3298&lt;=2,"?ACTIVATED",IF(J3298&lt;&gt;"","?FAMILIAR",IF(F3298="NEW",IF(ISNA(VLOOKUP(E3298,#REF!,1,FALSE())),"?TYPE_IDENTIFIABLE","?REFERENTIAL"),"_")))))</f>
        <v> </v>
      </c>
      <c r="H3298" s="24" t="str">
        <f>IF(J3298&lt;&gt;1,"",IF(I3298="SBJ","CB","?"))</f>
        <v> </v>
      </c>
      <c r="I3298" s="25" t="str">
        <f>IF(OR(E3298="",E3298="!!!",F3298="NEW"),"",INDEX(B3297:B$2,-1+SUMPRODUCT(MAX(ROW(E3297:E$2)*(E3298=E3297:E$2)))))</f>
        <v> </v>
      </c>
      <c r="J3298" s="25" t="str">
        <f>IF(OR(E3298="",E3298="!!!",F3298="NEW"),"",COUNTBLANK(OFFSET(A$1,,,SUMPRODUCT(MAX(ROW(E$2:E3298)*(E3298=E$2:E3298)))))-COUNTBLANK(OFFSET(A$1,,,SUMPRODUCT(MAX(ROW(E$1:E3297)*(E2=E$1:E3297))))))</f>
        <v> </v>
      </c>
      <c r="K3298" s="25" t="str">
        <f>IF(OR(E3298="",E3298="!!!",F3298="NEW"),"",INDEX(J$1:J3297,SUMPRODUCT(MAX(ROW(E$1:E3297)*(E3298=E$1:E3297)))))</f>
        <v> </v>
      </c>
      <c r="L3298" s="26"/>
    </row>
    <row r="3299" spans="1:12">
      <c r="A3299" s="20" t="s">
        <v>571</v>
      </c>
      <c r="E3299" s="21">
        <f>IF(D3299="?OLD","!!!","")</f>
        <v/>
      </c>
      <c r="F3299" s="22" t="str">
        <f>IF(OR(E3299="",E3299="!!!"),"",IF(NOT(ISNA(VLOOKUP(E3299,E$1:E3298,1,FALSE()))),"OLD",IF(AND(E3299&lt;&gt;"",E3299&lt;&gt;"!!!"),"NEW","")))</f>
        <v> </v>
      </c>
      <c r="G3299" s="23" t="str">
        <f>IF(OR(E3299="",E3299="!!!"),"",IF(OR(J3299=0,AND(J3299=1,K3299=1),AND(J3299=1,I3299="SBJ"),AND(J3299=1,I3299=0)),"?IN_FOCUS",IF(J3299&lt;=2,"?ACTIVATED",IF(J3299&lt;&gt;"","?FAMILIAR",IF(F3299="NEW",IF(ISNA(VLOOKUP(E3299,#REF!,1,FALSE())),"?TYPE_IDENTIFIABLE","?REFERENTIAL"),"_")))))</f>
        <v> </v>
      </c>
      <c r="H3299" s="24" t="str">
        <f>IF(J3299&lt;&gt;1,"",IF(I3299="SBJ","CB","?"))</f>
        <v> </v>
      </c>
      <c r="I3299" s="25" t="str">
        <f>IF(OR(E3299="",E3299="!!!",F3299="NEW"),"",INDEX(B3298:B$2,-1+SUMPRODUCT(MAX(ROW(E3298:E$2)*(E3299=E3298:E$2)))))</f>
        <v> </v>
      </c>
      <c r="J3299" s="25" t="str">
        <f>IF(OR(E3299="",E3299="!!!",F3299="NEW"),"",COUNTBLANK(OFFSET(A$1,,,SUMPRODUCT(MAX(ROW(E$2:E3299)*(E3299=E$2:E3299)))))-COUNTBLANK(OFFSET(A$1,,,SUMPRODUCT(MAX(ROW(E$1:E3298)*(E2=E$1:E3298))))))</f>
        <v> </v>
      </c>
      <c r="K3299" s="25" t="str">
        <f>IF(OR(E3299="",E3299="!!!",F3299="NEW"),"",INDEX(J$1:J3298,SUMPRODUCT(MAX(ROW(E$1:E3298)*(E3299=E$1:E3298)))))</f>
        <v> </v>
      </c>
      <c r="L3299" s="26"/>
    </row>
    <row r="3300" spans="1:12">
      <c r="A3300" s="20" t="s">
        <v>1600</v>
      </c>
      <c r="B3300" s="27" t="s">
        <v>597</v>
      </c>
      <c r="C3300" s="27" t="s">
        <v>545</v>
      </c>
      <c r="D3300" s="27" t="s">
        <v>524</v>
      </c>
      <c r="E3300" s="21">
        <f>IF(D3300="?OLD","!!!","")</f>
        <v/>
      </c>
      <c r="F3300" s="22" t="str">
        <f>IF(OR(E3300="",E3300="!!!"),"",IF(NOT(ISNA(VLOOKUP(E3300,E$1:E3299,1,FALSE()))),"OLD",IF(AND(E3300&lt;&gt;"",E3300&lt;&gt;"!!!"),"NEW","")))</f>
        <v> </v>
      </c>
      <c r="G3300" s="23" t="str">
        <f>IF(OR(E3300="",E3300="!!!"),"",IF(OR(J3300=0,AND(J3300=1,K3300=1),AND(J3300=1,I3300="SBJ"),AND(J3300=1,I3300=0)),"?IN_FOCUS",IF(J3300&lt;=2,"?ACTIVATED",IF(J3300&lt;&gt;"","?FAMILIAR",IF(F3300="NEW",IF(ISNA(VLOOKUP(E3300,#REF!,1,FALSE())),"?TYPE_IDENTIFIABLE","?REFERENTIAL"),"_")))))</f>
        <v> </v>
      </c>
      <c r="H3300" s="24" t="str">
        <f>IF(J3300&lt;&gt;1,"",IF(I3300="SBJ","CB","?"))</f>
        <v> </v>
      </c>
      <c r="I3300" s="25" t="str">
        <f>IF(OR(E3300="",E3300="!!!",F3300="NEW"),"",INDEX(B3299:B$2,-1+SUMPRODUCT(MAX(ROW(E3299:E$2)*(E3300=E3299:E$2)))))</f>
        <v> </v>
      </c>
      <c r="J3300" s="25" t="str">
        <f>IF(OR(E3300="",E3300="!!!",F3300="NEW"),"",COUNTBLANK(OFFSET(A$1,,,SUMPRODUCT(MAX(ROW(E$2:E3300)*(E3300=E$2:E3300)))))-COUNTBLANK(OFFSET(A$1,,,SUMPRODUCT(MAX(ROW(E$1:E3299)*(E2=E$1:E3299))))))</f>
        <v> </v>
      </c>
      <c r="K3300" s="25" t="str">
        <f>IF(OR(E3300="",E3300="!!!",F3300="NEW"),"",INDEX(J$1:J3299,SUMPRODUCT(MAX(ROW(E$1:E3299)*(E3300=E$1:E3299)))))</f>
        <v> </v>
      </c>
      <c r="L3300" s="26"/>
    </row>
    <row r="3301" spans="1:12">
      <c r="A3301" s="20" t="s">
        <v>549</v>
      </c>
      <c r="E3301" s="21">
        <f>IF(D3301="?OLD","!!!","")</f>
        <v/>
      </c>
      <c r="F3301" s="22" t="str">
        <f>IF(OR(E3301="",E3301="!!!"),"",IF(NOT(ISNA(VLOOKUP(E3301,E$1:E3300,1,FALSE()))),"OLD",IF(AND(E3301&lt;&gt;"",E3301&lt;&gt;"!!!"),"NEW","")))</f>
        <v> </v>
      </c>
      <c r="G3301" s="23" t="str">
        <f>IF(OR(E3301="",E3301="!!!"),"",IF(OR(J3301=0,AND(J3301=1,K3301=1),AND(J3301=1,I3301="SBJ"),AND(J3301=1,I3301=0)),"?IN_FOCUS",IF(J3301&lt;=2,"?ACTIVATED",IF(J3301&lt;&gt;"","?FAMILIAR",IF(F3301="NEW",IF(ISNA(VLOOKUP(E3301,#REF!,1,FALSE())),"?TYPE_IDENTIFIABLE","?REFERENTIAL"),"_")))))</f>
        <v> </v>
      </c>
      <c r="H3301" s="24" t="str">
        <f>IF(J3301&lt;&gt;1,"",IF(I3301="SBJ","CB","?"))</f>
        <v> </v>
      </c>
      <c r="I3301" s="25" t="str">
        <f>IF(OR(E3301="",E3301="!!!",F3301="NEW"),"",INDEX(B3300:B$2,-1+SUMPRODUCT(MAX(ROW(E3300:E$2)*(E3301=E3300:E$2)))))</f>
        <v> </v>
      </c>
      <c r="J3301" s="25" t="str">
        <f>IF(OR(E3301="",E3301="!!!",F3301="NEW"),"",COUNTBLANK(OFFSET(A$1,,,SUMPRODUCT(MAX(ROW(E$2:E3301)*(E3301=E$2:E3301)))))-COUNTBLANK(OFFSET(A$1,,,SUMPRODUCT(MAX(ROW(E$1:E3300)*(E2=E$1:E3300))))))</f>
        <v> </v>
      </c>
      <c r="K3301" s="25" t="str">
        <f>IF(OR(E3301="",E3301="!!!",F3301="NEW"),"",INDEX(J$1:J3300,SUMPRODUCT(MAX(ROW(E$1:E3300)*(E3301=E$1:E3300)))))</f>
        <v> </v>
      </c>
      <c r="L3301" s="26"/>
    </row>
    <row r="3302" spans="1:12">
      <c r="A3302" s="20"/>
    </row>
    <row r="3303" spans="1:12">
      <c r="A3303" s="20" t="s">
        <v>1601</v>
      </c>
    </row>
    <row r="3304" spans="1:12">
      <c r="A3304" s="20" t="s">
        <v>1602</v>
      </c>
      <c r="E3304" s="21">
        <f>IF(D3304="?OLD","!!!","")</f>
        <v/>
      </c>
      <c r="F3304" s="22" t="str">
        <f>IF(OR(E3304="",E3304="!!!"),"",IF(NOT(ISNA(VLOOKUP(E3304,E$1:E3303,1,FALSE()))),"OLD",IF(AND(E3304&lt;&gt;"",E3304&lt;&gt;"!!!"),"NEW","")))</f>
        <v> </v>
      </c>
      <c r="G3304" s="23" t="str">
        <f>IF(OR(E3304="",E3304="!!!"),"",IF(OR(J3304=0,AND(J3304=1,K3304=1),AND(J3304=1,I3304="SBJ"),AND(J3304=1,I3304=0)),"?IN_FOCUS",IF(J3304&lt;=2,"?ACTIVATED",IF(J3304&lt;&gt;"","?FAMILIAR",IF(F3304="NEW",IF(ISNA(VLOOKUP(E3304,#REF!,1,FALSE())),"?TYPE_IDENTIFIABLE","?REFERENTIAL"),"_")))))</f>
        <v> </v>
      </c>
      <c r="H3304" s="24" t="str">
        <f>IF(J3304&lt;&gt;1,"",IF(I3304="SBJ","CB","?"))</f>
        <v> </v>
      </c>
      <c r="I3304" s="25" t="str">
        <f>IF(OR(E3304="",E3304="!!!",F3304="NEW"),"",INDEX(B3303:B$2,-1+SUMPRODUCT(MAX(ROW(E3303:E$2)*(E3304=E3303:E$2)))))</f>
        <v> </v>
      </c>
      <c r="J3304" s="25" t="str">
        <f>IF(OR(E3304="",E3304="!!!",F3304="NEW"),"",COUNTBLANK(OFFSET(A$1,,,SUMPRODUCT(MAX(ROW(E$2:E3304)*(E3304=E$2:E3304)))))-COUNTBLANK(OFFSET(A$1,,,SUMPRODUCT(MAX(ROW(E$1:E3303)*(E2=E$1:E3303))))))</f>
        <v> </v>
      </c>
      <c r="K3304" s="25" t="str">
        <f>IF(OR(E3304="",E3304="!!!",F3304="NEW"),"",INDEX(J$1:J3303,SUMPRODUCT(MAX(ROW(E$1:E3303)*(E3304=E$1:E3303)))))</f>
        <v> </v>
      </c>
      <c r="L3304" s="26"/>
    </row>
    <row r="3305" spans="1:12">
      <c r="A3305" s="20" t="s">
        <v>843</v>
      </c>
      <c r="E3305" s="21">
        <f>IF(D3305="?OLD","!!!","")</f>
        <v/>
      </c>
      <c r="F3305" s="22" t="str">
        <f>IF(OR(E3305="",E3305="!!!"),"",IF(NOT(ISNA(VLOOKUP(E3305,E$1:E3304,1,FALSE()))),"OLD",IF(AND(E3305&lt;&gt;"",E3305&lt;&gt;"!!!"),"NEW","")))</f>
        <v> </v>
      </c>
      <c r="G3305" s="23" t="str">
        <f>IF(OR(E3305="",E3305="!!!"),"",IF(OR(J3305=0,AND(J3305=1,K3305=1),AND(J3305=1,I3305="SBJ"),AND(J3305=1,I3305=0)),"?IN_FOCUS",IF(J3305&lt;=2,"?ACTIVATED",IF(J3305&lt;&gt;"","?FAMILIAR",IF(F3305="NEW",IF(ISNA(VLOOKUP(E3305,#REF!,1,FALSE())),"?TYPE_IDENTIFIABLE","?REFERENTIAL"),"_")))))</f>
        <v> </v>
      </c>
      <c r="H3305" s="24" t="str">
        <f>IF(J3305&lt;&gt;1,"",IF(I3305="SBJ","CB","?"))</f>
        <v> </v>
      </c>
      <c r="I3305" s="25" t="str">
        <f>IF(OR(E3305="",E3305="!!!",F3305="NEW"),"",INDEX(B3304:B$2,-1+SUMPRODUCT(MAX(ROW(E3304:E$2)*(E3305=E3304:E$2)))))</f>
        <v> </v>
      </c>
      <c r="J3305" s="25" t="str">
        <f>IF(OR(E3305="",E3305="!!!",F3305="NEW"),"",COUNTBLANK(OFFSET(A$1,,,SUMPRODUCT(MAX(ROW(E$2:E3305)*(E3305=E$2:E3305)))))-COUNTBLANK(OFFSET(A$1,,,SUMPRODUCT(MAX(ROW(E$1:E3304)*(E2=E$1:E3304))))))</f>
        <v> </v>
      </c>
      <c r="K3305" s="25" t="str">
        <f>IF(OR(E3305="",E3305="!!!",F3305="NEW"),"",INDEX(J$1:J3304,SUMPRODUCT(MAX(ROW(E$1:E3304)*(E3305=E$1:E3304)))))</f>
        <v> </v>
      </c>
      <c r="L3305" s="26"/>
    </row>
    <row r="3306" spans="1:12">
      <c r="A3306" s="20" t="s">
        <v>730</v>
      </c>
      <c r="E3306" s="21">
        <f>IF(D3306="?OLD","!!!","")</f>
        <v/>
      </c>
      <c r="F3306" s="22" t="str">
        <f>IF(OR(E3306="",E3306="!!!"),"",IF(NOT(ISNA(VLOOKUP(E3306,E$1:E3305,1,FALSE()))),"OLD",IF(AND(E3306&lt;&gt;"",E3306&lt;&gt;"!!!"),"NEW","")))</f>
        <v> </v>
      </c>
      <c r="G3306" s="23" t="str">
        <f>IF(OR(E3306="",E3306="!!!"),"",IF(OR(J3306=0,AND(J3306=1,K3306=1),AND(J3306=1,I3306="SBJ"),AND(J3306=1,I3306=0)),"?IN_FOCUS",IF(J3306&lt;=2,"?ACTIVATED",IF(J3306&lt;&gt;"","?FAMILIAR",IF(F3306="NEW",IF(ISNA(VLOOKUP(E3306,#REF!,1,FALSE())),"?TYPE_IDENTIFIABLE","?REFERENTIAL"),"_")))))</f>
        <v> </v>
      </c>
      <c r="H3306" s="24" t="str">
        <f>IF(J3306&lt;&gt;1,"",IF(I3306="SBJ","CB","?"))</f>
        <v> </v>
      </c>
      <c r="I3306" s="25" t="str">
        <f>IF(OR(E3306="",E3306="!!!",F3306="NEW"),"",INDEX(B3305:B$2,-1+SUMPRODUCT(MAX(ROW(E3305:E$2)*(E3306=E3305:E$2)))))</f>
        <v> </v>
      </c>
      <c r="J3306" s="25" t="str">
        <f>IF(OR(E3306="",E3306="!!!",F3306="NEW"),"",COUNTBLANK(OFFSET(A$1,,,SUMPRODUCT(MAX(ROW(E$2:E3306)*(E3306=E$2:E3306)))))-COUNTBLANK(OFFSET(A$1,,,SUMPRODUCT(MAX(ROW(E$1:E3305)*(E2=E$1:E3305))))))</f>
        <v> </v>
      </c>
      <c r="K3306" s="25" t="str">
        <f>IF(OR(E3306="",E3306="!!!",F3306="NEW"),"",INDEX(J$1:J3305,SUMPRODUCT(MAX(ROW(E$1:E3305)*(E3306=E$1:E3305)))))</f>
        <v> </v>
      </c>
      <c r="L3306" s="26"/>
    </row>
    <row r="3307" spans="1:12">
      <c r="A3307" s="20" t="s">
        <v>1603</v>
      </c>
      <c r="B3307" s="27" t="s">
        <v>680</v>
      </c>
      <c r="C3307" s="27" t="s">
        <v>540</v>
      </c>
      <c r="D3307" s="27" t="s">
        <v>524</v>
      </c>
      <c r="E3307" s="21">
        <f>IF(D3307="?OLD","!!!","")</f>
        <v/>
      </c>
      <c r="F3307" s="22" t="str">
        <f>IF(OR(E3307="",E3307="!!!"),"",IF(NOT(ISNA(VLOOKUP(E3307,E$1:E3306,1,FALSE()))),"OLD",IF(AND(E3307&lt;&gt;"",E3307&lt;&gt;"!!!"),"NEW","")))</f>
        <v> </v>
      </c>
      <c r="G3307" s="23" t="str">
        <f>IF(OR(E3307="",E3307="!!!"),"",IF(OR(J3307=0,AND(J3307=1,K3307=1),AND(J3307=1,I3307="SBJ"),AND(J3307=1,I3307=0)),"?IN_FOCUS",IF(J3307&lt;=2,"?ACTIVATED",IF(J3307&lt;&gt;"","?FAMILIAR",IF(F3307="NEW",IF(ISNA(VLOOKUP(E3307,#REF!,1,FALSE())),"?TYPE_IDENTIFIABLE","?REFERENTIAL"),"_")))))</f>
        <v> </v>
      </c>
      <c r="H3307" s="24" t="str">
        <f>IF(J3307&lt;&gt;1,"",IF(I3307="SBJ","CB","?"))</f>
        <v> </v>
      </c>
      <c r="I3307" s="25" t="str">
        <f>IF(OR(E3307="",E3307="!!!",F3307="NEW"),"",INDEX(B3306:B$2,-1+SUMPRODUCT(MAX(ROW(E3306:E$2)*(E3307=E3306:E$2)))))</f>
        <v> </v>
      </c>
      <c r="J3307" s="25" t="str">
        <f>IF(OR(E3307="",E3307="!!!",F3307="NEW"),"",COUNTBLANK(OFFSET(A$1,,,SUMPRODUCT(MAX(ROW(E$2:E3307)*(E3307=E$2:E3307)))))-COUNTBLANK(OFFSET(A$1,,,SUMPRODUCT(MAX(ROW(E$1:E3306)*(E2=E$1:E3306))))))</f>
        <v> </v>
      </c>
      <c r="K3307" s="25" t="str">
        <f>IF(OR(E3307="",E3307="!!!",F3307="NEW"),"",INDEX(J$1:J3306,SUMPRODUCT(MAX(ROW(E$1:E3306)*(E3307=E$1:E3306)))))</f>
        <v> </v>
      </c>
      <c r="L3307" s="26"/>
    </row>
    <row r="3308" spans="1:12">
      <c r="A3308" s="20" t="s">
        <v>518</v>
      </c>
      <c r="E3308" s="21">
        <f>IF(D3308="?OLD","!!!","")</f>
        <v/>
      </c>
      <c r="F3308" s="22" t="str">
        <f>IF(OR(E3308="",E3308="!!!"),"",IF(NOT(ISNA(VLOOKUP(E3308,E$1:E3307,1,FALSE()))),"OLD",IF(AND(E3308&lt;&gt;"",E3308&lt;&gt;"!!!"),"NEW","")))</f>
        <v> </v>
      </c>
      <c r="G3308" s="23" t="str">
        <f>IF(OR(E3308="",E3308="!!!"),"",IF(OR(J3308=0,AND(J3308=1,K3308=1),AND(J3308=1,I3308="SBJ"),AND(J3308=1,I3308=0)),"?IN_FOCUS",IF(J3308&lt;=2,"?ACTIVATED",IF(J3308&lt;&gt;"","?FAMILIAR",IF(F3308="NEW",IF(ISNA(VLOOKUP(E3308,#REF!,1,FALSE())),"?TYPE_IDENTIFIABLE","?REFERENTIAL"),"_")))))</f>
        <v> </v>
      </c>
      <c r="H3308" s="24" t="str">
        <f>IF(J3308&lt;&gt;1,"",IF(I3308="SBJ","CB","?"))</f>
        <v> </v>
      </c>
      <c r="I3308" s="25" t="str">
        <f>IF(OR(E3308="",E3308="!!!",F3308="NEW"),"",INDEX(B3307:B$2,-1+SUMPRODUCT(MAX(ROW(E3307:E$2)*(E3308=E3307:E$2)))))</f>
        <v> </v>
      </c>
      <c r="J3308" s="25" t="str">
        <f>IF(OR(E3308="",E3308="!!!",F3308="NEW"),"",COUNTBLANK(OFFSET(A$1,,,SUMPRODUCT(MAX(ROW(E$2:E3308)*(E3308=E$2:E3308)))))-COUNTBLANK(OFFSET(A$1,,,SUMPRODUCT(MAX(ROW(E$1:E3307)*(E2=E$1:E3307))))))</f>
        <v> </v>
      </c>
      <c r="K3308" s="25" t="str">
        <f>IF(OR(E3308="",E3308="!!!",F3308="NEW"),"",INDEX(J$1:J3307,SUMPRODUCT(MAX(ROW(E$1:E3307)*(E3308=E$1:E3307)))))</f>
        <v> </v>
      </c>
      <c r="L3308" s="26"/>
    </row>
    <row r="3309" spans="1:12">
      <c r="A3309" s="20" t="s">
        <v>1604</v>
      </c>
      <c r="B3309" s="27" t="s">
        <v>597</v>
      </c>
      <c r="C3309" s="27" t="s">
        <v>564</v>
      </c>
      <c r="E3309" s="21">
        <f>IF(D3309="?OLD","!!!","")</f>
        <v/>
      </c>
      <c r="F3309" s="22" t="str">
        <f>IF(OR(E3309="",E3309="!!!"),"",IF(NOT(ISNA(VLOOKUP(E3309,E$1:E3308,1,FALSE()))),"OLD",IF(AND(E3309&lt;&gt;"",E3309&lt;&gt;"!!!"),"NEW","")))</f>
        <v> </v>
      </c>
      <c r="G3309" s="23" t="str">
        <f>IF(OR(E3309="",E3309="!!!"),"",IF(OR(J3309=0,AND(J3309=1,K3309=1),AND(J3309=1,I3309="SBJ"),AND(J3309=1,I3309=0)),"?IN_FOCUS",IF(J3309&lt;=2,"?ACTIVATED",IF(J3309&lt;&gt;"","?FAMILIAR",IF(F3309="NEW",IF(ISNA(VLOOKUP(E3309,#REF!,1,FALSE())),"?TYPE_IDENTIFIABLE","?REFERENTIAL"),"_")))))</f>
        <v> </v>
      </c>
      <c r="H3309" s="24" t="str">
        <f>IF(J3309&lt;&gt;1,"",IF(I3309="SBJ","CB","?"))</f>
        <v> </v>
      </c>
      <c r="I3309" s="25" t="str">
        <f>IF(OR(E3309="",E3309="!!!",F3309="NEW"),"",INDEX(B3308:B$2,-1+SUMPRODUCT(MAX(ROW(E3308:E$2)*(E3309=E3308:E$2)))))</f>
        <v> </v>
      </c>
      <c r="J3309" s="25" t="str">
        <f>IF(OR(E3309="",E3309="!!!",F3309="NEW"),"",COUNTBLANK(OFFSET(A$1,,,SUMPRODUCT(MAX(ROW(E$2:E3309)*(E3309=E$2:E3309)))))-COUNTBLANK(OFFSET(A$1,,,SUMPRODUCT(MAX(ROW(E$1:E3308)*(E2=E$1:E3308))))))</f>
        <v> </v>
      </c>
      <c r="K3309" s="25" t="str">
        <f>IF(OR(E3309="",E3309="!!!",F3309="NEW"),"",INDEX(J$1:J3308,SUMPRODUCT(MAX(ROW(E$1:E3308)*(E3309=E$1:E3308)))))</f>
        <v> </v>
      </c>
      <c r="L3309" s="26"/>
    </row>
    <row r="3310" spans="1:12">
      <c r="A3310" s="20" t="s">
        <v>549</v>
      </c>
      <c r="E3310" s="21">
        <f>IF(D3310="?OLD","!!!","")</f>
        <v/>
      </c>
      <c r="F3310" s="22" t="str">
        <f>IF(OR(E3310="",E3310="!!!"),"",IF(NOT(ISNA(VLOOKUP(E3310,E$1:E3309,1,FALSE()))),"OLD",IF(AND(E3310&lt;&gt;"",E3310&lt;&gt;"!!!"),"NEW","")))</f>
        <v> </v>
      </c>
      <c r="G3310" s="23" t="str">
        <f>IF(OR(E3310="",E3310="!!!"),"",IF(OR(J3310=0,AND(J3310=1,K3310=1),AND(J3310=1,I3310="SBJ"),AND(J3310=1,I3310=0)),"?IN_FOCUS",IF(J3310&lt;=2,"?ACTIVATED",IF(J3310&lt;&gt;"","?FAMILIAR",IF(F3310="NEW",IF(ISNA(VLOOKUP(E3310,#REF!,1,FALSE())),"?TYPE_IDENTIFIABLE","?REFERENTIAL"),"_")))))</f>
        <v> </v>
      </c>
      <c r="H3310" s="24" t="str">
        <f>IF(J3310&lt;&gt;1,"",IF(I3310="SBJ","CB","?"))</f>
        <v> </v>
      </c>
      <c r="I3310" s="25" t="str">
        <f>IF(OR(E3310="",E3310="!!!",F3310="NEW"),"",INDEX(B3309:B$2,-1+SUMPRODUCT(MAX(ROW(E3309:E$2)*(E3310=E3309:E$2)))))</f>
        <v> </v>
      </c>
      <c r="J3310" s="25" t="str">
        <f>IF(OR(E3310="",E3310="!!!",F3310="NEW"),"",COUNTBLANK(OFFSET(A$1,,,SUMPRODUCT(MAX(ROW(E$2:E3310)*(E3310=E$2:E3310)))))-COUNTBLANK(OFFSET(A$1,,,SUMPRODUCT(MAX(ROW(E$1:E3309)*(E2=E$1:E3309))))))</f>
        <v> </v>
      </c>
      <c r="K3310" s="25" t="str">
        <f>IF(OR(E3310="",E3310="!!!",F3310="NEW"),"",INDEX(J$1:J3309,SUMPRODUCT(MAX(ROW(E$1:E3309)*(E3310=E$1:E3309)))))</f>
        <v> </v>
      </c>
      <c r="L3310" s="26"/>
    </row>
    <row r="3311" spans="1:12">
      <c r="A3311" s="20"/>
    </row>
    <row r="3312" spans="1:12">
      <c r="A3312" s="20" t="s">
        <v>1605</v>
      </c>
    </row>
    <row r="3313" spans="1:12">
      <c r="A3313" s="20" t="s">
        <v>1606</v>
      </c>
      <c r="E3313" s="21">
        <f>IF(D3313="?OLD","!!!","")</f>
        <v/>
      </c>
      <c r="F3313" s="22" t="str">
        <f>IF(OR(E3313="",E3313="!!!"),"",IF(NOT(ISNA(VLOOKUP(E3313,E$1:E3312,1,FALSE()))),"OLD",IF(AND(E3313&lt;&gt;"",E3313&lt;&gt;"!!!"),"NEW","")))</f>
        <v> </v>
      </c>
      <c r="G3313" s="23" t="str">
        <f>IF(OR(E3313="",E3313="!!!"),"",IF(OR(J3313=0,AND(J3313=1,K3313=1),AND(J3313=1,I3313="SBJ"),AND(J3313=1,I3313=0)),"?IN_FOCUS",IF(J3313&lt;=2,"?ACTIVATED",IF(J3313&lt;&gt;"","?FAMILIAR",IF(F3313="NEW",IF(ISNA(VLOOKUP(E3313,#REF!,1,FALSE())),"?TYPE_IDENTIFIABLE","?REFERENTIAL"),"_")))))</f>
        <v> </v>
      </c>
      <c r="H3313" s="24" t="str">
        <f>IF(J3313&lt;&gt;1,"",IF(I3313="SBJ","CB","?"))</f>
        <v> </v>
      </c>
      <c r="I3313" s="25" t="str">
        <f>IF(OR(E3313="",E3313="!!!",F3313="NEW"),"",INDEX(B3312:B$2,-1+SUMPRODUCT(MAX(ROW(E3312:E$2)*(E3313=E3312:E$2)))))</f>
        <v> </v>
      </c>
      <c r="J3313" s="25" t="str">
        <f>IF(OR(E3313="",E3313="!!!",F3313="NEW"),"",COUNTBLANK(OFFSET(A$1,,,SUMPRODUCT(MAX(ROW(E$2:E3313)*(E3313=E$2:E3313)))))-COUNTBLANK(OFFSET(A$1,,,SUMPRODUCT(MAX(ROW(E$1:E3312)*(E2=E$1:E3312))))))</f>
        <v> </v>
      </c>
      <c r="K3313" s="25" t="str">
        <f>IF(OR(E3313="",E3313="!!!",F3313="NEW"),"",INDEX(J$1:J3312,SUMPRODUCT(MAX(ROW(E$1:E3312)*(E3313=E$1:E3312)))))</f>
        <v> </v>
      </c>
      <c r="L3313" s="26"/>
    </row>
    <row r="3314" spans="1:12">
      <c r="A3314" s="20" t="s">
        <v>682</v>
      </c>
      <c r="E3314" s="21">
        <f>IF(D3314="?OLD","!!!","")</f>
        <v/>
      </c>
      <c r="F3314" s="22" t="str">
        <f>IF(OR(E3314="",E3314="!!!"),"",IF(NOT(ISNA(VLOOKUP(E3314,E$1:E3313,1,FALSE()))),"OLD",IF(AND(E3314&lt;&gt;"",E3314&lt;&gt;"!!!"),"NEW","")))</f>
        <v> </v>
      </c>
      <c r="G3314" s="23" t="str">
        <f>IF(OR(E3314="",E3314="!!!"),"",IF(OR(J3314=0,AND(J3314=1,K3314=1),AND(J3314=1,I3314="SBJ"),AND(J3314=1,I3314=0)),"?IN_FOCUS",IF(J3314&lt;=2,"?ACTIVATED",IF(J3314&lt;&gt;"","?FAMILIAR",IF(F3314="NEW",IF(ISNA(VLOOKUP(E3314,#REF!,1,FALSE())),"?TYPE_IDENTIFIABLE","?REFERENTIAL"),"_")))))</f>
        <v> </v>
      </c>
      <c r="H3314" s="24" t="str">
        <f>IF(J3314&lt;&gt;1,"",IF(I3314="SBJ","CB","?"))</f>
        <v> </v>
      </c>
      <c r="I3314" s="25" t="str">
        <f>IF(OR(E3314="",E3314="!!!",F3314="NEW"),"",INDEX(B3313:B$2,-1+SUMPRODUCT(MAX(ROW(E3313:E$2)*(E3314=E3313:E$2)))))</f>
        <v> </v>
      </c>
      <c r="J3314" s="25" t="str">
        <f>IF(OR(E3314="",E3314="!!!",F3314="NEW"),"",COUNTBLANK(OFFSET(A$1,,,SUMPRODUCT(MAX(ROW(E$2:E3314)*(E3314=E$2:E3314)))))-COUNTBLANK(OFFSET(A$1,,,SUMPRODUCT(MAX(ROW(E$1:E3313)*(E2=E$1:E3313))))))</f>
        <v> </v>
      </c>
      <c r="K3314" s="25" t="str">
        <f>IF(OR(E3314="",E3314="!!!",F3314="NEW"),"",INDEX(J$1:J3313,SUMPRODUCT(MAX(ROW(E$1:E3313)*(E3314=E$1:E3313)))))</f>
        <v> </v>
      </c>
      <c r="L3314" s="26"/>
    </row>
    <row r="3315" spans="1:12">
      <c r="A3315" s="20" t="s">
        <v>1500</v>
      </c>
      <c r="B3315" s="27" t="s">
        <v>743</v>
      </c>
      <c r="C3315" s="27" t="s">
        <v>540</v>
      </c>
      <c r="D3315" s="27" t="s">
        <v>524</v>
      </c>
      <c r="E3315" s="21">
        <f>IF(D3315="?OLD","!!!","")</f>
        <v/>
      </c>
      <c r="F3315" s="22" t="str">
        <f>IF(OR(E3315="",E3315="!!!"),"",IF(NOT(ISNA(VLOOKUP(E3315,E$1:E3314,1,FALSE()))),"OLD",IF(AND(E3315&lt;&gt;"",E3315&lt;&gt;"!!!"),"NEW","")))</f>
        <v> </v>
      </c>
      <c r="G3315" s="23" t="str">
        <f>IF(OR(E3315="",E3315="!!!"),"",IF(OR(J3315=0,AND(J3315=1,K3315=1),AND(J3315=1,I3315="SBJ"),AND(J3315=1,I3315=0)),"?IN_FOCUS",IF(J3315&lt;=2,"?ACTIVATED",IF(J3315&lt;&gt;"","?FAMILIAR",IF(F3315="NEW",IF(ISNA(VLOOKUP(E3315,#REF!,1,FALSE())),"?TYPE_IDENTIFIABLE","?REFERENTIAL"),"_")))))</f>
        <v> </v>
      </c>
      <c r="H3315" s="24" t="str">
        <f>IF(J3315&lt;&gt;1,"",IF(I3315="SBJ","CB","?"))</f>
        <v> </v>
      </c>
      <c r="I3315" s="25" t="str">
        <f>IF(OR(E3315="",E3315="!!!",F3315="NEW"),"",INDEX(B3314:B$2,-1+SUMPRODUCT(MAX(ROW(E3314:E$2)*(E3315=E3314:E$2)))))</f>
        <v> </v>
      </c>
      <c r="J3315" s="25" t="str">
        <f>IF(OR(E3315="",E3315="!!!",F3315="NEW"),"",COUNTBLANK(OFFSET(A$1,,,SUMPRODUCT(MAX(ROW(E$2:E3315)*(E3315=E$2:E3315)))))-COUNTBLANK(OFFSET(A$1,,,SUMPRODUCT(MAX(ROW(E$1:E3314)*(E2=E$1:E3314))))))</f>
        <v> </v>
      </c>
      <c r="K3315" s="25" t="str">
        <f>IF(OR(E3315="",E3315="!!!",F3315="NEW"),"",INDEX(J$1:J3314,SUMPRODUCT(MAX(ROW(E$1:E3314)*(E3315=E$1:E3314)))))</f>
        <v> </v>
      </c>
      <c r="L3315" s="26"/>
    </row>
    <row r="3316" spans="1:12">
      <c r="A3316" s="20" t="s">
        <v>520</v>
      </c>
      <c r="E3316" s="21">
        <f>IF(D3316="?OLD","!!!","")</f>
        <v/>
      </c>
      <c r="F3316" s="22" t="str">
        <f>IF(OR(E3316="",E3316="!!!"),"",IF(NOT(ISNA(VLOOKUP(E3316,E$1:E3315,1,FALSE()))),"OLD",IF(AND(E3316&lt;&gt;"",E3316&lt;&gt;"!!!"),"NEW","")))</f>
        <v> </v>
      </c>
      <c r="G3316" s="23" t="str">
        <f>IF(OR(E3316="",E3316="!!!"),"",IF(OR(J3316=0,AND(J3316=1,K3316=1),AND(J3316=1,I3316="SBJ"),AND(J3316=1,I3316=0)),"?IN_FOCUS",IF(J3316&lt;=2,"?ACTIVATED",IF(J3316&lt;&gt;"","?FAMILIAR",IF(F3316="NEW",IF(ISNA(VLOOKUP(E3316,#REF!,1,FALSE())),"?TYPE_IDENTIFIABLE","?REFERENTIAL"),"_")))))</f>
        <v> </v>
      </c>
      <c r="H3316" s="24" t="str">
        <f>IF(J3316&lt;&gt;1,"",IF(I3316="SBJ","CB","?"))</f>
        <v> </v>
      </c>
      <c r="I3316" s="25" t="str">
        <f>IF(OR(E3316="",E3316="!!!",F3316="NEW"),"",INDEX(B3315:B$2,-1+SUMPRODUCT(MAX(ROW(E3315:E$2)*(E3316=E3315:E$2)))))</f>
        <v> </v>
      </c>
      <c r="J3316" s="25" t="str">
        <f>IF(OR(E3316="",E3316="!!!",F3316="NEW"),"",COUNTBLANK(OFFSET(A$1,,,SUMPRODUCT(MAX(ROW(E$2:E3316)*(E3316=E$2:E3316)))))-COUNTBLANK(OFFSET(A$1,,,SUMPRODUCT(MAX(ROW(E$1:E3315)*(E2=E$1:E3315))))))</f>
        <v> </v>
      </c>
      <c r="K3316" s="25" t="str">
        <f>IF(OR(E3316="",E3316="!!!",F3316="NEW"),"",INDEX(J$1:J3315,SUMPRODUCT(MAX(ROW(E$1:E3315)*(E3316=E$1:E3315)))))</f>
        <v> </v>
      </c>
      <c r="L3316" s="26"/>
    </row>
    <row r="3317" spans="1:12">
      <c r="A3317" s="20" t="s">
        <v>786</v>
      </c>
      <c r="E3317" s="21">
        <f>IF(D3317="?OLD","!!!","")</f>
        <v/>
      </c>
      <c r="F3317" s="22" t="str">
        <f>IF(OR(E3317="",E3317="!!!"),"",IF(NOT(ISNA(VLOOKUP(E3317,E$1:E3316,1,FALSE()))),"OLD",IF(AND(E3317&lt;&gt;"",E3317&lt;&gt;"!!!"),"NEW","")))</f>
        <v> </v>
      </c>
      <c r="G3317" s="23" t="str">
        <f>IF(OR(E3317="",E3317="!!!"),"",IF(OR(J3317=0,AND(J3317=1,K3317=1),AND(J3317=1,I3317="SBJ"),AND(J3317=1,I3317=0)),"?IN_FOCUS",IF(J3317&lt;=2,"?ACTIVATED",IF(J3317&lt;&gt;"","?FAMILIAR",IF(F3317="NEW",IF(ISNA(VLOOKUP(E3317,#REF!,1,FALSE())),"?TYPE_IDENTIFIABLE","?REFERENTIAL"),"_")))))</f>
        <v> </v>
      </c>
      <c r="H3317" s="24" t="str">
        <f>IF(J3317&lt;&gt;1,"",IF(I3317="SBJ","CB","?"))</f>
        <v> </v>
      </c>
      <c r="I3317" s="25" t="str">
        <f>IF(OR(E3317="",E3317="!!!",F3317="NEW"),"",INDEX(B3316:B$2,-1+SUMPRODUCT(MAX(ROW(E3316:E$2)*(E3317=E3316:E$2)))))</f>
        <v> </v>
      </c>
      <c r="J3317" s="25" t="str">
        <f>IF(OR(E3317="",E3317="!!!",F3317="NEW"),"",COUNTBLANK(OFFSET(A$1,,,SUMPRODUCT(MAX(ROW(E$2:E3317)*(E3317=E$2:E3317)))))-COUNTBLANK(OFFSET(A$1,,,SUMPRODUCT(MAX(ROW(E$1:E3316)*(E2=E$1:E3316))))))</f>
        <v> </v>
      </c>
      <c r="K3317" s="25" t="str">
        <f>IF(OR(E3317="",E3317="!!!",F3317="NEW"),"",INDEX(J$1:J3316,SUMPRODUCT(MAX(ROW(E$1:E3316)*(E3317=E$1:E3316)))))</f>
        <v> </v>
      </c>
      <c r="L3317" s="26"/>
    </row>
    <row r="3318" spans="1:12">
      <c r="A3318" s="20" t="s">
        <v>565</v>
      </c>
      <c r="E3318" s="21">
        <f>IF(D3318="?OLD","!!!","")</f>
        <v/>
      </c>
      <c r="F3318" s="22" t="str">
        <f>IF(OR(E3318="",E3318="!!!"),"",IF(NOT(ISNA(VLOOKUP(E3318,E$1:E3317,1,FALSE()))),"OLD",IF(AND(E3318&lt;&gt;"",E3318&lt;&gt;"!!!"),"NEW","")))</f>
        <v> </v>
      </c>
      <c r="G3318" s="23" t="str">
        <f>IF(OR(E3318="",E3318="!!!"),"",IF(OR(J3318=0,AND(J3318=1,K3318=1),AND(J3318=1,I3318="SBJ"),AND(J3318=1,I3318=0)),"?IN_FOCUS",IF(J3318&lt;=2,"?ACTIVATED",IF(J3318&lt;&gt;"","?FAMILIAR",IF(F3318="NEW",IF(ISNA(VLOOKUP(E3318,#REF!,1,FALSE())),"?TYPE_IDENTIFIABLE","?REFERENTIAL"),"_")))))</f>
        <v> </v>
      </c>
      <c r="H3318" s="24" t="str">
        <f>IF(J3318&lt;&gt;1,"",IF(I3318="SBJ","CB","?"))</f>
        <v> </v>
      </c>
      <c r="I3318" s="25" t="str">
        <f>IF(OR(E3318="",E3318="!!!",F3318="NEW"),"",INDEX(B3317:B$2,-1+SUMPRODUCT(MAX(ROW(E3317:E$2)*(E3318=E3317:E$2)))))</f>
        <v> </v>
      </c>
      <c r="J3318" s="25" t="str">
        <f>IF(OR(E3318="",E3318="!!!",F3318="NEW"),"",COUNTBLANK(OFFSET(A$1,,,SUMPRODUCT(MAX(ROW(E$2:E3318)*(E3318=E$2:E3318)))))-COUNTBLANK(OFFSET(A$1,,,SUMPRODUCT(MAX(ROW(E$1:E3317)*(E2=E$1:E3317))))))</f>
        <v> </v>
      </c>
      <c r="K3318" s="25" t="str">
        <f>IF(OR(E3318="",E3318="!!!",F3318="NEW"),"",INDEX(J$1:J3317,SUMPRODUCT(MAX(ROW(E$1:E3317)*(E3318=E$1:E3317)))))</f>
        <v> </v>
      </c>
      <c r="L3318" s="26"/>
    </row>
    <row r="3319" spans="1:12">
      <c r="A3319" s="20" t="s">
        <v>1607</v>
      </c>
      <c r="B3319" s="27" t="s">
        <v>544</v>
      </c>
      <c r="C3319" s="27" t="s">
        <v>564</v>
      </c>
      <c r="E3319" s="21">
        <f>IF(D3319="?OLD","!!!","")</f>
        <v/>
      </c>
      <c r="F3319" s="22" t="str">
        <f>IF(OR(E3319="",E3319="!!!"),"",IF(NOT(ISNA(VLOOKUP(E3319,E$1:E3318,1,FALSE()))),"OLD",IF(AND(E3319&lt;&gt;"",E3319&lt;&gt;"!!!"),"NEW","")))</f>
        <v> </v>
      </c>
      <c r="G3319" s="23" t="str">
        <f>IF(OR(E3319="",E3319="!!!"),"",IF(OR(J3319=0,AND(J3319=1,K3319=1),AND(J3319=1,I3319="SBJ"),AND(J3319=1,I3319=0)),"?IN_FOCUS",IF(J3319&lt;=2,"?ACTIVATED",IF(J3319&lt;&gt;"","?FAMILIAR",IF(F3319="NEW",IF(ISNA(VLOOKUP(E3319,#REF!,1,FALSE())),"?TYPE_IDENTIFIABLE","?REFERENTIAL"),"_")))))</f>
        <v> </v>
      </c>
      <c r="H3319" s="24" t="str">
        <f>IF(J3319&lt;&gt;1,"",IF(I3319="SBJ","CB","?"))</f>
        <v> </v>
      </c>
      <c r="I3319" s="25" t="str">
        <f>IF(OR(E3319="",E3319="!!!",F3319="NEW"),"",INDEX(B3318:B$2,-1+SUMPRODUCT(MAX(ROW(E3318:E$2)*(E3319=E3318:E$2)))))</f>
        <v> </v>
      </c>
      <c r="J3319" s="25" t="str">
        <f>IF(OR(E3319="",E3319="!!!",F3319="NEW"),"",COUNTBLANK(OFFSET(A$1,,,SUMPRODUCT(MAX(ROW(E$2:E3319)*(E3319=E$2:E3319)))))-COUNTBLANK(OFFSET(A$1,,,SUMPRODUCT(MAX(ROW(E$1:E3318)*(E2=E$1:E3318))))))</f>
        <v> </v>
      </c>
      <c r="K3319" s="25" t="str">
        <f>IF(OR(E3319="",E3319="!!!",F3319="NEW"),"",INDEX(J$1:J3318,SUMPRODUCT(MAX(ROW(E$1:E3318)*(E3319=E$1:E3318)))))</f>
        <v> </v>
      </c>
      <c r="L3319" s="26"/>
    </row>
    <row r="3320" spans="1:12">
      <c r="A3320" s="20" t="s">
        <v>565</v>
      </c>
      <c r="E3320" s="21">
        <f>IF(D3320="?OLD","!!!","")</f>
        <v/>
      </c>
      <c r="F3320" s="22" t="str">
        <f>IF(OR(E3320="",E3320="!!!"),"",IF(NOT(ISNA(VLOOKUP(E3320,E$1:E3319,1,FALSE()))),"OLD",IF(AND(E3320&lt;&gt;"",E3320&lt;&gt;"!!!"),"NEW","")))</f>
        <v> </v>
      </c>
      <c r="G3320" s="23" t="str">
        <f>IF(OR(E3320="",E3320="!!!"),"",IF(OR(J3320=0,AND(J3320=1,K3320=1),AND(J3320=1,I3320="SBJ"),AND(J3320=1,I3320=0)),"?IN_FOCUS",IF(J3320&lt;=2,"?ACTIVATED",IF(J3320&lt;&gt;"","?FAMILIAR",IF(F3320="NEW",IF(ISNA(VLOOKUP(E3320,#REF!,1,FALSE())),"?TYPE_IDENTIFIABLE","?REFERENTIAL"),"_")))))</f>
        <v> </v>
      </c>
      <c r="H3320" s="24" t="str">
        <f>IF(J3320&lt;&gt;1,"",IF(I3320="SBJ","CB","?"))</f>
        <v> </v>
      </c>
      <c r="I3320" s="25" t="str">
        <f>IF(OR(E3320="",E3320="!!!",F3320="NEW"),"",INDEX(B3319:B$2,-1+SUMPRODUCT(MAX(ROW(E3319:E$2)*(E3320=E3319:E$2)))))</f>
        <v> </v>
      </c>
      <c r="J3320" s="25" t="str">
        <f>IF(OR(E3320="",E3320="!!!",F3320="NEW"),"",COUNTBLANK(OFFSET(A$1,,,SUMPRODUCT(MAX(ROW(E$2:E3320)*(E3320=E$2:E3320)))))-COUNTBLANK(OFFSET(A$1,,,SUMPRODUCT(MAX(ROW(E$1:E3319)*(E2=E$1:E3319))))))</f>
        <v> </v>
      </c>
      <c r="K3320" s="25" t="str">
        <f>IF(OR(E3320="",E3320="!!!",F3320="NEW"),"",INDEX(J$1:J3319,SUMPRODUCT(MAX(ROW(E$1:E3319)*(E3320=E$1:E3319)))))</f>
        <v> </v>
      </c>
      <c r="L3320" s="26"/>
    </row>
    <row r="3321" spans="1:12">
      <c r="A3321" s="20" t="s">
        <v>1608</v>
      </c>
      <c r="B3321" s="27" t="s">
        <v>544</v>
      </c>
      <c r="C3321" s="27" t="s">
        <v>564</v>
      </c>
      <c r="E3321" s="21">
        <f>IF(D3321="?OLD","!!!","")</f>
        <v/>
      </c>
      <c r="F3321" s="22" t="str">
        <f>IF(OR(E3321="",E3321="!!!"),"",IF(NOT(ISNA(VLOOKUP(E3321,E$1:E3320,1,FALSE()))),"OLD",IF(AND(E3321&lt;&gt;"",E3321&lt;&gt;"!!!"),"NEW","")))</f>
        <v> </v>
      </c>
      <c r="G3321" s="23" t="str">
        <f>IF(OR(E3321="",E3321="!!!"),"",IF(OR(J3321=0,AND(J3321=1,K3321=1),AND(J3321=1,I3321="SBJ"),AND(J3321=1,I3321=0)),"?IN_FOCUS",IF(J3321&lt;=2,"?ACTIVATED",IF(J3321&lt;&gt;"","?FAMILIAR",IF(F3321="NEW",IF(ISNA(VLOOKUP(E3321,#REF!,1,FALSE())),"?TYPE_IDENTIFIABLE","?REFERENTIAL"),"_")))))</f>
        <v> </v>
      </c>
      <c r="H3321" s="24" t="str">
        <f>IF(J3321&lt;&gt;1,"",IF(I3321="SBJ","CB","?"))</f>
        <v> </v>
      </c>
      <c r="I3321" s="25" t="str">
        <f>IF(OR(E3321="",E3321="!!!",F3321="NEW"),"",INDEX(B3320:B$2,-1+SUMPRODUCT(MAX(ROW(E3320:E$2)*(E3321=E3320:E$2)))))</f>
        <v> </v>
      </c>
      <c r="J3321" s="25" t="str">
        <f>IF(OR(E3321="",E3321="!!!",F3321="NEW"),"",COUNTBLANK(OFFSET(A$1,,,SUMPRODUCT(MAX(ROW(E$2:E3321)*(E3321=E$2:E3321)))))-COUNTBLANK(OFFSET(A$1,,,SUMPRODUCT(MAX(ROW(E$1:E3320)*(E2=E$1:E3320))))))</f>
        <v> </v>
      </c>
      <c r="K3321" s="25" t="str">
        <f>IF(OR(E3321="",E3321="!!!",F3321="NEW"),"",INDEX(J$1:J3320,SUMPRODUCT(MAX(ROW(E$1:E3320)*(E3321=E$1:E3320)))))</f>
        <v> </v>
      </c>
      <c r="L3321" s="26"/>
    </row>
    <row r="3322" spans="1:12">
      <c r="A3322" s="20" t="s">
        <v>565</v>
      </c>
      <c r="E3322" s="21">
        <f>IF(D3322="?OLD","!!!","")</f>
        <v/>
      </c>
      <c r="F3322" s="22" t="str">
        <f>IF(OR(E3322="",E3322="!!!"),"",IF(NOT(ISNA(VLOOKUP(E3322,E$1:E3321,1,FALSE()))),"OLD",IF(AND(E3322&lt;&gt;"",E3322&lt;&gt;"!!!"),"NEW","")))</f>
        <v> </v>
      </c>
      <c r="G3322" s="23" t="str">
        <f>IF(OR(E3322="",E3322="!!!"),"",IF(OR(J3322=0,AND(J3322=1,K3322=1),AND(J3322=1,I3322="SBJ"),AND(J3322=1,I3322=0)),"?IN_FOCUS",IF(J3322&lt;=2,"?ACTIVATED",IF(J3322&lt;&gt;"","?FAMILIAR",IF(F3322="NEW",IF(ISNA(VLOOKUP(E3322,#REF!,1,FALSE())),"?TYPE_IDENTIFIABLE","?REFERENTIAL"),"_")))))</f>
        <v> </v>
      </c>
      <c r="H3322" s="24" t="str">
        <f>IF(J3322&lt;&gt;1,"",IF(I3322="SBJ","CB","?"))</f>
        <v> </v>
      </c>
      <c r="I3322" s="25" t="str">
        <f>IF(OR(E3322="",E3322="!!!",F3322="NEW"),"",INDEX(B3321:B$2,-1+SUMPRODUCT(MAX(ROW(E3321:E$2)*(E3322=E3321:E$2)))))</f>
        <v> </v>
      </c>
      <c r="J3322" s="25" t="str">
        <f>IF(OR(E3322="",E3322="!!!",F3322="NEW"),"",COUNTBLANK(OFFSET(A$1,,,SUMPRODUCT(MAX(ROW(E$2:E3322)*(E3322=E$2:E3322)))))-COUNTBLANK(OFFSET(A$1,,,SUMPRODUCT(MAX(ROW(E$1:E3321)*(E2=E$1:E3321))))))</f>
        <v> </v>
      </c>
      <c r="K3322" s="25" t="str">
        <f>IF(OR(E3322="",E3322="!!!",F3322="NEW"),"",INDEX(J$1:J3321,SUMPRODUCT(MAX(ROW(E$1:E3321)*(E3322=E$1:E3321)))))</f>
        <v> </v>
      </c>
      <c r="L3322" s="26"/>
    </row>
    <row r="3323" spans="1:12">
      <c r="A3323" s="20" t="s">
        <v>1609</v>
      </c>
      <c r="B3323" s="27" t="s">
        <v>544</v>
      </c>
      <c r="C3323" s="27" t="s">
        <v>548</v>
      </c>
      <c r="D3323" s="27" t="s">
        <v>524</v>
      </c>
      <c r="E3323" s="21">
        <f>IF(D3323="?OLD","!!!","")</f>
        <v/>
      </c>
      <c r="F3323" s="22" t="str">
        <f>IF(OR(E3323="",E3323="!!!"),"",IF(NOT(ISNA(VLOOKUP(E3323,E$1:E3322,1,FALSE()))),"OLD",IF(AND(E3323&lt;&gt;"",E3323&lt;&gt;"!!!"),"NEW","")))</f>
        <v> </v>
      </c>
      <c r="G3323" s="23" t="str">
        <f>IF(OR(E3323="",E3323="!!!"),"",IF(OR(J3323=0,AND(J3323=1,K3323=1),AND(J3323=1,I3323="SBJ"),AND(J3323=1,I3323=0)),"?IN_FOCUS",IF(J3323&lt;=2,"?ACTIVATED",IF(J3323&lt;&gt;"","?FAMILIAR",IF(F3323="NEW",IF(ISNA(VLOOKUP(E3323,#REF!,1,FALSE())),"?TYPE_IDENTIFIABLE","?REFERENTIAL"),"_")))))</f>
        <v> </v>
      </c>
      <c r="H3323" s="24" t="str">
        <f>IF(J3323&lt;&gt;1,"",IF(I3323="SBJ","CB","?"))</f>
        <v> </v>
      </c>
      <c r="I3323" s="25" t="str">
        <f>IF(OR(E3323="",E3323="!!!",F3323="NEW"),"",INDEX(B3322:B$2,-1+SUMPRODUCT(MAX(ROW(E3322:E$2)*(E3323=E3322:E$2)))))</f>
        <v> </v>
      </c>
      <c r="J3323" s="25" t="str">
        <f>IF(OR(E3323="",E3323="!!!",F3323="NEW"),"",COUNTBLANK(OFFSET(A$1,,,SUMPRODUCT(MAX(ROW(E$2:E3323)*(E3323=E$2:E3323)))))-COUNTBLANK(OFFSET(A$1,,,SUMPRODUCT(MAX(ROW(E$1:E3322)*(E2=E$1:E3322))))))</f>
        <v> </v>
      </c>
      <c r="K3323" s="25" t="str">
        <f>IF(OR(E3323="",E3323="!!!",F3323="NEW"),"",INDEX(J$1:J3322,SUMPRODUCT(MAX(ROW(E$1:E3322)*(E3323=E$1:E3322)))))</f>
        <v> </v>
      </c>
      <c r="L3323" s="26"/>
    </row>
    <row r="3324" spans="1:12">
      <c r="A3324" s="20" t="s">
        <v>565</v>
      </c>
      <c r="E3324" s="21">
        <f>IF(D3324="?OLD","!!!","")</f>
        <v/>
      </c>
      <c r="F3324" s="22" t="str">
        <f>IF(OR(E3324="",E3324="!!!"),"",IF(NOT(ISNA(VLOOKUP(E3324,E$1:E3323,1,FALSE()))),"OLD",IF(AND(E3324&lt;&gt;"",E3324&lt;&gt;"!!!"),"NEW","")))</f>
        <v> </v>
      </c>
      <c r="G3324" s="23" t="str">
        <f>IF(OR(E3324="",E3324="!!!"),"",IF(OR(J3324=0,AND(J3324=1,K3324=1),AND(J3324=1,I3324="SBJ"),AND(J3324=1,I3324=0)),"?IN_FOCUS",IF(J3324&lt;=2,"?ACTIVATED",IF(J3324&lt;&gt;"","?FAMILIAR",IF(F3324="NEW",IF(ISNA(VLOOKUP(E3324,#REF!,1,FALSE())),"?TYPE_IDENTIFIABLE","?REFERENTIAL"),"_")))))</f>
        <v> </v>
      </c>
      <c r="H3324" s="24" t="str">
        <f>IF(J3324&lt;&gt;1,"",IF(I3324="SBJ","CB","?"))</f>
        <v> </v>
      </c>
      <c r="I3324" s="25" t="str">
        <f>IF(OR(E3324="",E3324="!!!",F3324="NEW"),"",INDEX(B3323:B$2,-1+SUMPRODUCT(MAX(ROW(E3323:E$2)*(E3324=E3323:E$2)))))</f>
        <v> </v>
      </c>
      <c r="J3324" s="25" t="str">
        <f>IF(OR(E3324="",E3324="!!!",F3324="NEW"),"",COUNTBLANK(OFFSET(A$1,,,SUMPRODUCT(MAX(ROW(E$2:E3324)*(E3324=E$2:E3324)))))-COUNTBLANK(OFFSET(A$1,,,SUMPRODUCT(MAX(ROW(E$1:E3323)*(E2=E$1:E3323))))))</f>
        <v> </v>
      </c>
      <c r="K3324" s="25" t="str">
        <f>IF(OR(E3324="",E3324="!!!",F3324="NEW"),"",INDEX(J$1:J3323,SUMPRODUCT(MAX(ROW(E$1:E3323)*(E3324=E$1:E3323)))))</f>
        <v> </v>
      </c>
      <c r="L3324" s="26"/>
    </row>
    <row r="3325" spans="1:12">
      <c r="A3325" s="20" t="s">
        <v>1610</v>
      </c>
      <c r="E3325" s="21">
        <f>IF(D3325="?OLD","!!!","")</f>
        <v/>
      </c>
      <c r="F3325" s="22" t="str">
        <f>IF(OR(E3325="",E3325="!!!"),"",IF(NOT(ISNA(VLOOKUP(E3325,E$1:E3324,1,FALSE()))),"OLD",IF(AND(E3325&lt;&gt;"",E3325&lt;&gt;"!!!"),"NEW","")))</f>
        <v> </v>
      </c>
      <c r="G3325" s="23" t="str">
        <f>IF(OR(E3325="",E3325="!!!"),"",IF(OR(J3325=0,AND(J3325=1,K3325=1),AND(J3325=1,I3325="SBJ"),AND(J3325=1,I3325=0)),"?IN_FOCUS",IF(J3325&lt;=2,"?ACTIVATED",IF(J3325&lt;&gt;"","?FAMILIAR",IF(F3325="NEW",IF(ISNA(VLOOKUP(E3325,#REF!,1,FALSE())),"?TYPE_IDENTIFIABLE","?REFERENTIAL"),"_")))))</f>
        <v> </v>
      </c>
      <c r="H3325" s="24" t="str">
        <f>IF(J3325&lt;&gt;1,"",IF(I3325="SBJ","CB","?"))</f>
        <v> </v>
      </c>
      <c r="I3325" s="25" t="str">
        <f>IF(OR(E3325="",E3325="!!!",F3325="NEW"),"",INDEX(B3324:B$2,-1+SUMPRODUCT(MAX(ROW(E3324:E$2)*(E3325=E3324:E$2)))))</f>
        <v> </v>
      </c>
      <c r="J3325" s="25" t="str">
        <f>IF(OR(E3325="",E3325="!!!",F3325="NEW"),"",COUNTBLANK(OFFSET(A$1,,,SUMPRODUCT(MAX(ROW(E$2:E3325)*(E3325=E$2:E3325)))))-COUNTBLANK(OFFSET(A$1,,,SUMPRODUCT(MAX(ROW(E$1:E3324)*(E2=E$1:E3324))))))</f>
        <v> </v>
      </c>
      <c r="K3325" s="25" t="str">
        <f>IF(OR(E3325="",E3325="!!!",F3325="NEW"),"",INDEX(J$1:J3324,SUMPRODUCT(MAX(ROW(E$1:E3324)*(E3325=E$1:E3324)))))</f>
        <v> </v>
      </c>
      <c r="L3325" s="26"/>
    </row>
    <row r="3326" spans="1:12">
      <c r="A3326" s="20"/>
    </row>
    <row r="3327" spans="1:12">
      <c r="A3327" s="20" t="s">
        <v>1611</v>
      </c>
    </row>
    <row r="3328" spans="1:12">
      <c r="A3328" s="20" t="s">
        <v>1356</v>
      </c>
      <c r="E3328" s="21">
        <f>IF(D3328="?OLD","!!!","")</f>
        <v/>
      </c>
      <c r="F3328" s="22" t="str">
        <f>IF(OR(E3328="",E3328="!!!"),"",IF(NOT(ISNA(VLOOKUP(E3328,E$1:E3327,1,FALSE()))),"OLD",IF(AND(E3328&lt;&gt;"",E3328&lt;&gt;"!!!"),"NEW","")))</f>
        <v> </v>
      </c>
      <c r="G3328" s="23" t="str">
        <f>IF(OR(E3328="",E3328="!!!"),"",IF(OR(J3328=0,AND(J3328=1,K3328=1),AND(J3328=1,I3328="SBJ"),AND(J3328=1,I3328=0)),"?IN_FOCUS",IF(J3328&lt;=2,"?ACTIVATED",IF(J3328&lt;&gt;"","?FAMILIAR",IF(F3328="NEW",IF(ISNA(VLOOKUP(E3328,#REF!,1,FALSE())),"?TYPE_IDENTIFIABLE","?REFERENTIAL"),"_")))))</f>
        <v> </v>
      </c>
      <c r="H3328" s="24" t="str">
        <f>IF(J3328&lt;&gt;1,"",IF(I3328="SBJ","CB","?"))</f>
        <v> </v>
      </c>
      <c r="I3328" s="25" t="str">
        <f>IF(OR(E3328="",E3328="!!!",F3328="NEW"),"",INDEX(B3327:B$2,-1+SUMPRODUCT(MAX(ROW(E3327:E$2)*(E3328=E3327:E$2)))))</f>
        <v> </v>
      </c>
      <c r="J3328" s="25" t="str">
        <f>IF(OR(E3328="",E3328="!!!",F3328="NEW"),"",COUNTBLANK(OFFSET(A$1,,,SUMPRODUCT(MAX(ROW(E$2:E3328)*(E3328=E$2:E3328)))))-COUNTBLANK(OFFSET(A$1,,,SUMPRODUCT(MAX(ROW(E$1:E3327)*(E2=E$1:E3327))))))</f>
        <v> </v>
      </c>
      <c r="K3328" s="25" t="str">
        <f>IF(OR(E3328="",E3328="!!!",F3328="NEW"),"",INDEX(J$1:J3327,SUMPRODUCT(MAX(ROW(E$1:E3327)*(E3328=E$1:E3327)))))</f>
        <v> </v>
      </c>
      <c r="L3328" s="26"/>
    </row>
    <row r="3329" spans="1:12">
      <c r="A3329" s="20" t="s">
        <v>1500</v>
      </c>
      <c r="B3329" s="27" t="s">
        <v>680</v>
      </c>
      <c r="C3329" s="27" t="s">
        <v>545</v>
      </c>
      <c r="D3329" s="27" t="s">
        <v>524</v>
      </c>
      <c r="E3329" s="21">
        <f>IF(D3329="?OLD","!!!","")</f>
        <v/>
      </c>
      <c r="F3329" s="22" t="str">
        <f>IF(OR(E3329="",E3329="!!!"),"",IF(NOT(ISNA(VLOOKUP(E3329,E$1:E3328,1,FALSE()))),"OLD",IF(AND(E3329&lt;&gt;"",E3329&lt;&gt;"!!!"),"NEW","")))</f>
        <v> </v>
      </c>
      <c r="G3329" s="23" t="str">
        <f>IF(OR(E3329="",E3329="!!!"),"",IF(OR(J3329=0,AND(J3329=1,K3329=1),AND(J3329=1,I3329="SBJ"),AND(J3329=1,I3329=0)),"?IN_FOCUS",IF(J3329&lt;=2,"?ACTIVATED",IF(J3329&lt;&gt;"","?FAMILIAR",IF(F3329="NEW",IF(ISNA(VLOOKUP(E3329,#REF!,1,FALSE())),"?TYPE_IDENTIFIABLE","?REFERENTIAL"),"_")))))</f>
        <v> </v>
      </c>
      <c r="H3329" s="24" t="str">
        <f>IF(J3329&lt;&gt;1,"",IF(I3329="SBJ","CB","?"))</f>
        <v> </v>
      </c>
      <c r="I3329" s="25" t="str">
        <f>IF(OR(E3329="",E3329="!!!",F3329="NEW"),"",INDEX(B3328:B$2,-1+SUMPRODUCT(MAX(ROW(E3328:E$2)*(E3329=E3328:E$2)))))</f>
        <v> </v>
      </c>
      <c r="J3329" s="25" t="str">
        <f>IF(OR(E3329="",E3329="!!!",F3329="NEW"),"",COUNTBLANK(OFFSET(A$1,,,SUMPRODUCT(MAX(ROW(E$2:E3329)*(E3329=E$2:E3329)))))-COUNTBLANK(OFFSET(A$1,,,SUMPRODUCT(MAX(ROW(E$1:E3328)*(E2=E$1:E3328))))))</f>
        <v> </v>
      </c>
      <c r="K3329" s="25" t="str">
        <f>IF(OR(E3329="",E3329="!!!",F3329="NEW"),"",INDEX(J$1:J3328,SUMPRODUCT(MAX(ROW(E$1:E3328)*(E3329=E$1:E3328)))))</f>
        <v> </v>
      </c>
      <c r="L3329" s="26"/>
    </row>
    <row r="3330" spans="1:12">
      <c r="A3330" s="20" t="s">
        <v>518</v>
      </c>
      <c r="E3330" s="21">
        <f>IF(D3330="?OLD","!!!","")</f>
        <v/>
      </c>
      <c r="F3330" s="22" t="str">
        <f>IF(OR(E3330="",E3330="!!!"),"",IF(NOT(ISNA(VLOOKUP(E3330,E$1:E3329,1,FALSE()))),"OLD",IF(AND(E3330&lt;&gt;"",E3330&lt;&gt;"!!!"),"NEW","")))</f>
        <v> </v>
      </c>
      <c r="G3330" s="23" t="str">
        <f>IF(OR(E3330="",E3330="!!!"),"",IF(OR(J3330=0,AND(J3330=1,K3330=1),AND(J3330=1,I3330="SBJ"),AND(J3330=1,I3330=0)),"?IN_FOCUS",IF(J3330&lt;=2,"?ACTIVATED",IF(J3330&lt;&gt;"","?FAMILIAR",IF(F3330="NEW",IF(ISNA(VLOOKUP(E3330,#REF!,1,FALSE())),"?TYPE_IDENTIFIABLE","?REFERENTIAL"),"_")))))</f>
        <v> </v>
      </c>
      <c r="H3330" s="24" t="str">
        <f>IF(J3330&lt;&gt;1,"",IF(I3330="SBJ","CB","?"))</f>
        <v> </v>
      </c>
      <c r="I3330" s="25" t="str">
        <f>IF(OR(E3330="",E3330="!!!",F3330="NEW"),"",INDEX(B3329:B$2,-1+SUMPRODUCT(MAX(ROW(E3329:E$2)*(E3330=E3329:E$2)))))</f>
        <v> </v>
      </c>
      <c r="J3330" s="25" t="str">
        <f>IF(OR(E3330="",E3330="!!!",F3330="NEW"),"",COUNTBLANK(OFFSET(A$1,,,SUMPRODUCT(MAX(ROW(E$2:E3330)*(E3330=E$2:E3330)))))-COUNTBLANK(OFFSET(A$1,,,SUMPRODUCT(MAX(ROW(E$1:E3329)*(E2=E$1:E3329))))))</f>
        <v> </v>
      </c>
      <c r="K3330" s="25" t="str">
        <f>IF(OR(E3330="",E3330="!!!",F3330="NEW"),"",INDEX(J$1:J3329,SUMPRODUCT(MAX(ROW(E$1:E3329)*(E3330=E$1:E3329)))))</f>
        <v> </v>
      </c>
      <c r="L3330" s="26"/>
    </row>
    <row r="3331" spans="1:12">
      <c r="A3331" s="20" t="s">
        <v>1612</v>
      </c>
      <c r="B3331" s="27" t="s">
        <v>592</v>
      </c>
      <c r="C3331" s="27" t="s">
        <v>584</v>
      </c>
      <c r="D3331" s="27" t="s">
        <v>524</v>
      </c>
      <c r="E3331" s="21">
        <f>IF(D3331="?OLD","!!!","")</f>
        <v/>
      </c>
      <c r="F3331" s="22" t="str">
        <f>IF(OR(E3331="",E3331="!!!"),"",IF(NOT(ISNA(VLOOKUP(E3331,E$1:E3330,1,FALSE()))),"OLD",IF(AND(E3331&lt;&gt;"",E3331&lt;&gt;"!!!"),"NEW","")))</f>
        <v> </v>
      </c>
      <c r="G3331" s="23" t="str">
        <f>IF(OR(E3331="",E3331="!!!"),"",IF(OR(J3331=0,AND(J3331=1,K3331=1),AND(J3331=1,I3331="SBJ"),AND(J3331=1,I3331=0)),"?IN_FOCUS",IF(J3331&lt;=2,"?ACTIVATED",IF(J3331&lt;&gt;"","?FAMILIAR",IF(F3331="NEW",IF(ISNA(VLOOKUP(E3331,#REF!,1,FALSE())),"?TYPE_IDENTIFIABLE","?REFERENTIAL"),"_")))))</f>
        <v> </v>
      </c>
      <c r="H3331" s="24" t="str">
        <f>IF(J3331&lt;&gt;1,"",IF(I3331="SBJ","CB","?"))</f>
        <v> </v>
      </c>
      <c r="I3331" s="25" t="str">
        <f>IF(OR(E3331="",E3331="!!!",F3331="NEW"),"",INDEX(B3330:B$2,-1+SUMPRODUCT(MAX(ROW(E3330:E$2)*(E3331=E3330:E$2)))))</f>
        <v> </v>
      </c>
      <c r="J3331" s="25" t="str">
        <f>IF(OR(E3331="",E3331="!!!",F3331="NEW"),"",COUNTBLANK(OFFSET(A$1,,,SUMPRODUCT(MAX(ROW(E$2:E3331)*(E3331=E$2:E3331)))))-COUNTBLANK(OFFSET(A$1,,,SUMPRODUCT(MAX(ROW(E$1:E3330)*(E2=E$1:E3330))))))</f>
        <v> </v>
      </c>
      <c r="K3331" s="25" t="str">
        <f>IF(OR(E3331="",E3331="!!!",F3331="NEW"),"",INDEX(J$1:J3330,SUMPRODUCT(MAX(ROW(E$1:E3330)*(E3331=E$1:E3330)))))</f>
        <v> </v>
      </c>
      <c r="L3331" s="26"/>
    </row>
    <row r="3332" spans="1:12">
      <c r="A3332" s="20" t="s">
        <v>1373</v>
      </c>
      <c r="E3332" s="21">
        <f>IF(D3332="?OLD","!!!","")</f>
        <v/>
      </c>
      <c r="F3332" s="22" t="str">
        <f>IF(OR(E3332="",E3332="!!!"),"",IF(NOT(ISNA(VLOOKUP(E3332,E$1:E3331,1,FALSE()))),"OLD",IF(AND(E3332&lt;&gt;"",E3332&lt;&gt;"!!!"),"NEW","")))</f>
        <v> </v>
      </c>
      <c r="G3332" s="23" t="str">
        <f>IF(OR(E3332="",E3332="!!!"),"",IF(OR(J3332=0,AND(J3332=1,K3332=1),AND(J3332=1,I3332="SBJ"),AND(J3332=1,I3332=0)),"?IN_FOCUS",IF(J3332&lt;=2,"?ACTIVATED",IF(J3332&lt;&gt;"","?FAMILIAR",IF(F3332="NEW",IF(ISNA(VLOOKUP(E3332,#REF!,1,FALSE())),"?TYPE_IDENTIFIABLE","?REFERENTIAL"),"_")))))</f>
        <v> </v>
      </c>
      <c r="H3332" s="24" t="str">
        <f>IF(J3332&lt;&gt;1,"",IF(I3332="SBJ","CB","?"))</f>
        <v> </v>
      </c>
      <c r="I3332" s="25" t="str">
        <f>IF(OR(E3332="",E3332="!!!",F3332="NEW"),"",INDEX(B3331:B$2,-1+SUMPRODUCT(MAX(ROW(E3331:E$2)*(E3332=E3331:E$2)))))</f>
        <v> </v>
      </c>
      <c r="J3332" s="25" t="str">
        <f>IF(OR(E3332="",E3332="!!!",F3332="NEW"),"",COUNTBLANK(OFFSET(A$1,,,SUMPRODUCT(MAX(ROW(E$2:E3332)*(E3332=E$2:E3332)))))-COUNTBLANK(OFFSET(A$1,,,SUMPRODUCT(MAX(ROW(E$1:E3331)*(E2=E$1:E3331))))))</f>
        <v> </v>
      </c>
      <c r="K3332" s="25" t="str">
        <f>IF(OR(E3332="",E3332="!!!",F3332="NEW"),"",INDEX(J$1:J3331,SUMPRODUCT(MAX(ROW(E$1:E3331)*(E3332=E$1:E3331)))))</f>
        <v> </v>
      </c>
      <c r="L3332" s="26"/>
    </row>
    <row r="3333" spans="1:12">
      <c r="A3333" s="20" t="s">
        <v>682</v>
      </c>
      <c r="E3333" s="21">
        <f>IF(D3333="?OLD","!!!","")</f>
        <v/>
      </c>
      <c r="F3333" s="22" t="str">
        <f>IF(OR(E3333="",E3333="!!!"),"",IF(NOT(ISNA(VLOOKUP(E3333,E$1:E3332,1,FALSE()))),"OLD",IF(AND(E3333&lt;&gt;"",E3333&lt;&gt;"!!!"),"NEW","")))</f>
        <v> </v>
      </c>
      <c r="G3333" s="23" t="str">
        <f>IF(OR(E3333="",E3333="!!!"),"",IF(OR(J3333=0,AND(J3333=1,K3333=1),AND(J3333=1,I3333="SBJ"),AND(J3333=1,I3333=0)),"?IN_FOCUS",IF(J3333&lt;=2,"?ACTIVATED",IF(J3333&lt;&gt;"","?FAMILIAR",IF(F3333="NEW",IF(ISNA(VLOOKUP(E3333,#REF!,1,FALSE())),"?TYPE_IDENTIFIABLE","?REFERENTIAL"),"_")))))</f>
        <v> </v>
      </c>
      <c r="H3333" s="24" t="str">
        <f>IF(J3333&lt;&gt;1,"",IF(I3333="SBJ","CB","?"))</f>
        <v> </v>
      </c>
      <c r="I3333" s="25" t="str">
        <f>IF(OR(E3333="",E3333="!!!",F3333="NEW"),"",INDEX(B3332:B$2,-1+SUMPRODUCT(MAX(ROW(E3332:E$2)*(E3333=E3332:E$2)))))</f>
        <v> </v>
      </c>
      <c r="J3333" s="25" t="str">
        <f>IF(OR(E3333="",E3333="!!!",F3333="NEW"),"",COUNTBLANK(OFFSET(A$1,,,SUMPRODUCT(MAX(ROW(E$2:E3333)*(E3333=E$2:E3333)))))-COUNTBLANK(OFFSET(A$1,,,SUMPRODUCT(MAX(ROW(E$1:E3332)*(E2=E$1:E3332))))))</f>
        <v> </v>
      </c>
      <c r="K3333" s="25" t="str">
        <f>IF(OR(E3333="",E3333="!!!",F3333="NEW"),"",INDEX(J$1:J3332,SUMPRODUCT(MAX(ROW(E$1:E3332)*(E3333=E$1:E3332)))))</f>
        <v> </v>
      </c>
      <c r="L3333" s="26"/>
    </row>
    <row r="3334" spans="1:12">
      <c r="A3334" s="20" t="s">
        <v>1613</v>
      </c>
      <c r="B3334" s="27" t="s">
        <v>743</v>
      </c>
      <c r="C3334" s="27" t="s">
        <v>545</v>
      </c>
      <c r="D3334" s="27" t="s">
        <v>524</v>
      </c>
      <c r="E3334" s="21">
        <f>IF(D3334="?OLD","!!!","")</f>
        <v/>
      </c>
      <c r="F3334" s="22" t="str">
        <f>IF(OR(E3334="",E3334="!!!"),"",IF(NOT(ISNA(VLOOKUP(E3334,E$1:E3333,1,FALSE()))),"OLD",IF(AND(E3334&lt;&gt;"",E3334&lt;&gt;"!!!"),"NEW","")))</f>
        <v> </v>
      </c>
      <c r="G3334" s="23" t="str">
        <f>IF(OR(E3334="",E3334="!!!"),"",IF(OR(J3334=0,AND(J3334=1,K3334=1),AND(J3334=1,I3334="SBJ"),AND(J3334=1,I3334=0)),"?IN_FOCUS",IF(J3334&lt;=2,"?ACTIVATED",IF(J3334&lt;&gt;"","?FAMILIAR",IF(F3334="NEW",IF(ISNA(VLOOKUP(E3334,#REF!,1,FALSE())),"?TYPE_IDENTIFIABLE","?REFERENTIAL"),"_")))))</f>
        <v> </v>
      </c>
      <c r="H3334" s="24" t="str">
        <f>IF(J3334&lt;&gt;1,"",IF(I3334="SBJ","CB","?"))</f>
        <v> </v>
      </c>
      <c r="I3334" s="25" t="str">
        <f>IF(OR(E3334="",E3334="!!!",F3334="NEW"),"",INDEX(B3333:B$2,-1+SUMPRODUCT(MAX(ROW(E3333:E$2)*(E3334=E3333:E$2)))))</f>
        <v> </v>
      </c>
      <c r="J3334" s="25" t="str">
        <f>IF(OR(E3334="",E3334="!!!",F3334="NEW"),"",COUNTBLANK(OFFSET(A$1,,,SUMPRODUCT(MAX(ROW(E$2:E3334)*(E3334=E$2:E3334)))))-COUNTBLANK(OFFSET(A$1,,,SUMPRODUCT(MAX(ROW(E$1:E3333)*(E2=E$1:E3333))))))</f>
        <v> </v>
      </c>
      <c r="K3334" s="25" t="str">
        <f>IF(OR(E3334="",E3334="!!!",F3334="NEW"),"",INDEX(J$1:J3333,SUMPRODUCT(MAX(ROW(E$1:E3333)*(E3334=E$1:E3333)))))</f>
        <v> </v>
      </c>
      <c r="L3334" s="26"/>
    </row>
    <row r="3335" spans="1:12">
      <c r="A3335" s="20" t="s">
        <v>429</v>
      </c>
      <c r="E3335" s="21">
        <f>IF(D3335="?OLD","!!!","")</f>
        <v/>
      </c>
      <c r="F3335" s="22" t="str">
        <f>IF(OR(E3335="",E3335="!!!"),"",IF(NOT(ISNA(VLOOKUP(E3335,E$1:E3334,1,FALSE()))),"OLD",IF(AND(E3335&lt;&gt;"",E3335&lt;&gt;"!!!"),"NEW","")))</f>
        <v> </v>
      </c>
      <c r="G3335" s="23" t="str">
        <f>IF(OR(E3335="",E3335="!!!"),"",IF(OR(J3335=0,AND(J3335=1,K3335=1),AND(J3335=1,I3335="SBJ"),AND(J3335=1,I3335=0)),"?IN_FOCUS",IF(J3335&lt;=2,"?ACTIVATED",IF(J3335&lt;&gt;"","?FAMILIAR",IF(F3335="NEW",IF(ISNA(VLOOKUP(E3335,#REF!,1,FALSE())),"?TYPE_IDENTIFIABLE","?REFERENTIAL"),"_")))))</f>
        <v> </v>
      </c>
      <c r="H3335" s="24" t="str">
        <f>IF(J3335&lt;&gt;1,"",IF(I3335="SBJ","CB","?"))</f>
        <v> </v>
      </c>
      <c r="I3335" s="25" t="str">
        <f>IF(OR(E3335="",E3335="!!!",F3335="NEW"),"",INDEX(B3334:B$2,-1+SUMPRODUCT(MAX(ROW(E3334:E$2)*(E3335=E3334:E$2)))))</f>
        <v> </v>
      </c>
      <c r="J3335" s="25" t="str">
        <f>IF(OR(E3335="",E3335="!!!",F3335="NEW"),"",COUNTBLANK(OFFSET(A$1,,,SUMPRODUCT(MAX(ROW(E$2:E3335)*(E3335=E$2:E3335)))))-COUNTBLANK(OFFSET(A$1,,,SUMPRODUCT(MAX(ROW(E$1:E3334)*(E2=E$1:E3334))))))</f>
        <v> </v>
      </c>
      <c r="K3335" s="25" t="str">
        <f>IF(OR(E3335="",E3335="!!!",F3335="NEW"),"",INDEX(J$1:J3334,SUMPRODUCT(MAX(ROW(E$1:E3334)*(E3335=E$1:E3334)))))</f>
        <v> </v>
      </c>
      <c r="L3335" s="26"/>
    </row>
    <row r="3336" spans="1:12">
      <c r="A3336" s="20" t="s">
        <v>1614</v>
      </c>
      <c r="E3336" s="21">
        <f>IF(D3336="?OLD","!!!","")</f>
        <v/>
      </c>
      <c r="F3336" s="22" t="str">
        <f>IF(OR(E3336="",E3336="!!!"),"",IF(NOT(ISNA(VLOOKUP(E3336,E$1:E3335,1,FALSE()))),"OLD",IF(AND(E3336&lt;&gt;"",E3336&lt;&gt;"!!!"),"NEW","")))</f>
        <v> </v>
      </c>
      <c r="G3336" s="23" t="str">
        <f>IF(OR(E3336="",E3336="!!!"),"",IF(OR(J3336=0,AND(J3336=1,K3336=1),AND(J3336=1,I3336="SBJ"),AND(J3336=1,I3336=0)),"?IN_FOCUS",IF(J3336&lt;=2,"?ACTIVATED",IF(J3336&lt;&gt;"","?FAMILIAR",IF(F3336="NEW",IF(ISNA(VLOOKUP(E3336,#REF!,1,FALSE())),"?TYPE_IDENTIFIABLE","?REFERENTIAL"),"_")))))</f>
        <v> </v>
      </c>
      <c r="H3336" s="24" t="str">
        <f>IF(J3336&lt;&gt;1,"",IF(I3336="SBJ","CB","?"))</f>
        <v> </v>
      </c>
      <c r="I3336" s="25" t="str">
        <f>IF(OR(E3336="",E3336="!!!",F3336="NEW"),"",INDEX(B3335:B$2,-1+SUMPRODUCT(MAX(ROW(E3335:E$2)*(E3336=E3335:E$2)))))</f>
        <v> </v>
      </c>
      <c r="J3336" s="25" t="str">
        <f>IF(OR(E3336="",E3336="!!!",F3336="NEW"),"",COUNTBLANK(OFFSET(A$1,,,SUMPRODUCT(MAX(ROW(E$2:E3336)*(E3336=E$2:E3336)))))-COUNTBLANK(OFFSET(A$1,,,SUMPRODUCT(MAX(ROW(E$1:E3335)*(E2=E$1:E3335))))))</f>
        <v> </v>
      </c>
      <c r="K3336" s="25" t="str">
        <f>IF(OR(E3336="",E3336="!!!",F3336="NEW"),"",INDEX(J$1:J3335,SUMPRODUCT(MAX(ROW(E$1:E3335)*(E3336=E$1:E3335)))))</f>
        <v> </v>
      </c>
      <c r="L3336" s="26"/>
    </row>
    <row r="3337" spans="1:12">
      <c r="A3337" s="20" t="s">
        <v>565</v>
      </c>
      <c r="E3337" s="21">
        <f>IF(D3337="?OLD","!!!","")</f>
        <v/>
      </c>
      <c r="F3337" s="22" t="str">
        <f>IF(OR(E3337="",E3337="!!!"),"",IF(NOT(ISNA(VLOOKUP(E3337,E$1:E3336,1,FALSE()))),"OLD",IF(AND(E3337&lt;&gt;"",E3337&lt;&gt;"!!!"),"NEW","")))</f>
        <v> </v>
      </c>
      <c r="G3337" s="23" t="str">
        <f>IF(OR(E3337="",E3337="!!!"),"",IF(OR(J3337=0,AND(J3337=1,K3337=1),AND(J3337=1,I3337="SBJ"),AND(J3337=1,I3337=0)),"?IN_FOCUS",IF(J3337&lt;=2,"?ACTIVATED",IF(J3337&lt;&gt;"","?FAMILIAR",IF(F3337="NEW",IF(ISNA(VLOOKUP(E3337,#REF!,1,FALSE())),"?TYPE_IDENTIFIABLE","?REFERENTIAL"),"_")))))</f>
        <v> </v>
      </c>
      <c r="H3337" s="24" t="str">
        <f>IF(J3337&lt;&gt;1,"",IF(I3337="SBJ","CB","?"))</f>
        <v> </v>
      </c>
      <c r="I3337" s="25" t="str">
        <f>IF(OR(E3337="",E3337="!!!",F3337="NEW"),"",INDEX(B3336:B$2,-1+SUMPRODUCT(MAX(ROW(E3336:E$2)*(E3337=E3336:E$2)))))</f>
        <v> </v>
      </c>
      <c r="J3337" s="25" t="str">
        <f>IF(OR(E3337="",E3337="!!!",F3337="NEW"),"",COUNTBLANK(OFFSET(A$1,,,SUMPRODUCT(MAX(ROW(E$2:E3337)*(E3337=E$2:E3337)))))-COUNTBLANK(OFFSET(A$1,,,SUMPRODUCT(MAX(ROW(E$1:E3336)*(E2=E$1:E3336))))))</f>
        <v> </v>
      </c>
      <c r="K3337" s="25" t="str">
        <f>IF(OR(E3337="",E3337="!!!",F3337="NEW"),"",INDEX(J$1:J3336,SUMPRODUCT(MAX(ROW(E$1:E3336)*(E3337=E$1:E3336)))))</f>
        <v> </v>
      </c>
      <c r="L3337" s="26"/>
    </row>
    <row r="3338" spans="1:12">
      <c r="A3338" s="20" t="s">
        <v>682</v>
      </c>
      <c r="E3338" s="21">
        <f>IF(D3338="?OLD","!!!","")</f>
        <v/>
      </c>
      <c r="F3338" s="22" t="str">
        <f>IF(OR(E3338="",E3338="!!!"),"",IF(NOT(ISNA(VLOOKUP(E3338,E$1:E3337,1,FALSE()))),"OLD",IF(AND(E3338&lt;&gt;"",E3338&lt;&gt;"!!!"),"NEW","")))</f>
        <v> </v>
      </c>
      <c r="G3338" s="23" t="str">
        <f>IF(OR(E3338="",E3338="!!!"),"",IF(OR(J3338=0,AND(J3338=1,K3338=1),AND(J3338=1,I3338="SBJ"),AND(J3338=1,I3338=0)),"?IN_FOCUS",IF(J3338&lt;=2,"?ACTIVATED",IF(J3338&lt;&gt;"","?FAMILIAR",IF(F3338="NEW",IF(ISNA(VLOOKUP(E3338,#REF!,1,FALSE())),"?TYPE_IDENTIFIABLE","?REFERENTIAL"),"_")))))</f>
        <v> </v>
      </c>
      <c r="H3338" s="24" t="str">
        <f>IF(J3338&lt;&gt;1,"",IF(I3338="SBJ","CB","?"))</f>
        <v> </v>
      </c>
      <c r="I3338" s="25" t="str">
        <f>IF(OR(E3338="",E3338="!!!",F3338="NEW"),"",INDEX(B3337:B$2,-1+SUMPRODUCT(MAX(ROW(E3337:E$2)*(E3338=E3337:E$2)))))</f>
        <v> </v>
      </c>
      <c r="J3338" s="25" t="str">
        <f>IF(OR(E3338="",E3338="!!!",F3338="NEW"),"",COUNTBLANK(OFFSET(A$1,,,SUMPRODUCT(MAX(ROW(E$2:E3338)*(E3338=E$2:E3338)))))-COUNTBLANK(OFFSET(A$1,,,SUMPRODUCT(MAX(ROW(E$1:E3337)*(E2=E$1:E3337))))))</f>
        <v> </v>
      </c>
      <c r="K3338" s="25" t="str">
        <f>IF(OR(E3338="",E3338="!!!",F3338="NEW"),"",INDEX(J$1:J3337,SUMPRODUCT(MAX(ROW(E$1:E3337)*(E3338=E$1:E3337)))))</f>
        <v> </v>
      </c>
      <c r="L3338" s="26"/>
    </row>
    <row r="3339" spans="1:12">
      <c r="A3339" s="20" t="s">
        <v>1615</v>
      </c>
      <c r="E3339" s="21">
        <f>IF(D3339="?OLD","!!!","")</f>
        <v/>
      </c>
      <c r="F3339" s="22" t="str">
        <f>IF(OR(E3339="",E3339="!!!"),"",IF(NOT(ISNA(VLOOKUP(E3339,E$1:E3338,1,FALSE()))),"OLD",IF(AND(E3339&lt;&gt;"",E3339&lt;&gt;"!!!"),"NEW","")))</f>
        <v> </v>
      </c>
      <c r="G3339" s="23" t="str">
        <f>IF(OR(E3339="",E3339="!!!"),"",IF(OR(J3339=0,AND(J3339=1,K3339=1),AND(J3339=1,I3339="SBJ"),AND(J3339=1,I3339=0)),"?IN_FOCUS",IF(J3339&lt;=2,"?ACTIVATED",IF(J3339&lt;&gt;"","?FAMILIAR",IF(F3339="NEW",IF(ISNA(VLOOKUP(E3339,#REF!,1,FALSE())),"?TYPE_IDENTIFIABLE","?REFERENTIAL"),"_")))))</f>
        <v> </v>
      </c>
      <c r="H3339" s="24" t="str">
        <f>IF(J3339&lt;&gt;1,"",IF(I3339="SBJ","CB","?"))</f>
        <v> </v>
      </c>
      <c r="I3339" s="25" t="str">
        <f>IF(OR(E3339="",E3339="!!!",F3339="NEW"),"",INDEX(B3338:B$2,-1+SUMPRODUCT(MAX(ROW(E3338:E$2)*(E3339=E3338:E$2)))))</f>
        <v> </v>
      </c>
      <c r="J3339" s="25" t="str">
        <f>IF(OR(E3339="",E3339="!!!",F3339="NEW"),"",COUNTBLANK(OFFSET(A$1,,,SUMPRODUCT(MAX(ROW(E$2:E3339)*(E3339=E$2:E3339)))))-COUNTBLANK(OFFSET(A$1,,,SUMPRODUCT(MAX(ROW(E$1:E3338)*(E2=E$1:E3338))))))</f>
        <v> </v>
      </c>
      <c r="K3339" s="25" t="str">
        <f>IF(OR(E3339="",E3339="!!!",F3339="NEW"),"",INDEX(J$1:J3338,SUMPRODUCT(MAX(ROW(E$1:E3338)*(E3339=E$1:E3338)))))</f>
        <v> </v>
      </c>
      <c r="L3339" s="26"/>
    </row>
    <row r="3340" spans="1:12">
      <c r="A3340" s="20" t="s">
        <v>1616</v>
      </c>
      <c r="B3340" s="27" t="s">
        <v>597</v>
      </c>
      <c r="C3340" s="27" t="s">
        <v>545</v>
      </c>
      <c r="D3340" s="27" t="s">
        <v>524</v>
      </c>
      <c r="E3340" s="21">
        <f>IF(D3340="?OLD","!!!","")</f>
        <v/>
      </c>
      <c r="F3340" s="22" t="str">
        <f>IF(OR(E3340="",E3340="!!!"),"",IF(NOT(ISNA(VLOOKUP(E3340,E$1:E3339,1,FALSE()))),"OLD",IF(AND(E3340&lt;&gt;"",E3340&lt;&gt;"!!!"),"NEW","")))</f>
        <v> </v>
      </c>
      <c r="G3340" s="23" t="str">
        <f>IF(OR(E3340="",E3340="!!!"),"",IF(OR(J3340=0,AND(J3340=1,K3340=1),AND(J3340=1,I3340="SBJ"),AND(J3340=1,I3340=0)),"?IN_FOCUS",IF(J3340&lt;=2,"?ACTIVATED",IF(J3340&lt;&gt;"","?FAMILIAR",IF(F3340="NEW",IF(ISNA(VLOOKUP(E3340,#REF!,1,FALSE())),"?TYPE_IDENTIFIABLE","?REFERENTIAL"),"_")))))</f>
        <v> </v>
      </c>
      <c r="H3340" s="24" t="str">
        <f>IF(J3340&lt;&gt;1,"",IF(I3340="SBJ","CB","?"))</f>
        <v> </v>
      </c>
      <c r="I3340" s="25" t="str">
        <f>IF(OR(E3340="",E3340="!!!",F3340="NEW"),"",INDEX(B3339:B$2,-1+SUMPRODUCT(MAX(ROW(E3339:E$2)*(E3340=E3339:E$2)))))</f>
        <v> </v>
      </c>
      <c r="J3340" s="25" t="str">
        <f>IF(OR(E3340="",E3340="!!!",F3340="NEW"),"",COUNTBLANK(OFFSET(A$1,,,SUMPRODUCT(MAX(ROW(E$2:E3340)*(E3340=E$2:E3340)))))-COUNTBLANK(OFFSET(A$1,,,SUMPRODUCT(MAX(ROW(E$1:E3339)*(E2=E$1:E3339))))))</f>
        <v> </v>
      </c>
      <c r="K3340" s="25" t="str">
        <f>IF(OR(E3340="",E3340="!!!",F3340="NEW"),"",INDEX(J$1:J3339,SUMPRODUCT(MAX(ROW(E$1:E3339)*(E3340=E$1:E3339)))))</f>
        <v> </v>
      </c>
      <c r="L3340" s="26"/>
    </row>
    <row r="3341" spans="1:12">
      <c r="A3341" s="20" t="s">
        <v>565</v>
      </c>
      <c r="E3341" s="21">
        <f>IF(D3341="?OLD","!!!","")</f>
        <v/>
      </c>
      <c r="F3341" s="22" t="str">
        <f>IF(OR(E3341="",E3341="!!!"),"",IF(NOT(ISNA(VLOOKUP(E3341,E$1:E3340,1,FALSE()))),"OLD",IF(AND(E3341&lt;&gt;"",E3341&lt;&gt;"!!!"),"NEW","")))</f>
        <v> </v>
      </c>
      <c r="G3341" s="23" t="str">
        <f>IF(OR(E3341="",E3341="!!!"),"",IF(OR(J3341=0,AND(J3341=1,K3341=1),AND(J3341=1,I3341="SBJ"),AND(J3341=1,I3341=0)),"?IN_FOCUS",IF(J3341&lt;=2,"?ACTIVATED",IF(J3341&lt;&gt;"","?FAMILIAR",IF(F3341="NEW",IF(ISNA(VLOOKUP(E3341,#REF!,1,FALSE())),"?TYPE_IDENTIFIABLE","?REFERENTIAL"),"_")))))</f>
        <v> </v>
      </c>
      <c r="H3341" s="24" t="str">
        <f>IF(J3341&lt;&gt;1,"",IF(I3341="SBJ","CB","?"))</f>
        <v> </v>
      </c>
      <c r="I3341" s="25" t="str">
        <f>IF(OR(E3341="",E3341="!!!",F3341="NEW"),"",INDEX(B3340:B$2,-1+SUMPRODUCT(MAX(ROW(E3340:E$2)*(E3341=E3340:E$2)))))</f>
        <v> </v>
      </c>
      <c r="J3341" s="25" t="str">
        <f>IF(OR(E3341="",E3341="!!!",F3341="NEW"),"",COUNTBLANK(OFFSET(A$1,,,SUMPRODUCT(MAX(ROW(E$2:E3341)*(E3341=E$2:E3341)))))-COUNTBLANK(OFFSET(A$1,,,SUMPRODUCT(MAX(ROW(E$1:E3340)*(E2=E$1:E3340))))))</f>
        <v> </v>
      </c>
      <c r="K3341" s="25" t="str">
        <f>IF(OR(E3341="",E3341="!!!",F3341="NEW"),"",INDEX(J$1:J3340,SUMPRODUCT(MAX(ROW(E$1:E3340)*(E3341=E$1:E3340)))))</f>
        <v> </v>
      </c>
      <c r="L3341" s="26"/>
    </row>
    <row r="3342" spans="1:12">
      <c r="A3342" s="20" t="s">
        <v>1610</v>
      </c>
      <c r="E3342" s="21">
        <f>IF(D3342="?OLD","!!!","")</f>
        <v/>
      </c>
      <c r="F3342" s="22" t="str">
        <f>IF(OR(E3342="",E3342="!!!"),"",IF(NOT(ISNA(VLOOKUP(E3342,E$1:E3341,1,FALSE()))),"OLD",IF(AND(E3342&lt;&gt;"",E3342&lt;&gt;"!!!"),"NEW","")))</f>
        <v> </v>
      </c>
      <c r="G3342" s="23" t="str">
        <f>IF(OR(E3342="",E3342="!!!"),"",IF(OR(J3342=0,AND(J3342=1,K3342=1),AND(J3342=1,I3342="SBJ"),AND(J3342=1,I3342=0)),"?IN_FOCUS",IF(J3342&lt;=2,"?ACTIVATED",IF(J3342&lt;&gt;"","?FAMILIAR",IF(F3342="NEW",IF(ISNA(VLOOKUP(E3342,#REF!,1,FALSE())),"?TYPE_IDENTIFIABLE","?REFERENTIAL"),"_")))))</f>
        <v> </v>
      </c>
      <c r="H3342" s="24" t="str">
        <f>IF(J3342&lt;&gt;1,"",IF(I3342="SBJ","CB","?"))</f>
        <v> </v>
      </c>
      <c r="I3342" s="25" t="str">
        <f>IF(OR(E3342="",E3342="!!!",F3342="NEW"),"",INDEX(B3341:B$2,-1+SUMPRODUCT(MAX(ROW(E3341:E$2)*(E3342=E3341:E$2)))))</f>
        <v> </v>
      </c>
      <c r="J3342" s="25" t="str">
        <f>IF(OR(E3342="",E3342="!!!",F3342="NEW"),"",COUNTBLANK(OFFSET(A$1,,,SUMPRODUCT(MAX(ROW(E$2:E3342)*(E3342=E$2:E3342)))))-COUNTBLANK(OFFSET(A$1,,,SUMPRODUCT(MAX(ROW(E$1:E3341)*(E2=E$1:E3341))))))</f>
        <v> </v>
      </c>
      <c r="K3342" s="25" t="str">
        <f>IF(OR(E3342="",E3342="!!!",F3342="NEW"),"",INDEX(J$1:J3341,SUMPRODUCT(MAX(ROW(E$1:E3341)*(E3342=E$1:E3341)))))</f>
        <v> </v>
      </c>
      <c r="L3342" s="26"/>
    </row>
    <row r="3343" spans="1:12">
      <c r="A3343" s="20"/>
    </row>
    <row r="3344" spans="1:12">
      <c r="A3344" s="20" t="s">
        <v>1617</v>
      </c>
    </row>
    <row r="3345" spans="1:12">
      <c r="A3345" s="20" t="s">
        <v>1618</v>
      </c>
      <c r="E3345" s="21">
        <f>IF(D3345="?OLD","!!!","")</f>
        <v/>
      </c>
      <c r="F3345" s="22" t="str">
        <f>IF(OR(E3345="",E3345="!!!"),"",IF(NOT(ISNA(VLOOKUP(E3345,E$1:E3344,1,FALSE()))),"OLD",IF(AND(E3345&lt;&gt;"",E3345&lt;&gt;"!!!"),"NEW","")))</f>
        <v> </v>
      </c>
      <c r="G3345" s="23" t="str">
        <f>IF(OR(E3345="",E3345="!!!"),"",IF(OR(J3345=0,AND(J3345=1,K3345=1),AND(J3345=1,I3345="SBJ"),AND(J3345=1,I3345=0)),"?IN_FOCUS",IF(J3345&lt;=2,"?ACTIVATED",IF(J3345&lt;&gt;"","?FAMILIAR",IF(F3345="NEW",IF(ISNA(VLOOKUP(E3345,#REF!,1,FALSE())),"?TYPE_IDENTIFIABLE","?REFERENTIAL"),"_")))))</f>
        <v> </v>
      </c>
      <c r="H3345" s="24" t="str">
        <f>IF(J3345&lt;&gt;1,"",IF(I3345="SBJ","CB","?"))</f>
        <v> </v>
      </c>
      <c r="I3345" s="25" t="str">
        <f>IF(OR(E3345="",E3345="!!!",F3345="NEW"),"",INDEX(B3344:B$2,-1+SUMPRODUCT(MAX(ROW(E3344:E$2)*(E3345=E3344:E$2)))))</f>
        <v> </v>
      </c>
      <c r="J3345" s="25" t="str">
        <f>IF(OR(E3345="",E3345="!!!",F3345="NEW"),"",COUNTBLANK(OFFSET(A$1,,,SUMPRODUCT(MAX(ROW(E$2:E3345)*(E3345=E$2:E3345)))))-COUNTBLANK(OFFSET(A$1,,,SUMPRODUCT(MAX(ROW(E$1:E3344)*(E2=E$1:E3344))))))</f>
        <v> </v>
      </c>
      <c r="K3345" s="25" t="str">
        <f>IF(OR(E3345="",E3345="!!!",F3345="NEW"),"",INDEX(J$1:J3344,SUMPRODUCT(MAX(ROW(E$1:E3344)*(E3345=E$1:E3344)))))</f>
        <v> </v>
      </c>
      <c r="L3345" s="26"/>
    </row>
    <row r="3346" spans="1:12">
      <c r="A3346" s="20" t="s">
        <v>577</v>
      </c>
      <c r="E3346" s="21">
        <f>IF(D3346="?OLD","!!!","")</f>
        <v/>
      </c>
      <c r="F3346" s="22" t="str">
        <f>IF(OR(E3346="",E3346="!!!"),"",IF(NOT(ISNA(VLOOKUP(E3346,E$1:E3345,1,FALSE()))),"OLD",IF(AND(E3346&lt;&gt;"",E3346&lt;&gt;"!!!"),"NEW","")))</f>
        <v> </v>
      </c>
      <c r="G3346" s="23" t="str">
        <f>IF(OR(E3346="",E3346="!!!"),"",IF(OR(J3346=0,AND(J3346=1,K3346=1),AND(J3346=1,I3346="SBJ"),AND(J3346=1,I3346=0)),"?IN_FOCUS",IF(J3346&lt;=2,"?ACTIVATED",IF(J3346&lt;&gt;"","?FAMILIAR",IF(F3346="NEW",IF(ISNA(VLOOKUP(E3346,#REF!,1,FALSE())),"?TYPE_IDENTIFIABLE","?REFERENTIAL"),"_")))))</f>
        <v> </v>
      </c>
      <c r="H3346" s="24" t="str">
        <f>IF(J3346&lt;&gt;1,"",IF(I3346="SBJ","CB","?"))</f>
        <v> </v>
      </c>
      <c r="I3346" s="25" t="str">
        <f>IF(OR(E3346="",E3346="!!!",F3346="NEW"),"",INDEX(B3345:B$2,-1+SUMPRODUCT(MAX(ROW(E3345:E$2)*(E3346=E3345:E$2)))))</f>
        <v> </v>
      </c>
      <c r="J3346" s="25" t="str">
        <f>IF(OR(E3346="",E3346="!!!",F3346="NEW"),"",COUNTBLANK(OFFSET(A$1,,,SUMPRODUCT(MAX(ROW(E$2:E3346)*(E3346=E$2:E3346)))))-COUNTBLANK(OFFSET(A$1,,,SUMPRODUCT(MAX(ROW(E$1:E3345)*(E2=E$1:E3345))))))</f>
        <v> </v>
      </c>
      <c r="K3346" s="25" t="str">
        <f>IF(OR(E3346="",E3346="!!!",F3346="NEW"),"",INDEX(J$1:J3345,SUMPRODUCT(MAX(ROW(E$1:E3345)*(E3346=E$1:E3345)))))</f>
        <v> </v>
      </c>
      <c r="L3346" s="26"/>
    </row>
    <row r="3347" spans="1:12">
      <c r="A3347" s="20" t="s">
        <v>682</v>
      </c>
      <c r="E3347" s="21">
        <f>IF(D3347="?OLD","!!!","")</f>
        <v/>
      </c>
      <c r="F3347" s="22" t="str">
        <f>IF(OR(E3347="",E3347="!!!"),"",IF(NOT(ISNA(VLOOKUP(E3347,E$1:E3346,1,FALSE()))),"OLD",IF(AND(E3347&lt;&gt;"",E3347&lt;&gt;"!!!"),"NEW","")))</f>
        <v> </v>
      </c>
      <c r="G3347" s="23" t="str">
        <f>IF(OR(E3347="",E3347="!!!"),"",IF(OR(J3347=0,AND(J3347=1,K3347=1),AND(J3347=1,I3347="SBJ"),AND(J3347=1,I3347=0)),"?IN_FOCUS",IF(J3347&lt;=2,"?ACTIVATED",IF(J3347&lt;&gt;"","?FAMILIAR",IF(F3347="NEW",IF(ISNA(VLOOKUP(E3347,#REF!,1,FALSE())),"?TYPE_IDENTIFIABLE","?REFERENTIAL"),"_")))))</f>
        <v> </v>
      </c>
      <c r="H3347" s="24" t="str">
        <f>IF(J3347&lt;&gt;1,"",IF(I3347="SBJ","CB","?"))</f>
        <v> </v>
      </c>
      <c r="I3347" s="25" t="str">
        <f>IF(OR(E3347="",E3347="!!!",F3347="NEW"),"",INDEX(B3346:B$2,-1+SUMPRODUCT(MAX(ROW(E3346:E$2)*(E3347=E3346:E$2)))))</f>
        <v> </v>
      </c>
      <c r="J3347" s="25" t="str">
        <f>IF(OR(E3347="",E3347="!!!",F3347="NEW"),"",COUNTBLANK(OFFSET(A$1,,,SUMPRODUCT(MAX(ROW(E$2:E3347)*(E3347=E$2:E3347)))))-COUNTBLANK(OFFSET(A$1,,,SUMPRODUCT(MAX(ROW(E$1:E3346)*(E2=E$1:E3346))))))</f>
        <v> </v>
      </c>
      <c r="K3347" s="25" t="str">
        <f>IF(OR(E3347="",E3347="!!!",F3347="NEW"),"",INDEX(J$1:J3346,SUMPRODUCT(MAX(ROW(E$1:E3346)*(E3347=E$1:E3346)))))</f>
        <v> </v>
      </c>
      <c r="L3347" s="26"/>
    </row>
    <row r="3348" spans="1:12">
      <c r="A3348" s="20" t="s">
        <v>1500</v>
      </c>
      <c r="B3348" s="27" t="s">
        <v>544</v>
      </c>
      <c r="C3348" s="27" t="s">
        <v>540</v>
      </c>
      <c r="D3348" s="27" t="s">
        <v>524</v>
      </c>
      <c r="E3348" s="21">
        <f>IF(D3348="?OLD","!!!","")</f>
        <v/>
      </c>
      <c r="F3348" s="22" t="str">
        <f>IF(OR(E3348="",E3348="!!!"),"",IF(NOT(ISNA(VLOOKUP(E3348,E$1:E3347,1,FALSE()))),"OLD",IF(AND(E3348&lt;&gt;"",E3348&lt;&gt;"!!!"),"NEW","")))</f>
        <v> </v>
      </c>
      <c r="G3348" s="23" t="str">
        <f>IF(OR(E3348="",E3348="!!!"),"",IF(OR(J3348=0,AND(J3348=1,K3348=1),AND(J3348=1,I3348="SBJ"),AND(J3348=1,I3348=0)),"?IN_FOCUS",IF(J3348&lt;=2,"?ACTIVATED",IF(J3348&lt;&gt;"","?FAMILIAR",IF(F3348="NEW",IF(ISNA(VLOOKUP(E3348,#REF!,1,FALSE())),"?TYPE_IDENTIFIABLE","?REFERENTIAL"),"_")))))</f>
        <v> </v>
      </c>
      <c r="H3348" s="24" t="str">
        <f>IF(J3348&lt;&gt;1,"",IF(I3348="SBJ","CB","?"))</f>
        <v> </v>
      </c>
      <c r="I3348" s="25" t="str">
        <f>IF(OR(E3348="",E3348="!!!",F3348="NEW"),"",INDEX(B3347:B$2,-1+SUMPRODUCT(MAX(ROW(E3347:E$2)*(E3348=E3347:E$2)))))</f>
        <v> </v>
      </c>
      <c r="J3348" s="25" t="str">
        <f>IF(OR(E3348="",E3348="!!!",F3348="NEW"),"",COUNTBLANK(OFFSET(A$1,,,SUMPRODUCT(MAX(ROW(E$2:E3348)*(E3348=E$2:E3348)))))-COUNTBLANK(OFFSET(A$1,,,SUMPRODUCT(MAX(ROW(E$1:E3347)*(E2=E$1:E3347))))))</f>
        <v> </v>
      </c>
      <c r="K3348" s="25" t="str">
        <f>IF(OR(E3348="",E3348="!!!",F3348="NEW"),"",INDEX(J$1:J3347,SUMPRODUCT(MAX(ROW(E$1:E3347)*(E3348=E$1:E3347)))))</f>
        <v> </v>
      </c>
      <c r="L3348" s="26"/>
    </row>
    <row r="3349" spans="1:12">
      <c r="A3349" s="20" t="s">
        <v>518</v>
      </c>
      <c r="E3349" s="21">
        <f>IF(D3349="?OLD","!!!","")</f>
        <v/>
      </c>
      <c r="F3349" s="22" t="str">
        <f>IF(OR(E3349="",E3349="!!!"),"",IF(NOT(ISNA(VLOOKUP(E3349,E$1:E3348,1,FALSE()))),"OLD",IF(AND(E3349&lt;&gt;"",E3349&lt;&gt;"!!!"),"NEW","")))</f>
        <v> </v>
      </c>
      <c r="G3349" s="23" t="str">
        <f>IF(OR(E3349="",E3349="!!!"),"",IF(OR(J3349=0,AND(J3349=1,K3349=1),AND(J3349=1,I3349="SBJ"),AND(J3349=1,I3349=0)),"?IN_FOCUS",IF(J3349&lt;=2,"?ACTIVATED",IF(J3349&lt;&gt;"","?FAMILIAR",IF(F3349="NEW",IF(ISNA(VLOOKUP(E3349,#REF!,1,FALSE())),"?TYPE_IDENTIFIABLE","?REFERENTIAL"),"_")))))</f>
        <v> </v>
      </c>
      <c r="H3349" s="24" t="str">
        <f>IF(J3349&lt;&gt;1,"",IF(I3349="SBJ","CB","?"))</f>
        <v> </v>
      </c>
      <c r="I3349" s="25" t="str">
        <f>IF(OR(E3349="",E3349="!!!",F3349="NEW"),"",INDEX(B3348:B$2,-1+SUMPRODUCT(MAX(ROW(E3348:E$2)*(E3349=E3348:E$2)))))</f>
        <v> </v>
      </c>
      <c r="J3349" s="25" t="str">
        <f>IF(OR(E3349="",E3349="!!!",F3349="NEW"),"",COUNTBLANK(OFFSET(A$1,,,SUMPRODUCT(MAX(ROW(E$2:E3349)*(E3349=E$2:E3349)))))-COUNTBLANK(OFFSET(A$1,,,SUMPRODUCT(MAX(ROW(E$1:E3348)*(E2=E$1:E3348))))))</f>
        <v> </v>
      </c>
      <c r="K3349" s="25" t="str">
        <f>IF(OR(E3349="",E3349="!!!",F3349="NEW"),"",INDEX(J$1:J3348,SUMPRODUCT(MAX(ROW(E$1:E3348)*(E3349=E$1:E3348)))))</f>
        <v> </v>
      </c>
      <c r="L3349" s="26"/>
    </row>
    <row r="3350" spans="1:12">
      <c r="A3350" s="20" t="s">
        <v>1619</v>
      </c>
      <c r="B3350" s="27" t="s">
        <v>534</v>
      </c>
      <c r="C3350" s="27" t="s">
        <v>564</v>
      </c>
      <c r="E3350" s="21">
        <f>IF(D3350="?OLD","!!!","")</f>
        <v/>
      </c>
      <c r="F3350" s="22" t="str">
        <f>IF(OR(E3350="",E3350="!!!"),"",IF(NOT(ISNA(VLOOKUP(E3350,E$1:E3349,1,FALSE()))),"OLD",IF(AND(E3350&lt;&gt;"",E3350&lt;&gt;"!!!"),"NEW","")))</f>
        <v> </v>
      </c>
      <c r="G3350" s="23" t="str">
        <f>IF(OR(E3350="",E3350="!!!"),"",IF(OR(J3350=0,AND(J3350=1,K3350=1),AND(J3350=1,I3350="SBJ"),AND(J3350=1,I3350=0)),"?IN_FOCUS",IF(J3350&lt;=2,"?ACTIVATED",IF(J3350&lt;&gt;"","?FAMILIAR",IF(F3350="NEW",IF(ISNA(VLOOKUP(E3350,#REF!,1,FALSE())),"?TYPE_IDENTIFIABLE","?REFERENTIAL"),"_")))))</f>
        <v> </v>
      </c>
      <c r="H3350" s="24" t="str">
        <f>IF(J3350&lt;&gt;1,"",IF(I3350="SBJ","CB","?"))</f>
        <v> </v>
      </c>
      <c r="I3350" s="25" t="str">
        <f>IF(OR(E3350="",E3350="!!!",F3350="NEW"),"",INDEX(B3349:B$2,-1+SUMPRODUCT(MAX(ROW(E3349:E$2)*(E3350=E3349:E$2)))))</f>
        <v> </v>
      </c>
      <c r="J3350" s="25" t="str">
        <f>IF(OR(E3350="",E3350="!!!",F3350="NEW"),"",COUNTBLANK(OFFSET(A$1,,,SUMPRODUCT(MAX(ROW(E$2:E3350)*(E3350=E$2:E3350)))))-COUNTBLANK(OFFSET(A$1,,,SUMPRODUCT(MAX(ROW(E$1:E3349)*(E2=E$1:E3349))))))</f>
        <v> </v>
      </c>
      <c r="K3350" s="25" t="str">
        <f>IF(OR(E3350="",E3350="!!!",F3350="NEW"),"",INDEX(J$1:J3349,SUMPRODUCT(MAX(ROW(E$1:E3349)*(E3350=E$1:E3349)))))</f>
        <v> </v>
      </c>
      <c r="L3350" s="26"/>
    </row>
    <row r="3351" spans="1:12">
      <c r="A3351" s="20" t="s">
        <v>1609</v>
      </c>
      <c r="B3351" s="27" t="s">
        <v>641</v>
      </c>
      <c r="C3351" s="27" t="s">
        <v>548</v>
      </c>
      <c r="D3351" s="27" t="s">
        <v>524</v>
      </c>
      <c r="E3351" s="21">
        <f>IF(D3351="?OLD","!!!","")</f>
        <v/>
      </c>
      <c r="F3351" s="22" t="str">
        <f>IF(OR(E3351="",E3351="!!!"),"",IF(NOT(ISNA(VLOOKUP(E3351,E$1:E3350,1,FALSE()))),"OLD",IF(AND(E3351&lt;&gt;"",E3351&lt;&gt;"!!!"),"NEW","")))</f>
        <v> </v>
      </c>
      <c r="G3351" s="23" t="str">
        <f>IF(OR(E3351="",E3351="!!!"),"",IF(OR(J3351=0,AND(J3351=1,K3351=1),AND(J3351=1,I3351="SBJ"),AND(J3351=1,I3351=0)),"?IN_FOCUS",IF(J3351&lt;=2,"?ACTIVATED",IF(J3351&lt;&gt;"","?FAMILIAR",IF(F3351="NEW",IF(ISNA(VLOOKUP(E3351,#REF!,1,FALSE())),"?TYPE_IDENTIFIABLE","?REFERENTIAL"),"_")))))</f>
        <v> </v>
      </c>
      <c r="H3351" s="24" t="str">
        <f>IF(J3351&lt;&gt;1,"",IF(I3351="SBJ","CB","?"))</f>
        <v> </v>
      </c>
      <c r="I3351" s="25" t="str">
        <f>IF(OR(E3351="",E3351="!!!",F3351="NEW"),"",INDEX(B3350:B$2,-1+SUMPRODUCT(MAX(ROW(E3350:E$2)*(E3351=E3350:E$2)))))</f>
        <v> </v>
      </c>
      <c r="J3351" s="25" t="str">
        <f>IF(OR(E3351="",E3351="!!!",F3351="NEW"),"",COUNTBLANK(OFFSET(A$1,,,SUMPRODUCT(MAX(ROW(E$2:E3351)*(E3351=E$2:E3351)))))-COUNTBLANK(OFFSET(A$1,,,SUMPRODUCT(MAX(ROW(E$1:E3350)*(E2=E$1:E3350))))))</f>
        <v> </v>
      </c>
      <c r="K3351" s="25" t="str">
        <f>IF(OR(E3351="",E3351="!!!",F3351="NEW"),"",INDEX(J$1:J3350,SUMPRODUCT(MAX(ROW(E$1:E3350)*(E3351=E$1:E3350)))))</f>
        <v> </v>
      </c>
      <c r="L3351" s="26"/>
    </row>
    <row r="3352" spans="1:12">
      <c r="A3352" s="20" t="s">
        <v>565</v>
      </c>
      <c r="E3352" s="21">
        <f>IF(D3352="?OLD","!!!","")</f>
        <v/>
      </c>
      <c r="F3352" s="22" t="str">
        <f>IF(OR(E3352="",E3352="!!!"),"",IF(NOT(ISNA(VLOOKUP(E3352,E$1:E3351,1,FALSE()))),"OLD",IF(AND(E3352&lt;&gt;"",E3352&lt;&gt;"!!!"),"NEW","")))</f>
        <v> </v>
      </c>
      <c r="G3352" s="23" t="str">
        <f>IF(OR(E3352="",E3352="!!!"),"",IF(OR(J3352=0,AND(J3352=1,K3352=1),AND(J3352=1,I3352="SBJ"),AND(J3352=1,I3352=0)),"?IN_FOCUS",IF(J3352&lt;=2,"?ACTIVATED",IF(J3352&lt;&gt;"","?FAMILIAR",IF(F3352="NEW",IF(ISNA(VLOOKUP(E3352,#REF!,1,FALSE())),"?TYPE_IDENTIFIABLE","?REFERENTIAL"),"_")))))</f>
        <v> </v>
      </c>
      <c r="H3352" s="24" t="str">
        <f>IF(J3352&lt;&gt;1,"",IF(I3352="SBJ","CB","?"))</f>
        <v> </v>
      </c>
      <c r="I3352" s="25" t="str">
        <f>IF(OR(E3352="",E3352="!!!",F3352="NEW"),"",INDEX(B3351:B$2,-1+SUMPRODUCT(MAX(ROW(E3351:E$2)*(E3352=E3351:E$2)))))</f>
        <v> </v>
      </c>
      <c r="J3352" s="25" t="str">
        <f>IF(OR(E3352="",E3352="!!!",F3352="NEW"),"",COUNTBLANK(OFFSET(A$1,,,SUMPRODUCT(MAX(ROW(E$2:E3352)*(E3352=E$2:E3352)))))-COUNTBLANK(OFFSET(A$1,,,SUMPRODUCT(MAX(ROW(E$1:E3351)*(E2=E$1:E3351))))))</f>
        <v> </v>
      </c>
      <c r="K3352" s="25" t="str">
        <f>IF(OR(E3352="",E3352="!!!",F3352="NEW"),"",INDEX(J$1:J3351,SUMPRODUCT(MAX(ROW(E$1:E3351)*(E3352=E$1:E3351)))))</f>
        <v> </v>
      </c>
      <c r="L3352" s="26"/>
    </row>
    <row r="3353" spans="1:12">
      <c r="A3353" s="20" t="s">
        <v>1620</v>
      </c>
      <c r="E3353" s="21">
        <f>IF(D3353="?OLD","!!!","")</f>
        <v/>
      </c>
      <c r="F3353" s="22" t="str">
        <f>IF(OR(E3353="",E3353="!!!"),"",IF(NOT(ISNA(VLOOKUP(E3353,E$1:E3352,1,FALSE()))),"OLD",IF(AND(E3353&lt;&gt;"",E3353&lt;&gt;"!!!"),"NEW","")))</f>
        <v> </v>
      </c>
      <c r="G3353" s="23" t="str">
        <f>IF(OR(E3353="",E3353="!!!"),"",IF(OR(J3353=0,AND(J3353=1,K3353=1),AND(J3353=1,I3353="SBJ"),AND(J3353=1,I3353=0)),"?IN_FOCUS",IF(J3353&lt;=2,"?ACTIVATED",IF(J3353&lt;&gt;"","?FAMILIAR",IF(F3353="NEW",IF(ISNA(VLOOKUP(E3353,#REF!,1,FALSE())),"?TYPE_IDENTIFIABLE","?REFERENTIAL"),"_")))))</f>
        <v> </v>
      </c>
      <c r="H3353" s="24" t="str">
        <f>IF(J3353&lt;&gt;1,"",IF(I3353="SBJ","CB","?"))</f>
        <v> </v>
      </c>
      <c r="I3353" s="25" t="str">
        <f>IF(OR(E3353="",E3353="!!!",F3353="NEW"),"",INDEX(B3352:B$2,-1+SUMPRODUCT(MAX(ROW(E3352:E$2)*(E3353=E3352:E$2)))))</f>
        <v> </v>
      </c>
      <c r="J3353" s="25" t="str">
        <f>IF(OR(E3353="",E3353="!!!",F3353="NEW"),"",COUNTBLANK(OFFSET(A$1,,,SUMPRODUCT(MAX(ROW(E$2:E3353)*(E3353=E$2:E3353)))))-COUNTBLANK(OFFSET(A$1,,,SUMPRODUCT(MAX(ROW(E$1:E3352)*(E2=E$1:E3352))))))</f>
        <v> </v>
      </c>
      <c r="K3353" s="25" t="str">
        <f>IF(OR(E3353="",E3353="!!!",F3353="NEW"),"",INDEX(J$1:J3352,SUMPRODUCT(MAX(ROW(E$1:E3352)*(E3353=E$1:E3352)))))</f>
        <v> </v>
      </c>
      <c r="L3353" s="26"/>
    </row>
    <row r="3354" spans="1:12">
      <c r="A3354" s="20" t="s">
        <v>538</v>
      </c>
      <c r="E3354" s="21">
        <f>IF(D3354="?OLD","!!!","")</f>
        <v/>
      </c>
      <c r="F3354" s="22" t="str">
        <f>IF(OR(E3354="",E3354="!!!"),"",IF(NOT(ISNA(VLOOKUP(E3354,E$1:E3353,1,FALSE()))),"OLD",IF(AND(E3354&lt;&gt;"",E3354&lt;&gt;"!!!"),"NEW","")))</f>
        <v> </v>
      </c>
      <c r="G3354" s="23" t="str">
        <f>IF(OR(E3354="",E3354="!!!"),"",IF(OR(J3354=0,AND(J3354=1,K3354=1),AND(J3354=1,I3354="SBJ"),AND(J3354=1,I3354=0)),"?IN_FOCUS",IF(J3354&lt;=2,"?ACTIVATED",IF(J3354&lt;&gt;"","?FAMILIAR",IF(F3354="NEW",IF(ISNA(VLOOKUP(E3354,#REF!,1,FALSE())),"?TYPE_IDENTIFIABLE","?REFERENTIAL"),"_")))))</f>
        <v> </v>
      </c>
      <c r="H3354" s="24" t="str">
        <f>IF(J3354&lt;&gt;1,"",IF(I3354="SBJ","CB","?"))</f>
        <v> </v>
      </c>
      <c r="I3354" s="25" t="str">
        <f>IF(OR(E3354="",E3354="!!!",F3354="NEW"),"",INDEX(B3353:B$2,-1+SUMPRODUCT(MAX(ROW(E3353:E$2)*(E3354=E3353:E$2)))))</f>
        <v> </v>
      </c>
      <c r="J3354" s="25" t="str">
        <f>IF(OR(E3354="",E3354="!!!",F3354="NEW"),"",COUNTBLANK(OFFSET(A$1,,,SUMPRODUCT(MAX(ROW(E$2:E3354)*(E3354=E$2:E3354)))))-COUNTBLANK(OFFSET(A$1,,,SUMPRODUCT(MAX(ROW(E$1:E3353)*(E2=E$1:E3353))))))</f>
        <v> </v>
      </c>
      <c r="K3354" s="25" t="str">
        <f>IF(OR(E3354="",E3354="!!!",F3354="NEW"),"",INDEX(J$1:J3353,SUMPRODUCT(MAX(ROW(E$1:E3353)*(E3354=E$1:E3353)))))</f>
        <v> </v>
      </c>
      <c r="L3354" s="26"/>
    </row>
    <row r="3355" spans="1:12">
      <c r="A3355" s="20" t="s">
        <v>1621</v>
      </c>
      <c r="B3355" s="27" t="s">
        <v>544</v>
      </c>
      <c r="C3355" s="27" t="s">
        <v>540</v>
      </c>
      <c r="D3355" s="27" t="s">
        <v>524</v>
      </c>
      <c r="E3355" s="21">
        <f>IF(D3355="?OLD","!!!","")</f>
        <v/>
      </c>
      <c r="F3355" s="22" t="str">
        <f>IF(OR(E3355="",E3355="!!!"),"",IF(NOT(ISNA(VLOOKUP(E3355,E$1:E3354,1,FALSE()))),"OLD",IF(AND(E3355&lt;&gt;"",E3355&lt;&gt;"!!!"),"NEW","")))</f>
        <v> </v>
      </c>
      <c r="G3355" s="23" t="str">
        <f>IF(OR(E3355="",E3355="!!!"),"",IF(OR(J3355=0,AND(J3355=1,K3355=1),AND(J3355=1,I3355="SBJ"),AND(J3355=1,I3355=0)),"?IN_FOCUS",IF(J3355&lt;=2,"?ACTIVATED",IF(J3355&lt;&gt;"","?FAMILIAR",IF(F3355="NEW",IF(ISNA(VLOOKUP(E3355,#REF!,1,FALSE())),"?TYPE_IDENTIFIABLE","?REFERENTIAL"),"_")))))</f>
        <v> </v>
      </c>
      <c r="H3355" s="24" t="str">
        <f>IF(J3355&lt;&gt;1,"",IF(I3355="SBJ","CB","?"))</f>
        <v> </v>
      </c>
      <c r="I3355" s="25" t="str">
        <f>IF(OR(E3355="",E3355="!!!",F3355="NEW"),"",INDEX(B3354:B$2,-1+SUMPRODUCT(MAX(ROW(E3354:E$2)*(E3355=E3354:E$2)))))</f>
        <v> </v>
      </c>
      <c r="J3355" s="25" t="str">
        <f>IF(OR(E3355="",E3355="!!!",F3355="NEW"),"",COUNTBLANK(OFFSET(A$1,,,SUMPRODUCT(MAX(ROW(E$2:E3355)*(E3355=E$2:E3355)))))-COUNTBLANK(OFFSET(A$1,,,SUMPRODUCT(MAX(ROW(E$1:E3354)*(E2=E$1:E3354))))))</f>
        <v> </v>
      </c>
      <c r="K3355" s="25" t="str">
        <f>IF(OR(E3355="",E3355="!!!",F3355="NEW"),"",INDEX(J$1:J3354,SUMPRODUCT(MAX(ROW(E$1:E3354)*(E3355=E$1:E3354)))))</f>
        <v> </v>
      </c>
      <c r="L3355" s="26"/>
    </row>
    <row r="3356" spans="1:12">
      <c r="A3356" s="20" t="s">
        <v>518</v>
      </c>
      <c r="E3356" s="21">
        <f>IF(D3356="?OLD","!!!","")</f>
        <v/>
      </c>
      <c r="F3356" s="22" t="str">
        <f>IF(OR(E3356="",E3356="!!!"),"",IF(NOT(ISNA(VLOOKUP(E3356,E$1:E3355,1,FALSE()))),"OLD",IF(AND(E3356&lt;&gt;"",E3356&lt;&gt;"!!!"),"NEW","")))</f>
        <v> </v>
      </c>
      <c r="G3356" s="23" t="str">
        <f>IF(OR(E3356="",E3356="!!!"),"",IF(OR(J3356=0,AND(J3356=1,K3356=1),AND(J3356=1,I3356="SBJ"),AND(J3356=1,I3356=0)),"?IN_FOCUS",IF(J3356&lt;=2,"?ACTIVATED",IF(J3356&lt;&gt;"","?FAMILIAR",IF(F3356="NEW",IF(ISNA(VLOOKUP(E3356,#REF!,1,FALSE())),"?TYPE_IDENTIFIABLE","?REFERENTIAL"),"_")))))</f>
        <v> </v>
      </c>
      <c r="H3356" s="24" t="str">
        <f>IF(J3356&lt;&gt;1,"",IF(I3356="SBJ","CB","?"))</f>
        <v> </v>
      </c>
      <c r="I3356" s="25" t="str">
        <f>IF(OR(E3356="",E3356="!!!",F3356="NEW"),"",INDEX(B3355:B$2,-1+SUMPRODUCT(MAX(ROW(E3355:E$2)*(E3356=E3355:E$2)))))</f>
        <v> </v>
      </c>
      <c r="J3356" s="25" t="str">
        <f>IF(OR(E3356="",E3356="!!!",F3356="NEW"),"",COUNTBLANK(OFFSET(A$1,,,SUMPRODUCT(MAX(ROW(E$2:E3356)*(E3356=E$2:E3356)))))-COUNTBLANK(OFFSET(A$1,,,SUMPRODUCT(MAX(ROW(E$1:E3355)*(E2=E$1:E3355))))))</f>
        <v> </v>
      </c>
      <c r="K3356" s="25" t="str">
        <f>IF(OR(E3356="",E3356="!!!",F3356="NEW"),"",INDEX(J$1:J3355,SUMPRODUCT(MAX(ROW(E$1:E3355)*(E3356=E$1:E3355)))))</f>
        <v> </v>
      </c>
      <c r="L3356" s="26"/>
    </row>
    <row r="3357" spans="1:12">
      <c r="A3357" s="20" t="s">
        <v>1622</v>
      </c>
      <c r="E3357" s="21">
        <f>IF(D3357="?OLD","!!!","")</f>
        <v/>
      </c>
      <c r="F3357" s="22" t="str">
        <f>IF(OR(E3357="",E3357="!!!"),"",IF(NOT(ISNA(VLOOKUP(E3357,E$1:E3356,1,FALSE()))),"OLD",IF(AND(E3357&lt;&gt;"",E3357&lt;&gt;"!!!"),"NEW","")))</f>
        <v> </v>
      </c>
      <c r="G3357" s="23" t="str">
        <f>IF(OR(E3357="",E3357="!!!"),"",IF(OR(J3357=0,AND(J3357=1,K3357=1),AND(J3357=1,I3357="SBJ"),AND(J3357=1,I3357=0)),"?IN_FOCUS",IF(J3357&lt;=2,"?ACTIVATED",IF(J3357&lt;&gt;"","?FAMILIAR",IF(F3357="NEW",IF(ISNA(VLOOKUP(E3357,#REF!,1,FALSE())),"?TYPE_IDENTIFIABLE","?REFERENTIAL"),"_")))))</f>
        <v> </v>
      </c>
      <c r="H3357" s="24" t="str">
        <f>IF(J3357&lt;&gt;1,"",IF(I3357="SBJ","CB","?"))</f>
        <v> </v>
      </c>
      <c r="I3357" s="25" t="str">
        <f>IF(OR(E3357="",E3357="!!!",F3357="NEW"),"",INDEX(B3356:B$2,-1+SUMPRODUCT(MAX(ROW(E3356:E$2)*(E3357=E3356:E$2)))))</f>
        <v> </v>
      </c>
      <c r="J3357" s="25" t="str">
        <f>IF(OR(E3357="",E3357="!!!",F3357="NEW"),"",COUNTBLANK(OFFSET(A$1,,,SUMPRODUCT(MAX(ROW(E$2:E3357)*(E3357=E$2:E3357)))))-COUNTBLANK(OFFSET(A$1,,,SUMPRODUCT(MAX(ROW(E$1:E3356)*(E2=E$1:E3356))))))</f>
        <v> </v>
      </c>
      <c r="K3357" s="25" t="str">
        <f>IF(OR(E3357="",E3357="!!!",F3357="NEW"),"",INDEX(J$1:J3356,SUMPRODUCT(MAX(ROW(E$1:E3356)*(E3357=E$1:E3356)))))</f>
        <v> </v>
      </c>
      <c r="L3357" s="26"/>
    </row>
    <row r="3358" spans="1:12">
      <c r="A3358" s="20" t="s">
        <v>533</v>
      </c>
      <c r="B3358" s="27" t="s">
        <v>534</v>
      </c>
      <c r="C3358" s="27" t="s">
        <v>908</v>
      </c>
      <c r="E3358" s="21">
        <f>IF(D3358="?OLD","!!!","")</f>
        <v/>
      </c>
      <c r="F3358" s="22" t="str">
        <f>IF(OR(E3358="",E3358="!!!"),"",IF(NOT(ISNA(VLOOKUP(E3358,E$1:E3357,1,FALSE()))),"OLD",IF(AND(E3358&lt;&gt;"",E3358&lt;&gt;"!!!"),"NEW","")))</f>
        <v> </v>
      </c>
      <c r="G3358" s="23" t="str">
        <f>IF(OR(E3358="",E3358="!!!"),"",IF(OR(J3358=0,AND(J3358=1,K3358=1),AND(J3358=1,I3358="SBJ"),AND(J3358=1,I3358=0)),"?IN_FOCUS",IF(J3358&lt;=2,"?ACTIVATED",IF(J3358&lt;&gt;"","?FAMILIAR",IF(F3358="NEW",IF(ISNA(VLOOKUP(E3358,#REF!,1,FALSE())),"?TYPE_IDENTIFIABLE","?REFERENTIAL"),"_")))))</f>
        <v> </v>
      </c>
      <c r="H3358" s="24" t="str">
        <f>IF(J3358&lt;&gt;1,"",IF(I3358="SBJ","CB","?"))</f>
        <v> </v>
      </c>
      <c r="I3358" s="25" t="str">
        <f>IF(OR(E3358="",E3358="!!!",F3358="NEW"),"",INDEX(B3357:B$2,-1+SUMPRODUCT(MAX(ROW(E3357:E$2)*(E3358=E3357:E$2)))))</f>
        <v> </v>
      </c>
      <c r="J3358" s="25" t="str">
        <f>IF(OR(E3358="",E3358="!!!",F3358="NEW"),"",COUNTBLANK(OFFSET(A$1,,,SUMPRODUCT(MAX(ROW(E$2:E3358)*(E3358=E$2:E3358)))))-COUNTBLANK(OFFSET(A$1,,,SUMPRODUCT(MAX(ROW(E$1:E3357)*(E2=E$1:E3357))))))</f>
        <v> </v>
      </c>
      <c r="K3358" s="25" t="str">
        <f>IF(OR(E3358="",E3358="!!!",F3358="NEW"),"",INDEX(J$1:J3357,SUMPRODUCT(MAX(ROW(E$1:E3357)*(E3358=E$1:E3357)))))</f>
        <v> </v>
      </c>
      <c r="L3358" s="26"/>
    </row>
    <row r="3359" spans="1:12">
      <c r="A3359" s="20" t="s">
        <v>565</v>
      </c>
      <c r="E3359" s="21">
        <f>IF(D3359="?OLD","!!!","")</f>
        <v/>
      </c>
      <c r="F3359" s="22" t="str">
        <f>IF(OR(E3359="",E3359="!!!"),"",IF(NOT(ISNA(VLOOKUP(E3359,E$1:E3358,1,FALSE()))),"OLD",IF(AND(E3359&lt;&gt;"",E3359&lt;&gt;"!!!"),"NEW","")))</f>
        <v> </v>
      </c>
      <c r="G3359" s="23" t="str">
        <f>IF(OR(E3359="",E3359="!!!"),"",IF(OR(J3359=0,AND(J3359=1,K3359=1),AND(J3359=1,I3359="SBJ"),AND(J3359=1,I3359=0)),"?IN_FOCUS",IF(J3359&lt;=2,"?ACTIVATED",IF(J3359&lt;&gt;"","?FAMILIAR",IF(F3359="NEW",IF(ISNA(VLOOKUP(E3359,#REF!,1,FALSE())),"?TYPE_IDENTIFIABLE","?REFERENTIAL"),"_")))))</f>
        <v> </v>
      </c>
      <c r="H3359" s="24" t="str">
        <f>IF(J3359&lt;&gt;1,"",IF(I3359="SBJ","CB","?"))</f>
        <v> </v>
      </c>
      <c r="I3359" s="25" t="str">
        <f>IF(OR(E3359="",E3359="!!!",F3359="NEW"),"",INDEX(B3358:B$2,-1+SUMPRODUCT(MAX(ROW(E3358:E$2)*(E3359=E3358:E$2)))))</f>
        <v> </v>
      </c>
      <c r="J3359" s="25" t="str">
        <f>IF(OR(E3359="",E3359="!!!",F3359="NEW"),"",COUNTBLANK(OFFSET(A$1,,,SUMPRODUCT(MAX(ROW(E$2:E3359)*(E3359=E$2:E3359)))))-COUNTBLANK(OFFSET(A$1,,,SUMPRODUCT(MAX(ROW(E$1:E3358)*(E2=E$1:E3358))))))</f>
        <v> </v>
      </c>
      <c r="K3359" s="25" t="str">
        <f>IF(OR(E3359="",E3359="!!!",F3359="NEW"),"",INDEX(J$1:J3358,SUMPRODUCT(MAX(ROW(E$1:E3358)*(E3359=E$1:E3358)))))</f>
        <v> </v>
      </c>
      <c r="L3359" s="26"/>
    </row>
    <row r="3360" spans="1:12">
      <c r="A3360" s="20" t="s">
        <v>1623</v>
      </c>
      <c r="E3360" s="21">
        <f>IF(D3360="?OLD","!!!","")</f>
        <v/>
      </c>
      <c r="F3360" s="22" t="str">
        <f>IF(OR(E3360="",E3360="!!!"),"",IF(NOT(ISNA(VLOOKUP(E3360,E$1:E3359,1,FALSE()))),"OLD",IF(AND(E3360&lt;&gt;"",E3360&lt;&gt;"!!!"),"NEW","")))</f>
        <v> </v>
      </c>
      <c r="G3360" s="23" t="str">
        <f>IF(OR(E3360="",E3360="!!!"),"",IF(OR(J3360=0,AND(J3360=1,K3360=1),AND(J3360=1,I3360="SBJ"),AND(J3360=1,I3360=0)),"?IN_FOCUS",IF(J3360&lt;=2,"?ACTIVATED",IF(J3360&lt;&gt;"","?FAMILIAR",IF(F3360="NEW",IF(ISNA(VLOOKUP(E3360,#REF!,1,FALSE())),"?TYPE_IDENTIFIABLE","?REFERENTIAL"),"_")))))</f>
        <v> </v>
      </c>
      <c r="H3360" s="24" t="str">
        <f>IF(J3360&lt;&gt;1,"",IF(I3360="SBJ","CB","?"))</f>
        <v> </v>
      </c>
      <c r="I3360" s="25" t="str">
        <f>IF(OR(E3360="",E3360="!!!",F3360="NEW"),"",INDEX(B3359:B$2,-1+SUMPRODUCT(MAX(ROW(E3359:E$2)*(E3360=E3359:E$2)))))</f>
        <v> </v>
      </c>
      <c r="J3360" s="25" t="str">
        <f>IF(OR(E3360="",E3360="!!!",F3360="NEW"),"",COUNTBLANK(OFFSET(A$1,,,SUMPRODUCT(MAX(ROW(E$2:E3360)*(E3360=E$2:E3360)))))-COUNTBLANK(OFFSET(A$1,,,SUMPRODUCT(MAX(ROW(E$1:E3359)*(E2=E$1:E3359))))))</f>
        <v> </v>
      </c>
      <c r="K3360" s="25" t="str">
        <f>IF(OR(E3360="",E3360="!!!",F3360="NEW"),"",INDEX(J$1:J3359,SUMPRODUCT(MAX(ROW(E$1:E3359)*(E3360=E$1:E3359)))))</f>
        <v> </v>
      </c>
      <c r="L3360" s="26"/>
    </row>
    <row r="3361" spans="1:12">
      <c r="A3361" s="20" t="s">
        <v>1237</v>
      </c>
      <c r="B3361" s="27" t="s">
        <v>522</v>
      </c>
      <c r="C3361" s="27" t="s">
        <v>523</v>
      </c>
      <c r="D3361" s="27" t="s">
        <v>524</v>
      </c>
      <c r="E3361" s="21">
        <f>IF(D3361="?OLD","!!!","")</f>
        <v/>
      </c>
      <c r="F3361" s="22" t="str">
        <f>IF(OR(E3361="",E3361="!!!"),"",IF(NOT(ISNA(VLOOKUP(E3361,E$1:E3360,1,FALSE()))),"OLD",IF(AND(E3361&lt;&gt;"",E3361&lt;&gt;"!!!"),"NEW","")))</f>
        <v> </v>
      </c>
      <c r="G3361" s="23" t="str">
        <f>IF(OR(E3361="",E3361="!!!"),"",IF(OR(J3361=0,AND(J3361=1,K3361=1),AND(J3361=1,I3361="SBJ"),AND(J3361=1,I3361=0)),"?IN_FOCUS",IF(J3361&lt;=2,"?ACTIVATED",IF(J3361&lt;&gt;"","?FAMILIAR",IF(F3361="NEW",IF(ISNA(VLOOKUP(E3361,#REF!,1,FALSE())),"?TYPE_IDENTIFIABLE","?REFERENTIAL"),"_")))))</f>
        <v> </v>
      </c>
      <c r="H3361" s="24" t="str">
        <f>IF(J3361&lt;&gt;1,"",IF(I3361="SBJ","CB","?"))</f>
        <v> </v>
      </c>
      <c r="I3361" s="25" t="str">
        <f>IF(OR(E3361="",E3361="!!!",F3361="NEW"),"",INDEX(B3360:B$2,-1+SUMPRODUCT(MAX(ROW(E3360:E$2)*(E3361=E3360:E$2)))))</f>
        <v> </v>
      </c>
      <c r="J3361" s="25" t="str">
        <f>IF(OR(E3361="",E3361="!!!",F3361="NEW"),"",COUNTBLANK(OFFSET(A$1,,,SUMPRODUCT(MAX(ROW(E$2:E3361)*(E3361=E$2:E3361)))))-COUNTBLANK(OFFSET(A$1,,,SUMPRODUCT(MAX(ROW(E$1:E3360)*(E2=E$1:E3360))))))</f>
        <v> </v>
      </c>
      <c r="K3361" s="25" t="str">
        <f>IF(OR(E3361="",E3361="!!!",F3361="NEW"),"",INDEX(J$1:J3360,SUMPRODUCT(MAX(ROW(E$1:E3360)*(E3361=E$1:E3360)))))</f>
        <v> </v>
      </c>
      <c r="L3361" s="26"/>
    </row>
    <row r="3362" spans="1:12">
      <c r="A3362" s="20" t="s">
        <v>719</v>
      </c>
      <c r="E3362" s="21">
        <f>IF(D3362="?OLD","!!!","")</f>
        <v/>
      </c>
      <c r="F3362" s="22" t="str">
        <f>IF(OR(E3362="",E3362="!!!"),"",IF(NOT(ISNA(VLOOKUP(E3362,E$1:E3361,1,FALSE()))),"OLD",IF(AND(E3362&lt;&gt;"",E3362&lt;&gt;"!!!"),"NEW","")))</f>
        <v> </v>
      </c>
      <c r="G3362" s="23" t="str">
        <f>IF(OR(E3362="",E3362="!!!"),"",IF(OR(J3362=0,AND(J3362=1,K3362=1),AND(J3362=1,I3362="SBJ"),AND(J3362=1,I3362=0)),"?IN_FOCUS",IF(J3362&lt;=2,"?ACTIVATED",IF(J3362&lt;&gt;"","?FAMILIAR",IF(F3362="NEW",IF(ISNA(VLOOKUP(E3362,#REF!,1,FALSE())),"?TYPE_IDENTIFIABLE","?REFERENTIAL"),"_")))))</f>
        <v> </v>
      </c>
      <c r="H3362" s="24" t="str">
        <f>IF(J3362&lt;&gt;1,"",IF(I3362="SBJ","CB","?"))</f>
        <v> </v>
      </c>
      <c r="I3362" s="25" t="str">
        <f>IF(OR(E3362="",E3362="!!!",F3362="NEW"),"",INDEX(B3361:B$2,-1+SUMPRODUCT(MAX(ROW(E3361:E$2)*(E3362=E3361:E$2)))))</f>
        <v> </v>
      </c>
      <c r="J3362" s="25" t="str">
        <f>IF(OR(E3362="",E3362="!!!",F3362="NEW"),"",COUNTBLANK(OFFSET(A$1,,,SUMPRODUCT(MAX(ROW(E$2:E3362)*(E3362=E$2:E3362)))))-COUNTBLANK(OFFSET(A$1,,,SUMPRODUCT(MAX(ROW(E$1:E3361)*(E2=E$1:E3361))))))</f>
        <v> </v>
      </c>
      <c r="K3362" s="25" t="str">
        <f>IF(OR(E3362="",E3362="!!!",F3362="NEW"),"",INDEX(J$1:J3361,SUMPRODUCT(MAX(ROW(E$1:E3361)*(E3362=E$1:E3361)))))</f>
        <v> </v>
      </c>
      <c r="L3362" s="26"/>
    </row>
    <row r="3363" spans="1:12">
      <c r="A3363" s="20" t="s">
        <v>1612</v>
      </c>
      <c r="B3363" s="27" t="s">
        <v>597</v>
      </c>
      <c r="C3363" s="27" t="s">
        <v>548</v>
      </c>
      <c r="D3363" s="27" t="s">
        <v>524</v>
      </c>
      <c r="E3363" s="21">
        <f>IF(D3363="?OLD","!!!","")</f>
        <v/>
      </c>
      <c r="F3363" s="22" t="str">
        <f>IF(OR(E3363="",E3363="!!!"),"",IF(NOT(ISNA(VLOOKUP(E3363,E$1:E3362,1,FALSE()))),"OLD",IF(AND(E3363&lt;&gt;"",E3363&lt;&gt;"!!!"),"NEW","")))</f>
        <v> </v>
      </c>
      <c r="G3363" s="23" t="str">
        <f>IF(OR(E3363="",E3363="!!!"),"",IF(OR(J3363=0,AND(J3363=1,K3363=1),AND(J3363=1,I3363="SBJ"),AND(J3363=1,I3363=0)),"?IN_FOCUS",IF(J3363&lt;=2,"?ACTIVATED",IF(J3363&lt;&gt;"","?FAMILIAR",IF(F3363="NEW",IF(ISNA(VLOOKUP(E3363,#REF!,1,FALSE())),"?TYPE_IDENTIFIABLE","?REFERENTIAL"),"_")))))</f>
        <v> </v>
      </c>
      <c r="H3363" s="24" t="str">
        <f>IF(J3363&lt;&gt;1,"",IF(I3363="SBJ","CB","?"))</f>
        <v> </v>
      </c>
      <c r="I3363" s="25" t="str">
        <f>IF(OR(E3363="",E3363="!!!",F3363="NEW"),"",INDEX(B3362:B$2,-1+SUMPRODUCT(MAX(ROW(E3362:E$2)*(E3363=E3362:E$2)))))</f>
        <v> </v>
      </c>
      <c r="J3363" s="25" t="str">
        <f>IF(OR(E3363="",E3363="!!!",F3363="NEW"),"",COUNTBLANK(OFFSET(A$1,,,SUMPRODUCT(MAX(ROW(E$2:E3363)*(E3363=E$2:E3363)))))-COUNTBLANK(OFFSET(A$1,,,SUMPRODUCT(MAX(ROW(E$1:E3362)*(E2=E$1:E3362))))))</f>
        <v> </v>
      </c>
      <c r="K3363" s="25" t="str">
        <f>IF(OR(E3363="",E3363="!!!",F3363="NEW"),"",INDEX(J$1:J3362,SUMPRODUCT(MAX(ROW(E$1:E3362)*(E3363=E$1:E3362)))))</f>
        <v> </v>
      </c>
      <c r="L3363" s="26"/>
    </row>
    <row r="3364" spans="1:12">
      <c r="A3364" s="20" t="s">
        <v>565</v>
      </c>
      <c r="E3364" s="21">
        <f>IF(D3364="?OLD","!!!","")</f>
        <v/>
      </c>
      <c r="F3364" s="22" t="str">
        <f>IF(OR(E3364="",E3364="!!!"),"",IF(NOT(ISNA(VLOOKUP(E3364,E$1:E3363,1,FALSE()))),"OLD",IF(AND(E3364&lt;&gt;"",E3364&lt;&gt;"!!!"),"NEW","")))</f>
        <v> </v>
      </c>
      <c r="G3364" s="23" t="str">
        <f>IF(OR(E3364="",E3364="!!!"),"",IF(OR(J3364=0,AND(J3364=1,K3364=1),AND(J3364=1,I3364="SBJ"),AND(J3364=1,I3364=0)),"?IN_FOCUS",IF(J3364&lt;=2,"?ACTIVATED",IF(J3364&lt;&gt;"","?FAMILIAR",IF(F3364="NEW",IF(ISNA(VLOOKUP(E3364,#REF!,1,FALSE())),"?TYPE_IDENTIFIABLE","?REFERENTIAL"),"_")))))</f>
        <v> </v>
      </c>
      <c r="H3364" s="24" t="str">
        <f>IF(J3364&lt;&gt;1,"",IF(I3364="SBJ","CB","?"))</f>
        <v> </v>
      </c>
      <c r="I3364" s="25" t="str">
        <f>IF(OR(E3364="",E3364="!!!",F3364="NEW"),"",INDEX(B3363:B$2,-1+SUMPRODUCT(MAX(ROW(E3363:E$2)*(E3364=E3363:E$2)))))</f>
        <v> </v>
      </c>
      <c r="J3364" s="25" t="str">
        <f>IF(OR(E3364="",E3364="!!!",F3364="NEW"),"",COUNTBLANK(OFFSET(A$1,,,SUMPRODUCT(MAX(ROW(E$2:E3364)*(E3364=E$2:E3364)))))-COUNTBLANK(OFFSET(A$1,,,SUMPRODUCT(MAX(ROW(E$1:E3363)*(E2=E$1:E3363))))))</f>
        <v> </v>
      </c>
      <c r="K3364" s="25" t="str">
        <f>IF(OR(E3364="",E3364="!!!",F3364="NEW"),"",INDEX(J$1:J3363,SUMPRODUCT(MAX(ROW(E$1:E3363)*(E3364=E$1:E3363)))))</f>
        <v> </v>
      </c>
      <c r="L3364" s="26"/>
    </row>
    <row r="3365" spans="1:12">
      <c r="A3365" s="20" t="s">
        <v>1624</v>
      </c>
      <c r="E3365" s="21">
        <f>IF(D3365="?OLD","!!!","")</f>
        <v/>
      </c>
      <c r="F3365" s="22" t="str">
        <f>IF(OR(E3365="",E3365="!!!"),"",IF(NOT(ISNA(VLOOKUP(E3365,E$1:E3364,1,FALSE()))),"OLD",IF(AND(E3365&lt;&gt;"",E3365&lt;&gt;"!!!"),"NEW","")))</f>
        <v> </v>
      </c>
      <c r="G3365" s="23" t="str">
        <f>IF(OR(E3365="",E3365="!!!"),"",IF(OR(J3365=0,AND(J3365=1,K3365=1),AND(J3365=1,I3365="SBJ"),AND(J3365=1,I3365=0)),"?IN_FOCUS",IF(J3365&lt;=2,"?ACTIVATED",IF(J3365&lt;&gt;"","?FAMILIAR",IF(F3365="NEW",IF(ISNA(VLOOKUP(E3365,#REF!,1,FALSE())),"?TYPE_IDENTIFIABLE","?REFERENTIAL"),"_")))))</f>
        <v> </v>
      </c>
      <c r="H3365" s="24" t="str">
        <f>IF(J3365&lt;&gt;1,"",IF(I3365="SBJ","CB","?"))</f>
        <v> </v>
      </c>
      <c r="I3365" s="25" t="str">
        <f>IF(OR(E3365="",E3365="!!!",F3365="NEW"),"",INDEX(B3364:B$2,-1+SUMPRODUCT(MAX(ROW(E3364:E$2)*(E3365=E3364:E$2)))))</f>
        <v> </v>
      </c>
      <c r="J3365" s="25" t="str">
        <f>IF(OR(E3365="",E3365="!!!",F3365="NEW"),"",COUNTBLANK(OFFSET(A$1,,,SUMPRODUCT(MAX(ROW(E$2:E3365)*(E3365=E$2:E3365)))))-COUNTBLANK(OFFSET(A$1,,,SUMPRODUCT(MAX(ROW(E$1:E3364)*(E2=E$1:E3364))))))</f>
        <v> </v>
      </c>
      <c r="K3365" s="25" t="str">
        <f>IF(OR(E3365="",E3365="!!!",F3365="NEW"),"",INDEX(J$1:J3364,SUMPRODUCT(MAX(ROW(E$1:E3364)*(E3365=E$1:E3364)))))</f>
        <v> </v>
      </c>
      <c r="L3365" s="26"/>
    </row>
    <row r="3366" spans="1:12">
      <c r="A3366" s="20" t="s">
        <v>828</v>
      </c>
      <c r="B3366" s="27" t="s">
        <v>680</v>
      </c>
      <c r="C3366" s="27" t="s">
        <v>523</v>
      </c>
      <c r="D3366" s="27" t="s">
        <v>524</v>
      </c>
      <c r="E3366" s="21">
        <f>IF(D3366="?OLD","!!!","")</f>
        <v/>
      </c>
      <c r="F3366" s="22" t="str">
        <f>IF(OR(E3366="",E3366="!!!"),"",IF(NOT(ISNA(VLOOKUP(E3366,E$1:E3365,1,FALSE()))),"OLD",IF(AND(E3366&lt;&gt;"",E3366&lt;&gt;"!!!"),"NEW","")))</f>
        <v> </v>
      </c>
      <c r="G3366" s="23" t="str">
        <f>IF(OR(E3366="",E3366="!!!"),"",IF(OR(J3366=0,AND(J3366=1,K3366=1),AND(J3366=1,I3366="SBJ"),AND(J3366=1,I3366=0)),"?IN_FOCUS",IF(J3366&lt;=2,"?ACTIVATED",IF(J3366&lt;&gt;"","?FAMILIAR",IF(F3366="NEW",IF(ISNA(VLOOKUP(E3366,#REF!,1,FALSE())),"?TYPE_IDENTIFIABLE","?REFERENTIAL"),"_")))))</f>
        <v> </v>
      </c>
      <c r="H3366" s="24" t="str">
        <f>IF(J3366&lt;&gt;1,"",IF(I3366="SBJ","CB","?"))</f>
        <v> </v>
      </c>
      <c r="I3366" s="25" t="str">
        <f>IF(OR(E3366="",E3366="!!!",F3366="NEW"),"",INDEX(B3365:B$2,-1+SUMPRODUCT(MAX(ROW(E3365:E$2)*(E3366=E3365:E$2)))))</f>
        <v> </v>
      </c>
      <c r="J3366" s="25" t="str">
        <f>IF(OR(E3366="",E3366="!!!",F3366="NEW"),"",COUNTBLANK(OFFSET(A$1,,,SUMPRODUCT(MAX(ROW(E$2:E3366)*(E3366=E$2:E3366)))))-COUNTBLANK(OFFSET(A$1,,,SUMPRODUCT(MAX(ROW(E$1:E3365)*(E2=E$1:E3365))))))</f>
        <v> </v>
      </c>
      <c r="K3366" s="25" t="str">
        <f>IF(OR(E3366="",E3366="!!!",F3366="NEW"),"",INDEX(J$1:J3365,SUMPRODUCT(MAX(ROW(E$1:E3365)*(E3366=E$1:E3365)))))</f>
        <v> </v>
      </c>
      <c r="L3366" s="26"/>
    </row>
    <row r="3367" spans="1:12">
      <c r="A3367" s="20" t="s">
        <v>528</v>
      </c>
      <c r="E3367" s="21">
        <f>IF(D3367="?OLD","!!!","")</f>
        <v/>
      </c>
      <c r="F3367" s="22" t="str">
        <f>IF(OR(E3367="",E3367="!!!"),"",IF(NOT(ISNA(VLOOKUP(E3367,E$1:E3366,1,FALSE()))),"OLD",IF(AND(E3367&lt;&gt;"",E3367&lt;&gt;"!!!"),"NEW","")))</f>
        <v> </v>
      </c>
      <c r="G3367" s="23" t="str">
        <f>IF(OR(E3367="",E3367="!!!"),"",IF(OR(J3367=0,AND(J3367=1,K3367=1),AND(J3367=1,I3367="SBJ"),AND(J3367=1,I3367=0)),"?IN_FOCUS",IF(J3367&lt;=2,"?ACTIVATED",IF(J3367&lt;&gt;"","?FAMILIAR",IF(F3367="NEW",IF(ISNA(VLOOKUP(E3367,#REF!,1,FALSE())),"?TYPE_IDENTIFIABLE","?REFERENTIAL"),"_")))))</f>
        <v> </v>
      </c>
      <c r="H3367" s="24" t="str">
        <f>IF(J3367&lt;&gt;1,"",IF(I3367="SBJ","CB","?"))</f>
        <v> </v>
      </c>
      <c r="I3367" s="25" t="str">
        <f>IF(OR(E3367="",E3367="!!!",F3367="NEW"),"",INDEX(B3366:B$2,-1+SUMPRODUCT(MAX(ROW(E3366:E$2)*(E3367=E3366:E$2)))))</f>
        <v> </v>
      </c>
      <c r="J3367" s="25" t="str">
        <f>IF(OR(E3367="",E3367="!!!",F3367="NEW"),"",COUNTBLANK(OFFSET(A$1,,,SUMPRODUCT(MAX(ROW(E$2:E3367)*(E3367=E$2:E3367)))))-COUNTBLANK(OFFSET(A$1,,,SUMPRODUCT(MAX(ROW(E$1:E3366)*(E2=E$1:E3366))))))</f>
        <v> </v>
      </c>
      <c r="K3367" s="25" t="str">
        <f>IF(OR(E3367="",E3367="!!!",F3367="NEW"),"",INDEX(J$1:J3366,SUMPRODUCT(MAX(ROW(E$1:E3366)*(E3367=E$1:E3366)))))</f>
        <v> </v>
      </c>
      <c r="L3367" s="26"/>
    </row>
    <row r="3368" spans="1:12">
      <c r="A3368" s="20" t="s">
        <v>1373</v>
      </c>
      <c r="E3368" s="21">
        <f>IF(D3368="?OLD","!!!","")</f>
        <v/>
      </c>
      <c r="F3368" s="22" t="str">
        <f>IF(OR(E3368="",E3368="!!!"),"",IF(NOT(ISNA(VLOOKUP(E3368,E$1:E3367,1,FALSE()))),"OLD",IF(AND(E3368&lt;&gt;"",E3368&lt;&gt;"!!!"),"NEW","")))</f>
        <v> </v>
      </c>
      <c r="G3368" s="23" t="str">
        <f>IF(OR(E3368="",E3368="!!!"),"",IF(OR(J3368=0,AND(J3368=1,K3368=1),AND(J3368=1,I3368="SBJ"),AND(J3368=1,I3368=0)),"?IN_FOCUS",IF(J3368&lt;=2,"?ACTIVATED",IF(J3368&lt;&gt;"","?FAMILIAR",IF(F3368="NEW",IF(ISNA(VLOOKUP(E3368,#REF!,1,FALSE())),"?TYPE_IDENTIFIABLE","?REFERENTIAL"),"_")))))</f>
        <v> </v>
      </c>
      <c r="H3368" s="24" t="str">
        <f>IF(J3368&lt;&gt;1,"",IF(I3368="SBJ","CB","?"))</f>
        <v> </v>
      </c>
      <c r="I3368" s="25" t="str">
        <f>IF(OR(E3368="",E3368="!!!",F3368="NEW"),"",INDEX(B3367:B$2,-1+SUMPRODUCT(MAX(ROW(E3367:E$2)*(E3368=E3367:E$2)))))</f>
        <v> </v>
      </c>
      <c r="J3368" s="25" t="str">
        <f>IF(OR(E3368="",E3368="!!!",F3368="NEW"),"",COUNTBLANK(OFFSET(A$1,,,SUMPRODUCT(MAX(ROW(E$2:E3368)*(E3368=E$2:E3368)))))-COUNTBLANK(OFFSET(A$1,,,SUMPRODUCT(MAX(ROW(E$1:E3367)*(E2=E$1:E3367))))))</f>
        <v> </v>
      </c>
      <c r="K3368" s="25" t="str">
        <f>IF(OR(E3368="",E3368="!!!",F3368="NEW"),"",INDEX(J$1:J3367,SUMPRODUCT(MAX(ROW(E$1:E3367)*(E3368=E$1:E3367)))))</f>
        <v> </v>
      </c>
      <c r="L3368" s="26"/>
    </row>
    <row r="3369" spans="1:12">
      <c r="A3369" s="20" t="s">
        <v>786</v>
      </c>
      <c r="B3369" s="27" t="s">
        <v>556</v>
      </c>
      <c r="C3369" s="27" t="s">
        <v>523</v>
      </c>
      <c r="D3369" s="27" t="s">
        <v>524</v>
      </c>
      <c r="E3369" s="21">
        <f>IF(D3369="?OLD","!!!","")</f>
        <v/>
      </c>
      <c r="F3369" s="22" t="str">
        <f>IF(OR(E3369="",E3369="!!!"),"",IF(NOT(ISNA(VLOOKUP(E3369,E$1:E3368,1,FALSE()))),"OLD",IF(AND(E3369&lt;&gt;"",E3369&lt;&gt;"!!!"),"NEW","")))</f>
        <v> </v>
      </c>
      <c r="G3369" s="23" t="str">
        <f>IF(OR(E3369="",E3369="!!!"),"",IF(OR(J3369=0,AND(J3369=1,K3369=1),AND(J3369=1,I3369="SBJ"),AND(J3369=1,I3369=0)),"?IN_FOCUS",IF(J3369&lt;=2,"?ACTIVATED",IF(J3369&lt;&gt;"","?FAMILIAR",IF(F3369="NEW",IF(ISNA(VLOOKUP(E3369,#REF!,1,FALSE())),"?TYPE_IDENTIFIABLE","?REFERENTIAL"),"_")))))</f>
        <v> </v>
      </c>
      <c r="H3369" s="24" t="str">
        <f>IF(J3369&lt;&gt;1,"",IF(I3369="SBJ","CB","?"))</f>
        <v> </v>
      </c>
      <c r="I3369" s="25" t="str">
        <f>IF(OR(E3369="",E3369="!!!",F3369="NEW"),"",INDEX(B3368:B$2,-1+SUMPRODUCT(MAX(ROW(E3368:E$2)*(E3369=E3368:E$2)))))</f>
        <v> </v>
      </c>
      <c r="J3369" s="25" t="str">
        <f>IF(OR(E3369="",E3369="!!!",F3369="NEW"),"",COUNTBLANK(OFFSET(A$1,,,SUMPRODUCT(MAX(ROW(E$2:E3369)*(E3369=E$2:E3369)))))-COUNTBLANK(OFFSET(A$1,,,SUMPRODUCT(MAX(ROW(E$1:E3368)*(E2=E$1:E3368))))))</f>
        <v> </v>
      </c>
      <c r="K3369" s="25" t="str">
        <f>IF(OR(E3369="",E3369="!!!",F3369="NEW"),"",INDEX(J$1:J3368,SUMPRODUCT(MAX(ROW(E$1:E3368)*(E3369=E$1:E3368)))))</f>
        <v> </v>
      </c>
      <c r="L3369" s="26"/>
    </row>
    <row r="3370" spans="1:12">
      <c r="A3370" s="20" t="s">
        <v>565</v>
      </c>
      <c r="E3370" s="21">
        <f>IF(D3370="?OLD","!!!","")</f>
        <v/>
      </c>
      <c r="F3370" s="22" t="str">
        <f>IF(OR(E3370="",E3370="!!!"),"",IF(NOT(ISNA(VLOOKUP(E3370,E$1:E3369,1,FALSE()))),"OLD",IF(AND(E3370&lt;&gt;"",E3370&lt;&gt;"!!!"),"NEW","")))</f>
        <v> </v>
      </c>
      <c r="G3370" s="23" t="str">
        <f>IF(OR(E3370="",E3370="!!!"),"",IF(OR(J3370=0,AND(J3370=1,K3370=1),AND(J3370=1,I3370="SBJ"),AND(J3370=1,I3370=0)),"?IN_FOCUS",IF(J3370&lt;=2,"?ACTIVATED",IF(J3370&lt;&gt;"","?FAMILIAR",IF(F3370="NEW",IF(ISNA(VLOOKUP(E3370,#REF!,1,FALSE())),"?TYPE_IDENTIFIABLE","?REFERENTIAL"),"_")))))</f>
        <v> </v>
      </c>
      <c r="H3370" s="24" t="str">
        <f>IF(J3370&lt;&gt;1,"",IF(I3370="SBJ","CB","?"))</f>
        <v> </v>
      </c>
      <c r="I3370" s="25" t="str">
        <f>IF(OR(E3370="",E3370="!!!",F3370="NEW"),"",INDEX(B3369:B$2,-1+SUMPRODUCT(MAX(ROW(E3369:E$2)*(E3370=E3369:E$2)))))</f>
        <v> </v>
      </c>
      <c r="J3370" s="25" t="str">
        <f>IF(OR(E3370="",E3370="!!!",F3370="NEW"),"",COUNTBLANK(OFFSET(A$1,,,SUMPRODUCT(MAX(ROW(E$2:E3370)*(E3370=E$2:E3370)))))-COUNTBLANK(OFFSET(A$1,,,SUMPRODUCT(MAX(ROW(E$1:E3369)*(E2=E$1:E3369))))))</f>
        <v> </v>
      </c>
      <c r="K3370" s="25" t="str">
        <f>IF(OR(E3370="",E3370="!!!",F3370="NEW"),"",INDEX(J$1:J3369,SUMPRODUCT(MAX(ROW(E$1:E3369)*(E3370=E$1:E3369)))))</f>
        <v> </v>
      </c>
      <c r="L3370" s="26"/>
    </row>
    <row r="3371" spans="1:12">
      <c r="A3371" s="20" t="s">
        <v>1624</v>
      </c>
      <c r="E3371" s="21">
        <f>IF(D3371="?OLD","!!!","")</f>
        <v/>
      </c>
      <c r="F3371" s="22" t="str">
        <f>IF(OR(E3371="",E3371="!!!"),"",IF(NOT(ISNA(VLOOKUP(E3371,E$1:E3370,1,FALSE()))),"OLD",IF(AND(E3371&lt;&gt;"",E3371&lt;&gt;"!!!"),"NEW","")))</f>
        <v> </v>
      </c>
      <c r="G3371" s="23" t="str">
        <f>IF(OR(E3371="",E3371="!!!"),"",IF(OR(J3371=0,AND(J3371=1,K3371=1),AND(J3371=1,I3371="SBJ"),AND(J3371=1,I3371=0)),"?IN_FOCUS",IF(J3371&lt;=2,"?ACTIVATED",IF(J3371&lt;&gt;"","?FAMILIAR",IF(F3371="NEW",IF(ISNA(VLOOKUP(E3371,#REF!,1,FALSE())),"?TYPE_IDENTIFIABLE","?REFERENTIAL"),"_")))))</f>
        <v> </v>
      </c>
      <c r="H3371" s="24" t="str">
        <f>IF(J3371&lt;&gt;1,"",IF(I3371="SBJ","CB","?"))</f>
        <v> </v>
      </c>
      <c r="I3371" s="25" t="str">
        <f>IF(OR(E3371="",E3371="!!!",F3371="NEW"),"",INDEX(B3370:B$2,-1+SUMPRODUCT(MAX(ROW(E3370:E$2)*(E3371=E3370:E$2)))))</f>
        <v> </v>
      </c>
      <c r="J3371" s="25" t="str">
        <f>IF(OR(E3371="",E3371="!!!",F3371="NEW"),"",COUNTBLANK(OFFSET(A$1,,,SUMPRODUCT(MAX(ROW(E$2:E3371)*(E3371=E$2:E3371)))))-COUNTBLANK(OFFSET(A$1,,,SUMPRODUCT(MAX(ROW(E$1:E3370)*(E2=E$1:E3370))))))</f>
        <v> </v>
      </c>
      <c r="K3371" s="25" t="str">
        <f>IF(OR(E3371="",E3371="!!!",F3371="NEW"),"",INDEX(J$1:J3370,SUMPRODUCT(MAX(ROW(E$1:E3370)*(E3371=E$1:E3370)))))</f>
        <v> </v>
      </c>
      <c r="L3371" s="26"/>
    </row>
    <row r="3372" spans="1:12">
      <c r="A3372" s="20" t="s">
        <v>828</v>
      </c>
      <c r="B3372" s="27" t="s">
        <v>743</v>
      </c>
      <c r="C3372" s="27" t="s">
        <v>523</v>
      </c>
      <c r="D3372" s="27" t="s">
        <v>524</v>
      </c>
      <c r="E3372" s="21">
        <f>IF(D3372="?OLD","!!!","")</f>
        <v/>
      </c>
      <c r="F3372" s="22" t="str">
        <f>IF(OR(E3372="",E3372="!!!"),"",IF(NOT(ISNA(VLOOKUP(E3372,E$1:E3371,1,FALSE()))),"OLD",IF(AND(E3372&lt;&gt;"",E3372&lt;&gt;"!!!"),"NEW","")))</f>
        <v> </v>
      </c>
      <c r="G3372" s="23" t="str">
        <f>IF(OR(E3372="",E3372="!!!"),"",IF(OR(J3372=0,AND(J3372=1,K3372=1),AND(J3372=1,I3372="SBJ"),AND(J3372=1,I3372=0)),"?IN_FOCUS",IF(J3372&lt;=2,"?ACTIVATED",IF(J3372&lt;&gt;"","?FAMILIAR",IF(F3372="NEW",IF(ISNA(VLOOKUP(E3372,#REF!,1,FALSE())),"?TYPE_IDENTIFIABLE","?REFERENTIAL"),"_")))))</f>
        <v> </v>
      </c>
      <c r="H3372" s="24" t="str">
        <f>IF(J3372&lt;&gt;1,"",IF(I3372="SBJ","CB","?"))</f>
        <v> </v>
      </c>
      <c r="I3372" s="25" t="str">
        <f>IF(OR(E3372="",E3372="!!!",F3372="NEW"),"",INDEX(B3371:B$2,-1+SUMPRODUCT(MAX(ROW(E3371:E$2)*(E3372=E3371:E$2)))))</f>
        <v> </v>
      </c>
      <c r="J3372" s="25" t="str">
        <f>IF(OR(E3372="",E3372="!!!",F3372="NEW"),"",COUNTBLANK(OFFSET(A$1,,,SUMPRODUCT(MAX(ROW(E$2:E3372)*(E3372=E$2:E3372)))))-COUNTBLANK(OFFSET(A$1,,,SUMPRODUCT(MAX(ROW(E$1:E3371)*(E2=E$1:E3371))))))</f>
        <v> </v>
      </c>
      <c r="K3372" s="25" t="str">
        <f>IF(OR(E3372="",E3372="!!!",F3372="NEW"),"",INDEX(J$1:J3371,SUMPRODUCT(MAX(ROW(E$1:E3371)*(E3372=E$1:E3371)))))</f>
        <v> </v>
      </c>
      <c r="L3372" s="26"/>
    </row>
    <row r="3373" spans="1:12">
      <c r="A3373" s="20" t="s">
        <v>528</v>
      </c>
      <c r="E3373" s="21">
        <f>IF(D3373="?OLD","!!!","")</f>
        <v/>
      </c>
      <c r="F3373" s="22" t="str">
        <f>IF(OR(E3373="",E3373="!!!"),"",IF(NOT(ISNA(VLOOKUP(E3373,E$1:E3372,1,FALSE()))),"OLD",IF(AND(E3373&lt;&gt;"",E3373&lt;&gt;"!!!"),"NEW","")))</f>
        <v> </v>
      </c>
      <c r="G3373" s="23" t="str">
        <f>IF(OR(E3373="",E3373="!!!"),"",IF(OR(J3373=0,AND(J3373=1,K3373=1),AND(J3373=1,I3373="SBJ"),AND(J3373=1,I3373=0)),"?IN_FOCUS",IF(J3373&lt;=2,"?ACTIVATED",IF(J3373&lt;&gt;"","?FAMILIAR",IF(F3373="NEW",IF(ISNA(VLOOKUP(E3373,#REF!,1,FALSE())),"?TYPE_IDENTIFIABLE","?REFERENTIAL"),"_")))))</f>
        <v> </v>
      </c>
      <c r="H3373" s="24" t="str">
        <f>IF(J3373&lt;&gt;1,"",IF(I3373="SBJ","CB","?"))</f>
        <v> </v>
      </c>
      <c r="I3373" s="25" t="str">
        <f>IF(OR(E3373="",E3373="!!!",F3373="NEW"),"",INDEX(B3372:B$2,-1+SUMPRODUCT(MAX(ROW(E3372:E$2)*(E3373=E3372:E$2)))))</f>
        <v> </v>
      </c>
      <c r="J3373" s="25" t="str">
        <f>IF(OR(E3373="",E3373="!!!",F3373="NEW"),"",COUNTBLANK(OFFSET(A$1,,,SUMPRODUCT(MAX(ROW(E$2:E3373)*(E3373=E$2:E3373)))))-COUNTBLANK(OFFSET(A$1,,,SUMPRODUCT(MAX(ROW(E$1:E3372)*(E2=E$1:E3372))))))</f>
        <v> </v>
      </c>
      <c r="K3373" s="25" t="str">
        <f>IF(OR(E3373="",E3373="!!!",F3373="NEW"),"",INDEX(J$1:J3372,SUMPRODUCT(MAX(ROW(E$1:E3372)*(E3373=E$1:E3372)))))</f>
        <v> </v>
      </c>
      <c r="L3373" s="26"/>
    </row>
    <row r="3374" spans="1:12">
      <c r="A3374" s="20" t="s">
        <v>902</v>
      </c>
      <c r="B3374" s="27" t="s">
        <v>667</v>
      </c>
      <c r="C3374" s="27" t="s">
        <v>523</v>
      </c>
      <c r="D3374" s="27" t="s">
        <v>524</v>
      </c>
      <c r="E3374" s="21">
        <f>IF(D3374="?OLD","!!!","")</f>
        <v/>
      </c>
      <c r="F3374" s="22" t="str">
        <f>IF(OR(E3374="",E3374="!!!"),"",IF(NOT(ISNA(VLOOKUP(E3374,E$1:E3373,1,FALSE()))),"OLD",IF(AND(E3374&lt;&gt;"",E3374&lt;&gt;"!!!"),"NEW","")))</f>
        <v> </v>
      </c>
      <c r="G3374" s="23" t="str">
        <f>IF(OR(E3374="",E3374="!!!"),"",IF(OR(J3374=0,AND(J3374=1,K3374=1),AND(J3374=1,I3374="SBJ"),AND(J3374=1,I3374=0)),"?IN_FOCUS",IF(J3374&lt;=2,"?ACTIVATED",IF(J3374&lt;&gt;"","?FAMILIAR",IF(F3374="NEW",IF(ISNA(VLOOKUP(E3374,#REF!,1,FALSE())),"?TYPE_IDENTIFIABLE","?REFERENTIAL"),"_")))))</f>
        <v> </v>
      </c>
      <c r="H3374" s="24" t="str">
        <f>IF(J3374&lt;&gt;1,"",IF(I3374="SBJ","CB","?"))</f>
        <v> </v>
      </c>
      <c r="I3374" s="25" t="str">
        <f>IF(OR(E3374="",E3374="!!!",F3374="NEW"),"",INDEX(B3373:B$2,-1+SUMPRODUCT(MAX(ROW(E3373:E$2)*(E3374=E3373:E$2)))))</f>
        <v> </v>
      </c>
      <c r="J3374" s="25" t="str">
        <f>IF(OR(E3374="",E3374="!!!",F3374="NEW"),"",COUNTBLANK(OFFSET(A$1,,,SUMPRODUCT(MAX(ROW(E$2:E3374)*(E3374=E$2:E3374)))))-COUNTBLANK(OFFSET(A$1,,,SUMPRODUCT(MAX(ROW(E$1:E3373)*(E2=E$1:E3373))))))</f>
        <v> </v>
      </c>
      <c r="K3374" s="25" t="str">
        <f>IF(OR(E3374="",E3374="!!!",F3374="NEW"),"",INDEX(J$1:J3373,SUMPRODUCT(MAX(ROW(E$1:E3373)*(E3374=E$1:E3373)))))</f>
        <v> </v>
      </c>
      <c r="L3374" s="26"/>
    </row>
    <row r="3375" spans="1:12">
      <c r="A3375" s="20" t="s">
        <v>1382</v>
      </c>
      <c r="E3375" s="21">
        <f>IF(D3375="?OLD","!!!","")</f>
        <v/>
      </c>
      <c r="F3375" s="22" t="str">
        <f>IF(OR(E3375="",E3375="!!!"),"",IF(NOT(ISNA(VLOOKUP(E3375,E$1:E3374,1,FALSE()))),"OLD",IF(AND(E3375&lt;&gt;"",E3375&lt;&gt;"!!!"),"NEW","")))</f>
        <v> </v>
      </c>
      <c r="G3375" s="23" t="str">
        <f>IF(OR(E3375="",E3375="!!!"),"",IF(OR(J3375=0,AND(J3375=1,K3375=1),AND(J3375=1,I3375="SBJ"),AND(J3375=1,I3375=0)),"?IN_FOCUS",IF(J3375&lt;=2,"?ACTIVATED",IF(J3375&lt;&gt;"","?FAMILIAR",IF(F3375="NEW",IF(ISNA(VLOOKUP(E3375,#REF!,1,FALSE())),"?TYPE_IDENTIFIABLE","?REFERENTIAL"),"_")))))</f>
        <v> </v>
      </c>
      <c r="H3375" s="24" t="str">
        <f>IF(J3375&lt;&gt;1,"",IF(I3375="SBJ","CB","?"))</f>
        <v> </v>
      </c>
      <c r="I3375" s="25" t="str">
        <f>IF(OR(E3375="",E3375="!!!",F3375="NEW"),"",INDEX(B3374:B$2,-1+SUMPRODUCT(MAX(ROW(E3374:E$2)*(E3375=E3374:E$2)))))</f>
        <v> </v>
      </c>
      <c r="J3375" s="25" t="str">
        <f>IF(OR(E3375="",E3375="!!!",F3375="NEW"),"",COUNTBLANK(OFFSET(A$1,,,SUMPRODUCT(MAX(ROW(E$2:E3375)*(E3375=E$2:E3375)))))-COUNTBLANK(OFFSET(A$1,,,SUMPRODUCT(MAX(ROW(E$1:E3374)*(E2=E$1:E3374))))))</f>
        <v> </v>
      </c>
      <c r="K3375" s="25" t="str">
        <f>IF(OR(E3375="",E3375="!!!",F3375="NEW"),"",INDEX(J$1:J3374,SUMPRODUCT(MAX(ROW(E$1:E3374)*(E3375=E$1:E3374)))))</f>
        <v> </v>
      </c>
      <c r="L3375" s="26"/>
    </row>
    <row r="3376" spans="1:12">
      <c r="A3376" s="20" t="s">
        <v>1625</v>
      </c>
      <c r="E3376" s="21">
        <f>IF(D3376="?OLD","!!!","")</f>
        <v/>
      </c>
      <c r="F3376" s="22" t="str">
        <f>IF(OR(E3376="",E3376="!!!"),"",IF(NOT(ISNA(VLOOKUP(E3376,E$1:E3375,1,FALSE()))),"OLD",IF(AND(E3376&lt;&gt;"",E3376&lt;&gt;"!!!"),"NEW","")))</f>
        <v> </v>
      </c>
      <c r="G3376" s="23" t="str">
        <f>IF(OR(E3376="",E3376="!!!"),"",IF(OR(J3376=0,AND(J3376=1,K3376=1),AND(J3376=1,I3376="SBJ"),AND(J3376=1,I3376=0)),"?IN_FOCUS",IF(J3376&lt;=2,"?ACTIVATED",IF(J3376&lt;&gt;"","?FAMILIAR",IF(F3376="NEW",IF(ISNA(VLOOKUP(E3376,#REF!,1,FALSE())),"?TYPE_IDENTIFIABLE","?REFERENTIAL"),"_")))))</f>
        <v> </v>
      </c>
      <c r="H3376" s="24" t="str">
        <f>IF(J3376&lt;&gt;1,"",IF(I3376="SBJ","CB","?"))</f>
        <v> </v>
      </c>
      <c r="I3376" s="25" t="str">
        <f>IF(OR(E3376="",E3376="!!!",F3376="NEW"),"",INDEX(B3375:B$2,-1+SUMPRODUCT(MAX(ROW(E3375:E$2)*(E3376=E3375:E$2)))))</f>
        <v> </v>
      </c>
      <c r="J3376" s="25" t="str">
        <f>IF(OR(E3376="",E3376="!!!",F3376="NEW"),"",COUNTBLANK(OFFSET(A$1,,,SUMPRODUCT(MAX(ROW(E$2:E3376)*(E3376=E$2:E3376)))))-COUNTBLANK(OFFSET(A$1,,,SUMPRODUCT(MAX(ROW(E$1:E3375)*(E2=E$1:E3375))))))</f>
        <v> </v>
      </c>
      <c r="K3376" s="25" t="str">
        <f>IF(OR(E3376="",E3376="!!!",F3376="NEW"),"",INDEX(J$1:J3375,SUMPRODUCT(MAX(ROW(E$1:E3375)*(E3376=E$1:E3375)))))</f>
        <v> </v>
      </c>
      <c r="L3376" s="26"/>
    </row>
    <row r="3377" spans="1:12">
      <c r="A3377" s="20" t="s">
        <v>549</v>
      </c>
      <c r="E3377" s="21">
        <f>IF(D3377="?OLD","!!!","")</f>
        <v/>
      </c>
      <c r="F3377" s="22" t="str">
        <f>IF(OR(E3377="",E3377="!!!"),"",IF(NOT(ISNA(VLOOKUP(E3377,E$1:E3376,1,FALSE()))),"OLD",IF(AND(E3377&lt;&gt;"",E3377&lt;&gt;"!!!"),"NEW","")))</f>
        <v> </v>
      </c>
      <c r="G3377" s="23" t="str">
        <f>IF(OR(E3377="",E3377="!!!"),"",IF(OR(J3377=0,AND(J3377=1,K3377=1),AND(J3377=1,I3377="SBJ"),AND(J3377=1,I3377=0)),"?IN_FOCUS",IF(J3377&lt;=2,"?ACTIVATED",IF(J3377&lt;&gt;"","?FAMILIAR",IF(F3377="NEW",IF(ISNA(VLOOKUP(E3377,#REF!,1,FALSE())),"?TYPE_IDENTIFIABLE","?REFERENTIAL"),"_")))))</f>
        <v> </v>
      </c>
      <c r="H3377" s="24" t="str">
        <f>IF(J3377&lt;&gt;1,"",IF(I3377="SBJ","CB","?"))</f>
        <v> </v>
      </c>
      <c r="I3377" s="25" t="str">
        <f>IF(OR(E3377="",E3377="!!!",F3377="NEW"),"",INDEX(B3376:B$2,-1+SUMPRODUCT(MAX(ROW(E3376:E$2)*(E3377=E3376:E$2)))))</f>
        <v> </v>
      </c>
      <c r="J3377" s="25" t="str">
        <f>IF(OR(E3377="",E3377="!!!",F3377="NEW"),"",COUNTBLANK(OFFSET(A$1,,,SUMPRODUCT(MAX(ROW(E$2:E3377)*(E3377=E$2:E3377)))))-COUNTBLANK(OFFSET(A$1,,,SUMPRODUCT(MAX(ROW(E$1:E3376)*(E2=E$1:E3376))))))</f>
        <v> </v>
      </c>
      <c r="K3377" s="25" t="str">
        <f>IF(OR(E3377="",E3377="!!!",F3377="NEW"),"",INDEX(J$1:J3376,SUMPRODUCT(MAX(ROW(E$1:E3376)*(E3377=E$1:E3376)))))</f>
        <v> </v>
      </c>
      <c r="L3377" s="26"/>
    </row>
    <row r="3378" spans="1:12">
      <c r="A3378" s="20"/>
    </row>
    <row r="3379" spans="1:12">
      <c r="A3379" s="20" t="s">
        <v>1626</v>
      </c>
    </row>
    <row r="3380" spans="1:12">
      <c r="A3380" s="20" t="s">
        <v>1076</v>
      </c>
      <c r="E3380" s="21">
        <f>IF(D3380="?OLD","!!!","")</f>
        <v/>
      </c>
      <c r="F3380" s="22" t="str">
        <f>IF(OR(E3380="",E3380="!!!"),"",IF(NOT(ISNA(VLOOKUP(E3380,E$1:E3379,1,FALSE()))),"OLD",IF(AND(E3380&lt;&gt;"",E3380&lt;&gt;"!!!"),"NEW","")))</f>
        <v> </v>
      </c>
      <c r="G3380" s="23" t="str">
        <f>IF(OR(E3380="",E3380="!!!"),"",IF(OR(J3380=0,AND(J3380=1,K3380=1),AND(J3380=1,I3380="SBJ"),AND(J3380=1,I3380=0)),"?IN_FOCUS",IF(J3380&lt;=2,"?ACTIVATED",IF(J3380&lt;&gt;"","?FAMILIAR",IF(F3380="NEW",IF(ISNA(VLOOKUP(E3380,#REF!,1,FALSE())),"?TYPE_IDENTIFIABLE","?REFERENTIAL"),"_")))))</f>
        <v> </v>
      </c>
      <c r="H3380" s="24" t="str">
        <f>IF(J3380&lt;&gt;1,"",IF(I3380="SBJ","CB","?"))</f>
        <v> </v>
      </c>
      <c r="I3380" s="25" t="str">
        <f>IF(OR(E3380="",E3380="!!!",F3380="NEW"),"",INDEX(B3379:B$2,-1+SUMPRODUCT(MAX(ROW(E3379:E$2)*(E3380=E3379:E$2)))))</f>
        <v> </v>
      </c>
      <c r="J3380" s="25" t="str">
        <f>IF(OR(E3380="",E3380="!!!",F3380="NEW"),"",COUNTBLANK(OFFSET(A$1,,,SUMPRODUCT(MAX(ROW(E$2:E3380)*(E3380=E$2:E3380)))))-COUNTBLANK(OFFSET(A$1,,,SUMPRODUCT(MAX(ROW(E$1:E3379)*(E2=E$1:E3379))))))</f>
        <v> </v>
      </c>
      <c r="K3380" s="25" t="str">
        <f>IF(OR(E3380="",E3380="!!!",F3380="NEW"),"",INDEX(J$1:J3379,SUMPRODUCT(MAX(ROW(E$1:E3379)*(E3380=E$1:E3379)))))</f>
        <v> </v>
      </c>
      <c r="L3380" s="26"/>
    </row>
    <row r="3381" spans="1:12">
      <c r="A3381" s="20" t="s">
        <v>571</v>
      </c>
      <c r="E3381" s="21">
        <f>IF(D3381="?OLD","!!!","")</f>
        <v/>
      </c>
      <c r="F3381" s="22" t="str">
        <f>IF(OR(E3381="",E3381="!!!"),"",IF(NOT(ISNA(VLOOKUP(E3381,E$1:E3380,1,FALSE()))),"OLD",IF(AND(E3381&lt;&gt;"",E3381&lt;&gt;"!!!"),"NEW","")))</f>
        <v> </v>
      </c>
      <c r="G3381" s="23" t="str">
        <f>IF(OR(E3381="",E3381="!!!"),"",IF(OR(J3381=0,AND(J3381=1,K3381=1),AND(J3381=1,I3381="SBJ"),AND(J3381=1,I3381=0)),"?IN_FOCUS",IF(J3381&lt;=2,"?ACTIVATED",IF(J3381&lt;&gt;"","?FAMILIAR",IF(F3381="NEW",IF(ISNA(VLOOKUP(E3381,#REF!,1,FALSE())),"?TYPE_IDENTIFIABLE","?REFERENTIAL"),"_")))))</f>
        <v> </v>
      </c>
      <c r="H3381" s="24" t="str">
        <f>IF(J3381&lt;&gt;1,"",IF(I3381="SBJ","CB","?"))</f>
        <v> </v>
      </c>
      <c r="I3381" s="25" t="str">
        <f>IF(OR(E3381="",E3381="!!!",F3381="NEW"),"",INDEX(B3380:B$2,-1+SUMPRODUCT(MAX(ROW(E3380:E$2)*(E3381=E3380:E$2)))))</f>
        <v> </v>
      </c>
      <c r="J3381" s="25" t="str">
        <f>IF(OR(E3381="",E3381="!!!",F3381="NEW"),"",COUNTBLANK(OFFSET(A$1,,,SUMPRODUCT(MAX(ROW(E$2:E3381)*(E3381=E$2:E3381)))))-COUNTBLANK(OFFSET(A$1,,,SUMPRODUCT(MAX(ROW(E$1:E3380)*(E2=E$1:E3380))))))</f>
        <v> </v>
      </c>
      <c r="K3381" s="25" t="str">
        <f>IF(OR(E3381="",E3381="!!!",F3381="NEW"),"",INDEX(J$1:J3380,SUMPRODUCT(MAX(ROW(E$1:E3380)*(E3381=E$1:E3380)))))</f>
        <v> </v>
      </c>
      <c r="L3381" s="26"/>
    </row>
    <row r="3382" spans="1:12">
      <c r="A3382" s="20" t="s">
        <v>1627</v>
      </c>
      <c r="B3382" s="27" t="s">
        <v>592</v>
      </c>
      <c r="C3382" s="27" t="s">
        <v>540</v>
      </c>
      <c r="D3382" s="27" t="s">
        <v>524</v>
      </c>
      <c r="E3382" s="21">
        <f>IF(D3382="?OLD","!!!","")</f>
        <v/>
      </c>
      <c r="F3382" s="22" t="str">
        <f>IF(OR(E3382="",E3382="!!!"),"",IF(NOT(ISNA(VLOOKUP(E3382,E$1:E3381,1,FALSE()))),"OLD",IF(AND(E3382&lt;&gt;"",E3382&lt;&gt;"!!!"),"NEW","")))</f>
        <v> </v>
      </c>
      <c r="G3382" s="23" t="str">
        <f>IF(OR(E3382="",E3382="!!!"),"",IF(OR(J3382=0,AND(J3382=1,K3382=1),AND(J3382=1,I3382="SBJ"),AND(J3382=1,I3382=0)),"?IN_FOCUS",IF(J3382&lt;=2,"?ACTIVATED",IF(J3382&lt;&gt;"","?FAMILIAR",IF(F3382="NEW",IF(ISNA(VLOOKUP(E3382,#REF!,1,FALSE())),"?TYPE_IDENTIFIABLE","?REFERENTIAL"),"_")))))</f>
        <v> </v>
      </c>
      <c r="H3382" s="24" t="str">
        <f>IF(J3382&lt;&gt;1,"",IF(I3382="SBJ","CB","?"))</f>
        <v> </v>
      </c>
      <c r="I3382" s="25" t="str">
        <f>IF(OR(E3382="",E3382="!!!",F3382="NEW"),"",INDEX(B3381:B$2,-1+SUMPRODUCT(MAX(ROW(E3381:E$2)*(E3382=E3381:E$2)))))</f>
        <v> </v>
      </c>
      <c r="J3382" s="25" t="str">
        <f>IF(OR(E3382="",E3382="!!!",F3382="NEW"),"",COUNTBLANK(OFFSET(A$1,,,SUMPRODUCT(MAX(ROW(E$2:E3382)*(E3382=E$2:E3382)))))-COUNTBLANK(OFFSET(A$1,,,SUMPRODUCT(MAX(ROW(E$1:E3381)*(E2=E$1:E3381))))))</f>
        <v> </v>
      </c>
      <c r="K3382" s="25" t="str">
        <f>IF(OR(E3382="",E3382="!!!",F3382="NEW"),"",INDEX(J$1:J3381,SUMPRODUCT(MAX(ROW(E$1:E3381)*(E3382=E$1:E3381)))))</f>
        <v> </v>
      </c>
      <c r="L3382" s="26"/>
    </row>
    <row r="3383" spans="1:12">
      <c r="A3383" s="20" t="s">
        <v>518</v>
      </c>
      <c r="E3383" s="21">
        <f>IF(D3383="?OLD","!!!","")</f>
        <v/>
      </c>
      <c r="F3383" s="22" t="str">
        <f>IF(OR(E3383="",E3383="!!!"),"",IF(NOT(ISNA(VLOOKUP(E3383,E$1:E3382,1,FALSE()))),"OLD",IF(AND(E3383&lt;&gt;"",E3383&lt;&gt;"!!!"),"NEW","")))</f>
        <v> </v>
      </c>
      <c r="G3383" s="23" t="str">
        <f>IF(OR(E3383="",E3383="!!!"),"",IF(OR(J3383=0,AND(J3383=1,K3383=1),AND(J3383=1,I3383="SBJ"),AND(J3383=1,I3383=0)),"?IN_FOCUS",IF(J3383&lt;=2,"?ACTIVATED",IF(J3383&lt;&gt;"","?FAMILIAR",IF(F3383="NEW",IF(ISNA(VLOOKUP(E3383,#REF!,1,FALSE())),"?TYPE_IDENTIFIABLE","?REFERENTIAL"),"_")))))</f>
        <v> </v>
      </c>
      <c r="H3383" s="24" t="str">
        <f>IF(J3383&lt;&gt;1,"",IF(I3383="SBJ","CB","?"))</f>
        <v> </v>
      </c>
      <c r="I3383" s="25" t="str">
        <f>IF(OR(E3383="",E3383="!!!",F3383="NEW"),"",INDEX(B3382:B$2,-1+SUMPRODUCT(MAX(ROW(E3382:E$2)*(E3383=E3382:E$2)))))</f>
        <v> </v>
      </c>
      <c r="J3383" s="25" t="str">
        <f>IF(OR(E3383="",E3383="!!!",F3383="NEW"),"",COUNTBLANK(OFFSET(A$1,,,SUMPRODUCT(MAX(ROW(E$2:E3383)*(E3383=E$2:E3383)))))-COUNTBLANK(OFFSET(A$1,,,SUMPRODUCT(MAX(ROW(E$1:E3382)*(E2=E$1:E3382))))))</f>
        <v> </v>
      </c>
      <c r="K3383" s="25" t="str">
        <f>IF(OR(E3383="",E3383="!!!",F3383="NEW"),"",INDEX(J$1:J3382,SUMPRODUCT(MAX(ROW(E$1:E3382)*(E3383=E$1:E3382)))))</f>
        <v> </v>
      </c>
      <c r="L3383" s="26"/>
    </row>
    <row r="3384" spans="1:12">
      <c r="A3384" s="20" t="s">
        <v>1548</v>
      </c>
      <c r="E3384" s="21">
        <f>IF(D3384="?OLD","!!!","")</f>
        <v/>
      </c>
      <c r="F3384" s="22" t="str">
        <f>IF(OR(E3384="",E3384="!!!"),"",IF(NOT(ISNA(VLOOKUP(E3384,E$1:E3383,1,FALSE()))),"OLD",IF(AND(E3384&lt;&gt;"",E3384&lt;&gt;"!!!"),"NEW","")))</f>
        <v> </v>
      </c>
      <c r="G3384" s="23" t="str">
        <f>IF(OR(E3384="",E3384="!!!"),"",IF(OR(J3384=0,AND(J3384=1,K3384=1),AND(J3384=1,I3384="SBJ"),AND(J3384=1,I3384=0)),"?IN_FOCUS",IF(J3384&lt;=2,"?ACTIVATED",IF(J3384&lt;&gt;"","?FAMILIAR",IF(F3384="NEW",IF(ISNA(VLOOKUP(E3384,#REF!,1,FALSE())),"?TYPE_IDENTIFIABLE","?REFERENTIAL"),"_")))))</f>
        <v> </v>
      </c>
      <c r="H3384" s="24" t="str">
        <f>IF(J3384&lt;&gt;1,"",IF(I3384="SBJ","CB","?"))</f>
        <v> </v>
      </c>
      <c r="I3384" s="25" t="str">
        <f>IF(OR(E3384="",E3384="!!!",F3384="NEW"),"",INDEX(B3383:B$2,-1+SUMPRODUCT(MAX(ROW(E3383:E$2)*(E3384=E3383:E$2)))))</f>
        <v> </v>
      </c>
      <c r="J3384" s="25" t="str">
        <f>IF(OR(E3384="",E3384="!!!",F3384="NEW"),"",COUNTBLANK(OFFSET(A$1,,,SUMPRODUCT(MAX(ROW(E$2:E3384)*(E3384=E$2:E3384)))))-COUNTBLANK(OFFSET(A$1,,,SUMPRODUCT(MAX(ROW(E$1:E3383)*(E2=E$1:E3383))))))</f>
        <v> </v>
      </c>
      <c r="K3384" s="25" t="str">
        <f>IF(OR(E3384="",E3384="!!!",F3384="NEW"),"",INDEX(J$1:J3383,SUMPRODUCT(MAX(ROW(E$1:E3383)*(E3384=E$1:E3383)))))</f>
        <v> </v>
      </c>
      <c r="L3384" s="26"/>
    </row>
    <row r="3385" spans="1:12">
      <c r="A3385" s="20" t="s">
        <v>1621</v>
      </c>
      <c r="B3385" s="27" t="s">
        <v>597</v>
      </c>
      <c r="C3385" s="27" t="s">
        <v>637</v>
      </c>
      <c r="D3385" s="27" t="s">
        <v>524</v>
      </c>
      <c r="E3385" s="21">
        <f>IF(D3385="?OLD","!!!","")</f>
        <v/>
      </c>
      <c r="F3385" s="22" t="str">
        <f>IF(OR(E3385="",E3385="!!!"),"",IF(NOT(ISNA(VLOOKUP(E3385,E$1:E3384,1,FALSE()))),"OLD",IF(AND(E3385&lt;&gt;"",E3385&lt;&gt;"!!!"),"NEW","")))</f>
        <v> </v>
      </c>
      <c r="G3385" s="23" t="str">
        <f>IF(OR(E3385="",E3385="!!!"),"",IF(OR(J3385=0,AND(J3385=1,K3385=1),AND(J3385=1,I3385="SBJ"),AND(J3385=1,I3385=0)),"?IN_FOCUS",IF(J3385&lt;=2,"?ACTIVATED",IF(J3385&lt;&gt;"","?FAMILIAR",IF(F3385="NEW",IF(ISNA(VLOOKUP(E3385,#REF!,1,FALSE())),"?TYPE_IDENTIFIABLE","?REFERENTIAL"),"_")))))</f>
        <v> </v>
      </c>
      <c r="H3385" s="24" t="str">
        <f>IF(J3385&lt;&gt;1,"",IF(I3385="SBJ","CB","?"))</f>
        <v> </v>
      </c>
      <c r="I3385" s="25" t="str">
        <f>IF(OR(E3385="",E3385="!!!",F3385="NEW"),"",INDEX(B3384:B$2,-1+SUMPRODUCT(MAX(ROW(E3384:E$2)*(E3385=E3384:E$2)))))</f>
        <v> </v>
      </c>
      <c r="J3385" s="25" t="str">
        <f>IF(OR(E3385="",E3385="!!!",F3385="NEW"),"",COUNTBLANK(OFFSET(A$1,,,SUMPRODUCT(MAX(ROW(E$2:E3385)*(E3385=E$2:E3385)))))-COUNTBLANK(OFFSET(A$1,,,SUMPRODUCT(MAX(ROW(E$1:E3384)*(E2=E$1:E3384))))))</f>
        <v> </v>
      </c>
      <c r="K3385" s="25" t="str">
        <f>IF(OR(E3385="",E3385="!!!",F3385="NEW"),"",INDEX(J$1:J3384,SUMPRODUCT(MAX(ROW(E$1:E3384)*(E3385=E$1:E3384)))))</f>
        <v> </v>
      </c>
      <c r="L3385" s="26"/>
    </row>
    <row r="3386" spans="1:12">
      <c r="A3386" s="20" t="s">
        <v>518</v>
      </c>
      <c r="E3386" s="21">
        <f>IF(D3386="?OLD","!!!","")</f>
        <v/>
      </c>
      <c r="F3386" s="22" t="str">
        <f>IF(OR(E3386="",E3386="!!!"),"",IF(NOT(ISNA(VLOOKUP(E3386,E$1:E3385,1,FALSE()))),"OLD",IF(AND(E3386&lt;&gt;"",E3386&lt;&gt;"!!!"),"NEW","")))</f>
        <v> </v>
      </c>
      <c r="G3386" s="23" t="str">
        <f>IF(OR(E3386="",E3386="!!!"),"",IF(OR(J3386=0,AND(J3386=1,K3386=1),AND(J3386=1,I3386="SBJ"),AND(J3386=1,I3386=0)),"?IN_FOCUS",IF(J3386&lt;=2,"?ACTIVATED",IF(J3386&lt;&gt;"","?FAMILIAR",IF(F3386="NEW",IF(ISNA(VLOOKUP(E3386,#REF!,1,FALSE())),"?TYPE_IDENTIFIABLE","?REFERENTIAL"),"_")))))</f>
        <v> </v>
      </c>
      <c r="H3386" s="24" t="str">
        <f>IF(J3386&lt;&gt;1,"",IF(I3386="SBJ","CB","?"))</f>
        <v> </v>
      </c>
      <c r="I3386" s="25" t="str">
        <f>IF(OR(E3386="",E3386="!!!",F3386="NEW"),"",INDEX(B3385:B$2,-1+SUMPRODUCT(MAX(ROW(E3385:E$2)*(E3386=E3385:E$2)))))</f>
        <v> </v>
      </c>
      <c r="J3386" s="25" t="str">
        <f>IF(OR(E3386="",E3386="!!!",F3386="NEW"),"",COUNTBLANK(OFFSET(A$1,,,SUMPRODUCT(MAX(ROW(E$2:E3386)*(E3386=E$2:E3386)))))-COUNTBLANK(OFFSET(A$1,,,SUMPRODUCT(MAX(ROW(E$1:E3385)*(E2=E$1:E3385))))))</f>
        <v> </v>
      </c>
      <c r="K3386" s="25" t="str">
        <f>IF(OR(E3386="",E3386="!!!",F3386="NEW"),"",INDEX(J$1:J3385,SUMPRODUCT(MAX(ROW(E$1:E3385)*(E3386=E$1:E3385)))))</f>
        <v> </v>
      </c>
      <c r="L3386" s="26"/>
    </row>
    <row r="3387" spans="1:12">
      <c r="A3387" s="20" t="s">
        <v>1622</v>
      </c>
      <c r="E3387" s="21">
        <f>IF(D3387="?OLD","!!!","")</f>
        <v/>
      </c>
      <c r="F3387" s="22" t="str">
        <f>IF(OR(E3387="",E3387="!!!"),"",IF(NOT(ISNA(VLOOKUP(E3387,E$1:E3386,1,FALSE()))),"OLD",IF(AND(E3387&lt;&gt;"",E3387&lt;&gt;"!!!"),"NEW","")))</f>
        <v> </v>
      </c>
      <c r="G3387" s="23" t="str">
        <f>IF(OR(E3387="",E3387="!!!"),"",IF(OR(J3387=0,AND(J3387=1,K3387=1),AND(J3387=1,I3387="SBJ"),AND(J3387=1,I3387=0)),"?IN_FOCUS",IF(J3387&lt;=2,"?ACTIVATED",IF(J3387&lt;&gt;"","?FAMILIAR",IF(F3387="NEW",IF(ISNA(VLOOKUP(E3387,#REF!,1,FALSE())),"?TYPE_IDENTIFIABLE","?REFERENTIAL"),"_")))))</f>
        <v> </v>
      </c>
      <c r="H3387" s="24" t="str">
        <f>IF(J3387&lt;&gt;1,"",IF(I3387="SBJ","CB","?"))</f>
        <v> </v>
      </c>
      <c r="I3387" s="25" t="str">
        <f>IF(OR(E3387="",E3387="!!!",F3387="NEW"),"",INDEX(B3386:B$2,-1+SUMPRODUCT(MAX(ROW(E3386:E$2)*(E3387=E3386:E$2)))))</f>
        <v> </v>
      </c>
      <c r="J3387" s="25" t="str">
        <f>IF(OR(E3387="",E3387="!!!",F3387="NEW"),"",COUNTBLANK(OFFSET(A$1,,,SUMPRODUCT(MAX(ROW(E$2:E3387)*(E3387=E$2:E3387)))))-COUNTBLANK(OFFSET(A$1,,,SUMPRODUCT(MAX(ROW(E$1:E3386)*(E2=E$1:E3386))))))</f>
        <v> </v>
      </c>
      <c r="K3387" s="25" t="str">
        <f>IF(OR(E3387="",E3387="!!!",F3387="NEW"),"",INDEX(J$1:J3386,SUMPRODUCT(MAX(ROW(E$1:E3386)*(E3387=E$1:E3386)))))</f>
        <v> </v>
      </c>
      <c r="L3387" s="26"/>
    </row>
    <row r="3388" spans="1:12">
      <c r="A3388" s="20" t="s">
        <v>533</v>
      </c>
      <c r="B3388" s="27" t="s">
        <v>544</v>
      </c>
      <c r="C3388" s="27" t="s">
        <v>908</v>
      </c>
      <c r="E3388" s="21">
        <f>IF(D3388="?OLD","!!!","")</f>
        <v/>
      </c>
      <c r="F3388" s="22" t="str">
        <f>IF(OR(E3388="",E3388="!!!"),"",IF(NOT(ISNA(VLOOKUP(E3388,E$1:E3387,1,FALSE()))),"OLD",IF(AND(E3388&lt;&gt;"",E3388&lt;&gt;"!!!"),"NEW","")))</f>
        <v> </v>
      </c>
      <c r="G3388" s="23" t="str">
        <f>IF(OR(E3388="",E3388="!!!"),"",IF(OR(J3388=0,AND(J3388=1,K3388=1),AND(J3388=1,I3388="SBJ"),AND(J3388=1,I3388=0)),"?IN_FOCUS",IF(J3388&lt;=2,"?ACTIVATED",IF(J3388&lt;&gt;"","?FAMILIAR",IF(F3388="NEW",IF(ISNA(VLOOKUP(E3388,#REF!,1,FALSE())),"?TYPE_IDENTIFIABLE","?REFERENTIAL"),"_")))))</f>
        <v> </v>
      </c>
      <c r="H3388" s="24" t="str">
        <f>IF(J3388&lt;&gt;1,"",IF(I3388="SBJ","CB","?"))</f>
        <v> </v>
      </c>
      <c r="I3388" s="25" t="str">
        <f>IF(OR(E3388="",E3388="!!!",F3388="NEW"),"",INDEX(B3387:B$2,-1+SUMPRODUCT(MAX(ROW(E3387:E$2)*(E3388=E3387:E$2)))))</f>
        <v> </v>
      </c>
      <c r="J3388" s="25" t="str">
        <f>IF(OR(E3388="",E3388="!!!",F3388="NEW"),"",COUNTBLANK(OFFSET(A$1,,,SUMPRODUCT(MAX(ROW(E$2:E3388)*(E3388=E$2:E3388)))))-COUNTBLANK(OFFSET(A$1,,,SUMPRODUCT(MAX(ROW(E$1:E3387)*(E2=E$1:E3387))))))</f>
        <v> </v>
      </c>
      <c r="K3388" s="25" t="str">
        <f>IF(OR(E3388="",E3388="!!!",F3388="NEW"),"",INDEX(J$1:J3387,SUMPRODUCT(MAX(ROW(E$1:E3387)*(E3388=E$1:E3387)))))</f>
        <v> </v>
      </c>
      <c r="L3388" s="26"/>
    </row>
    <row r="3389" spans="1:12">
      <c r="A3389" s="20" t="s">
        <v>565</v>
      </c>
      <c r="E3389" s="21">
        <f>IF(D3389="?OLD","!!!","")</f>
        <v/>
      </c>
      <c r="F3389" s="22" t="str">
        <f>IF(OR(E3389="",E3389="!!!"),"",IF(NOT(ISNA(VLOOKUP(E3389,E$1:E3388,1,FALSE()))),"OLD",IF(AND(E3389&lt;&gt;"",E3389&lt;&gt;"!!!"),"NEW","")))</f>
        <v> </v>
      </c>
      <c r="G3389" s="23" t="str">
        <f>IF(OR(E3389="",E3389="!!!"),"",IF(OR(J3389=0,AND(J3389=1,K3389=1),AND(J3389=1,I3389="SBJ"),AND(J3389=1,I3389=0)),"?IN_FOCUS",IF(J3389&lt;=2,"?ACTIVATED",IF(J3389&lt;&gt;"","?FAMILIAR",IF(F3389="NEW",IF(ISNA(VLOOKUP(E3389,#REF!,1,FALSE())),"?TYPE_IDENTIFIABLE","?REFERENTIAL"),"_")))))</f>
        <v> </v>
      </c>
      <c r="H3389" s="24" t="str">
        <f>IF(J3389&lt;&gt;1,"",IF(I3389="SBJ","CB","?"))</f>
        <v> </v>
      </c>
      <c r="I3389" s="25" t="str">
        <f>IF(OR(E3389="",E3389="!!!",F3389="NEW"),"",INDEX(B3388:B$2,-1+SUMPRODUCT(MAX(ROW(E3388:E$2)*(E3389=E3388:E$2)))))</f>
        <v> </v>
      </c>
      <c r="J3389" s="25" t="str">
        <f>IF(OR(E3389="",E3389="!!!",F3389="NEW"),"",COUNTBLANK(OFFSET(A$1,,,SUMPRODUCT(MAX(ROW(E$2:E3389)*(E3389=E$2:E3389)))))-COUNTBLANK(OFFSET(A$1,,,SUMPRODUCT(MAX(ROW(E$1:E3388)*(E2=E$1:E3388))))))</f>
        <v> </v>
      </c>
      <c r="K3389" s="25" t="str">
        <f>IF(OR(E3389="",E3389="!!!",F3389="NEW"),"",INDEX(J$1:J3388,SUMPRODUCT(MAX(ROW(E$1:E3388)*(E3389=E$1:E3388)))))</f>
        <v> </v>
      </c>
      <c r="L3389" s="26"/>
    </row>
    <row r="3390" spans="1:12">
      <c r="A3390" s="20" t="s">
        <v>902</v>
      </c>
      <c r="B3390" s="27" t="s">
        <v>680</v>
      </c>
      <c r="C3390" s="27" t="s">
        <v>523</v>
      </c>
      <c r="D3390" s="27" t="s">
        <v>524</v>
      </c>
      <c r="E3390" s="21">
        <f>IF(D3390="?OLD","!!!","")</f>
        <v/>
      </c>
      <c r="F3390" s="22" t="str">
        <f>IF(OR(E3390="",E3390="!!!"),"",IF(NOT(ISNA(VLOOKUP(E3390,E$1:E3389,1,FALSE()))),"OLD",IF(AND(E3390&lt;&gt;"",E3390&lt;&gt;"!!!"),"NEW","")))</f>
        <v> </v>
      </c>
      <c r="G3390" s="23" t="str">
        <f>IF(OR(E3390="",E3390="!!!"),"",IF(OR(J3390=0,AND(J3390=1,K3390=1),AND(J3390=1,I3390="SBJ"),AND(J3390=1,I3390=0)),"?IN_FOCUS",IF(J3390&lt;=2,"?ACTIVATED",IF(J3390&lt;&gt;"","?FAMILIAR",IF(F3390="NEW",IF(ISNA(VLOOKUP(E3390,#REF!,1,FALSE())),"?TYPE_IDENTIFIABLE","?REFERENTIAL"),"_")))))</f>
        <v> </v>
      </c>
      <c r="H3390" s="24" t="str">
        <f>IF(J3390&lt;&gt;1,"",IF(I3390="SBJ","CB","?"))</f>
        <v> </v>
      </c>
      <c r="I3390" s="25" t="str">
        <f>IF(OR(E3390="",E3390="!!!",F3390="NEW"),"",INDEX(B3389:B$2,-1+SUMPRODUCT(MAX(ROW(E3389:E$2)*(E3390=E3389:E$2)))))</f>
        <v> </v>
      </c>
      <c r="J3390" s="25" t="str">
        <f>IF(OR(E3390="",E3390="!!!",F3390="NEW"),"",COUNTBLANK(OFFSET(A$1,,,SUMPRODUCT(MAX(ROW(E$2:E3390)*(E3390=E$2:E3390)))))-COUNTBLANK(OFFSET(A$1,,,SUMPRODUCT(MAX(ROW(E$1:E3389)*(E2=E$1:E3389))))))</f>
        <v> </v>
      </c>
      <c r="K3390" s="25" t="str">
        <f>IF(OR(E3390="",E3390="!!!",F3390="NEW"),"",INDEX(J$1:J3389,SUMPRODUCT(MAX(ROW(E$1:E3389)*(E3390=E$1:E3389)))))</f>
        <v> </v>
      </c>
      <c r="L3390" s="26"/>
    </row>
    <row r="3391" spans="1:12">
      <c r="A3391" s="20" t="s">
        <v>1373</v>
      </c>
      <c r="E3391" s="21">
        <f>IF(D3391="?OLD","!!!","")</f>
        <v/>
      </c>
      <c r="F3391" s="22" t="str">
        <f>IF(OR(E3391="",E3391="!!!"),"",IF(NOT(ISNA(VLOOKUP(E3391,E$1:E3390,1,FALSE()))),"OLD",IF(AND(E3391&lt;&gt;"",E3391&lt;&gt;"!!!"),"NEW","")))</f>
        <v> </v>
      </c>
      <c r="G3391" s="23" t="str">
        <f>IF(OR(E3391="",E3391="!!!"),"",IF(OR(J3391=0,AND(J3391=1,K3391=1),AND(J3391=1,I3391="SBJ"),AND(J3391=1,I3391=0)),"?IN_FOCUS",IF(J3391&lt;=2,"?ACTIVATED",IF(J3391&lt;&gt;"","?FAMILIAR",IF(F3391="NEW",IF(ISNA(VLOOKUP(E3391,#REF!,1,FALSE())),"?TYPE_IDENTIFIABLE","?REFERENTIAL"),"_")))))</f>
        <v> </v>
      </c>
      <c r="H3391" s="24" t="str">
        <f>IF(J3391&lt;&gt;1,"",IF(I3391="SBJ","CB","?"))</f>
        <v> </v>
      </c>
      <c r="I3391" s="25" t="str">
        <f>IF(OR(E3391="",E3391="!!!",F3391="NEW"),"",INDEX(B3390:B$2,-1+SUMPRODUCT(MAX(ROW(E3390:E$2)*(E3391=E3390:E$2)))))</f>
        <v> </v>
      </c>
      <c r="J3391" s="25" t="str">
        <f>IF(OR(E3391="",E3391="!!!",F3391="NEW"),"",COUNTBLANK(OFFSET(A$1,,,SUMPRODUCT(MAX(ROW(E$2:E3391)*(E3391=E$2:E3391)))))-COUNTBLANK(OFFSET(A$1,,,SUMPRODUCT(MAX(ROW(E$1:E3390)*(E2=E$1:E3390))))))</f>
        <v> </v>
      </c>
      <c r="K3391" s="25" t="str">
        <f>IF(OR(E3391="",E3391="!!!",F3391="NEW"),"",INDEX(J$1:J3390,SUMPRODUCT(MAX(ROW(E$1:E3390)*(E3391=E$1:E3390)))))</f>
        <v> </v>
      </c>
      <c r="L3391" s="26"/>
    </row>
    <row r="3392" spans="1:12">
      <c r="A3392" s="20" t="s">
        <v>1628</v>
      </c>
      <c r="B3392" s="27" t="s">
        <v>743</v>
      </c>
      <c r="C3392" s="27" t="s">
        <v>540</v>
      </c>
      <c r="D3392" s="27" t="s">
        <v>524</v>
      </c>
      <c r="E3392" s="21">
        <f>IF(D3392="?OLD","!!!","")</f>
        <v/>
      </c>
      <c r="F3392" s="22" t="str">
        <f>IF(OR(E3392="",E3392="!!!"),"",IF(NOT(ISNA(VLOOKUP(E3392,E$1:E3391,1,FALSE()))),"OLD",IF(AND(E3392&lt;&gt;"",E3392&lt;&gt;"!!!"),"NEW","")))</f>
        <v> </v>
      </c>
      <c r="G3392" s="23" t="str">
        <f>IF(OR(E3392="",E3392="!!!"),"",IF(OR(J3392=0,AND(J3392=1,K3392=1),AND(J3392=1,I3392="SBJ"),AND(J3392=1,I3392=0)),"?IN_FOCUS",IF(J3392&lt;=2,"?ACTIVATED",IF(J3392&lt;&gt;"","?FAMILIAR",IF(F3392="NEW",IF(ISNA(VLOOKUP(E3392,#REF!,1,FALSE())),"?TYPE_IDENTIFIABLE","?REFERENTIAL"),"_")))))</f>
        <v> </v>
      </c>
      <c r="H3392" s="24" t="str">
        <f>IF(J3392&lt;&gt;1,"",IF(I3392="SBJ","CB","?"))</f>
        <v> </v>
      </c>
      <c r="I3392" s="25" t="str">
        <f>IF(OR(E3392="",E3392="!!!",F3392="NEW"),"",INDEX(B3391:B$2,-1+SUMPRODUCT(MAX(ROW(E3391:E$2)*(E3392=E3391:E$2)))))</f>
        <v> </v>
      </c>
      <c r="J3392" s="25" t="str">
        <f>IF(OR(E3392="",E3392="!!!",F3392="NEW"),"",COUNTBLANK(OFFSET(A$1,,,SUMPRODUCT(MAX(ROW(E$2:E3392)*(E3392=E$2:E3392)))))-COUNTBLANK(OFFSET(A$1,,,SUMPRODUCT(MAX(ROW(E$1:E3391)*(E2=E$1:E3391))))))</f>
        <v> </v>
      </c>
      <c r="K3392" s="25" t="str">
        <f>IF(OR(E3392="",E3392="!!!",F3392="NEW"),"",INDEX(J$1:J3391,SUMPRODUCT(MAX(ROW(E$1:E3391)*(E3392=E$1:E3391)))))</f>
        <v> </v>
      </c>
      <c r="L3392" s="26"/>
    </row>
    <row r="3393" spans="1:12">
      <c r="A3393" s="20" t="s">
        <v>518</v>
      </c>
      <c r="E3393" s="21">
        <f>IF(D3393="?OLD","!!!","")</f>
        <v/>
      </c>
      <c r="F3393" s="22" t="str">
        <f>IF(OR(E3393="",E3393="!!!"),"",IF(NOT(ISNA(VLOOKUP(E3393,E$1:E3392,1,FALSE()))),"OLD",IF(AND(E3393&lt;&gt;"",E3393&lt;&gt;"!!!"),"NEW","")))</f>
        <v> </v>
      </c>
      <c r="G3393" s="23" t="str">
        <f>IF(OR(E3393="",E3393="!!!"),"",IF(OR(J3393=0,AND(J3393=1,K3393=1),AND(J3393=1,I3393="SBJ"),AND(J3393=1,I3393=0)),"?IN_FOCUS",IF(J3393&lt;=2,"?ACTIVATED",IF(J3393&lt;&gt;"","?FAMILIAR",IF(F3393="NEW",IF(ISNA(VLOOKUP(E3393,#REF!,1,FALSE())),"?TYPE_IDENTIFIABLE","?REFERENTIAL"),"_")))))</f>
        <v> </v>
      </c>
      <c r="H3393" s="24" t="str">
        <f>IF(J3393&lt;&gt;1,"",IF(I3393="SBJ","CB","?"))</f>
        <v> </v>
      </c>
      <c r="I3393" s="25" t="str">
        <f>IF(OR(E3393="",E3393="!!!",F3393="NEW"),"",INDEX(B3392:B$2,-1+SUMPRODUCT(MAX(ROW(E3392:E$2)*(E3393=E3392:E$2)))))</f>
        <v> </v>
      </c>
      <c r="J3393" s="25" t="str">
        <f>IF(OR(E3393="",E3393="!!!",F3393="NEW"),"",COUNTBLANK(OFFSET(A$1,,,SUMPRODUCT(MAX(ROW(E$2:E3393)*(E3393=E$2:E3393)))))-COUNTBLANK(OFFSET(A$1,,,SUMPRODUCT(MAX(ROW(E$1:E3392)*(E2=E$1:E3392))))))</f>
        <v> </v>
      </c>
      <c r="K3393" s="25" t="str">
        <f>IF(OR(E3393="",E3393="!!!",F3393="NEW"),"",INDEX(J$1:J3392,SUMPRODUCT(MAX(ROW(E$1:E3392)*(E3393=E$1:E3392)))))</f>
        <v> </v>
      </c>
      <c r="L3393" s="26"/>
    </row>
    <row r="3394" spans="1:12">
      <c r="A3394" s="20" t="s">
        <v>1619</v>
      </c>
      <c r="B3394" s="27" t="s">
        <v>597</v>
      </c>
      <c r="C3394" s="27" t="s">
        <v>564</v>
      </c>
      <c r="E3394" s="21">
        <f>IF(D3394="?OLD","!!!","")</f>
        <v/>
      </c>
      <c r="F3394" s="22" t="str">
        <f>IF(OR(E3394="",E3394="!!!"),"",IF(NOT(ISNA(VLOOKUP(E3394,E$1:E3393,1,FALSE()))),"OLD",IF(AND(E3394&lt;&gt;"",E3394&lt;&gt;"!!!"),"NEW","")))</f>
        <v> </v>
      </c>
      <c r="G3394" s="23" t="str">
        <f>IF(OR(E3394="",E3394="!!!"),"",IF(OR(J3394=0,AND(J3394=1,K3394=1),AND(J3394=1,I3394="SBJ"),AND(J3394=1,I3394=0)),"?IN_FOCUS",IF(J3394&lt;=2,"?ACTIVATED",IF(J3394&lt;&gt;"","?FAMILIAR",IF(F3394="NEW",IF(ISNA(VLOOKUP(E3394,#REF!,1,FALSE())),"?TYPE_IDENTIFIABLE","?REFERENTIAL"),"_")))))</f>
        <v> </v>
      </c>
      <c r="H3394" s="24" t="str">
        <f>IF(J3394&lt;&gt;1,"",IF(I3394="SBJ","CB","?"))</f>
        <v> </v>
      </c>
      <c r="I3394" s="25" t="str">
        <f>IF(OR(E3394="",E3394="!!!",F3394="NEW"),"",INDEX(B3393:B$2,-1+SUMPRODUCT(MAX(ROW(E3393:E$2)*(E3394=E3393:E$2)))))</f>
        <v> </v>
      </c>
      <c r="J3394" s="25" t="str">
        <f>IF(OR(E3394="",E3394="!!!",F3394="NEW"),"",COUNTBLANK(OFFSET(A$1,,,SUMPRODUCT(MAX(ROW(E$2:E3394)*(E3394=E$2:E3394)))))-COUNTBLANK(OFFSET(A$1,,,SUMPRODUCT(MAX(ROW(E$1:E3393)*(E2=E$1:E3393))))))</f>
        <v> </v>
      </c>
      <c r="K3394" s="25" t="str">
        <f>IF(OR(E3394="",E3394="!!!",F3394="NEW"),"",INDEX(J$1:J3393,SUMPRODUCT(MAX(ROW(E$1:E3393)*(E3394=E$1:E3393)))))</f>
        <v> </v>
      </c>
      <c r="L3394" s="26"/>
    </row>
    <row r="3395" spans="1:12">
      <c r="A3395" s="20" t="s">
        <v>786</v>
      </c>
      <c r="B3395" s="27" t="s">
        <v>544</v>
      </c>
      <c r="C3395" s="27" t="s">
        <v>523</v>
      </c>
      <c r="D3395" s="27" t="s">
        <v>524</v>
      </c>
      <c r="E3395" s="21">
        <f>IF(D3395="?OLD","!!!","")</f>
        <v/>
      </c>
      <c r="F3395" s="22" t="str">
        <f>IF(OR(E3395="",E3395="!!!"),"",IF(NOT(ISNA(VLOOKUP(E3395,E$1:E3394,1,FALSE()))),"OLD",IF(AND(E3395&lt;&gt;"",E3395&lt;&gt;"!!!"),"NEW","")))</f>
        <v> </v>
      </c>
      <c r="G3395" s="23" t="str">
        <f>IF(OR(E3395="",E3395="!!!"),"",IF(OR(J3395=0,AND(J3395=1,K3395=1),AND(J3395=1,I3395="SBJ"),AND(J3395=1,I3395=0)),"?IN_FOCUS",IF(J3395&lt;=2,"?ACTIVATED",IF(J3395&lt;&gt;"","?FAMILIAR",IF(F3395="NEW",IF(ISNA(VLOOKUP(E3395,#REF!,1,FALSE())),"?TYPE_IDENTIFIABLE","?REFERENTIAL"),"_")))))</f>
        <v> </v>
      </c>
      <c r="H3395" s="24" t="str">
        <f>IF(J3395&lt;&gt;1,"",IF(I3395="SBJ","CB","?"))</f>
        <v> </v>
      </c>
      <c r="I3395" s="25" t="str">
        <f>IF(OR(E3395="",E3395="!!!",F3395="NEW"),"",INDEX(B3394:B$2,-1+SUMPRODUCT(MAX(ROW(E3394:E$2)*(E3395=E3394:E$2)))))</f>
        <v> </v>
      </c>
      <c r="J3395" s="25" t="str">
        <f>IF(OR(E3395="",E3395="!!!",F3395="NEW"),"",COUNTBLANK(OFFSET(A$1,,,SUMPRODUCT(MAX(ROW(E$2:E3395)*(E3395=E$2:E3395)))))-COUNTBLANK(OFFSET(A$1,,,SUMPRODUCT(MAX(ROW(E$1:E3394)*(E2=E$1:E3394))))))</f>
        <v> </v>
      </c>
      <c r="K3395" s="25" t="str">
        <f>IF(OR(E3395="",E3395="!!!",F3395="NEW"),"",INDEX(J$1:J3394,SUMPRODUCT(MAX(ROW(E$1:E3394)*(E3395=E$1:E3394)))))</f>
        <v> </v>
      </c>
      <c r="L3395" s="26"/>
    </row>
    <row r="3396" spans="1:12">
      <c r="A3396" s="20" t="s">
        <v>549</v>
      </c>
      <c r="E3396" s="21">
        <f>IF(D3396="?OLD","!!!","")</f>
        <v/>
      </c>
      <c r="F3396" s="22" t="str">
        <f>IF(OR(E3396="",E3396="!!!"),"",IF(NOT(ISNA(VLOOKUP(E3396,E$1:E3395,1,FALSE()))),"OLD",IF(AND(E3396&lt;&gt;"",E3396&lt;&gt;"!!!"),"NEW","")))</f>
        <v> </v>
      </c>
      <c r="G3396" s="23" t="str">
        <f>IF(OR(E3396="",E3396="!!!"),"",IF(OR(J3396=0,AND(J3396=1,K3396=1),AND(J3396=1,I3396="SBJ"),AND(J3396=1,I3396=0)),"?IN_FOCUS",IF(J3396&lt;=2,"?ACTIVATED",IF(J3396&lt;&gt;"","?FAMILIAR",IF(F3396="NEW",IF(ISNA(VLOOKUP(E3396,#REF!,1,FALSE())),"?TYPE_IDENTIFIABLE","?REFERENTIAL"),"_")))))</f>
        <v> </v>
      </c>
      <c r="H3396" s="24" t="str">
        <f>IF(J3396&lt;&gt;1,"",IF(I3396="SBJ","CB","?"))</f>
        <v> </v>
      </c>
      <c r="I3396" s="25" t="str">
        <f>IF(OR(E3396="",E3396="!!!",F3396="NEW"),"",INDEX(B3395:B$2,-1+SUMPRODUCT(MAX(ROW(E3395:E$2)*(E3396=E3395:E$2)))))</f>
        <v> </v>
      </c>
      <c r="J3396" s="25" t="str">
        <f>IF(OR(E3396="",E3396="!!!",F3396="NEW"),"",COUNTBLANK(OFFSET(A$1,,,SUMPRODUCT(MAX(ROW(E$2:E3396)*(E3396=E$2:E3396)))))-COUNTBLANK(OFFSET(A$1,,,SUMPRODUCT(MAX(ROW(E$1:E3395)*(E2=E$1:E3395))))))</f>
        <v> </v>
      </c>
      <c r="K3396" s="25" t="str">
        <f>IF(OR(E3396="",E3396="!!!",F3396="NEW"),"",INDEX(J$1:J3395,SUMPRODUCT(MAX(ROW(E$1:E3395)*(E3396=E$1:E3395)))))</f>
        <v> </v>
      </c>
      <c r="L3396" s="26"/>
    </row>
    <row r="3397" spans="1:12">
      <c r="A3397" s="20" t="s">
        <v>964</v>
      </c>
      <c r="E3397" s="21">
        <f>IF(D3397="?OLD","!!!","")</f>
        <v/>
      </c>
      <c r="F3397" s="22" t="str">
        <f>IF(OR(E3397="",E3397="!!!"),"",IF(NOT(ISNA(VLOOKUP(E3397,E$1:E3396,1,FALSE()))),"OLD",IF(AND(E3397&lt;&gt;"",E3397&lt;&gt;"!!!"),"NEW","")))</f>
        <v> </v>
      </c>
      <c r="G3397" s="23" t="str">
        <f>IF(OR(E3397="",E3397="!!!"),"",IF(OR(J3397=0,AND(J3397=1,K3397=1),AND(J3397=1,I3397="SBJ"),AND(J3397=1,I3397=0)),"?IN_FOCUS",IF(J3397&lt;=2,"?ACTIVATED",IF(J3397&lt;&gt;"","?FAMILIAR",IF(F3397="NEW",IF(ISNA(VLOOKUP(E3397,#REF!,1,FALSE())),"?TYPE_IDENTIFIABLE","?REFERENTIAL"),"_")))))</f>
        <v> </v>
      </c>
      <c r="H3397" s="24" t="str">
        <f>IF(J3397&lt;&gt;1,"",IF(I3397="SBJ","CB","?"))</f>
        <v> </v>
      </c>
      <c r="I3397" s="25" t="str">
        <f>IF(OR(E3397="",E3397="!!!",F3397="NEW"),"",INDEX(B3396:B$2,-1+SUMPRODUCT(MAX(ROW(E3396:E$2)*(E3397=E3396:E$2)))))</f>
        <v> </v>
      </c>
      <c r="J3397" s="25" t="str">
        <f>IF(OR(E3397="",E3397="!!!",F3397="NEW"),"",COUNTBLANK(OFFSET(A$1,,,SUMPRODUCT(MAX(ROW(E$2:E3397)*(E3397=E$2:E3397)))))-COUNTBLANK(OFFSET(A$1,,,SUMPRODUCT(MAX(ROW(E$1:E3396)*(E2=E$1:E3396))))))</f>
        <v> </v>
      </c>
      <c r="K3397" s="25" t="str">
        <f>IF(OR(E3397="",E3397="!!!",F3397="NEW"),"",INDEX(J$1:J3396,SUMPRODUCT(MAX(ROW(E$1:E3396)*(E3397=E$1:E3396)))))</f>
        <v> </v>
      </c>
      <c r="L3397" s="26"/>
    </row>
    <row r="3398" spans="1:12">
      <c r="A3398" s="20" t="s">
        <v>32</v>
      </c>
      <c r="E3398" s="21">
        <f>IF(D3398="?OLD","!!!","")</f>
        <v/>
      </c>
      <c r="F3398" s="22" t="str">
        <f>IF(OR(E3398="",E3398="!!!"),"",IF(NOT(ISNA(VLOOKUP(E3398,E$1:E3397,1,FALSE()))),"OLD",IF(AND(E3398&lt;&gt;"",E3398&lt;&gt;"!!!"),"NEW","")))</f>
        <v> </v>
      </c>
      <c r="G3398" s="23" t="str">
        <f>IF(OR(E3398="",E3398="!!!"),"",IF(OR(J3398=0,AND(J3398=1,K3398=1),AND(J3398=1,I3398="SBJ"),AND(J3398=1,I3398=0)),"?IN_FOCUS",IF(J3398&lt;=2,"?ACTIVATED",IF(J3398&lt;&gt;"","?FAMILIAR",IF(F3398="NEW",IF(ISNA(VLOOKUP(E3398,#REF!,1,FALSE())),"?TYPE_IDENTIFIABLE","?REFERENTIAL"),"_")))))</f>
        <v> </v>
      </c>
      <c r="H3398" s="24" t="str">
        <f>IF(J3398&lt;&gt;1,"",IF(I3398="SBJ","CB","?"))</f>
        <v> </v>
      </c>
      <c r="I3398" s="25" t="str">
        <f>IF(OR(E3398="",E3398="!!!",F3398="NEW"),"",INDEX(B3397:B$2,-1+SUMPRODUCT(MAX(ROW(E3397:E$2)*(E3398=E3397:E$2)))))</f>
        <v> </v>
      </c>
      <c r="J3398" s="25" t="str">
        <f>IF(OR(E3398="",E3398="!!!",F3398="NEW"),"",COUNTBLANK(OFFSET(A$1,,,SUMPRODUCT(MAX(ROW(E$2:E3398)*(E3398=E$2:E3398)))))-COUNTBLANK(OFFSET(A$1,,,SUMPRODUCT(MAX(ROW(E$1:E3397)*(E2=E$1:E3397))))))</f>
        <v> </v>
      </c>
      <c r="K3398" s="25" t="str">
        <f>IF(OR(E3398="",E3398="!!!",F3398="NEW"),"",INDEX(J$1:J3397,SUMPRODUCT(MAX(ROW(E$1:E3397)*(E3398=E$1:E3397)))))</f>
        <v> </v>
      </c>
      <c r="L3398" s="26"/>
    </row>
    <row r="3399" spans="1:12">
      <c r="A3399" s="20" t="s">
        <v>565</v>
      </c>
      <c r="E3399" s="21">
        <f>IF(D3399="?OLD","!!!","")</f>
        <v/>
      </c>
      <c r="F3399" s="22" t="str">
        <f>IF(OR(E3399="",E3399="!!!"),"",IF(NOT(ISNA(VLOOKUP(E3399,E$1:E3398,1,FALSE()))),"OLD",IF(AND(E3399&lt;&gt;"",E3399&lt;&gt;"!!!"),"NEW","")))</f>
        <v> </v>
      </c>
      <c r="G3399" s="23" t="str">
        <f>IF(OR(E3399="",E3399="!!!"),"",IF(OR(J3399=0,AND(J3399=1,K3399=1),AND(J3399=1,I3399="SBJ"),AND(J3399=1,I3399=0)),"?IN_FOCUS",IF(J3399&lt;=2,"?ACTIVATED",IF(J3399&lt;&gt;"","?FAMILIAR",IF(F3399="NEW",IF(ISNA(VLOOKUP(E3399,#REF!,1,FALSE())),"?TYPE_IDENTIFIABLE","?REFERENTIAL"),"_")))))</f>
        <v> </v>
      </c>
      <c r="H3399" s="24" t="str">
        <f>IF(J3399&lt;&gt;1,"",IF(I3399="SBJ","CB","?"))</f>
        <v> </v>
      </c>
      <c r="I3399" s="25" t="str">
        <f>IF(OR(E3399="",E3399="!!!",F3399="NEW"),"",INDEX(B3398:B$2,-1+SUMPRODUCT(MAX(ROW(E3398:E$2)*(E3399=E3398:E$2)))))</f>
        <v> </v>
      </c>
      <c r="J3399" s="25" t="str">
        <f>IF(OR(E3399="",E3399="!!!",F3399="NEW"),"",COUNTBLANK(OFFSET(A$1,,,SUMPRODUCT(MAX(ROW(E$2:E3399)*(E3399=E$2:E3399)))))-COUNTBLANK(OFFSET(A$1,,,SUMPRODUCT(MAX(ROW(E$1:E3398)*(E2=E$1:E3398))))))</f>
        <v> </v>
      </c>
      <c r="K3399" s="25" t="str">
        <f>IF(OR(E3399="",E3399="!!!",F3399="NEW"),"",INDEX(J$1:J3398,SUMPRODUCT(MAX(ROW(E$1:E3398)*(E3399=E$1:E3398)))))</f>
        <v> </v>
      </c>
      <c r="L3399" s="26"/>
    </row>
    <row r="3400" spans="1:12">
      <c r="A3400" s="20" t="s">
        <v>518</v>
      </c>
      <c r="E3400" s="21">
        <f>IF(D3400="?OLD","!!!","")</f>
        <v/>
      </c>
      <c r="F3400" s="22" t="str">
        <f>IF(OR(E3400="",E3400="!!!"),"",IF(NOT(ISNA(VLOOKUP(E3400,E$1:E3399,1,FALSE()))),"OLD",IF(AND(E3400&lt;&gt;"",E3400&lt;&gt;"!!!"),"NEW","")))</f>
        <v> </v>
      </c>
      <c r="G3400" s="23" t="str">
        <f>IF(OR(E3400="",E3400="!!!"),"",IF(OR(J3400=0,AND(J3400=1,K3400=1),AND(J3400=1,I3400="SBJ"),AND(J3400=1,I3400=0)),"?IN_FOCUS",IF(J3400&lt;=2,"?ACTIVATED",IF(J3400&lt;&gt;"","?FAMILIAR",IF(F3400="NEW",IF(ISNA(VLOOKUP(E3400,#REF!,1,FALSE())),"?TYPE_IDENTIFIABLE","?REFERENTIAL"),"_")))))</f>
        <v> </v>
      </c>
      <c r="H3400" s="24" t="str">
        <f>IF(J3400&lt;&gt;1,"",IF(I3400="SBJ","CB","?"))</f>
        <v> </v>
      </c>
      <c r="I3400" s="25" t="str">
        <f>IF(OR(E3400="",E3400="!!!",F3400="NEW"),"",INDEX(B3399:B$2,-1+SUMPRODUCT(MAX(ROW(E3399:E$2)*(E3400=E3399:E$2)))))</f>
        <v> </v>
      </c>
      <c r="J3400" s="25" t="str">
        <f>IF(OR(E3400="",E3400="!!!",F3400="NEW"),"",COUNTBLANK(OFFSET(A$1,,,SUMPRODUCT(MAX(ROW(E$2:E3400)*(E3400=E$2:E3400)))))-COUNTBLANK(OFFSET(A$1,,,SUMPRODUCT(MAX(ROW(E$1:E3399)*(E2=E$1:E3399))))))</f>
        <v> </v>
      </c>
      <c r="K3400" s="25" t="str">
        <f>IF(OR(E3400="",E3400="!!!",F3400="NEW"),"",INDEX(J$1:J3399,SUMPRODUCT(MAX(ROW(E$1:E3399)*(E3400=E$1:E3399)))))</f>
        <v> </v>
      </c>
      <c r="L3400" s="26"/>
    </row>
    <row r="3401" spans="1:12">
      <c r="A3401" s="20" t="s">
        <v>571</v>
      </c>
      <c r="E3401" s="21">
        <f>IF(D3401="?OLD","!!!","")</f>
        <v/>
      </c>
      <c r="F3401" s="22" t="str">
        <f>IF(OR(E3401="",E3401="!!!"),"",IF(NOT(ISNA(VLOOKUP(E3401,E$1:E3400,1,FALSE()))),"OLD",IF(AND(E3401&lt;&gt;"",E3401&lt;&gt;"!!!"),"NEW","")))</f>
        <v> </v>
      </c>
      <c r="G3401" s="23" t="str">
        <f>IF(OR(E3401="",E3401="!!!"),"",IF(OR(J3401=0,AND(J3401=1,K3401=1),AND(J3401=1,I3401="SBJ"),AND(J3401=1,I3401=0)),"?IN_FOCUS",IF(J3401&lt;=2,"?ACTIVATED",IF(J3401&lt;&gt;"","?FAMILIAR",IF(F3401="NEW",IF(ISNA(VLOOKUP(E3401,#REF!,1,FALSE())),"?TYPE_IDENTIFIABLE","?REFERENTIAL"),"_")))))</f>
        <v> </v>
      </c>
      <c r="H3401" s="24" t="str">
        <f>IF(J3401&lt;&gt;1,"",IF(I3401="SBJ","CB","?"))</f>
        <v> </v>
      </c>
      <c r="I3401" s="25" t="str">
        <f>IF(OR(E3401="",E3401="!!!",F3401="NEW"),"",INDEX(B3400:B$2,-1+SUMPRODUCT(MAX(ROW(E3400:E$2)*(E3401=E3400:E$2)))))</f>
        <v> </v>
      </c>
      <c r="J3401" s="25" t="str">
        <f>IF(OR(E3401="",E3401="!!!",F3401="NEW"),"",COUNTBLANK(OFFSET(A$1,,,SUMPRODUCT(MAX(ROW(E$2:E3401)*(E3401=E$2:E3401)))))-COUNTBLANK(OFFSET(A$1,,,SUMPRODUCT(MAX(ROW(E$1:E3400)*(E2=E$1:E3400))))))</f>
        <v> </v>
      </c>
      <c r="K3401" s="25" t="str">
        <f>IF(OR(E3401="",E3401="!!!",F3401="NEW"),"",INDEX(J$1:J3400,SUMPRODUCT(MAX(ROW(E$1:E3400)*(E3401=E$1:E3400)))))</f>
        <v> </v>
      </c>
      <c r="L3401" s="26"/>
    </row>
    <row r="3402" spans="1:12">
      <c r="A3402" s="20" t="s">
        <v>1629</v>
      </c>
      <c r="E3402" s="21">
        <f>IF(D3402="?OLD","!!!","")</f>
        <v/>
      </c>
      <c r="F3402" s="22" t="str">
        <f>IF(OR(E3402="",E3402="!!!"),"",IF(NOT(ISNA(VLOOKUP(E3402,E$1:E3401,1,FALSE()))),"OLD",IF(AND(E3402&lt;&gt;"",E3402&lt;&gt;"!!!"),"NEW","")))</f>
        <v> </v>
      </c>
      <c r="G3402" s="23" t="str">
        <f>IF(OR(E3402="",E3402="!!!"),"",IF(OR(J3402=0,AND(J3402=1,K3402=1),AND(J3402=1,I3402="SBJ"),AND(J3402=1,I3402=0)),"?IN_FOCUS",IF(J3402&lt;=2,"?ACTIVATED",IF(J3402&lt;&gt;"","?FAMILIAR",IF(F3402="NEW",IF(ISNA(VLOOKUP(E3402,#REF!,1,FALSE())),"?TYPE_IDENTIFIABLE","?REFERENTIAL"),"_")))))</f>
        <v> </v>
      </c>
      <c r="H3402" s="24" t="str">
        <f>IF(J3402&lt;&gt;1,"",IF(I3402="SBJ","CB","?"))</f>
        <v> </v>
      </c>
      <c r="I3402" s="25" t="str">
        <f>IF(OR(E3402="",E3402="!!!",F3402="NEW"),"",INDEX(B3401:B$2,-1+SUMPRODUCT(MAX(ROW(E3401:E$2)*(E3402=E3401:E$2)))))</f>
        <v> </v>
      </c>
      <c r="J3402" s="25" t="str">
        <f>IF(OR(E3402="",E3402="!!!",F3402="NEW"),"",COUNTBLANK(OFFSET(A$1,,,SUMPRODUCT(MAX(ROW(E$2:E3402)*(E3402=E$2:E3402)))))-COUNTBLANK(OFFSET(A$1,,,SUMPRODUCT(MAX(ROW(E$1:E3401)*(E2=E$1:E3401))))))</f>
        <v> </v>
      </c>
      <c r="K3402" s="25" t="str">
        <f>IF(OR(E3402="",E3402="!!!",F3402="NEW"),"",INDEX(J$1:J3401,SUMPRODUCT(MAX(ROW(E$1:E3401)*(E3402=E$1:E3401)))))</f>
        <v> </v>
      </c>
      <c r="L3402" s="26"/>
    </row>
    <row r="3403" spans="1:12">
      <c r="A3403" s="20" t="s">
        <v>1630</v>
      </c>
      <c r="B3403" s="27" t="s">
        <v>544</v>
      </c>
      <c r="C3403" s="27" t="s">
        <v>540</v>
      </c>
      <c r="D3403" s="27" t="s">
        <v>524</v>
      </c>
      <c r="E3403" s="21">
        <f>IF(D3403="?OLD","!!!","")</f>
        <v/>
      </c>
      <c r="F3403" s="22" t="str">
        <f>IF(OR(E3403="",E3403="!!!"),"",IF(NOT(ISNA(VLOOKUP(E3403,E$1:E3402,1,FALSE()))),"OLD",IF(AND(E3403&lt;&gt;"",E3403&lt;&gt;"!!!"),"NEW","")))</f>
        <v> </v>
      </c>
      <c r="G3403" s="23" t="str">
        <f>IF(OR(E3403="",E3403="!!!"),"",IF(OR(J3403=0,AND(J3403=1,K3403=1),AND(J3403=1,I3403="SBJ"),AND(J3403=1,I3403=0)),"?IN_FOCUS",IF(J3403&lt;=2,"?ACTIVATED",IF(J3403&lt;&gt;"","?FAMILIAR",IF(F3403="NEW",IF(ISNA(VLOOKUP(E3403,#REF!,1,FALSE())),"?TYPE_IDENTIFIABLE","?REFERENTIAL"),"_")))))</f>
        <v> </v>
      </c>
      <c r="H3403" s="24" t="str">
        <f>IF(J3403&lt;&gt;1,"",IF(I3403="SBJ","CB","?"))</f>
        <v> </v>
      </c>
      <c r="I3403" s="25" t="str">
        <f>IF(OR(E3403="",E3403="!!!",F3403="NEW"),"",INDEX(B3402:B$2,-1+SUMPRODUCT(MAX(ROW(E3402:E$2)*(E3403=E3402:E$2)))))</f>
        <v> </v>
      </c>
      <c r="J3403" s="25" t="str">
        <f>IF(OR(E3403="",E3403="!!!",F3403="NEW"),"",COUNTBLANK(OFFSET(A$1,,,SUMPRODUCT(MAX(ROW(E$2:E3403)*(E3403=E$2:E3403)))))-COUNTBLANK(OFFSET(A$1,,,SUMPRODUCT(MAX(ROW(E$1:E3402)*(E2=E$1:E3402))))))</f>
        <v> </v>
      </c>
      <c r="K3403" s="25" t="str">
        <f>IF(OR(E3403="",E3403="!!!",F3403="NEW"),"",INDEX(J$1:J3402,SUMPRODUCT(MAX(ROW(E$1:E3402)*(E3403=E$1:E3402)))))</f>
        <v> </v>
      </c>
      <c r="L3403" s="26"/>
    </row>
    <row r="3404" spans="1:12">
      <c r="A3404" s="20" t="s">
        <v>518</v>
      </c>
      <c r="E3404" s="21">
        <f>IF(D3404="?OLD","!!!","")</f>
        <v/>
      </c>
      <c r="F3404" s="22" t="str">
        <f>IF(OR(E3404="",E3404="!!!"),"",IF(NOT(ISNA(VLOOKUP(E3404,E$1:E3403,1,FALSE()))),"OLD",IF(AND(E3404&lt;&gt;"",E3404&lt;&gt;"!!!"),"NEW","")))</f>
        <v> </v>
      </c>
      <c r="G3404" s="23" t="str">
        <f>IF(OR(E3404="",E3404="!!!"),"",IF(OR(J3404=0,AND(J3404=1,K3404=1),AND(J3404=1,I3404="SBJ"),AND(J3404=1,I3404=0)),"?IN_FOCUS",IF(J3404&lt;=2,"?ACTIVATED",IF(J3404&lt;&gt;"","?FAMILIAR",IF(F3404="NEW",IF(ISNA(VLOOKUP(E3404,#REF!,1,FALSE())),"?TYPE_IDENTIFIABLE","?REFERENTIAL"),"_")))))</f>
        <v> </v>
      </c>
      <c r="H3404" s="24" t="str">
        <f>IF(J3404&lt;&gt;1,"",IF(I3404="SBJ","CB","?"))</f>
        <v> </v>
      </c>
      <c r="I3404" s="25" t="str">
        <f>IF(OR(E3404="",E3404="!!!",F3404="NEW"),"",INDEX(B3403:B$2,-1+SUMPRODUCT(MAX(ROW(E3403:E$2)*(E3404=E3403:E$2)))))</f>
        <v> </v>
      </c>
      <c r="J3404" s="25" t="str">
        <f>IF(OR(E3404="",E3404="!!!",F3404="NEW"),"",COUNTBLANK(OFFSET(A$1,,,SUMPRODUCT(MAX(ROW(E$2:E3404)*(E3404=E$2:E3404)))))-COUNTBLANK(OFFSET(A$1,,,SUMPRODUCT(MAX(ROW(E$1:E3403)*(E2=E$1:E3403))))))</f>
        <v> </v>
      </c>
      <c r="K3404" s="25" t="str">
        <f>IF(OR(E3404="",E3404="!!!",F3404="NEW"),"",INDEX(J$1:J3403,SUMPRODUCT(MAX(ROW(E$1:E3403)*(E3404=E$1:E3403)))))</f>
        <v> </v>
      </c>
      <c r="L3404" s="26"/>
    </row>
    <row r="3405" spans="1:12">
      <c r="A3405" s="20" t="s">
        <v>874</v>
      </c>
      <c r="E3405" s="21">
        <f>IF(D3405="?OLD","!!!","")</f>
        <v/>
      </c>
      <c r="F3405" s="22" t="str">
        <f>IF(OR(E3405="",E3405="!!!"),"",IF(NOT(ISNA(VLOOKUP(E3405,E$1:E3404,1,FALSE()))),"OLD",IF(AND(E3405&lt;&gt;"",E3405&lt;&gt;"!!!"),"NEW","")))</f>
        <v> </v>
      </c>
      <c r="G3405" s="23" t="str">
        <f>IF(OR(E3405="",E3405="!!!"),"",IF(OR(J3405=0,AND(J3405=1,K3405=1),AND(J3405=1,I3405="SBJ"),AND(J3405=1,I3405=0)),"?IN_FOCUS",IF(J3405&lt;=2,"?ACTIVATED",IF(J3405&lt;&gt;"","?FAMILIAR",IF(F3405="NEW",IF(ISNA(VLOOKUP(E3405,#REF!,1,FALSE())),"?TYPE_IDENTIFIABLE","?REFERENTIAL"),"_")))))</f>
        <v> </v>
      </c>
      <c r="H3405" s="24" t="str">
        <f>IF(J3405&lt;&gt;1,"",IF(I3405="SBJ","CB","?"))</f>
        <v> </v>
      </c>
      <c r="I3405" s="25" t="str">
        <f>IF(OR(E3405="",E3405="!!!",F3405="NEW"),"",INDEX(B3404:B$2,-1+SUMPRODUCT(MAX(ROW(E3404:E$2)*(E3405=E3404:E$2)))))</f>
        <v> </v>
      </c>
      <c r="J3405" s="25" t="str">
        <f>IF(OR(E3405="",E3405="!!!",F3405="NEW"),"",COUNTBLANK(OFFSET(A$1,,,SUMPRODUCT(MAX(ROW(E$2:E3405)*(E3405=E$2:E3405)))))-COUNTBLANK(OFFSET(A$1,,,SUMPRODUCT(MAX(ROW(E$1:E3404)*(E2=E$1:E3404))))))</f>
        <v> </v>
      </c>
      <c r="K3405" s="25" t="str">
        <f>IF(OR(E3405="",E3405="!!!",F3405="NEW"),"",INDEX(J$1:J3404,SUMPRODUCT(MAX(ROW(E$1:E3404)*(E3405=E$1:E3404)))))</f>
        <v> </v>
      </c>
      <c r="L3405" s="26"/>
    </row>
    <row r="3406" spans="1:12">
      <c r="A3406" s="20" t="s">
        <v>1596</v>
      </c>
      <c r="B3406" s="27" t="s">
        <v>534</v>
      </c>
      <c r="C3406" s="27" t="s">
        <v>637</v>
      </c>
      <c r="D3406" s="27" t="s">
        <v>524</v>
      </c>
      <c r="E3406" s="21">
        <f>IF(D3406="?OLD","!!!","")</f>
        <v/>
      </c>
      <c r="F3406" s="22" t="str">
        <f>IF(OR(E3406="",E3406="!!!"),"",IF(NOT(ISNA(VLOOKUP(E3406,E$1:E3405,1,FALSE()))),"OLD",IF(AND(E3406&lt;&gt;"",E3406&lt;&gt;"!!!"),"NEW","")))</f>
        <v> </v>
      </c>
      <c r="G3406" s="23" t="str">
        <f>IF(OR(E3406="",E3406="!!!"),"",IF(OR(J3406=0,AND(J3406=1,K3406=1),AND(J3406=1,I3406="SBJ"),AND(J3406=1,I3406=0)),"?IN_FOCUS",IF(J3406&lt;=2,"?ACTIVATED",IF(J3406&lt;&gt;"","?FAMILIAR",IF(F3406="NEW",IF(ISNA(VLOOKUP(E3406,#REF!,1,FALSE())),"?TYPE_IDENTIFIABLE","?REFERENTIAL"),"_")))))</f>
        <v> </v>
      </c>
      <c r="H3406" s="24" t="str">
        <f>IF(J3406&lt;&gt;1,"",IF(I3406="SBJ","CB","?"))</f>
        <v> </v>
      </c>
      <c r="I3406" s="25" t="str">
        <f>IF(OR(E3406="",E3406="!!!",F3406="NEW"),"",INDEX(B3405:B$2,-1+SUMPRODUCT(MAX(ROW(E3405:E$2)*(E3406=E3405:E$2)))))</f>
        <v> </v>
      </c>
      <c r="J3406" s="25" t="str">
        <f>IF(OR(E3406="",E3406="!!!",F3406="NEW"),"",COUNTBLANK(OFFSET(A$1,,,SUMPRODUCT(MAX(ROW(E$2:E3406)*(E3406=E$2:E3406)))))-COUNTBLANK(OFFSET(A$1,,,SUMPRODUCT(MAX(ROW(E$1:E3405)*(E2=E$1:E3405))))))</f>
        <v> </v>
      </c>
      <c r="K3406" s="25" t="str">
        <f>IF(OR(E3406="",E3406="!!!",F3406="NEW"),"",INDEX(J$1:J3405,SUMPRODUCT(MAX(ROW(E$1:E3405)*(E3406=E$1:E3405)))))</f>
        <v> </v>
      </c>
      <c r="L3406" s="26"/>
    </row>
    <row r="3407" spans="1:12">
      <c r="A3407" s="20" t="s">
        <v>565</v>
      </c>
      <c r="E3407" s="21">
        <f>IF(D3407="?OLD","!!!","")</f>
        <v/>
      </c>
      <c r="F3407" s="22" t="str">
        <f>IF(OR(E3407="",E3407="!!!"),"",IF(NOT(ISNA(VLOOKUP(E3407,E$1:E3406,1,FALSE()))),"OLD",IF(AND(E3407&lt;&gt;"",E3407&lt;&gt;"!!!"),"NEW","")))</f>
        <v> </v>
      </c>
      <c r="G3407" s="23" t="str">
        <f>IF(OR(E3407="",E3407="!!!"),"",IF(OR(J3407=0,AND(J3407=1,K3407=1),AND(J3407=1,I3407="SBJ"),AND(J3407=1,I3407=0)),"?IN_FOCUS",IF(J3407&lt;=2,"?ACTIVATED",IF(J3407&lt;&gt;"","?FAMILIAR",IF(F3407="NEW",IF(ISNA(VLOOKUP(E3407,#REF!,1,FALSE())),"?TYPE_IDENTIFIABLE","?REFERENTIAL"),"_")))))</f>
        <v> </v>
      </c>
      <c r="H3407" s="24" t="str">
        <f>IF(J3407&lt;&gt;1,"",IF(I3407="SBJ","CB","?"))</f>
        <v> </v>
      </c>
      <c r="I3407" s="25" t="str">
        <f>IF(OR(E3407="",E3407="!!!",F3407="NEW"),"",INDEX(B3406:B$2,-1+SUMPRODUCT(MAX(ROW(E3406:E$2)*(E3407=E3406:E$2)))))</f>
        <v> </v>
      </c>
      <c r="J3407" s="25" t="str">
        <f>IF(OR(E3407="",E3407="!!!",F3407="NEW"),"",COUNTBLANK(OFFSET(A$1,,,SUMPRODUCT(MAX(ROW(E$2:E3407)*(E3407=E$2:E3407)))))-COUNTBLANK(OFFSET(A$1,,,SUMPRODUCT(MAX(ROW(E$1:E3406)*(E2=E$1:E3406))))))</f>
        <v> </v>
      </c>
      <c r="K3407" s="25" t="str">
        <f>IF(OR(E3407="",E3407="!!!",F3407="NEW"),"",INDEX(J$1:J3406,SUMPRODUCT(MAX(ROW(E$1:E3406)*(E3407=E$1:E3406)))))</f>
        <v> </v>
      </c>
      <c r="L3407" s="26"/>
    </row>
    <row r="3408" spans="1:12">
      <c r="A3408" s="20" t="s">
        <v>1624</v>
      </c>
      <c r="E3408" s="21">
        <f>IF(D3408="?OLD","!!!","")</f>
        <v/>
      </c>
      <c r="F3408" s="22" t="str">
        <f>IF(OR(E3408="",E3408="!!!"),"",IF(NOT(ISNA(VLOOKUP(E3408,E$1:E3407,1,FALSE()))),"OLD",IF(AND(E3408&lt;&gt;"",E3408&lt;&gt;"!!!"),"NEW","")))</f>
        <v> </v>
      </c>
      <c r="G3408" s="23" t="str">
        <f>IF(OR(E3408="",E3408="!!!"),"",IF(OR(J3408=0,AND(J3408=1,K3408=1),AND(J3408=1,I3408="SBJ"),AND(J3408=1,I3408=0)),"?IN_FOCUS",IF(J3408&lt;=2,"?ACTIVATED",IF(J3408&lt;&gt;"","?FAMILIAR",IF(F3408="NEW",IF(ISNA(VLOOKUP(E3408,#REF!,1,FALSE())),"?TYPE_IDENTIFIABLE","?REFERENTIAL"),"_")))))</f>
        <v> </v>
      </c>
      <c r="H3408" s="24" t="str">
        <f>IF(J3408&lt;&gt;1,"",IF(I3408="SBJ","CB","?"))</f>
        <v> </v>
      </c>
      <c r="I3408" s="25" t="str">
        <f>IF(OR(E3408="",E3408="!!!",F3408="NEW"),"",INDEX(B3407:B$2,-1+SUMPRODUCT(MAX(ROW(E3407:E$2)*(E3408=E3407:E$2)))))</f>
        <v> </v>
      </c>
      <c r="J3408" s="25" t="str">
        <f>IF(OR(E3408="",E3408="!!!",F3408="NEW"),"",COUNTBLANK(OFFSET(A$1,,,SUMPRODUCT(MAX(ROW(E$2:E3408)*(E3408=E$2:E3408)))))-COUNTBLANK(OFFSET(A$1,,,SUMPRODUCT(MAX(ROW(E$1:E3407)*(E2=E$1:E3407))))))</f>
        <v> </v>
      </c>
      <c r="K3408" s="25" t="str">
        <f>IF(OR(E3408="",E3408="!!!",F3408="NEW"),"",INDEX(J$1:J3407,SUMPRODUCT(MAX(ROW(E$1:E3407)*(E3408=E$1:E3407)))))</f>
        <v> </v>
      </c>
      <c r="L3408" s="26"/>
    </row>
    <row r="3409" spans="1:12">
      <c r="A3409" s="20" t="s">
        <v>542</v>
      </c>
      <c r="E3409" s="21">
        <f>IF(D3409="?OLD","!!!","")</f>
        <v/>
      </c>
      <c r="F3409" s="22" t="str">
        <f>IF(OR(E3409="",E3409="!!!"),"",IF(NOT(ISNA(VLOOKUP(E3409,E$1:E3408,1,FALSE()))),"OLD",IF(AND(E3409&lt;&gt;"",E3409&lt;&gt;"!!!"),"NEW","")))</f>
        <v> </v>
      </c>
      <c r="G3409" s="23" t="str">
        <f>IF(OR(E3409="",E3409="!!!"),"",IF(OR(J3409=0,AND(J3409=1,K3409=1),AND(J3409=1,I3409="SBJ"),AND(J3409=1,I3409=0)),"?IN_FOCUS",IF(J3409&lt;=2,"?ACTIVATED",IF(J3409&lt;&gt;"","?FAMILIAR",IF(F3409="NEW",IF(ISNA(VLOOKUP(E3409,#REF!,1,FALSE())),"?TYPE_IDENTIFIABLE","?REFERENTIAL"),"_")))))</f>
        <v> </v>
      </c>
      <c r="H3409" s="24" t="str">
        <f>IF(J3409&lt;&gt;1,"",IF(I3409="SBJ","CB","?"))</f>
        <v> </v>
      </c>
      <c r="I3409" s="25" t="str">
        <f>IF(OR(E3409="",E3409="!!!",F3409="NEW"),"",INDEX(B3408:B$2,-1+SUMPRODUCT(MAX(ROW(E3408:E$2)*(E3409=E3408:E$2)))))</f>
        <v> </v>
      </c>
      <c r="J3409" s="25" t="str">
        <f>IF(OR(E3409="",E3409="!!!",F3409="NEW"),"",COUNTBLANK(OFFSET(A$1,,,SUMPRODUCT(MAX(ROW(E$2:E3409)*(E3409=E$2:E3409)))))-COUNTBLANK(OFFSET(A$1,,,SUMPRODUCT(MAX(ROW(E$1:E3408)*(E2=E$1:E3408))))))</f>
        <v> </v>
      </c>
      <c r="K3409" s="25" t="str">
        <f>IF(OR(E3409="",E3409="!!!",F3409="NEW"),"",INDEX(J$1:J3408,SUMPRODUCT(MAX(ROW(E$1:E3408)*(E3409=E$1:E3408)))))</f>
        <v> </v>
      </c>
      <c r="L3409" s="26"/>
    </row>
    <row r="3410" spans="1:12">
      <c r="A3410" s="20" t="s">
        <v>682</v>
      </c>
      <c r="E3410" s="21">
        <f>IF(D3410="?OLD","!!!","")</f>
        <v/>
      </c>
      <c r="F3410" s="22" t="str">
        <f>IF(OR(E3410="",E3410="!!!"),"",IF(NOT(ISNA(VLOOKUP(E3410,E$1:E3409,1,FALSE()))),"OLD",IF(AND(E3410&lt;&gt;"",E3410&lt;&gt;"!!!"),"NEW","")))</f>
        <v> </v>
      </c>
      <c r="G3410" s="23" t="str">
        <f>IF(OR(E3410="",E3410="!!!"),"",IF(OR(J3410=0,AND(J3410=1,K3410=1),AND(J3410=1,I3410="SBJ"),AND(J3410=1,I3410=0)),"?IN_FOCUS",IF(J3410&lt;=2,"?ACTIVATED",IF(J3410&lt;&gt;"","?FAMILIAR",IF(F3410="NEW",IF(ISNA(VLOOKUP(E3410,#REF!,1,FALSE())),"?TYPE_IDENTIFIABLE","?REFERENTIAL"),"_")))))</f>
        <v> </v>
      </c>
      <c r="H3410" s="24" t="str">
        <f>IF(J3410&lt;&gt;1,"",IF(I3410="SBJ","CB","?"))</f>
        <v> </v>
      </c>
      <c r="I3410" s="25" t="str">
        <f>IF(OR(E3410="",E3410="!!!",F3410="NEW"),"",INDEX(B3409:B$2,-1+SUMPRODUCT(MAX(ROW(E3409:E$2)*(E3410=E3409:E$2)))))</f>
        <v> </v>
      </c>
      <c r="J3410" s="25" t="str">
        <f>IF(OR(E3410="",E3410="!!!",F3410="NEW"),"",COUNTBLANK(OFFSET(A$1,,,SUMPRODUCT(MAX(ROW(E$2:E3410)*(E3410=E$2:E3410)))))-COUNTBLANK(OFFSET(A$1,,,SUMPRODUCT(MAX(ROW(E$1:E3409)*(E2=E$1:E3409))))))</f>
        <v> </v>
      </c>
      <c r="K3410" s="25" t="str">
        <f>IF(OR(E3410="",E3410="!!!",F3410="NEW"),"",INDEX(J$1:J3409,SUMPRODUCT(MAX(ROW(E$1:E3409)*(E3410=E$1:E3409)))))</f>
        <v> </v>
      </c>
      <c r="L3410" s="26"/>
    </row>
    <row r="3411" spans="1:12">
      <c r="A3411" s="20" t="s">
        <v>1500</v>
      </c>
      <c r="B3411" s="27" t="s">
        <v>522</v>
      </c>
      <c r="C3411" s="27" t="s">
        <v>540</v>
      </c>
      <c r="D3411" s="27" t="s">
        <v>524</v>
      </c>
      <c r="E3411" s="21">
        <f>IF(D3411="?OLD","!!!","")</f>
        <v/>
      </c>
      <c r="F3411" s="22" t="str">
        <f>IF(OR(E3411="",E3411="!!!"),"",IF(NOT(ISNA(VLOOKUP(E3411,E$1:E3410,1,FALSE()))),"OLD",IF(AND(E3411&lt;&gt;"",E3411&lt;&gt;"!!!"),"NEW","")))</f>
        <v> </v>
      </c>
      <c r="G3411" s="23" t="str">
        <f>IF(OR(E3411="",E3411="!!!"),"",IF(OR(J3411=0,AND(J3411=1,K3411=1),AND(J3411=1,I3411="SBJ"),AND(J3411=1,I3411=0)),"?IN_FOCUS",IF(J3411&lt;=2,"?ACTIVATED",IF(J3411&lt;&gt;"","?FAMILIAR",IF(F3411="NEW",IF(ISNA(VLOOKUP(E3411,#REF!,1,FALSE())),"?TYPE_IDENTIFIABLE","?REFERENTIAL"),"_")))))</f>
        <v> </v>
      </c>
      <c r="H3411" s="24" t="str">
        <f>IF(J3411&lt;&gt;1,"",IF(I3411="SBJ","CB","?"))</f>
        <v> </v>
      </c>
      <c r="I3411" s="25" t="str">
        <f>IF(OR(E3411="",E3411="!!!",F3411="NEW"),"",INDEX(B3410:B$2,-1+SUMPRODUCT(MAX(ROW(E3410:E$2)*(E3411=E3410:E$2)))))</f>
        <v> </v>
      </c>
      <c r="J3411" s="25" t="str">
        <f>IF(OR(E3411="",E3411="!!!",F3411="NEW"),"",COUNTBLANK(OFFSET(A$1,,,SUMPRODUCT(MAX(ROW(E$2:E3411)*(E3411=E$2:E3411)))))-COUNTBLANK(OFFSET(A$1,,,SUMPRODUCT(MAX(ROW(E$1:E3410)*(E2=E$1:E3410))))))</f>
        <v> </v>
      </c>
      <c r="K3411" s="25" t="str">
        <f>IF(OR(E3411="",E3411="!!!",F3411="NEW"),"",INDEX(J$1:J3410,SUMPRODUCT(MAX(ROW(E$1:E3410)*(E3411=E$1:E3410)))))</f>
        <v> </v>
      </c>
      <c r="L3411" s="26"/>
    </row>
    <row r="3412" spans="1:12">
      <c r="A3412" s="20" t="s">
        <v>518</v>
      </c>
      <c r="E3412" s="21">
        <f>IF(D3412="?OLD","!!!","")</f>
        <v/>
      </c>
      <c r="F3412" s="22" t="str">
        <f>IF(OR(E3412="",E3412="!!!"),"",IF(NOT(ISNA(VLOOKUP(E3412,E$1:E3411,1,FALSE()))),"OLD",IF(AND(E3412&lt;&gt;"",E3412&lt;&gt;"!!!"),"NEW","")))</f>
        <v> </v>
      </c>
      <c r="G3412" s="23" t="str">
        <f>IF(OR(E3412="",E3412="!!!"),"",IF(OR(J3412=0,AND(J3412=1,K3412=1),AND(J3412=1,I3412="SBJ"),AND(J3412=1,I3412=0)),"?IN_FOCUS",IF(J3412&lt;=2,"?ACTIVATED",IF(J3412&lt;&gt;"","?FAMILIAR",IF(F3412="NEW",IF(ISNA(VLOOKUP(E3412,#REF!,1,FALSE())),"?TYPE_IDENTIFIABLE","?REFERENTIAL"),"_")))))</f>
        <v> </v>
      </c>
      <c r="H3412" s="24" t="str">
        <f>IF(J3412&lt;&gt;1,"",IF(I3412="SBJ","CB","?"))</f>
        <v> </v>
      </c>
      <c r="I3412" s="25" t="str">
        <f>IF(OR(E3412="",E3412="!!!",F3412="NEW"),"",INDEX(B3411:B$2,-1+SUMPRODUCT(MAX(ROW(E3411:E$2)*(E3412=E3411:E$2)))))</f>
        <v> </v>
      </c>
      <c r="J3412" s="25" t="str">
        <f>IF(OR(E3412="",E3412="!!!",F3412="NEW"),"",COUNTBLANK(OFFSET(A$1,,,SUMPRODUCT(MAX(ROW(E$2:E3412)*(E3412=E$2:E3412)))))-COUNTBLANK(OFFSET(A$1,,,SUMPRODUCT(MAX(ROW(E$1:E3411)*(E2=E$1:E3411))))))</f>
        <v> </v>
      </c>
      <c r="K3412" s="25" t="str">
        <f>IF(OR(E3412="",E3412="!!!",F3412="NEW"),"",INDEX(J$1:J3411,SUMPRODUCT(MAX(ROW(E$1:E3411)*(E3412=E$1:E3411)))))</f>
        <v> </v>
      </c>
      <c r="L3412" s="26"/>
    </row>
    <row r="3413" spans="1:12">
      <c r="A3413" s="20" t="s">
        <v>1619</v>
      </c>
      <c r="B3413" s="27" t="s">
        <v>544</v>
      </c>
      <c r="C3413" s="27" t="s">
        <v>564</v>
      </c>
      <c r="E3413" s="21">
        <f>IF(D3413="?OLD","!!!","")</f>
        <v/>
      </c>
      <c r="F3413" s="22" t="str">
        <f>IF(OR(E3413="",E3413="!!!"),"",IF(NOT(ISNA(VLOOKUP(E3413,E$1:E3412,1,FALSE()))),"OLD",IF(AND(E3413&lt;&gt;"",E3413&lt;&gt;"!!!"),"NEW","")))</f>
        <v> </v>
      </c>
      <c r="G3413" s="23" t="str">
        <f>IF(OR(E3413="",E3413="!!!"),"",IF(OR(J3413=0,AND(J3413=1,K3413=1),AND(J3413=1,I3413="SBJ"),AND(J3413=1,I3413=0)),"?IN_FOCUS",IF(J3413&lt;=2,"?ACTIVATED",IF(J3413&lt;&gt;"","?FAMILIAR",IF(F3413="NEW",IF(ISNA(VLOOKUP(E3413,#REF!,1,FALSE())),"?TYPE_IDENTIFIABLE","?REFERENTIAL"),"_")))))</f>
        <v> </v>
      </c>
      <c r="H3413" s="24" t="str">
        <f>IF(J3413&lt;&gt;1,"",IF(I3413="SBJ","CB","?"))</f>
        <v> </v>
      </c>
      <c r="I3413" s="25" t="str">
        <f>IF(OR(E3413="",E3413="!!!",F3413="NEW"),"",INDEX(B3412:B$2,-1+SUMPRODUCT(MAX(ROW(E3412:E$2)*(E3413=E3412:E$2)))))</f>
        <v> </v>
      </c>
      <c r="J3413" s="25" t="str">
        <f>IF(OR(E3413="",E3413="!!!",F3413="NEW"),"",COUNTBLANK(OFFSET(A$1,,,SUMPRODUCT(MAX(ROW(E$2:E3413)*(E3413=E$2:E3413)))))-COUNTBLANK(OFFSET(A$1,,,SUMPRODUCT(MAX(ROW(E$1:E3412)*(E2=E$1:E3412))))))</f>
        <v> </v>
      </c>
      <c r="K3413" s="25" t="str">
        <f>IF(OR(E3413="",E3413="!!!",F3413="NEW"),"",INDEX(J$1:J3412,SUMPRODUCT(MAX(ROW(E$1:E3412)*(E3413=E$1:E3412)))))</f>
        <v> </v>
      </c>
      <c r="L3413" s="26"/>
    </row>
    <row r="3414" spans="1:12">
      <c r="A3414" s="20"/>
    </row>
    <row r="3415" spans="1:12">
      <c r="A3415" s="20" t="s">
        <v>1631</v>
      </c>
    </row>
    <row r="3416" spans="1:12">
      <c r="A3416" s="20" t="s">
        <v>786</v>
      </c>
      <c r="E3416" s="21">
        <f>IF(D3416="?OLD","!!!","")</f>
        <v/>
      </c>
      <c r="F3416" s="22" t="str">
        <f>IF(OR(E3416="",E3416="!!!"),"",IF(NOT(ISNA(VLOOKUP(E3416,E$1:E3415,1,FALSE()))),"OLD",IF(AND(E3416&lt;&gt;"",E3416&lt;&gt;"!!!"),"NEW","")))</f>
        <v> </v>
      </c>
      <c r="G3416" s="23" t="str">
        <f>IF(OR(E3416="",E3416="!!!"),"",IF(OR(J3416=0,AND(J3416=1,K3416=1),AND(J3416=1,I3416="SBJ"),AND(J3416=1,I3416=0)),"?IN_FOCUS",IF(J3416&lt;=2,"?ACTIVATED",IF(J3416&lt;&gt;"","?FAMILIAR",IF(F3416="NEW",IF(ISNA(VLOOKUP(E3416,#REF!,1,FALSE())),"?TYPE_IDENTIFIABLE","?REFERENTIAL"),"_")))))</f>
        <v> </v>
      </c>
      <c r="H3416" s="24" t="str">
        <f>IF(J3416&lt;&gt;1,"",IF(I3416="SBJ","CB","?"))</f>
        <v> </v>
      </c>
      <c r="I3416" s="25" t="str">
        <f>IF(OR(E3416="",E3416="!!!",F3416="NEW"),"",INDEX(B3415:B$2,-1+SUMPRODUCT(MAX(ROW(E3415:E$2)*(E3416=E3415:E$2)))))</f>
        <v> </v>
      </c>
      <c r="J3416" s="25" t="str">
        <f>IF(OR(E3416="",E3416="!!!",F3416="NEW"),"",COUNTBLANK(OFFSET(A$1,,,SUMPRODUCT(MAX(ROW(E$2:E3416)*(E3416=E$2:E3416)))))-COUNTBLANK(OFFSET(A$1,,,SUMPRODUCT(MAX(ROW(E$1:E3415)*(E2=E$1:E3415))))))</f>
        <v> </v>
      </c>
      <c r="K3416" s="25" t="str">
        <f>IF(OR(E3416="",E3416="!!!",F3416="NEW"),"",INDEX(J$1:J3415,SUMPRODUCT(MAX(ROW(E$1:E3415)*(E3416=E$1:E3415)))))</f>
        <v> </v>
      </c>
      <c r="L3416" s="26"/>
    </row>
    <row r="3417" spans="1:12">
      <c r="A3417" s="20" t="s">
        <v>528</v>
      </c>
      <c r="E3417" s="21">
        <f>IF(D3417="?OLD","!!!","")</f>
        <v/>
      </c>
      <c r="F3417" s="22" t="str">
        <f>IF(OR(E3417="",E3417="!!!"),"",IF(NOT(ISNA(VLOOKUP(E3417,E$1:E3416,1,FALSE()))),"OLD",IF(AND(E3417&lt;&gt;"",E3417&lt;&gt;"!!!"),"NEW","")))</f>
        <v> </v>
      </c>
      <c r="G3417" s="23" t="str">
        <f>IF(OR(E3417="",E3417="!!!"),"",IF(OR(J3417=0,AND(J3417=1,K3417=1),AND(J3417=1,I3417="SBJ"),AND(J3417=1,I3417=0)),"?IN_FOCUS",IF(J3417&lt;=2,"?ACTIVATED",IF(J3417&lt;&gt;"","?FAMILIAR",IF(F3417="NEW",IF(ISNA(VLOOKUP(E3417,#REF!,1,FALSE())),"?TYPE_IDENTIFIABLE","?REFERENTIAL"),"_")))))</f>
        <v> </v>
      </c>
      <c r="H3417" s="24" t="str">
        <f>IF(J3417&lt;&gt;1,"",IF(I3417="SBJ","CB","?"))</f>
        <v> </v>
      </c>
      <c r="I3417" s="25" t="str">
        <f>IF(OR(E3417="",E3417="!!!",F3417="NEW"),"",INDEX(B3416:B$2,-1+SUMPRODUCT(MAX(ROW(E3416:E$2)*(E3417=E3416:E$2)))))</f>
        <v> </v>
      </c>
      <c r="J3417" s="25" t="str">
        <f>IF(OR(E3417="",E3417="!!!",F3417="NEW"),"",COUNTBLANK(OFFSET(A$1,,,SUMPRODUCT(MAX(ROW(E$2:E3417)*(E3417=E$2:E3417)))))-COUNTBLANK(OFFSET(A$1,,,SUMPRODUCT(MAX(ROW(E$1:E3416)*(E2=E$1:E3416))))))</f>
        <v> </v>
      </c>
      <c r="K3417" s="25" t="str">
        <f>IF(OR(E3417="",E3417="!!!",F3417="NEW"),"",INDEX(J$1:J3416,SUMPRODUCT(MAX(ROW(E$1:E3416)*(E3417=E$1:E3416)))))</f>
        <v> </v>
      </c>
      <c r="L3417" s="26"/>
    </row>
    <row r="3418" spans="1:12">
      <c r="A3418" s="20" t="s">
        <v>902</v>
      </c>
      <c r="B3418" s="27" t="s">
        <v>680</v>
      </c>
      <c r="C3418" s="27" t="s">
        <v>523</v>
      </c>
      <c r="D3418" s="27" t="s">
        <v>524</v>
      </c>
      <c r="E3418" s="21">
        <f>IF(D3418="?OLD","!!!","")</f>
        <v/>
      </c>
      <c r="F3418" s="22" t="str">
        <f>IF(OR(E3418="",E3418="!!!"),"",IF(NOT(ISNA(VLOOKUP(E3418,E$1:E3417,1,FALSE()))),"OLD",IF(AND(E3418&lt;&gt;"",E3418&lt;&gt;"!!!"),"NEW","")))</f>
        <v> </v>
      </c>
      <c r="G3418" s="23" t="str">
        <f>IF(OR(E3418="",E3418="!!!"),"",IF(OR(J3418=0,AND(J3418=1,K3418=1),AND(J3418=1,I3418="SBJ"),AND(J3418=1,I3418=0)),"?IN_FOCUS",IF(J3418&lt;=2,"?ACTIVATED",IF(J3418&lt;&gt;"","?FAMILIAR",IF(F3418="NEW",IF(ISNA(VLOOKUP(E3418,#REF!,1,FALSE())),"?TYPE_IDENTIFIABLE","?REFERENTIAL"),"_")))))</f>
        <v> </v>
      </c>
      <c r="H3418" s="24" t="str">
        <f>IF(J3418&lt;&gt;1,"",IF(I3418="SBJ","CB","?"))</f>
        <v> </v>
      </c>
      <c r="I3418" s="25" t="str">
        <f>IF(OR(E3418="",E3418="!!!",F3418="NEW"),"",INDEX(B3417:B$2,-1+SUMPRODUCT(MAX(ROW(E3417:E$2)*(E3418=E3417:E$2)))))</f>
        <v> </v>
      </c>
      <c r="J3418" s="25" t="str">
        <f>IF(OR(E3418="",E3418="!!!",F3418="NEW"),"",COUNTBLANK(OFFSET(A$1,,,SUMPRODUCT(MAX(ROW(E$2:E3418)*(E3418=E$2:E3418)))))-COUNTBLANK(OFFSET(A$1,,,SUMPRODUCT(MAX(ROW(E$1:E3417)*(E2=E$1:E3417))))))</f>
        <v> </v>
      </c>
      <c r="K3418" s="25" t="str">
        <f>IF(OR(E3418="",E3418="!!!",F3418="NEW"),"",INDEX(J$1:J3417,SUMPRODUCT(MAX(ROW(E$1:E3417)*(E3418=E$1:E3417)))))</f>
        <v> </v>
      </c>
      <c r="L3418" s="26"/>
    </row>
    <row r="3419" spans="1:12">
      <c r="A3419" s="20" t="s">
        <v>1373</v>
      </c>
      <c r="E3419" s="21">
        <f>IF(D3419="?OLD","!!!","")</f>
        <v/>
      </c>
      <c r="F3419" s="22" t="str">
        <f>IF(OR(E3419="",E3419="!!!"),"",IF(NOT(ISNA(VLOOKUP(E3419,E$1:E3418,1,FALSE()))),"OLD",IF(AND(E3419&lt;&gt;"",E3419&lt;&gt;"!!!"),"NEW","")))</f>
        <v> </v>
      </c>
      <c r="G3419" s="23" t="str">
        <f>IF(OR(E3419="",E3419="!!!"),"",IF(OR(J3419=0,AND(J3419=1,K3419=1),AND(J3419=1,I3419="SBJ"),AND(J3419=1,I3419=0)),"?IN_FOCUS",IF(J3419&lt;=2,"?ACTIVATED",IF(J3419&lt;&gt;"","?FAMILIAR",IF(F3419="NEW",IF(ISNA(VLOOKUP(E3419,#REF!,1,FALSE())),"?TYPE_IDENTIFIABLE","?REFERENTIAL"),"_")))))</f>
        <v> </v>
      </c>
      <c r="H3419" s="24" t="str">
        <f>IF(J3419&lt;&gt;1,"",IF(I3419="SBJ","CB","?"))</f>
        <v> </v>
      </c>
      <c r="I3419" s="25" t="str">
        <f>IF(OR(E3419="",E3419="!!!",F3419="NEW"),"",INDEX(B3418:B$2,-1+SUMPRODUCT(MAX(ROW(E3418:E$2)*(E3419=E3418:E$2)))))</f>
        <v> </v>
      </c>
      <c r="J3419" s="25" t="str">
        <f>IF(OR(E3419="",E3419="!!!",F3419="NEW"),"",COUNTBLANK(OFFSET(A$1,,,SUMPRODUCT(MAX(ROW(E$2:E3419)*(E3419=E$2:E3419)))))-COUNTBLANK(OFFSET(A$1,,,SUMPRODUCT(MAX(ROW(E$1:E3418)*(E2=E$1:E3418))))))</f>
        <v> </v>
      </c>
      <c r="K3419" s="25" t="str">
        <f>IF(OR(E3419="",E3419="!!!",F3419="NEW"),"",INDEX(J$1:J3418,SUMPRODUCT(MAX(ROW(E$1:E3418)*(E3419=E$1:E3418)))))</f>
        <v> </v>
      </c>
      <c r="L3419" s="26"/>
    </row>
    <row r="3420" spans="1:12">
      <c r="A3420" s="20" t="s">
        <v>1632</v>
      </c>
      <c r="B3420" s="27" t="s">
        <v>743</v>
      </c>
      <c r="C3420" s="27" t="s">
        <v>564</v>
      </c>
      <c r="E3420" s="21">
        <f>IF(D3420="?OLD","!!!","")</f>
        <v/>
      </c>
      <c r="F3420" s="22" t="str">
        <f>IF(OR(E3420="",E3420="!!!"),"",IF(NOT(ISNA(VLOOKUP(E3420,E$1:E3419,1,FALSE()))),"OLD",IF(AND(E3420&lt;&gt;"",E3420&lt;&gt;"!!!"),"NEW","")))</f>
        <v> </v>
      </c>
      <c r="G3420" s="23" t="str">
        <f>IF(OR(E3420="",E3420="!!!"),"",IF(OR(J3420=0,AND(J3420=1,K3420=1),AND(J3420=1,I3420="SBJ"),AND(J3420=1,I3420=0)),"?IN_FOCUS",IF(J3420&lt;=2,"?ACTIVATED",IF(J3420&lt;&gt;"","?FAMILIAR",IF(F3420="NEW",IF(ISNA(VLOOKUP(E3420,#REF!,1,FALSE())),"?TYPE_IDENTIFIABLE","?REFERENTIAL"),"_")))))</f>
        <v> </v>
      </c>
      <c r="H3420" s="24" t="str">
        <f>IF(J3420&lt;&gt;1,"",IF(I3420="SBJ","CB","?"))</f>
        <v> </v>
      </c>
      <c r="I3420" s="25" t="str">
        <f>IF(OR(E3420="",E3420="!!!",F3420="NEW"),"",INDEX(B3419:B$2,-1+SUMPRODUCT(MAX(ROW(E3419:E$2)*(E3420=E3419:E$2)))))</f>
        <v> </v>
      </c>
      <c r="J3420" s="25" t="str">
        <f>IF(OR(E3420="",E3420="!!!",F3420="NEW"),"",COUNTBLANK(OFFSET(A$1,,,SUMPRODUCT(MAX(ROW(E$2:E3420)*(E3420=E$2:E3420)))))-COUNTBLANK(OFFSET(A$1,,,SUMPRODUCT(MAX(ROW(E$1:E3419)*(E2=E$1:E3419))))))</f>
        <v> </v>
      </c>
      <c r="K3420" s="25" t="str">
        <f>IF(OR(E3420="",E3420="!!!",F3420="NEW"),"",INDEX(J$1:J3419,SUMPRODUCT(MAX(ROW(E$1:E3419)*(E3420=E$1:E3419)))))</f>
        <v> </v>
      </c>
      <c r="L3420" s="26"/>
    </row>
    <row r="3421" spans="1:12">
      <c r="A3421" s="20" t="s">
        <v>1633</v>
      </c>
      <c r="B3421" s="27" t="s">
        <v>667</v>
      </c>
      <c r="C3421" s="27" t="s">
        <v>548</v>
      </c>
      <c r="D3421" s="27" t="s">
        <v>524</v>
      </c>
      <c r="E3421" s="21">
        <f>IF(D3421="?OLD","!!!","")</f>
        <v/>
      </c>
      <c r="F3421" s="22" t="str">
        <f>IF(OR(E3421="",E3421="!!!"),"",IF(NOT(ISNA(VLOOKUP(E3421,E$1:E3420,1,FALSE()))),"OLD",IF(AND(E3421&lt;&gt;"",E3421&lt;&gt;"!!!"),"NEW","")))</f>
        <v> </v>
      </c>
      <c r="G3421" s="23" t="str">
        <f>IF(OR(E3421="",E3421="!!!"),"",IF(OR(J3421=0,AND(J3421=1,K3421=1),AND(J3421=1,I3421="SBJ"),AND(J3421=1,I3421=0)),"?IN_FOCUS",IF(J3421&lt;=2,"?ACTIVATED",IF(J3421&lt;&gt;"","?FAMILIAR",IF(F3421="NEW",IF(ISNA(VLOOKUP(E3421,#REF!,1,FALSE())),"?TYPE_IDENTIFIABLE","?REFERENTIAL"),"_")))))</f>
        <v> </v>
      </c>
      <c r="H3421" s="24" t="str">
        <f>IF(J3421&lt;&gt;1,"",IF(I3421="SBJ","CB","?"))</f>
        <v> </v>
      </c>
      <c r="I3421" s="25" t="str">
        <f>IF(OR(E3421="",E3421="!!!",F3421="NEW"),"",INDEX(B3420:B$2,-1+SUMPRODUCT(MAX(ROW(E3420:E$2)*(E3421=E3420:E$2)))))</f>
        <v> </v>
      </c>
      <c r="J3421" s="25" t="str">
        <f>IF(OR(E3421="",E3421="!!!",F3421="NEW"),"",COUNTBLANK(OFFSET(A$1,,,SUMPRODUCT(MAX(ROW(E$2:E3421)*(E3421=E$2:E3421)))))-COUNTBLANK(OFFSET(A$1,,,SUMPRODUCT(MAX(ROW(E$1:E3420)*(E2=E$1:E3420))))))</f>
        <v> </v>
      </c>
      <c r="K3421" s="25" t="str">
        <f>IF(OR(E3421="",E3421="!!!",F3421="NEW"),"",INDEX(J$1:J3420,SUMPRODUCT(MAX(ROW(E$1:E3420)*(E3421=E$1:E3420)))))</f>
        <v> </v>
      </c>
      <c r="L3421" s="26"/>
    </row>
    <row r="3422" spans="1:12">
      <c r="A3422" s="20" t="s">
        <v>964</v>
      </c>
      <c r="E3422" s="21">
        <f>IF(D3422="?OLD","!!!","")</f>
        <v/>
      </c>
      <c r="F3422" s="22" t="str">
        <f>IF(OR(E3422="",E3422="!!!"),"",IF(NOT(ISNA(VLOOKUP(E3422,E$1:E3421,1,FALSE()))),"OLD",IF(AND(E3422&lt;&gt;"",E3422&lt;&gt;"!!!"),"NEW","")))</f>
        <v> </v>
      </c>
      <c r="G3422" s="23" t="str">
        <f>IF(OR(E3422="",E3422="!!!"),"",IF(OR(J3422=0,AND(J3422=1,K3422=1),AND(J3422=1,I3422="SBJ"),AND(J3422=1,I3422=0)),"?IN_FOCUS",IF(J3422&lt;=2,"?ACTIVATED",IF(J3422&lt;&gt;"","?FAMILIAR",IF(F3422="NEW",IF(ISNA(VLOOKUP(E3422,#REF!,1,FALSE())),"?TYPE_IDENTIFIABLE","?REFERENTIAL"),"_")))))</f>
        <v> </v>
      </c>
      <c r="H3422" s="24" t="str">
        <f>IF(J3422&lt;&gt;1,"",IF(I3422="SBJ","CB","?"))</f>
        <v> </v>
      </c>
      <c r="I3422" s="25" t="str">
        <f>IF(OR(E3422="",E3422="!!!",F3422="NEW"),"",INDEX(B3421:B$2,-1+SUMPRODUCT(MAX(ROW(E3421:E$2)*(E3422=E3421:E$2)))))</f>
        <v> </v>
      </c>
      <c r="J3422" s="25" t="str">
        <f>IF(OR(E3422="",E3422="!!!",F3422="NEW"),"",COUNTBLANK(OFFSET(A$1,,,SUMPRODUCT(MAX(ROW(E$2:E3422)*(E3422=E$2:E3422)))))-COUNTBLANK(OFFSET(A$1,,,SUMPRODUCT(MAX(ROW(E$1:E3421)*(E2=E$1:E3421))))))</f>
        <v> </v>
      </c>
      <c r="K3422" s="25" t="str">
        <f>IF(OR(E3422="",E3422="!!!",F3422="NEW"),"",INDEX(J$1:J3421,SUMPRODUCT(MAX(ROW(E$1:E3421)*(E3422=E$1:E3421)))))</f>
        <v> </v>
      </c>
      <c r="L3422" s="26"/>
    </row>
    <row r="3423" spans="1:12">
      <c r="A3423" s="20" t="s">
        <v>833</v>
      </c>
      <c r="E3423" s="21">
        <f>IF(D3423="?OLD","!!!","")</f>
        <v/>
      </c>
      <c r="F3423" s="22" t="str">
        <f>IF(OR(E3423="",E3423="!!!"),"",IF(NOT(ISNA(VLOOKUP(E3423,E$1:E3422,1,FALSE()))),"OLD",IF(AND(E3423&lt;&gt;"",E3423&lt;&gt;"!!!"),"NEW","")))</f>
        <v> </v>
      </c>
      <c r="G3423" s="23" t="str">
        <f>IF(OR(E3423="",E3423="!!!"),"",IF(OR(J3423=0,AND(J3423=1,K3423=1),AND(J3423=1,I3423="SBJ"),AND(J3423=1,I3423=0)),"?IN_FOCUS",IF(J3423&lt;=2,"?ACTIVATED",IF(J3423&lt;&gt;"","?FAMILIAR",IF(F3423="NEW",IF(ISNA(VLOOKUP(E3423,#REF!,1,FALSE())),"?TYPE_IDENTIFIABLE","?REFERENTIAL"),"_")))))</f>
        <v> </v>
      </c>
      <c r="H3423" s="24" t="str">
        <f>IF(J3423&lt;&gt;1,"",IF(I3423="SBJ","CB","?"))</f>
        <v> </v>
      </c>
      <c r="I3423" s="25" t="str">
        <f>IF(OR(E3423="",E3423="!!!",F3423="NEW"),"",INDEX(B3422:B$2,-1+SUMPRODUCT(MAX(ROW(E3422:E$2)*(E3423=E3422:E$2)))))</f>
        <v> </v>
      </c>
      <c r="J3423" s="25" t="str">
        <f>IF(OR(E3423="",E3423="!!!",F3423="NEW"),"",COUNTBLANK(OFFSET(A$1,,,SUMPRODUCT(MAX(ROW(E$2:E3423)*(E3423=E$2:E3423)))))-COUNTBLANK(OFFSET(A$1,,,SUMPRODUCT(MAX(ROW(E$1:E3422)*(E2=E$1:E3422))))))</f>
        <v> </v>
      </c>
      <c r="K3423" s="25" t="str">
        <f>IF(OR(E3423="",E3423="!!!",F3423="NEW"),"",INDEX(J$1:J3422,SUMPRODUCT(MAX(ROW(E$1:E3422)*(E3423=E$1:E3422)))))</f>
        <v> </v>
      </c>
      <c r="L3423" s="26"/>
    </row>
    <row r="3424" spans="1:12">
      <c r="A3424" s="20" t="s">
        <v>856</v>
      </c>
      <c r="B3424" s="27" t="s">
        <v>592</v>
      </c>
      <c r="C3424" s="27" t="s">
        <v>584</v>
      </c>
      <c r="D3424" s="27" t="s">
        <v>524</v>
      </c>
      <c r="E3424" s="21">
        <f>IF(D3424="?OLD","!!!","")</f>
        <v/>
      </c>
      <c r="F3424" s="22" t="str">
        <f>IF(OR(E3424="",E3424="!!!"),"",IF(NOT(ISNA(VLOOKUP(E3424,E$1:E3423,1,FALSE()))),"OLD",IF(AND(E3424&lt;&gt;"",E3424&lt;&gt;"!!!"),"NEW","")))</f>
        <v> </v>
      </c>
      <c r="G3424" s="23" t="str">
        <f>IF(OR(E3424="",E3424="!!!"),"",IF(OR(J3424=0,AND(J3424=1,K3424=1),AND(J3424=1,I3424="SBJ"),AND(J3424=1,I3424=0)),"?IN_FOCUS",IF(J3424&lt;=2,"?ACTIVATED",IF(J3424&lt;&gt;"","?FAMILIAR",IF(F3424="NEW",IF(ISNA(VLOOKUP(E3424,#REF!,1,FALSE())),"?TYPE_IDENTIFIABLE","?REFERENTIAL"),"_")))))</f>
        <v> </v>
      </c>
      <c r="H3424" s="24" t="str">
        <f>IF(J3424&lt;&gt;1,"",IF(I3424="SBJ","CB","?"))</f>
        <v> </v>
      </c>
      <c r="I3424" s="25" t="str">
        <f>IF(OR(E3424="",E3424="!!!",F3424="NEW"),"",INDEX(B3423:B$2,-1+SUMPRODUCT(MAX(ROW(E3423:E$2)*(E3424=E3423:E$2)))))</f>
        <v> </v>
      </c>
      <c r="J3424" s="25" t="str">
        <f>IF(OR(E3424="",E3424="!!!",F3424="NEW"),"",COUNTBLANK(OFFSET(A$1,,,SUMPRODUCT(MAX(ROW(E$2:E3424)*(E3424=E$2:E3424)))))-COUNTBLANK(OFFSET(A$1,,,SUMPRODUCT(MAX(ROW(E$1:E3423)*(E2=E$1:E3423))))))</f>
        <v> </v>
      </c>
      <c r="K3424" s="25" t="str">
        <f>IF(OR(E3424="",E3424="!!!",F3424="NEW"),"",INDEX(J$1:J3423,SUMPRODUCT(MAX(ROW(E$1:E3423)*(E3424=E$1:E3423)))))</f>
        <v> </v>
      </c>
      <c r="L3424" s="26"/>
    </row>
    <row r="3425" spans="1:12">
      <c r="A3425" s="20" t="s">
        <v>528</v>
      </c>
      <c r="B3425" s="27" t="s">
        <v>633</v>
      </c>
      <c r="E3425" s="21">
        <f>IF(D3425="?OLD","!!!","")</f>
        <v/>
      </c>
      <c r="F3425" s="22" t="str">
        <f>IF(OR(E3425="",E3425="!!!"),"",IF(NOT(ISNA(VLOOKUP(E3425,E$1:E3424,1,FALSE()))),"OLD",IF(AND(E3425&lt;&gt;"",E3425&lt;&gt;"!!!"),"NEW","")))</f>
        <v> </v>
      </c>
      <c r="G3425" s="23" t="str">
        <f>IF(OR(E3425="",E3425="!!!"),"",IF(OR(J3425=0,AND(J3425=1,K3425=1),AND(J3425=1,I3425="SBJ"),AND(J3425=1,I3425=0)),"?IN_FOCUS",IF(J3425&lt;=2,"?ACTIVATED",IF(J3425&lt;&gt;"","?FAMILIAR",IF(F3425="NEW",IF(ISNA(VLOOKUP(E3425,#REF!,1,FALSE())),"?TYPE_IDENTIFIABLE","?REFERENTIAL"),"_")))))</f>
        <v> </v>
      </c>
      <c r="H3425" s="24" t="str">
        <f>IF(J3425&lt;&gt;1,"",IF(I3425="SBJ","CB","?"))</f>
        <v> </v>
      </c>
      <c r="I3425" s="25" t="str">
        <f>IF(OR(E3425="",E3425="!!!",F3425="NEW"),"",INDEX(B3424:B$2,-1+SUMPRODUCT(MAX(ROW(E3424:E$2)*(E3425=E3424:E$2)))))</f>
        <v> </v>
      </c>
      <c r="J3425" s="25" t="str">
        <f>IF(OR(E3425="",E3425="!!!",F3425="NEW"),"",COUNTBLANK(OFFSET(A$1,,,SUMPRODUCT(MAX(ROW(E$2:E3425)*(E3425=E$2:E3425)))))-COUNTBLANK(OFFSET(A$1,,,SUMPRODUCT(MAX(ROW(E$1:E3424)*(E2=E$1:E3424))))))</f>
        <v> </v>
      </c>
      <c r="K3425" s="25" t="str">
        <f>IF(OR(E3425="",E3425="!!!",F3425="NEW"),"",INDEX(J$1:J3424,SUMPRODUCT(MAX(ROW(E$1:E3424)*(E3425=E$1:E3424)))))</f>
        <v> </v>
      </c>
      <c r="L3425" s="26"/>
    </row>
    <row r="3426" spans="1:12">
      <c r="A3426" s="20" t="s">
        <v>1634</v>
      </c>
      <c r="E3426" s="21">
        <f>IF(D3426="?OLD","!!!","")</f>
        <v/>
      </c>
      <c r="F3426" s="22" t="str">
        <f>IF(OR(E3426="",E3426="!!!"),"",IF(NOT(ISNA(VLOOKUP(E3426,E$1:E3425,1,FALSE()))),"OLD",IF(AND(E3426&lt;&gt;"",E3426&lt;&gt;"!!!"),"NEW","")))</f>
        <v> </v>
      </c>
      <c r="G3426" s="23" t="str">
        <f>IF(OR(E3426="",E3426="!!!"),"",IF(OR(J3426=0,AND(J3426=1,K3426=1),AND(J3426=1,I3426="SBJ"),AND(J3426=1,I3426=0)),"?IN_FOCUS",IF(J3426&lt;=2,"?ACTIVATED",IF(J3426&lt;&gt;"","?FAMILIAR",IF(F3426="NEW",IF(ISNA(VLOOKUP(E3426,#REF!,1,FALSE())),"?TYPE_IDENTIFIABLE","?REFERENTIAL"),"_")))))</f>
        <v> </v>
      </c>
      <c r="H3426" s="24" t="str">
        <f>IF(J3426&lt;&gt;1,"",IF(I3426="SBJ","CB","?"))</f>
        <v> </v>
      </c>
      <c r="I3426" s="25" t="str">
        <f>IF(OR(E3426="",E3426="!!!",F3426="NEW"),"",INDEX(B3425:B$2,-1+SUMPRODUCT(MAX(ROW(E3425:E$2)*(E3426=E3425:E$2)))))</f>
        <v> </v>
      </c>
      <c r="J3426" s="25" t="str">
        <f>IF(OR(E3426="",E3426="!!!",F3426="NEW"),"",COUNTBLANK(OFFSET(A$1,,,SUMPRODUCT(MAX(ROW(E$2:E3426)*(E3426=E$2:E3426)))))-COUNTBLANK(OFFSET(A$1,,,SUMPRODUCT(MAX(ROW(E$1:E3425)*(E2=E$1:E3425))))))</f>
        <v> </v>
      </c>
      <c r="K3426" s="25" t="str">
        <f>IF(OR(E3426="",E3426="!!!",F3426="NEW"),"",INDEX(J$1:J3425,SUMPRODUCT(MAX(ROW(E$1:E3425)*(E3426=E$1:E3425)))))</f>
        <v> </v>
      </c>
      <c r="L3426" s="26"/>
    </row>
    <row r="3427" spans="1:12">
      <c r="A3427" s="20" t="s">
        <v>577</v>
      </c>
      <c r="E3427" s="21">
        <f>IF(D3427="?OLD","!!!","")</f>
        <v/>
      </c>
      <c r="F3427" s="22" t="str">
        <f>IF(OR(E3427="",E3427="!!!"),"",IF(NOT(ISNA(VLOOKUP(E3427,E$1:E3426,1,FALSE()))),"OLD",IF(AND(E3427&lt;&gt;"",E3427&lt;&gt;"!!!"),"NEW","")))</f>
        <v> </v>
      </c>
      <c r="G3427" s="23" t="str">
        <f>IF(OR(E3427="",E3427="!!!"),"",IF(OR(J3427=0,AND(J3427=1,K3427=1),AND(J3427=1,I3427="SBJ"),AND(J3427=1,I3427=0)),"?IN_FOCUS",IF(J3427&lt;=2,"?ACTIVATED",IF(J3427&lt;&gt;"","?FAMILIAR",IF(F3427="NEW",IF(ISNA(VLOOKUP(E3427,#REF!,1,FALSE())),"?TYPE_IDENTIFIABLE","?REFERENTIAL"),"_")))))</f>
        <v> </v>
      </c>
      <c r="H3427" s="24" t="str">
        <f>IF(J3427&lt;&gt;1,"",IF(I3427="SBJ","CB","?"))</f>
        <v> </v>
      </c>
      <c r="I3427" s="25" t="str">
        <f>IF(OR(E3427="",E3427="!!!",F3427="NEW"),"",INDEX(B3426:B$2,-1+SUMPRODUCT(MAX(ROW(E3426:E$2)*(E3427=E3426:E$2)))))</f>
        <v> </v>
      </c>
      <c r="J3427" s="25" t="str">
        <f>IF(OR(E3427="",E3427="!!!",F3427="NEW"),"",COUNTBLANK(OFFSET(A$1,,,SUMPRODUCT(MAX(ROW(E$2:E3427)*(E3427=E$2:E3427)))))-COUNTBLANK(OFFSET(A$1,,,SUMPRODUCT(MAX(ROW(E$1:E3426)*(E2=E$1:E3426))))))</f>
        <v> </v>
      </c>
      <c r="K3427" s="25" t="str">
        <f>IF(OR(E3427="",E3427="!!!",F3427="NEW"),"",INDEX(J$1:J3426,SUMPRODUCT(MAX(ROW(E$1:E3426)*(E3427=E$1:E3426)))))</f>
        <v> </v>
      </c>
      <c r="L3427" s="26"/>
    </row>
    <row r="3428" spans="1:12">
      <c r="A3428" s="20" t="s">
        <v>571</v>
      </c>
      <c r="E3428" s="21">
        <f>IF(D3428="?OLD","!!!","")</f>
        <v/>
      </c>
      <c r="F3428" s="22" t="str">
        <f>IF(OR(E3428="",E3428="!!!"),"",IF(NOT(ISNA(VLOOKUP(E3428,E$1:E3427,1,FALSE()))),"OLD",IF(AND(E3428&lt;&gt;"",E3428&lt;&gt;"!!!"),"NEW","")))</f>
        <v> </v>
      </c>
      <c r="G3428" s="23" t="str">
        <f>IF(OR(E3428="",E3428="!!!"),"",IF(OR(J3428=0,AND(J3428=1,K3428=1),AND(J3428=1,I3428="SBJ"),AND(J3428=1,I3428=0)),"?IN_FOCUS",IF(J3428&lt;=2,"?ACTIVATED",IF(J3428&lt;&gt;"","?FAMILIAR",IF(F3428="NEW",IF(ISNA(VLOOKUP(E3428,#REF!,1,FALSE())),"?TYPE_IDENTIFIABLE","?REFERENTIAL"),"_")))))</f>
        <v> </v>
      </c>
      <c r="H3428" s="24" t="str">
        <f>IF(J3428&lt;&gt;1,"",IF(I3428="SBJ","CB","?"))</f>
        <v> </v>
      </c>
      <c r="I3428" s="25" t="str">
        <f>IF(OR(E3428="",E3428="!!!",F3428="NEW"),"",INDEX(B3427:B$2,-1+SUMPRODUCT(MAX(ROW(E3427:E$2)*(E3428=E3427:E$2)))))</f>
        <v> </v>
      </c>
      <c r="J3428" s="25" t="str">
        <f>IF(OR(E3428="",E3428="!!!",F3428="NEW"),"",COUNTBLANK(OFFSET(A$1,,,SUMPRODUCT(MAX(ROW(E$2:E3428)*(E3428=E$2:E3428)))))-COUNTBLANK(OFFSET(A$1,,,SUMPRODUCT(MAX(ROW(E$1:E3427)*(E2=E$1:E3427))))))</f>
        <v> </v>
      </c>
      <c r="K3428" s="25" t="str">
        <f>IF(OR(E3428="",E3428="!!!",F3428="NEW"),"",INDEX(J$1:J3427,SUMPRODUCT(MAX(ROW(E$1:E3427)*(E3428=E$1:E3427)))))</f>
        <v> </v>
      </c>
      <c r="L3428" s="26"/>
    </row>
    <row r="3429" spans="1:12">
      <c r="A3429" s="20" t="s">
        <v>1627</v>
      </c>
      <c r="B3429" s="27" t="s">
        <v>544</v>
      </c>
      <c r="C3429" s="27" t="s">
        <v>540</v>
      </c>
      <c r="D3429" s="27" t="s">
        <v>524</v>
      </c>
      <c r="E3429" s="21">
        <f>IF(D3429="?OLD","!!!","")</f>
        <v/>
      </c>
      <c r="F3429" s="22" t="str">
        <f>IF(OR(E3429="",E3429="!!!"),"",IF(NOT(ISNA(VLOOKUP(E3429,E$1:E3428,1,FALSE()))),"OLD",IF(AND(E3429&lt;&gt;"",E3429&lt;&gt;"!!!"),"NEW","")))</f>
        <v> </v>
      </c>
      <c r="G3429" s="23" t="str">
        <f>IF(OR(E3429="",E3429="!!!"),"",IF(OR(J3429=0,AND(J3429=1,K3429=1),AND(J3429=1,I3429="SBJ"),AND(J3429=1,I3429=0)),"?IN_FOCUS",IF(J3429&lt;=2,"?ACTIVATED",IF(J3429&lt;&gt;"","?FAMILIAR",IF(F3429="NEW",IF(ISNA(VLOOKUP(E3429,#REF!,1,FALSE())),"?TYPE_IDENTIFIABLE","?REFERENTIAL"),"_")))))</f>
        <v> </v>
      </c>
      <c r="H3429" s="24" t="str">
        <f>IF(J3429&lt;&gt;1,"",IF(I3429="SBJ","CB","?"))</f>
        <v> </v>
      </c>
      <c r="I3429" s="25" t="str">
        <f>IF(OR(E3429="",E3429="!!!",F3429="NEW"),"",INDEX(B3428:B$2,-1+SUMPRODUCT(MAX(ROW(E3428:E$2)*(E3429=E3428:E$2)))))</f>
        <v> </v>
      </c>
      <c r="J3429" s="25" t="str">
        <f>IF(OR(E3429="",E3429="!!!",F3429="NEW"),"",COUNTBLANK(OFFSET(A$1,,,SUMPRODUCT(MAX(ROW(E$2:E3429)*(E3429=E$2:E3429)))))-COUNTBLANK(OFFSET(A$1,,,SUMPRODUCT(MAX(ROW(E$1:E3428)*(E2=E$1:E3428))))))</f>
        <v> </v>
      </c>
      <c r="K3429" s="25" t="str">
        <f>IF(OR(E3429="",E3429="!!!",F3429="NEW"),"",INDEX(J$1:J3428,SUMPRODUCT(MAX(ROW(E$1:E3428)*(E3429=E$1:E3428)))))</f>
        <v> </v>
      </c>
      <c r="L3429" s="26"/>
    </row>
    <row r="3430" spans="1:12">
      <c r="A3430" s="20" t="s">
        <v>518</v>
      </c>
      <c r="E3430" s="21">
        <f>IF(D3430="?OLD","!!!","")</f>
        <v/>
      </c>
      <c r="F3430" s="22" t="str">
        <f>IF(OR(E3430="",E3430="!!!"),"",IF(NOT(ISNA(VLOOKUP(E3430,E$1:E3429,1,FALSE()))),"OLD",IF(AND(E3430&lt;&gt;"",E3430&lt;&gt;"!!!"),"NEW","")))</f>
        <v> </v>
      </c>
      <c r="G3430" s="23" t="str">
        <f>IF(OR(E3430="",E3430="!!!"),"",IF(OR(J3430=0,AND(J3430=1,K3430=1),AND(J3430=1,I3430="SBJ"),AND(J3430=1,I3430=0)),"?IN_FOCUS",IF(J3430&lt;=2,"?ACTIVATED",IF(J3430&lt;&gt;"","?FAMILIAR",IF(F3430="NEW",IF(ISNA(VLOOKUP(E3430,#REF!,1,FALSE())),"?TYPE_IDENTIFIABLE","?REFERENTIAL"),"_")))))</f>
        <v> </v>
      </c>
      <c r="H3430" s="24" t="str">
        <f>IF(J3430&lt;&gt;1,"",IF(I3430="SBJ","CB","?"))</f>
        <v> </v>
      </c>
      <c r="I3430" s="25" t="str">
        <f>IF(OR(E3430="",E3430="!!!",F3430="NEW"),"",INDEX(B3429:B$2,-1+SUMPRODUCT(MAX(ROW(E3429:E$2)*(E3430=E3429:E$2)))))</f>
        <v> </v>
      </c>
      <c r="J3430" s="25" t="str">
        <f>IF(OR(E3430="",E3430="!!!",F3430="NEW"),"",COUNTBLANK(OFFSET(A$1,,,SUMPRODUCT(MAX(ROW(E$2:E3430)*(E3430=E$2:E3430)))))-COUNTBLANK(OFFSET(A$1,,,SUMPRODUCT(MAX(ROW(E$1:E3429)*(E2=E$1:E3429))))))</f>
        <v> </v>
      </c>
      <c r="K3430" s="25" t="str">
        <f>IF(OR(E3430="",E3430="!!!",F3430="NEW"),"",INDEX(J$1:J3429,SUMPRODUCT(MAX(ROW(E$1:E3429)*(E3430=E$1:E3429)))))</f>
        <v> </v>
      </c>
      <c r="L3430" s="26"/>
    </row>
    <row r="3431" spans="1:12">
      <c r="A3431" s="20" t="s">
        <v>682</v>
      </c>
      <c r="E3431" s="21">
        <f>IF(D3431="?OLD","!!!","")</f>
        <v/>
      </c>
      <c r="F3431" s="22" t="str">
        <f>IF(OR(E3431="",E3431="!!!"),"",IF(NOT(ISNA(VLOOKUP(E3431,E$1:E3430,1,FALSE()))),"OLD",IF(AND(E3431&lt;&gt;"",E3431&lt;&gt;"!!!"),"NEW","")))</f>
        <v> </v>
      </c>
      <c r="G3431" s="23" t="str">
        <f>IF(OR(E3431="",E3431="!!!"),"",IF(OR(J3431=0,AND(J3431=1,K3431=1),AND(J3431=1,I3431="SBJ"),AND(J3431=1,I3431=0)),"?IN_FOCUS",IF(J3431&lt;=2,"?ACTIVATED",IF(J3431&lt;&gt;"","?FAMILIAR",IF(F3431="NEW",IF(ISNA(VLOOKUP(E3431,#REF!,1,FALSE())),"?TYPE_IDENTIFIABLE","?REFERENTIAL"),"_")))))</f>
        <v> </v>
      </c>
      <c r="H3431" s="24" t="str">
        <f>IF(J3431&lt;&gt;1,"",IF(I3431="SBJ","CB","?"))</f>
        <v> </v>
      </c>
      <c r="I3431" s="25" t="str">
        <f>IF(OR(E3431="",E3431="!!!",F3431="NEW"),"",INDEX(B3430:B$2,-1+SUMPRODUCT(MAX(ROW(E3430:E$2)*(E3431=E3430:E$2)))))</f>
        <v> </v>
      </c>
      <c r="J3431" s="25" t="str">
        <f>IF(OR(E3431="",E3431="!!!",F3431="NEW"),"",COUNTBLANK(OFFSET(A$1,,,SUMPRODUCT(MAX(ROW(E$2:E3431)*(E3431=E$2:E3431)))))-COUNTBLANK(OFFSET(A$1,,,SUMPRODUCT(MAX(ROW(E$1:E3430)*(E2=E$1:E3430))))))</f>
        <v> </v>
      </c>
      <c r="K3431" s="25" t="str">
        <f>IF(OR(E3431="",E3431="!!!",F3431="NEW"),"",INDEX(J$1:J3430,SUMPRODUCT(MAX(ROW(E$1:E3430)*(E3431=E$1:E3430)))))</f>
        <v> </v>
      </c>
      <c r="L3431" s="26"/>
    </row>
    <row r="3432" spans="1:12">
      <c r="A3432" s="20" t="s">
        <v>1622</v>
      </c>
      <c r="E3432" s="21">
        <f>IF(D3432="?OLD","!!!","")</f>
        <v/>
      </c>
      <c r="F3432" s="22" t="str">
        <f>IF(OR(E3432="",E3432="!!!"),"",IF(NOT(ISNA(VLOOKUP(E3432,E$1:E3431,1,FALSE()))),"OLD",IF(AND(E3432&lt;&gt;"",E3432&lt;&gt;"!!!"),"NEW","")))</f>
        <v> </v>
      </c>
      <c r="G3432" s="23" t="str">
        <f>IF(OR(E3432="",E3432="!!!"),"",IF(OR(J3432=0,AND(J3432=1,K3432=1),AND(J3432=1,I3432="SBJ"),AND(J3432=1,I3432=0)),"?IN_FOCUS",IF(J3432&lt;=2,"?ACTIVATED",IF(J3432&lt;&gt;"","?FAMILIAR",IF(F3432="NEW",IF(ISNA(VLOOKUP(E3432,#REF!,1,FALSE())),"?TYPE_IDENTIFIABLE","?REFERENTIAL"),"_")))))</f>
        <v> </v>
      </c>
      <c r="H3432" s="24" t="str">
        <f>IF(J3432&lt;&gt;1,"",IF(I3432="SBJ","CB","?"))</f>
        <v> </v>
      </c>
      <c r="I3432" s="25" t="str">
        <f>IF(OR(E3432="",E3432="!!!",F3432="NEW"),"",INDEX(B3431:B$2,-1+SUMPRODUCT(MAX(ROW(E3431:E$2)*(E3432=E3431:E$2)))))</f>
        <v> </v>
      </c>
      <c r="J3432" s="25" t="str">
        <f>IF(OR(E3432="",E3432="!!!",F3432="NEW"),"",COUNTBLANK(OFFSET(A$1,,,SUMPRODUCT(MAX(ROW(E$2:E3432)*(E3432=E$2:E3432)))))-COUNTBLANK(OFFSET(A$1,,,SUMPRODUCT(MAX(ROW(E$1:E3431)*(E2=E$1:E3431))))))</f>
        <v> </v>
      </c>
      <c r="K3432" s="25" t="str">
        <f>IF(OR(E3432="",E3432="!!!",F3432="NEW"),"",INDEX(J$1:J3431,SUMPRODUCT(MAX(ROW(E$1:E3431)*(E3432=E$1:E3431)))))</f>
        <v> </v>
      </c>
      <c r="L3432" s="26"/>
    </row>
    <row r="3433" spans="1:12">
      <c r="A3433" s="20" t="s">
        <v>533</v>
      </c>
      <c r="B3433" s="27" t="s">
        <v>534</v>
      </c>
      <c r="C3433" s="27" t="s">
        <v>684</v>
      </c>
      <c r="D3433" s="27" t="s">
        <v>524</v>
      </c>
      <c r="E3433" s="21">
        <f>IF(D3433="?OLD","!!!","")</f>
        <v/>
      </c>
      <c r="F3433" s="22" t="str">
        <f>IF(OR(E3433="",E3433="!!!"),"",IF(NOT(ISNA(VLOOKUP(E3433,E$1:E3432,1,FALSE()))),"OLD",IF(AND(E3433&lt;&gt;"",E3433&lt;&gt;"!!!"),"NEW","")))</f>
        <v> </v>
      </c>
      <c r="G3433" s="23" t="str">
        <f>IF(OR(E3433="",E3433="!!!"),"",IF(OR(J3433=0,AND(J3433=1,K3433=1),AND(J3433=1,I3433="SBJ"),AND(J3433=1,I3433=0)),"?IN_FOCUS",IF(J3433&lt;=2,"?ACTIVATED",IF(J3433&lt;&gt;"","?FAMILIAR",IF(F3433="NEW",IF(ISNA(VLOOKUP(E3433,#REF!,1,FALSE())),"?TYPE_IDENTIFIABLE","?REFERENTIAL"),"_")))))</f>
        <v> </v>
      </c>
      <c r="H3433" s="24" t="str">
        <f>IF(J3433&lt;&gt;1,"",IF(I3433="SBJ","CB","?"))</f>
        <v> </v>
      </c>
      <c r="I3433" s="25" t="str">
        <f>IF(OR(E3433="",E3433="!!!",F3433="NEW"),"",INDEX(B3432:B$2,-1+SUMPRODUCT(MAX(ROW(E3432:E$2)*(E3433=E3432:E$2)))))</f>
        <v> </v>
      </c>
      <c r="J3433" s="25" t="str">
        <f>IF(OR(E3433="",E3433="!!!",F3433="NEW"),"",COUNTBLANK(OFFSET(A$1,,,SUMPRODUCT(MAX(ROW(E$2:E3433)*(E3433=E$2:E3433)))))-COUNTBLANK(OFFSET(A$1,,,SUMPRODUCT(MAX(ROW(E$1:E3432)*(E2=E$1:E3432))))))</f>
        <v> </v>
      </c>
      <c r="K3433" s="25" t="str">
        <f>IF(OR(E3433="",E3433="!!!",F3433="NEW"),"",INDEX(J$1:J3432,SUMPRODUCT(MAX(ROW(E$1:E3432)*(E3433=E$1:E3432)))))</f>
        <v> </v>
      </c>
      <c r="L3433" s="26"/>
    </row>
    <row r="3434" spans="1:12">
      <c r="A3434" s="20" t="s">
        <v>549</v>
      </c>
      <c r="E3434" s="21">
        <f>IF(D3434="?OLD","!!!","")</f>
        <v/>
      </c>
      <c r="F3434" s="22" t="str">
        <f>IF(OR(E3434="",E3434="!!!"),"",IF(NOT(ISNA(VLOOKUP(E3434,E$1:E3433,1,FALSE()))),"OLD",IF(AND(E3434&lt;&gt;"",E3434&lt;&gt;"!!!"),"NEW","")))</f>
        <v> </v>
      </c>
      <c r="G3434" s="23" t="str">
        <f>IF(OR(E3434="",E3434="!!!"),"",IF(OR(J3434=0,AND(J3434=1,K3434=1),AND(J3434=1,I3434="SBJ"),AND(J3434=1,I3434=0)),"?IN_FOCUS",IF(J3434&lt;=2,"?ACTIVATED",IF(J3434&lt;&gt;"","?FAMILIAR",IF(F3434="NEW",IF(ISNA(VLOOKUP(E3434,#REF!,1,FALSE())),"?TYPE_IDENTIFIABLE","?REFERENTIAL"),"_")))))</f>
        <v> </v>
      </c>
      <c r="H3434" s="24" t="str">
        <f>IF(J3434&lt;&gt;1,"",IF(I3434="SBJ","CB","?"))</f>
        <v> </v>
      </c>
      <c r="I3434" s="25" t="str">
        <f>IF(OR(E3434="",E3434="!!!",F3434="NEW"),"",INDEX(B3433:B$2,-1+SUMPRODUCT(MAX(ROW(E3433:E$2)*(E3434=E3433:E$2)))))</f>
        <v> </v>
      </c>
      <c r="J3434" s="25" t="str">
        <f>IF(OR(E3434="",E3434="!!!",F3434="NEW"),"",COUNTBLANK(OFFSET(A$1,,,SUMPRODUCT(MAX(ROW(E$2:E3434)*(E3434=E$2:E3434)))))-COUNTBLANK(OFFSET(A$1,,,SUMPRODUCT(MAX(ROW(E$1:E3433)*(E2=E$1:E3433))))))</f>
        <v> </v>
      </c>
      <c r="K3434" s="25" t="str">
        <f>IF(OR(E3434="",E3434="!!!",F3434="NEW"),"",INDEX(J$1:J3433,SUMPRODUCT(MAX(ROW(E$1:E3433)*(E3434=E$1:E3433)))))</f>
        <v> </v>
      </c>
      <c r="L3434" s="26"/>
    </row>
    <row r="3435" spans="1:12">
      <c r="A3435" s="20"/>
    </row>
    <row r="3436" spans="1:12">
      <c r="A3436" s="20" t="s">
        <v>1635</v>
      </c>
    </row>
    <row r="3437" spans="1:12">
      <c r="A3437" s="20" t="s">
        <v>1356</v>
      </c>
      <c r="B3437" s="27" t="s">
        <v>680</v>
      </c>
      <c r="C3437" s="27" t="s">
        <v>991</v>
      </c>
      <c r="D3437" s="27" t="s">
        <v>524</v>
      </c>
      <c r="E3437" s="21">
        <f>IF(D3437="?OLD","!!!","")</f>
        <v/>
      </c>
      <c r="F3437" s="22" t="str">
        <f>IF(OR(E3437="",E3437="!!!"),"",IF(NOT(ISNA(VLOOKUP(E3437,E$1:E3436,1,FALSE()))),"OLD",IF(AND(E3437&lt;&gt;"",E3437&lt;&gt;"!!!"),"NEW","")))</f>
        <v> </v>
      </c>
      <c r="G3437" s="23" t="str">
        <f>IF(OR(E3437="",E3437="!!!"),"",IF(OR(J3437=0,AND(J3437=1,K3437=1),AND(J3437=1,I3437="SBJ"),AND(J3437=1,I3437=0)),"?IN_FOCUS",IF(J3437&lt;=2,"?ACTIVATED",IF(J3437&lt;&gt;"","?FAMILIAR",IF(F3437="NEW",IF(ISNA(VLOOKUP(E3437,#REF!,1,FALSE())),"?TYPE_IDENTIFIABLE","?REFERENTIAL"),"_")))))</f>
        <v> </v>
      </c>
      <c r="H3437" s="24" t="str">
        <f>IF(J3437&lt;&gt;1,"",IF(I3437="SBJ","CB","?"))</f>
        <v> </v>
      </c>
      <c r="I3437" s="25" t="str">
        <f>IF(OR(E3437="",E3437="!!!",F3437="NEW"),"",INDEX(B3436:B$2,-1+SUMPRODUCT(MAX(ROW(E3436:E$2)*(E3437=E3436:E$2)))))</f>
        <v> </v>
      </c>
      <c r="J3437" s="25" t="str">
        <f>IF(OR(E3437="",E3437="!!!",F3437="NEW"),"",COUNTBLANK(OFFSET(A$1,,,SUMPRODUCT(MAX(ROW(E$2:E3437)*(E3437=E$2:E3437)))))-COUNTBLANK(OFFSET(A$1,,,SUMPRODUCT(MAX(ROW(E$1:E3436)*(E2=E$1:E3436))))))</f>
        <v> </v>
      </c>
      <c r="K3437" s="25" t="str">
        <f>IF(OR(E3437="",E3437="!!!",F3437="NEW"),"",INDEX(J$1:J3436,SUMPRODUCT(MAX(ROW(E$1:E3436)*(E3437=E$1:E3436)))))</f>
        <v> </v>
      </c>
      <c r="L3437" s="26"/>
    </row>
    <row r="3438" spans="1:12">
      <c r="A3438" s="20" t="s">
        <v>528</v>
      </c>
      <c r="B3438" s="27" t="s">
        <v>633</v>
      </c>
      <c r="E3438" s="21">
        <f>IF(D3438="?OLD","!!!","")</f>
        <v/>
      </c>
      <c r="F3438" s="22" t="str">
        <f>IF(OR(E3438="",E3438="!!!"),"",IF(NOT(ISNA(VLOOKUP(E3438,E$1:E3437,1,FALSE()))),"OLD",IF(AND(E3438&lt;&gt;"",E3438&lt;&gt;"!!!"),"NEW","")))</f>
        <v> </v>
      </c>
      <c r="G3438" s="23" t="str">
        <f>IF(OR(E3438="",E3438="!!!"),"",IF(OR(J3438=0,AND(J3438=1,K3438=1),AND(J3438=1,I3438="SBJ"),AND(J3438=1,I3438=0)),"?IN_FOCUS",IF(J3438&lt;=2,"?ACTIVATED",IF(J3438&lt;&gt;"","?FAMILIAR",IF(F3438="NEW",IF(ISNA(VLOOKUP(E3438,#REF!,1,FALSE())),"?TYPE_IDENTIFIABLE","?REFERENTIAL"),"_")))))</f>
        <v> </v>
      </c>
      <c r="H3438" s="24" t="str">
        <f>IF(J3438&lt;&gt;1,"",IF(I3438="SBJ","CB","?"))</f>
        <v> </v>
      </c>
      <c r="I3438" s="25" t="str">
        <f>IF(OR(E3438="",E3438="!!!",F3438="NEW"),"",INDEX(B3437:B$2,-1+SUMPRODUCT(MAX(ROW(E3437:E$2)*(E3438=E3437:E$2)))))</f>
        <v> </v>
      </c>
      <c r="J3438" s="25" t="str">
        <f>IF(OR(E3438="",E3438="!!!",F3438="NEW"),"",COUNTBLANK(OFFSET(A$1,,,SUMPRODUCT(MAX(ROW(E$2:E3438)*(E3438=E$2:E3438)))))-COUNTBLANK(OFFSET(A$1,,,SUMPRODUCT(MAX(ROW(E$1:E3437)*(E2=E$1:E3437))))))</f>
        <v> </v>
      </c>
      <c r="K3438" s="25" t="str">
        <f>IF(OR(E3438="",E3438="!!!",F3438="NEW"),"",INDEX(J$1:J3437,SUMPRODUCT(MAX(ROW(E$1:E3437)*(E3438=E$1:E3437)))))</f>
        <v> </v>
      </c>
      <c r="L3438" s="26"/>
    </row>
    <row r="3439" spans="1:12">
      <c r="A3439" s="20" t="s">
        <v>927</v>
      </c>
      <c r="E3439" s="21">
        <f>IF(D3439="?OLD","!!!","")</f>
        <v/>
      </c>
      <c r="F3439" s="22" t="str">
        <f>IF(OR(E3439="",E3439="!!!"),"",IF(NOT(ISNA(VLOOKUP(E3439,E$1:E3438,1,FALSE()))),"OLD",IF(AND(E3439&lt;&gt;"",E3439&lt;&gt;"!!!"),"NEW","")))</f>
        <v> </v>
      </c>
      <c r="G3439" s="23" t="str">
        <f>IF(OR(E3439="",E3439="!!!"),"",IF(OR(J3439=0,AND(J3439=1,K3439=1),AND(J3439=1,I3439="SBJ"),AND(J3439=1,I3439=0)),"?IN_FOCUS",IF(J3439&lt;=2,"?ACTIVATED",IF(J3439&lt;&gt;"","?FAMILIAR",IF(F3439="NEW",IF(ISNA(VLOOKUP(E3439,#REF!,1,FALSE())),"?TYPE_IDENTIFIABLE","?REFERENTIAL"),"_")))))</f>
        <v> </v>
      </c>
      <c r="H3439" s="24" t="str">
        <f>IF(J3439&lt;&gt;1,"",IF(I3439="SBJ","CB","?"))</f>
        <v> </v>
      </c>
      <c r="I3439" s="25" t="str">
        <f>IF(OR(E3439="",E3439="!!!",F3439="NEW"),"",INDEX(B3438:B$2,-1+SUMPRODUCT(MAX(ROW(E3438:E$2)*(E3439=E3438:E$2)))))</f>
        <v> </v>
      </c>
      <c r="J3439" s="25" t="str">
        <f>IF(OR(E3439="",E3439="!!!",F3439="NEW"),"",COUNTBLANK(OFFSET(A$1,,,SUMPRODUCT(MAX(ROW(E$2:E3439)*(E3439=E$2:E3439)))))-COUNTBLANK(OFFSET(A$1,,,SUMPRODUCT(MAX(ROW(E$1:E3438)*(E2=E$1:E3438))))))</f>
        <v> </v>
      </c>
      <c r="K3439" s="25" t="str">
        <f>IF(OR(E3439="",E3439="!!!",F3439="NEW"),"",INDEX(J$1:J3438,SUMPRODUCT(MAX(ROW(E$1:E3438)*(E3439=E$1:E3438)))))</f>
        <v> </v>
      </c>
      <c r="L3439" s="26"/>
    </row>
    <row r="3440" spans="1:12">
      <c r="A3440" s="20" t="s">
        <v>662</v>
      </c>
      <c r="E3440" s="21">
        <f>IF(D3440="?OLD","!!!","")</f>
        <v/>
      </c>
      <c r="F3440" s="22" t="str">
        <f>IF(OR(E3440="",E3440="!!!"),"",IF(NOT(ISNA(VLOOKUP(E3440,E$1:E3439,1,FALSE()))),"OLD",IF(AND(E3440&lt;&gt;"",E3440&lt;&gt;"!!!"),"NEW","")))</f>
        <v> </v>
      </c>
      <c r="G3440" s="23" t="str">
        <f>IF(OR(E3440="",E3440="!!!"),"",IF(OR(J3440=0,AND(J3440=1,K3440=1),AND(J3440=1,I3440="SBJ"),AND(J3440=1,I3440=0)),"?IN_FOCUS",IF(J3440&lt;=2,"?ACTIVATED",IF(J3440&lt;&gt;"","?FAMILIAR",IF(F3440="NEW",IF(ISNA(VLOOKUP(E3440,#REF!,1,FALSE())),"?TYPE_IDENTIFIABLE","?REFERENTIAL"),"_")))))</f>
        <v> </v>
      </c>
      <c r="H3440" s="24" t="str">
        <f>IF(J3440&lt;&gt;1,"",IF(I3440="SBJ","CB","?"))</f>
        <v> </v>
      </c>
      <c r="I3440" s="25" t="str">
        <f>IF(OR(E3440="",E3440="!!!",F3440="NEW"),"",INDEX(B3439:B$2,-1+SUMPRODUCT(MAX(ROW(E3439:E$2)*(E3440=E3439:E$2)))))</f>
        <v> </v>
      </c>
      <c r="J3440" s="25" t="str">
        <f>IF(OR(E3440="",E3440="!!!",F3440="NEW"),"",COUNTBLANK(OFFSET(A$1,,,SUMPRODUCT(MAX(ROW(E$2:E3440)*(E3440=E$2:E3440)))))-COUNTBLANK(OFFSET(A$1,,,SUMPRODUCT(MAX(ROW(E$1:E3439)*(E2=E$1:E3439))))))</f>
        <v> </v>
      </c>
      <c r="K3440" s="25" t="str">
        <f>IF(OR(E3440="",E3440="!!!",F3440="NEW"),"",INDEX(J$1:J3439,SUMPRODUCT(MAX(ROW(E$1:E3439)*(E3440=E$1:E3439)))))</f>
        <v> </v>
      </c>
      <c r="L3440" s="26"/>
    </row>
    <row r="3441" spans="1:12">
      <c r="A3441" s="20" t="s">
        <v>577</v>
      </c>
      <c r="E3441" s="21">
        <f>IF(D3441="?OLD","!!!","")</f>
        <v/>
      </c>
      <c r="F3441" s="22" t="str">
        <f>IF(OR(E3441="",E3441="!!!"),"",IF(NOT(ISNA(VLOOKUP(E3441,E$1:E3440,1,FALSE()))),"OLD",IF(AND(E3441&lt;&gt;"",E3441&lt;&gt;"!!!"),"NEW","")))</f>
        <v> </v>
      </c>
      <c r="G3441" s="23" t="str">
        <f>IF(OR(E3441="",E3441="!!!"),"",IF(OR(J3441=0,AND(J3441=1,K3441=1),AND(J3441=1,I3441="SBJ"),AND(J3441=1,I3441=0)),"?IN_FOCUS",IF(J3441&lt;=2,"?ACTIVATED",IF(J3441&lt;&gt;"","?FAMILIAR",IF(F3441="NEW",IF(ISNA(VLOOKUP(E3441,#REF!,1,FALSE())),"?TYPE_IDENTIFIABLE","?REFERENTIAL"),"_")))))</f>
        <v> </v>
      </c>
      <c r="H3441" s="24" t="str">
        <f>IF(J3441&lt;&gt;1,"",IF(I3441="SBJ","CB","?"))</f>
        <v> </v>
      </c>
      <c r="I3441" s="25" t="str">
        <f>IF(OR(E3441="",E3441="!!!",F3441="NEW"),"",INDEX(B3440:B$2,-1+SUMPRODUCT(MAX(ROW(E3440:E$2)*(E3441=E3440:E$2)))))</f>
        <v> </v>
      </c>
      <c r="J3441" s="25" t="str">
        <f>IF(OR(E3441="",E3441="!!!",F3441="NEW"),"",COUNTBLANK(OFFSET(A$1,,,SUMPRODUCT(MAX(ROW(E$2:E3441)*(E3441=E$2:E3441)))))-COUNTBLANK(OFFSET(A$1,,,SUMPRODUCT(MAX(ROW(E$1:E3440)*(E2=E$1:E3440))))))</f>
        <v> </v>
      </c>
      <c r="K3441" s="25" t="str">
        <f>IF(OR(E3441="",E3441="!!!",F3441="NEW"),"",INDEX(J$1:J3440,SUMPRODUCT(MAX(ROW(E$1:E3440)*(E3441=E$1:E3440)))))</f>
        <v> </v>
      </c>
      <c r="L3441" s="26"/>
    </row>
    <row r="3442" spans="1:12">
      <c r="A3442" s="20" t="s">
        <v>542</v>
      </c>
      <c r="E3442" s="21">
        <f>IF(D3442="?OLD","!!!","")</f>
        <v/>
      </c>
      <c r="F3442" s="22" t="str">
        <f>IF(OR(E3442="",E3442="!!!"),"",IF(NOT(ISNA(VLOOKUP(E3442,E$1:E3441,1,FALSE()))),"OLD",IF(AND(E3442&lt;&gt;"",E3442&lt;&gt;"!!!"),"NEW","")))</f>
        <v> </v>
      </c>
      <c r="G3442" s="23" t="str">
        <f>IF(OR(E3442="",E3442="!!!"),"",IF(OR(J3442=0,AND(J3442=1,K3442=1),AND(J3442=1,I3442="SBJ"),AND(J3442=1,I3442=0)),"?IN_FOCUS",IF(J3442&lt;=2,"?ACTIVATED",IF(J3442&lt;&gt;"","?FAMILIAR",IF(F3442="NEW",IF(ISNA(VLOOKUP(E3442,#REF!,1,FALSE())),"?TYPE_IDENTIFIABLE","?REFERENTIAL"),"_")))))</f>
        <v> </v>
      </c>
      <c r="H3442" s="24" t="str">
        <f>IF(J3442&lt;&gt;1,"",IF(I3442="SBJ","CB","?"))</f>
        <v> </v>
      </c>
      <c r="I3442" s="25" t="str">
        <f>IF(OR(E3442="",E3442="!!!",F3442="NEW"),"",INDEX(B3441:B$2,-1+SUMPRODUCT(MAX(ROW(E3441:E$2)*(E3442=E3441:E$2)))))</f>
        <v> </v>
      </c>
      <c r="J3442" s="25" t="str">
        <f>IF(OR(E3442="",E3442="!!!",F3442="NEW"),"",COUNTBLANK(OFFSET(A$1,,,SUMPRODUCT(MAX(ROW(E$2:E3442)*(E3442=E$2:E3442)))))-COUNTBLANK(OFFSET(A$1,,,SUMPRODUCT(MAX(ROW(E$1:E3441)*(E2=E$1:E3441))))))</f>
        <v> </v>
      </c>
      <c r="K3442" s="25" t="str">
        <f>IF(OR(E3442="",E3442="!!!",F3442="NEW"),"",INDEX(J$1:J3441,SUMPRODUCT(MAX(ROW(E$1:E3441)*(E3442=E$1:E3441)))))</f>
        <v> </v>
      </c>
      <c r="L3442" s="26"/>
    </row>
    <row r="3443" spans="1:12">
      <c r="A3443" s="20" t="s">
        <v>686</v>
      </c>
      <c r="B3443" s="27" t="s">
        <v>597</v>
      </c>
      <c r="C3443" s="27" t="s">
        <v>545</v>
      </c>
      <c r="D3443" s="27" t="s">
        <v>524</v>
      </c>
      <c r="E3443" s="21">
        <f>IF(D3443="?OLD","!!!","")</f>
        <v/>
      </c>
      <c r="F3443" s="22" t="str">
        <f>IF(OR(E3443="",E3443="!!!"),"",IF(NOT(ISNA(VLOOKUP(E3443,E$1:E3442,1,FALSE()))),"OLD",IF(AND(E3443&lt;&gt;"",E3443&lt;&gt;"!!!"),"NEW","")))</f>
        <v> </v>
      </c>
      <c r="G3443" s="23" t="str">
        <f>IF(OR(E3443="",E3443="!!!"),"",IF(OR(J3443=0,AND(J3443=1,K3443=1),AND(J3443=1,I3443="SBJ"),AND(J3443=1,I3443=0)),"?IN_FOCUS",IF(J3443&lt;=2,"?ACTIVATED",IF(J3443&lt;&gt;"","?FAMILIAR",IF(F3443="NEW",IF(ISNA(VLOOKUP(E3443,#REF!,1,FALSE())),"?TYPE_IDENTIFIABLE","?REFERENTIAL"),"_")))))</f>
        <v> </v>
      </c>
      <c r="H3443" s="24" t="str">
        <f>IF(J3443&lt;&gt;1,"",IF(I3443="SBJ","CB","?"))</f>
        <v> </v>
      </c>
      <c r="I3443" s="25" t="str">
        <f>IF(OR(E3443="",E3443="!!!",F3443="NEW"),"",INDEX(B3442:B$2,-1+SUMPRODUCT(MAX(ROW(E3442:E$2)*(E3443=E3442:E$2)))))</f>
        <v> </v>
      </c>
      <c r="J3443" s="25" t="str">
        <f>IF(OR(E3443="",E3443="!!!",F3443="NEW"),"",COUNTBLANK(OFFSET(A$1,,,SUMPRODUCT(MAX(ROW(E$2:E3443)*(E3443=E$2:E3443)))))-COUNTBLANK(OFFSET(A$1,,,SUMPRODUCT(MAX(ROW(E$1:E3442)*(E2=E$1:E3442))))))</f>
        <v> </v>
      </c>
      <c r="K3443" s="25" t="str">
        <f>IF(OR(E3443="",E3443="!!!",F3443="NEW"),"",INDEX(J$1:J3442,SUMPRODUCT(MAX(ROW(E$1:E3442)*(E3443=E$1:E3442)))))</f>
        <v> </v>
      </c>
      <c r="L3443" s="26"/>
    </row>
    <row r="3444" spans="1:12">
      <c r="A3444" s="20" t="s">
        <v>565</v>
      </c>
      <c r="E3444" s="21">
        <f>IF(D3444="?OLD","!!!","")</f>
        <v/>
      </c>
      <c r="F3444" s="22" t="str">
        <f>IF(OR(E3444="",E3444="!!!"),"",IF(NOT(ISNA(VLOOKUP(E3444,E$1:E3443,1,FALSE()))),"OLD",IF(AND(E3444&lt;&gt;"",E3444&lt;&gt;"!!!"),"NEW","")))</f>
        <v> </v>
      </c>
      <c r="G3444" s="23" t="str">
        <f>IF(OR(E3444="",E3444="!!!"),"",IF(OR(J3444=0,AND(J3444=1,K3444=1),AND(J3444=1,I3444="SBJ"),AND(J3444=1,I3444=0)),"?IN_FOCUS",IF(J3444&lt;=2,"?ACTIVATED",IF(J3444&lt;&gt;"","?FAMILIAR",IF(F3444="NEW",IF(ISNA(VLOOKUP(E3444,#REF!,1,FALSE())),"?TYPE_IDENTIFIABLE","?REFERENTIAL"),"_")))))</f>
        <v> </v>
      </c>
      <c r="H3444" s="24" t="str">
        <f>IF(J3444&lt;&gt;1,"",IF(I3444="SBJ","CB","?"))</f>
        <v> </v>
      </c>
      <c r="I3444" s="25" t="str">
        <f>IF(OR(E3444="",E3444="!!!",F3444="NEW"),"",INDEX(B3443:B$2,-1+SUMPRODUCT(MAX(ROW(E3443:E$2)*(E3444=E3443:E$2)))))</f>
        <v> </v>
      </c>
      <c r="J3444" s="25" t="str">
        <f>IF(OR(E3444="",E3444="!!!",F3444="NEW"),"",COUNTBLANK(OFFSET(A$1,,,SUMPRODUCT(MAX(ROW(E$2:E3444)*(E3444=E$2:E3444)))))-COUNTBLANK(OFFSET(A$1,,,SUMPRODUCT(MAX(ROW(E$1:E3443)*(E2=E$1:E3443))))))</f>
        <v> </v>
      </c>
      <c r="K3444" s="25" t="str">
        <f>IF(OR(E3444="",E3444="!!!",F3444="NEW"),"",INDEX(J$1:J3443,SUMPRODUCT(MAX(ROW(E$1:E3443)*(E3444=E$1:E3443)))))</f>
        <v> </v>
      </c>
      <c r="L3444" s="26"/>
    </row>
    <row r="3445" spans="1:12">
      <c r="A3445" s="20" t="s">
        <v>541</v>
      </c>
      <c r="E3445" s="21">
        <f>IF(D3445="?OLD","!!!","")</f>
        <v/>
      </c>
      <c r="F3445" s="22" t="str">
        <f>IF(OR(E3445="",E3445="!!!"),"",IF(NOT(ISNA(VLOOKUP(E3445,E$1:E3444,1,FALSE()))),"OLD",IF(AND(E3445&lt;&gt;"",E3445&lt;&gt;"!!!"),"NEW","")))</f>
        <v> </v>
      </c>
      <c r="G3445" s="23" t="str">
        <f>IF(OR(E3445="",E3445="!!!"),"",IF(OR(J3445=0,AND(J3445=1,K3445=1),AND(J3445=1,I3445="SBJ"),AND(J3445=1,I3445=0)),"?IN_FOCUS",IF(J3445&lt;=2,"?ACTIVATED",IF(J3445&lt;&gt;"","?FAMILIAR",IF(F3445="NEW",IF(ISNA(VLOOKUP(E3445,#REF!,1,FALSE())),"?TYPE_IDENTIFIABLE","?REFERENTIAL"),"_")))))</f>
        <v> </v>
      </c>
      <c r="H3445" s="24" t="str">
        <f>IF(J3445&lt;&gt;1,"",IF(I3445="SBJ","CB","?"))</f>
        <v> </v>
      </c>
      <c r="I3445" s="25" t="str">
        <f>IF(OR(E3445="",E3445="!!!",F3445="NEW"),"",INDEX(B3444:B$2,-1+SUMPRODUCT(MAX(ROW(E3444:E$2)*(E3445=E3444:E$2)))))</f>
        <v> </v>
      </c>
      <c r="J3445" s="25" t="str">
        <f>IF(OR(E3445="",E3445="!!!",F3445="NEW"),"",COUNTBLANK(OFFSET(A$1,,,SUMPRODUCT(MAX(ROW(E$2:E3445)*(E3445=E$2:E3445)))))-COUNTBLANK(OFFSET(A$1,,,SUMPRODUCT(MAX(ROW(E$1:E3444)*(E2=E$1:E3444))))))</f>
        <v> </v>
      </c>
      <c r="K3445" s="25" t="str">
        <f>IF(OR(E3445="",E3445="!!!",F3445="NEW"),"",INDEX(J$1:J3444,SUMPRODUCT(MAX(ROW(E$1:E3444)*(E3445=E$1:E3444)))))</f>
        <v> </v>
      </c>
      <c r="L3445" s="26"/>
    </row>
    <row r="3446" spans="1:12">
      <c r="A3446" s="20" t="s">
        <v>1636</v>
      </c>
      <c r="E3446" s="21">
        <f>IF(D3446="?OLD","!!!","")</f>
        <v/>
      </c>
      <c r="F3446" s="22" t="str">
        <f>IF(OR(E3446="",E3446="!!!"),"",IF(NOT(ISNA(VLOOKUP(E3446,E$1:E3445,1,FALSE()))),"OLD",IF(AND(E3446&lt;&gt;"",E3446&lt;&gt;"!!!"),"NEW","")))</f>
        <v> </v>
      </c>
      <c r="G3446" s="23" t="str">
        <f>IF(OR(E3446="",E3446="!!!"),"",IF(OR(J3446=0,AND(J3446=1,K3446=1),AND(J3446=1,I3446="SBJ"),AND(J3446=1,I3446=0)),"?IN_FOCUS",IF(J3446&lt;=2,"?ACTIVATED",IF(J3446&lt;&gt;"","?FAMILIAR",IF(F3446="NEW",IF(ISNA(VLOOKUP(E3446,#REF!,1,FALSE())),"?TYPE_IDENTIFIABLE","?REFERENTIAL"),"_")))))</f>
        <v> </v>
      </c>
      <c r="H3446" s="24" t="str">
        <f>IF(J3446&lt;&gt;1,"",IF(I3446="SBJ","CB","?"))</f>
        <v> </v>
      </c>
      <c r="I3446" s="25" t="str">
        <f>IF(OR(E3446="",E3446="!!!",F3446="NEW"),"",INDEX(B3445:B$2,-1+SUMPRODUCT(MAX(ROW(E3445:E$2)*(E3446=E3445:E$2)))))</f>
        <v> </v>
      </c>
      <c r="J3446" s="25" t="str">
        <f>IF(OR(E3446="",E3446="!!!",F3446="NEW"),"",COUNTBLANK(OFFSET(A$1,,,SUMPRODUCT(MAX(ROW(E$2:E3446)*(E3446=E$2:E3446)))))-COUNTBLANK(OFFSET(A$1,,,SUMPRODUCT(MAX(ROW(E$1:E3445)*(E2=E$1:E3445))))))</f>
        <v> </v>
      </c>
      <c r="K3446" s="25" t="str">
        <f>IF(OR(E3446="",E3446="!!!",F3446="NEW"),"",INDEX(J$1:J3445,SUMPRODUCT(MAX(ROW(E$1:E3445)*(E3446=E$1:E3445)))))</f>
        <v> </v>
      </c>
      <c r="L3446" s="26"/>
    </row>
    <row r="3447" spans="1:12">
      <c r="A3447" s="20" t="s">
        <v>518</v>
      </c>
      <c r="E3447" s="21">
        <f>IF(D3447="?OLD","!!!","")</f>
        <v/>
      </c>
      <c r="F3447" s="22" t="str">
        <f>IF(OR(E3447="",E3447="!!!"),"",IF(NOT(ISNA(VLOOKUP(E3447,E$1:E3446,1,FALSE()))),"OLD",IF(AND(E3447&lt;&gt;"",E3447&lt;&gt;"!!!"),"NEW","")))</f>
        <v> </v>
      </c>
      <c r="G3447" s="23" t="str">
        <f>IF(OR(E3447="",E3447="!!!"),"",IF(OR(J3447=0,AND(J3447=1,K3447=1),AND(J3447=1,I3447="SBJ"),AND(J3447=1,I3447=0)),"?IN_FOCUS",IF(J3447&lt;=2,"?ACTIVATED",IF(J3447&lt;&gt;"","?FAMILIAR",IF(F3447="NEW",IF(ISNA(VLOOKUP(E3447,#REF!,1,FALSE())),"?TYPE_IDENTIFIABLE","?REFERENTIAL"),"_")))))</f>
        <v> </v>
      </c>
      <c r="H3447" s="24" t="str">
        <f>IF(J3447&lt;&gt;1,"",IF(I3447="SBJ","CB","?"))</f>
        <v> </v>
      </c>
      <c r="I3447" s="25" t="str">
        <f>IF(OR(E3447="",E3447="!!!",F3447="NEW"),"",INDEX(B3446:B$2,-1+SUMPRODUCT(MAX(ROW(E3446:E$2)*(E3447=E3446:E$2)))))</f>
        <v> </v>
      </c>
      <c r="J3447" s="25" t="str">
        <f>IF(OR(E3447="",E3447="!!!",F3447="NEW"),"",COUNTBLANK(OFFSET(A$1,,,SUMPRODUCT(MAX(ROW(E$2:E3447)*(E3447=E$2:E3447)))))-COUNTBLANK(OFFSET(A$1,,,SUMPRODUCT(MAX(ROW(E$1:E3446)*(E2=E$1:E3446))))))</f>
        <v> </v>
      </c>
      <c r="K3447" s="25" t="str">
        <f>IF(OR(E3447="",E3447="!!!",F3447="NEW"),"",INDEX(J$1:J3446,SUMPRODUCT(MAX(ROW(E$1:E3446)*(E3447=E$1:E3446)))))</f>
        <v> </v>
      </c>
      <c r="L3447" s="26"/>
    </row>
    <row r="3448" spans="1:12">
      <c r="A3448" s="20" t="s">
        <v>682</v>
      </c>
      <c r="B3448" s="27" t="s">
        <v>743</v>
      </c>
      <c r="C3448" s="27" t="s">
        <v>584</v>
      </c>
      <c r="D3448" s="27" t="s">
        <v>524</v>
      </c>
      <c r="E3448" s="21">
        <f>IF(D3448="?OLD","!!!","")</f>
        <v/>
      </c>
      <c r="F3448" s="22" t="str">
        <f>IF(OR(E3448="",E3448="!!!"),"",IF(NOT(ISNA(VLOOKUP(E3448,E$1:E3447,1,FALSE()))),"OLD",IF(AND(E3448&lt;&gt;"",E3448&lt;&gt;"!!!"),"NEW","")))</f>
        <v> </v>
      </c>
      <c r="G3448" s="23" t="str">
        <f>IF(OR(E3448="",E3448="!!!"),"",IF(OR(J3448=0,AND(J3448=1,K3448=1),AND(J3448=1,I3448="SBJ"),AND(J3448=1,I3448=0)),"?IN_FOCUS",IF(J3448&lt;=2,"?ACTIVATED",IF(J3448&lt;&gt;"","?FAMILIAR",IF(F3448="NEW",IF(ISNA(VLOOKUP(E3448,#REF!,1,FALSE())),"?TYPE_IDENTIFIABLE","?REFERENTIAL"),"_")))))</f>
        <v> </v>
      </c>
      <c r="H3448" s="24" t="str">
        <f>IF(J3448&lt;&gt;1,"",IF(I3448="SBJ","CB","?"))</f>
        <v> </v>
      </c>
      <c r="I3448" s="25" t="str">
        <f>IF(OR(E3448="",E3448="!!!",F3448="NEW"),"",INDEX(B3447:B$2,-1+SUMPRODUCT(MAX(ROW(E3447:E$2)*(E3448=E3447:E$2)))))</f>
        <v> </v>
      </c>
      <c r="J3448" s="25" t="str">
        <f>IF(OR(E3448="",E3448="!!!",F3448="NEW"),"",COUNTBLANK(OFFSET(A$1,,,SUMPRODUCT(MAX(ROW(E$2:E3448)*(E3448=E$2:E3448)))))-COUNTBLANK(OFFSET(A$1,,,SUMPRODUCT(MAX(ROW(E$1:E3447)*(E2=E$1:E3447))))))</f>
        <v> </v>
      </c>
      <c r="K3448" s="25" t="str">
        <f>IF(OR(E3448="",E3448="!!!",F3448="NEW"),"",INDEX(J$1:J3447,SUMPRODUCT(MAX(ROW(E$1:E3447)*(E3448=E$1:E3447)))))</f>
        <v> </v>
      </c>
      <c r="L3448" s="26"/>
    </row>
    <row r="3449" spans="1:12">
      <c r="A3449" s="20" t="s">
        <v>528</v>
      </c>
      <c r="B3449" s="27" t="s">
        <v>680</v>
      </c>
      <c r="E3449" s="21">
        <f>IF(D3449="?OLD","!!!","")</f>
        <v/>
      </c>
      <c r="F3449" s="22" t="str">
        <f>IF(OR(E3449="",E3449="!!!"),"",IF(NOT(ISNA(VLOOKUP(E3449,E$1:E3448,1,FALSE()))),"OLD",IF(AND(E3449&lt;&gt;"",E3449&lt;&gt;"!!!"),"NEW","")))</f>
        <v> </v>
      </c>
      <c r="G3449" s="23" t="str">
        <f>IF(OR(E3449="",E3449="!!!"),"",IF(OR(J3449=0,AND(J3449=1,K3449=1),AND(J3449=1,I3449="SBJ"),AND(J3449=1,I3449=0)),"?IN_FOCUS",IF(J3449&lt;=2,"?ACTIVATED",IF(J3449&lt;&gt;"","?FAMILIAR",IF(F3449="NEW",IF(ISNA(VLOOKUP(E3449,#REF!,1,FALSE())),"?TYPE_IDENTIFIABLE","?REFERENTIAL"),"_")))))</f>
        <v> </v>
      </c>
      <c r="H3449" s="24" t="str">
        <f>IF(J3449&lt;&gt;1,"",IF(I3449="SBJ","CB","?"))</f>
        <v> </v>
      </c>
      <c r="I3449" s="25" t="str">
        <f>IF(OR(E3449="",E3449="!!!",F3449="NEW"),"",INDEX(B3448:B$2,-1+SUMPRODUCT(MAX(ROW(E3448:E$2)*(E3449=E3448:E$2)))))</f>
        <v> </v>
      </c>
      <c r="J3449" s="25" t="str">
        <f>IF(OR(E3449="",E3449="!!!",F3449="NEW"),"",COUNTBLANK(OFFSET(A$1,,,SUMPRODUCT(MAX(ROW(E$2:E3449)*(E3449=E$2:E3449)))))-COUNTBLANK(OFFSET(A$1,,,SUMPRODUCT(MAX(ROW(E$1:E3448)*(E2=E$1:E3448))))))</f>
        <v> </v>
      </c>
      <c r="K3449" s="25" t="str">
        <f>IF(OR(E3449="",E3449="!!!",F3449="NEW"),"",INDEX(J$1:J3448,SUMPRODUCT(MAX(ROW(E$1:E3448)*(E3449=E$1:E3448)))))</f>
        <v> </v>
      </c>
      <c r="L3449" s="26"/>
    </row>
    <row r="3450" spans="1:12">
      <c r="A3450" s="20" t="s">
        <v>1637</v>
      </c>
      <c r="E3450" s="21">
        <f>IF(D3450="?OLD","!!!","")</f>
        <v/>
      </c>
      <c r="F3450" s="22" t="str">
        <f>IF(OR(E3450="",E3450="!!!"),"",IF(NOT(ISNA(VLOOKUP(E3450,E$1:E3449,1,FALSE()))),"OLD",IF(AND(E3450&lt;&gt;"",E3450&lt;&gt;"!!!"),"NEW","")))</f>
        <v> </v>
      </c>
      <c r="G3450" s="23" t="str">
        <f>IF(OR(E3450="",E3450="!!!"),"",IF(OR(J3450=0,AND(J3450=1,K3450=1),AND(J3450=1,I3450="SBJ"),AND(J3450=1,I3450=0)),"?IN_FOCUS",IF(J3450&lt;=2,"?ACTIVATED",IF(J3450&lt;&gt;"","?FAMILIAR",IF(F3450="NEW",IF(ISNA(VLOOKUP(E3450,#REF!,1,FALSE())),"?TYPE_IDENTIFIABLE","?REFERENTIAL"),"_")))))</f>
        <v> </v>
      </c>
      <c r="H3450" s="24" t="str">
        <f>IF(J3450&lt;&gt;1,"",IF(I3450="SBJ","CB","?"))</f>
        <v> </v>
      </c>
      <c r="I3450" s="25" t="str">
        <f>IF(OR(E3450="",E3450="!!!",F3450="NEW"),"",INDEX(B3449:B$2,-1+SUMPRODUCT(MAX(ROW(E3449:E$2)*(E3450=E3449:E$2)))))</f>
        <v> </v>
      </c>
      <c r="J3450" s="25" t="str">
        <f>IF(OR(E3450="",E3450="!!!",F3450="NEW"),"",COUNTBLANK(OFFSET(A$1,,,SUMPRODUCT(MAX(ROW(E$2:E3450)*(E3450=E$2:E3450)))))-COUNTBLANK(OFFSET(A$1,,,SUMPRODUCT(MAX(ROW(E$1:E3449)*(E2=E$1:E3449))))))</f>
        <v> </v>
      </c>
      <c r="K3450" s="25" t="str">
        <f>IF(OR(E3450="",E3450="!!!",F3450="NEW"),"",INDEX(J$1:J3449,SUMPRODUCT(MAX(ROW(E$1:E3449)*(E3450=E$1:E3449)))))</f>
        <v> </v>
      </c>
      <c r="L3450" s="26"/>
    </row>
    <row r="3451" spans="1:12">
      <c r="A3451" s="20" t="s">
        <v>549</v>
      </c>
      <c r="E3451" s="21">
        <f>IF(D3451="?OLD","!!!","")</f>
        <v/>
      </c>
      <c r="F3451" s="22" t="str">
        <f>IF(OR(E3451="",E3451="!!!"),"",IF(NOT(ISNA(VLOOKUP(E3451,E$1:E3450,1,FALSE()))),"OLD",IF(AND(E3451&lt;&gt;"",E3451&lt;&gt;"!!!"),"NEW","")))</f>
        <v> </v>
      </c>
      <c r="G3451" s="23" t="str">
        <f>IF(OR(E3451="",E3451="!!!"),"",IF(OR(J3451=0,AND(J3451=1,K3451=1),AND(J3451=1,I3451="SBJ"),AND(J3451=1,I3451=0)),"?IN_FOCUS",IF(J3451&lt;=2,"?ACTIVATED",IF(J3451&lt;&gt;"","?FAMILIAR",IF(F3451="NEW",IF(ISNA(VLOOKUP(E3451,#REF!,1,FALSE())),"?TYPE_IDENTIFIABLE","?REFERENTIAL"),"_")))))</f>
        <v> </v>
      </c>
      <c r="H3451" s="24" t="str">
        <f>IF(J3451&lt;&gt;1,"",IF(I3451="SBJ","CB","?"))</f>
        <v> </v>
      </c>
      <c r="I3451" s="25" t="str">
        <f>IF(OR(E3451="",E3451="!!!",F3451="NEW"),"",INDEX(B3450:B$2,-1+SUMPRODUCT(MAX(ROW(E3450:E$2)*(E3451=E3450:E$2)))))</f>
        <v> </v>
      </c>
      <c r="J3451" s="25" t="str">
        <f>IF(OR(E3451="",E3451="!!!",F3451="NEW"),"",COUNTBLANK(OFFSET(A$1,,,SUMPRODUCT(MAX(ROW(E$2:E3451)*(E3451=E$2:E3451)))))-COUNTBLANK(OFFSET(A$1,,,SUMPRODUCT(MAX(ROW(E$1:E3450)*(E2=E$1:E3450))))))</f>
        <v> </v>
      </c>
      <c r="K3451" s="25" t="str">
        <f>IF(OR(E3451="",E3451="!!!",F3451="NEW"),"",INDEX(J$1:J3450,SUMPRODUCT(MAX(ROW(E$1:E3450)*(E3451=E$1:E3450)))))</f>
        <v> </v>
      </c>
      <c r="L3451" s="26"/>
    </row>
    <row r="3452" spans="1:12">
      <c r="A3452" s="20"/>
    </row>
    <row r="3453" spans="1:12">
      <c r="A3453" s="20" t="s">
        <v>1638</v>
      </c>
    </row>
    <row r="3454" spans="1:12">
      <c r="A3454" s="20" t="s">
        <v>831</v>
      </c>
      <c r="E3454" s="21">
        <f>IF(D3454="?OLD","!!!","")</f>
        <v/>
      </c>
      <c r="F3454" s="22" t="str">
        <f>IF(OR(E3454="",E3454="!!!"),"",IF(NOT(ISNA(VLOOKUP(E3454,E$1:E3453,1,FALSE()))),"OLD",IF(AND(E3454&lt;&gt;"",E3454&lt;&gt;"!!!"),"NEW","")))</f>
        <v> </v>
      </c>
      <c r="G3454" s="23" t="str">
        <f>IF(OR(E3454="",E3454="!!!"),"",IF(OR(J3454=0,AND(J3454=1,K3454=1),AND(J3454=1,I3454="SBJ"),AND(J3454=1,I3454=0)),"?IN_FOCUS",IF(J3454&lt;=2,"?ACTIVATED",IF(J3454&lt;&gt;"","?FAMILIAR",IF(F3454="NEW",IF(ISNA(VLOOKUP(E3454,#REF!,1,FALSE())),"?TYPE_IDENTIFIABLE","?REFERENTIAL"),"_")))))</f>
        <v> </v>
      </c>
      <c r="H3454" s="24" t="str">
        <f>IF(J3454&lt;&gt;1,"",IF(I3454="SBJ","CB","?"))</f>
        <v> </v>
      </c>
      <c r="I3454" s="25" t="str">
        <f>IF(OR(E3454="",E3454="!!!",F3454="NEW"),"",INDEX(B3453:B$2,-1+SUMPRODUCT(MAX(ROW(E3453:E$2)*(E3454=E3453:E$2)))))</f>
        <v> </v>
      </c>
      <c r="J3454" s="25" t="str">
        <f>IF(OR(E3454="",E3454="!!!",F3454="NEW"),"",COUNTBLANK(OFFSET(A$1,,,SUMPRODUCT(MAX(ROW(E$2:E3454)*(E3454=E$2:E3454)))))-COUNTBLANK(OFFSET(A$1,,,SUMPRODUCT(MAX(ROW(E$1:E3453)*(E2=E$1:E3453))))))</f>
        <v> </v>
      </c>
      <c r="K3454" s="25" t="str">
        <f>IF(OR(E3454="",E3454="!!!",F3454="NEW"),"",INDEX(J$1:J3453,SUMPRODUCT(MAX(ROW(E$1:E3453)*(E3454=E$1:E3453)))))</f>
        <v> </v>
      </c>
      <c r="L3454" s="26"/>
    </row>
    <row r="3455" spans="1:12">
      <c r="A3455" s="20" t="s">
        <v>1114</v>
      </c>
      <c r="B3455" s="27" t="s">
        <v>680</v>
      </c>
      <c r="C3455" s="27" t="s">
        <v>540</v>
      </c>
      <c r="D3455" s="27" t="s">
        <v>524</v>
      </c>
      <c r="E3455" s="21">
        <f>IF(D3455="?OLD","!!!","")</f>
        <v/>
      </c>
      <c r="F3455" s="22" t="str">
        <f>IF(OR(E3455="",E3455="!!!"),"",IF(NOT(ISNA(VLOOKUP(E3455,E$1:E3454,1,FALSE()))),"OLD",IF(AND(E3455&lt;&gt;"",E3455&lt;&gt;"!!!"),"NEW","")))</f>
        <v> </v>
      </c>
      <c r="G3455" s="23" t="str">
        <f>IF(OR(E3455="",E3455="!!!"),"",IF(OR(J3455=0,AND(J3455=1,K3455=1),AND(J3455=1,I3455="SBJ"),AND(J3455=1,I3455=0)),"?IN_FOCUS",IF(J3455&lt;=2,"?ACTIVATED",IF(J3455&lt;&gt;"","?FAMILIAR",IF(F3455="NEW",IF(ISNA(VLOOKUP(E3455,#REF!,1,FALSE())),"?TYPE_IDENTIFIABLE","?REFERENTIAL"),"_")))))</f>
        <v> </v>
      </c>
      <c r="H3455" s="24" t="str">
        <f>IF(J3455&lt;&gt;1,"",IF(I3455="SBJ","CB","?"))</f>
        <v> </v>
      </c>
      <c r="I3455" s="25" t="str">
        <f>IF(OR(E3455="",E3455="!!!",F3455="NEW"),"",INDEX(B3454:B$2,-1+SUMPRODUCT(MAX(ROW(E3454:E$2)*(E3455=E3454:E$2)))))</f>
        <v> </v>
      </c>
      <c r="J3455" s="25" t="str">
        <f>IF(OR(E3455="",E3455="!!!",F3455="NEW"),"",COUNTBLANK(OFFSET(A$1,,,SUMPRODUCT(MAX(ROW(E$2:E3455)*(E3455=E$2:E3455)))))-COUNTBLANK(OFFSET(A$1,,,SUMPRODUCT(MAX(ROW(E$1:E3454)*(E2=E$1:E3454))))))</f>
        <v> </v>
      </c>
      <c r="K3455" s="25" t="str">
        <f>IF(OR(E3455="",E3455="!!!",F3455="NEW"),"",INDEX(J$1:J3454,SUMPRODUCT(MAX(ROW(E$1:E3454)*(E3455=E$1:E3454)))))</f>
        <v> </v>
      </c>
      <c r="L3455" s="26"/>
    </row>
    <row r="3456" spans="1:12">
      <c r="A3456" s="20" t="s">
        <v>1639</v>
      </c>
      <c r="E3456" s="21">
        <f>IF(D3456="?OLD","!!!","")</f>
        <v/>
      </c>
      <c r="F3456" s="22" t="str">
        <f>IF(OR(E3456="",E3456="!!!"),"",IF(NOT(ISNA(VLOOKUP(E3456,E$1:E3455,1,FALSE()))),"OLD",IF(AND(E3456&lt;&gt;"",E3456&lt;&gt;"!!!"),"NEW","")))</f>
        <v> </v>
      </c>
      <c r="G3456" s="23" t="str">
        <f>IF(OR(E3456="",E3456="!!!"),"",IF(OR(J3456=0,AND(J3456=1,K3456=1),AND(J3456=1,I3456="SBJ"),AND(J3456=1,I3456=0)),"?IN_FOCUS",IF(J3456&lt;=2,"?ACTIVATED",IF(J3456&lt;&gt;"","?FAMILIAR",IF(F3456="NEW",IF(ISNA(VLOOKUP(E3456,#REF!,1,FALSE())),"?TYPE_IDENTIFIABLE","?REFERENTIAL"),"_")))))</f>
        <v> </v>
      </c>
      <c r="H3456" s="24" t="str">
        <f>IF(J3456&lt;&gt;1,"",IF(I3456="SBJ","CB","?"))</f>
        <v> </v>
      </c>
      <c r="I3456" s="25" t="str">
        <f>IF(OR(E3456="",E3456="!!!",F3456="NEW"),"",INDEX(B3455:B$2,-1+SUMPRODUCT(MAX(ROW(E3455:E$2)*(E3456=E3455:E$2)))))</f>
        <v> </v>
      </c>
      <c r="J3456" s="25" t="str">
        <f>IF(OR(E3456="",E3456="!!!",F3456="NEW"),"",COUNTBLANK(OFFSET(A$1,,,SUMPRODUCT(MAX(ROW(E$2:E3456)*(E3456=E$2:E3456)))))-COUNTBLANK(OFFSET(A$1,,,SUMPRODUCT(MAX(ROW(E$1:E3455)*(E2=E$1:E3455))))))</f>
        <v> </v>
      </c>
      <c r="K3456" s="25" t="str">
        <f>IF(OR(E3456="",E3456="!!!",F3456="NEW"),"",INDEX(J$1:J3455,SUMPRODUCT(MAX(ROW(E$1:E3455)*(E3456=E$1:E3455)))))</f>
        <v> </v>
      </c>
      <c r="L3456" s="26"/>
    </row>
    <row r="3457" spans="1:12">
      <c r="A3457" s="20" t="s">
        <v>518</v>
      </c>
      <c r="E3457" s="21">
        <f>IF(D3457="?OLD","!!!","")</f>
        <v/>
      </c>
      <c r="F3457" s="22" t="str">
        <f>IF(OR(E3457="",E3457="!!!"),"",IF(NOT(ISNA(VLOOKUP(E3457,E$1:E3456,1,FALSE()))),"OLD",IF(AND(E3457&lt;&gt;"",E3457&lt;&gt;"!!!"),"NEW","")))</f>
        <v> </v>
      </c>
      <c r="G3457" s="23" t="str">
        <f>IF(OR(E3457="",E3457="!!!"),"",IF(OR(J3457=0,AND(J3457=1,K3457=1),AND(J3457=1,I3457="SBJ"),AND(J3457=1,I3457=0)),"?IN_FOCUS",IF(J3457&lt;=2,"?ACTIVATED",IF(J3457&lt;&gt;"","?FAMILIAR",IF(F3457="NEW",IF(ISNA(VLOOKUP(E3457,#REF!,1,FALSE())),"?TYPE_IDENTIFIABLE","?REFERENTIAL"),"_")))))</f>
        <v> </v>
      </c>
      <c r="H3457" s="24" t="str">
        <f>IF(J3457&lt;&gt;1,"",IF(I3457="SBJ","CB","?"))</f>
        <v> </v>
      </c>
      <c r="I3457" s="25" t="str">
        <f>IF(OR(E3457="",E3457="!!!",F3457="NEW"),"",INDEX(B3456:B$2,-1+SUMPRODUCT(MAX(ROW(E3456:E$2)*(E3457=E3456:E$2)))))</f>
        <v> </v>
      </c>
      <c r="J3457" s="25" t="str">
        <f>IF(OR(E3457="",E3457="!!!",F3457="NEW"),"",COUNTBLANK(OFFSET(A$1,,,SUMPRODUCT(MAX(ROW(E$2:E3457)*(E3457=E$2:E3457)))))-COUNTBLANK(OFFSET(A$1,,,SUMPRODUCT(MAX(ROW(E$1:E3456)*(E2=E$1:E3456))))))</f>
        <v> </v>
      </c>
      <c r="K3457" s="25" t="str">
        <f>IF(OR(E3457="",E3457="!!!",F3457="NEW"),"",INDEX(J$1:J3456,SUMPRODUCT(MAX(ROW(E$1:E3456)*(E3457=E$1:E3456)))))</f>
        <v> </v>
      </c>
      <c r="L3457" s="26"/>
    </row>
    <row r="3458" spans="1:12">
      <c r="A3458" s="20" t="s">
        <v>874</v>
      </c>
      <c r="E3458" s="21">
        <f>IF(D3458="?OLD","!!!","")</f>
        <v/>
      </c>
      <c r="F3458" s="22" t="str">
        <f>IF(OR(E3458="",E3458="!!!"),"",IF(NOT(ISNA(VLOOKUP(E3458,E$1:E3457,1,FALSE()))),"OLD",IF(AND(E3458&lt;&gt;"",E3458&lt;&gt;"!!!"),"NEW","")))</f>
        <v> </v>
      </c>
      <c r="G3458" s="23" t="str">
        <f>IF(OR(E3458="",E3458="!!!"),"",IF(OR(J3458=0,AND(J3458=1,K3458=1),AND(J3458=1,I3458="SBJ"),AND(J3458=1,I3458=0)),"?IN_FOCUS",IF(J3458&lt;=2,"?ACTIVATED",IF(J3458&lt;&gt;"","?FAMILIAR",IF(F3458="NEW",IF(ISNA(VLOOKUP(E3458,#REF!,1,FALSE())),"?TYPE_IDENTIFIABLE","?REFERENTIAL"),"_")))))</f>
        <v> </v>
      </c>
      <c r="H3458" s="24" t="str">
        <f>IF(J3458&lt;&gt;1,"",IF(I3458="SBJ","CB","?"))</f>
        <v> </v>
      </c>
      <c r="I3458" s="25" t="str">
        <f>IF(OR(E3458="",E3458="!!!",F3458="NEW"),"",INDEX(B3457:B$2,-1+SUMPRODUCT(MAX(ROW(E3457:E$2)*(E3458=E3457:E$2)))))</f>
        <v> </v>
      </c>
      <c r="J3458" s="25" t="str">
        <f>IF(OR(E3458="",E3458="!!!",F3458="NEW"),"",COUNTBLANK(OFFSET(A$1,,,SUMPRODUCT(MAX(ROW(E$2:E3458)*(E3458=E$2:E3458)))))-COUNTBLANK(OFFSET(A$1,,,SUMPRODUCT(MAX(ROW(E$1:E3457)*(E2=E$1:E3457))))))</f>
        <v> </v>
      </c>
      <c r="K3458" s="25" t="str">
        <f>IF(OR(E3458="",E3458="!!!",F3458="NEW"),"",INDEX(J$1:J3457,SUMPRODUCT(MAX(ROW(E$1:E3457)*(E3458=E$1:E3457)))))</f>
        <v> </v>
      </c>
      <c r="L3458" s="26"/>
    </row>
    <row r="3459" spans="1:12">
      <c r="A3459" s="20" t="s">
        <v>1596</v>
      </c>
      <c r="B3459" s="27" t="s">
        <v>597</v>
      </c>
      <c r="C3459" s="27" t="s">
        <v>637</v>
      </c>
      <c r="D3459" s="27" t="s">
        <v>524</v>
      </c>
      <c r="E3459" s="21">
        <f>IF(D3459="?OLD","!!!","")</f>
        <v/>
      </c>
      <c r="F3459" s="22" t="str">
        <f>IF(OR(E3459="",E3459="!!!"),"",IF(NOT(ISNA(VLOOKUP(E3459,E$1:E3458,1,FALSE()))),"OLD",IF(AND(E3459&lt;&gt;"",E3459&lt;&gt;"!!!"),"NEW","")))</f>
        <v> </v>
      </c>
      <c r="G3459" s="23" t="str">
        <f>IF(OR(E3459="",E3459="!!!"),"",IF(OR(J3459=0,AND(J3459=1,K3459=1),AND(J3459=1,I3459="SBJ"),AND(J3459=1,I3459=0)),"?IN_FOCUS",IF(J3459&lt;=2,"?ACTIVATED",IF(J3459&lt;&gt;"","?FAMILIAR",IF(F3459="NEW",IF(ISNA(VLOOKUP(E3459,#REF!,1,FALSE())),"?TYPE_IDENTIFIABLE","?REFERENTIAL"),"_")))))</f>
        <v> </v>
      </c>
      <c r="H3459" s="24" t="str">
        <f>IF(J3459&lt;&gt;1,"",IF(I3459="SBJ","CB","?"))</f>
        <v> </v>
      </c>
      <c r="I3459" s="25" t="str">
        <f>IF(OR(E3459="",E3459="!!!",F3459="NEW"),"",INDEX(B3458:B$2,-1+SUMPRODUCT(MAX(ROW(E3458:E$2)*(E3459=E3458:E$2)))))</f>
        <v> </v>
      </c>
      <c r="J3459" s="25" t="str">
        <f>IF(OR(E3459="",E3459="!!!",F3459="NEW"),"",COUNTBLANK(OFFSET(A$1,,,SUMPRODUCT(MAX(ROW(E$2:E3459)*(E3459=E$2:E3459)))))-COUNTBLANK(OFFSET(A$1,,,SUMPRODUCT(MAX(ROW(E$1:E3458)*(E2=E$1:E3458))))))</f>
        <v> </v>
      </c>
      <c r="K3459" s="25" t="str">
        <f>IF(OR(E3459="",E3459="!!!",F3459="NEW"),"",INDEX(J$1:J3458,SUMPRODUCT(MAX(ROW(E$1:E3458)*(E3459=E$1:E3458)))))</f>
        <v> </v>
      </c>
      <c r="L3459" s="26"/>
    </row>
    <row r="3460" spans="1:12">
      <c r="A3460" s="20" t="s">
        <v>751</v>
      </c>
      <c r="E3460" s="21">
        <f>IF(D3460="?OLD","!!!","")</f>
        <v/>
      </c>
      <c r="F3460" s="22" t="str">
        <f>IF(OR(E3460="",E3460="!!!"),"",IF(NOT(ISNA(VLOOKUP(E3460,E$1:E3459,1,FALSE()))),"OLD",IF(AND(E3460&lt;&gt;"",E3460&lt;&gt;"!!!"),"NEW","")))</f>
        <v> </v>
      </c>
      <c r="G3460" s="23" t="str">
        <f>IF(OR(E3460="",E3460="!!!"),"",IF(OR(J3460=0,AND(J3460=1,K3460=1),AND(J3460=1,I3460="SBJ"),AND(J3460=1,I3460=0)),"?IN_FOCUS",IF(J3460&lt;=2,"?ACTIVATED",IF(J3460&lt;&gt;"","?FAMILIAR",IF(F3460="NEW",IF(ISNA(VLOOKUP(E3460,#REF!,1,FALSE())),"?TYPE_IDENTIFIABLE","?REFERENTIAL"),"_")))))</f>
        <v> </v>
      </c>
      <c r="H3460" s="24" t="str">
        <f>IF(J3460&lt;&gt;1,"",IF(I3460="SBJ","CB","?"))</f>
        <v> </v>
      </c>
      <c r="I3460" s="25" t="str">
        <f>IF(OR(E3460="",E3460="!!!",F3460="NEW"),"",INDEX(B3459:B$2,-1+SUMPRODUCT(MAX(ROW(E3459:E$2)*(E3460=E3459:E$2)))))</f>
        <v> </v>
      </c>
      <c r="J3460" s="25" t="str">
        <f>IF(OR(E3460="",E3460="!!!",F3460="NEW"),"",COUNTBLANK(OFFSET(A$1,,,SUMPRODUCT(MAX(ROW(E$2:E3460)*(E3460=E$2:E3460)))))-COUNTBLANK(OFFSET(A$1,,,SUMPRODUCT(MAX(ROW(E$1:E3459)*(E2=E$1:E3459))))))</f>
        <v> </v>
      </c>
      <c r="K3460" s="25" t="str">
        <f>IF(OR(E3460="",E3460="!!!",F3460="NEW"),"",INDEX(J$1:J3459,SUMPRODUCT(MAX(ROW(E$1:E3459)*(E3460=E$1:E3459)))))</f>
        <v> </v>
      </c>
      <c r="L3460" s="26"/>
    </row>
    <row r="3461" spans="1:12">
      <c r="A3461" s="20" t="s">
        <v>528</v>
      </c>
      <c r="E3461" s="21">
        <f>IF(D3461="?OLD","!!!","")</f>
        <v/>
      </c>
      <c r="F3461" s="22" t="str">
        <f>IF(OR(E3461="",E3461="!!!"),"",IF(NOT(ISNA(VLOOKUP(E3461,E$1:E3460,1,FALSE()))),"OLD",IF(AND(E3461&lt;&gt;"",E3461&lt;&gt;"!!!"),"NEW","")))</f>
        <v> </v>
      </c>
      <c r="G3461" s="23" t="str">
        <f>IF(OR(E3461="",E3461="!!!"),"",IF(OR(J3461=0,AND(J3461=1,K3461=1),AND(J3461=1,I3461="SBJ"),AND(J3461=1,I3461=0)),"?IN_FOCUS",IF(J3461&lt;=2,"?ACTIVATED",IF(J3461&lt;&gt;"","?FAMILIAR",IF(F3461="NEW",IF(ISNA(VLOOKUP(E3461,#REF!,1,FALSE())),"?TYPE_IDENTIFIABLE","?REFERENTIAL"),"_")))))</f>
        <v> </v>
      </c>
      <c r="H3461" s="24" t="str">
        <f>IF(J3461&lt;&gt;1,"",IF(I3461="SBJ","CB","?"))</f>
        <v> </v>
      </c>
      <c r="I3461" s="25" t="str">
        <f>IF(OR(E3461="",E3461="!!!",F3461="NEW"),"",INDEX(B3460:B$2,-1+SUMPRODUCT(MAX(ROW(E3460:E$2)*(E3461=E3460:E$2)))))</f>
        <v> </v>
      </c>
      <c r="J3461" s="25" t="str">
        <f>IF(OR(E3461="",E3461="!!!",F3461="NEW"),"",COUNTBLANK(OFFSET(A$1,,,SUMPRODUCT(MAX(ROW(E$2:E3461)*(E3461=E$2:E3461)))))-COUNTBLANK(OFFSET(A$1,,,SUMPRODUCT(MAX(ROW(E$1:E3460)*(E2=E$1:E3460))))))</f>
        <v> </v>
      </c>
      <c r="K3461" s="25" t="str">
        <f>IF(OR(E3461="",E3461="!!!",F3461="NEW"),"",INDEX(J$1:J3460,SUMPRODUCT(MAX(ROW(E$1:E3460)*(E3461=E$1:E3460)))))</f>
        <v> </v>
      </c>
      <c r="L3461" s="26"/>
    </row>
    <row r="3462" spans="1:12">
      <c r="A3462" s="20" t="s">
        <v>682</v>
      </c>
      <c r="E3462" s="21">
        <f>IF(D3462="?OLD","!!!","")</f>
        <v/>
      </c>
      <c r="F3462" s="22" t="str">
        <f>IF(OR(E3462="",E3462="!!!"),"",IF(NOT(ISNA(VLOOKUP(E3462,E$1:E3461,1,FALSE()))),"OLD",IF(AND(E3462&lt;&gt;"",E3462&lt;&gt;"!!!"),"NEW","")))</f>
        <v> </v>
      </c>
      <c r="G3462" s="23" t="str">
        <f>IF(OR(E3462="",E3462="!!!"),"",IF(OR(J3462=0,AND(J3462=1,K3462=1),AND(J3462=1,I3462="SBJ"),AND(J3462=1,I3462=0)),"?IN_FOCUS",IF(J3462&lt;=2,"?ACTIVATED",IF(J3462&lt;&gt;"","?FAMILIAR",IF(F3462="NEW",IF(ISNA(VLOOKUP(E3462,#REF!,1,FALSE())),"?TYPE_IDENTIFIABLE","?REFERENTIAL"),"_")))))</f>
        <v> </v>
      </c>
      <c r="H3462" s="24" t="str">
        <f>IF(J3462&lt;&gt;1,"",IF(I3462="SBJ","CB","?"))</f>
        <v> </v>
      </c>
      <c r="I3462" s="25" t="str">
        <f>IF(OR(E3462="",E3462="!!!",F3462="NEW"),"",INDEX(B3461:B$2,-1+SUMPRODUCT(MAX(ROW(E3461:E$2)*(E3462=E3461:E$2)))))</f>
        <v> </v>
      </c>
      <c r="J3462" s="25" t="str">
        <f>IF(OR(E3462="",E3462="!!!",F3462="NEW"),"",COUNTBLANK(OFFSET(A$1,,,SUMPRODUCT(MAX(ROW(E$2:E3462)*(E3462=E$2:E3462)))))-COUNTBLANK(OFFSET(A$1,,,SUMPRODUCT(MAX(ROW(E$1:E3461)*(E2=E$1:E3461))))))</f>
        <v> </v>
      </c>
      <c r="K3462" s="25" t="str">
        <f>IF(OR(E3462="",E3462="!!!",F3462="NEW"),"",INDEX(J$1:J3461,SUMPRODUCT(MAX(ROW(E$1:E3461)*(E3462=E$1:E3461)))))</f>
        <v> </v>
      </c>
      <c r="L3462" s="26"/>
    </row>
    <row r="3463" spans="1:12">
      <c r="A3463" s="20" t="s">
        <v>1616</v>
      </c>
      <c r="B3463" s="27" t="s">
        <v>667</v>
      </c>
      <c r="C3463" s="27" t="s">
        <v>545</v>
      </c>
      <c r="D3463" s="27" t="s">
        <v>524</v>
      </c>
      <c r="E3463" s="21">
        <f>IF(D3463="?OLD","!!!","")</f>
        <v/>
      </c>
      <c r="F3463" s="22" t="str">
        <f>IF(OR(E3463="",E3463="!!!"),"",IF(NOT(ISNA(VLOOKUP(E3463,E$1:E3462,1,FALSE()))),"OLD",IF(AND(E3463&lt;&gt;"",E3463&lt;&gt;"!!!"),"NEW","")))</f>
        <v> </v>
      </c>
      <c r="G3463" s="23" t="str">
        <f>IF(OR(E3463="",E3463="!!!"),"",IF(OR(J3463=0,AND(J3463=1,K3463=1),AND(J3463=1,I3463="SBJ"),AND(J3463=1,I3463=0)),"?IN_FOCUS",IF(J3463&lt;=2,"?ACTIVATED",IF(J3463&lt;&gt;"","?FAMILIAR",IF(F3463="NEW",IF(ISNA(VLOOKUP(E3463,#REF!,1,FALSE())),"?TYPE_IDENTIFIABLE","?REFERENTIAL"),"_")))))</f>
        <v> </v>
      </c>
      <c r="H3463" s="24" t="str">
        <f>IF(J3463&lt;&gt;1,"",IF(I3463="SBJ","CB","?"))</f>
        <v> </v>
      </c>
      <c r="I3463" s="25" t="str">
        <f>IF(OR(E3463="",E3463="!!!",F3463="NEW"),"",INDEX(B3462:B$2,-1+SUMPRODUCT(MAX(ROW(E3462:E$2)*(E3463=E3462:E$2)))))</f>
        <v> </v>
      </c>
      <c r="J3463" s="25" t="str">
        <f>IF(OR(E3463="",E3463="!!!",F3463="NEW"),"",COUNTBLANK(OFFSET(A$1,,,SUMPRODUCT(MAX(ROW(E$2:E3463)*(E3463=E$2:E3463)))))-COUNTBLANK(OFFSET(A$1,,,SUMPRODUCT(MAX(ROW(E$1:E3462)*(E2=E$1:E3462))))))</f>
        <v> </v>
      </c>
      <c r="K3463" s="25" t="str">
        <f>IF(OR(E3463="",E3463="!!!",F3463="NEW"),"",INDEX(J$1:J3462,SUMPRODUCT(MAX(ROW(E$1:E3462)*(E3463=E$1:E3462)))))</f>
        <v> </v>
      </c>
      <c r="L3463" s="26"/>
    </row>
    <row r="3464" spans="1:12">
      <c r="A3464" s="20" t="s">
        <v>623</v>
      </c>
      <c r="E3464" s="21">
        <f>IF(D3464="?OLD","!!!","")</f>
        <v/>
      </c>
      <c r="F3464" s="22" t="str">
        <f>IF(OR(E3464="",E3464="!!!"),"",IF(NOT(ISNA(VLOOKUP(E3464,E$1:E3463,1,FALSE()))),"OLD",IF(AND(E3464&lt;&gt;"",E3464&lt;&gt;"!!!"),"NEW","")))</f>
        <v> </v>
      </c>
      <c r="G3464" s="23" t="str">
        <f>IF(OR(E3464="",E3464="!!!"),"",IF(OR(J3464=0,AND(J3464=1,K3464=1),AND(J3464=1,I3464="SBJ"),AND(J3464=1,I3464=0)),"?IN_FOCUS",IF(J3464&lt;=2,"?ACTIVATED",IF(J3464&lt;&gt;"","?FAMILIAR",IF(F3464="NEW",IF(ISNA(VLOOKUP(E3464,#REF!,1,FALSE())),"?TYPE_IDENTIFIABLE","?REFERENTIAL"),"_")))))</f>
        <v> </v>
      </c>
      <c r="H3464" s="24" t="str">
        <f>IF(J3464&lt;&gt;1,"",IF(I3464="SBJ","CB","?"))</f>
        <v> </v>
      </c>
      <c r="I3464" s="25" t="str">
        <f>IF(OR(E3464="",E3464="!!!",F3464="NEW"),"",INDEX(B3463:B$2,-1+SUMPRODUCT(MAX(ROW(E3463:E$2)*(E3464=E3463:E$2)))))</f>
        <v> </v>
      </c>
      <c r="J3464" s="25" t="str">
        <f>IF(OR(E3464="",E3464="!!!",F3464="NEW"),"",COUNTBLANK(OFFSET(A$1,,,SUMPRODUCT(MAX(ROW(E$2:E3464)*(E3464=E$2:E3464)))))-COUNTBLANK(OFFSET(A$1,,,SUMPRODUCT(MAX(ROW(E$1:E3463)*(E2=E$1:E3463))))))</f>
        <v> </v>
      </c>
      <c r="K3464" s="25" t="str">
        <f>IF(OR(E3464="",E3464="!!!",F3464="NEW"),"",INDEX(J$1:J3463,SUMPRODUCT(MAX(ROW(E$1:E3463)*(E3464=E$1:E3463)))))</f>
        <v> </v>
      </c>
      <c r="L3464" s="26"/>
    </row>
    <row r="3465" spans="1:12">
      <c r="A3465" s="20" t="s">
        <v>1640</v>
      </c>
      <c r="E3465" s="21">
        <f>IF(D3465="?OLD","!!!","")</f>
        <v/>
      </c>
      <c r="F3465" s="22" t="str">
        <f>IF(OR(E3465="",E3465="!!!"),"",IF(NOT(ISNA(VLOOKUP(E3465,E$1:E3464,1,FALSE()))),"OLD",IF(AND(E3465&lt;&gt;"",E3465&lt;&gt;"!!!"),"NEW","")))</f>
        <v> </v>
      </c>
      <c r="G3465" s="23" t="str">
        <f>IF(OR(E3465="",E3465="!!!"),"",IF(OR(J3465=0,AND(J3465=1,K3465=1),AND(J3465=1,I3465="SBJ"),AND(J3465=1,I3465=0)),"?IN_FOCUS",IF(J3465&lt;=2,"?ACTIVATED",IF(J3465&lt;&gt;"","?FAMILIAR",IF(F3465="NEW",IF(ISNA(VLOOKUP(E3465,#REF!,1,FALSE())),"?TYPE_IDENTIFIABLE","?REFERENTIAL"),"_")))))</f>
        <v> </v>
      </c>
      <c r="H3465" s="24" t="str">
        <f>IF(J3465&lt;&gt;1,"",IF(I3465="SBJ","CB","?"))</f>
        <v> </v>
      </c>
      <c r="I3465" s="25" t="str">
        <f>IF(OR(E3465="",E3465="!!!",F3465="NEW"),"",INDEX(B3464:B$2,-1+SUMPRODUCT(MAX(ROW(E3464:E$2)*(E3465=E3464:E$2)))))</f>
        <v> </v>
      </c>
      <c r="J3465" s="25" t="str">
        <f>IF(OR(E3465="",E3465="!!!",F3465="NEW"),"",COUNTBLANK(OFFSET(A$1,,,SUMPRODUCT(MAX(ROW(E$2:E3465)*(E3465=E$2:E3465)))))-COUNTBLANK(OFFSET(A$1,,,SUMPRODUCT(MAX(ROW(E$1:E3464)*(E2=E$1:E3464))))))</f>
        <v> </v>
      </c>
      <c r="K3465" s="25" t="str">
        <f>IF(OR(E3465="",E3465="!!!",F3465="NEW"),"",INDEX(J$1:J3464,SUMPRODUCT(MAX(ROW(E$1:E3464)*(E3465=E$1:E3464)))))</f>
        <v> </v>
      </c>
      <c r="L3465" s="26"/>
    </row>
    <row r="3466" spans="1:12">
      <c r="A3466" s="20" t="s">
        <v>1641</v>
      </c>
      <c r="E3466" s="21">
        <f>IF(D3466="?OLD","!!!","")</f>
        <v/>
      </c>
      <c r="F3466" s="22" t="str">
        <f>IF(OR(E3466="",E3466="!!!"),"",IF(NOT(ISNA(VLOOKUP(E3466,E$1:E3465,1,FALSE()))),"OLD",IF(AND(E3466&lt;&gt;"",E3466&lt;&gt;"!!!"),"NEW","")))</f>
        <v> </v>
      </c>
      <c r="G3466" s="23" t="str">
        <f>IF(OR(E3466="",E3466="!!!"),"",IF(OR(J3466=0,AND(J3466=1,K3466=1),AND(J3466=1,I3466="SBJ"),AND(J3466=1,I3466=0)),"?IN_FOCUS",IF(J3466&lt;=2,"?ACTIVATED",IF(J3466&lt;&gt;"","?FAMILIAR",IF(F3466="NEW",IF(ISNA(VLOOKUP(E3466,#REF!,1,FALSE())),"?TYPE_IDENTIFIABLE","?REFERENTIAL"),"_")))))</f>
        <v> </v>
      </c>
      <c r="H3466" s="24" t="str">
        <f>IF(J3466&lt;&gt;1,"",IF(I3466="SBJ","CB","?"))</f>
        <v> </v>
      </c>
      <c r="I3466" s="25" t="str">
        <f>IF(OR(E3466="",E3466="!!!",F3466="NEW"),"",INDEX(B3465:B$2,-1+SUMPRODUCT(MAX(ROW(E3465:E$2)*(E3466=E3465:E$2)))))</f>
        <v> </v>
      </c>
      <c r="J3466" s="25" t="str">
        <f>IF(OR(E3466="",E3466="!!!",F3466="NEW"),"",COUNTBLANK(OFFSET(A$1,,,SUMPRODUCT(MAX(ROW(E$2:E3466)*(E3466=E$2:E3466)))))-COUNTBLANK(OFFSET(A$1,,,SUMPRODUCT(MAX(ROW(E$1:E3465)*(E2=E$1:E3465))))))</f>
        <v> </v>
      </c>
      <c r="K3466" s="25" t="str">
        <f>IF(OR(E3466="",E3466="!!!",F3466="NEW"),"",INDEX(J$1:J3465,SUMPRODUCT(MAX(ROW(E$1:E3465)*(E3466=E$1:E3465)))))</f>
        <v> </v>
      </c>
      <c r="L3466" s="26"/>
    </row>
    <row r="3467" spans="1:12">
      <c r="A3467" s="20" t="s">
        <v>549</v>
      </c>
      <c r="E3467" s="21">
        <f>IF(D3467="?OLD","!!!","")</f>
        <v/>
      </c>
      <c r="F3467" s="22" t="str">
        <f>IF(OR(E3467="",E3467="!!!"),"",IF(NOT(ISNA(VLOOKUP(E3467,E$1:E3466,1,FALSE()))),"OLD",IF(AND(E3467&lt;&gt;"",E3467&lt;&gt;"!!!"),"NEW","")))</f>
        <v> </v>
      </c>
      <c r="G3467" s="23" t="str">
        <f>IF(OR(E3467="",E3467="!!!"),"",IF(OR(J3467=0,AND(J3467=1,K3467=1),AND(J3467=1,I3467="SBJ"),AND(J3467=1,I3467=0)),"?IN_FOCUS",IF(J3467&lt;=2,"?ACTIVATED",IF(J3467&lt;&gt;"","?FAMILIAR",IF(F3467="NEW",IF(ISNA(VLOOKUP(E3467,#REF!,1,FALSE())),"?TYPE_IDENTIFIABLE","?REFERENTIAL"),"_")))))</f>
        <v> </v>
      </c>
      <c r="H3467" s="24" t="str">
        <f>IF(J3467&lt;&gt;1,"",IF(I3467="SBJ","CB","?"))</f>
        <v> </v>
      </c>
      <c r="I3467" s="25" t="str">
        <f>IF(OR(E3467="",E3467="!!!",F3467="NEW"),"",INDEX(B3466:B$2,-1+SUMPRODUCT(MAX(ROW(E3466:E$2)*(E3467=E3466:E$2)))))</f>
        <v> </v>
      </c>
      <c r="J3467" s="25" t="str">
        <f>IF(OR(E3467="",E3467="!!!",F3467="NEW"),"",COUNTBLANK(OFFSET(A$1,,,SUMPRODUCT(MAX(ROW(E$2:E3467)*(E3467=E$2:E3467)))))-COUNTBLANK(OFFSET(A$1,,,SUMPRODUCT(MAX(ROW(E$1:E3466)*(E2=E$1:E3466))))))</f>
        <v> </v>
      </c>
      <c r="K3467" s="25" t="str">
        <f>IF(OR(E3467="",E3467="!!!",F3467="NEW"),"",INDEX(J$1:J3466,SUMPRODUCT(MAX(ROW(E$1:E3466)*(E3467=E$1:E3466)))))</f>
        <v> </v>
      </c>
      <c r="L3467" s="26"/>
    </row>
    <row r="3468" spans="1:12">
      <c r="A3468" s="20"/>
    </row>
    <row r="3469" spans="1:12">
      <c r="A3469" s="20" t="s">
        <v>1642</v>
      </c>
    </row>
    <row r="3470" spans="1:12">
      <c r="A3470" s="20" t="s">
        <v>1356</v>
      </c>
      <c r="E3470" s="21">
        <f>IF(D3470="?OLD","!!!","")</f>
        <v/>
      </c>
      <c r="F3470" s="22" t="str">
        <f>IF(OR(E3470="",E3470="!!!"),"",IF(NOT(ISNA(VLOOKUP(E3470,E$1:E3469,1,FALSE()))),"OLD",IF(AND(E3470&lt;&gt;"",E3470&lt;&gt;"!!!"),"NEW","")))</f>
        <v> </v>
      </c>
      <c r="G3470" s="23" t="str">
        <f>IF(OR(E3470="",E3470="!!!"),"",IF(OR(J3470=0,AND(J3470=1,K3470=1),AND(J3470=1,I3470="SBJ"),AND(J3470=1,I3470=0)),"?IN_FOCUS",IF(J3470&lt;=2,"?ACTIVATED",IF(J3470&lt;&gt;"","?FAMILIAR",IF(F3470="NEW",IF(ISNA(VLOOKUP(E3470,#REF!,1,FALSE())),"?TYPE_IDENTIFIABLE","?REFERENTIAL"),"_")))))</f>
        <v> </v>
      </c>
      <c r="H3470" s="24" t="str">
        <f>IF(J3470&lt;&gt;1,"",IF(I3470="SBJ","CB","?"))</f>
        <v> </v>
      </c>
      <c r="I3470" s="25" t="str">
        <f>IF(OR(E3470="",E3470="!!!",F3470="NEW"),"",INDEX(B3469:B$2,-1+SUMPRODUCT(MAX(ROW(E3469:E$2)*(E3470=E3469:E$2)))))</f>
        <v> </v>
      </c>
      <c r="J3470" s="25" t="str">
        <f>IF(OR(E3470="",E3470="!!!",F3470="NEW"),"",COUNTBLANK(OFFSET(A$1,,,SUMPRODUCT(MAX(ROW(E$2:E3470)*(E3470=E$2:E3470)))))-COUNTBLANK(OFFSET(A$1,,,SUMPRODUCT(MAX(ROW(E$1:E3469)*(E2=E$1:E3469))))))</f>
        <v> </v>
      </c>
      <c r="K3470" s="25" t="str">
        <f>IF(OR(E3470="",E3470="!!!",F3470="NEW"),"",INDEX(J$1:J3469,SUMPRODUCT(MAX(ROW(E$1:E3469)*(E3470=E$1:E3469)))))</f>
        <v> </v>
      </c>
      <c r="L3470" s="26"/>
    </row>
    <row r="3471" spans="1:12">
      <c r="A3471" s="20" t="s">
        <v>1616</v>
      </c>
      <c r="B3471" s="27" t="s">
        <v>680</v>
      </c>
      <c r="C3471" s="27" t="s">
        <v>545</v>
      </c>
      <c r="D3471" s="27" t="s">
        <v>524</v>
      </c>
      <c r="E3471" s="21">
        <f>IF(D3471="?OLD","!!!","")</f>
        <v/>
      </c>
      <c r="F3471" s="22" t="str">
        <f>IF(OR(E3471="",E3471="!!!"),"",IF(NOT(ISNA(VLOOKUP(E3471,E$1:E3470,1,FALSE()))),"OLD",IF(AND(E3471&lt;&gt;"",E3471&lt;&gt;"!!!"),"NEW","")))</f>
        <v> </v>
      </c>
      <c r="G3471" s="23" t="str">
        <f>IF(OR(E3471="",E3471="!!!"),"",IF(OR(J3471=0,AND(J3471=1,K3471=1),AND(J3471=1,I3471="SBJ"),AND(J3471=1,I3471=0)),"?IN_FOCUS",IF(J3471&lt;=2,"?ACTIVATED",IF(J3471&lt;&gt;"","?FAMILIAR",IF(F3471="NEW",IF(ISNA(VLOOKUP(E3471,#REF!,1,FALSE())),"?TYPE_IDENTIFIABLE","?REFERENTIAL"),"_")))))</f>
        <v> </v>
      </c>
      <c r="H3471" s="24" t="str">
        <f>IF(J3471&lt;&gt;1,"",IF(I3471="SBJ","CB","?"))</f>
        <v> </v>
      </c>
      <c r="I3471" s="25" t="str">
        <f>IF(OR(E3471="",E3471="!!!",F3471="NEW"),"",INDEX(B3470:B$2,-1+SUMPRODUCT(MAX(ROW(E3470:E$2)*(E3471=E3470:E$2)))))</f>
        <v> </v>
      </c>
      <c r="J3471" s="25" t="str">
        <f>IF(OR(E3471="",E3471="!!!",F3471="NEW"),"",COUNTBLANK(OFFSET(A$1,,,SUMPRODUCT(MAX(ROW(E$2:E3471)*(E3471=E$2:E3471)))))-COUNTBLANK(OFFSET(A$1,,,SUMPRODUCT(MAX(ROW(E$1:E3470)*(E2=E$1:E3470))))))</f>
        <v> </v>
      </c>
      <c r="K3471" s="25" t="str">
        <f>IF(OR(E3471="",E3471="!!!",F3471="NEW"),"",INDEX(J$1:J3470,SUMPRODUCT(MAX(ROW(E$1:E3470)*(E3471=E$1:E3470)))))</f>
        <v> </v>
      </c>
      <c r="L3471" s="26"/>
    </row>
    <row r="3472" spans="1:12">
      <c r="A3472" s="20" t="s">
        <v>708</v>
      </c>
      <c r="E3472" s="21">
        <f>IF(D3472="?OLD","!!!","")</f>
        <v/>
      </c>
      <c r="F3472" s="22" t="str">
        <f>IF(OR(E3472="",E3472="!!!"),"",IF(NOT(ISNA(VLOOKUP(E3472,E$1:E3471,1,FALSE()))),"OLD",IF(AND(E3472&lt;&gt;"",E3472&lt;&gt;"!!!"),"NEW","")))</f>
        <v> </v>
      </c>
      <c r="G3472" s="23" t="str">
        <f>IF(OR(E3472="",E3472="!!!"),"",IF(OR(J3472=0,AND(J3472=1,K3472=1),AND(J3472=1,I3472="SBJ"),AND(J3472=1,I3472=0)),"?IN_FOCUS",IF(J3472&lt;=2,"?ACTIVATED",IF(J3472&lt;&gt;"","?FAMILIAR",IF(F3472="NEW",IF(ISNA(VLOOKUP(E3472,#REF!,1,FALSE())),"?TYPE_IDENTIFIABLE","?REFERENTIAL"),"_")))))</f>
        <v> </v>
      </c>
      <c r="H3472" s="24" t="str">
        <f>IF(J3472&lt;&gt;1,"",IF(I3472="SBJ","CB","?"))</f>
        <v> </v>
      </c>
      <c r="I3472" s="25" t="str">
        <f>IF(OR(E3472="",E3472="!!!",F3472="NEW"),"",INDEX(B3471:B$2,-1+SUMPRODUCT(MAX(ROW(E3471:E$2)*(E3472=E3471:E$2)))))</f>
        <v> </v>
      </c>
      <c r="J3472" s="25" t="str">
        <f>IF(OR(E3472="",E3472="!!!",F3472="NEW"),"",COUNTBLANK(OFFSET(A$1,,,SUMPRODUCT(MAX(ROW(E$2:E3472)*(E3472=E$2:E3472)))))-COUNTBLANK(OFFSET(A$1,,,SUMPRODUCT(MAX(ROW(E$1:E3471)*(E2=E$1:E3471))))))</f>
        <v> </v>
      </c>
      <c r="K3472" s="25" t="str">
        <f>IF(OR(E3472="",E3472="!!!",F3472="NEW"),"",INDEX(J$1:J3471,SUMPRODUCT(MAX(ROW(E$1:E3471)*(E3472=E$1:E3471)))))</f>
        <v> </v>
      </c>
      <c r="L3472" s="26"/>
    </row>
    <row r="3473" spans="1:12">
      <c r="A3473" s="20" t="s">
        <v>1643</v>
      </c>
      <c r="E3473" s="21">
        <f>IF(D3473="?OLD","!!!","")</f>
        <v/>
      </c>
      <c r="F3473" s="22" t="str">
        <f>IF(OR(E3473="",E3473="!!!"),"",IF(NOT(ISNA(VLOOKUP(E3473,E$1:E3472,1,FALSE()))),"OLD",IF(AND(E3473&lt;&gt;"",E3473&lt;&gt;"!!!"),"NEW","")))</f>
        <v> </v>
      </c>
      <c r="G3473" s="23" t="str">
        <f>IF(OR(E3473="",E3473="!!!"),"",IF(OR(J3473=0,AND(J3473=1,K3473=1),AND(J3473=1,I3473="SBJ"),AND(J3473=1,I3473=0)),"?IN_FOCUS",IF(J3473&lt;=2,"?ACTIVATED",IF(J3473&lt;&gt;"","?FAMILIAR",IF(F3473="NEW",IF(ISNA(VLOOKUP(E3473,#REF!,1,FALSE())),"?TYPE_IDENTIFIABLE","?REFERENTIAL"),"_")))))</f>
        <v> </v>
      </c>
      <c r="H3473" s="24" t="str">
        <f>IF(J3473&lt;&gt;1,"",IF(I3473="SBJ","CB","?"))</f>
        <v> </v>
      </c>
      <c r="I3473" s="25" t="str">
        <f>IF(OR(E3473="",E3473="!!!",F3473="NEW"),"",INDEX(B3472:B$2,-1+SUMPRODUCT(MAX(ROW(E3472:E$2)*(E3473=E3472:E$2)))))</f>
        <v> </v>
      </c>
      <c r="J3473" s="25" t="str">
        <f>IF(OR(E3473="",E3473="!!!",F3473="NEW"),"",COUNTBLANK(OFFSET(A$1,,,SUMPRODUCT(MAX(ROW(E$2:E3473)*(E3473=E$2:E3473)))))-COUNTBLANK(OFFSET(A$1,,,SUMPRODUCT(MAX(ROW(E$1:E3472)*(E2=E$1:E3472))))))</f>
        <v> </v>
      </c>
      <c r="K3473" s="25" t="str">
        <f>IF(OR(E3473="",E3473="!!!",F3473="NEW"),"",INDEX(J$1:J3472,SUMPRODUCT(MAX(ROW(E$1:E3472)*(E3473=E$1:E3472)))))</f>
        <v> </v>
      </c>
      <c r="L3473" s="26"/>
    </row>
    <row r="3474" spans="1:12">
      <c r="A3474" s="20" t="s">
        <v>518</v>
      </c>
      <c r="E3474" s="21">
        <f>IF(D3474="?OLD","!!!","")</f>
        <v/>
      </c>
      <c r="F3474" s="22" t="str">
        <f>IF(OR(E3474="",E3474="!!!"),"",IF(NOT(ISNA(VLOOKUP(E3474,E$1:E3473,1,FALSE()))),"OLD",IF(AND(E3474&lt;&gt;"",E3474&lt;&gt;"!!!"),"NEW","")))</f>
        <v> </v>
      </c>
      <c r="G3474" s="23" t="str">
        <f>IF(OR(E3474="",E3474="!!!"),"",IF(OR(J3474=0,AND(J3474=1,K3474=1),AND(J3474=1,I3474="SBJ"),AND(J3474=1,I3474=0)),"?IN_FOCUS",IF(J3474&lt;=2,"?ACTIVATED",IF(J3474&lt;&gt;"","?FAMILIAR",IF(F3474="NEW",IF(ISNA(VLOOKUP(E3474,#REF!,1,FALSE())),"?TYPE_IDENTIFIABLE","?REFERENTIAL"),"_")))))</f>
        <v> </v>
      </c>
      <c r="H3474" s="24" t="str">
        <f>IF(J3474&lt;&gt;1,"",IF(I3474="SBJ","CB","?"))</f>
        <v> </v>
      </c>
      <c r="I3474" s="25" t="str">
        <f>IF(OR(E3474="",E3474="!!!",F3474="NEW"),"",INDEX(B3473:B$2,-1+SUMPRODUCT(MAX(ROW(E3473:E$2)*(E3474=E3473:E$2)))))</f>
        <v> </v>
      </c>
      <c r="J3474" s="25" t="str">
        <f>IF(OR(E3474="",E3474="!!!",F3474="NEW"),"",COUNTBLANK(OFFSET(A$1,,,SUMPRODUCT(MAX(ROW(E$2:E3474)*(E3474=E$2:E3474)))))-COUNTBLANK(OFFSET(A$1,,,SUMPRODUCT(MAX(ROW(E$1:E3473)*(E2=E$1:E3473))))))</f>
        <v> </v>
      </c>
      <c r="K3474" s="25" t="str">
        <f>IF(OR(E3474="",E3474="!!!",F3474="NEW"),"",INDEX(J$1:J3473,SUMPRODUCT(MAX(ROW(E$1:E3473)*(E3474=E$1:E3473)))))</f>
        <v> </v>
      </c>
      <c r="L3474" s="26"/>
    </row>
    <row r="3475" spans="1:12">
      <c r="A3475" s="20" t="s">
        <v>730</v>
      </c>
      <c r="E3475" s="21">
        <f>IF(D3475="?OLD","!!!","")</f>
        <v/>
      </c>
      <c r="F3475" s="22" t="str">
        <f>IF(OR(E3475="",E3475="!!!"),"",IF(NOT(ISNA(VLOOKUP(E3475,E$1:E3474,1,FALSE()))),"OLD",IF(AND(E3475&lt;&gt;"",E3475&lt;&gt;"!!!"),"NEW","")))</f>
        <v> </v>
      </c>
      <c r="G3475" s="23" t="str">
        <f>IF(OR(E3475="",E3475="!!!"),"",IF(OR(J3475=0,AND(J3475=1,K3475=1),AND(J3475=1,I3475="SBJ"),AND(J3475=1,I3475=0)),"?IN_FOCUS",IF(J3475&lt;=2,"?ACTIVATED",IF(J3475&lt;&gt;"","?FAMILIAR",IF(F3475="NEW",IF(ISNA(VLOOKUP(E3475,#REF!,1,FALSE())),"?TYPE_IDENTIFIABLE","?REFERENTIAL"),"_")))))</f>
        <v> </v>
      </c>
      <c r="H3475" s="24" t="str">
        <f>IF(J3475&lt;&gt;1,"",IF(I3475="SBJ","CB","?"))</f>
        <v> </v>
      </c>
      <c r="I3475" s="25" t="str">
        <f>IF(OR(E3475="",E3475="!!!",F3475="NEW"),"",INDEX(B3474:B$2,-1+SUMPRODUCT(MAX(ROW(E3474:E$2)*(E3475=E3474:E$2)))))</f>
        <v> </v>
      </c>
      <c r="J3475" s="25" t="str">
        <f>IF(OR(E3475="",E3475="!!!",F3475="NEW"),"",COUNTBLANK(OFFSET(A$1,,,SUMPRODUCT(MAX(ROW(E$2:E3475)*(E3475=E$2:E3475)))))-COUNTBLANK(OFFSET(A$1,,,SUMPRODUCT(MAX(ROW(E$1:E3474)*(E2=E$1:E3474))))))</f>
        <v> </v>
      </c>
      <c r="K3475" s="25" t="str">
        <f>IF(OR(E3475="",E3475="!!!",F3475="NEW"),"",INDEX(J$1:J3474,SUMPRODUCT(MAX(ROW(E$1:E3474)*(E3475=E$1:E3474)))))</f>
        <v> </v>
      </c>
      <c r="L3475" s="26"/>
    </row>
    <row r="3476" spans="1:12">
      <c r="A3476" s="20" t="s">
        <v>1644</v>
      </c>
      <c r="B3476" s="27" t="s">
        <v>743</v>
      </c>
      <c r="C3476" s="27" t="s">
        <v>540</v>
      </c>
      <c r="D3476" s="27" t="s">
        <v>524</v>
      </c>
      <c r="E3476" s="21">
        <f>IF(D3476="?OLD","!!!","")</f>
        <v/>
      </c>
      <c r="F3476" s="22" t="str">
        <f>IF(OR(E3476="",E3476="!!!"),"",IF(NOT(ISNA(VLOOKUP(E3476,E$1:E3475,1,FALSE()))),"OLD",IF(AND(E3476&lt;&gt;"",E3476&lt;&gt;"!!!"),"NEW","")))</f>
        <v> </v>
      </c>
      <c r="G3476" s="23" t="str">
        <f>IF(OR(E3476="",E3476="!!!"),"",IF(OR(J3476=0,AND(J3476=1,K3476=1),AND(J3476=1,I3476="SBJ"),AND(J3476=1,I3476=0)),"?IN_FOCUS",IF(J3476&lt;=2,"?ACTIVATED",IF(J3476&lt;&gt;"","?FAMILIAR",IF(F3476="NEW",IF(ISNA(VLOOKUP(E3476,#REF!,1,FALSE())),"?TYPE_IDENTIFIABLE","?REFERENTIAL"),"_")))))</f>
        <v> </v>
      </c>
      <c r="H3476" s="24" t="str">
        <f>IF(J3476&lt;&gt;1,"",IF(I3476="SBJ","CB","?"))</f>
        <v> </v>
      </c>
      <c r="I3476" s="25" t="str">
        <f>IF(OR(E3476="",E3476="!!!",F3476="NEW"),"",INDEX(B3475:B$2,-1+SUMPRODUCT(MAX(ROW(E3475:E$2)*(E3476=E3475:E$2)))))</f>
        <v> </v>
      </c>
      <c r="J3476" s="25" t="str">
        <f>IF(OR(E3476="",E3476="!!!",F3476="NEW"),"",COUNTBLANK(OFFSET(A$1,,,SUMPRODUCT(MAX(ROW(E$2:E3476)*(E3476=E$2:E3476)))))-COUNTBLANK(OFFSET(A$1,,,SUMPRODUCT(MAX(ROW(E$1:E3475)*(E2=E$1:E3475))))))</f>
        <v> </v>
      </c>
      <c r="K3476" s="25" t="str">
        <f>IF(OR(E3476="",E3476="!!!",F3476="NEW"),"",INDEX(J$1:J3475,SUMPRODUCT(MAX(ROW(E$1:E3475)*(E3476=E$1:E3475)))))</f>
        <v> </v>
      </c>
      <c r="L3476" s="26"/>
    </row>
    <row r="3477" spans="1:12">
      <c r="A3477" s="20" t="s">
        <v>518</v>
      </c>
      <c r="E3477" s="21">
        <f>IF(D3477="?OLD","!!!","")</f>
        <v/>
      </c>
      <c r="F3477" s="22" t="str">
        <f>IF(OR(E3477="",E3477="!!!"),"",IF(NOT(ISNA(VLOOKUP(E3477,E$1:E3476,1,FALSE()))),"OLD",IF(AND(E3477&lt;&gt;"",E3477&lt;&gt;"!!!"),"NEW","")))</f>
        <v> </v>
      </c>
      <c r="G3477" s="23" t="str">
        <f>IF(OR(E3477="",E3477="!!!"),"",IF(OR(J3477=0,AND(J3477=1,K3477=1),AND(J3477=1,I3477="SBJ"),AND(J3477=1,I3477=0)),"?IN_FOCUS",IF(J3477&lt;=2,"?ACTIVATED",IF(J3477&lt;&gt;"","?FAMILIAR",IF(F3477="NEW",IF(ISNA(VLOOKUP(E3477,#REF!,1,FALSE())),"?TYPE_IDENTIFIABLE","?REFERENTIAL"),"_")))))</f>
        <v> </v>
      </c>
      <c r="H3477" s="24" t="str">
        <f>IF(J3477&lt;&gt;1,"",IF(I3477="SBJ","CB","?"))</f>
        <v> </v>
      </c>
      <c r="I3477" s="25" t="str">
        <f>IF(OR(E3477="",E3477="!!!",F3477="NEW"),"",INDEX(B3476:B$2,-1+SUMPRODUCT(MAX(ROW(E3476:E$2)*(E3477=E3476:E$2)))))</f>
        <v> </v>
      </c>
      <c r="J3477" s="25" t="str">
        <f>IF(OR(E3477="",E3477="!!!",F3477="NEW"),"",COUNTBLANK(OFFSET(A$1,,,SUMPRODUCT(MAX(ROW(E$2:E3477)*(E3477=E$2:E3477)))))-COUNTBLANK(OFFSET(A$1,,,SUMPRODUCT(MAX(ROW(E$1:E3476)*(E2=E$1:E3476))))))</f>
        <v> </v>
      </c>
      <c r="K3477" s="25" t="str">
        <f>IF(OR(E3477="",E3477="!!!",F3477="NEW"),"",INDEX(J$1:J3476,SUMPRODUCT(MAX(ROW(E$1:E3476)*(E3477=E$1:E3476)))))</f>
        <v> </v>
      </c>
      <c r="L3477" s="26"/>
    </row>
    <row r="3478" spans="1:12">
      <c r="A3478" s="20" t="s">
        <v>1632</v>
      </c>
      <c r="B3478" s="27" t="s">
        <v>597</v>
      </c>
      <c r="C3478" s="27" t="s">
        <v>564</v>
      </c>
      <c r="E3478" s="21">
        <f>IF(D3478="?OLD","!!!","")</f>
        <v/>
      </c>
      <c r="F3478" s="22" t="str">
        <f>IF(OR(E3478="",E3478="!!!"),"",IF(NOT(ISNA(VLOOKUP(E3478,E$1:E3477,1,FALSE()))),"OLD",IF(AND(E3478&lt;&gt;"",E3478&lt;&gt;"!!!"),"NEW","")))</f>
        <v> </v>
      </c>
      <c r="G3478" s="23" t="str">
        <f>IF(OR(E3478="",E3478="!!!"),"",IF(OR(J3478=0,AND(J3478=1,K3478=1),AND(J3478=1,I3478="SBJ"),AND(J3478=1,I3478=0)),"?IN_FOCUS",IF(J3478&lt;=2,"?ACTIVATED",IF(J3478&lt;&gt;"","?FAMILIAR",IF(F3478="NEW",IF(ISNA(VLOOKUP(E3478,#REF!,1,FALSE())),"?TYPE_IDENTIFIABLE","?REFERENTIAL"),"_")))))</f>
        <v> </v>
      </c>
      <c r="H3478" s="24" t="str">
        <f>IF(J3478&lt;&gt;1,"",IF(I3478="SBJ","CB","?"))</f>
        <v> </v>
      </c>
      <c r="I3478" s="25" t="str">
        <f>IF(OR(E3478="",E3478="!!!",F3478="NEW"),"",INDEX(B3477:B$2,-1+SUMPRODUCT(MAX(ROW(E3477:E$2)*(E3478=E3477:E$2)))))</f>
        <v> </v>
      </c>
      <c r="J3478" s="25" t="str">
        <f>IF(OR(E3478="",E3478="!!!",F3478="NEW"),"",COUNTBLANK(OFFSET(A$1,,,SUMPRODUCT(MAX(ROW(E$2:E3478)*(E3478=E$2:E3478)))))-COUNTBLANK(OFFSET(A$1,,,SUMPRODUCT(MAX(ROW(E$1:E3477)*(E2=E$1:E3477))))))</f>
        <v> </v>
      </c>
      <c r="K3478" s="25" t="str">
        <f>IF(OR(E3478="",E3478="!!!",F3478="NEW"),"",INDEX(J$1:J3477,SUMPRODUCT(MAX(ROW(E$1:E3477)*(E3478=E$1:E3477)))))</f>
        <v> </v>
      </c>
      <c r="L3478" s="26"/>
    </row>
    <row r="3479" spans="1:12">
      <c r="A3479" s="20" t="s">
        <v>549</v>
      </c>
      <c r="E3479" s="21">
        <f>IF(D3479="?OLD","!!!","")</f>
        <v/>
      </c>
      <c r="F3479" s="22" t="str">
        <f>IF(OR(E3479="",E3479="!!!"),"",IF(NOT(ISNA(VLOOKUP(E3479,E$1:E3478,1,FALSE()))),"OLD",IF(AND(E3479&lt;&gt;"",E3479&lt;&gt;"!!!"),"NEW","")))</f>
        <v> </v>
      </c>
      <c r="G3479" s="23" t="str">
        <f>IF(OR(E3479="",E3479="!!!"),"",IF(OR(J3479=0,AND(J3479=1,K3479=1),AND(J3479=1,I3479="SBJ"),AND(J3479=1,I3479=0)),"?IN_FOCUS",IF(J3479&lt;=2,"?ACTIVATED",IF(J3479&lt;&gt;"","?FAMILIAR",IF(F3479="NEW",IF(ISNA(VLOOKUP(E3479,#REF!,1,FALSE())),"?TYPE_IDENTIFIABLE","?REFERENTIAL"),"_")))))</f>
        <v> </v>
      </c>
      <c r="H3479" s="24" t="str">
        <f>IF(J3479&lt;&gt;1,"",IF(I3479="SBJ","CB","?"))</f>
        <v> </v>
      </c>
      <c r="I3479" s="25" t="str">
        <f>IF(OR(E3479="",E3479="!!!",F3479="NEW"),"",INDEX(B3478:B$2,-1+SUMPRODUCT(MAX(ROW(E3478:E$2)*(E3479=E3478:E$2)))))</f>
        <v> </v>
      </c>
      <c r="J3479" s="25" t="str">
        <f>IF(OR(E3479="",E3479="!!!",F3479="NEW"),"",COUNTBLANK(OFFSET(A$1,,,SUMPRODUCT(MAX(ROW(E$2:E3479)*(E3479=E$2:E3479)))))-COUNTBLANK(OFFSET(A$1,,,SUMPRODUCT(MAX(ROW(E$1:E3478)*(E2=E$1:E3478))))))</f>
        <v> </v>
      </c>
      <c r="K3479" s="25" t="str">
        <f>IF(OR(E3479="",E3479="!!!",F3479="NEW"),"",INDEX(J$1:J3478,SUMPRODUCT(MAX(ROW(E$1:E3478)*(E3479=E$1:E3478)))))</f>
        <v> </v>
      </c>
      <c r="L3479" s="26"/>
    </row>
    <row r="3480" spans="1:12">
      <c r="A3480" s="20"/>
    </row>
    <row r="3481" spans="1:12">
      <c r="A3481" s="20" t="s">
        <v>550</v>
      </c>
      <c r="E3481" s="21">
        <f>IF(D3481="?OLD","!!!","")</f>
        <v/>
      </c>
      <c r="F3481" s="22" t="str">
        <f>IF(OR(E3481="",E3481="!!!"),"",IF(NOT(ISNA(VLOOKUP(E3481,E$1:E3480,1,FALSE()))),"OLD",IF(AND(E3481&lt;&gt;"",E3481&lt;&gt;"!!!"),"NEW","")))</f>
        <v> </v>
      </c>
      <c r="G3481" s="23" t="str">
        <f>IF(OR(E3481="",E3481="!!!"),"",IF(OR(J3481=0,AND(J3481=1,K3481=1),AND(J3481=1,I3481="SBJ"),AND(J3481=1,I3481=0)),"?IN_FOCUS",IF(J3481&lt;=2,"?ACTIVATED",IF(J3481&lt;&gt;"","?FAMILIAR",IF(F3481="NEW",IF(ISNA(VLOOKUP(E3481,#REF!,1,FALSE())),"?TYPE_IDENTIFIABLE","?REFERENTIAL"),"_")))))</f>
        <v> </v>
      </c>
      <c r="H3481" s="24" t="str">
        <f>IF(J3481&lt;&gt;1,"",IF(I3481="SBJ","CB","?"))</f>
        <v> </v>
      </c>
      <c r="I3481" s="25" t="str">
        <f>IF(OR(E3481="",E3481="!!!",F3481="NEW"),"",INDEX(B3480:B$2,-1+SUMPRODUCT(MAX(ROW(E3480:E$2)*(E3481=E3480:E$2)))))</f>
        <v> </v>
      </c>
      <c r="J3481" s="25" t="str">
        <f>IF(OR(E3481="",E3481="!!!",F3481="NEW"),"",COUNTBLANK(OFFSET(A$1,,,SUMPRODUCT(MAX(ROW(E$2:E3481)*(E3481=E$2:E3481)))))-COUNTBLANK(OFFSET(A$1,,,SUMPRODUCT(MAX(ROW(E$1:E3480)*(E2=E$1:E3480))))))</f>
        <v> </v>
      </c>
      <c r="K3481" s="25" t="str">
        <f>IF(OR(E3481="",E3481="!!!",F3481="NEW"),"",INDEX(J$1:J3480,SUMPRODUCT(MAX(ROW(E$1:E3480)*(E3481=E$1:E3480)))))</f>
        <v> </v>
      </c>
      <c r="L3481" s="26"/>
    </row>
    <row r="3482" spans="1:12">
      <c r="A3482" s="20" t="s">
        <v>1645</v>
      </c>
    </row>
    <row r="3483" spans="1:12">
      <c r="A3483" s="20" t="s">
        <v>1646</v>
      </c>
      <c r="E3483" s="21">
        <f>IF(D3483="?OLD","!!!","")</f>
        <v/>
      </c>
      <c r="F3483" s="22" t="str">
        <f>IF(OR(E3483="",E3483="!!!"),"",IF(NOT(ISNA(VLOOKUP(E3483,E$1:E3482,1,FALSE()))),"OLD",IF(AND(E3483&lt;&gt;"",E3483&lt;&gt;"!!!"),"NEW","")))</f>
        <v> </v>
      </c>
      <c r="G3483" s="23" t="str">
        <f>IF(OR(E3483="",E3483="!!!"),"",IF(OR(J3483=0,AND(J3483=1,K3483=1),AND(J3483=1,I3483="SBJ"),AND(J3483=1,I3483=0)),"?IN_FOCUS",IF(J3483&lt;=2,"?ACTIVATED",IF(J3483&lt;&gt;"","?FAMILIAR",IF(F3483="NEW",IF(ISNA(VLOOKUP(E3483,#REF!,1,FALSE())),"?TYPE_IDENTIFIABLE","?REFERENTIAL"),"_")))))</f>
        <v> </v>
      </c>
      <c r="H3483" s="24" t="str">
        <f>IF(J3483&lt;&gt;1,"",IF(I3483="SBJ","CB","?"))</f>
        <v> </v>
      </c>
      <c r="I3483" s="25" t="str">
        <f>IF(OR(E3483="",E3483="!!!",F3483="NEW"),"",INDEX(B3482:B$2,-1+SUMPRODUCT(MAX(ROW(E3482:E$2)*(E3483=E3482:E$2)))))</f>
        <v> </v>
      </c>
      <c r="J3483" s="25" t="str">
        <f>IF(OR(E3483="",E3483="!!!",F3483="NEW"),"",COUNTBLANK(OFFSET(A$1,,,SUMPRODUCT(MAX(ROW(E$2:E3483)*(E3483=E$2:E3483)))))-COUNTBLANK(OFFSET(A$1,,,SUMPRODUCT(MAX(ROW(E$1:E3482)*(E2=E$1:E3482))))))</f>
        <v> </v>
      </c>
      <c r="K3483" s="25" t="str">
        <f>IF(OR(E3483="",E3483="!!!",F3483="NEW"),"",INDEX(J$1:J3482,SUMPRODUCT(MAX(ROW(E$1:E3482)*(E3483=E$1:E3482)))))</f>
        <v> </v>
      </c>
      <c r="L3483" s="26"/>
    </row>
    <row r="3484" spans="1:12">
      <c r="A3484" s="20" t="s">
        <v>828</v>
      </c>
      <c r="B3484" s="27" t="s">
        <v>680</v>
      </c>
      <c r="C3484" s="27" t="s">
        <v>523</v>
      </c>
      <c r="D3484" s="27" t="s">
        <v>524</v>
      </c>
      <c r="E3484" s="21">
        <f>IF(D3484="?OLD","!!!","")</f>
        <v/>
      </c>
      <c r="F3484" s="22" t="str">
        <f>IF(OR(E3484="",E3484="!!!"),"",IF(NOT(ISNA(VLOOKUP(E3484,E$1:E3483,1,FALSE()))),"OLD",IF(AND(E3484&lt;&gt;"",E3484&lt;&gt;"!!!"),"NEW","")))</f>
        <v> </v>
      </c>
      <c r="G3484" s="23" t="str">
        <f>IF(OR(E3484="",E3484="!!!"),"",IF(OR(J3484=0,AND(J3484=1,K3484=1),AND(J3484=1,I3484="SBJ"),AND(J3484=1,I3484=0)),"?IN_FOCUS",IF(J3484&lt;=2,"?ACTIVATED",IF(J3484&lt;&gt;"","?FAMILIAR",IF(F3484="NEW",IF(ISNA(VLOOKUP(E3484,#REF!,1,FALSE())),"?TYPE_IDENTIFIABLE","?REFERENTIAL"),"_")))))</f>
        <v> </v>
      </c>
      <c r="H3484" s="24" t="str">
        <f>IF(J3484&lt;&gt;1,"",IF(I3484="SBJ","CB","?"))</f>
        <v> </v>
      </c>
      <c r="I3484" s="25" t="str">
        <f>IF(OR(E3484="",E3484="!!!",F3484="NEW"),"",INDEX(B3483:B$2,-1+SUMPRODUCT(MAX(ROW(E3483:E$2)*(E3484=E3483:E$2)))))</f>
        <v> </v>
      </c>
      <c r="J3484" s="25" t="str">
        <f>IF(OR(E3484="",E3484="!!!",F3484="NEW"),"",COUNTBLANK(OFFSET(A$1,,,SUMPRODUCT(MAX(ROW(E$2:E3484)*(E3484=E$2:E3484)))))-COUNTBLANK(OFFSET(A$1,,,SUMPRODUCT(MAX(ROW(E$1:E3483)*(E2=E$1:E3483))))))</f>
        <v> </v>
      </c>
      <c r="K3484" s="25" t="str">
        <f>IF(OR(E3484="",E3484="!!!",F3484="NEW"),"",INDEX(J$1:J3483,SUMPRODUCT(MAX(ROW(E$1:E3483)*(E3484=E$1:E3483)))))</f>
        <v> </v>
      </c>
      <c r="L3484" s="26"/>
    </row>
    <row r="3485" spans="1:12">
      <c r="A3485" s="20" t="s">
        <v>622</v>
      </c>
      <c r="E3485" s="21">
        <f>IF(D3485="?OLD","!!!","")</f>
        <v/>
      </c>
      <c r="F3485" s="22" t="str">
        <f>IF(OR(E3485="",E3485="!!!"),"",IF(NOT(ISNA(VLOOKUP(E3485,E$1:E3484,1,FALSE()))),"OLD",IF(AND(E3485&lt;&gt;"",E3485&lt;&gt;"!!!"),"NEW","")))</f>
        <v> </v>
      </c>
      <c r="G3485" s="23" t="str">
        <f>IF(OR(E3485="",E3485="!!!"),"",IF(OR(J3485=0,AND(J3485=1,K3485=1),AND(J3485=1,I3485="SBJ"),AND(J3485=1,I3485=0)),"?IN_FOCUS",IF(J3485&lt;=2,"?ACTIVATED",IF(J3485&lt;&gt;"","?FAMILIAR",IF(F3485="NEW",IF(ISNA(VLOOKUP(E3485,#REF!,1,FALSE())),"?TYPE_IDENTIFIABLE","?REFERENTIAL"),"_")))))</f>
        <v> </v>
      </c>
      <c r="H3485" s="24" t="str">
        <f>IF(J3485&lt;&gt;1,"",IF(I3485="SBJ","CB","?"))</f>
        <v> </v>
      </c>
      <c r="I3485" s="25" t="str">
        <f>IF(OR(E3485="",E3485="!!!",F3485="NEW"),"",INDEX(B3484:B$2,-1+SUMPRODUCT(MAX(ROW(E3484:E$2)*(E3485=E3484:E$2)))))</f>
        <v> </v>
      </c>
      <c r="J3485" s="25" t="str">
        <f>IF(OR(E3485="",E3485="!!!",F3485="NEW"),"",COUNTBLANK(OFFSET(A$1,,,SUMPRODUCT(MAX(ROW(E$2:E3485)*(E3485=E$2:E3485)))))-COUNTBLANK(OFFSET(A$1,,,SUMPRODUCT(MAX(ROW(E$1:E3484)*(E2=E$1:E3484))))))</f>
        <v> </v>
      </c>
      <c r="K3485" s="25" t="str">
        <f>IF(OR(E3485="",E3485="!!!",F3485="NEW"),"",INDEX(J$1:J3484,SUMPRODUCT(MAX(ROW(E$1:E3484)*(E3485=E$1:E3484)))))</f>
        <v> </v>
      </c>
      <c r="L3485" s="26"/>
    </row>
    <row r="3486" spans="1:12">
      <c r="A3486" s="20" t="s">
        <v>581</v>
      </c>
      <c r="E3486" s="21">
        <f>IF(D3486="?OLD","!!!","")</f>
        <v/>
      </c>
      <c r="F3486" s="22" t="str">
        <f>IF(OR(E3486="",E3486="!!!"),"",IF(NOT(ISNA(VLOOKUP(E3486,E$1:E3485,1,FALSE()))),"OLD",IF(AND(E3486&lt;&gt;"",E3486&lt;&gt;"!!!"),"NEW","")))</f>
        <v> </v>
      </c>
      <c r="G3486" s="23" t="str">
        <f>IF(OR(E3486="",E3486="!!!"),"",IF(OR(J3486=0,AND(J3486=1,K3486=1),AND(J3486=1,I3486="SBJ"),AND(J3486=1,I3486=0)),"?IN_FOCUS",IF(J3486&lt;=2,"?ACTIVATED",IF(J3486&lt;&gt;"","?FAMILIAR",IF(F3486="NEW",IF(ISNA(VLOOKUP(E3486,#REF!,1,FALSE())),"?TYPE_IDENTIFIABLE","?REFERENTIAL"),"_")))))</f>
        <v> </v>
      </c>
      <c r="H3486" s="24" t="str">
        <f>IF(J3486&lt;&gt;1,"",IF(I3486="SBJ","CB","?"))</f>
        <v> </v>
      </c>
      <c r="I3486" s="25" t="str">
        <f>IF(OR(E3486="",E3486="!!!",F3486="NEW"),"",INDEX(B3485:B$2,-1+SUMPRODUCT(MAX(ROW(E3485:E$2)*(E3486=E3485:E$2)))))</f>
        <v> </v>
      </c>
      <c r="J3486" s="25" t="str">
        <f>IF(OR(E3486="",E3486="!!!",F3486="NEW"),"",COUNTBLANK(OFFSET(A$1,,,SUMPRODUCT(MAX(ROW(E$2:E3486)*(E3486=E$2:E3486)))))-COUNTBLANK(OFFSET(A$1,,,SUMPRODUCT(MAX(ROW(E$1:E3485)*(E2=E$1:E3485))))))</f>
        <v> </v>
      </c>
      <c r="K3486" s="25" t="str">
        <f>IF(OR(E3486="",E3486="!!!",F3486="NEW"),"",INDEX(J$1:J3485,SUMPRODUCT(MAX(ROW(E$1:E3485)*(E3486=E$1:E3485)))))</f>
        <v> </v>
      </c>
      <c r="L3486" s="26"/>
    </row>
    <row r="3487" spans="1:12">
      <c r="A3487" s="20" t="s">
        <v>1647</v>
      </c>
      <c r="B3487" s="27" t="s">
        <v>633</v>
      </c>
      <c r="C3487" s="27" t="s">
        <v>584</v>
      </c>
      <c r="D3487" s="27" t="s">
        <v>524</v>
      </c>
      <c r="E3487" s="21">
        <f>IF(D3487="?OLD","!!!","")</f>
        <v/>
      </c>
      <c r="F3487" s="22" t="str">
        <f>IF(OR(E3487="",E3487="!!!"),"",IF(NOT(ISNA(VLOOKUP(E3487,E$1:E3486,1,FALSE()))),"OLD",IF(AND(E3487&lt;&gt;"",E3487&lt;&gt;"!!!"),"NEW","")))</f>
        <v> </v>
      </c>
      <c r="G3487" s="23" t="str">
        <f>IF(OR(E3487="",E3487="!!!"),"",IF(OR(J3487=0,AND(J3487=1,K3487=1),AND(J3487=1,I3487="SBJ"),AND(J3487=1,I3487=0)),"?IN_FOCUS",IF(J3487&lt;=2,"?ACTIVATED",IF(J3487&lt;&gt;"","?FAMILIAR",IF(F3487="NEW",IF(ISNA(VLOOKUP(E3487,#REF!,1,FALSE())),"?TYPE_IDENTIFIABLE","?REFERENTIAL"),"_")))))</f>
        <v> </v>
      </c>
      <c r="H3487" s="24" t="str">
        <f>IF(J3487&lt;&gt;1,"",IF(I3487="SBJ","CB","?"))</f>
        <v> </v>
      </c>
      <c r="I3487" s="25" t="str">
        <f>IF(OR(E3487="",E3487="!!!",F3487="NEW"),"",INDEX(B3486:B$2,-1+SUMPRODUCT(MAX(ROW(E3486:E$2)*(E3487=E3486:E$2)))))</f>
        <v> </v>
      </c>
      <c r="J3487" s="25" t="str">
        <f>IF(OR(E3487="",E3487="!!!",F3487="NEW"),"",COUNTBLANK(OFFSET(A$1,,,SUMPRODUCT(MAX(ROW(E$2:E3487)*(E3487=E$2:E3487)))))-COUNTBLANK(OFFSET(A$1,,,SUMPRODUCT(MAX(ROW(E$1:E3486)*(E2=E$1:E3486))))))</f>
        <v> </v>
      </c>
      <c r="K3487" s="25" t="str">
        <f>IF(OR(E3487="",E3487="!!!",F3487="NEW"),"",INDEX(J$1:J3486,SUMPRODUCT(MAX(ROW(E$1:E3486)*(E3487=E$1:E3486)))))</f>
        <v> </v>
      </c>
      <c r="L3487" s="26"/>
    </row>
    <row r="3488" spans="1:12">
      <c r="A3488" s="20" t="s">
        <v>764</v>
      </c>
      <c r="E3488" s="21">
        <f>IF(D3488="?OLD","!!!","")</f>
        <v/>
      </c>
      <c r="F3488" s="22" t="str">
        <f>IF(OR(E3488="",E3488="!!!"),"",IF(NOT(ISNA(VLOOKUP(E3488,E$1:E3487,1,FALSE()))),"OLD",IF(AND(E3488&lt;&gt;"",E3488&lt;&gt;"!!!"),"NEW","")))</f>
        <v> </v>
      </c>
      <c r="G3488" s="23" t="str">
        <f>IF(OR(E3488="",E3488="!!!"),"",IF(OR(J3488=0,AND(J3488=1,K3488=1),AND(J3488=1,I3488="SBJ"),AND(J3488=1,I3488=0)),"?IN_FOCUS",IF(J3488&lt;=2,"?ACTIVATED",IF(J3488&lt;&gt;"","?FAMILIAR",IF(F3488="NEW",IF(ISNA(VLOOKUP(E3488,#REF!,1,FALSE())),"?TYPE_IDENTIFIABLE","?REFERENTIAL"),"_")))))</f>
        <v> </v>
      </c>
      <c r="H3488" s="24" t="str">
        <f>IF(J3488&lt;&gt;1,"",IF(I3488="SBJ","CB","?"))</f>
        <v> </v>
      </c>
      <c r="I3488" s="25" t="str">
        <f>IF(OR(E3488="",E3488="!!!",F3488="NEW"),"",INDEX(B3487:B$2,-1+SUMPRODUCT(MAX(ROW(E3487:E$2)*(E3488=E3487:E$2)))))</f>
        <v> </v>
      </c>
      <c r="J3488" s="25" t="str">
        <f>IF(OR(E3488="",E3488="!!!",F3488="NEW"),"",COUNTBLANK(OFFSET(A$1,,,SUMPRODUCT(MAX(ROW(E$2:E3488)*(E3488=E$2:E3488)))))-COUNTBLANK(OFFSET(A$1,,,SUMPRODUCT(MAX(ROW(E$1:E3487)*(E2=E$1:E3487))))))</f>
        <v> </v>
      </c>
      <c r="K3488" s="25" t="str">
        <f>IF(OR(E3488="",E3488="!!!",F3488="NEW"),"",INDEX(J$1:J3487,SUMPRODUCT(MAX(ROW(E$1:E3487)*(E3488=E$1:E3487)))))</f>
        <v> </v>
      </c>
      <c r="L3488" s="26"/>
    </row>
    <row r="3489" spans="1:12">
      <c r="A3489" s="20" t="s">
        <v>682</v>
      </c>
      <c r="E3489" s="21">
        <f>IF(D3489="?OLD","!!!","")</f>
        <v/>
      </c>
      <c r="F3489" s="22" t="str">
        <f>IF(OR(E3489="",E3489="!!!"),"",IF(NOT(ISNA(VLOOKUP(E3489,E$1:E3488,1,FALSE()))),"OLD",IF(AND(E3489&lt;&gt;"",E3489&lt;&gt;"!!!"),"NEW","")))</f>
        <v> </v>
      </c>
      <c r="G3489" s="23" t="str">
        <f>IF(OR(E3489="",E3489="!!!"),"",IF(OR(J3489=0,AND(J3489=1,K3489=1),AND(J3489=1,I3489="SBJ"),AND(J3489=1,I3489=0)),"?IN_FOCUS",IF(J3489&lt;=2,"?ACTIVATED",IF(J3489&lt;&gt;"","?FAMILIAR",IF(F3489="NEW",IF(ISNA(VLOOKUP(E3489,#REF!,1,FALSE())),"?TYPE_IDENTIFIABLE","?REFERENTIAL"),"_")))))</f>
        <v> </v>
      </c>
      <c r="H3489" s="24" t="str">
        <f>IF(J3489&lt;&gt;1,"",IF(I3489="SBJ","CB","?"))</f>
        <v> </v>
      </c>
      <c r="I3489" s="25" t="str">
        <f>IF(OR(E3489="",E3489="!!!",F3489="NEW"),"",INDEX(B3488:B$2,-1+SUMPRODUCT(MAX(ROW(E3488:E$2)*(E3489=E3488:E$2)))))</f>
        <v> </v>
      </c>
      <c r="J3489" s="25" t="str">
        <f>IF(OR(E3489="",E3489="!!!",F3489="NEW"),"",COUNTBLANK(OFFSET(A$1,,,SUMPRODUCT(MAX(ROW(E$2:E3489)*(E3489=E$2:E3489)))))-COUNTBLANK(OFFSET(A$1,,,SUMPRODUCT(MAX(ROW(E$1:E3488)*(E2=E$1:E3488))))))</f>
        <v> </v>
      </c>
      <c r="K3489" s="25" t="str">
        <f>IF(OR(E3489="",E3489="!!!",F3489="NEW"),"",INDEX(J$1:J3488,SUMPRODUCT(MAX(ROW(E$1:E3488)*(E3489=E$1:E3488)))))</f>
        <v> </v>
      </c>
      <c r="L3489" s="26"/>
    </row>
    <row r="3490" spans="1:12">
      <c r="A3490" s="20" t="s">
        <v>1500</v>
      </c>
      <c r="B3490" s="27" t="s">
        <v>667</v>
      </c>
      <c r="C3490" s="27" t="s">
        <v>540</v>
      </c>
      <c r="D3490" s="27" t="s">
        <v>524</v>
      </c>
      <c r="E3490" s="21">
        <f>IF(D3490="?OLD","!!!","")</f>
        <v/>
      </c>
      <c r="F3490" s="22" t="str">
        <f>IF(OR(E3490="",E3490="!!!"),"",IF(NOT(ISNA(VLOOKUP(E3490,E$1:E3489,1,FALSE()))),"OLD",IF(AND(E3490&lt;&gt;"",E3490&lt;&gt;"!!!"),"NEW","")))</f>
        <v> </v>
      </c>
      <c r="G3490" s="23" t="str">
        <f>IF(OR(E3490="",E3490="!!!"),"",IF(OR(J3490=0,AND(J3490=1,K3490=1),AND(J3490=1,I3490="SBJ"),AND(J3490=1,I3490=0)),"?IN_FOCUS",IF(J3490&lt;=2,"?ACTIVATED",IF(J3490&lt;&gt;"","?FAMILIAR",IF(F3490="NEW",IF(ISNA(VLOOKUP(E3490,#REF!,1,FALSE())),"?TYPE_IDENTIFIABLE","?REFERENTIAL"),"_")))))</f>
        <v> </v>
      </c>
      <c r="H3490" s="24" t="str">
        <f>IF(J3490&lt;&gt;1,"",IF(I3490="SBJ","CB","?"))</f>
        <v> </v>
      </c>
      <c r="I3490" s="25" t="str">
        <f>IF(OR(E3490="",E3490="!!!",F3490="NEW"),"",INDEX(B3489:B$2,-1+SUMPRODUCT(MAX(ROW(E3489:E$2)*(E3490=E3489:E$2)))))</f>
        <v> </v>
      </c>
      <c r="J3490" s="25" t="str">
        <f>IF(OR(E3490="",E3490="!!!",F3490="NEW"),"",COUNTBLANK(OFFSET(A$1,,,SUMPRODUCT(MAX(ROW(E$2:E3490)*(E3490=E$2:E3490)))))-COUNTBLANK(OFFSET(A$1,,,SUMPRODUCT(MAX(ROW(E$1:E3489)*(E2=E$1:E3489))))))</f>
        <v> </v>
      </c>
      <c r="K3490" s="25" t="str">
        <f>IF(OR(E3490="",E3490="!!!",F3490="NEW"),"",INDEX(J$1:J3489,SUMPRODUCT(MAX(ROW(E$1:E3489)*(E3490=E$1:E3489)))))</f>
        <v> </v>
      </c>
      <c r="L3490" s="26"/>
    </row>
    <row r="3491" spans="1:12">
      <c r="A3491" s="20" t="s">
        <v>518</v>
      </c>
      <c r="E3491" s="21">
        <f>IF(D3491="?OLD","!!!","")</f>
        <v/>
      </c>
      <c r="F3491" s="22" t="str">
        <f>IF(OR(E3491="",E3491="!!!"),"",IF(NOT(ISNA(VLOOKUP(E3491,E$1:E3490,1,FALSE()))),"OLD",IF(AND(E3491&lt;&gt;"",E3491&lt;&gt;"!!!"),"NEW","")))</f>
        <v> </v>
      </c>
      <c r="G3491" s="23" t="str">
        <f>IF(OR(E3491="",E3491="!!!"),"",IF(OR(J3491=0,AND(J3491=1,K3491=1),AND(J3491=1,I3491="SBJ"),AND(J3491=1,I3491=0)),"?IN_FOCUS",IF(J3491&lt;=2,"?ACTIVATED",IF(J3491&lt;&gt;"","?FAMILIAR",IF(F3491="NEW",IF(ISNA(VLOOKUP(E3491,#REF!,1,FALSE())),"?TYPE_IDENTIFIABLE","?REFERENTIAL"),"_")))))</f>
        <v> </v>
      </c>
      <c r="H3491" s="24" t="str">
        <f>IF(J3491&lt;&gt;1,"",IF(I3491="SBJ","CB","?"))</f>
        <v> </v>
      </c>
      <c r="I3491" s="25" t="str">
        <f>IF(OR(E3491="",E3491="!!!",F3491="NEW"),"",INDEX(B3490:B$2,-1+SUMPRODUCT(MAX(ROW(E3490:E$2)*(E3491=E3490:E$2)))))</f>
        <v> </v>
      </c>
      <c r="J3491" s="25" t="str">
        <f>IF(OR(E3491="",E3491="!!!",F3491="NEW"),"",COUNTBLANK(OFFSET(A$1,,,SUMPRODUCT(MAX(ROW(E$2:E3491)*(E3491=E$2:E3491)))))-COUNTBLANK(OFFSET(A$1,,,SUMPRODUCT(MAX(ROW(E$1:E3490)*(E2=E$1:E3490))))))</f>
        <v> </v>
      </c>
      <c r="K3491" s="25" t="str">
        <f>IF(OR(E3491="",E3491="!!!",F3491="NEW"),"",INDEX(J$1:J3490,SUMPRODUCT(MAX(ROW(E$1:E3490)*(E3491=E$1:E3490)))))</f>
        <v> </v>
      </c>
      <c r="L3491" s="26"/>
    </row>
    <row r="3492" spans="1:12">
      <c r="A3492" s="20" t="s">
        <v>1612</v>
      </c>
      <c r="B3492" s="27" t="s">
        <v>544</v>
      </c>
      <c r="C3492" s="27" t="s">
        <v>548</v>
      </c>
      <c r="D3492" s="27" t="s">
        <v>524</v>
      </c>
      <c r="E3492" s="21">
        <f>IF(D3492="?OLD","!!!","")</f>
        <v/>
      </c>
      <c r="F3492" s="22" t="str">
        <f>IF(OR(E3492="",E3492="!!!"),"",IF(NOT(ISNA(VLOOKUP(E3492,E$1:E3491,1,FALSE()))),"OLD",IF(AND(E3492&lt;&gt;"",E3492&lt;&gt;"!!!"),"NEW","")))</f>
        <v> </v>
      </c>
      <c r="G3492" s="23" t="str">
        <f>IF(OR(E3492="",E3492="!!!"),"",IF(OR(J3492=0,AND(J3492=1,K3492=1),AND(J3492=1,I3492="SBJ"),AND(J3492=1,I3492=0)),"?IN_FOCUS",IF(J3492&lt;=2,"?ACTIVATED",IF(J3492&lt;&gt;"","?FAMILIAR",IF(F3492="NEW",IF(ISNA(VLOOKUP(E3492,#REF!,1,FALSE())),"?TYPE_IDENTIFIABLE","?REFERENTIAL"),"_")))))</f>
        <v> </v>
      </c>
      <c r="H3492" s="24" t="str">
        <f>IF(J3492&lt;&gt;1,"",IF(I3492="SBJ","CB","?"))</f>
        <v> </v>
      </c>
      <c r="I3492" s="25" t="str">
        <f>IF(OR(E3492="",E3492="!!!",F3492="NEW"),"",INDEX(B3491:B$2,-1+SUMPRODUCT(MAX(ROW(E3491:E$2)*(E3492=E3491:E$2)))))</f>
        <v> </v>
      </c>
      <c r="J3492" s="25" t="str">
        <f>IF(OR(E3492="",E3492="!!!",F3492="NEW"),"",COUNTBLANK(OFFSET(A$1,,,SUMPRODUCT(MAX(ROW(E$2:E3492)*(E3492=E$2:E3492)))))-COUNTBLANK(OFFSET(A$1,,,SUMPRODUCT(MAX(ROW(E$1:E3491)*(E2=E$1:E3491))))))</f>
        <v> </v>
      </c>
      <c r="K3492" s="25" t="str">
        <f>IF(OR(E3492="",E3492="!!!",F3492="NEW"),"",INDEX(J$1:J3491,SUMPRODUCT(MAX(ROW(E$1:E3491)*(E3492=E$1:E3491)))))</f>
        <v> </v>
      </c>
      <c r="L3492" s="26"/>
    </row>
    <row r="3493" spans="1:12">
      <c r="A3493" s="20" t="s">
        <v>625</v>
      </c>
      <c r="E3493" s="21">
        <f>IF(D3493="?OLD","!!!","")</f>
        <v/>
      </c>
      <c r="F3493" s="22" t="str">
        <f>IF(OR(E3493="",E3493="!!!"),"",IF(NOT(ISNA(VLOOKUP(E3493,E$1:E3492,1,FALSE()))),"OLD",IF(AND(E3493&lt;&gt;"",E3493&lt;&gt;"!!!"),"NEW","")))</f>
        <v> </v>
      </c>
      <c r="G3493" s="23" t="str">
        <f>IF(OR(E3493="",E3493="!!!"),"",IF(OR(J3493=0,AND(J3493=1,K3493=1),AND(J3493=1,I3493="SBJ"),AND(J3493=1,I3493=0)),"?IN_FOCUS",IF(J3493&lt;=2,"?ACTIVATED",IF(J3493&lt;&gt;"","?FAMILIAR",IF(F3493="NEW",IF(ISNA(VLOOKUP(E3493,#REF!,1,FALSE())),"?TYPE_IDENTIFIABLE","?REFERENTIAL"),"_")))))</f>
        <v> </v>
      </c>
      <c r="H3493" s="24" t="str">
        <f>IF(J3493&lt;&gt;1,"",IF(I3493="SBJ","CB","?"))</f>
        <v> </v>
      </c>
      <c r="I3493" s="25" t="str">
        <f>IF(OR(E3493="",E3493="!!!",F3493="NEW"),"",INDEX(B3492:B$2,-1+SUMPRODUCT(MAX(ROW(E3492:E$2)*(E3493=E3492:E$2)))))</f>
        <v> </v>
      </c>
      <c r="J3493" s="25" t="str">
        <f>IF(OR(E3493="",E3493="!!!",F3493="NEW"),"",COUNTBLANK(OFFSET(A$1,,,SUMPRODUCT(MAX(ROW(E$2:E3493)*(E3493=E$2:E3493)))))-COUNTBLANK(OFFSET(A$1,,,SUMPRODUCT(MAX(ROW(E$1:E3492)*(E2=E$1:E3492))))))</f>
        <v> </v>
      </c>
      <c r="K3493" s="25" t="str">
        <f>IF(OR(E3493="",E3493="!!!",F3493="NEW"),"",INDEX(J$1:J3492,SUMPRODUCT(MAX(ROW(E$1:E3492)*(E3493=E$1:E3492)))))</f>
        <v> </v>
      </c>
      <c r="L3493" s="26"/>
    </row>
    <row r="3494" spans="1:12">
      <c r="A3494" s="20" t="s">
        <v>713</v>
      </c>
      <c r="B3494" s="27" t="s">
        <v>544</v>
      </c>
      <c r="C3494" s="27" t="s">
        <v>584</v>
      </c>
      <c r="D3494" s="27" t="s">
        <v>524</v>
      </c>
      <c r="E3494" s="21">
        <f>IF(D3494="?OLD","!!!","")</f>
        <v/>
      </c>
      <c r="F3494" s="22" t="str">
        <f>IF(OR(E3494="",E3494="!!!"),"",IF(NOT(ISNA(VLOOKUP(E3494,E$1:E3493,1,FALSE()))),"OLD",IF(AND(E3494&lt;&gt;"",E3494&lt;&gt;"!!!"),"NEW","")))</f>
        <v> </v>
      </c>
      <c r="G3494" s="23" t="str">
        <f>IF(OR(E3494="",E3494="!!!"),"",IF(OR(J3494=0,AND(J3494=1,K3494=1),AND(J3494=1,I3494="SBJ"),AND(J3494=1,I3494=0)),"?IN_FOCUS",IF(J3494&lt;=2,"?ACTIVATED",IF(J3494&lt;&gt;"","?FAMILIAR",IF(F3494="NEW",IF(ISNA(VLOOKUP(E3494,#REF!,1,FALSE())),"?TYPE_IDENTIFIABLE","?REFERENTIAL"),"_")))))</f>
        <v> </v>
      </c>
      <c r="H3494" s="24" t="str">
        <f>IF(J3494&lt;&gt;1,"",IF(I3494="SBJ","CB","?"))</f>
        <v> </v>
      </c>
      <c r="I3494" s="25" t="str">
        <f>IF(OR(E3494="",E3494="!!!",F3494="NEW"),"",INDEX(B3493:B$2,-1+SUMPRODUCT(MAX(ROW(E3493:E$2)*(E3494=E3493:E$2)))))</f>
        <v> </v>
      </c>
      <c r="J3494" s="25" t="str">
        <f>IF(OR(E3494="",E3494="!!!",F3494="NEW"),"",COUNTBLANK(OFFSET(A$1,,,SUMPRODUCT(MAX(ROW(E$2:E3494)*(E3494=E$2:E3494)))))-COUNTBLANK(OFFSET(A$1,,,SUMPRODUCT(MAX(ROW(E$1:E3493)*(E2=E$1:E3493))))))</f>
        <v> </v>
      </c>
      <c r="K3494" s="25" t="str">
        <f>IF(OR(E3494="",E3494="!!!",F3494="NEW"),"",INDEX(J$1:J3493,SUMPRODUCT(MAX(ROW(E$1:E3493)*(E3494=E$1:E3493)))))</f>
        <v> </v>
      </c>
      <c r="L3494" s="26"/>
    </row>
    <row r="3495" spans="1:12">
      <c r="A3495" s="20" t="s">
        <v>764</v>
      </c>
      <c r="E3495" s="21">
        <f>IF(D3495="?OLD","!!!","")</f>
        <v/>
      </c>
      <c r="F3495" s="22" t="str">
        <f>IF(OR(E3495="",E3495="!!!"),"",IF(NOT(ISNA(VLOOKUP(E3495,E$1:E3494,1,FALSE()))),"OLD",IF(AND(E3495&lt;&gt;"",E3495&lt;&gt;"!!!"),"NEW","")))</f>
        <v> </v>
      </c>
      <c r="G3495" s="23" t="str">
        <f>IF(OR(E3495="",E3495="!!!"),"",IF(OR(J3495=0,AND(J3495=1,K3495=1),AND(J3495=1,I3495="SBJ"),AND(J3495=1,I3495=0)),"?IN_FOCUS",IF(J3495&lt;=2,"?ACTIVATED",IF(J3495&lt;&gt;"","?FAMILIAR",IF(F3495="NEW",IF(ISNA(VLOOKUP(E3495,#REF!,1,FALSE())),"?TYPE_IDENTIFIABLE","?REFERENTIAL"),"_")))))</f>
        <v> </v>
      </c>
      <c r="H3495" s="24" t="str">
        <f>IF(J3495&lt;&gt;1,"",IF(I3495="SBJ","CB","?"))</f>
        <v> </v>
      </c>
      <c r="I3495" s="25" t="str">
        <f>IF(OR(E3495="",E3495="!!!",F3495="NEW"),"",INDEX(B3494:B$2,-1+SUMPRODUCT(MAX(ROW(E3494:E$2)*(E3495=E3494:E$2)))))</f>
        <v> </v>
      </c>
      <c r="J3495" s="25" t="str">
        <f>IF(OR(E3495="",E3495="!!!",F3495="NEW"),"",COUNTBLANK(OFFSET(A$1,,,SUMPRODUCT(MAX(ROW(E$2:E3495)*(E3495=E$2:E3495)))))-COUNTBLANK(OFFSET(A$1,,,SUMPRODUCT(MAX(ROW(E$1:E3494)*(E2=E$1:E3494))))))</f>
        <v> </v>
      </c>
      <c r="K3495" s="25" t="str">
        <f>IF(OR(E3495="",E3495="!!!",F3495="NEW"),"",INDEX(J$1:J3494,SUMPRODUCT(MAX(ROW(E$1:E3494)*(E3495=E$1:E3494)))))</f>
        <v> </v>
      </c>
      <c r="L3495" s="26"/>
    </row>
    <row r="3496" spans="1:12">
      <c r="A3496" s="20" t="s">
        <v>682</v>
      </c>
      <c r="E3496" s="21">
        <f>IF(D3496="?OLD","!!!","")</f>
        <v/>
      </c>
      <c r="F3496" s="22" t="str">
        <f>IF(OR(E3496="",E3496="!!!"),"",IF(NOT(ISNA(VLOOKUP(E3496,E$1:E3495,1,FALSE()))),"OLD",IF(AND(E3496&lt;&gt;"",E3496&lt;&gt;"!!!"),"NEW","")))</f>
        <v> </v>
      </c>
      <c r="G3496" s="23" t="str">
        <f>IF(OR(E3496="",E3496="!!!"),"",IF(OR(J3496=0,AND(J3496=1,K3496=1),AND(J3496=1,I3496="SBJ"),AND(J3496=1,I3496=0)),"?IN_FOCUS",IF(J3496&lt;=2,"?ACTIVATED",IF(J3496&lt;&gt;"","?FAMILIAR",IF(F3496="NEW",IF(ISNA(VLOOKUP(E3496,#REF!,1,FALSE())),"?TYPE_IDENTIFIABLE","?REFERENTIAL"),"_")))))</f>
        <v> </v>
      </c>
      <c r="H3496" s="24" t="str">
        <f>IF(J3496&lt;&gt;1,"",IF(I3496="SBJ","CB","?"))</f>
        <v> </v>
      </c>
      <c r="I3496" s="25" t="str">
        <f>IF(OR(E3496="",E3496="!!!",F3496="NEW"),"",INDEX(B3495:B$2,-1+SUMPRODUCT(MAX(ROW(E3495:E$2)*(E3496=E3495:E$2)))))</f>
        <v> </v>
      </c>
      <c r="J3496" s="25" t="str">
        <f>IF(OR(E3496="",E3496="!!!",F3496="NEW"),"",COUNTBLANK(OFFSET(A$1,,,SUMPRODUCT(MAX(ROW(E$2:E3496)*(E3496=E$2:E3496)))))-COUNTBLANK(OFFSET(A$1,,,SUMPRODUCT(MAX(ROW(E$1:E3495)*(E2=E$1:E3495))))))</f>
        <v> </v>
      </c>
      <c r="K3496" s="25" t="str">
        <f>IF(OR(E3496="",E3496="!!!",F3496="NEW"),"",INDEX(J$1:J3495,SUMPRODUCT(MAX(ROW(E$1:E3495)*(E3496=E$1:E3495)))))</f>
        <v> </v>
      </c>
      <c r="L3496" s="26"/>
    </row>
    <row r="3497" spans="1:12">
      <c r="A3497" s="20" t="s">
        <v>1500</v>
      </c>
      <c r="B3497" s="27" t="s">
        <v>592</v>
      </c>
      <c r="C3497" s="27" t="s">
        <v>540</v>
      </c>
      <c r="D3497" s="27" t="s">
        <v>524</v>
      </c>
      <c r="E3497" s="21">
        <f>IF(D3497="?OLD","!!!","")</f>
        <v/>
      </c>
      <c r="F3497" s="22" t="str">
        <f>IF(OR(E3497="",E3497="!!!"),"",IF(NOT(ISNA(VLOOKUP(E3497,E$1:E3496,1,FALSE()))),"OLD",IF(AND(E3497&lt;&gt;"",E3497&lt;&gt;"!!!"),"NEW","")))</f>
        <v> </v>
      </c>
      <c r="G3497" s="23" t="str">
        <f>IF(OR(E3497="",E3497="!!!"),"",IF(OR(J3497=0,AND(J3497=1,K3497=1),AND(J3497=1,I3497="SBJ"),AND(J3497=1,I3497=0)),"?IN_FOCUS",IF(J3497&lt;=2,"?ACTIVATED",IF(J3497&lt;&gt;"","?FAMILIAR",IF(F3497="NEW",IF(ISNA(VLOOKUP(E3497,#REF!,1,FALSE())),"?TYPE_IDENTIFIABLE","?REFERENTIAL"),"_")))))</f>
        <v> </v>
      </c>
      <c r="H3497" s="24" t="str">
        <f>IF(J3497&lt;&gt;1,"",IF(I3497="SBJ","CB","?"))</f>
        <v> </v>
      </c>
      <c r="I3497" s="25" t="str">
        <f>IF(OR(E3497="",E3497="!!!",F3497="NEW"),"",INDEX(B3496:B$2,-1+SUMPRODUCT(MAX(ROW(E3496:E$2)*(E3497=E3496:E$2)))))</f>
        <v> </v>
      </c>
      <c r="J3497" s="25" t="str">
        <f>IF(OR(E3497="",E3497="!!!",F3497="NEW"),"",COUNTBLANK(OFFSET(A$1,,,SUMPRODUCT(MAX(ROW(E$2:E3497)*(E3497=E$2:E3497)))))-COUNTBLANK(OFFSET(A$1,,,SUMPRODUCT(MAX(ROW(E$1:E3496)*(E2=E$1:E3496))))))</f>
        <v> </v>
      </c>
      <c r="K3497" s="25" t="str">
        <f>IF(OR(E3497="",E3497="!!!",F3497="NEW"),"",INDEX(J$1:J3496,SUMPRODUCT(MAX(ROW(E$1:E3496)*(E3497=E$1:E3496)))))</f>
        <v> </v>
      </c>
      <c r="L3497" s="26"/>
    </row>
    <row r="3498" spans="1:12">
      <c r="A3498" s="20" t="s">
        <v>518</v>
      </c>
      <c r="E3498" s="21">
        <f>IF(D3498="?OLD","!!!","")</f>
        <v/>
      </c>
      <c r="F3498" s="22" t="str">
        <f>IF(OR(E3498="",E3498="!!!"),"",IF(NOT(ISNA(VLOOKUP(E3498,E$1:E3497,1,FALSE()))),"OLD",IF(AND(E3498&lt;&gt;"",E3498&lt;&gt;"!!!"),"NEW","")))</f>
        <v> </v>
      </c>
      <c r="G3498" s="23" t="str">
        <f>IF(OR(E3498="",E3498="!!!"),"",IF(OR(J3498=0,AND(J3498=1,K3498=1),AND(J3498=1,I3498="SBJ"),AND(J3498=1,I3498=0)),"?IN_FOCUS",IF(J3498&lt;=2,"?ACTIVATED",IF(J3498&lt;&gt;"","?FAMILIAR",IF(F3498="NEW",IF(ISNA(VLOOKUP(E3498,#REF!,1,FALSE())),"?TYPE_IDENTIFIABLE","?REFERENTIAL"),"_")))))</f>
        <v> </v>
      </c>
      <c r="H3498" s="24" t="str">
        <f>IF(J3498&lt;&gt;1,"",IF(I3498="SBJ","CB","?"))</f>
        <v> </v>
      </c>
      <c r="I3498" s="25" t="str">
        <f>IF(OR(E3498="",E3498="!!!",F3498="NEW"),"",INDEX(B3497:B$2,-1+SUMPRODUCT(MAX(ROW(E3497:E$2)*(E3498=E3497:E$2)))))</f>
        <v> </v>
      </c>
      <c r="J3498" s="25" t="str">
        <f>IF(OR(E3498="",E3498="!!!",F3498="NEW"),"",COUNTBLANK(OFFSET(A$1,,,SUMPRODUCT(MAX(ROW(E$2:E3498)*(E3498=E$2:E3498)))))-COUNTBLANK(OFFSET(A$1,,,SUMPRODUCT(MAX(ROW(E$1:E3497)*(E2=E$1:E3497))))))</f>
        <v> </v>
      </c>
      <c r="K3498" s="25" t="str">
        <f>IF(OR(E3498="",E3498="!!!",F3498="NEW"),"",INDEX(J$1:J3497,SUMPRODUCT(MAX(ROW(E$1:E3497)*(E3498=E$1:E3497)))))</f>
        <v> </v>
      </c>
      <c r="L3498" s="26"/>
    </row>
    <row r="3499" spans="1:12">
      <c r="A3499" s="20" t="s">
        <v>1648</v>
      </c>
      <c r="B3499" s="27" t="s">
        <v>597</v>
      </c>
      <c r="C3499" s="27" t="s">
        <v>548</v>
      </c>
      <c r="D3499" s="27" t="s">
        <v>524</v>
      </c>
      <c r="E3499" s="21">
        <f>IF(D3499="?OLD","!!!","")</f>
        <v/>
      </c>
      <c r="F3499" s="22" t="str">
        <f>IF(OR(E3499="",E3499="!!!"),"",IF(NOT(ISNA(VLOOKUP(E3499,E$1:E3498,1,FALSE()))),"OLD",IF(AND(E3499&lt;&gt;"",E3499&lt;&gt;"!!!"),"NEW","")))</f>
        <v> </v>
      </c>
      <c r="G3499" s="23" t="str">
        <f>IF(OR(E3499="",E3499="!!!"),"",IF(OR(J3499=0,AND(J3499=1,K3499=1),AND(J3499=1,I3499="SBJ"),AND(J3499=1,I3499=0)),"?IN_FOCUS",IF(J3499&lt;=2,"?ACTIVATED",IF(J3499&lt;&gt;"","?FAMILIAR",IF(F3499="NEW",IF(ISNA(VLOOKUP(E3499,#REF!,1,FALSE())),"?TYPE_IDENTIFIABLE","?REFERENTIAL"),"_")))))</f>
        <v> </v>
      </c>
      <c r="H3499" s="24" t="str">
        <f>IF(J3499&lt;&gt;1,"",IF(I3499="SBJ","CB","?"))</f>
        <v> </v>
      </c>
      <c r="I3499" s="25" t="str">
        <f>IF(OR(E3499="",E3499="!!!",F3499="NEW"),"",INDEX(B3498:B$2,-1+SUMPRODUCT(MAX(ROW(E3498:E$2)*(E3499=E3498:E$2)))))</f>
        <v> </v>
      </c>
      <c r="J3499" s="25" t="str">
        <f>IF(OR(E3499="",E3499="!!!",F3499="NEW"),"",COUNTBLANK(OFFSET(A$1,,,SUMPRODUCT(MAX(ROW(E$2:E3499)*(E3499=E$2:E3499)))))-COUNTBLANK(OFFSET(A$1,,,SUMPRODUCT(MAX(ROW(E$1:E3498)*(E2=E$1:E3498))))))</f>
        <v> </v>
      </c>
      <c r="K3499" s="25" t="str">
        <f>IF(OR(E3499="",E3499="!!!",F3499="NEW"),"",INDEX(J$1:J3498,SUMPRODUCT(MAX(ROW(E$1:E3498)*(E3499=E$1:E3498)))))</f>
        <v> </v>
      </c>
      <c r="L3499" s="26"/>
    </row>
    <row r="3500" spans="1:12">
      <c r="A3500" s="20" t="s">
        <v>581</v>
      </c>
      <c r="E3500" s="21">
        <f>IF(D3500="?OLD","!!!","")</f>
        <v/>
      </c>
      <c r="F3500" s="22" t="str">
        <f>IF(OR(E3500="",E3500="!!!"),"",IF(NOT(ISNA(VLOOKUP(E3500,E$1:E3499,1,FALSE()))),"OLD",IF(AND(E3500&lt;&gt;"",E3500&lt;&gt;"!!!"),"NEW","")))</f>
        <v> </v>
      </c>
      <c r="G3500" s="23" t="str">
        <f>IF(OR(E3500="",E3500="!!!"),"",IF(OR(J3500=0,AND(J3500=1,K3500=1),AND(J3500=1,I3500="SBJ"),AND(J3500=1,I3500=0)),"?IN_FOCUS",IF(J3500&lt;=2,"?ACTIVATED",IF(J3500&lt;&gt;"","?FAMILIAR",IF(F3500="NEW",IF(ISNA(VLOOKUP(E3500,#REF!,1,FALSE())),"?TYPE_IDENTIFIABLE","?REFERENTIAL"),"_")))))</f>
        <v> </v>
      </c>
      <c r="H3500" s="24" t="str">
        <f>IF(J3500&lt;&gt;1,"",IF(I3500="SBJ","CB","?"))</f>
        <v> </v>
      </c>
      <c r="I3500" s="25" t="str">
        <f>IF(OR(E3500="",E3500="!!!",F3500="NEW"),"",INDEX(B3499:B$2,-1+SUMPRODUCT(MAX(ROW(E3499:E$2)*(E3500=E3499:E$2)))))</f>
        <v> </v>
      </c>
      <c r="J3500" s="25" t="str">
        <f>IF(OR(E3500="",E3500="!!!",F3500="NEW"),"",COUNTBLANK(OFFSET(A$1,,,SUMPRODUCT(MAX(ROW(E$2:E3500)*(E3500=E$2:E3500)))))-COUNTBLANK(OFFSET(A$1,,,SUMPRODUCT(MAX(ROW(E$1:E3499)*(E2=E$1:E3499))))))</f>
        <v> </v>
      </c>
      <c r="K3500" s="25" t="str">
        <f>IF(OR(E3500="",E3500="!!!",F3500="NEW"),"",INDEX(J$1:J3499,SUMPRODUCT(MAX(ROW(E$1:E3499)*(E3500=E$1:E3499)))))</f>
        <v> </v>
      </c>
      <c r="L3500" s="26"/>
    </row>
    <row r="3501" spans="1:12">
      <c r="A3501" s="20" t="s">
        <v>549</v>
      </c>
      <c r="E3501" s="21">
        <f>IF(D3501="?OLD","!!!","")</f>
        <v/>
      </c>
      <c r="F3501" s="22" t="str">
        <f>IF(OR(E3501="",E3501="!!!"),"",IF(NOT(ISNA(VLOOKUP(E3501,E$1:E3500,1,FALSE()))),"OLD",IF(AND(E3501&lt;&gt;"",E3501&lt;&gt;"!!!"),"NEW","")))</f>
        <v> </v>
      </c>
      <c r="G3501" s="23" t="str">
        <f>IF(OR(E3501="",E3501="!!!"),"",IF(OR(J3501=0,AND(J3501=1,K3501=1),AND(J3501=1,I3501="SBJ"),AND(J3501=1,I3501=0)),"?IN_FOCUS",IF(J3501&lt;=2,"?ACTIVATED",IF(J3501&lt;&gt;"","?FAMILIAR",IF(F3501="NEW",IF(ISNA(VLOOKUP(E3501,#REF!,1,FALSE())),"?TYPE_IDENTIFIABLE","?REFERENTIAL"),"_")))))</f>
        <v> </v>
      </c>
      <c r="H3501" s="24" t="str">
        <f>IF(J3501&lt;&gt;1,"",IF(I3501="SBJ","CB","?"))</f>
        <v> </v>
      </c>
      <c r="I3501" s="25" t="str">
        <f>IF(OR(E3501="",E3501="!!!",F3501="NEW"),"",INDEX(B3500:B$2,-1+SUMPRODUCT(MAX(ROW(E3500:E$2)*(E3501=E3500:E$2)))))</f>
        <v> </v>
      </c>
      <c r="J3501" s="25" t="str">
        <f>IF(OR(E3501="",E3501="!!!",F3501="NEW"),"",COUNTBLANK(OFFSET(A$1,,,SUMPRODUCT(MAX(ROW(E$2:E3501)*(E3501=E$2:E3501)))))-COUNTBLANK(OFFSET(A$1,,,SUMPRODUCT(MAX(ROW(E$1:E3500)*(E2=E$1:E3500))))))</f>
        <v> </v>
      </c>
      <c r="K3501" s="25" t="str">
        <f>IF(OR(E3501="",E3501="!!!",F3501="NEW"),"",INDEX(J$1:J3500,SUMPRODUCT(MAX(ROW(E$1:E3500)*(E3501=E$1:E3500)))))</f>
        <v> </v>
      </c>
      <c r="L3501" s="26"/>
    </row>
    <row r="3502" spans="1:12">
      <c r="A3502" s="20"/>
    </row>
    <row r="3503" spans="1:12">
      <c r="A3503" s="20" t="s">
        <v>1649</v>
      </c>
    </row>
    <row r="3504" spans="1:12">
      <c r="A3504" s="20" t="s">
        <v>1598</v>
      </c>
      <c r="E3504" s="21">
        <f>IF(D3504="?OLD","!!!","")</f>
        <v/>
      </c>
      <c r="F3504" s="22" t="str">
        <f>IF(OR(E3504="",E3504="!!!"),"",IF(NOT(ISNA(VLOOKUP(E3504,E$1:E3503,1,FALSE()))),"OLD",IF(AND(E3504&lt;&gt;"",E3504&lt;&gt;"!!!"),"NEW","")))</f>
        <v> </v>
      </c>
      <c r="G3504" s="23" t="str">
        <f>IF(OR(E3504="",E3504="!!!"),"",IF(OR(J3504=0,AND(J3504=1,K3504=1),AND(J3504=1,I3504="SBJ"),AND(J3504=1,I3504=0)),"?IN_FOCUS",IF(J3504&lt;=2,"?ACTIVATED",IF(J3504&lt;&gt;"","?FAMILIAR",IF(F3504="NEW",IF(ISNA(VLOOKUP(E3504,#REF!,1,FALSE())),"?TYPE_IDENTIFIABLE","?REFERENTIAL"),"_")))))</f>
        <v> </v>
      </c>
      <c r="H3504" s="24" t="str">
        <f>IF(J3504&lt;&gt;1,"",IF(I3504="SBJ","CB","?"))</f>
        <v> </v>
      </c>
      <c r="I3504" s="25" t="str">
        <f>IF(OR(E3504="",E3504="!!!",F3504="NEW"),"",INDEX(B3503:B$2,-1+SUMPRODUCT(MAX(ROW(E3503:E$2)*(E3504=E3503:E$2)))))</f>
        <v> </v>
      </c>
      <c r="J3504" s="25" t="str">
        <f>IF(OR(E3504="",E3504="!!!",F3504="NEW"),"",COUNTBLANK(OFFSET(A$1,,,SUMPRODUCT(MAX(ROW(E$2:E3504)*(E3504=E$2:E3504)))))-COUNTBLANK(OFFSET(A$1,,,SUMPRODUCT(MAX(ROW(E$1:E3503)*(E2=E$1:E3503))))))</f>
        <v> </v>
      </c>
      <c r="K3504" s="25" t="str">
        <f>IF(OR(E3504="",E3504="!!!",F3504="NEW"),"",INDEX(J$1:J3503,SUMPRODUCT(MAX(ROW(E$1:E3503)*(E3504=E$1:E3503)))))</f>
        <v> </v>
      </c>
      <c r="L3504" s="26"/>
    </row>
    <row r="3505" spans="1:12">
      <c r="A3505" s="20" t="s">
        <v>577</v>
      </c>
      <c r="E3505" s="21">
        <f>IF(D3505="?OLD","!!!","")</f>
        <v/>
      </c>
      <c r="F3505" s="22" t="str">
        <f>IF(OR(E3505="",E3505="!!!"),"",IF(NOT(ISNA(VLOOKUP(E3505,E$1:E3504,1,FALSE()))),"OLD",IF(AND(E3505&lt;&gt;"",E3505&lt;&gt;"!!!"),"NEW","")))</f>
        <v> </v>
      </c>
      <c r="G3505" s="23" t="str">
        <f>IF(OR(E3505="",E3505="!!!"),"",IF(OR(J3505=0,AND(J3505=1,K3505=1),AND(J3505=1,I3505="SBJ"),AND(J3505=1,I3505=0)),"?IN_FOCUS",IF(J3505&lt;=2,"?ACTIVATED",IF(J3505&lt;&gt;"","?FAMILIAR",IF(F3505="NEW",IF(ISNA(VLOOKUP(E3505,#REF!,1,FALSE())),"?TYPE_IDENTIFIABLE","?REFERENTIAL"),"_")))))</f>
        <v> </v>
      </c>
      <c r="H3505" s="24" t="str">
        <f>IF(J3505&lt;&gt;1,"",IF(I3505="SBJ","CB","?"))</f>
        <v> </v>
      </c>
      <c r="I3505" s="25" t="str">
        <f>IF(OR(E3505="",E3505="!!!",F3505="NEW"),"",INDEX(B3504:B$2,-1+SUMPRODUCT(MAX(ROW(E3504:E$2)*(E3505=E3504:E$2)))))</f>
        <v> </v>
      </c>
      <c r="J3505" s="25" t="str">
        <f>IF(OR(E3505="",E3505="!!!",F3505="NEW"),"",COUNTBLANK(OFFSET(A$1,,,SUMPRODUCT(MAX(ROW(E$2:E3505)*(E3505=E$2:E3505)))))-COUNTBLANK(OFFSET(A$1,,,SUMPRODUCT(MAX(ROW(E$1:E3504)*(E2=E$1:E3504))))))</f>
        <v> </v>
      </c>
      <c r="K3505" s="25" t="str">
        <f>IF(OR(E3505="",E3505="!!!",F3505="NEW"),"",INDEX(J$1:J3504,SUMPRODUCT(MAX(ROW(E$1:E3504)*(E3505=E$1:E3504)))))</f>
        <v> </v>
      </c>
      <c r="L3505" s="26"/>
    </row>
    <row r="3506" spans="1:12">
      <c r="A3506" s="20" t="s">
        <v>660</v>
      </c>
      <c r="E3506" s="21">
        <f>IF(D3506="?OLD","!!!","")</f>
        <v/>
      </c>
      <c r="F3506" s="22" t="str">
        <f>IF(OR(E3506="",E3506="!!!"),"",IF(NOT(ISNA(VLOOKUP(E3506,E$1:E3505,1,FALSE()))),"OLD",IF(AND(E3506&lt;&gt;"",E3506&lt;&gt;"!!!"),"NEW","")))</f>
        <v> </v>
      </c>
      <c r="G3506" s="23" t="str">
        <f>IF(OR(E3506="",E3506="!!!"),"",IF(OR(J3506=0,AND(J3506=1,K3506=1),AND(J3506=1,I3506="SBJ"),AND(J3506=1,I3506=0)),"?IN_FOCUS",IF(J3506&lt;=2,"?ACTIVATED",IF(J3506&lt;&gt;"","?FAMILIAR",IF(F3506="NEW",IF(ISNA(VLOOKUP(E3506,#REF!,1,FALSE())),"?TYPE_IDENTIFIABLE","?REFERENTIAL"),"_")))))</f>
        <v> </v>
      </c>
      <c r="H3506" s="24" t="str">
        <f>IF(J3506&lt;&gt;1,"",IF(I3506="SBJ","CB","?"))</f>
        <v> </v>
      </c>
      <c r="I3506" s="25" t="str">
        <f>IF(OR(E3506="",E3506="!!!",F3506="NEW"),"",INDEX(B3505:B$2,-1+SUMPRODUCT(MAX(ROW(E3505:E$2)*(E3506=E3505:E$2)))))</f>
        <v> </v>
      </c>
      <c r="J3506" s="25" t="str">
        <f>IF(OR(E3506="",E3506="!!!",F3506="NEW"),"",COUNTBLANK(OFFSET(A$1,,,SUMPRODUCT(MAX(ROW(E$2:E3506)*(E3506=E$2:E3506)))))-COUNTBLANK(OFFSET(A$1,,,SUMPRODUCT(MAX(ROW(E$1:E3505)*(E2=E$1:E3505))))))</f>
        <v> </v>
      </c>
      <c r="K3506" s="25" t="str">
        <f>IF(OR(E3506="",E3506="!!!",F3506="NEW"),"",INDEX(J$1:J3505,SUMPRODUCT(MAX(ROW(E$1:E3505)*(E3506=E$1:E3505)))))</f>
        <v> </v>
      </c>
      <c r="L3506" s="26"/>
    </row>
    <row r="3507" spans="1:12">
      <c r="A3507" s="20" t="s">
        <v>1650</v>
      </c>
      <c r="B3507" s="27" t="s">
        <v>592</v>
      </c>
      <c r="C3507" s="27" t="s">
        <v>637</v>
      </c>
      <c r="D3507" s="27" t="s">
        <v>524</v>
      </c>
      <c r="E3507" s="21">
        <f>IF(D3507="?OLD","!!!","")</f>
        <v/>
      </c>
      <c r="F3507" s="22" t="str">
        <f>IF(OR(E3507="",E3507="!!!"),"",IF(NOT(ISNA(VLOOKUP(E3507,E$1:E3506,1,FALSE()))),"OLD",IF(AND(E3507&lt;&gt;"",E3507&lt;&gt;"!!!"),"NEW","")))</f>
        <v> </v>
      </c>
      <c r="G3507" s="23" t="str">
        <f>IF(OR(E3507="",E3507="!!!"),"",IF(OR(J3507=0,AND(J3507=1,K3507=1),AND(J3507=1,I3507="SBJ"),AND(J3507=1,I3507=0)),"?IN_FOCUS",IF(J3507&lt;=2,"?ACTIVATED",IF(J3507&lt;&gt;"","?FAMILIAR",IF(F3507="NEW",IF(ISNA(VLOOKUP(E3507,#REF!,1,FALSE())),"?TYPE_IDENTIFIABLE","?REFERENTIAL"),"_")))))</f>
        <v> </v>
      </c>
      <c r="H3507" s="24" t="str">
        <f>IF(J3507&lt;&gt;1,"",IF(I3507="SBJ","CB","?"))</f>
        <v> </v>
      </c>
      <c r="I3507" s="25" t="str">
        <f>IF(OR(E3507="",E3507="!!!",F3507="NEW"),"",INDEX(B3506:B$2,-1+SUMPRODUCT(MAX(ROW(E3506:E$2)*(E3507=E3506:E$2)))))</f>
        <v> </v>
      </c>
      <c r="J3507" s="25" t="str">
        <f>IF(OR(E3507="",E3507="!!!",F3507="NEW"),"",COUNTBLANK(OFFSET(A$1,,,SUMPRODUCT(MAX(ROW(E$2:E3507)*(E3507=E$2:E3507)))))-COUNTBLANK(OFFSET(A$1,,,SUMPRODUCT(MAX(ROW(E$1:E3506)*(E2=E$1:E3506))))))</f>
        <v> </v>
      </c>
      <c r="K3507" s="25" t="str">
        <f>IF(OR(E3507="",E3507="!!!",F3507="NEW"),"",INDEX(J$1:J3506,SUMPRODUCT(MAX(ROW(E$1:E3506)*(E3507=E$1:E3506)))))</f>
        <v> </v>
      </c>
      <c r="L3507" s="26"/>
    </row>
    <row r="3508" spans="1:12">
      <c r="A3508" s="20" t="s">
        <v>528</v>
      </c>
      <c r="B3508" s="27" t="s">
        <v>633</v>
      </c>
      <c r="E3508" s="21">
        <f>IF(D3508="?OLD","!!!","")</f>
        <v/>
      </c>
      <c r="F3508" s="22" t="str">
        <f>IF(OR(E3508="",E3508="!!!"),"",IF(NOT(ISNA(VLOOKUP(E3508,E$1:E3507,1,FALSE()))),"OLD",IF(AND(E3508&lt;&gt;"",E3508&lt;&gt;"!!!"),"NEW","")))</f>
        <v> </v>
      </c>
      <c r="G3508" s="23" t="str">
        <f>IF(OR(E3508="",E3508="!!!"),"",IF(OR(J3508=0,AND(J3508=1,K3508=1),AND(J3508=1,I3508="SBJ"),AND(J3508=1,I3508=0)),"?IN_FOCUS",IF(J3508&lt;=2,"?ACTIVATED",IF(J3508&lt;&gt;"","?FAMILIAR",IF(F3508="NEW",IF(ISNA(VLOOKUP(E3508,#REF!,1,FALSE())),"?TYPE_IDENTIFIABLE","?REFERENTIAL"),"_")))))</f>
        <v> </v>
      </c>
      <c r="H3508" s="24" t="str">
        <f>IF(J3508&lt;&gt;1,"",IF(I3508="SBJ","CB","?"))</f>
        <v> </v>
      </c>
      <c r="I3508" s="25" t="str">
        <f>IF(OR(E3508="",E3508="!!!",F3508="NEW"),"",INDEX(B3507:B$2,-1+SUMPRODUCT(MAX(ROW(E3507:E$2)*(E3508=E3507:E$2)))))</f>
        <v> </v>
      </c>
      <c r="J3508" s="25" t="str">
        <f>IF(OR(E3508="",E3508="!!!",F3508="NEW"),"",COUNTBLANK(OFFSET(A$1,,,SUMPRODUCT(MAX(ROW(E$2:E3508)*(E3508=E$2:E3508)))))-COUNTBLANK(OFFSET(A$1,,,SUMPRODUCT(MAX(ROW(E$1:E3507)*(E2=E$1:E3507))))))</f>
        <v> </v>
      </c>
      <c r="K3508" s="25" t="str">
        <f>IF(OR(E3508="",E3508="!!!",F3508="NEW"),"",INDEX(J$1:J3507,SUMPRODUCT(MAX(ROW(E$1:E3507)*(E3508=E$1:E3507)))))</f>
        <v> </v>
      </c>
      <c r="L3508" s="26"/>
    </row>
    <row r="3509" spans="1:12">
      <c r="A3509" s="20" t="s">
        <v>682</v>
      </c>
      <c r="B3509" s="27" t="s">
        <v>556</v>
      </c>
      <c r="C3509" s="27" t="s">
        <v>523</v>
      </c>
      <c r="D3509" s="27" t="s">
        <v>524</v>
      </c>
      <c r="E3509" s="21">
        <f>IF(D3509="?OLD","!!!","")</f>
        <v/>
      </c>
      <c r="F3509" s="22" t="str">
        <f>IF(OR(E3509="",E3509="!!!"),"",IF(NOT(ISNA(VLOOKUP(E3509,E$1:E3508,1,FALSE()))),"OLD",IF(AND(E3509&lt;&gt;"",E3509&lt;&gt;"!!!"),"NEW","")))</f>
        <v> </v>
      </c>
      <c r="G3509" s="23" t="str">
        <f>IF(OR(E3509="",E3509="!!!"),"",IF(OR(J3509=0,AND(J3509=1,K3509=1),AND(J3509=1,I3509="SBJ"),AND(J3509=1,I3509=0)),"?IN_FOCUS",IF(J3509&lt;=2,"?ACTIVATED",IF(J3509&lt;&gt;"","?FAMILIAR",IF(F3509="NEW",IF(ISNA(VLOOKUP(E3509,#REF!,1,FALSE())),"?TYPE_IDENTIFIABLE","?REFERENTIAL"),"_")))))</f>
        <v> </v>
      </c>
      <c r="H3509" s="24" t="str">
        <f>IF(J3509&lt;&gt;1,"",IF(I3509="SBJ","CB","?"))</f>
        <v> </v>
      </c>
      <c r="I3509" s="25" t="str">
        <f>IF(OR(E3509="",E3509="!!!",F3509="NEW"),"",INDEX(B3508:B$2,-1+SUMPRODUCT(MAX(ROW(E3508:E$2)*(E3509=E3508:E$2)))))</f>
        <v> </v>
      </c>
      <c r="J3509" s="25" t="str">
        <f>IF(OR(E3509="",E3509="!!!",F3509="NEW"),"",COUNTBLANK(OFFSET(A$1,,,SUMPRODUCT(MAX(ROW(E$2:E3509)*(E3509=E$2:E3509)))))-COUNTBLANK(OFFSET(A$1,,,SUMPRODUCT(MAX(ROW(E$1:E3508)*(E2=E$1:E3508))))))</f>
        <v> </v>
      </c>
      <c r="K3509" s="25" t="str">
        <f>IF(OR(E3509="",E3509="!!!",F3509="NEW"),"",INDEX(J$1:J3508,SUMPRODUCT(MAX(ROW(E$1:E3508)*(E3509=E$1:E3508)))))</f>
        <v> </v>
      </c>
      <c r="L3509" s="26"/>
    </row>
    <row r="3510" spans="1:12">
      <c r="A3510" s="20" t="s">
        <v>1651</v>
      </c>
      <c r="E3510" s="21">
        <f>IF(D3510="?OLD","!!!","")</f>
        <v/>
      </c>
      <c r="F3510" s="22" t="str">
        <f>IF(OR(E3510="",E3510="!!!"),"",IF(NOT(ISNA(VLOOKUP(E3510,E$1:E3509,1,FALSE()))),"OLD",IF(AND(E3510&lt;&gt;"",E3510&lt;&gt;"!!!"),"NEW","")))</f>
        <v> </v>
      </c>
      <c r="G3510" s="23" t="str">
        <f>IF(OR(E3510="",E3510="!!!"),"",IF(OR(J3510=0,AND(J3510=1,K3510=1),AND(J3510=1,I3510="SBJ"),AND(J3510=1,I3510=0)),"?IN_FOCUS",IF(J3510&lt;=2,"?ACTIVATED",IF(J3510&lt;&gt;"","?FAMILIAR",IF(F3510="NEW",IF(ISNA(VLOOKUP(E3510,#REF!,1,FALSE())),"?TYPE_IDENTIFIABLE","?REFERENTIAL"),"_")))))</f>
        <v> </v>
      </c>
      <c r="H3510" s="24" t="str">
        <f>IF(J3510&lt;&gt;1,"",IF(I3510="SBJ","CB","?"))</f>
        <v> </v>
      </c>
      <c r="I3510" s="25" t="str">
        <f>IF(OR(E3510="",E3510="!!!",F3510="NEW"),"",INDEX(B3509:B$2,-1+SUMPRODUCT(MAX(ROW(E3509:E$2)*(E3510=E3509:E$2)))))</f>
        <v> </v>
      </c>
      <c r="J3510" s="25" t="str">
        <f>IF(OR(E3510="",E3510="!!!",F3510="NEW"),"",COUNTBLANK(OFFSET(A$1,,,SUMPRODUCT(MAX(ROW(E$2:E3510)*(E3510=E$2:E3510)))))-COUNTBLANK(OFFSET(A$1,,,SUMPRODUCT(MAX(ROW(E$1:E3509)*(E2=E$1:E3509))))))</f>
        <v> </v>
      </c>
      <c r="K3510" s="25" t="str">
        <f>IF(OR(E3510="",E3510="!!!",F3510="NEW"),"",INDEX(J$1:J3509,SUMPRODUCT(MAX(ROW(E$1:E3509)*(E3510=E$1:E3509)))))</f>
        <v> </v>
      </c>
      <c r="L3510" s="26"/>
    </row>
    <row r="3511" spans="1:12">
      <c r="A3511" s="20" t="s">
        <v>625</v>
      </c>
      <c r="E3511" s="21">
        <f>IF(D3511="?OLD","!!!","")</f>
        <v/>
      </c>
      <c r="F3511" s="22" t="str">
        <f>IF(OR(E3511="",E3511="!!!"),"",IF(NOT(ISNA(VLOOKUP(E3511,E$1:E3510,1,FALSE()))),"OLD",IF(AND(E3511&lt;&gt;"",E3511&lt;&gt;"!!!"),"NEW","")))</f>
        <v> </v>
      </c>
      <c r="G3511" s="23" t="str">
        <f>IF(OR(E3511="",E3511="!!!"),"",IF(OR(J3511=0,AND(J3511=1,K3511=1),AND(J3511=1,I3511="SBJ"),AND(J3511=1,I3511=0)),"?IN_FOCUS",IF(J3511&lt;=2,"?ACTIVATED",IF(J3511&lt;&gt;"","?FAMILIAR",IF(F3511="NEW",IF(ISNA(VLOOKUP(E3511,#REF!,1,FALSE())),"?TYPE_IDENTIFIABLE","?REFERENTIAL"),"_")))))</f>
        <v> </v>
      </c>
      <c r="H3511" s="24" t="str">
        <f>IF(J3511&lt;&gt;1,"",IF(I3511="SBJ","CB","?"))</f>
        <v> </v>
      </c>
      <c r="I3511" s="25" t="str">
        <f>IF(OR(E3511="",E3511="!!!",F3511="NEW"),"",INDEX(B3510:B$2,-1+SUMPRODUCT(MAX(ROW(E3510:E$2)*(E3511=E3510:E$2)))))</f>
        <v> </v>
      </c>
      <c r="J3511" s="25" t="str">
        <f>IF(OR(E3511="",E3511="!!!",F3511="NEW"),"",COUNTBLANK(OFFSET(A$1,,,SUMPRODUCT(MAX(ROW(E$2:E3511)*(E3511=E$2:E3511)))))-COUNTBLANK(OFFSET(A$1,,,SUMPRODUCT(MAX(ROW(E$1:E3510)*(E2=E$1:E3510))))))</f>
        <v> </v>
      </c>
      <c r="K3511" s="25" t="str">
        <f>IF(OR(E3511="",E3511="!!!",F3511="NEW"),"",INDEX(J$1:J3510,SUMPRODUCT(MAX(ROW(E$1:E3510)*(E3511=E$1:E3510)))))</f>
        <v> </v>
      </c>
      <c r="L3511" s="26"/>
    </row>
    <row r="3512" spans="1:12">
      <c r="A3512" s="20" t="s">
        <v>528</v>
      </c>
      <c r="B3512" s="27" t="s">
        <v>680</v>
      </c>
      <c r="E3512" s="21">
        <f>IF(D3512="?OLD","!!!","")</f>
        <v/>
      </c>
      <c r="F3512" s="22" t="str">
        <f>IF(OR(E3512="",E3512="!!!"),"",IF(NOT(ISNA(VLOOKUP(E3512,E$1:E3511,1,FALSE()))),"OLD",IF(AND(E3512&lt;&gt;"",E3512&lt;&gt;"!!!"),"NEW","")))</f>
        <v> </v>
      </c>
      <c r="G3512" s="23" t="str">
        <f>IF(OR(E3512="",E3512="!!!"),"",IF(OR(J3512=0,AND(J3512=1,K3512=1),AND(J3512=1,I3512="SBJ"),AND(J3512=1,I3512=0)),"?IN_FOCUS",IF(J3512&lt;=2,"?ACTIVATED",IF(J3512&lt;&gt;"","?FAMILIAR",IF(F3512="NEW",IF(ISNA(VLOOKUP(E3512,#REF!,1,FALSE())),"?TYPE_IDENTIFIABLE","?REFERENTIAL"),"_")))))</f>
        <v> </v>
      </c>
      <c r="H3512" s="24" t="str">
        <f>IF(J3512&lt;&gt;1,"",IF(I3512="SBJ","CB","?"))</f>
        <v> </v>
      </c>
      <c r="I3512" s="25" t="str">
        <f>IF(OR(E3512="",E3512="!!!",F3512="NEW"),"",INDEX(B3511:B$2,-1+SUMPRODUCT(MAX(ROW(E3511:E$2)*(E3512=E3511:E$2)))))</f>
        <v> </v>
      </c>
      <c r="J3512" s="25" t="str">
        <f>IF(OR(E3512="",E3512="!!!",F3512="NEW"),"",COUNTBLANK(OFFSET(A$1,,,SUMPRODUCT(MAX(ROW(E$2:E3512)*(E3512=E$2:E3512)))))-COUNTBLANK(OFFSET(A$1,,,SUMPRODUCT(MAX(ROW(E$1:E3511)*(E2=E$1:E3511))))))</f>
        <v> </v>
      </c>
      <c r="K3512" s="25" t="str">
        <f>IF(OR(E3512="",E3512="!!!",F3512="NEW"),"",INDEX(J$1:J3511,SUMPRODUCT(MAX(ROW(E$1:E3511)*(E3512=E$1:E3511)))))</f>
        <v> </v>
      </c>
      <c r="L3512" s="26"/>
    </row>
    <row r="3513" spans="1:12">
      <c r="A3513" s="20" t="s">
        <v>682</v>
      </c>
      <c r="B3513" s="27" t="s">
        <v>743</v>
      </c>
      <c r="C3513" s="27" t="s">
        <v>523</v>
      </c>
      <c r="D3513" s="27" t="s">
        <v>524</v>
      </c>
      <c r="E3513" s="21">
        <f>IF(D3513="?OLD","!!!","")</f>
        <v/>
      </c>
      <c r="F3513" s="22" t="str">
        <f>IF(OR(E3513="",E3513="!!!"),"",IF(NOT(ISNA(VLOOKUP(E3513,E$1:E3512,1,FALSE()))),"OLD",IF(AND(E3513&lt;&gt;"",E3513&lt;&gt;"!!!"),"NEW","")))</f>
        <v> </v>
      </c>
      <c r="G3513" s="23" t="str">
        <f>IF(OR(E3513="",E3513="!!!"),"",IF(OR(J3513=0,AND(J3513=1,K3513=1),AND(J3513=1,I3513="SBJ"),AND(J3513=1,I3513=0)),"?IN_FOCUS",IF(J3513&lt;=2,"?ACTIVATED",IF(J3513&lt;&gt;"","?FAMILIAR",IF(F3513="NEW",IF(ISNA(VLOOKUP(E3513,#REF!,1,FALSE())),"?TYPE_IDENTIFIABLE","?REFERENTIAL"),"_")))))</f>
        <v> </v>
      </c>
      <c r="H3513" s="24" t="str">
        <f>IF(J3513&lt;&gt;1,"",IF(I3513="SBJ","CB","?"))</f>
        <v> </v>
      </c>
      <c r="I3513" s="25" t="str">
        <f>IF(OR(E3513="",E3513="!!!",F3513="NEW"),"",INDEX(B3512:B$2,-1+SUMPRODUCT(MAX(ROW(E3512:E$2)*(E3513=E3512:E$2)))))</f>
        <v> </v>
      </c>
      <c r="J3513" s="25" t="str">
        <f>IF(OR(E3513="",E3513="!!!",F3513="NEW"),"",COUNTBLANK(OFFSET(A$1,,,SUMPRODUCT(MAX(ROW(E$2:E3513)*(E3513=E$2:E3513)))))-COUNTBLANK(OFFSET(A$1,,,SUMPRODUCT(MAX(ROW(E$1:E3512)*(E2=E$1:E3512))))))</f>
        <v> </v>
      </c>
      <c r="K3513" s="25" t="str">
        <f>IF(OR(E3513="",E3513="!!!",F3513="NEW"),"",INDEX(J$1:J3512,SUMPRODUCT(MAX(ROW(E$1:E3512)*(E3513=E$1:E3512)))))</f>
        <v> </v>
      </c>
      <c r="L3513" s="26"/>
    </row>
    <row r="3514" spans="1:12">
      <c r="A3514" s="20" t="s">
        <v>1652</v>
      </c>
      <c r="E3514" s="21">
        <f>IF(D3514="?OLD","!!!","")</f>
        <v/>
      </c>
      <c r="F3514" s="22" t="str">
        <f>IF(OR(E3514="",E3514="!!!"),"",IF(NOT(ISNA(VLOOKUP(E3514,E$1:E3513,1,FALSE()))),"OLD",IF(AND(E3514&lt;&gt;"",E3514&lt;&gt;"!!!"),"NEW","")))</f>
        <v> </v>
      </c>
      <c r="G3514" s="23" t="str">
        <f>IF(OR(E3514="",E3514="!!!"),"",IF(OR(J3514=0,AND(J3514=1,K3514=1),AND(J3514=1,I3514="SBJ"),AND(J3514=1,I3514=0)),"?IN_FOCUS",IF(J3514&lt;=2,"?ACTIVATED",IF(J3514&lt;&gt;"","?FAMILIAR",IF(F3514="NEW",IF(ISNA(VLOOKUP(E3514,#REF!,1,FALSE())),"?TYPE_IDENTIFIABLE","?REFERENTIAL"),"_")))))</f>
        <v> </v>
      </c>
      <c r="H3514" s="24" t="str">
        <f>IF(J3514&lt;&gt;1,"",IF(I3514="SBJ","CB","?"))</f>
        <v> </v>
      </c>
      <c r="I3514" s="25" t="str">
        <f>IF(OR(E3514="",E3514="!!!",F3514="NEW"),"",INDEX(B3513:B$2,-1+SUMPRODUCT(MAX(ROW(E3513:E$2)*(E3514=E3513:E$2)))))</f>
        <v> </v>
      </c>
      <c r="J3514" s="25" t="str">
        <f>IF(OR(E3514="",E3514="!!!",F3514="NEW"),"",COUNTBLANK(OFFSET(A$1,,,SUMPRODUCT(MAX(ROW(E$2:E3514)*(E3514=E$2:E3514)))))-COUNTBLANK(OFFSET(A$1,,,SUMPRODUCT(MAX(ROW(E$1:E3513)*(E2=E$1:E3513))))))</f>
        <v> </v>
      </c>
      <c r="K3514" s="25" t="str">
        <f>IF(OR(E3514="",E3514="!!!",F3514="NEW"),"",INDEX(J$1:J3513,SUMPRODUCT(MAX(ROW(E$1:E3513)*(E3514=E$1:E3513)))))</f>
        <v> </v>
      </c>
      <c r="L3514" s="26"/>
    </row>
    <row r="3515" spans="1:12">
      <c r="A3515" s="20" t="s">
        <v>549</v>
      </c>
      <c r="E3515" s="21">
        <f>IF(D3515="?OLD","!!!","")</f>
        <v/>
      </c>
      <c r="F3515" s="22" t="str">
        <f>IF(OR(E3515="",E3515="!!!"),"",IF(NOT(ISNA(VLOOKUP(E3515,E$1:E3514,1,FALSE()))),"OLD",IF(AND(E3515&lt;&gt;"",E3515&lt;&gt;"!!!"),"NEW","")))</f>
        <v> </v>
      </c>
      <c r="G3515" s="23" t="str">
        <f>IF(OR(E3515="",E3515="!!!"),"",IF(OR(J3515=0,AND(J3515=1,K3515=1),AND(J3515=1,I3515="SBJ"),AND(J3515=1,I3515=0)),"?IN_FOCUS",IF(J3515&lt;=2,"?ACTIVATED",IF(J3515&lt;&gt;"","?FAMILIAR",IF(F3515="NEW",IF(ISNA(VLOOKUP(E3515,#REF!,1,FALSE())),"?TYPE_IDENTIFIABLE","?REFERENTIAL"),"_")))))</f>
        <v> </v>
      </c>
      <c r="H3515" s="24" t="str">
        <f>IF(J3515&lt;&gt;1,"",IF(I3515="SBJ","CB","?"))</f>
        <v> </v>
      </c>
      <c r="I3515" s="25" t="str">
        <f>IF(OR(E3515="",E3515="!!!",F3515="NEW"),"",INDEX(B3514:B$2,-1+SUMPRODUCT(MAX(ROW(E3514:E$2)*(E3515=E3514:E$2)))))</f>
        <v> </v>
      </c>
      <c r="J3515" s="25" t="str">
        <f>IF(OR(E3515="",E3515="!!!",F3515="NEW"),"",COUNTBLANK(OFFSET(A$1,,,SUMPRODUCT(MAX(ROW(E$2:E3515)*(E3515=E$2:E3515)))))-COUNTBLANK(OFFSET(A$1,,,SUMPRODUCT(MAX(ROW(E$1:E3514)*(E2=E$1:E3514))))))</f>
        <v> </v>
      </c>
      <c r="K3515" s="25" t="str">
        <f>IF(OR(E3515="",E3515="!!!",F3515="NEW"),"",INDEX(J$1:J3514,SUMPRODUCT(MAX(ROW(E$1:E3514)*(E3515=E$1:E3514)))))</f>
        <v> </v>
      </c>
      <c r="L3515" s="26"/>
    </row>
    <row r="3516" spans="1:12">
      <c r="A3516" s="20"/>
    </row>
    <row r="3517" spans="1:12">
      <c r="A3517" s="20" t="s">
        <v>1653</v>
      </c>
    </row>
    <row r="3518" spans="1:12">
      <c r="A3518" s="20" t="s">
        <v>632</v>
      </c>
      <c r="B3518" s="27" t="s">
        <v>680</v>
      </c>
      <c r="C3518" s="27" t="s">
        <v>523</v>
      </c>
      <c r="D3518" s="27" t="s">
        <v>524</v>
      </c>
      <c r="E3518" s="21">
        <f>IF(D3518="?OLD","!!!","")</f>
        <v/>
      </c>
      <c r="F3518" s="22" t="str">
        <f>IF(OR(E3518="",E3518="!!!"),"",IF(NOT(ISNA(VLOOKUP(E3518,E$1:E3517,1,FALSE()))),"OLD",IF(AND(E3518&lt;&gt;"",E3518&lt;&gt;"!!!"),"NEW","")))</f>
        <v> </v>
      </c>
      <c r="G3518" s="23" t="str">
        <f>IF(OR(E3518="",E3518="!!!"),"",IF(OR(J3518=0,AND(J3518=1,K3518=1),AND(J3518=1,I3518="SBJ"),AND(J3518=1,I3518=0)),"?IN_FOCUS",IF(J3518&lt;=2,"?ACTIVATED",IF(J3518&lt;&gt;"","?FAMILIAR",IF(F3518="NEW",IF(ISNA(VLOOKUP(E3518,#REF!,1,FALSE())),"?TYPE_IDENTIFIABLE","?REFERENTIAL"),"_")))))</f>
        <v> </v>
      </c>
      <c r="H3518" s="24" t="str">
        <f>IF(J3518&lt;&gt;1,"",IF(I3518="SBJ","CB","?"))</f>
        <v> </v>
      </c>
      <c r="I3518" s="25" t="str">
        <f>IF(OR(E3518="",E3518="!!!",F3518="NEW"),"",INDEX(B3517:B$2,-1+SUMPRODUCT(MAX(ROW(E3517:E$2)*(E3518=E3517:E$2)))))</f>
        <v> </v>
      </c>
      <c r="J3518" s="25" t="str">
        <f>IF(OR(E3518="",E3518="!!!",F3518="NEW"),"",COUNTBLANK(OFFSET(A$1,,,SUMPRODUCT(MAX(ROW(E$2:E3518)*(E3518=E$2:E3518)))))-COUNTBLANK(OFFSET(A$1,,,SUMPRODUCT(MAX(ROW(E$1:E3517)*(E2=E$1:E3517))))))</f>
        <v> </v>
      </c>
      <c r="K3518" s="25" t="str">
        <f>IF(OR(E3518="",E3518="!!!",F3518="NEW"),"",INDEX(J$1:J3517,SUMPRODUCT(MAX(ROW(E$1:E3517)*(E3518=E$1:E3517)))))</f>
        <v> </v>
      </c>
      <c r="L3518" s="26"/>
    </row>
    <row r="3519" spans="1:12">
      <c r="A3519" s="20" t="s">
        <v>1072</v>
      </c>
      <c r="E3519" s="21">
        <f>IF(D3519="?OLD","!!!","")</f>
        <v/>
      </c>
      <c r="F3519" s="22" t="str">
        <f>IF(OR(E3519="",E3519="!!!"),"",IF(NOT(ISNA(VLOOKUP(E3519,E$1:E3518,1,FALSE()))),"OLD",IF(AND(E3519&lt;&gt;"",E3519&lt;&gt;"!!!"),"NEW","")))</f>
        <v> </v>
      </c>
      <c r="G3519" s="23" t="str">
        <f>IF(OR(E3519="",E3519="!!!"),"",IF(OR(J3519=0,AND(J3519=1,K3519=1),AND(J3519=1,I3519="SBJ"),AND(J3519=1,I3519=0)),"?IN_FOCUS",IF(J3519&lt;=2,"?ACTIVATED",IF(J3519&lt;&gt;"","?FAMILIAR",IF(F3519="NEW",IF(ISNA(VLOOKUP(E3519,#REF!,1,FALSE())),"?TYPE_IDENTIFIABLE","?REFERENTIAL"),"_")))))</f>
        <v> </v>
      </c>
      <c r="H3519" s="24" t="str">
        <f>IF(J3519&lt;&gt;1,"",IF(I3519="SBJ","CB","?"))</f>
        <v> </v>
      </c>
      <c r="I3519" s="25" t="str">
        <f>IF(OR(E3519="",E3519="!!!",F3519="NEW"),"",INDEX(B3518:B$2,-1+SUMPRODUCT(MAX(ROW(E3518:E$2)*(E3519=E3518:E$2)))))</f>
        <v> </v>
      </c>
      <c r="J3519" s="25" t="str">
        <f>IF(OR(E3519="",E3519="!!!",F3519="NEW"),"",COUNTBLANK(OFFSET(A$1,,,SUMPRODUCT(MAX(ROW(E$2:E3519)*(E3519=E$2:E3519)))))-COUNTBLANK(OFFSET(A$1,,,SUMPRODUCT(MAX(ROW(E$1:E3518)*(E2=E$1:E3518))))))</f>
        <v> </v>
      </c>
      <c r="K3519" s="25" t="str">
        <f>IF(OR(E3519="",E3519="!!!",F3519="NEW"),"",INDEX(J$1:J3518,SUMPRODUCT(MAX(ROW(E$1:E3518)*(E3519=E$1:E3518)))))</f>
        <v> </v>
      </c>
      <c r="L3519" s="26"/>
    </row>
    <row r="3520" spans="1:12">
      <c r="A3520" s="20" t="s">
        <v>528</v>
      </c>
      <c r="E3520" s="21">
        <f>IF(D3520="?OLD","!!!","")</f>
        <v/>
      </c>
      <c r="F3520" s="22" t="str">
        <f>IF(OR(E3520="",E3520="!!!"),"",IF(NOT(ISNA(VLOOKUP(E3520,E$1:E3519,1,FALSE()))),"OLD",IF(AND(E3520&lt;&gt;"",E3520&lt;&gt;"!!!"),"NEW","")))</f>
        <v> </v>
      </c>
      <c r="G3520" s="23" t="str">
        <f>IF(OR(E3520="",E3520="!!!"),"",IF(OR(J3520=0,AND(J3520=1,K3520=1),AND(J3520=1,I3520="SBJ"),AND(J3520=1,I3520=0)),"?IN_FOCUS",IF(J3520&lt;=2,"?ACTIVATED",IF(J3520&lt;&gt;"","?FAMILIAR",IF(F3520="NEW",IF(ISNA(VLOOKUP(E3520,#REF!,1,FALSE())),"?TYPE_IDENTIFIABLE","?REFERENTIAL"),"_")))))</f>
        <v> </v>
      </c>
      <c r="H3520" s="24" t="str">
        <f>IF(J3520&lt;&gt;1,"",IF(I3520="SBJ","CB","?"))</f>
        <v> </v>
      </c>
      <c r="I3520" s="25" t="str">
        <f>IF(OR(E3520="",E3520="!!!",F3520="NEW"),"",INDEX(B3519:B$2,-1+SUMPRODUCT(MAX(ROW(E3519:E$2)*(E3520=E3519:E$2)))))</f>
        <v> </v>
      </c>
      <c r="J3520" s="25" t="str">
        <f>IF(OR(E3520="",E3520="!!!",F3520="NEW"),"",COUNTBLANK(OFFSET(A$1,,,SUMPRODUCT(MAX(ROW(E$2:E3520)*(E3520=E$2:E3520)))))-COUNTBLANK(OFFSET(A$1,,,SUMPRODUCT(MAX(ROW(E$1:E3519)*(E2=E$1:E3519))))))</f>
        <v> </v>
      </c>
      <c r="K3520" s="25" t="str">
        <f>IF(OR(E3520="",E3520="!!!",F3520="NEW"),"",INDEX(J$1:J3519,SUMPRODUCT(MAX(ROW(E$1:E3519)*(E3520=E$1:E3519)))))</f>
        <v> </v>
      </c>
      <c r="L3520" s="26"/>
    </row>
    <row r="3521" spans="1:12">
      <c r="A3521" s="20" t="s">
        <v>542</v>
      </c>
      <c r="E3521" s="21">
        <f>IF(D3521="?OLD","!!!","")</f>
        <v/>
      </c>
      <c r="F3521" s="22" t="str">
        <f>IF(OR(E3521="",E3521="!!!"),"",IF(NOT(ISNA(VLOOKUP(E3521,E$1:E3520,1,FALSE()))),"OLD",IF(AND(E3521&lt;&gt;"",E3521&lt;&gt;"!!!"),"NEW","")))</f>
        <v> </v>
      </c>
      <c r="G3521" s="23" t="str">
        <f>IF(OR(E3521="",E3521="!!!"),"",IF(OR(J3521=0,AND(J3521=1,K3521=1),AND(J3521=1,I3521="SBJ"),AND(J3521=1,I3521=0)),"?IN_FOCUS",IF(J3521&lt;=2,"?ACTIVATED",IF(J3521&lt;&gt;"","?FAMILIAR",IF(F3521="NEW",IF(ISNA(VLOOKUP(E3521,#REF!,1,FALSE())),"?TYPE_IDENTIFIABLE","?REFERENTIAL"),"_")))))</f>
        <v> </v>
      </c>
      <c r="H3521" s="24" t="str">
        <f>IF(J3521&lt;&gt;1,"",IF(I3521="SBJ","CB","?"))</f>
        <v> </v>
      </c>
      <c r="I3521" s="25" t="str">
        <f>IF(OR(E3521="",E3521="!!!",F3521="NEW"),"",INDEX(B3520:B$2,-1+SUMPRODUCT(MAX(ROW(E3520:E$2)*(E3521=E3520:E$2)))))</f>
        <v> </v>
      </c>
      <c r="J3521" s="25" t="str">
        <f>IF(OR(E3521="",E3521="!!!",F3521="NEW"),"",COUNTBLANK(OFFSET(A$1,,,SUMPRODUCT(MAX(ROW(E$2:E3521)*(E3521=E$2:E3521)))))-COUNTBLANK(OFFSET(A$1,,,SUMPRODUCT(MAX(ROW(E$1:E3520)*(E2=E$1:E3520))))))</f>
        <v> </v>
      </c>
      <c r="K3521" s="25" t="str">
        <f>IF(OR(E3521="",E3521="!!!",F3521="NEW"),"",INDEX(J$1:J3520,SUMPRODUCT(MAX(ROW(E$1:E3520)*(E3521=E$1:E3520)))))</f>
        <v> </v>
      </c>
      <c r="L3521" s="26"/>
    </row>
    <row r="3522" spans="1:12">
      <c r="A3522" s="20" t="s">
        <v>1165</v>
      </c>
      <c r="E3522" s="21">
        <f>IF(D3522="?OLD","!!!","")</f>
        <v/>
      </c>
      <c r="F3522" s="22" t="str">
        <f>IF(OR(E3522="",E3522="!!!"),"",IF(NOT(ISNA(VLOOKUP(E3522,E$1:E3521,1,FALSE()))),"OLD",IF(AND(E3522&lt;&gt;"",E3522&lt;&gt;"!!!"),"NEW","")))</f>
        <v> </v>
      </c>
      <c r="G3522" s="23" t="str">
        <f>IF(OR(E3522="",E3522="!!!"),"",IF(OR(J3522=0,AND(J3522=1,K3522=1),AND(J3522=1,I3522="SBJ"),AND(J3522=1,I3522=0)),"?IN_FOCUS",IF(J3522&lt;=2,"?ACTIVATED",IF(J3522&lt;&gt;"","?FAMILIAR",IF(F3522="NEW",IF(ISNA(VLOOKUP(E3522,#REF!,1,FALSE())),"?TYPE_IDENTIFIABLE","?REFERENTIAL"),"_")))))</f>
        <v> </v>
      </c>
      <c r="H3522" s="24" t="str">
        <f>IF(J3522&lt;&gt;1,"",IF(I3522="SBJ","CB","?"))</f>
        <v> </v>
      </c>
      <c r="I3522" s="25" t="str">
        <f>IF(OR(E3522="",E3522="!!!",F3522="NEW"),"",INDEX(B3521:B$2,-1+SUMPRODUCT(MAX(ROW(E3521:E$2)*(E3522=E3521:E$2)))))</f>
        <v> </v>
      </c>
      <c r="J3522" s="25" t="str">
        <f>IF(OR(E3522="",E3522="!!!",F3522="NEW"),"",COUNTBLANK(OFFSET(A$1,,,SUMPRODUCT(MAX(ROW(E$2:E3522)*(E3522=E$2:E3522)))))-COUNTBLANK(OFFSET(A$1,,,SUMPRODUCT(MAX(ROW(E$1:E3521)*(E2=E$1:E3521))))))</f>
        <v> </v>
      </c>
      <c r="K3522" s="25" t="str">
        <f>IF(OR(E3522="",E3522="!!!",F3522="NEW"),"",INDEX(J$1:J3521,SUMPRODUCT(MAX(ROW(E$1:E3521)*(E3522=E$1:E3521)))))</f>
        <v> </v>
      </c>
      <c r="L3522" s="26"/>
    </row>
    <row r="3523" spans="1:12">
      <c r="A3523" s="20" t="s">
        <v>1096</v>
      </c>
      <c r="B3523" s="27" t="s">
        <v>667</v>
      </c>
      <c r="C3523" s="27" t="s">
        <v>545</v>
      </c>
      <c r="D3523" s="27" t="s">
        <v>524</v>
      </c>
      <c r="E3523" s="21">
        <f>IF(D3523="?OLD","!!!","")</f>
        <v/>
      </c>
      <c r="F3523" s="22" t="str">
        <f>IF(OR(E3523="",E3523="!!!"),"",IF(NOT(ISNA(VLOOKUP(E3523,E$1:E3522,1,FALSE()))),"OLD",IF(AND(E3523&lt;&gt;"",E3523&lt;&gt;"!!!"),"NEW","")))</f>
        <v> </v>
      </c>
      <c r="G3523" s="23" t="str">
        <f>IF(OR(E3523="",E3523="!!!"),"",IF(OR(J3523=0,AND(J3523=1,K3523=1),AND(J3523=1,I3523="SBJ"),AND(J3523=1,I3523=0)),"?IN_FOCUS",IF(J3523&lt;=2,"?ACTIVATED",IF(J3523&lt;&gt;"","?FAMILIAR",IF(F3523="NEW",IF(ISNA(VLOOKUP(E3523,#REF!,1,FALSE())),"?TYPE_IDENTIFIABLE","?REFERENTIAL"),"_")))))</f>
        <v> </v>
      </c>
      <c r="H3523" s="24" t="str">
        <f>IF(J3523&lt;&gt;1,"",IF(I3523="SBJ","CB","?"))</f>
        <v> </v>
      </c>
      <c r="I3523" s="25" t="str">
        <f>IF(OR(E3523="",E3523="!!!",F3523="NEW"),"",INDEX(B3522:B$2,-1+SUMPRODUCT(MAX(ROW(E3522:E$2)*(E3523=E3522:E$2)))))</f>
        <v> </v>
      </c>
      <c r="J3523" s="25" t="str">
        <f>IF(OR(E3523="",E3523="!!!",F3523="NEW"),"",COUNTBLANK(OFFSET(A$1,,,SUMPRODUCT(MAX(ROW(E$2:E3523)*(E3523=E$2:E3523)))))-COUNTBLANK(OFFSET(A$1,,,SUMPRODUCT(MAX(ROW(E$1:E3522)*(E2=E$1:E3522))))))</f>
        <v> </v>
      </c>
      <c r="K3523" s="25" t="str">
        <f>IF(OR(E3523="",E3523="!!!",F3523="NEW"),"",INDEX(J$1:J3522,SUMPRODUCT(MAX(ROW(E$1:E3522)*(E3523=E$1:E3522)))))</f>
        <v> </v>
      </c>
      <c r="L3523" s="26"/>
    </row>
    <row r="3524" spans="1:12">
      <c r="A3524" s="20" t="s">
        <v>751</v>
      </c>
      <c r="E3524" s="21">
        <f>IF(D3524="?OLD","!!!","")</f>
        <v/>
      </c>
      <c r="F3524" s="22" t="str">
        <f>IF(OR(E3524="",E3524="!!!"),"",IF(NOT(ISNA(VLOOKUP(E3524,E$1:E3523,1,FALSE()))),"OLD",IF(AND(E3524&lt;&gt;"",E3524&lt;&gt;"!!!"),"NEW","")))</f>
        <v> </v>
      </c>
      <c r="G3524" s="23" t="str">
        <f>IF(OR(E3524="",E3524="!!!"),"",IF(OR(J3524=0,AND(J3524=1,K3524=1),AND(J3524=1,I3524="SBJ"),AND(J3524=1,I3524=0)),"?IN_FOCUS",IF(J3524&lt;=2,"?ACTIVATED",IF(J3524&lt;&gt;"","?FAMILIAR",IF(F3524="NEW",IF(ISNA(VLOOKUP(E3524,#REF!,1,FALSE())),"?TYPE_IDENTIFIABLE","?REFERENTIAL"),"_")))))</f>
        <v> </v>
      </c>
      <c r="H3524" s="24" t="str">
        <f>IF(J3524&lt;&gt;1,"",IF(I3524="SBJ","CB","?"))</f>
        <v> </v>
      </c>
      <c r="I3524" s="25" t="str">
        <f>IF(OR(E3524="",E3524="!!!",F3524="NEW"),"",INDEX(B3523:B$2,-1+SUMPRODUCT(MAX(ROW(E3523:E$2)*(E3524=E3523:E$2)))))</f>
        <v> </v>
      </c>
      <c r="J3524" s="25" t="str">
        <f>IF(OR(E3524="",E3524="!!!",F3524="NEW"),"",COUNTBLANK(OFFSET(A$1,,,SUMPRODUCT(MAX(ROW(E$2:E3524)*(E3524=E$2:E3524)))))-COUNTBLANK(OFFSET(A$1,,,SUMPRODUCT(MAX(ROW(E$1:E3523)*(E2=E$1:E3523))))))</f>
        <v> </v>
      </c>
      <c r="K3524" s="25" t="str">
        <f>IF(OR(E3524="",E3524="!!!",F3524="NEW"),"",INDEX(J$1:J3523,SUMPRODUCT(MAX(ROW(E$1:E3523)*(E3524=E$1:E3523)))))</f>
        <v> </v>
      </c>
      <c r="L3524" s="26"/>
    </row>
    <row r="3525" spans="1:12">
      <c r="A3525" s="20" t="s">
        <v>525</v>
      </c>
      <c r="E3525" s="21">
        <f>IF(D3525="?OLD","!!!","")</f>
        <v/>
      </c>
      <c r="F3525" s="22" t="str">
        <f>IF(OR(E3525="",E3525="!!!"),"",IF(NOT(ISNA(VLOOKUP(E3525,E$1:E3524,1,FALSE()))),"OLD",IF(AND(E3525&lt;&gt;"",E3525&lt;&gt;"!!!"),"NEW","")))</f>
        <v> </v>
      </c>
      <c r="G3525" s="23" t="str">
        <f>IF(OR(E3525="",E3525="!!!"),"",IF(OR(J3525=0,AND(J3525=1,K3525=1),AND(J3525=1,I3525="SBJ"),AND(J3525=1,I3525=0)),"?IN_FOCUS",IF(J3525&lt;=2,"?ACTIVATED",IF(J3525&lt;&gt;"","?FAMILIAR",IF(F3525="NEW",IF(ISNA(VLOOKUP(E3525,#REF!,1,FALSE())),"?TYPE_IDENTIFIABLE","?REFERENTIAL"),"_")))))</f>
        <v> </v>
      </c>
      <c r="H3525" s="24" t="str">
        <f>IF(J3525&lt;&gt;1,"",IF(I3525="SBJ","CB","?"))</f>
        <v> </v>
      </c>
      <c r="I3525" s="25" t="str">
        <f>IF(OR(E3525="",E3525="!!!",F3525="NEW"),"",INDEX(B3524:B$2,-1+SUMPRODUCT(MAX(ROW(E3524:E$2)*(E3525=E3524:E$2)))))</f>
        <v> </v>
      </c>
      <c r="J3525" s="25" t="str">
        <f>IF(OR(E3525="",E3525="!!!",F3525="NEW"),"",COUNTBLANK(OFFSET(A$1,,,SUMPRODUCT(MAX(ROW(E$2:E3525)*(E3525=E$2:E3525)))))-COUNTBLANK(OFFSET(A$1,,,SUMPRODUCT(MAX(ROW(E$1:E3524)*(E2=E$1:E3524))))))</f>
        <v> </v>
      </c>
      <c r="K3525" s="25" t="str">
        <f>IF(OR(E3525="",E3525="!!!",F3525="NEW"),"",INDEX(J$1:J3524,SUMPRODUCT(MAX(ROW(E$1:E3524)*(E3525=E$1:E3524)))))</f>
        <v> </v>
      </c>
      <c r="L3525" s="26"/>
    </row>
    <row r="3526" spans="1:12">
      <c r="A3526" s="20" t="s">
        <v>1654</v>
      </c>
      <c r="B3526" s="27" t="s">
        <v>592</v>
      </c>
      <c r="C3526" s="27" t="s">
        <v>527</v>
      </c>
      <c r="E3526" s="21">
        <f>IF(D3526="?OLD","!!!","")</f>
        <v/>
      </c>
      <c r="F3526" s="22" t="str">
        <f>IF(OR(E3526="",E3526="!!!"),"",IF(NOT(ISNA(VLOOKUP(E3526,E$1:E3525,1,FALSE()))),"OLD",IF(AND(E3526&lt;&gt;"",E3526&lt;&gt;"!!!"),"NEW","")))</f>
        <v> </v>
      </c>
      <c r="G3526" s="23" t="str">
        <f>IF(OR(E3526="",E3526="!!!"),"",IF(OR(J3526=0,AND(J3526=1,K3526=1),AND(J3526=1,I3526="SBJ"),AND(J3526=1,I3526=0)),"?IN_FOCUS",IF(J3526&lt;=2,"?ACTIVATED",IF(J3526&lt;&gt;"","?FAMILIAR",IF(F3526="NEW",IF(ISNA(VLOOKUP(E3526,#REF!,1,FALSE())),"?TYPE_IDENTIFIABLE","?REFERENTIAL"),"_")))))</f>
        <v> </v>
      </c>
      <c r="H3526" s="24" t="str">
        <f>IF(J3526&lt;&gt;1,"",IF(I3526="SBJ","CB","?"))</f>
        <v> </v>
      </c>
      <c r="I3526" s="25" t="str">
        <f>IF(OR(E3526="",E3526="!!!",F3526="NEW"),"",INDEX(B3525:B$2,-1+SUMPRODUCT(MAX(ROW(E3525:E$2)*(E3526=E3525:E$2)))))</f>
        <v> </v>
      </c>
      <c r="J3526" s="25" t="str">
        <f>IF(OR(E3526="",E3526="!!!",F3526="NEW"),"",COUNTBLANK(OFFSET(A$1,,,SUMPRODUCT(MAX(ROW(E$2:E3526)*(E3526=E$2:E3526)))))-COUNTBLANK(OFFSET(A$1,,,SUMPRODUCT(MAX(ROW(E$1:E3525)*(E2=E$1:E3525))))))</f>
        <v> </v>
      </c>
      <c r="K3526" s="25" t="str">
        <f>IF(OR(E3526="",E3526="!!!",F3526="NEW"),"",INDEX(J$1:J3525,SUMPRODUCT(MAX(ROW(E$1:E3525)*(E3526=E$1:E3525)))))</f>
        <v> </v>
      </c>
      <c r="L3526" s="26"/>
    </row>
    <row r="3527" spans="1:12">
      <c r="A3527" s="20" t="s">
        <v>528</v>
      </c>
      <c r="B3527" s="27" t="s">
        <v>633</v>
      </c>
      <c r="E3527" s="21">
        <f>IF(D3527="?OLD","!!!","")</f>
        <v/>
      </c>
      <c r="F3527" s="22" t="str">
        <f>IF(OR(E3527="",E3527="!!!"),"",IF(NOT(ISNA(VLOOKUP(E3527,E$1:E3526,1,FALSE()))),"OLD",IF(AND(E3527&lt;&gt;"",E3527&lt;&gt;"!!!"),"NEW","")))</f>
        <v> </v>
      </c>
      <c r="G3527" s="23" t="str">
        <f>IF(OR(E3527="",E3527="!!!"),"",IF(OR(J3527=0,AND(J3527=1,K3527=1),AND(J3527=1,I3527="SBJ"),AND(J3527=1,I3527=0)),"?IN_FOCUS",IF(J3527&lt;=2,"?ACTIVATED",IF(J3527&lt;&gt;"","?FAMILIAR",IF(F3527="NEW",IF(ISNA(VLOOKUP(E3527,#REF!,1,FALSE())),"?TYPE_IDENTIFIABLE","?REFERENTIAL"),"_")))))</f>
        <v> </v>
      </c>
      <c r="H3527" s="24" t="str">
        <f>IF(J3527&lt;&gt;1,"",IF(I3527="SBJ","CB","?"))</f>
        <v> </v>
      </c>
      <c r="I3527" s="25" t="str">
        <f>IF(OR(E3527="",E3527="!!!",F3527="NEW"),"",INDEX(B3526:B$2,-1+SUMPRODUCT(MAX(ROW(E3526:E$2)*(E3527=E3526:E$2)))))</f>
        <v> </v>
      </c>
      <c r="J3527" s="25" t="str">
        <f>IF(OR(E3527="",E3527="!!!",F3527="NEW"),"",COUNTBLANK(OFFSET(A$1,,,SUMPRODUCT(MAX(ROW(E$2:E3527)*(E3527=E$2:E3527)))))-COUNTBLANK(OFFSET(A$1,,,SUMPRODUCT(MAX(ROW(E$1:E3526)*(E2=E$1:E3526))))))</f>
        <v> </v>
      </c>
      <c r="K3527" s="25" t="str">
        <f>IF(OR(E3527="",E3527="!!!",F3527="NEW"),"",INDEX(J$1:J3526,SUMPRODUCT(MAX(ROW(E$1:E3526)*(E3527=E$1:E3526)))))</f>
        <v> </v>
      </c>
      <c r="L3527" s="26"/>
    </row>
    <row r="3528" spans="1:12">
      <c r="A3528" s="20" t="s">
        <v>833</v>
      </c>
      <c r="E3528" s="21">
        <f>IF(D3528="?OLD","!!!","")</f>
        <v/>
      </c>
      <c r="F3528" s="22" t="str">
        <f>IF(OR(E3528="",E3528="!!!"),"",IF(NOT(ISNA(VLOOKUP(E3528,E$1:E3527,1,FALSE()))),"OLD",IF(AND(E3528&lt;&gt;"",E3528&lt;&gt;"!!!"),"NEW","")))</f>
        <v> </v>
      </c>
      <c r="G3528" s="23" t="str">
        <f>IF(OR(E3528="",E3528="!!!"),"",IF(OR(J3528=0,AND(J3528=1,K3528=1),AND(J3528=1,I3528="SBJ"),AND(J3528=1,I3528=0)),"?IN_FOCUS",IF(J3528&lt;=2,"?ACTIVATED",IF(J3528&lt;&gt;"","?FAMILIAR",IF(F3528="NEW",IF(ISNA(VLOOKUP(E3528,#REF!,1,FALSE())),"?TYPE_IDENTIFIABLE","?REFERENTIAL"),"_")))))</f>
        <v> </v>
      </c>
      <c r="H3528" s="24" t="str">
        <f>IF(J3528&lt;&gt;1,"",IF(I3528="SBJ","CB","?"))</f>
        <v> </v>
      </c>
      <c r="I3528" s="25" t="str">
        <f>IF(OR(E3528="",E3528="!!!",F3528="NEW"),"",INDEX(B3527:B$2,-1+SUMPRODUCT(MAX(ROW(E3527:E$2)*(E3528=E3527:E$2)))))</f>
        <v> </v>
      </c>
      <c r="J3528" s="25" t="str">
        <f>IF(OR(E3528="",E3528="!!!",F3528="NEW"),"",COUNTBLANK(OFFSET(A$1,,,SUMPRODUCT(MAX(ROW(E$2:E3528)*(E3528=E$2:E3528)))))-COUNTBLANK(OFFSET(A$1,,,SUMPRODUCT(MAX(ROW(E$1:E3527)*(E2=E$1:E3527))))))</f>
        <v> </v>
      </c>
      <c r="K3528" s="25" t="str">
        <f>IF(OR(E3528="",E3528="!!!",F3528="NEW"),"",INDEX(J$1:J3527,SUMPRODUCT(MAX(ROW(E$1:E3527)*(E3528=E$1:E3527)))))</f>
        <v> </v>
      </c>
      <c r="L3528" s="26"/>
    </row>
    <row r="3529" spans="1:12">
      <c r="A3529" s="20" t="s">
        <v>1655</v>
      </c>
      <c r="E3529" s="21">
        <f>IF(D3529="?OLD","!!!","")</f>
        <v/>
      </c>
      <c r="F3529" s="22" t="str">
        <f>IF(OR(E3529="",E3529="!!!"),"",IF(NOT(ISNA(VLOOKUP(E3529,E$1:E3528,1,FALSE()))),"OLD",IF(AND(E3529&lt;&gt;"",E3529&lt;&gt;"!!!"),"NEW","")))</f>
        <v> </v>
      </c>
      <c r="G3529" s="23" t="str">
        <f>IF(OR(E3529="",E3529="!!!"),"",IF(OR(J3529=0,AND(J3529=1,K3529=1),AND(J3529=1,I3529="SBJ"),AND(J3529=1,I3529=0)),"?IN_FOCUS",IF(J3529&lt;=2,"?ACTIVATED",IF(J3529&lt;&gt;"","?FAMILIAR",IF(F3529="NEW",IF(ISNA(VLOOKUP(E3529,#REF!,1,FALSE())),"?TYPE_IDENTIFIABLE","?REFERENTIAL"),"_")))))</f>
        <v> </v>
      </c>
      <c r="H3529" s="24" t="str">
        <f>IF(J3529&lt;&gt;1,"",IF(I3529="SBJ","CB","?"))</f>
        <v> </v>
      </c>
      <c r="I3529" s="25" t="str">
        <f>IF(OR(E3529="",E3529="!!!",F3529="NEW"),"",INDEX(B3528:B$2,-1+SUMPRODUCT(MAX(ROW(E3528:E$2)*(E3529=E3528:E$2)))))</f>
        <v> </v>
      </c>
      <c r="J3529" s="25" t="str">
        <f>IF(OR(E3529="",E3529="!!!",F3529="NEW"),"",COUNTBLANK(OFFSET(A$1,,,SUMPRODUCT(MAX(ROW(E$2:E3529)*(E3529=E$2:E3529)))))-COUNTBLANK(OFFSET(A$1,,,SUMPRODUCT(MAX(ROW(E$1:E3528)*(E2=E$1:E3528))))))</f>
        <v> </v>
      </c>
      <c r="K3529" s="25" t="str">
        <f>IF(OR(E3529="",E3529="!!!",F3529="NEW"),"",INDEX(J$1:J3528,SUMPRODUCT(MAX(ROW(E$1:E3528)*(E3529=E$1:E3528)))))</f>
        <v> </v>
      </c>
      <c r="L3529" s="26"/>
    </row>
    <row r="3530" spans="1:12">
      <c r="A3530" s="20" t="s">
        <v>549</v>
      </c>
      <c r="E3530" s="21">
        <f>IF(D3530="?OLD","!!!","")</f>
        <v/>
      </c>
      <c r="F3530" s="22" t="str">
        <f>IF(OR(E3530="",E3530="!!!"),"",IF(NOT(ISNA(VLOOKUP(E3530,E$1:E3529,1,FALSE()))),"OLD",IF(AND(E3530&lt;&gt;"",E3530&lt;&gt;"!!!"),"NEW","")))</f>
        <v> </v>
      </c>
      <c r="G3530" s="23" t="str">
        <f>IF(OR(E3530="",E3530="!!!"),"",IF(OR(J3530=0,AND(J3530=1,K3530=1),AND(J3530=1,I3530="SBJ"),AND(J3530=1,I3530=0)),"?IN_FOCUS",IF(J3530&lt;=2,"?ACTIVATED",IF(J3530&lt;&gt;"","?FAMILIAR",IF(F3530="NEW",IF(ISNA(VLOOKUP(E3530,#REF!,1,FALSE())),"?TYPE_IDENTIFIABLE","?REFERENTIAL"),"_")))))</f>
        <v> </v>
      </c>
      <c r="H3530" s="24" t="str">
        <f>IF(J3530&lt;&gt;1,"",IF(I3530="SBJ","CB","?"))</f>
        <v> </v>
      </c>
      <c r="I3530" s="25" t="str">
        <f>IF(OR(E3530="",E3530="!!!",F3530="NEW"),"",INDEX(B3529:B$2,-1+SUMPRODUCT(MAX(ROW(E3529:E$2)*(E3530=E3529:E$2)))))</f>
        <v> </v>
      </c>
      <c r="J3530" s="25" t="str">
        <f>IF(OR(E3530="",E3530="!!!",F3530="NEW"),"",COUNTBLANK(OFFSET(A$1,,,SUMPRODUCT(MAX(ROW(E$2:E3530)*(E3530=E$2:E3530)))))-COUNTBLANK(OFFSET(A$1,,,SUMPRODUCT(MAX(ROW(E$1:E3529)*(E2=E$1:E3529))))))</f>
        <v> </v>
      </c>
      <c r="K3530" s="25" t="str">
        <f>IF(OR(E3530="",E3530="!!!",F3530="NEW"),"",INDEX(J$1:J3529,SUMPRODUCT(MAX(ROW(E$1:E3529)*(E3530=E$1:E3529)))))</f>
        <v> </v>
      </c>
      <c r="L3530" s="26"/>
    </row>
    <row r="3531" spans="1:12">
      <c r="A3531" s="20"/>
    </row>
    <row r="3532" spans="1:12">
      <c r="A3532" s="20" t="s">
        <v>1656</v>
      </c>
    </row>
    <row r="3533" spans="1:12">
      <c r="A3533" s="20" t="s">
        <v>1657</v>
      </c>
      <c r="E3533" s="21">
        <f>IF(D3533="?OLD","!!!","")</f>
        <v/>
      </c>
      <c r="F3533" s="22" t="str">
        <f>IF(OR(E3533="",E3533="!!!"),"",IF(NOT(ISNA(VLOOKUP(E3533,E$1:E3532,1,FALSE()))),"OLD",IF(AND(E3533&lt;&gt;"",E3533&lt;&gt;"!!!"),"NEW","")))</f>
        <v> </v>
      </c>
      <c r="G3533" s="23" t="str">
        <f>IF(OR(E3533="",E3533="!!!"),"",IF(OR(J3533=0,AND(J3533=1,K3533=1),AND(J3533=1,I3533="SBJ"),AND(J3533=1,I3533=0)),"?IN_FOCUS",IF(J3533&lt;=2,"?ACTIVATED",IF(J3533&lt;&gt;"","?FAMILIAR",IF(F3533="NEW",IF(ISNA(VLOOKUP(E3533,#REF!,1,FALSE())),"?TYPE_IDENTIFIABLE","?REFERENTIAL"),"_")))))</f>
        <v> </v>
      </c>
      <c r="H3533" s="24" t="str">
        <f>IF(J3533&lt;&gt;1,"",IF(I3533="SBJ","CB","?"))</f>
        <v> </v>
      </c>
      <c r="I3533" s="25" t="str">
        <f>IF(OR(E3533="",E3533="!!!",F3533="NEW"),"",INDEX(B3532:B$2,-1+SUMPRODUCT(MAX(ROW(E3532:E$2)*(E3533=E3532:E$2)))))</f>
        <v> </v>
      </c>
      <c r="J3533" s="25" t="str">
        <f>IF(OR(E3533="",E3533="!!!",F3533="NEW"),"",COUNTBLANK(OFFSET(A$1,,,SUMPRODUCT(MAX(ROW(E$2:E3533)*(E3533=E$2:E3533)))))-COUNTBLANK(OFFSET(A$1,,,SUMPRODUCT(MAX(ROW(E$1:E3532)*(E2=E$1:E3532))))))</f>
        <v> </v>
      </c>
      <c r="K3533" s="25" t="str">
        <f>IF(OR(E3533="",E3533="!!!",F3533="NEW"),"",INDEX(J$1:J3532,SUMPRODUCT(MAX(ROW(E$1:E3532)*(E3533=E$1:E3532)))))</f>
        <v> </v>
      </c>
      <c r="L3533" s="26"/>
    </row>
    <row r="3534" spans="1:12">
      <c r="A3534" s="20" t="s">
        <v>525</v>
      </c>
      <c r="E3534" s="21">
        <f>IF(D3534="?OLD","!!!","")</f>
        <v/>
      </c>
      <c r="F3534" s="22" t="str">
        <f>IF(OR(E3534="",E3534="!!!"),"",IF(NOT(ISNA(VLOOKUP(E3534,E$1:E3533,1,FALSE()))),"OLD",IF(AND(E3534&lt;&gt;"",E3534&lt;&gt;"!!!"),"NEW","")))</f>
        <v> </v>
      </c>
      <c r="G3534" s="23" t="str">
        <f>IF(OR(E3534="",E3534="!!!"),"",IF(OR(J3534=0,AND(J3534=1,K3534=1),AND(J3534=1,I3534="SBJ"),AND(J3534=1,I3534=0)),"?IN_FOCUS",IF(J3534&lt;=2,"?ACTIVATED",IF(J3534&lt;&gt;"","?FAMILIAR",IF(F3534="NEW",IF(ISNA(VLOOKUP(E3534,#REF!,1,FALSE())),"?TYPE_IDENTIFIABLE","?REFERENTIAL"),"_")))))</f>
        <v> </v>
      </c>
      <c r="H3534" s="24" t="str">
        <f>IF(J3534&lt;&gt;1,"",IF(I3534="SBJ","CB","?"))</f>
        <v> </v>
      </c>
      <c r="I3534" s="25" t="str">
        <f>IF(OR(E3534="",E3534="!!!",F3534="NEW"),"",INDEX(B3533:B$2,-1+SUMPRODUCT(MAX(ROW(E3533:E$2)*(E3534=E3533:E$2)))))</f>
        <v> </v>
      </c>
      <c r="J3534" s="25" t="str">
        <f>IF(OR(E3534="",E3534="!!!",F3534="NEW"),"",COUNTBLANK(OFFSET(A$1,,,SUMPRODUCT(MAX(ROW(E$2:E3534)*(E3534=E$2:E3534)))))-COUNTBLANK(OFFSET(A$1,,,SUMPRODUCT(MAX(ROW(E$1:E3533)*(E2=E$1:E3533))))))</f>
        <v> </v>
      </c>
      <c r="K3534" s="25" t="str">
        <f>IF(OR(E3534="",E3534="!!!",F3534="NEW"),"",INDEX(J$1:J3533,SUMPRODUCT(MAX(ROW(E$1:E3533)*(E3534=E$1:E3533)))))</f>
        <v> </v>
      </c>
      <c r="L3534" s="26"/>
    </row>
    <row r="3535" spans="1:12">
      <c r="A3535" s="20" t="s">
        <v>1654</v>
      </c>
      <c r="B3535" s="27" t="s">
        <v>592</v>
      </c>
      <c r="C3535" s="27" t="s">
        <v>527</v>
      </c>
      <c r="E3535" s="21">
        <f>IF(D3535="?OLD","!!!","")</f>
        <v/>
      </c>
      <c r="F3535" s="22" t="str">
        <f>IF(OR(E3535="",E3535="!!!"),"",IF(NOT(ISNA(VLOOKUP(E3535,E$1:E3534,1,FALSE()))),"OLD",IF(AND(E3535&lt;&gt;"",E3535&lt;&gt;"!!!"),"NEW","")))</f>
        <v> </v>
      </c>
      <c r="G3535" s="23" t="str">
        <f>IF(OR(E3535="",E3535="!!!"),"",IF(OR(J3535=0,AND(J3535=1,K3535=1),AND(J3535=1,I3535="SBJ"),AND(J3535=1,I3535=0)),"?IN_FOCUS",IF(J3535&lt;=2,"?ACTIVATED",IF(J3535&lt;&gt;"","?FAMILIAR",IF(F3535="NEW",IF(ISNA(VLOOKUP(E3535,#REF!,1,FALSE())),"?TYPE_IDENTIFIABLE","?REFERENTIAL"),"_")))))</f>
        <v> </v>
      </c>
      <c r="H3535" s="24" t="str">
        <f>IF(J3535&lt;&gt;1,"",IF(I3535="SBJ","CB","?"))</f>
        <v> </v>
      </c>
      <c r="I3535" s="25" t="str">
        <f>IF(OR(E3535="",E3535="!!!",F3535="NEW"),"",INDEX(B3534:B$2,-1+SUMPRODUCT(MAX(ROW(E3534:E$2)*(E3535=E3534:E$2)))))</f>
        <v> </v>
      </c>
      <c r="J3535" s="25" t="str">
        <f>IF(OR(E3535="",E3535="!!!",F3535="NEW"),"",COUNTBLANK(OFFSET(A$1,,,SUMPRODUCT(MAX(ROW(E$2:E3535)*(E3535=E$2:E3535)))))-COUNTBLANK(OFFSET(A$1,,,SUMPRODUCT(MAX(ROW(E$1:E3534)*(E2=E$1:E3534))))))</f>
        <v> </v>
      </c>
      <c r="K3535" s="25" t="str">
        <f>IF(OR(E3535="",E3535="!!!",F3535="NEW"),"",INDEX(J$1:J3534,SUMPRODUCT(MAX(ROW(E$1:E3534)*(E3535=E$1:E3534)))))</f>
        <v> </v>
      </c>
      <c r="L3535" s="26"/>
    </row>
    <row r="3536" spans="1:12">
      <c r="A3536" s="20" t="s">
        <v>1655</v>
      </c>
      <c r="E3536" s="21">
        <f>IF(D3536="?OLD","!!!","")</f>
        <v/>
      </c>
      <c r="F3536" s="22" t="str">
        <f>IF(OR(E3536="",E3536="!!!"),"",IF(NOT(ISNA(VLOOKUP(E3536,E$1:E3535,1,FALSE()))),"OLD",IF(AND(E3536&lt;&gt;"",E3536&lt;&gt;"!!!"),"NEW","")))</f>
        <v> </v>
      </c>
      <c r="G3536" s="23" t="str">
        <f>IF(OR(E3536="",E3536="!!!"),"",IF(OR(J3536=0,AND(J3536=1,K3536=1),AND(J3536=1,I3536="SBJ"),AND(J3536=1,I3536=0)),"?IN_FOCUS",IF(J3536&lt;=2,"?ACTIVATED",IF(J3536&lt;&gt;"","?FAMILIAR",IF(F3536="NEW",IF(ISNA(VLOOKUP(E3536,#REF!,1,FALSE())),"?TYPE_IDENTIFIABLE","?REFERENTIAL"),"_")))))</f>
        <v> </v>
      </c>
      <c r="H3536" s="24" t="str">
        <f>IF(J3536&lt;&gt;1,"",IF(I3536="SBJ","CB","?"))</f>
        <v> </v>
      </c>
      <c r="I3536" s="25" t="str">
        <f>IF(OR(E3536="",E3536="!!!",F3536="NEW"),"",INDEX(B3535:B$2,-1+SUMPRODUCT(MAX(ROW(E3535:E$2)*(E3536=E3535:E$2)))))</f>
        <v> </v>
      </c>
      <c r="J3536" s="25" t="str">
        <f>IF(OR(E3536="",E3536="!!!",F3536="NEW"),"",COUNTBLANK(OFFSET(A$1,,,SUMPRODUCT(MAX(ROW(E$2:E3536)*(E3536=E$2:E3536)))))-COUNTBLANK(OFFSET(A$1,,,SUMPRODUCT(MAX(ROW(E$1:E3535)*(E2=E$1:E3535))))))</f>
        <v> </v>
      </c>
      <c r="K3536" s="25" t="str">
        <f>IF(OR(E3536="",E3536="!!!",F3536="NEW"),"",INDEX(J$1:J3535,SUMPRODUCT(MAX(ROW(E$1:E3535)*(E3536=E$1:E3535)))))</f>
        <v> </v>
      </c>
      <c r="L3536" s="26"/>
    </row>
    <row r="3537" spans="1:12">
      <c r="A3537" s="20" t="s">
        <v>708</v>
      </c>
      <c r="E3537" s="21">
        <f>IF(D3537="?OLD","!!!","")</f>
        <v/>
      </c>
      <c r="F3537" s="22" t="str">
        <f>IF(OR(E3537="",E3537="!!!"),"",IF(NOT(ISNA(VLOOKUP(E3537,E$1:E3536,1,FALSE()))),"OLD",IF(AND(E3537&lt;&gt;"",E3537&lt;&gt;"!!!"),"NEW","")))</f>
        <v> </v>
      </c>
      <c r="G3537" s="23" t="str">
        <f>IF(OR(E3537="",E3537="!!!"),"",IF(OR(J3537=0,AND(J3537=1,K3537=1),AND(J3537=1,I3537="SBJ"),AND(J3537=1,I3537=0)),"?IN_FOCUS",IF(J3537&lt;=2,"?ACTIVATED",IF(J3537&lt;&gt;"","?FAMILIAR",IF(F3537="NEW",IF(ISNA(VLOOKUP(E3537,#REF!,1,FALSE())),"?TYPE_IDENTIFIABLE","?REFERENTIAL"),"_")))))</f>
        <v> </v>
      </c>
      <c r="H3537" s="24" t="str">
        <f>IF(J3537&lt;&gt;1,"",IF(I3537="SBJ","CB","?"))</f>
        <v> </v>
      </c>
      <c r="I3537" s="25" t="str">
        <f>IF(OR(E3537="",E3537="!!!",F3537="NEW"),"",INDEX(B3536:B$2,-1+SUMPRODUCT(MAX(ROW(E3536:E$2)*(E3537=E3536:E$2)))))</f>
        <v> </v>
      </c>
      <c r="J3537" s="25" t="str">
        <f>IF(OR(E3537="",E3537="!!!",F3537="NEW"),"",COUNTBLANK(OFFSET(A$1,,,SUMPRODUCT(MAX(ROW(E$2:E3537)*(E3537=E$2:E3537)))))-COUNTBLANK(OFFSET(A$1,,,SUMPRODUCT(MAX(ROW(E$1:E3536)*(E2=E$1:E3536))))))</f>
        <v> </v>
      </c>
      <c r="K3537" s="25" t="str">
        <f>IF(OR(E3537="",E3537="!!!",F3537="NEW"),"",INDEX(J$1:J3536,SUMPRODUCT(MAX(ROW(E$1:E3536)*(E3537=E$1:E3536)))))</f>
        <v> </v>
      </c>
      <c r="L3537" s="26"/>
    </row>
    <row r="3538" spans="1:12">
      <c r="A3538" s="20" t="s">
        <v>531</v>
      </c>
      <c r="E3538" s="21">
        <f>IF(D3538="?OLD","!!!","")</f>
        <v/>
      </c>
      <c r="F3538" s="22" t="str">
        <f>IF(OR(E3538="",E3538="!!!"),"",IF(NOT(ISNA(VLOOKUP(E3538,E$1:E3537,1,FALSE()))),"OLD",IF(AND(E3538&lt;&gt;"",E3538&lt;&gt;"!!!"),"NEW","")))</f>
        <v> </v>
      </c>
      <c r="G3538" s="23" t="str">
        <f>IF(OR(E3538="",E3538="!!!"),"",IF(OR(J3538=0,AND(J3538=1,K3538=1),AND(J3538=1,I3538="SBJ"),AND(J3538=1,I3538=0)),"?IN_FOCUS",IF(J3538&lt;=2,"?ACTIVATED",IF(J3538&lt;&gt;"","?FAMILIAR",IF(F3538="NEW",IF(ISNA(VLOOKUP(E3538,#REF!,1,FALSE())),"?TYPE_IDENTIFIABLE","?REFERENTIAL"),"_")))))</f>
        <v> </v>
      </c>
      <c r="H3538" s="24" t="str">
        <f>IF(J3538&lt;&gt;1,"",IF(I3538="SBJ","CB","?"))</f>
        <v> </v>
      </c>
      <c r="I3538" s="25" t="str">
        <f>IF(OR(E3538="",E3538="!!!",F3538="NEW"),"",INDEX(B3537:B$2,-1+SUMPRODUCT(MAX(ROW(E3537:E$2)*(E3538=E3537:E$2)))))</f>
        <v> </v>
      </c>
      <c r="J3538" s="25" t="str">
        <f>IF(OR(E3538="",E3538="!!!",F3538="NEW"),"",COUNTBLANK(OFFSET(A$1,,,SUMPRODUCT(MAX(ROW(E$2:E3538)*(E3538=E$2:E3538)))))-COUNTBLANK(OFFSET(A$1,,,SUMPRODUCT(MAX(ROW(E$1:E3537)*(E2=E$1:E3537))))))</f>
        <v> </v>
      </c>
      <c r="K3538" s="25" t="str">
        <f>IF(OR(E3538="",E3538="!!!",F3538="NEW"),"",INDEX(J$1:J3537,SUMPRODUCT(MAX(ROW(E$1:E3537)*(E3538=E$1:E3537)))))</f>
        <v> </v>
      </c>
      <c r="L3538" s="26"/>
    </row>
    <row r="3539" spans="1:12">
      <c r="A3539" s="20" t="s">
        <v>1658</v>
      </c>
      <c r="B3539" s="27" t="s">
        <v>743</v>
      </c>
      <c r="C3539" s="27" t="s">
        <v>564</v>
      </c>
      <c r="E3539" s="21">
        <f>IF(D3539="?OLD","!!!","")</f>
        <v/>
      </c>
      <c r="F3539" s="22" t="str">
        <f>IF(OR(E3539="",E3539="!!!"),"",IF(NOT(ISNA(VLOOKUP(E3539,E$1:E3538,1,FALSE()))),"OLD",IF(AND(E3539&lt;&gt;"",E3539&lt;&gt;"!!!"),"NEW","")))</f>
        <v> </v>
      </c>
      <c r="G3539" s="23" t="str">
        <f>IF(OR(E3539="",E3539="!!!"),"",IF(OR(J3539=0,AND(J3539=1,K3539=1),AND(J3539=1,I3539="SBJ"),AND(J3539=1,I3539=0)),"?IN_FOCUS",IF(J3539&lt;=2,"?ACTIVATED",IF(J3539&lt;&gt;"","?FAMILIAR",IF(F3539="NEW",IF(ISNA(VLOOKUP(E3539,#REF!,1,FALSE())),"?TYPE_IDENTIFIABLE","?REFERENTIAL"),"_")))))</f>
        <v> </v>
      </c>
      <c r="H3539" s="24" t="str">
        <f>IF(J3539&lt;&gt;1,"",IF(I3539="SBJ","CB","?"))</f>
        <v> </v>
      </c>
      <c r="I3539" s="25" t="str">
        <f>IF(OR(E3539="",E3539="!!!",F3539="NEW"),"",INDEX(B3538:B$2,-1+SUMPRODUCT(MAX(ROW(E3538:E$2)*(E3539=E3538:E$2)))))</f>
        <v> </v>
      </c>
      <c r="J3539" s="25" t="str">
        <f>IF(OR(E3539="",E3539="!!!",F3539="NEW"),"",COUNTBLANK(OFFSET(A$1,,,SUMPRODUCT(MAX(ROW(E$2:E3539)*(E3539=E$2:E3539)))))-COUNTBLANK(OFFSET(A$1,,,SUMPRODUCT(MAX(ROW(E$1:E3538)*(E2=E$1:E3538))))))</f>
        <v> </v>
      </c>
      <c r="K3539" s="25" t="str">
        <f>IF(OR(E3539="",E3539="!!!",F3539="NEW"),"",INDEX(J$1:J3538,SUMPRODUCT(MAX(ROW(E$1:E3538)*(E3539=E$1:E3538)))))</f>
        <v> </v>
      </c>
      <c r="L3539" s="26"/>
    </row>
    <row r="3540" spans="1:12">
      <c r="A3540" s="20" t="s">
        <v>549</v>
      </c>
      <c r="E3540" s="21">
        <f>IF(D3540="?OLD","!!!","")</f>
        <v/>
      </c>
      <c r="F3540" s="22" t="str">
        <f>IF(OR(E3540="",E3540="!!!"),"",IF(NOT(ISNA(VLOOKUP(E3540,E$1:E3539,1,FALSE()))),"OLD",IF(AND(E3540&lt;&gt;"",E3540&lt;&gt;"!!!"),"NEW","")))</f>
        <v> </v>
      </c>
      <c r="G3540" s="23" t="str">
        <f>IF(OR(E3540="",E3540="!!!"),"",IF(OR(J3540=0,AND(J3540=1,K3540=1),AND(J3540=1,I3540="SBJ"),AND(J3540=1,I3540=0)),"?IN_FOCUS",IF(J3540&lt;=2,"?ACTIVATED",IF(J3540&lt;&gt;"","?FAMILIAR",IF(F3540="NEW",IF(ISNA(VLOOKUP(E3540,#REF!,1,FALSE())),"?TYPE_IDENTIFIABLE","?REFERENTIAL"),"_")))))</f>
        <v> </v>
      </c>
      <c r="H3540" s="24" t="str">
        <f>IF(J3540&lt;&gt;1,"",IF(I3540="SBJ","CB","?"))</f>
        <v> </v>
      </c>
      <c r="I3540" s="25" t="str">
        <f>IF(OR(E3540="",E3540="!!!",F3540="NEW"),"",INDEX(B3539:B$2,-1+SUMPRODUCT(MAX(ROW(E3539:E$2)*(E3540=E3539:E$2)))))</f>
        <v> </v>
      </c>
      <c r="J3540" s="25" t="str">
        <f>IF(OR(E3540="",E3540="!!!",F3540="NEW"),"",COUNTBLANK(OFFSET(A$1,,,SUMPRODUCT(MAX(ROW(E$2:E3540)*(E3540=E$2:E3540)))))-COUNTBLANK(OFFSET(A$1,,,SUMPRODUCT(MAX(ROW(E$1:E3539)*(E2=E$1:E3539))))))</f>
        <v> </v>
      </c>
      <c r="K3540" s="25" t="str">
        <f>IF(OR(E3540="",E3540="!!!",F3540="NEW"),"",INDEX(J$1:J3539,SUMPRODUCT(MAX(ROW(E$1:E3539)*(E3540=E$1:E3539)))))</f>
        <v> </v>
      </c>
      <c r="L3540" s="26"/>
    </row>
    <row r="3541" spans="1:12">
      <c r="A3541" s="20"/>
    </row>
    <row r="3542" spans="1:12">
      <c r="A3542" s="20" t="s">
        <v>1659</v>
      </c>
    </row>
    <row r="3543" spans="1:12">
      <c r="A3543" s="20" t="s">
        <v>824</v>
      </c>
      <c r="E3543" s="21">
        <f>IF(D3543="?OLD","!!!","")</f>
        <v/>
      </c>
      <c r="F3543" s="22" t="str">
        <f>IF(OR(E3543="",E3543="!!!"),"",IF(NOT(ISNA(VLOOKUP(E3543,E$1:E3542,1,FALSE()))),"OLD",IF(AND(E3543&lt;&gt;"",E3543&lt;&gt;"!!!"),"NEW","")))</f>
        <v> </v>
      </c>
      <c r="G3543" s="23" t="str">
        <f>IF(OR(E3543="",E3543="!!!"),"",IF(OR(J3543=0,AND(J3543=1,K3543=1),AND(J3543=1,I3543="SBJ"),AND(J3543=1,I3543=0)),"?IN_FOCUS",IF(J3543&lt;=2,"?ACTIVATED",IF(J3543&lt;&gt;"","?FAMILIAR",IF(F3543="NEW",IF(ISNA(VLOOKUP(E3543,#REF!,1,FALSE())),"?TYPE_IDENTIFIABLE","?REFERENTIAL"),"_")))))</f>
        <v> </v>
      </c>
      <c r="H3543" s="24" t="str">
        <f>IF(J3543&lt;&gt;1,"",IF(I3543="SBJ","CB","?"))</f>
        <v> </v>
      </c>
      <c r="I3543" s="25" t="str">
        <f>IF(OR(E3543="",E3543="!!!",F3543="NEW"),"",INDEX(B3542:B$2,-1+SUMPRODUCT(MAX(ROW(E3542:E$2)*(E3543=E3542:E$2)))))</f>
        <v> </v>
      </c>
      <c r="J3543" s="25" t="str">
        <f>IF(OR(E3543="",E3543="!!!",F3543="NEW"),"",COUNTBLANK(OFFSET(A$1,,,SUMPRODUCT(MAX(ROW(E$2:E3543)*(E3543=E$2:E3543)))))-COUNTBLANK(OFFSET(A$1,,,SUMPRODUCT(MAX(ROW(E$1:E3542)*(E2=E$1:E3542))))))</f>
        <v> </v>
      </c>
      <c r="K3543" s="25" t="str">
        <f>IF(OR(E3543="",E3543="!!!",F3543="NEW"),"",INDEX(J$1:J3542,SUMPRODUCT(MAX(ROW(E$1:E3542)*(E3543=E$1:E3542)))))</f>
        <v> </v>
      </c>
      <c r="L3543" s="26"/>
    </row>
    <row r="3544" spans="1:12">
      <c r="A3544" s="20" t="s">
        <v>1529</v>
      </c>
      <c r="E3544" s="21">
        <f>IF(D3544="?OLD","!!!","")</f>
        <v/>
      </c>
      <c r="F3544" s="22" t="str">
        <f>IF(OR(E3544="",E3544="!!!"),"",IF(NOT(ISNA(VLOOKUP(E3544,E$1:E3543,1,FALSE()))),"OLD",IF(AND(E3544&lt;&gt;"",E3544&lt;&gt;"!!!"),"NEW","")))</f>
        <v> </v>
      </c>
      <c r="G3544" s="23" t="str">
        <f>IF(OR(E3544="",E3544="!!!"),"",IF(OR(J3544=0,AND(J3544=1,K3544=1),AND(J3544=1,I3544="SBJ"),AND(J3544=1,I3544=0)),"?IN_FOCUS",IF(J3544&lt;=2,"?ACTIVATED",IF(J3544&lt;&gt;"","?FAMILIAR",IF(F3544="NEW",IF(ISNA(VLOOKUP(E3544,#REF!,1,FALSE())),"?TYPE_IDENTIFIABLE","?REFERENTIAL"),"_")))))</f>
        <v> </v>
      </c>
      <c r="H3544" s="24" t="str">
        <f>IF(J3544&lt;&gt;1,"",IF(I3544="SBJ","CB","?"))</f>
        <v> </v>
      </c>
      <c r="I3544" s="25" t="str">
        <f>IF(OR(E3544="",E3544="!!!",F3544="NEW"),"",INDEX(B3543:B$2,-1+SUMPRODUCT(MAX(ROW(E3543:E$2)*(E3544=E3543:E$2)))))</f>
        <v> </v>
      </c>
      <c r="J3544" s="25" t="str">
        <f>IF(OR(E3544="",E3544="!!!",F3544="NEW"),"",COUNTBLANK(OFFSET(A$1,,,SUMPRODUCT(MAX(ROW(E$2:E3544)*(E3544=E$2:E3544)))))-COUNTBLANK(OFFSET(A$1,,,SUMPRODUCT(MAX(ROW(E$1:E3543)*(E2=E$1:E3543))))))</f>
        <v> </v>
      </c>
      <c r="K3544" s="25" t="str">
        <f>IF(OR(E3544="",E3544="!!!",F3544="NEW"),"",INDEX(J$1:J3543,SUMPRODUCT(MAX(ROW(E$1:E3543)*(E3544=E$1:E3543)))))</f>
        <v> </v>
      </c>
      <c r="L3544" s="26"/>
    </row>
    <row r="3545" spans="1:12">
      <c r="A3545" s="20" t="s">
        <v>332</v>
      </c>
      <c r="E3545" s="21">
        <f>IF(D3545="?OLD","!!!","")</f>
        <v/>
      </c>
      <c r="F3545" s="22" t="str">
        <f>IF(OR(E3545="",E3545="!!!"),"",IF(NOT(ISNA(VLOOKUP(E3545,E$1:E3544,1,FALSE()))),"OLD",IF(AND(E3545&lt;&gt;"",E3545&lt;&gt;"!!!"),"NEW","")))</f>
        <v> </v>
      </c>
      <c r="G3545" s="23" t="str">
        <f>IF(OR(E3545="",E3545="!!!"),"",IF(OR(J3545=0,AND(J3545=1,K3545=1),AND(J3545=1,I3545="SBJ"),AND(J3545=1,I3545=0)),"?IN_FOCUS",IF(J3545&lt;=2,"?ACTIVATED",IF(J3545&lt;&gt;"","?FAMILIAR",IF(F3545="NEW",IF(ISNA(VLOOKUP(E3545,#REF!,1,FALSE())),"?TYPE_IDENTIFIABLE","?REFERENTIAL"),"_")))))</f>
        <v> </v>
      </c>
      <c r="H3545" s="24" t="str">
        <f>IF(J3545&lt;&gt;1,"",IF(I3545="SBJ","CB","?"))</f>
        <v> </v>
      </c>
      <c r="I3545" s="25" t="str">
        <f>IF(OR(E3545="",E3545="!!!",F3545="NEW"),"",INDEX(B3544:B$2,-1+SUMPRODUCT(MAX(ROW(E3544:E$2)*(E3545=E3544:E$2)))))</f>
        <v> </v>
      </c>
      <c r="J3545" s="25" t="str">
        <f>IF(OR(E3545="",E3545="!!!",F3545="NEW"),"",COUNTBLANK(OFFSET(A$1,,,SUMPRODUCT(MAX(ROW(E$2:E3545)*(E3545=E$2:E3545)))))-COUNTBLANK(OFFSET(A$1,,,SUMPRODUCT(MAX(ROW(E$1:E3544)*(E2=E$1:E3544))))))</f>
        <v> </v>
      </c>
      <c r="K3545" s="25" t="str">
        <f>IF(OR(E3545="",E3545="!!!",F3545="NEW"),"",INDEX(J$1:J3544,SUMPRODUCT(MAX(ROW(E$1:E3544)*(E3545=E$1:E3544)))))</f>
        <v> </v>
      </c>
      <c r="L3545" s="26"/>
    </row>
    <row r="3546" spans="1:12">
      <c r="A3546" s="20" t="s">
        <v>542</v>
      </c>
      <c r="E3546" s="21">
        <f>IF(D3546="?OLD","!!!","")</f>
        <v/>
      </c>
      <c r="F3546" s="22" t="str">
        <f>IF(OR(E3546="",E3546="!!!"),"",IF(NOT(ISNA(VLOOKUP(E3546,E$1:E3545,1,FALSE()))),"OLD",IF(AND(E3546&lt;&gt;"",E3546&lt;&gt;"!!!"),"NEW","")))</f>
        <v> </v>
      </c>
      <c r="G3546" s="23" t="str">
        <f>IF(OR(E3546="",E3546="!!!"),"",IF(OR(J3546=0,AND(J3546=1,K3546=1),AND(J3546=1,I3546="SBJ"),AND(J3546=1,I3546=0)),"?IN_FOCUS",IF(J3546&lt;=2,"?ACTIVATED",IF(J3546&lt;&gt;"","?FAMILIAR",IF(F3546="NEW",IF(ISNA(VLOOKUP(E3546,#REF!,1,FALSE())),"?TYPE_IDENTIFIABLE","?REFERENTIAL"),"_")))))</f>
        <v> </v>
      </c>
      <c r="H3546" s="24" t="str">
        <f>IF(J3546&lt;&gt;1,"",IF(I3546="SBJ","CB","?"))</f>
        <v> </v>
      </c>
      <c r="I3546" s="25" t="str">
        <f>IF(OR(E3546="",E3546="!!!",F3546="NEW"),"",INDEX(B3545:B$2,-1+SUMPRODUCT(MAX(ROW(E3545:E$2)*(E3546=E3545:E$2)))))</f>
        <v> </v>
      </c>
      <c r="J3546" s="25" t="str">
        <f>IF(OR(E3546="",E3546="!!!",F3546="NEW"),"",COUNTBLANK(OFFSET(A$1,,,SUMPRODUCT(MAX(ROW(E$2:E3546)*(E3546=E$2:E3546)))))-COUNTBLANK(OFFSET(A$1,,,SUMPRODUCT(MAX(ROW(E$1:E3545)*(E2=E$1:E3545))))))</f>
        <v> </v>
      </c>
      <c r="K3546" s="25" t="str">
        <f>IF(OR(E3546="",E3546="!!!",F3546="NEW"),"",INDEX(J$1:J3545,SUMPRODUCT(MAX(ROW(E$1:E3545)*(E3546=E$1:E3545)))))</f>
        <v> </v>
      </c>
      <c r="L3546" s="26"/>
    </row>
    <row r="3547" spans="1:12">
      <c r="A3547" s="20" t="s">
        <v>1660</v>
      </c>
      <c r="B3547" s="27" t="s">
        <v>522</v>
      </c>
      <c r="C3547" s="27" t="s">
        <v>545</v>
      </c>
      <c r="D3547" s="27" t="s">
        <v>524</v>
      </c>
      <c r="E3547" s="21">
        <f>IF(D3547="?OLD","!!!","")</f>
        <v/>
      </c>
      <c r="F3547" s="22" t="str">
        <f>IF(OR(E3547="",E3547="!!!"),"",IF(NOT(ISNA(VLOOKUP(E3547,E$1:E3546,1,FALSE()))),"OLD",IF(AND(E3547&lt;&gt;"",E3547&lt;&gt;"!!!"),"NEW","")))</f>
        <v> </v>
      </c>
      <c r="G3547" s="23" t="str">
        <f>IF(OR(E3547="",E3547="!!!"),"",IF(OR(J3547=0,AND(J3547=1,K3547=1),AND(J3547=1,I3547="SBJ"),AND(J3547=1,I3547=0)),"?IN_FOCUS",IF(J3547&lt;=2,"?ACTIVATED",IF(J3547&lt;&gt;"","?FAMILIAR",IF(F3547="NEW",IF(ISNA(VLOOKUP(E3547,#REF!,1,FALSE())),"?TYPE_IDENTIFIABLE","?REFERENTIAL"),"_")))))</f>
        <v> </v>
      </c>
      <c r="H3547" s="24" t="str">
        <f>IF(J3547&lt;&gt;1,"",IF(I3547="SBJ","CB","?"))</f>
        <v> </v>
      </c>
      <c r="I3547" s="25" t="str">
        <f>IF(OR(E3547="",E3547="!!!",F3547="NEW"),"",INDEX(B3546:B$2,-1+SUMPRODUCT(MAX(ROW(E3546:E$2)*(E3547=E3546:E$2)))))</f>
        <v> </v>
      </c>
      <c r="J3547" s="25" t="str">
        <f>IF(OR(E3547="",E3547="!!!",F3547="NEW"),"",COUNTBLANK(OFFSET(A$1,,,SUMPRODUCT(MAX(ROW(E$2:E3547)*(E3547=E$2:E3547)))))-COUNTBLANK(OFFSET(A$1,,,SUMPRODUCT(MAX(ROW(E$1:E3546)*(E2=E$1:E3546))))))</f>
        <v> </v>
      </c>
      <c r="K3547" s="25" t="str">
        <f>IF(OR(E3547="",E3547="!!!",F3547="NEW"),"",INDEX(J$1:J3546,SUMPRODUCT(MAX(ROW(E$1:E3546)*(E3547=E$1:E3546)))))</f>
        <v> </v>
      </c>
      <c r="L3547" s="26"/>
    </row>
    <row r="3548" spans="1:12">
      <c r="A3548" s="20" t="s">
        <v>549</v>
      </c>
      <c r="E3548" s="21">
        <f>IF(D3548="?OLD","!!!","")</f>
        <v/>
      </c>
      <c r="F3548" s="22" t="str">
        <f>IF(OR(E3548="",E3548="!!!"),"",IF(NOT(ISNA(VLOOKUP(E3548,E$1:E3547,1,FALSE()))),"OLD",IF(AND(E3548&lt;&gt;"",E3548&lt;&gt;"!!!"),"NEW","")))</f>
        <v> </v>
      </c>
      <c r="G3548" s="23" t="str">
        <f>IF(OR(E3548="",E3548="!!!"),"",IF(OR(J3548=0,AND(J3548=1,K3548=1),AND(J3548=1,I3548="SBJ"),AND(J3548=1,I3548=0)),"?IN_FOCUS",IF(J3548&lt;=2,"?ACTIVATED",IF(J3548&lt;&gt;"","?FAMILIAR",IF(F3548="NEW",IF(ISNA(VLOOKUP(E3548,#REF!,1,FALSE())),"?TYPE_IDENTIFIABLE","?REFERENTIAL"),"_")))))</f>
        <v> </v>
      </c>
      <c r="H3548" s="24" t="str">
        <f>IF(J3548&lt;&gt;1,"",IF(I3548="SBJ","CB","?"))</f>
        <v> </v>
      </c>
      <c r="I3548" s="25" t="str">
        <f>IF(OR(E3548="",E3548="!!!",F3548="NEW"),"",INDEX(B3547:B$2,-1+SUMPRODUCT(MAX(ROW(E3547:E$2)*(E3548=E3547:E$2)))))</f>
        <v> </v>
      </c>
      <c r="J3548" s="25" t="str">
        <f>IF(OR(E3548="",E3548="!!!",F3548="NEW"),"",COUNTBLANK(OFFSET(A$1,,,SUMPRODUCT(MAX(ROW(E$2:E3548)*(E3548=E$2:E3548)))))-COUNTBLANK(OFFSET(A$1,,,SUMPRODUCT(MAX(ROW(E$1:E3547)*(E2=E$1:E3547))))))</f>
        <v> </v>
      </c>
      <c r="K3548" s="25" t="str">
        <f>IF(OR(E3548="",E3548="!!!",F3548="NEW"),"",INDEX(J$1:J3547,SUMPRODUCT(MAX(ROW(E$1:E3547)*(E3548=E$1:E3547)))))</f>
        <v> </v>
      </c>
      <c r="L3548" s="26"/>
    </row>
    <row r="3549" spans="1:12">
      <c r="A3549" s="20"/>
    </row>
    <row r="3550" spans="1:12">
      <c r="A3550" s="20" t="s">
        <v>1661</v>
      </c>
    </row>
    <row r="3551" spans="1:12">
      <c r="A3551" s="20" t="s">
        <v>1662</v>
      </c>
      <c r="B3551" s="27" t="s">
        <v>592</v>
      </c>
      <c r="C3551" s="27" t="s">
        <v>564</v>
      </c>
      <c r="E3551" s="21">
        <f>IF(D3551="?OLD","!!!","")</f>
        <v/>
      </c>
      <c r="F3551" s="22" t="str">
        <f>IF(OR(E3551="",E3551="!!!"),"",IF(NOT(ISNA(VLOOKUP(E3551,E$1:E3550,1,FALSE()))),"OLD",IF(AND(E3551&lt;&gt;"",E3551&lt;&gt;"!!!"),"NEW","")))</f>
        <v> </v>
      </c>
      <c r="G3551" s="23" t="str">
        <f>IF(OR(E3551="",E3551="!!!"),"",IF(OR(J3551=0,AND(J3551=1,K3551=1),AND(J3551=1,I3551="SBJ"),AND(J3551=1,I3551=0)),"?IN_FOCUS",IF(J3551&lt;=2,"?ACTIVATED",IF(J3551&lt;&gt;"","?FAMILIAR",IF(F3551="NEW",IF(ISNA(VLOOKUP(E3551,#REF!,1,FALSE())),"?TYPE_IDENTIFIABLE","?REFERENTIAL"),"_")))))</f>
        <v> </v>
      </c>
      <c r="H3551" s="24" t="str">
        <f>IF(J3551&lt;&gt;1,"",IF(I3551="SBJ","CB","?"))</f>
        <v> </v>
      </c>
      <c r="I3551" s="25" t="str">
        <f>IF(OR(E3551="",E3551="!!!",F3551="NEW"),"",INDEX(B3550:B$2,-1+SUMPRODUCT(MAX(ROW(E3550:E$2)*(E3551=E3550:E$2)))))</f>
        <v> </v>
      </c>
      <c r="J3551" s="25" t="str">
        <f>IF(OR(E3551="",E3551="!!!",F3551="NEW"),"",COUNTBLANK(OFFSET(A$1,,,SUMPRODUCT(MAX(ROW(E$2:E3551)*(E3551=E$2:E3551)))))-COUNTBLANK(OFFSET(A$1,,,SUMPRODUCT(MAX(ROW(E$1:E3550)*(E2=E$1:E3550))))))</f>
        <v> </v>
      </c>
      <c r="K3551" s="25" t="str">
        <f>IF(OR(E3551="",E3551="!!!",F3551="NEW"),"",INDEX(J$1:J3550,SUMPRODUCT(MAX(ROW(E$1:E3550)*(E3551=E$1:E3550)))))</f>
        <v> </v>
      </c>
      <c r="L3551" s="26"/>
    </row>
    <row r="3552" spans="1:12">
      <c r="A3552" s="20" t="s">
        <v>518</v>
      </c>
      <c r="E3552" s="21">
        <f>IF(D3552="?OLD","!!!","")</f>
        <v/>
      </c>
      <c r="F3552" s="22" t="str">
        <f>IF(OR(E3552="",E3552="!!!"),"",IF(NOT(ISNA(VLOOKUP(E3552,E$1:E3551,1,FALSE()))),"OLD",IF(AND(E3552&lt;&gt;"",E3552&lt;&gt;"!!!"),"NEW","")))</f>
        <v> </v>
      </c>
      <c r="G3552" s="23" t="str">
        <f>IF(OR(E3552="",E3552="!!!"),"",IF(OR(J3552=0,AND(J3552=1,K3552=1),AND(J3552=1,I3552="SBJ"),AND(J3552=1,I3552=0)),"?IN_FOCUS",IF(J3552&lt;=2,"?ACTIVATED",IF(J3552&lt;&gt;"","?FAMILIAR",IF(F3552="NEW",IF(ISNA(VLOOKUP(E3552,#REF!,1,FALSE())),"?TYPE_IDENTIFIABLE","?REFERENTIAL"),"_")))))</f>
        <v> </v>
      </c>
      <c r="H3552" s="24" t="str">
        <f>IF(J3552&lt;&gt;1,"",IF(I3552="SBJ","CB","?"))</f>
        <v> </v>
      </c>
      <c r="I3552" s="25" t="str">
        <f>IF(OR(E3552="",E3552="!!!",F3552="NEW"),"",INDEX(B3551:B$2,-1+SUMPRODUCT(MAX(ROW(E3551:E$2)*(E3552=E3551:E$2)))))</f>
        <v> </v>
      </c>
      <c r="J3552" s="25" t="str">
        <f>IF(OR(E3552="",E3552="!!!",F3552="NEW"),"",COUNTBLANK(OFFSET(A$1,,,SUMPRODUCT(MAX(ROW(E$2:E3552)*(E3552=E$2:E3552)))))-COUNTBLANK(OFFSET(A$1,,,SUMPRODUCT(MAX(ROW(E$1:E3551)*(E2=E$1:E3551))))))</f>
        <v> </v>
      </c>
      <c r="K3552" s="25" t="str">
        <f>IF(OR(E3552="",E3552="!!!",F3552="NEW"),"",INDEX(J$1:J3551,SUMPRODUCT(MAX(ROW(E$1:E3551)*(E3552=E$1:E3551)))))</f>
        <v> </v>
      </c>
      <c r="L3552" s="26"/>
    </row>
    <row r="3553" spans="1:12">
      <c r="A3553" s="20" t="s">
        <v>68</v>
      </c>
      <c r="E3553" s="21">
        <f>IF(D3553="?OLD","!!!","")</f>
        <v/>
      </c>
      <c r="F3553" s="22" t="str">
        <f>IF(OR(E3553="",E3553="!!!"),"",IF(NOT(ISNA(VLOOKUP(E3553,E$1:E3552,1,FALSE()))),"OLD",IF(AND(E3553&lt;&gt;"",E3553&lt;&gt;"!!!"),"NEW","")))</f>
        <v> </v>
      </c>
      <c r="G3553" s="23" t="str">
        <f>IF(OR(E3553="",E3553="!!!"),"",IF(OR(J3553=0,AND(J3553=1,K3553=1),AND(J3553=1,I3553="SBJ"),AND(J3553=1,I3553=0)),"?IN_FOCUS",IF(J3553&lt;=2,"?ACTIVATED",IF(J3553&lt;&gt;"","?FAMILIAR",IF(F3553="NEW",IF(ISNA(VLOOKUP(E3553,#REF!,1,FALSE())),"?TYPE_IDENTIFIABLE","?REFERENTIAL"),"_")))))</f>
        <v> </v>
      </c>
      <c r="H3553" s="24" t="str">
        <f>IF(J3553&lt;&gt;1,"",IF(I3553="SBJ","CB","?"))</f>
        <v> </v>
      </c>
      <c r="I3553" s="25" t="str">
        <f>IF(OR(E3553="",E3553="!!!",F3553="NEW"),"",INDEX(B3552:B$2,-1+SUMPRODUCT(MAX(ROW(E3552:E$2)*(E3553=E3552:E$2)))))</f>
        <v> </v>
      </c>
      <c r="J3553" s="25" t="str">
        <f>IF(OR(E3553="",E3553="!!!",F3553="NEW"),"",COUNTBLANK(OFFSET(A$1,,,SUMPRODUCT(MAX(ROW(E$2:E3553)*(E3553=E$2:E3553)))))-COUNTBLANK(OFFSET(A$1,,,SUMPRODUCT(MAX(ROW(E$1:E3552)*(E2=E$1:E3552))))))</f>
        <v> </v>
      </c>
      <c r="K3553" s="25" t="str">
        <f>IF(OR(E3553="",E3553="!!!",F3553="NEW"),"",INDEX(J$1:J3552,SUMPRODUCT(MAX(ROW(E$1:E3552)*(E3553=E$1:E3552)))))</f>
        <v> </v>
      </c>
      <c r="L3553" s="26"/>
    </row>
    <row r="3554" spans="1:12">
      <c r="A3554" s="20" t="s">
        <v>542</v>
      </c>
      <c r="E3554" s="21">
        <f>IF(D3554="?OLD","!!!","")</f>
        <v/>
      </c>
      <c r="F3554" s="22" t="str">
        <f>IF(OR(E3554="",E3554="!!!"),"",IF(NOT(ISNA(VLOOKUP(E3554,E$1:E3553,1,FALSE()))),"OLD",IF(AND(E3554&lt;&gt;"",E3554&lt;&gt;"!!!"),"NEW","")))</f>
        <v> </v>
      </c>
      <c r="G3554" s="23" t="str">
        <f>IF(OR(E3554="",E3554="!!!"),"",IF(OR(J3554=0,AND(J3554=1,K3554=1),AND(J3554=1,I3554="SBJ"),AND(J3554=1,I3554=0)),"?IN_FOCUS",IF(J3554&lt;=2,"?ACTIVATED",IF(J3554&lt;&gt;"","?FAMILIAR",IF(F3554="NEW",IF(ISNA(VLOOKUP(E3554,#REF!,1,FALSE())),"?TYPE_IDENTIFIABLE","?REFERENTIAL"),"_")))))</f>
        <v> </v>
      </c>
      <c r="H3554" s="24" t="str">
        <f>IF(J3554&lt;&gt;1,"",IF(I3554="SBJ","CB","?"))</f>
        <v> </v>
      </c>
      <c r="I3554" s="25" t="str">
        <f>IF(OR(E3554="",E3554="!!!",F3554="NEW"),"",INDEX(B3553:B$2,-1+SUMPRODUCT(MAX(ROW(E3553:E$2)*(E3554=E3553:E$2)))))</f>
        <v> </v>
      </c>
      <c r="J3554" s="25" t="str">
        <f>IF(OR(E3554="",E3554="!!!",F3554="NEW"),"",COUNTBLANK(OFFSET(A$1,,,SUMPRODUCT(MAX(ROW(E$2:E3554)*(E3554=E$2:E3554)))))-COUNTBLANK(OFFSET(A$1,,,SUMPRODUCT(MAX(ROW(E$1:E3553)*(E2=E$1:E3553))))))</f>
        <v> </v>
      </c>
      <c r="K3554" s="25" t="str">
        <f>IF(OR(E3554="",E3554="!!!",F3554="NEW"),"",INDEX(J$1:J3553,SUMPRODUCT(MAX(ROW(E$1:E3553)*(E3554=E$1:E3553)))))</f>
        <v> </v>
      </c>
      <c r="L3554" s="26"/>
    </row>
    <row r="3555" spans="1:12">
      <c r="A3555" s="20" t="s">
        <v>1663</v>
      </c>
      <c r="B3555" s="27" t="s">
        <v>522</v>
      </c>
      <c r="C3555" s="27" t="s">
        <v>545</v>
      </c>
      <c r="D3555" s="27" t="s">
        <v>524</v>
      </c>
      <c r="E3555" s="21">
        <f>IF(D3555="?OLD","!!!","")</f>
        <v/>
      </c>
      <c r="F3555" s="22" t="str">
        <f>IF(OR(E3555="",E3555="!!!"),"",IF(NOT(ISNA(VLOOKUP(E3555,E$1:E3554,1,FALSE()))),"OLD",IF(AND(E3555&lt;&gt;"",E3555&lt;&gt;"!!!"),"NEW","")))</f>
        <v> </v>
      </c>
      <c r="G3555" s="23" t="str">
        <f>IF(OR(E3555="",E3555="!!!"),"",IF(OR(J3555=0,AND(J3555=1,K3555=1),AND(J3555=1,I3555="SBJ"),AND(J3555=1,I3555=0)),"?IN_FOCUS",IF(J3555&lt;=2,"?ACTIVATED",IF(J3555&lt;&gt;"","?FAMILIAR",IF(F3555="NEW",IF(ISNA(VLOOKUP(E3555,#REF!,1,FALSE())),"?TYPE_IDENTIFIABLE","?REFERENTIAL"),"_")))))</f>
        <v> </v>
      </c>
      <c r="H3555" s="24" t="str">
        <f>IF(J3555&lt;&gt;1,"",IF(I3555="SBJ","CB","?"))</f>
        <v> </v>
      </c>
      <c r="I3555" s="25" t="str">
        <f>IF(OR(E3555="",E3555="!!!",F3555="NEW"),"",INDEX(B3554:B$2,-1+SUMPRODUCT(MAX(ROW(E3554:E$2)*(E3555=E3554:E$2)))))</f>
        <v> </v>
      </c>
      <c r="J3555" s="25" t="str">
        <f>IF(OR(E3555="",E3555="!!!",F3555="NEW"),"",COUNTBLANK(OFFSET(A$1,,,SUMPRODUCT(MAX(ROW(E$2:E3555)*(E3555=E$2:E3555)))))-COUNTBLANK(OFFSET(A$1,,,SUMPRODUCT(MAX(ROW(E$1:E3554)*(E2=E$1:E3554))))))</f>
        <v> </v>
      </c>
      <c r="K3555" s="25" t="str">
        <f>IF(OR(E3555="",E3555="!!!",F3555="NEW"),"",INDEX(J$1:J3554,SUMPRODUCT(MAX(ROW(E$1:E3554)*(E3555=E$1:E3554)))))</f>
        <v> </v>
      </c>
      <c r="L3555" s="26"/>
    </row>
    <row r="3556" spans="1:12">
      <c r="A3556" s="20" t="s">
        <v>1203</v>
      </c>
      <c r="E3556" s="21">
        <f>IF(D3556="?OLD","!!!","")</f>
        <v/>
      </c>
      <c r="F3556" s="22" t="str">
        <f>IF(OR(E3556="",E3556="!!!"),"",IF(NOT(ISNA(VLOOKUP(E3556,E$1:E3555,1,FALSE()))),"OLD",IF(AND(E3556&lt;&gt;"",E3556&lt;&gt;"!!!"),"NEW","")))</f>
        <v> </v>
      </c>
      <c r="G3556" s="23" t="str">
        <f>IF(OR(E3556="",E3556="!!!"),"",IF(OR(J3556=0,AND(J3556=1,K3556=1),AND(J3556=1,I3556="SBJ"),AND(J3556=1,I3556=0)),"?IN_FOCUS",IF(J3556&lt;=2,"?ACTIVATED",IF(J3556&lt;&gt;"","?FAMILIAR",IF(F3556="NEW",IF(ISNA(VLOOKUP(E3556,#REF!,1,FALSE())),"?TYPE_IDENTIFIABLE","?REFERENTIAL"),"_")))))</f>
        <v> </v>
      </c>
      <c r="H3556" s="24" t="str">
        <f>IF(J3556&lt;&gt;1,"",IF(I3556="SBJ","CB","?"))</f>
        <v> </v>
      </c>
      <c r="I3556" s="25" t="str">
        <f>IF(OR(E3556="",E3556="!!!",F3556="NEW"),"",INDEX(B3555:B$2,-1+SUMPRODUCT(MAX(ROW(E3555:E$2)*(E3556=E3555:E$2)))))</f>
        <v> </v>
      </c>
      <c r="J3556" s="25" t="str">
        <f>IF(OR(E3556="",E3556="!!!",F3556="NEW"),"",COUNTBLANK(OFFSET(A$1,,,SUMPRODUCT(MAX(ROW(E$2:E3556)*(E3556=E$2:E3556)))))-COUNTBLANK(OFFSET(A$1,,,SUMPRODUCT(MAX(ROW(E$1:E3555)*(E2=E$1:E3555))))))</f>
        <v> </v>
      </c>
      <c r="K3556" s="25" t="str">
        <f>IF(OR(E3556="",E3556="!!!",F3556="NEW"),"",INDEX(J$1:J3555,SUMPRODUCT(MAX(ROW(E$1:E3555)*(E3556=E$1:E3555)))))</f>
        <v> </v>
      </c>
      <c r="L3556" s="26"/>
    </row>
    <row r="3557" spans="1:12">
      <c r="A3557" s="20" t="s">
        <v>565</v>
      </c>
      <c r="E3557" s="21">
        <f>IF(D3557="?OLD","!!!","")</f>
        <v/>
      </c>
      <c r="F3557" s="22" t="str">
        <f>IF(OR(E3557="",E3557="!!!"),"",IF(NOT(ISNA(VLOOKUP(E3557,E$1:E3556,1,FALSE()))),"OLD",IF(AND(E3557&lt;&gt;"",E3557&lt;&gt;"!!!"),"NEW","")))</f>
        <v> </v>
      </c>
      <c r="G3557" s="23" t="str">
        <f>IF(OR(E3557="",E3557="!!!"),"",IF(OR(J3557=0,AND(J3557=1,K3557=1),AND(J3557=1,I3557="SBJ"),AND(J3557=1,I3557=0)),"?IN_FOCUS",IF(J3557&lt;=2,"?ACTIVATED",IF(J3557&lt;&gt;"","?FAMILIAR",IF(F3557="NEW",IF(ISNA(VLOOKUP(E3557,#REF!,1,FALSE())),"?TYPE_IDENTIFIABLE","?REFERENTIAL"),"_")))))</f>
        <v> </v>
      </c>
      <c r="H3557" s="24" t="str">
        <f>IF(J3557&lt;&gt;1,"",IF(I3557="SBJ","CB","?"))</f>
        <v> </v>
      </c>
      <c r="I3557" s="25" t="str">
        <f>IF(OR(E3557="",E3557="!!!",F3557="NEW"),"",INDEX(B3556:B$2,-1+SUMPRODUCT(MAX(ROW(E3556:E$2)*(E3557=E3556:E$2)))))</f>
        <v> </v>
      </c>
      <c r="J3557" s="25" t="str">
        <f>IF(OR(E3557="",E3557="!!!",F3557="NEW"),"",COUNTBLANK(OFFSET(A$1,,,SUMPRODUCT(MAX(ROW(E$2:E3557)*(E3557=E$2:E3557)))))-COUNTBLANK(OFFSET(A$1,,,SUMPRODUCT(MAX(ROW(E$1:E3556)*(E2=E$1:E3556))))))</f>
        <v> </v>
      </c>
      <c r="K3557" s="25" t="str">
        <f>IF(OR(E3557="",E3557="!!!",F3557="NEW"),"",INDEX(J$1:J3556,SUMPRODUCT(MAX(ROW(E$1:E3556)*(E3557=E$1:E3556)))))</f>
        <v> </v>
      </c>
      <c r="L3557" s="26"/>
    </row>
    <row r="3558" spans="1:12">
      <c r="A3558" s="20" t="s">
        <v>1664</v>
      </c>
      <c r="E3558" s="21">
        <f>IF(D3558="?OLD","!!!","")</f>
        <v/>
      </c>
      <c r="F3558" s="22" t="str">
        <f>IF(OR(E3558="",E3558="!!!"),"",IF(NOT(ISNA(VLOOKUP(E3558,E$1:E3557,1,FALSE()))),"OLD",IF(AND(E3558&lt;&gt;"",E3558&lt;&gt;"!!!"),"NEW","")))</f>
        <v> </v>
      </c>
      <c r="G3558" s="23" t="str">
        <f>IF(OR(E3558="",E3558="!!!"),"",IF(OR(J3558=0,AND(J3558=1,K3558=1),AND(J3558=1,I3558="SBJ"),AND(J3558=1,I3558=0)),"?IN_FOCUS",IF(J3558&lt;=2,"?ACTIVATED",IF(J3558&lt;&gt;"","?FAMILIAR",IF(F3558="NEW",IF(ISNA(VLOOKUP(E3558,#REF!,1,FALSE())),"?TYPE_IDENTIFIABLE","?REFERENTIAL"),"_")))))</f>
        <v> </v>
      </c>
      <c r="H3558" s="24" t="str">
        <f>IF(J3558&lt;&gt;1,"",IF(I3558="SBJ","CB","?"))</f>
        <v> </v>
      </c>
      <c r="I3558" s="25" t="str">
        <f>IF(OR(E3558="",E3558="!!!",F3558="NEW"),"",INDEX(B3557:B$2,-1+SUMPRODUCT(MAX(ROW(E3557:E$2)*(E3558=E3557:E$2)))))</f>
        <v> </v>
      </c>
      <c r="J3558" s="25" t="str">
        <f>IF(OR(E3558="",E3558="!!!",F3558="NEW"),"",COUNTBLANK(OFFSET(A$1,,,SUMPRODUCT(MAX(ROW(E$2:E3558)*(E3558=E$2:E3558)))))-COUNTBLANK(OFFSET(A$1,,,SUMPRODUCT(MAX(ROW(E$1:E3557)*(E2=E$1:E3557))))))</f>
        <v> </v>
      </c>
      <c r="K3558" s="25" t="str">
        <f>IF(OR(E3558="",E3558="!!!",F3558="NEW"),"",INDEX(J$1:J3557,SUMPRODUCT(MAX(ROW(E$1:E3557)*(E3558=E$1:E3557)))))</f>
        <v> </v>
      </c>
      <c r="L3558" s="26"/>
    </row>
    <row r="3559" spans="1:12">
      <c r="A3559" s="20" t="s">
        <v>625</v>
      </c>
      <c r="E3559" s="21">
        <f>IF(D3559="?OLD","!!!","")</f>
        <v/>
      </c>
      <c r="F3559" s="22" t="str">
        <f>IF(OR(E3559="",E3559="!!!"),"",IF(NOT(ISNA(VLOOKUP(E3559,E$1:E3558,1,FALSE()))),"OLD",IF(AND(E3559&lt;&gt;"",E3559&lt;&gt;"!!!"),"NEW","")))</f>
        <v> </v>
      </c>
      <c r="G3559" s="23" t="str">
        <f>IF(OR(E3559="",E3559="!!!"),"",IF(OR(J3559=0,AND(J3559=1,K3559=1),AND(J3559=1,I3559="SBJ"),AND(J3559=1,I3559=0)),"?IN_FOCUS",IF(J3559&lt;=2,"?ACTIVATED",IF(J3559&lt;&gt;"","?FAMILIAR",IF(F3559="NEW",IF(ISNA(VLOOKUP(E3559,#REF!,1,FALSE())),"?TYPE_IDENTIFIABLE","?REFERENTIAL"),"_")))))</f>
        <v> </v>
      </c>
      <c r="H3559" s="24" t="str">
        <f>IF(J3559&lt;&gt;1,"",IF(I3559="SBJ","CB","?"))</f>
        <v> </v>
      </c>
      <c r="I3559" s="25" t="str">
        <f>IF(OR(E3559="",E3559="!!!",F3559="NEW"),"",INDEX(B3558:B$2,-1+SUMPRODUCT(MAX(ROW(E3558:E$2)*(E3559=E3558:E$2)))))</f>
        <v> </v>
      </c>
      <c r="J3559" s="25" t="str">
        <f>IF(OR(E3559="",E3559="!!!",F3559="NEW"),"",COUNTBLANK(OFFSET(A$1,,,SUMPRODUCT(MAX(ROW(E$2:E3559)*(E3559=E$2:E3559)))))-COUNTBLANK(OFFSET(A$1,,,SUMPRODUCT(MAX(ROW(E$1:E3558)*(E2=E$1:E3558))))))</f>
        <v> </v>
      </c>
      <c r="K3559" s="25" t="str">
        <f>IF(OR(E3559="",E3559="!!!",F3559="NEW"),"",INDEX(J$1:J3558,SUMPRODUCT(MAX(ROW(E$1:E3558)*(E3559=E$1:E3558)))))</f>
        <v> </v>
      </c>
      <c r="L3559" s="26"/>
    </row>
    <row r="3560" spans="1:12">
      <c r="A3560" s="20" t="s">
        <v>542</v>
      </c>
      <c r="E3560" s="21">
        <f>IF(D3560="?OLD","!!!","")</f>
        <v/>
      </c>
      <c r="F3560" s="22" t="str">
        <f>IF(OR(E3560="",E3560="!!!"),"",IF(NOT(ISNA(VLOOKUP(E3560,E$1:E3559,1,FALSE()))),"OLD",IF(AND(E3560&lt;&gt;"",E3560&lt;&gt;"!!!"),"NEW","")))</f>
        <v> </v>
      </c>
      <c r="G3560" s="23" t="str">
        <f>IF(OR(E3560="",E3560="!!!"),"",IF(OR(J3560=0,AND(J3560=1,K3560=1),AND(J3560=1,I3560="SBJ"),AND(J3560=1,I3560=0)),"?IN_FOCUS",IF(J3560&lt;=2,"?ACTIVATED",IF(J3560&lt;&gt;"","?FAMILIAR",IF(F3560="NEW",IF(ISNA(VLOOKUP(E3560,#REF!,1,FALSE())),"?TYPE_IDENTIFIABLE","?REFERENTIAL"),"_")))))</f>
        <v> </v>
      </c>
      <c r="H3560" s="24" t="str">
        <f>IF(J3560&lt;&gt;1,"",IF(I3560="SBJ","CB","?"))</f>
        <v> </v>
      </c>
      <c r="I3560" s="25" t="str">
        <f>IF(OR(E3560="",E3560="!!!",F3560="NEW"),"",INDEX(B3559:B$2,-1+SUMPRODUCT(MAX(ROW(E3559:E$2)*(E3560=E3559:E$2)))))</f>
        <v> </v>
      </c>
      <c r="J3560" s="25" t="str">
        <f>IF(OR(E3560="",E3560="!!!",F3560="NEW"),"",COUNTBLANK(OFFSET(A$1,,,SUMPRODUCT(MAX(ROW(E$2:E3560)*(E3560=E$2:E3560)))))-COUNTBLANK(OFFSET(A$1,,,SUMPRODUCT(MAX(ROW(E$1:E3559)*(E2=E$1:E3559))))))</f>
        <v> </v>
      </c>
      <c r="K3560" s="25" t="str">
        <f>IF(OR(E3560="",E3560="!!!",F3560="NEW"),"",INDEX(J$1:J3559,SUMPRODUCT(MAX(ROW(E$1:E3559)*(E3560=E$1:E3559)))))</f>
        <v> </v>
      </c>
      <c r="L3560" s="26"/>
    </row>
    <row r="3561" spans="1:12">
      <c r="A3561" s="20" t="s">
        <v>787</v>
      </c>
      <c r="B3561" s="27" t="s">
        <v>641</v>
      </c>
      <c r="C3561" s="27" t="s">
        <v>669</v>
      </c>
      <c r="D3561" s="27" t="s">
        <v>524</v>
      </c>
      <c r="E3561" s="21">
        <f>IF(D3561="?OLD","!!!","")</f>
        <v/>
      </c>
      <c r="F3561" s="22" t="str">
        <f>IF(OR(E3561="",E3561="!!!"),"",IF(NOT(ISNA(VLOOKUP(E3561,E$1:E3560,1,FALSE()))),"OLD",IF(AND(E3561&lt;&gt;"",E3561&lt;&gt;"!!!"),"NEW","")))</f>
        <v> </v>
      </c>
      <c r="G3561" s="23" t="str">
        <f>IF(OR(E3561="",E3561="!!!"),"",IF(OR(J3561=0,AND(J3561=1,K3561=1),AND(J3561=1,I3561="SBJ"),AND(J3561=1,I3561=0)),"?IN_FOCUS",IF(J3561&lt;=2,"?ACTIVATED",IF(J3561&lt;&gt;"","?FAMILIAR",IF(F3561="NEW",IF(ISNA(VLOOKUP(E3561,#REF!,1,FALSE())),"?TYPE_IDENTIFIABLE","?REFERENTIAL"),"_")))))</f>
        <v> </v>
      </c>
      <c r="H3561" s="24" t="str">
        <f>IF(J3561&lt;&gt;1,"",IF(I3561="SBJ","CB","?"))</f>
        <v> </v>
      </c>
      <c r="I3561" s="25" t="str">
        <f>IF(OR(E3561="",E3561="!!!",F3561="NEW"),"",INDEX(B3560:B$2,-1+SUMPRODUCT(MAX(ROW(E3560:E$2)*(E3561=E3560:E$2)))))</f>
        <v> </v>
      </c>
      <c r="J3561" s="25" t="str">
        <f>IF(OR(E3561="",E3561="!!!",F3561="NEW"),"",COUNTBLANK(OFFSET(A$1,,,SUMPRODUCT(MAX(ROW(E$2:E3561)*(E3561=E$2:E3561)))))-COUNTBLANK(OFFSET(A$1,,,SUMPRODUCT(MAX(ROW(E$1:E3560)*(E2=E$1:E3560))))))</f>
        <v> </v>
      </c>
      <c r="K3561" s="25" t="str">
        <f>IF(OR(E3561="",E3561="!!!",F3561="NEW"),"",INDEX(J$1:J3560,SUMPRODUCT(MAX(ROW(E$1:E3560)*(E3561=E$1:E3560)))))</f>
        <v> </v>
      </c>
      <c r="L3561" s="26"/>
    </row>
    <row r="3562" spans="1:12">
      <c r="A3562" s="20" t="s">
        <v>1047</v>
      </c>
      <c r="B3562" s="27" t="s">
        <v>534</v>
      </c>
      <c r="C3562" s="27" t="s">
        <v>545</v>
      </c>
      <c r="D3562" s="27" t="s">
        <v>524</v>
      </c>
      <c r="E3562" s="21">
        <f>IF(D3562="?OLD","!!!","")</f>
        <v/>
      </c>
      <c r="F3562" s="22" t="str">
        <f>IF(OR(E3562="",E3562="!!!"),"",IF(NOT(ISNA(VLOOKUP(E3562,E$1:E3561,1,FALSE()))),"OLD",IF(AND(E3562&lt;&gt;"",E3562&lt;&gt;"!!!"),"NEW","")))</f>
        <v> </v>
      </c>
      <c r="G3562" s="23" t="str">
        <f>IF(OR(E3562="",E3562="!!!"),"",IF(OR(J3562=0,AND(J3562=1,K3562=1),AND(J3562=1,I3562="SBJ"),AND(J3562=1,I3562=0)),"?IN_FOCUS",IF(J3562&lt;=2,"?ACTIVATED",IF(J3562&lt;&gt;"","?FAMILIAR",IF(F3562="NEW",IF(ISNA(VLOOKUP(E3562,#REF!,1,FALSE())),"?TYPE_IDENTIFIABLE","?REFERENTIAL"),"_")))))</f>
        <v> </v>
      </c>
      <c r="H3562" s="24" t="str">
        <f>IF(J3562&lt;&gt;1,"",IF(I3562="SBJ","CB","?"))</f>
        <v> </v>
      </c>
      <c r="I3562" s="25" t="str">
        <f>IF(OR(E3562="",E3562="!!!",F3562="NEW"),"",INDEX(B3561:B$2,-1+SUMPRODUCT(MAX(ROW(E3561:E$2)*(E3562=E3561:E$2)))))</f>
        <v> </v>
      </c>
      <c r="J3562" s="25" t="str">
        <f>IF(OR(E3562="",E3562="!!!",F3562="NEW"),"",COUNTBLANK(OFFSET(A$1,,,SUMPRODUCT(MAX(ROW(E$2:E3562)*(E3562=E$2:E3562)))))-COUNTBLANK(OFFSET(A$1,,,SUMPRODUCT(MAX(ROW(E$1:E3561)*(E2=E$1:E3561))))))</f>
        <v> </v>
      </c>
      <c r="K3562" s="25" t="str">
        <f>IF(OR(E3562="",E3562="!!!",F3562="NEW"),"",INDEX(J$1:J3561,SUMPRODUCT(MAX(ROW(E$1:E3561)*(E3562=E$1:E3561)))))</f>
        <v> </v>
      </c>
      <c r="L3562" s="26"/>
    </row>
    <row r="3563" spans="1:12">
      <c r="A3563" s="20" t="s">
        <v>1665</v>
      </c>
      <c r="E3563" s="21">
        <f>IF(D3563="?OLD","!!!","")</f>
        <v/>
      </c>
      <c r="F3563" s="22" t="str">
        <f>IF(OR(E3563="",E3563="!!!"),"",IF(NOT(ISNA(VLOOKUP(E3563,E$1:E3562,1,FALSE()))),"OLD",IF(AND(E3563&lt;&gt;"",E3563&lt;&gt;"!!!"),"NEW","")))</f>
        <v> </v>
      </c>
      <c r="G3563" s="23" t="str">
        <f>IF(OR(E3563="",E3563="!!!"),"",IF(OR(J3563=0,AND(J3563=1,K3563=1),AND(J3563=1,I3563="SBJ"),AND(J3563=1,I3563=0)),"?IN_FOCUS",IF(J3563&lt;=2,"?ACTIVATED",IF(J3563&lt;&gt;"","?FAMILIAR",IF(F3563="NEW",IF(ISNA(VLOOKUP(E3563,#REF!,1,FALSE())),"?TYPE_IDENTIFIABLE","?REFERENTIAL"),"_")))))</f>
        <v> </v>
      </c>
      <c r="H3563" s="24" t="str">
        <f>IF(J3563&lt;&gt;1,"",IF(I3563="SBJ","CB","?"))</f>
        <v> </v>
      </c>
      <c r="I3563" s="25" t="str">
        <f>IF(OR(E3563="",E3563="!!!",F3563="NEW"),"",INDEX(B3562:B$2,-1+SUMPRODUCT(MAX(ROW(E3562:E$2)*(E3563=E3562:E$2)))))</f>
        <v> </v>
      </c>
      <c r="J3563" s="25" t="str">
        <f>IF(OR(E3563="",E3563="!!!",F3563="NEW"),"",COUNTBLANK(OFFSET(A$1,,,SUMPRODUCT(MAX(ROW(E$2:E3563)*(E3563=E$2:E3563)))))-COUNTBLANK(OFFSET(A$1,,,SUMPRODUCT(MAX(ROW(E$1:E3562)*(E2=E$1:E3562))))))</f>
        <v> </v>
      </c>
      <c r="K3563" s="25" t="str">
        <f>IF(OR(E3563="",E3563="!!!",F3563="NEW"),"",INDEX(J$1:J3562,SUMPRODUCT(MAX(ROW(E$1:E3562)*(E3563=E$1:E3562)))))</f>
        <v> </v>
      </c>
      <c r="L3563" s="26"/>
    </row>
    <row r="3564" spans="1:12">
      <c r="A3564" s="20" t="s">
        <v>541</v>
      </c>
      <c r="E3564" s="21">
        <f>IF(D3564="?OLD","!!!","")</f>
        <v/>
      </c>
      <c r="F3564" s="22" t="str">
        <f>IF(OR(E3564="",E3564="!!!"),"",IF(NOT(ISNA(VLOOKUP(E3564,E$1:E3563,1,FALSE()))),"OLD",IF(AND(E3564&lt;&gt;"",E3564&lt;&gt;"!!!"),"NEW","")))</f>
        <v> </v>
      </c>
      <c r="G3564" s="23" t="str">
        <f>IF(OR(E3564="",E3564="!!!"),"",IF(OR(J3564=0,AND(J3564=1,K3564=1),AND(J3564=1,I3564="SBJ"),AND(J3564=1,I3564=0)),"?IN_FOCUS",IF(J3564&lt;=2,"?ACTIVATED",IF(J3564&lt;&gt;"","?FAMILIAR",IF(F3564="NEW",IF(ISNA(VLOOKUP(E3564,#REF!,1,FALSE())),"?TYPE_IDENTIFIABLE","?REFERENTIAL"),"_")))))</f>
        <v> </v>
      </c>
      <c r="H3564" s="24" t="str">
        <f>IF(J3564&lt;&gt;1,"",IF(I3564="SBJ","CB","?"))</f>
        <v> </v>
      </c>
      <c r="I3564" s="25" t="str">
        <f>IF(OR(E3564="",E3564="!!!",F3564="NEW"),"",INDEX(B3563:B$2,-1+SUMPRODUCT(MAX(ROW(E3563:E$2)*(E3564=E3563:E$2)))))</f>
        <v> </v>
      </c>
      <c r="J3564" s="25" t="str">
        <f>IF(OR(E3564="",E3564="!!!",F3564="NEW"),"",COUNTBLANK(OFFSET(A$1,,,SUMPRODUCT(MAX(ROW(E$2:E3564)*(E3564=E$2:E3564)))))-COUNTBLANK(OFFSET(A$1,,,SUMPRODUCT(MAX(ROW(E$1:E3563)*(E2=E$1:E3563))))))</f>
        <v> </v>
      </c>
      <c r="K3564" s="25" t="str">
        <f>IF(OR(E3564="",E3564="!!!",F3564="NEW"),"",INDEX(J$1:J3563,SUMPRODUCT(MAX(ROW(E$1:E3563)*(E3564=E$1:E3563)))))</f>
        <v> </v>
      </c>
      <c r="L3564" s="26"/>
    </row>
    <row r="3565" spans="1:12">
      <c r="A3565" s="20" t="s">
        <v>1666</v>
      </c>
      <c r="E3565" s="21">
        <f>IF(D3565="?OLD","!!!","")</f>
        <v/>
      </c>
      <c r="F3565" s="22" t="str">
        <f>IF(OR(E3565="",E3565="!!!"),"",IF(NOT(ISNA(VLOOKUP(E3565,E$1:E3564,1,FALSE()))),"OLD",IF(AND(E3565&lt;&gt;"",E3565&lt;&gt;"!!!"),"NEW","")))</f>
        <v> </v>
      </c>
      <c r="G3565" s="23" t="str">
        <f>IF(OR(E3565="",E3565="!!!"),"",IF(OR(J3565=0,AND(J3565=1,K3565=1),AND(J3565=1,I3565="SBJ"),AND(J3565=1,I3565=0)),"?IN_FOCUS",IF(J3565&lt;=2,"?ACTIVATED",IF(J3565&lt;&gt;"","?FAMILIAR",IF(F3565="NEW",IF(ISNA(VLOOKUP(E3565,#REF!,1,FALSE())),"?TYPE_IDENTIFIABLE","?REFERENTIAL"),"_")))))</f>
        <v> </v>
      </c>
      <c r="H3565" s="24" t="str">
        <f>IF(J3565&lt;&gt;1,"",IF(I3565="SBJ","CB","?"))</f>
        <v> </v>
      </c>
      <c r="I3565" s="25" t="str">
        <f>IF(OR(E3565="",E3565="!!!",F3565="NEW"),"",INDEX(B3564:B$2,-1+SUMPRODUCT(MAX(ROW(E3564:E$2)*(E3565=E3564:E$2)))))</f>
        <v> </v>
      </c>
      <c r="J3565" s="25" t="str">
        <f>IF(OR(E3565="",E3565="!!!",F3565="NEW"),"",COUNTBLANK(OFFSET(A$1,,,SUMPRODUCT(MAX(ROW(E$2:E3565)*(E3565=E$2:E3565)))))-COUNTBLANK(OFFSET(A$1,,,SUMPRODUCT(MAX(ROW(E$1:E3564)*(E2=E$1:E3564))))))</f>
        <v> </v>
      </c>
      <c r="K3565" s="25" t="str">
        <f>IF(OR(E3565="",E3565="!!!",F3565="NEW"),"",INDEX(J$1:J3564,SUMPRODUCT(MAX(ROW(E$1:E3564)*(E3565=E$1:E3564)))))</f>
        <v> </v>
      </c>
      <c r="L3565" s="26"/>
    </row>
    <row r="3566" spans="1:12">
      <c r="A3566" s="20" t="s">
        <v>549</v>
      </c>
      <c r="E3566" s="21">
        <f>IF(D3566="?OLD","!!!","")</f>
        <v/>
      </c>
      <c r="F3566" s="22" t="str">
        <f>IF(OR(E3566="",E3566="!!!"),"",IF(NOT(ISNA(VLOOKUP(E3566,E$1:E3565,1,FALSE()))),"OLD",IF(AND(E3566&lt;&gt;"",E3566&lt;&gt;"!!!"),"NEW","")))</f>
        <v> </v>
      </c>
      <c r="G3566" s="23" t="str">
        <f>IF(OR(E3566="",E3566="!!!"),"",IF(OR(J3566=0,AND(J3566=1,K3566=1),AND(J3566=1,I3566="SBJ"),AND(J3566=1,I3566=0)),"?IN_FOCUS",IF(J3566&lt;=2,"?ACTIVATED",IF(J3566&lt;&gt;"","?FAMILIAR",IF(F3566="NEW",IF(ISNA(VLOOKUP(E3566,#REF!,1,FALSE())),"?TYPE_IDENTIFIABLE","?REFERENTIAL"),"_")))))</f>
        <v> </v>
      </c>
      <c r="H3566" s="24" t="str">
        <f>IF(J3566&lt;&gt;1,"",IF(I3566="SBJ","CB","?"))</f>
        <v> </v>
      </c>
      <c r="I3566" s="25" t="str">
        <f>IF(OR(E3566="",E3566="!!!",F3566="NEW"),"",INDEX(B3565:B$2,-1+SUMPRODUCT(MAX(ROW(E3565:E$2)*(E3566=E3565:E$2)))))</f>
        <v> </v>
      </c>
      <c r="J3566" s="25" t="str">
        <f>IF(OR(E3566="",E3566="!!!",F3566="NEW"),"",COUNTBLANK(OFFSET(A$1,,,SUMPRODUCT(MAX(ROW(E$2:E3566)*(E3566=E$2:E3566)))))-COUNTBLANK(OFFSET(A$1,,,SUMPRODUCT(MAX(ROW(E$1:E3565)*(E2=E$1:E3565))))))</f>
        <v> </v>
      </c>
      <c r="K3566" s="25" t="str">
        <f>IF(OR(E3566="",E3566="!!!",F3566="NEW"),"",INDEX(J$1:J3565,SUMPRODUCT(MAX(ROW(E$1:E3565)*(E3566=E$1:E3565)))))</f>
        <v> </v>
      </c>
      <c r="L3566" s="26"/>
    </row>
    <row r="3567" spans="1:12">
      <c r="A3567" s="20"/>
    </row>
    <row r="3568" spans="1:12">
      <c r="A3568" s="20" t="s">
        <v>1667</v>
      </c>
    </row>
    <row r="3569" spans="1:12">
      <c r="A3569" s="20" t="s">
        <v>1332</v>
      </c>
      <c r="E3569" s="21">
        <f>IF(D3569="?OLD","!!!","")</f>
        <v/>
      </c>
      <c r="F3569" s="22" t="str">
        <f>IF(OR(E3569="",E3569="!!!"),"",IF(NOT(ISNA(VLOOKUP(E3569,E$1:E3568,1,FALSE()))),"OLD",IF(AND(E3569&lt;&gt;"",E3569&lt;&gt;"!!!"),"NEW","")))</f>
        <v> </v>
      </c>
      <c r="G3569" s="23" t="str">
        <f>IF(OR(E3569="",E3569="!!!"),"",IF(OR(J3569=0,AND(J3569=1,K3569=1),AND(J3569=1,I3569="SBJ"),AND(J3569=1,I3569=0)),"?IN_FOCUS",IF(J3569&lt;=2,"?ACTIVATED",IF(J3569&lt;&gt;"","?FAMILIAR",IF(F3569="NEW",IF(ISNA(VLOOKUP(E3569,#REF!,1,FALSE())),"?TYPE_IDENTIFIABLE","?REFERENTIAL"),"_")))))</f>
        <v> </v>
      </c>
      <c r="H3569" s="24" t="str">
        <f>IF(J3569&lt;&gt;1,"",IF(I3569="SBJ","CB","?"))</f>
        <v> </v>
      </c>
      <c r="I3569" s="25" t="str">
        <f>IF(OR(E3569="",E3569="!!!",F3569="NEW"),"",INDEX(B3568:B$2,-1+SUMPRODUCT(MAX(ROW(E3568:E$2)*(E3569=E3568:E$2)))))</f>
        <v> </v>
      </c>
      <c r="J3569" s="25" t="str">
        <f>IF(OR(E3569="",E3569="!!!",F3569="NEW"),"",COUNTBLANK(OFFSET(A$1,,,SUMPRODUCT(MAX(ROW(E$2:E3569)*(E3569=E$2:E3569)))))-COUNTBLANK(OFFSET(A$1,,,SUMPRODUCT(MAX(ROW(E$1:E3568)*(E2=E$1:E3568))))))</f>
        <v> </v>
      </c>
      <c r="K3569" s="25" t="str">
        <f>IF(OR(E3569="",E3569="!!!",F3569="NEW"),"",INDEX(J$1:J3568,SUMPRODUCT(MAX(ROW(E$1:E3568)*(E3569=E$1:E3568)))))</f>
        <v> </v>
      </c>
      <c r="L3569" s="26"/>
    </row>
    <row r="3570" spans="1:12">
      <c r="A3570" s="20" t="s">
        <v>565</v>
      </c>
      <c r="E3570" s="21">
        <f>IF(D3570="?OLD","!!!","")</f>
        <v/>
      </c>
      <c r="F3570" s="22" t="str">
        <f>IF(OR(E3570="",E3570="!!!"),"",IF(NOT(ISNA(VLOOKUP(E3570,E$1:E3569,1,FALSE()))),"OLD",IF(AND(E3570&lt;&gt;"",E3570&lt;&gt;"!!!"),"NEW","")))</f>
        <v> </v>
      </c>
      <c r="G3570" s="23" t="str">
        <f>IF(OR(E3570="",E3570="!!!"),"",IF(OR(J3570=0,AND(J3570=1,K3570=1),AND(J3570=1,I3570="SBJ"),AND(J3570=1,I3570=0)),"?IN_FOCUS",IF(J3570&lt;=2,"?ACTIVATED",IF(J3570&lt;&gt;"","?FAMILIAR",IF(F3570="NEW",IF(ISNA(VLOOKUP(E3570,#REF!,1,FALSE())),"?TYPE_IDENTIFIABLE","?REFERENTIAL"),"_")))))</f>
        <v> </v>
      </c>
      <c r="H3570" s="24" t="str">
        <f>IF(J3570&lt;&gt;1,"",IF(I3570="SBJ","CB","?"))</f>
        <v> </v>
      </c>
      <c r="I3570" s="25" t="str">
        <f>IF(OR(E3570="",E3570="!!!",F3570="NEW"),"",INDEX(B3569:B$2,-1+SUMPRODUCT(MAX(ROW(E3569:E$2)*(E3570=E3569:E$2)))))</f>
        <v> </v>
      </c>
      <c r="J3570" s="25" t="str">
        <f>IF(OR(E3570="",E3570="!!!",F3570="NEW"),"",COUNTBLANK(OFFSET(A$1,,,SUMPRODUCT(MAX(ROW(E$2:E3570)*(E3570=E$2:E3570)))))-COUNTBLANK(OFFSET(A$1,,,SUMPRODUCT(MAX(ROW(E$1:E3569)*(E2=E$1:E3569))))))</f>
        <v> </v>
      </c>
      <c r="K3570" s="25" t="str">
        <f>IF(OR(E3570="",E3570="!!!",F3570="NEW"),"",INDEX(J$1:J3569,SUMPRODUCT(MAX(ROW(E$1:E3569)*(E3570=E$1:E3569)))))</f>
        <v> </v>
      </c>
      <c r="L3570" s="26"/>
    </row>
    <row r="3571" spans="1:12">
      <c r="A3571" s="20" t="s">
        <v>577</v>
      </c>
      <c r="E3571" s="21">
        <f>IF(D3571="?OLD","!!!","")</f>
        <v/>
      </c>
      <c r="F3571" s="22" t="str">
        <f>IF(OR(E3571="",E3571="!!!"),"",IF(NOT(ISNA(VLOOKUP(E3571,E$1:E3570,1,FALSE()))),"OLD",IF(AND(E3571&lt;&gt;"",E3571&lt;&gt;"!!!"),"NEW","")))</f>
        <v> </v>
      </c>
      <c r="G3571" s="23" t="str">
        <f>IF(OR(E3571="",E3571="!!!"),"",IF(OR(J3571=0,AND(J3571=1,K3571=1),AND(J3571=1,I3571="SBJ"),AND(J3571=1,I3571=0)),"?IN_FOCUS",IF(J3571&lt;=2,"?ACTIVATED",IF(J3571&lt;&gt;"","?FAMILIAR",IF(F3571="NEW",IF(ISNA(VLOOKUP(E3571,#REF!,1,FALSE())),"?TYPE_IDENTIFIABLE","?REFERENTIAL"),"_")))))</f>
        <v> </v>
      </c>
      <c r="H3571" s="24" t="str">
        <f>IF(J3571&lt;&gt;1,"",IF(I3571="SBJ","CB","?"))</f>
        <v> </v>
      </c>
      <c r="I3571" s="25" t="str">
        <f>IF(OR(E3571="",E3571="!!!",F3571="NEW"),"",INDEX(B3570:B$2,-1+SUMPRODUCT(MAX(ROW(E3570:E$2)*(E3571=E3570:E$2)))))</f>
        <v> </v>
      </c>
      <c r="J3571" s="25" t="str">
        <f>IF(OR(E3571="",E3571="!!!",F3571="NEW"),"",COUNTBLANK(OFFSET(A$1,,,SUMPRODUCT(MAX(ROW(E$2:E3571)*(E3571=E$2:E3571)))))-COUNTBLANK(OFFSET(A$1,,,SUMPRODUCT(MAX(ROW(E$1:E3570)*(E2=E$1:E3570))))))</f>
        <v> </v>
      </c>
      <c r="K3571" s="25" t="str">
        <f>IF(OR(E3571="",E3571="!!!",F3571="NEW"),"",INDEX(J$1:J3570,SUMPRODUCT(MAX(ROW(E$1:E3570)*(E3571=E$1:E3570)))))</f>
        <v> </v>
      </c>
      <c r="L3571" s="26"/>
    </row>
    <row r="3572" spans="1:12">
      <c r="A3572" s="20" t="s">
        <v>1590</v>
      </c>
      <c r="B3572" s="27" t="s">
        <v>592</v>
      </c>
      <c r="C3572" s="27" t="s">
        <v>540</v>
      </c>
      <c r="D3572" s="27" t="s">
        <v>524</v>
      </c>
      <c r="E3572" s="21">
        <f>IF(D3572="?OLD","!!!","")</f>
        <v/>
      </c>
      <c r="F3572" s="22" t="str">
        <f>IF(OR(E3572="",E3572="!!!"),"",IF(NOT(ISNA(VLOOKUP(E3572,E$1:E3571,1,FALSE()))),"OLD",IF(AND(E3572&lt;&gt;"",E3572&lt;&gt;"!!!"),"NEW","")))</f>
        <v> </v>
      </c>
      <c r="G3572" s="23" t="str">
        <f>IF(OR(E3572="",E3572="!!!"),"",IF(OR(J3572=0,AND(J3572=1,K3572=1),AND(J3572=1,I3572="SBJ"),AND(J3572=1,I3572=0)),"?IN_FOCUS",IF(J3572&lt;=2,"?ACTIVATED",IF(J3572&lt;&gt;"","?FAMILIAR",IF(F3572="NEW",IF(ISNA(VLOOKUP(E3572,#REF!,1,FALSE())),"?TYPE_IDENTIFIABLE","?REFERENTIAL"),"_")))))</f>
        <v> </v>
      </c>
      <c r="H3572" s="24" t="str">
        <f>IF(J3572&lt;&gt;1,"",IF(I3572="SBJ","CB","?"))</f>
        <v> </v>
      </c>
      <c r="I3572" s="25" t="str">
        <f>IF(OR(E3572="",E3572="!!!",F3572="NEW"),"",INDEX(B3571:B$2,-1+SUMPRODUCT(MAX(ROW(E3571:E$2)*(E3572=E3571:E$2)))))</f>
        <v> </v>
      </c>
      <c r="J3572" s="25" t="str">
        <f>IF(OR(E3572="",E3572="!!!",F3572="NEW"),"",COUNTBLANK(OFFSET(A$1,,,SUMPRODUCT(MAX(ROW(E$2:E3572)*(E3572=E$2:E3572)))))-COUNTBLANK(OFFSET(A$1,,,SUMPRODUCT(MAX(ROW(E$1:E3571)*(E2=E$1:E3571))))))</f>
        <v> </v>
      </c>
      <c r="K3572" s="25" t="str">
        <f>IF(OR(E3572="",E3572="!!!",F3572="NEW"),"",INDEX(J$1:J3571,SUMPRODUCT(MAX(ROW(E$1:E3571)*(E3572=E$1:E3571)))))</f>
        <v> </v>
      </c>
      <c r="L3572" s="26"/>
    </row>
    <row r="3573" spans="1:12">
      <c r="A3573" s="20" t="s">
        <v>518</v>
      </c>
      <c r="E3573" s="21">
        <f>IF(D3573="?OLD","!!!","")</f>
        <v/>
      </c>
      <c r="F3573" s="22" t="str">
        <f>IF(OR(E3573="",E3573="!!!"),"",IF(NOT(ISNA(VLOOKUP(E3573,E$1:E3572,1,FALSE()))),"OLD",IF(AND(E3573&lt;&gt;"",E3573&lt;&gt;"!!!"),"NEW","")))</f>
        <v> </v>
      </c>
      <c r="G3573" s="23" t="str">
        <f>IF(OR(E3573="",E3573="!!!"),"",IF(OR(J3573=0,AND(J3573=1,K3573=1),AND(J3573=1,I3573="SBJ"),AND(J3573=1,I3573=0)),"?IN_FOCUS",IF(J3573&lt;=2,"?ACTIVATED",IF(J3573&lt;&gt;"","?FAMILIAR",IF(F3573="NEW",IF(ISNA(VLOOKUP(E3573,#REF!,1,FALSE())),"?TYPE_IDENTIFIABLE","?REFERENTIAL"),"_")))))</f>
        <v> </v>
      </c>
      <c r="H3573" s="24" t="str">
        <f>IF(J3573&lt;&gt;1,"",IF(I3573="SBJ","CB","?"))</f>
        <v> </v>
      </c>
      <c r="I3573" s="25" t="str">
        <f>IF(OR(E3573="",E3573="!!!",F3573="NEW"),"",INDEX(B3572:B$2,-1+SUMPRODUCT(MAX(ROW(E3572:E$2)*(E3573=E3572:E$2)))))</f>
        <v> </v>
      </c>
      <c r="J3573" s="25" t="str">
        <f>IF(OR(E3573="",E3573="!!!",F3573="NEW"),"",COUNTBLANK(OFFSET(A$1,,,SUMPRODUCT(MAX(ROW(E$2:E3573)*(E3573=E$2:E3573)))))-COUNTBLANK(OFFSET(A$1,,,SUMPRODUCT(MAX(ROW(E$1:E3572)*(E2=E$1:E3572))))))</f>
        <v> </v>
      </c>
      <c r="K3573" s="25" t="str">
        <f>IF(OR(E3573="",E3573="!!!",F3573="NEW"),"",INDEX(J$1:J3572,SUMPRODUCT(MAX(ROW(E$1:E3572)*(E3573=E$1:E3572)))))</f>
        <v> </v>
      </c>
      <c r="L3573" s="26"/>
    </row>
    <row r="3574" spans="1:12">
      <c r="A3574" s="20" t="s">
        <v>856</v>
      </c>
      <c r="B3574" s="27" t="s">
        <v>597</v>
      </c>
      <c r="C3574" s="27" t="s">
        <v>584</v>
      </c>
      <c r="D3574" s="27" t="s">
        <v>524</v>
      </c>
      <c r="E3574" s="21">
        <f>IF(D3574="?OLD","!!!","")</f>
        <v/>
      </c>
      <c r="F3574" s="22" t="str">
        <f>IF(OR(E3574="",E3574="!!!"),"",IF(NOT(ISNA(VLOOKUP(E3574,E$1:E3573,1,FALSE()))),"OLD",IF(AND(E3574&lt;&gt;"",E3574&lt;&gt;"!!!"),"NEW","")))</f>
        <v> </v>
      </c>
      <c r="G3574" s="23" t="str">
        <f>IF(OR(E3574="",E3574="!!!"),"",IF(OR(J3574=0,AND(J3574=1,K3574=1),AND(J3574=1,I3574="SBJ"),AND(J3574=1,I3574=0)),"?IN_FOCUS",IF(J3574&lt;=2,"?ACTIVATED",IF(J3574&lt;&gt;"","?FAMILIAR",IF(F3574="NEW",IF(ISNA(VLOOKUP(E3574,#REF!,1,FALSE())),"?TYPE_IDENTIFIABLE","?REFERENTIAL"),"_")))))</f>
        <v> </v>
      </c>
      <c r="H3574" s="24" t="str">
        <f>IF(J3574&lt;&gt;1,"",IF(I3574="SBJ","CB","?"))</f>
        <v> </v>
      </c>
      <c r="I3574" s="25" t="str">
        <f>IF(OR(E3574="",E3574="!!!",F3574="NEW"),"",INDEX(B3573:B$2,-1+SUMPRODUCT(MAX(ROW(E3573:E$2)*(E3574=E3573:E$2)))))</f>
        <v> </v>
      </c>
      <c r="J3574" s="25" t="str">
        <f>IF(OR(E3574="",E3574="!!!",F3574="NEW"),"",COUNTBLANK(OFFSET(A$1,,,SUMPRODUCT(MAX(ROW(E$2:E3574)*(E3574=E$2:E3574)))))-COUNTBLANK(OFFSET(A$1,,,SUMPRODUCT(MAX(ROW(E$1:E3573)*(E2=E$1:E3573))))))</f>
        <v> </v>
      </c>
      <c r="K3574" s="25" t="str">
        <f>IF(OR(E3574="",E3574="!!!",F3574="NEW"),"",INDEX(J$1:J3573,SUMPRODUCT(MAX(ROW(E$1:E3573)*(E3574=E$1:E3573)))))</f>
        <v> </v>
      </c>
      <c r="L3574" s="26"/>
    </row>
    <row r="3575" spans="1:12">
      <c r="A3575" s="20" t="s">
        <v>565</v>
      </c>
      <c r="E3575" s="21">
        <f>IF(D3575="?OLD","!!!","")</f>
        <v/>
      </c>
      <c r="F3575" s="22" t="str">
        <f>IF(OR(E3575="",E3575="!!!"),"",IF(NOT(ISNA(VLOOKUP(E3575,E$1:E3574,1,FALSE()))),"OLD",IF(AND(E3575&lt;&gt;"",E3575&lt;&gt;"!!!"),"NEW","")))</f>
        <v> </v>
      </c>
      <c r="G3575" s="23" t="str">
        <f>IF(OR(E3575="",E3575="!!!"),"",IF(OR(J3575=0,AND(J3575=1,K3575=1),AND(J3575=1,I3575="SBJ"),AND(J3575=1,I3575=0)),"?IN_FOCUS",IF(J3575&lt;=2,"?ACTIVATED",IF(J3575&lt;&gt;"","?FAMILIAR",IF(F3575="NEW",IF(ISNA(VLOOKUP(E3575,#REF!,1,FALSE())),"?TYPE_IDENTIFIABLE","?REFERENTIAL"),"_")))))</f>
        <v> </v>
      </c>
      <c r="H3575" s="24" t="str">
        <f>IF(J3575&lt;&gt;1,"",IF(I3575="SBJ","CB","?"))</f>
        <v> </v>
      </c>
      <c r="I3575" s="25" t="str">
        <f>IF(OR(E3575="",E3575="!!!",F3575="NEW"),"",INDEX(B3574:B$2,-1+SUMPRODUCT(MAX(ROW(E3574:E$2)*(E3575=E3574:E$2)))))</f>
        <v> </v>
      </c>
      <c r="J3575" s="25" t="str">
        <f>IF(OR(E3575="",E3575="!!!",F3575="NEW"),"",COUNTBLANK(OFFSET(A$1,,,SUMPRODUCT(MAX(ROW(E$2:E3575)*(E3575=E$2:E3575)))))-COUNTBLANK(OFFSET(A$1,,,SUMPRODUCT(MAX(ROW(E$1:E3574)*(E2=E$1:E3574))))))</f>
        <v> </v>
      </c>
      <c r="K3575" s="25" t="str">
        <f>IF(OR(E3575="",E3575="!!!",F3575="NEW"),"",INDEX(J$1:J3574,SUMPRODUCT(MAX(ROW(E$1:E3574)*(E3575=E$1:E3574)))))</f>
        <v> </v>
      </c>
      <c r="L3575" s="26"/>
    </row>
    <row r="3576" spans="1:12">
      <c r="A3576" s="20" t="s">
        <v>1247</v>
      </c>
      <c r="E3576" s="21">
        <f>IF(D3576="?OLD","!!!","")</f>
        <v/>
      </c>
      <c r="F3576" s="22" t="str">
        <f>IF(OR(E3576="",E3576="!!!"),"",IF(NOT(ISNA(VLOOKUP(E3576,E$1:E3575,1,FALSE()))),"OLD",IF(AND(E3576&lt;&gt;"",E3576&lt;&gt;"!!!"),"NEW","")))</f>
        <v> </v>
      </c>
      <c r="G3576" s="23" t="str">
        <f>IF(OR(E3576="",E3576="!!!"),"",IF(OR(J3576=0,AND(J3576=1,K3576=1),AND(J3576=1,I3576="SBJ"),AND(J3576=1,I3576=0)),"?IN_FOCUS",IF(J3576&lt;=2,"?ACTIVATED",IF(J3576&lt;&gt;"","?FAMILIAR",IF(F3576="NEW",IF(ISNA(VLOOKUP(E3576,#REF!,1,FALSE())),"?TYPE_IDENTIFIABLE","?REFERENTIAL"),"_")))))</f>
        <v> </v>
      </c>
      <c r="H3576" s="24" t="str">
        <f>IF(J3576&lt;&gt;1,"",IF(I3576="SBJ","CB","?"))</f>
        <v> </v>
      </c>
      <c r="I3576" s="25" t="str">
        <f>IF(OR(E3576="",E3576="!!!",F3576="NEW"),"",INDEX(B3575:B$2,-1+SUMPRODUCT(MAX(ROW(E3575:E$2)*(E3576=E3575:E$2)))))</f>
        <v> </v>
      </c>
      <c r="J3576" s="25" t="str">
        <f>IF(OR(E3576="",E3576="!!!",F3576="NEW"),"",COUNTBLANK(OFFSET(A$1,,,SUMPRODUCT(MAX(ROW(E$2:E3576)*(E3576=E$2:E3576)))))-COUNTBLANK(OFFSET(A$1,,,SUMPRODUCT(MAX(ROW(E$1:E3575)*(E2=E$1:E3575))))))</f>
        <v> </v>
      </c>
      <c r="K3576" s="25" t="str">
        <f>IF(OR(E3576="",E3576="!!!",F3576="NEW"),"",INDEX(J$1:J3575,SUMPRODUCT(MAX(ROW(E$1:E3575)*(E3576=E$1:E3575)))))</f>
        <v> </v>
      </c>
      <c r="L3576" s="26"/>
    </row>
    <row r="3577" spans="1:12">
      <c r="A3577" s="20" t="s">
        <v>1668</v>
      </c>
      <c r="E3577" s="21">
        <f>IF(D3577="?OLD","!!!","")</f>
        <v/>
      </c>
      <c r="F3577" s="22" t="str">
        <f>IF(OR(E3577="",E3577="!!!"),"",IF(NOT(ISNA(VLOOKUP(E3577,E$1:E3576,1,FALSE()))),"OLD",IF(AND(E3577&lt;&gt;"",E3577&lt;&gt;"!!!"),"NEW","")))</f>
        <v> </v>
      </c>
      <c r="G3577" s="23" t="str">
        <f>IF(OR(E3577="",E3577="!!!"),"",IF(OR(J3577=0,AND(J3577=1,K3577=1),AND(J3577=1,I3577="SBJ"),AND(J3577=1,I3577=0)),"?IN_FOCUS",IF(J3577&lt;=2,"?ACTIVATED",IF(J3577&lt;&gt;"","?FAMILIAR",IF(F3577="NEW",IF(ISNA(VLOOKUP(E3577,#REF!,1,FALSE())),"?TYPE_IDENTIFIABLE","?REFERENTIAL"),"_")))))</f>
        <v> </v>
      </c>
      <c r="H3577" s="24" t="str">
        <f>IF(J3577&lt;&gt;1,"",IF(I3577="SBJ","CB","?"))</f>
        <v> </v>
      </c>
      <c r="I3577" s="25" t="str">
        <f>IF(OR(E3577="",E3577="!!!",F3577="NEW"),"",INDEX(B3576:B$2,-1+SUMPRODUCT(MAX(ROW(E3576:E$2)*(E3577=E3576:E$2)))))</f>
        <v> </v>
      </c>
      <c r="J3577" s="25" t="str">
        <f>IF(OR(E3577="",E3577="!!!",F3577="NEW"),"",COUNTBLANK(OFFSET(A$1,,,SUMPRODUCT(MAX(ROW(E$2:E3577)*(E3577=E$2:E3577)))))-COUNTBLANK(OFFSET(A$1,,,SUMPRODUCT(MAX(ROW(E$1:E3576)*(E2=E$1:E3576))))))</f>
        <v> </v>
      </c>
      <c r="K3577" s="25" t="str">
        <f>IF(OR(E3577="",E3577="!!!",F3577="NEW"),"",INDEX(J$1:J3576,SUMPRODUCT(MAX(ROW(E$1:E3576)*(E3577=E$1:E3576)))))</f>
        <v> </v>
      </c>
      <c r="L3577" s="26"/>
    </row>
    <row r="3578" spans="1:12">
      <c r="A3578" s="20" t="s">
        <v>542</v>
      </c>
      <c r="E3578" s="21">
        <f>IF(D3578="?OLD","!!!","")</f>
        <v/>
      </c>
      <c r="F3578" s="22" t="str">
        <f>IF(OR(E3578="",E3578="!!!"),"",IF(NOT(ISNA(VLOOKUP(E3578,E$1:E3577,1,FALSE()))),"OLD",IF(AND(E3578&lt;&gt;"",E3578&lt;&gt;"!!!"),"NEW","")))</f>
        <v> </v>
      </c>
      <c r="G3578" s="23" t="str">
        <f>IF(OR(E3578="",E3578="!!!"),"",IF(OR(J3578=0,AND(J3578=1,K3578=1),AND(J3578=1,I3578="SBJ"),AND(J3578=1,I3578=0)),"?IN_FOCUS",IF(J3578&lt;=2,"?ACTIVATED",IF(J3578&lt;&gt;"","?FAMILIAR",IF(F3578="NEW",IF(ISNA(VLOOKUP(E3578,#REF!,1,FALSE())),"?TYPE_IDENTIFIABLE","?REFERENTIAL"),"_")))))</f>
        <v> </v>
      </c>
      <c r="H3578" s="24" t="str">
        <f>IF(J3578&lt;&gt;1,"",IF(I3578="SBJ","CB","?"))</f>
        <v> </v>
      </c>
      <c r="I3578" s="25" t="str">
        <f>IF(OR(E3578="",E3578="!!!",F3578="NEW"),"",INDEX(B3577:B$2,-1+SUMPRODUCT(MAX(ROW(E3577:E$2)*(E3578=E3577:E$2)))))</f>
        <v> </v>
      </c>
      <c r="J3578" s="25" t="str">
        <f>IF(OR(E3578="",E3578="!!!",F3578="NEW"),"",COUNTBLANK(OFFSET(A$1,,,SUMPRODUCT(MAX(ROW(E$2:E3578)*(E3578=E$2:E3578)))))-COUNTBLANK(OFFSET(A$1,,,SUMPRODUCT(MAX(ROW(E$1:E3577)*(E2=E$1:E3577))))))</f>
        <v> </v>
      </c>
      <c r="K3578" s="25" t="str">
        <f>IF(OR(E3578="",E3578="!!!",F3578="NEW"),"",INDEX(J$1:J3577,SUMPRODUCT(MAX(ROW(E$1:E3577)*(E3578=E$1:E3577)))))</f>
        <v> </v>
      </c>
      <c r="L3578" s="26"/>
    </row>
    <row r="3579" spans="1:12">
      <c r="A3579" s="20" t="s">
        <v>787</v>
      </c>
      <c r="B3579" s="27" t="s">
        <v>544</v>
      </c>
      <c r="C3579" s="27" t="s">
        <v>669</v>
      </c>
      <c r="D3579" s="27" t="s">
        <v>524</v>
      </c>
      <c r="E3579" s="21">
        <f>IF(D3579="?OLD","!!!","")</f>
        <v/>
      </c>
      <c r="F3579" s="22" t="str">
        <f>IF(OR(E3579="",E3579="!!!"),"",IF(NOT(ISNA(VLOOKUP(E3579,E$1:E3578,1,FALSE()))),"OLD",IF(AND(E3579&lt;&gt;"",E3579&lt;&gt;"!!!"),"NEW","")))</f>
        <v> </v>
      </c>
      <c r="G3579" s="23" t="str">
        <f>IF(OR(E3579="",E3579="!!!"),"",IF(OR(J3579=0,AND(J3579=1,K3579=1),AND(J3579=1,I3579="SBJ"),AND(J3579=1,I3579=0)),"?IN_FOCUS",IF(J3579&lt;=2,"?ACTIVATED",IF(J3579&lt;&gt;"","?FAMILIAR",IF(F3579="NEW",IF(ISNA(VLOOKUP(E3579,#REF!,1,FALSE())),"?TYPE_IDENTIFIABLE","?REFERENTIAL"),"_")))))</f>
        <v> </v>
      </c>
      <c r="H3579" s="24" t="str">
        <f>IF(J3579&lt;&gt;1,"",IF(I3579="SBJ","CB","?"))</f>
        <v> </v>
      </c>
      <c r="I3579" s="25" t="str">
        <f>IF(OR(E3579="",E3579="!!!",F3579="NEW"),"",INDEX(B3578:B$2,-1+SUMPRODUCT(MAX(ROW(E3578:E$2)*(E3579=E3578:E$2)))))</f>
        <v> </v>
      </c>
      <c r="J3579" s="25" t="str">
        <f>IF(OR(E3579="",E3579="!!!",F3579="NEW"),"",COUNTBLANK(OFFSET(A$1,,,SUMPRODUCT(MAX(ROW(E$2:E3579)*(E3579=E$2:E3579)))))-COUNTBLANK(OFFSET(A$1,,,SUMPRODUCT(MAX(ROW(E$1:E3578)*(E2=E$1:E3578))))))</f>
        <v> </v>
      </c>
      <c r="K3579" s="25" t="str">
        <f>IF(OR(E3579="",E3579="!!!",F3579="NEW"),"",INDEX(J$1:J3578,SUMPRODUCT(MAX(ROW(E$1:E3578)*(E3579=E$1:E3578)))))</f>
        <v> </v>
      </c>
      <c r="L3579" s="26"/>
    </row>
    <row r="3580" spans="1:12">
      <c r="A3580" s="20" t="s">
        <v>1654</v>
      </c>
      <c r="B3580" s="27" t="s">
        <v>522</v>
      </c>
      <c r="C3580" s="27" t="s">
        <v>545</v>
      </c>
      <c r="D3580" s="27" t="s">
        <v>524</v>
      </c>
      <c r="E3580" s="21">
        <f>IF(D3580="?OLD","!!!","")</f>
        <v/>
      </c>
      <c r="F3580" s="22" t="str">
        <f>IF(OR(E3580="",E3580="!!!"),"",IF(NOT(ISNA(VLOOKUP(E3580,E$1:E3579,1,FALSE()))),"OLD",IF(AND(E3580&lt;&gt;"",E3580&lt;&gt;"!!!"),"NEW","")))</f>
        <v> </v>
      </c>
      <c r="G3580" s="23" t="str">
        <f>IF(OR(E3580="",E3580="!!!"),"",IF(OR(J3580=0,AND(J3580=1,K3580=1),AND(J3580=1,I3580="SBJ"),AND(J3580=1,I3580=0)),"?IN_FOCUS",IF(J3580&lt;=2,"?ACTIVATED",IF(J3580&lt;&gt;"","?FAMILIAR",IF(F3580="NEW",IF(ISNA(VLOOKUP(E3580,#REF!,1,FALSE())),"?TYPE_IDENTIFIABLE","?REFERENTIAL"),"_")))))</f>
        <v> </v>
      </c>
      <c r="H3580" s="24" t="str">
        <f>IF(J3580&lt;&gt;1,"",IF(I3580="SBJ","CB","?"))</f>
        <v> </v>
      </c>
      <c r="I3580" s="25" t="str">
        <f>IF(OR(E3580="",E3580="!!!",F3580="NEW"),"",INDEX(B3579:B$2,-1+SUMPRODUCT(MAX(ROW(E3579:E$2)*(E3580=E3579:E$2)))))</f>
        <v> </v>
      </c>
      <c r="J3580" s="25" t="str">
        <f>IF(OR(E3580="",E3580="!!!",F3580="NEW"),"",COUNTBLANK(OFFSET(A$1,,,SUMPRODUCT(MAX(ROW(E$2:E3580)*(E3580=E$2:E3580)))))-COUNTBLANK(OFFSET(A$1,,,SUMPRODUCT(MAX(ROW(E$1:E3579)*(E2=E$1:E3579))))))</f>
        <v> </v>
      </c>
      <c r="K3580" s="25" t="str">
        <f>IF(OR(E3580="",E3580="!!!",F3580="NEW"),"",INDEX(J$1:J3579,SUMPRODUCT(MAX(ROW(E$1:E3579)*(E3580=E$1:E3579)))))</f>
        <v> </v>
      </c>
      <c r="L3580" s="26"/>
    </row>
    <row r="3581" spans="1:12">
      <c r="A3581" s="20" t="s">
        <v>542</v>
      </c>
      <c r="E3581" s="21">
        <f>IF(D3581="?OLD","!!!","")</f>
        <v/>
      </c>
      <c r="F3581" s="22" t="str">
        <f>IF(OR(E3581="",E3581="!!!"),"",IF(NOT(ISNA(VLOOKUP(E3581,E$1:E3580,1,FALSE()))),"OLD",IF(AND(E3581&lt;&gt;"",E3581&lt;&gt;"!!!"),"NEW","")))</f>
        <v> </v>
      </c>
      <c r="G3581" s="23" t="str">
        <f>IF(OR(E3581="",E3581="!!!"),"",IF(OR(J3581=0,AND(J3581=1,K3581=1),AND(J3581=1,I3581="SBJ"),AND(J3581=1,I3581=0)),"?IN_FOCUS",IF(J3581&lt;=2,"?ACTIVATED",IF(J3581&lt;&gt;"","?FAMILIAR",IF(F3581="NEW",IF(ISNA(VLOOKUP(E3581,#REF!,1,FALSE())),"?TYPE_IDENTIFIABLE","?REFERENTIAL"),"_")))))</f>
        <v> </v>
      </c>
      <c r="H3581" s="24" t="str">
        <f>IF(J3581&lt;&gt;1,"",IF(I3581="SBJ","CB","?"))</f>
        <v> </v>
      </c>
      <c r="I3581" s="25" t="str">
        <f>IF(OR(E3581="",E3581="!!!",F3581="NEW"),"",INDEX(B3580:B$2,-1+SUMPRODUCT(MAX(ROW(E3580:E$2)*(E3581=E3580:E$2)))))</f>
        <v> </v>
      </c>
      <c r="J3581" s="25" t="str">
        <f>IF(OR(E3581="",E3581="!!!",F3581="NEW"),"",COUNTBLANK(OFFSET(A$1,,,SUMPRODUCT(MAX(ROW(E$2:E3581)*(E3581=E$2:E3581)))))-COUNTBLANK(OFFSET(A$1,,,SUMPRODUCT(MAX(ROW(E$1:E3580)*(E2=E$1:E3580))))))</f>
        <v> </v>
      </c>
      <c r="K3581" s="25" t="str">
        <f>IF(OR(E3581="",E3581="!!!",F3581="NEW"),"",INDEX(J$1:J3580,SUMPRODUCT(MAX(ROW(E$1:E3580)*(E3581=E$1:E3580)))))</f>
        <v> </v>
      </c>
      <c r="L3581" s="26"/>
    </row>
    <row r="3582" spans="1:12">
      <c r="A3582" s="20" t="s">
        <v>1669</v>
      </c>
      <c r="E3582" s="21">
        <f>IF(D3582="?OLD","!!!","")</f>
        <v/>
      </c>
      <c r="F3582" s="22" t="str">
        <f>IF(OR(E3582="",E3582="!!!"),"",IF(NOT(ISNA(VLOOKUP(E3582,E$1:E3581,1,FALSE()))),"OLD",IF(AND(E3582&lt;&gt;"",E3582&lt;&gt;"!!!"),"NEW","")))</f>
        <v> </v>
      </c>
      <c r="G3582" s="23" t="str">
        <f>IF(OR(E3582="",E3582="!!!"),"",IF(OR(J3582=0,AND(J3582=1,K3582=1),AND(J3582=1,I3582="SBJ"),AND(J3582=1,I3582=0)),"?IN_FOCUS",IF(J3582&lt;=2,"?ACTIVATED",IF(J3582&lt;&gt;"","?FAMILIAR",IF(F3582="NEW",IF(ISNA(VLOOKUP(E3582,#REF!,1,FALSE())),"?TYPE_IDENTIFIABLE","?REFERENTIAL"),"_")))))</f>
        <v> </v>
      </c>
      <c r="H3582" s="24" t="str">
        <f>IF(J3582&lt;&gt;1,"",IF(I3582="SBJ","CB","?"))</f>
        <v> </v>
      </c>
      <c r="I3582" s="25" t="str">
        <f>IF(OR(E3582="",E3582="!!!",F3582="NEW"),"",INDEX(B3581:B$2,-1+SUMPRODUCT(MAX(ROW(E3581:E$2)*(E3582=E3581:E$2)))))</f>
        <v> </v>
      </c>
      <c r="J3582" s="25" t="str">
        <f>IF(OR(E3582="",E3582="!!!",F3582="NEW"),"",COUNTBLANK(OFFSET(A$1,,,SUMPRODUCT(MAX(ROW(E$2:E3582)*(E3582=E$2:E3582)))))-COUNTBLANK(OFFSET(A$1,,,SUMPRODUCT(MAX(ROW(E$1:E3581)*(E2=E$1:E3581))))))</f>
        <v> </v>
      </c>
      <c r="K3582" s="25" t="str">
        <f>IF(OR(E3582="",E3582="!!!",F3582="NEW"),"",INDEX(J$1:J3581,SUMPRODUCT(MAX(ROW(E$1:E3581)*(E3582=E$1:E3581)))))</f>
        <v> </v>
      </c>
      <c r="L3582" s="26"/>
    </row>
    <row r="3583" spans="1:12">
      <c r="A3583" s="20" t="s">
        <v>542</v>
      </c>
      <c r="E3583" s="21">
        <f>IF(D3583="?OLD","!!!","")</f>
        <v/>
      </c>
      <c r="F3583" s="22" t="str">
        <f>IF(OR(E3583="",E3583="!!!"),"",IF(NOT(ISNA(VLOOKUP(E3583,E$1:E3582,1,FALSE()))),"OLD",IF(AND(E3583&lt;&gt;"",E3583&lt;&gt;"!!!"),"NEW","")))</f>
        <v> </v>
      </c>
      <c r="G3583" s="23" t="str">
        <f>IF(OR(E3583="",E3583="!!!"),"",IF(OR(J3583=0,AND(J3583=1,K3583=1),AND(J3583=1,I3583="SBJ"),AND(J3583=1,I3583=0)),"?IN_FOCUS",IF(J3583&lt;=2,"?ACTIVATED",IF(J3583&lt;&gt;"","?FAMILIAR",IF(F3583="NEW",IF(ISNA(VLOOKUP(E3583,#REF!,1,FALSE())),"?TYPE_IDENTIFIABLE","?REFERENTIAL"),"_")))))</f>
        <v> </v>
      </c>
      <c r="H3583" s="24" t="str">
        <f>IF(J3583&lt;&gt;1,"",IF(I3583="SBJ","CB","?"))</f>
        <v> </v>
      </c>
      <c r="I3583" s="25" t="str">
        <f>IF(OR(E3583="",E3583="!!!",F3583="NEW"),"",INDEX(B3582:B$2,-1+SUMPRODUCT(MAX(ROW(E3582:E$2)*(E3583=E3582:E$2)))))</f>
        <v> </v>
      </c>
      <c r="J3583" s="25" t="str">
        <f>IF(OR(E3583="",E3583="!!!",F3583="NEW"),"",COUNTBLANK(OFFSET(A$1,,,SUMPRODUCT(MAX(ROW(E$2:E3583)*(E3583=E$2:E3583)))))-COUNTBLANK(OFFSET(A$1,,,SUMPRODUCT(MAX(ROW(E$1:E3582)*(E2=E$1:E3582))))))</f>
        <v> </v>
      </c>
      <c r="K3583" s="25" t="str">
        <f>IF(OR(E3583="",E3583="!!!",F3583="NEW"),"",INDEX(J$1:J3582,SUMPRODUCT(MAX(ROW(E$1:E3582)*(E3583=E$1:E3582)))))</f>
        <v> </v>
      </c>
      <c r="L3583" s="26"/>
    </row>
    <row r="3584" spans="1:12">
      <c r="A3584" s="20" t="s">
        <v>1658</v>
      </c>
      <c r="B3584" s="27" t="s">
        <v>556</v>
      </c>
      <c r="C3584" s="27" t="s">
        <v>545</v>
      </c>
      <c r="D3584" s="27" t="s">
        <v>524</v>
      </c>
      <c r="E3584" s="21">
        <f>IF(D3584="?OLD","!!!","")</f>
        <v/>
      </c>
      <c r="F3584" s="22" t="str">
        <f>IF(OR(E3584="",E3584="!!!"),"",IF(NOT(ISNA(VLOOKUP(E3584,E$1:E3583,1,FALSE()))),"OLD",IF(AND(E3584&lt;&gt;"",E3584&lt;&gt;"!!!"),"NEW","")))</f>
        <v> </v>
      </c>
      <c r="G3584" s="23" t="str">
        <f>IF(OR(E3584="",E3584="!!!"),"",IF(OR(J3584=0,AND(J3584=1,K3584=1),AND(J3584=1,I3584="SBJ"),AND(J3584=1,I3584=0)),"?IN_FOCUS",IF(J3584&lt;=2,"?ACTIVATED",IF(J3584&lt;&gt;"","?FAMILIAR",IF(F3584="NEW",IF(ISNA(VLOOKUP(E3584,#REF!,1,FALSE())),"?TYPE_IDENTIFIABLE","?REFERENTIAL"),"_")))))</f>
        <v> </v>
      </c>
      <c r="H3584" s="24" t="str">
        <f>IF(J3584&lt;&gt;1,"",IF(I3584="SBJ","CB","?"))</f>
        <v> </v>
      </c>
      <c r="I3584" s="25" t="str">
        <f>IF(OR(E3584="",E3584="!!!",F3584="NEW"),"",INDEX(B3583:B$2,-1+SUMPRODUCT(MAX(ROW(E3583:E$2)*(E3584=E3583:E$2)))))</f>
        <v> </v>
      </c>
      <c r="J3584" s="25" t="str">
        <f>IF(OR(E3584="",E3584="!!!",F3584="NEW"),"",COUNTBLANK(OFFSET(A$1,,,SUMPRODUCT(MAX(ROW(E$2:E3584)*(E3584=E$2:E3584)))))-COUNTBLANK(OFFSET(A$1,,,SUMPRODUCT(MAX(ROW(E$1:E3583)*(E2=E$1:E3583))))))</f>
        <v> </v>
      </c>
      <c r="K3584" s="25" t="str">
        <f>IF(OR(E3584="",E3584="!!!",F3584="NEW"),"",INDEX(J$1:J3583,SUMPRODUCT(MAX(ROW(E$1:E3583)*(E3584=E$1:E3583)))))</f>
        <v> </v>
      </c>
      <c r="L3584" s="26"/>
    </row>
    <row r="3585" spans="1:12">
      <c r="A3585" s="20" t="s">
        <v>565</v>
      </c>
      <c r="E3585" s="21">
        <f>IF(D3585="?OLD","!!!","")</f>
        <v/>
      </c>
      <c r="F3585" s="22" t="str">
        <f>IF(OR(E3585="",E3585="!!!"),"",IF(NOT(ISNA(VLOOKUP(E3585,E$1:E3584,1,FALSE()))),"OLD",IF(AND(E3585&lt;&gt;"",E3585&lt;&gt;"!!!"),"NEW","")))</f>
        <v> </v>
      </c>
      <c r="G3585" s="23" t="str">
        <f>IF(OR(E3585="",E3585="!!!"),"",IF(OR(J3585=0,AND(J3585=1,K3585=1),AND(J3585=1,I3585="SBJ"),AND(J3585=1,I3585=0)),"?IN_FOCUS",IF(J3585&lt;=2,"?ACTIVATED",IF(J3585&lt;&gt;"","?FAMILIAR",IF(F3585="NEW",IF(ISNA(VLOOKUP(E3585,#REF!,1,FALSE())),"?TYPE_IDENTIFIABLE","?REFERENTIAL"),"_")))))</f>
        <v> </v>
      </c>
      <c r="H3585" s="24" t="str">
        <f>IF(J3585&lt;&gt;1,"",IF(I3585="SBJ","CB","?"))</f>
        <v> </v>
      </c>
      <c r="I3585" s="25" t="str">
        <f>IF(OR(E3585="",E3585="!!!",F3585="NEW"),"",INDEX(B3584:B$2,-1+SUMPRODUCT(MAX(ROW(E3584:E$2)*(E3585=E3584:E$2)))))</f>
        <v> </v>
      </c>
      <c r="J3585" s="25" t="str">
        <f>IF(OR(E3585="",E3585="!!!",F3585="NEW"),"",COUNTBLANK(OFFSET(A$1,,,SUMPRODUCT(MAX(ROW(E$2:E3585)*(E3585=E$2:E3585)))))-COUNTBLANK(OFFSET(A$1,,,SUMPRODUCT(MAX(ROW(E$1:E3584)*(E2=E$1:E3584))))))</f>
        <v> </v>
      </c>
      <c r="K3585" s="25" t="str">
        <f>IF(OR(E3585="",E3585="!!!",F3585="NEW"),"",INDEX(J$1:J3584,SUMPRODUCT(MAX(ROW(E$1:E3584)*(E3585=E$1:E3584)))))</f>
        <v> </v>
      </c>
      <c r="L3585" s="26"/>
    </row>
    <row r="3586" spans="1:12">
      <c r="A3586" s="20" t="s">
        <v>542</v>
      </c>
      <c r="E3586" s="21">
        <f>IF(D3586="?OLD","!!!","")</f>
        <v/>
      </c>
      <c r="F3586" s="22" t="str">
        <f>IF(OR(E3586="",E3586="!!!"),"",IF(NOT(ISNA(VLOOKUP(E3586,E$1:E3585,1,FALSE()))),"OLD",IF(AND(E3586&lt;&gt;"",E3586&lt;&gt;"!!!"),"NEW","")))</f>
        <v> </v>
      </c>
      <c r="G3586" s="23" t="str">
        <f>IF(OR(E3586="",E3586="!!!"),"",IF(OR(J3586=0,AND(J3586=1,K3586=1),AND(J3586=1,I3586="SBJ"),AND(J3586=1,I3586=0)),"?IN_FOCUS",IF(J3586&lt;=2,"?ACTIVATED",IF(J3586&lt;&gt;"","?FAMILIAR",IF(F3586="NEW",IF(ISNA(VLOOKUP(E3586,#REF!,1,FALSE())),"?TYPE_IDENTIFIABLE","?REFERENTIAL"),"_")))))</f>
        <v> </v>
      </c>
      <c r="H3586" s="24" t="str">
        <f>IF(J3586&lt;&gt;1,"",IF(I3586="SBJ","CB","?"))</f>
        <v> </v>
      </c>
      <c r="I3586" s="25" t="str">
        <f>IF(OR(E3586="",E3586="!!!",F3586="NEW"),"",INDEX(B3585:B$2,-1+SUMPRODUCT(MAX(ROW(E3585:E$2)*(E3586=E3585:E$2)))))</f>
        <v> </v>
      </c>
      <c r="J3586" s="25" t="str">
        <f>IF(OR(E3586="",E3586="!!!",F3586="NEW"),"",COUNTBLANK(OFFSET(A$1,,,SUMPRODUCT(MAX(ROW(E$2:E3586)*(E3586=E$2:E3586)))))-COUNTBLANK(OFFSET(A$1,,,SUMPRODUCT(MAX(ROW(E$1:E3585)*(E2=E$1:E3585))))))</f>
        <v> </v>
      </c>
      <c r="K3586" s="25" t="str">
        <f>IF(OR(E3586="",E3586="!!!",F3586="NEW"),"",INDEX(J$1:J3585,SUMPRODUCT(MAX(ROW(E$1:E3585)*(E3586=E$1:E3585)))))</f>
        <v> </v>
      </c>
      <c r="L3586" s="26"/>
    </row>
    <row r="3587" spans="1:12">
      <c r="A3587" s="20" t="s">
        <v>332</v>
      </c>
      <c r="E3587" s="21">
        <f>IF(D3587="?OLD","!!!","")</f>
        <v/>
      </c>
      <c r="F3587" s="22" t="str">
        <f>IF(OR(E3587="",E3587="!!!"),"",IF(NOT(ISNA(VLOOKUP(E3587,E$1:E3586,1,FALSE()))),"OLD",IF(AND(E3587&lt;&gt;"",E3587&lt;&gt;"!!!"),"NEW","")))</f>
        <v> </v>
      </c>
      <c r="G3587" s="23" t="str">
        <f>IF(OR(E3587="",E3587="!!!"),"",IF(OR(J3587=0,AND(J3587=1,K3587=1),AND(J3587=1,I3587="SBJ"),AND(J3587=1,I3587=0)),"?IN_FOCUS",IF(J3587&lt;=2,"?ACTIVATED",IF(J3587&lt;&gt;"","?FAMILIAR",IF(F3587="NEW",IF(ISNA(VLOOKUP(E3587,#REF!,1,FALSE())),"?TYPE_IDENTIFIABLE","?REFERENTIAL"),"_")))))</f>
        <v> </v>
      </c>
      <c r="H3587" s="24" t="str">
        <f>IF(J3587&lt;&gt;1,"",IF(I3587="SBJ","CB","?"))</f>
        <v> </v>
      </c>
      <c r="I3587" s="25" t="str">
        <f>IF(OR(E3587="",E3587="!!!",F3587="NEW"),"",INDEX(B3586:B$2,-1+SUMPRODUCT(MAX(ROW(E3586:E$2)*(E3587=E3586:E$2)))))</f>
        <v> </v>
      </c>
      <c r="J3587" s="25" t="str">
        <f>IF(OR(E3587="",E3587="!!!",F3587="NEW"),"",COUNTBLANK(OFFSET(A$1,,,SUMPRODUCT(MAX(ROW(E$2:E3587)*(E3587=E$2:E3587)))))-COUNTBLANK(OFFSET(A$1,,,SUMPRODUCT(MAX(ROW(E$1:E3586)*(E2=E$1:E3586))))))</f>
        <v> </v>
      </c>
      <c r="K3587" s="25" t="str">
        <f>IF(OR(E3587="",E3587="!!!",F3587="NEW"),"",INDEX(J$1:J3586,SUMPRODUCT(MAX(ROW(E$1:E3586)*(E3587=E$1:E3586)))))</f>
        <v> </v>
      </c>
      <c r="L3587" s="26"/>
    </row>
    <row r="3588" spans="1:12">
      <c r="A3588" s="20" t="s">
        <v>542</v>
      </c>
      <c r="E3588" s="21">
        <f>IF(D3588="?OLD","!!!","")</f>
        <v/>
      </c>
      <c r="F3588" s="22" t="str">
        <f>IF(OR(E3588="",E3588="!!!"),"",IF(NOT(ISNA(VLOOKUP(E3588,E$1:E3587,1,FALSE()))),"OLD",IF(AND(E3588&lt;&gt;"",E3588&lt;&gt;"!!!"),"NEW","")))</f>
        <v> </v>
      </c>
      <c r="G3588" s="23" t="str">
        <f>IF(OR(E3588="",E3588="!!!"),"",IF(OR(J3588=0,AND(J3588=1,K3588=1),AND(J3588=1,I3588="SBJ"),AND(J3588=1,I3588=0)),"?IN_FOCUS",IF(J3588&lt;=2,"?ACTIVATED",IF(J3588&lt;&gt;"","?FAMILIAR",IF(F3588="NEW",IF(ISNA(VLOOKUP(E3588,#REF!,1,FALSE())),"?TYPE_IDENTIFIABLE","?REFERENTIAL"),"_")))))</f>
        <v> </v>
      </c>
      <c r="H3588" s="24" t="str">
        <f>IF(J3588&lt;&gt;1,"",IF(I3588="SBJ","CB","?"))</f>
        <v> </v>
      </c>
      <c r="I3588" s="25" t="str">
        <f>IF(OR(E3588="",E3588="!!!",F3588="NEW"),"",INDEX(B3587:B$2,-1+SUMPRODUCT(MAX(ROW(E3587:E$2)*(E3588=E3587:E$2)))))</f>
        <v> </v>
      </c>
      <c r="J3588" s="25" t="str">
        <f>IF(OR(E3588="",E3588="!!!",F3588="NEW"),"",COUNTBLANK(OFFSET(A$1,,,SUMPRODUCT(MAX(ROW(E$2:E3588)*(E3588=E$2:E3588)))))-COUNTBLANK(OFFSET(A$1,,,SUMPRODUCT(MAX(ROW(E$1:E3587)*(E2=E$1:E3587))))))</f>
        <v> </v>
      </c>
      <c r="K3588" s="25" t="str">
        <f>IF(OR(E3588="",E3588="!!!",F3588="NEW"),"",INDEX(J$1:J3587,SUMPRODUCT(MAX(ROW(E$1:E3587)*(E3588=E$1:E3587)))))</f>
        <v> </v>
      </c>
      <c r="L3588" s="26"/>
    </row>
    <row r="3589" spans="1:12">
      <c r="A3589" s="20" t="s">
        <v>1660</v>
      </c>
      <c r="B3589" s="27" t="s">
        <v>573</v>
      </c>
      <c r="C3589" s="27" t="s">
        <v>545</v>
      </c>
      <c r="D3589" s="27" t="s">
        <v>524</v>
      </c>
      <c r="E3589" s="21">
        <f>IF(D3589="?OLD","!!!","")</f>
        <v/>
      </c>
      <c r="F3589" s="22" t="str">
        <f>IF(OR(E3589="",E3589="!!!"),"",IF(NOT(ISNA(VLOOKUP(E3589,E$1:E3588,1,FALSE()))),"OLD",IF(AND(E3589&lt;&gt;"",E3589&lt;&gt;"!!!"),"NEW","")))</f>
        <v> </v>
      </c>
      <c r="G3589" s="23" t="str">
        <f>IF(OR(E3589="",E3589="!!!"),"",IF(OR(J3589=0,AND(J3589=1,K3589=1),AND(J3589=1,I3589="SBJ"),AND(J3589=1,I3589=0)),"?IN_FOCUS",IF(J3589&lt;=2,"?ACTIVATED",IF(J3589&lt;&gt;"","?FAMILIAR",IF(F3589="NEW",IF(ISNA(VLOOKUP(E3589,#REF!,1,FALSE())),"?TYPE_IDENTIFIABLE","?REFERENTIAL"),"_")))))</f>
        <v> </v>
      </c>
      <c r="H3589" s="24" t="str">
        <f>IF(J3589&lt;&gt;1,"",IF(I3589="SBJ","CB","?"))</f>
        <v> </v>
      </c>
      <c r="I3589" s="25" t="str">
        <f>IF(OR(E3589="",E3589="!!!",F3589="NEW"),"",INDEX(B3588:B$2,-1+SUMPRODUCT(MAX(ROW(E3588:E$2)*(E3589=E3588:E$2)))))</f>
        <v> </v>
      </c>
      <c r="J3589" s="25" t="str">
        <f>IF(OR(E3589="",E3589="!!!",F3589="NEW"),"",COUNTBLANK(OFFSET(A$1,,,SUMPRODUCT(MAX(ROW(E$2:E3589)*(E3589=E$2:E3589)))))-COUNTBLANK(OFFSET(A$1,,,SUMPRODUCT(MAX(ROW(E$1:E3588)*(E2=E$1:E3588))))))</f>
        <v> </v>
      </c>
      <c r="K3589" s="25" t="str">
        <f>IF(OR(E3589="",E3589="!!!",F3589="NEW"),"",INDEX(J$1:J3588,SUMPRODUCT(MAX(ROW(E$1:E3588)*(E3589=E$1:E3588)))))</f>
        <v> </v>
      </c>
      <c r="L3589" s="26"/>
    </row>
    <row r="3590" spans="1:12">
      <c r="A3590" s="20" t="s">
        <v>577</v>
      </c>
      <c r="E3590" s="21">
        <f>IF(D3590="?OLD","!!!","")</f>
        <v/>
      </c>
      <c r="F3590" s="22" t="str">
        <f>IF(OR(E3590="",E3590="!!!"),"",IF(NOT(ISNA(VLOOKUP(E3590,E$1:E3589,1,FALSE()))),"OLD",IF(AND(E3590&lt;&gt;"",E3590&lt;&gt;"!!!"),"NEW","")))</f>
        <v> </v>
      </c>
      <c r="G3590" s="23" t="str">
        <f>IF(OR(E3590="",E3590="!!!"),"",IF(OR(J3590=0,AND(J3590=1,K3590=1),AND(J3590=1,I3590="SBJ"),AND(J3590=1,I3590=0)),"?IN_FOCUS",IF(J3590&lt;=2,"?ACTIVATED",IF(J3590&lt;&gt;"","?FAMILIAR",IF(F3590="NEW",IF(ISNA(VLOOKUP(E3590,#REF!,1,FALSE())),"?TYPE_IDENTIFIABLE","?REFERENTIAL"),"_")))))</f>
        <v> </v>
      </c>
      <c r="H3590" s="24" t="str">
        <f>IF(J3590&lt;&gt;1,"",IF(I3590="SBJ","CB","?"))</f>
        <v> </v>
      </c>
      <c r="I3590" s="25" t="str">
        <f>IF(OR(E3590="",E3590="!!!",F3590="NEW"),"",INDEX(B3589:B$2,-1+SUMPRODUCT(MAX(ROW(E3589:E$2)*(E3590=E3589:E$2)))))</f>
        <v> </v>
      </c>
      <c r="J3590" s="25" t="str">
        <f>IF(OR(E3590="",E3590="!!!",F3590="NEW"),"",COUNTBLANK(OFFSET(A$1,,,SUMPRODUCT(MAX(ROW(E$2:E3590)*(E3590=E$2:E3590)))))-COUNTBLANK(OFFSET(A$1,,,SUMPRODUCT(MAX(ROW(E$1:E3589)*(E2=E$1:E3589))))))</f>
        <v> </v>
      </c>
      <c r="K3590" s="25" t="str">
        <f>IF(OR(E3590="",E3590="!!!",F3590="NEW"),"",INDEX(J$1:J3589,SUMPRODUCT(MAX(ROW(E$1:E3589)*(E3590=E$1:E3589)))))</f>
        <v> </v>
      </c>
      <c r="L3590" s="26"/>
    </row>
    <row r="3591" spans="1:12">
      <c r="A3591" s="20" t="s">
        <v>775</v>
      </c>
      <c r="B3591" s="27" t="s">
        <v>534</v>
      </c>
      <c r="C3591" s="27" t="s">
        <v>564</v>
      </c>
      <c r="E3591" s="21">
        <f>IF(D3591="?OLD","!!!","")</f>
        <v/>
      </c>
      <c r="F3591" s="22" t="str">
        <f>IF(OR(E3591="",E3591="!!!"),"",IF(NOT(ISNA(VLOOKUP(E3591,E$1:E3590,1,FALSE()))),"OLD",IF(AND(E3591&lt;&gt;"",E3591&lt;&gt;"!!!"),"NEW","")))</f>
        <v> </v>
      </c>
      <c r="G3591" s="23" t="str">
        <f>IF(OR(E3591="",E3591="!!!"),"",IF(OR(J3591=0,AND(J3591=1,K3591=1),AND(J3591=1,I3591="SBJ"),AND(J3591=1,I3591=0)),"?IN_FOCUS",IF(J3591&lt;=2,"?ACTIVATED",IF(J3591&lt;&gt;"","?FAMILIAR",IF(F3591="NEW",IF(ISNA(VLOOKUP(E3591,#REF!,1,FALSE())),"?TYPE_IDENTIFIABLE","?REFERENTIAL"),"_")))))</f>
        <v> </v>
      </c>
      <c r="H3591" s="24" t="str">
        <f>IF(J3591&lt;&gt;1,"",IF(I3591="SBJ","CB","?"))</f>
        <v> </v>
      </c>
      <c r="I3591" s="25" t="str">
        <f>IF(OR(E3591="",E3591="!!!",F3591="NEW"),"",INDEX(B3590:B$2,-1+SUMPRODUCT(MAX(ROW(E3590:E$2)*(E3591=E3590:E$2)))))</f>
        <v> </v>
      </c>
      <c r="J3591" s="25" t="str">
        <f>IF(OR(E3591="",E3591="!!!",F3591="NEW"),"",COUNTBLANK(OFFSET(A$1,,,SUMPRODUCT(MAX(ROW(E$2:E3591)*(E3591=E$2:E3591)))))-COUNTBLANK(OFFSET(A$1,,,SUMPRODUCT(MAX(ROW(E$1:E3590)*(E2=E$1:E3590))))))</f>
        <v> </v>
      </c>
      <c r="K3591" s="25" t="str">
        <f>IF(OR(E3591="",E3591="!!!",F3591="NEW"),"",INDEX(J$1:J3590,SUMPRODUCT(MAX(ROW(E$1:E3590)*(E3591=E$1:E3590)))))</f>
        <v> </v>
      </c>
      <c r="L3591" s="26"/>
    </row>
    <row r="3592" spans="1:12">
      <c r="A3592" s="20" t="s">
        <v>1302</v>
      </c>
      <c r="E3592" s="21">
        <f>IF(D3592="?OLD","!!!","")</f>
        <v/>
      </c>
      <c r="F3592" s="22" t="str">
        <f>IF(OR(E3592="",E3592="!!!"),"",IF(NOT(ISNA(VLOOKUP(E3592,E$1:E3591,1,FALSE()))),"OLD",IF(AND(E3592&lt;&gt;"",E3592&lt;&gt;"!!!"),"NEW","")))</f>
        <v> </v>
      </c>
      <c r="G3592" s="23" t="str">
        <f>IF(OR(E3592="",E3592="!!!"),"",IF(OR(J3592=0,AND(J3592=1,K3592=1),AND(J3592=1,I3592="SBJ"),AND(J3592=1,I3592=0)),"?IN_FOCUS",IF(J3592&lt;=2,"?ACTIVATED",IF(J3592&lt;&gt;"","?FAMILIAR",IF(F3592="NEW",IF(ISNA(VLOOKUP(E3592,#REF!,1,FALSE())),"?TYPE_IDENTIFIABLE","?REFERENTIAL"),"_")))))</f>
        <v> </v>
      </c>
      <c r="H3592" s="24" t="str">
        <f>IF(J3592&lt;&gt;1,"",IF(I3592="SBJ","CB","?"))</f>
        <v> </v>
      </c>
      <c r="I3592" s="25" t="str">
        <f>IF(OR(E3592="",E3592="!!!",F3592="NEW"),"",INDEX(B3591:B$2,-1+SUMPRODUCT(MAX(ROW(E3591:E$2)*(E3592=E3591:E$2)))))</f>
        <v> </v>
      </c>
      <c r="J3592" s="25" t="str">
        <f>IF(OR(E3592="",E3592="!!!",F3592="NEW"),"",COUNTBLANK(OFFSET(A$1,,,SUMPRODUCT(MAX(ROW(E$2:E3592)*(E3592=E$2:E3592)))))-COUNTBLANK(OFFSET(A$1,,,SUMPRODUCT(MAX(ROW(E$1:E3591)*(E2=E$1:E3591))))))</f>
        <v> </v>
      </c>
      <c r="K3592" s="25" t="str">
        <f>IF(OR(E3592="",E3592="!!!",F3592="NEW"),"",INDEX(J$1:J3591,SUMPRODUCT(MAX(ROW(E$1:E3591)*(E3592=E$1:E3591)))))</f>
        <v> </v>
      </c>
      <c r="L3592" s="26"/>
    </row>
    <row r="3593" spans="1:12">
      <c r="A3593" s="20" t="s">
        <v>625</v>
      </c>
      <c r="E3593" s="21">
        <f>IF(D3593="?OLD","!!!","")</f>
        <v/>
      </c>
      <c r="F3593" s="22" t="str">
        <f>IF(OR(E3593="",E3593="!!!"),"",IF(NOT(ISNA(VLOOKUP(E3593,E$1:E3592,1,FALSE()))),"OLD",IF(AND(E3593&lt;&gt;"",E3593&lt;&gt;"!!!"),"NEW","")))</f>
        <v> </v>
      </c>
      <c r="G3593" s="23" t="str">
        <f>IF(OR(E3593="",E3593="!!!"),"",IF(OR(J3593=0,AND(J3593=1,K3593=1),AND(J3593=1,I3593="SBJ"),AND(J3593=1,I3593=0)),"?IN_FOCUS",IF(J3593&lt;=2,"?ACTIVATED",IF(J3593&lt;&gt;"","?FAMILIAR",IF(F3593="NEW",IF(ISNA(VLOOKUP(E3593,#REF!,1,FALSE())),"?TYPE_IDENTIFIABLE","?REFERENTIAL"),"_")))))</f>
        <v> </v>
      </c>
      <c r="H3593" s="24" t="str">
        <f>IF(J3593&lt;&gt;1,"",IF(I3593="SBJ","CB","?"))</f>
        <v> </v>
      </c>
      <c r="I3593" s="25" t="str">
        <f>IF(OR(E3593="",E3593="!!!",F3593="NEW"),"",INDEX(B3592:B$2,-1+SUMPRODUCT(MAX(ROW(E3592:E$2)*(E3593=E3592:E$2)))))</f>
        <v> </v>
      </c>
      <c r="J3593" s="25" t="str">
        <f>IF(OR(E3593="",E3593="!!!",F3593="NEW"),"",COUNTBLANK(OFFSET(A$1,,,SUMPRODUCT(MAX(ROW(E$2:E3593)*(E3593=E$2:E3593)))))-COUNTBLANK(OFFSET(A$1,,,SUMPRODUCT(MAX(ROW(E$1:E3592)*(E2=E$1:E3592))))))</f>
        <v> </v>
      </c>
      <c r="K3593" s="25" t="str">
        <f>IF(OR(E3593="",E3593="!!!",F3593="NEW"),"",INDEX(J$1:J3592,SUMPRODUCT(MAX(ROW(E$1:E3592)*(E3593=E$1:E3592)))))</f>
        <v> </v>
      </c>
      <c r="L3593" s="26"/>
    </row>
    <row r="3594" spans="1:12">
      <c r="A3594" s="20" t="s">
        <v>577</v>
      </c>
      <c r="E3594" s="21">
        <f>IF(D3594="?OLD","!!!","")</f>
        <v/>
      </c>
      <c r="F3594" s="22" t="str">
        <f>IF(OR(E3594="",E3594="!!!"),"",IF(NOT(ISNA(VLOOKUP(E3594,E$1:E3593,1,FALSE()))),"OLD",IF(AND(E3594&lt;&gt;"",E3594&lt;&gt;"!!!"),"NEW","")))</f>
        <v> </v>
      </c>
      <c r="G3594" s="23" t="str">
        <f>IF(OR(E3594="",E3594="!!!"),"",IF(OR(J3594=0,AND(J3594=1,K3594=1),AND(J3594=1,I3594="SBJ"),AND(J3594=1,I3594=0)),"?IN_FOCUS",IF(J3594&lt;=2,"?ACTIVATED",IF(J3594&lt;&gt;"","?FAMILIAR",IF(F3594="NEW",IF(ISNA(VLOOKUP(E3594,#REF!,1,FALSE())),"?TYPE_IDENTIFIABLE","?REFERENTIAL"),"_")))))</f>
        <v> </v>
      </c>
      <c r="H3594" s="24" t="str">
        <f>IF(J3594&lt;&gt;1,"",IF(I3594="SBJ","CB","?"))</f>
        <v> </v>
      </c>
      <c r="I3594" s="25" t="str">
        <f>IF(OR(E3594="",E3594="!!!",F3594="NEW"),"",INDEX(B3593:B$2,-1+SUMPRODUCT(MAX(ROW(E3593:E$2)*(E3594=E3593:E$2)))))</f>
        <v> </v>
      </c>
      <c r="J3594" s="25" t="str">
        <f>IF(OR(E3594="",E3594="!!!",F3594="NEW"),"",COUNTBLANK(OFFSET(A$1,,,SUMPRODUCT(MAX(ROW(E$2:E3594)*(E3594=E$2:E3594)))))-COUNTBLANK(OFFSET(A$1,,,SUMPRODUCT(MAX(ROW(E$1:E3593)*(E2=E$1:E3593))))))</f>
        <v> </v>
      </c>
      <c r="K3594" s="25" t="str">
        <f>IF(OR(E3594="",E3594="!!!",F3594="NEW"),"",INDEX(J$1:J3593,SUMPRODUCT(MAX(ROW(E$1:E3593)*(E3594=E$1:E3593)))))</f>
        <v> </v>
      </c>
      <c r="L3594" s="26"/>
    </row>
    <row r="3595" spans="1:12">
      <c r="A3595" s="20" t="s">
        <v>682</v>
      </c>
      <c r="E3595" s="21">
        <f>IF(D3595="?OLD","!!!","")</f>
        <v/>
      </c>
      <c r="F3595" s="22" t="str">
        <f>IF(OR(E3595="",E3595="!!!"),"",IF(NOT(ISNA(VLOOKUP(E3595,E$1:E3594,1,FALSE()))),"OLD",IF(AND(E3595&lt;&gt;"",E3595&lt;&gt;"!!!"),"NEW","")))</f>
        <v> </v>
      </c>
      <c r="G3595" s="23" t="str">
        <f>IF(OR(E3595="",E3595="!!!"),"",IF(OR(J3595=0,AND(J3595=1,K3595=1),AND(J3595=1,I3595="SBJ"),AND(J3595=1,I3595=0)),"?IN_FOCUS",IF(J3595&lt;=2,"?ACTIVATED",IF(J3595&lt;&gt;"","?FAMILIAR",IF(F3595="NEW",IF(ISNA(VLOOKUP(E3595,#REF!,1,FALSE())),"?TYPE_IDENTIFIABLE","?REFERENTIAL"),"_")))))</f>
        <v> </v>
      </c>
      <c r="H3595" s="24" t="str">
        <f>IF(J3595&lt;&gt;1,"",IF(I3595="SBJ","CB","?"))</f>
        <v> </v>
      </c>
      <c r="I3595" s="25" t="str">
        <f>IF(OR(E3595="",E3595="!!!",F3595="NEW"),"",INDEX(B3594:B$2,-1+SUMPRODUCT(MAX(ROW(E3594:E$2)*(E3595=E3594:E$2)))))</f>
        <v> </v>
      </c>
      <c r="J3595" s="25" t="str">
        <f>IF(OR(E3595="",E3595="!!!",F3595="NEW"),"",COUNTBLANK(OFFSET(A$1,,,SUMPRODUCT(MAX(ROW(E$2:E3595)*(E3595=E$2:E3595)))))-COUNTBLANK(OFFSET(A$1,,,SUMPRODUCT(MAX(ROW(E$1:E3594)*(E2=E$1:E3594))))))</f>
        <v> </v>
      </c>
      <c r="K3595" s="25" t="str">
        <f>IF(OR(E3595="",E3595="!!!",F3595="NEW"),"",INDEX(J$1:J3594,SUMPRODUCT(MAX(ROW(E$1:E3594)*(E3595=E$1:E3594)))))</f>
        <v> </v>
      </c>
      <c r="L3595" s="26"/>
    </row>
    <row r="3596" spans="1:12">
      <c r="A3596" s="20" t="s">
        <v>696</v>
      </c>
      <c r="B3596" s="27" t="s">
        <v>641</v>
      </c>
      <c r="C3596" s="27" t="s">
        <v>557</v>
      </c>
      <c r="E3596" s="21">
        <f>IF(D3596="?OLD","!!!","")</f>
        <v/>
      </c>
      <c r="F3596" s="22" t="str">
        <f>IF(OR(E3596="",E3596="!!!"),"",IF(NOT(ISNA(VLOOKUP(E3596,E$1:E3595,1,FALSE()))),"OLD",IF(AND(E3596&lt;&gt;"",E3596&lt;&gt;"!!!"),"NEW","")))</f>
        <v> </v>
      </c>
      <c r="G3596" s="23" t="str">
        <f>IF(OR(E3596="",E3596="!!!"),"",IF(OR(J3596=0,AND(J3596=1,K3596=1),AND(J3596=1,I3596="SBJ"),AND(J3596=1,I3596=0)),"?IN_FOCUS",IF(J3596&lt;=2,"?ACTIVATED",IF(J3596&lt;&gt;"","?FAMILIAR",IF(F3596="NEW",IF(ISNA(VLOOKUP(E3596,#REF!,1,FALSE())),"?TYPE_IDENTIFIABLE","?REFERENTIAL"),"_")))))</f>
        <v> </v>
      </c>
      <c r="H3596" s="24" t="str">
        <f>IF(J3596&lt;&gt;1,"",IF(I3596="SBJ","CB","?"))</f>
        <v> </v>
      </c>
      <c r="I3596" s="25" t="str">
        <f>IF(OR(E3596="",E3596="!!!",F3596="NEW"),"",INDEX(B3595:B$2,-1+SUMPRODUCT(MAX(ROW(E3595:E$2)*(E3596=E3595:E$2)))))</f>
        <v> </v>
      </c>
      <c r="J3596" s="25" t="str">
        <f>IF(OR(E3596="",E3596="!!!",F3596="NEW"),"",COUNTBLANK(OFFSET(A$1,,,SUMPRODUCT(MAX(ROW(E$2:E3596)*(E3596=E$2:E3596)))))-COUNTBLANK(OFFSET(A$1,,,SUMPRODUCT(MAX(ROW(E$1:E3595)*(E2=E$1:E3595))))))</f>
        <v> </v>
      </c>
      <c r="K3596" s="25" t="str">
        <f>IF(OR(E3596="",E3596="!!!",F3596="NEW"),"",INDEX(J$1:J3595,SUMPRODUCT(MAX(ROW(E$1:E3595)*(E3596=E$1:E3595)))))</f>
        <v> </v>
      </c>
      <c r="L3596" s="26"/>
    </row>
    <row r="3597" spans="1:12">
      <c r="A3597" s="20" t="s">
        <v>565</v>
      </c>
      <c r="E3597" s="21">
        <f>IF(D3597="?OLD","!!!","")</f>
        <v/>
      </c>
      <c r="F3597" s="22" t="str">
        <f>IF(OR(E3597="",E3597="!!!"),"",IF(NOT(ISNA(VLOOKUP(E3597,E$1:E3596,1,FALSE()))),"OLD",IF(AND(E3597&lt;&gt;"",E3597&lt;&gt;"!!!"),"NEW","")))</f>
        <v> </v>
      </c>
      <c r="G3597" s="23" t="str">
        <f>IF(OR(E3597="",E3597="!!!"),"",IF(OR(J3597=0,AND(J3597=1,K3597=1),AND(J3597=1,I3597="SBJ"),AND(J3597=1,I3597=0)),"?IN_FOCUS",IF(J3597&lt;=2,"?ACTIVATED",IF(J3597&lt;&gt;"","?FAMILIAR",IF(F3597="NEW",IF(ISNA(VLOOKUP(E3597,#REF!,1,FALSE())),"?TYPE_IDENTIFIABLE","?REFERENTIAL"),"_")))))</f>
        <v> </v>
      </c>
      <c r="H3597" s="24" t="str">
        <f>IF(J3597&lt;&gt;1,"",IF(I3597="SBJ","CB","?"))</f>
        <v> </v>
      </c>
      <c r="I3597" s="25" t="str">
        <f>IF(OR(E3597="",E3597="!!!",F3597="NEW"),"",INDEX(B3596:B$2,-1+SUMPRODUCT(MAX(ROW(E3596:E$2)*(E3597=E3596:E$2)))))</f>
        <v> </v>
      </c>
      <c r="J3597" s="25" t="str">
        <f>IF(OR(E3597="",E3597="!!!",F3597="NEW"),"",COUNTBLANK(OFFSET(A$1,,,SUMPRODUCT(MAX(ROW(E$2:E3597)*(E3597=E$2:E3597)))))-COUNTBLANK(OFFSET(A$1,,,SUMPRODUCT(MAX(ROW(E$1:E3596)*(E2=E$1:E3596))))))</f>
        <v> </v>
      </c>
      <c r="K3597" s="25" t="str">
        <f>IF(OR(E3597="",E3597="!!!",F3597="NEW"),"",INDEX(J$1:J3596,SUMPRODUCT(MAX(ROW(E$1:E3596)*(E3597=E$1:E3596)))))</f>
        <v> </v>
      </c>
      <c r="L3597" s="26"/>
    </row>
    <row r="3598" spans="1:12">
      <c r="A3598" s="20" t="s">
        <v>542</v>
      </c>
      <c r="E3598" s="21">
        <f>IF(D3598="?OLD","!!!","")</f>
        <v/>
      </c>
      <c r="F3598" s="22" t="str">
        <f>IF(OR(E3598="",E3598="!!!"),"",IF(NOT(ISNA(VLOOKUP(E3598,E$1:E3597,1,FALSE()))),"OLD",IF(AND(E3598&lt;&gt;"",E3598&lt;&gt;"!!!"),"NEW","")))</f>
        <v> </v>
      </c>
      <c r="G3598" s="23" t="str">
        <f>IF(OR(E3598="",E3598="!!!"),"",IF(OR(J3598=0,AND(J3598=1,K3598=1),AND(J3598=1,I3598="SBJ"),AND(J3598=1,I3598=0)),"?IN_FOCUS",IF(J3598&lt;=2,"?ACTIVATED",IF(J3598&lt;&gt;"","?FAMILIAR",IF(F3598="NEW",IF(ISNA(VLOOKUP(E3598,#REF!,1,FALSE())),"?TYPE_IDENTIFIABLE","?REFERENTIAL"),"_")))))</f>
        <v> </v>
      </c>
      <c r="H3598" s="24" t="str">
        <f>IF(J3598&lt;&gt;1,"",IF(I3598="SBJ","CB","?"))</f>
        <v> </v>
      </c>
      <c r="I3598" s="25" t="str">
        <f>IF(OR(E3598="",E3598="!!!",F3598="NEW"),"",INDEX(B3597:B$2,-1+SUMPRODUCT(MAX(ROW(E3597:E$2)*(E3598=E3597:E$2)))))</f>
        <v> </v>
      </c>
      <c r="J3598" s="25" t="str">
        <f>IF(OR(E3598="",E3598="!!!",F3598="NEW"),"",COUNTBLANK(OFFSET(A$1,,,SUMPRODUCT(MAX(ROW(E$2:E3598)*(E3598=E$2:E3598)))))-COUNTBLANK(OFFSET(A$1,,,SUMPRODUCT(MAX(ROW(E$1:E3597)*(E2=E$1:E3597))))))</f>
        <v> </v>
      </c>
      <c r="K3598" s="25" t="str">
        <f>IF(OR(E3598="",E3598="!!!",F3598="NEW"),"",INDEX(J$1:J3597,SUMPRODUCT(MAX(ROW(E$1:E3597)*(E3598=E$1:E3597)))))</f>
        <v> </v>
      </c>
      <c r="L3598" s="26"/>
    </row>
    <row r="3599" spans="1:12">
      <c r="A3599" s="20" t="s">
        <v>230</v>
      </c>
      <c r="E3599" s="21">
        <f>IF(D3599="?OLD","!!!","")</f>
        <v/>
      </c>
      <c r="F3599" s="22" t="str">
        <f>IF(OR(E3599="",E3599="!!!"),"",IF(NOT(ISNA(VLOOKUP(E3599,E$1:E3598,1,FALSE()))),"OLD",IF(AND(E3599&lt;&gt;"",E3599&lt;&gt;"!!!"),"NEW","")))</f>
        <v> </v>
      </c>
      <c r="G3599" s="23" t="str">
        <f>IF(OR(E3599="",E3599="!!!"),"",IF(OR(J3599=0,AND(J3599=1,K3599=1),AND(J3599=1,I3599="SBJ"),AND(J3599=1,I3599=0)),"?IN_FOCUS",IF(J3599&lt;=2,"?ACTIVATED",IF(J3599&lt;&gt;"","?FAMILIAR",IF(F3599="NEW",IF(ISNA(VLOOKUP(E3599,#REF!,1,FALSE())),"?TYPE_IDENTIFIABLE","?REFERENTIAL"),"_")))))</f>
        <v> </v>
      </c>
      <c r="H3599" s="24" t="str">
        <f>IF(J3599&lt;&gt;1,"",IF(I3599="SBJ","CB","?"))</f>
        <v> </v>
      </c>
      <c r="I3599" s="25" t="str">
        <f>IF(OR(E3599="",E3599="!!!",F3599="NEW"),"",INDEX(B3598:B$2,-1+SUMPRODUCT(MAX(ROW(E3598:E$2)*(E3599=E3598:E$2)))))</f>
        <v> </v>
      </c>
      <c r="J3599" s="25" t="str">
        <f>IF(OR(E3599="",E3599="!!!",F3599="NEW"),"",COUNTBLANK(OFFSET(A$1,,,SUMPRODUCT(MAX(ROW(E$2:E3599)*(E3599=E$2:E3599)))))-COUNTBLANK(OFFSET(A$1,,,SUMPRODUCT(MAX(ROW(E$1:E3598)*(E2=E$1:E3598))))))</f>
        <v> </v>
      </c>
      <c r="K3599" s="25" t="str">
        <f>IF(OR(E3599="",E3599="!!!",F3599="NEW"),"",INDEX(J$1:J3598,SUMPRODUCT(MAX(ROW(E$1:E3598)*(E3599=E$1:E3598)))))</f>
        <v> </v>
      </c>
      <c r="L3599" s="26"/>
    </row>
    <row r="3600" spans="1:12">
      <c r="A3600" s="20" t="s">
        <v>1670</v>
      </c>
      <c r="E3600" s="21">
        <f>IF(D3600="?OLD","!!!","")</f>
        <v/>
      </c>
      <c r="F3600" s="22" t="str">
        <f>IF(OR(E3600="",E3600="!!!"),"",IF(NOT(ISNA(VLOOKUP(E3600,E$1:E3599,1,FALSE()))),"OLD",IF(AND(E3600&lt;&gt;"",E3600&lt;&gt;"!!!"),"NEW","")))</f>
        <v> </v>
      </c>
      <c r="G3600" s="23" t="str">
        <f>IF(OR(E3600="",E3600="!!!"),"",IF(OR(J3600=0,AND(J3600=1,K3600=1),AND(J3600=1,I3600="SBJ"),AND(J3600=1,I3600=0)),"?IN_FOCUS",IF(J3600&lt;=2,"?ACTIVATED",IF(J3600&lt;&gt;"","?FAMILIAR",IF(F3600="NEW",IF(ISNA(VLOOKUP(E3600,#REF!,1,FALSE())),"?TYPE_IDENTIFIABLE","?REFERENTIAL"),"_")))))</f>
        <v> </v>
      </c>
      <c r="H3600" s="24" t="str">
        <f>IF(J3600&lt;&gt;1,"",IF(I3600="SBJ","CB","?"))</f>
        <v> </v>
      </c>
      <c r="I3600" s="25" t="str">
        <f>IF(OR(E3600="",E3600="!!!",F3600="NEW"),"",INDEX(B3599:B$2,-1+SUMPRODUCT(MAX(ROW(E3599:E$2)*(E3600=E3599:E$2)))))</f>
        <v> </v>
      </c>
      <c r="J3600" s="25" t="str">
        <f>IF(OR(E3600="",E3600="!!!",F3600="NEW"),"",COUNTBLANK(OFFSET(A$1,,,SUMPRODUCT(MAX(ROW(E$2:E3600)*(E3600=E$2:E3600)))))-COUNTBLANK(OFFSET(A$1,,,SUMPRODUCT(MAX(ROW(E$1:E3599)*(E2=E$1:E3599))))))</f>
        <v> </v>
      </c>
      <c r="K3600" s="25" t="str">
        <f>IF(OR(E3600="",E3600="!!!",F3600="NEW"),"",INDEX(J$1:J3599,SUMPRODUCT(MAX(ROW(E$1:E3599)*(E3600=E$1:E3599)))))</f>
        <v> </v>
      </c>
      <c r="L3600" s="26"/>
    </row>
    <row r="3601" spans="1:12">
      <c r="A3601" s="20" t="s">
        <v>625</v>
      </c>
      <c r="E3601" s="21">
        <f>IF(D3601="?OLD","!!!","")</f>
        <v/>
      </c>
      <c r="F3601" s="22" t="str">
        <f>IF(OR(E3601="",E3601="!!!"),"",IF(NOT(ISNA(VLOOKUP(E3601,E$1:E3600,1,FALSE()))),"OLD",IF(AND(E3601&lt;&gt;"",E3601&lt;&gt;"!!!"),"NEW","")))</f>
        <v> </v>
      </c>
      <c r="G3601" s="23" t="str">
        <f>IF(OR(E3601="",E3601="!!!"),"",IF(OR(J3601=0,AND(J3601=1,K3601=1),AND(J3601=1,I3601="SBJ"),AND(J3601=1,I3601=0)),"?IN_FOCUS",IF(J3601&lt;=2,"?ACTIVATED",IF(J3601&lt;&gt;"","?FAMILIAR",IF(F3601="NEW",IF(ISNA(VLOOKUP(E3601,#REF!,1,FALSE())),"?TYPE_IDENTIFIABLE","?REFERENTIAL"),"_")))))</f>
        <v> </v>
      </c>
      <c r="H3601" s="24" t="str">
        <f>IF(J3601&lt;&gt;1,"",IF(I3601="SBJ","CB","?"))</f>
        <v> </v>
      </c>
      <c r="I3601" s="25" t="str">
        <f>IF(OR(E3601="",E3601="!!!",F3601="NEW"),"",INDEX(B3600:B$2,-1+SUMPRODUCT(MAX(ROW(E3600:E$2)*(E3601=E3600:E$2)))))</f>
        <v> </v>
      </c>
      <c r="J3601" s="25" t="str">
        <f>IF(OR(E3601="",E3601="!!!",F3601="NEW"),"",COUNTBLANK(OFFSET(A$1,,,SUMPRODUCT(MAX(ROW(E$2:E3601)*(E3601=E$2:E3601)))))-COUNTBLANK(OFFSET(A$1,,,SUMPRODUCT(MAX(ROW(E$1:E3600)*(E2=E$1:E3600))))))</f>
        <v> </v>
      </c>
      <c r="K3601" s="25" t="str">
        <f>IF(OR(E3601="",E3601="!!!",F3601="NEW"),"",INDEX(J$1:J3600,SUMPRODUCT(MAX(ROW(E$1:E3600)*(E3601=E$1:E3600)))))</f>
        <v> </v>
      </c>
      <c r="L3601" s="26"/>
    </row>
    <row r="3602" spans="1:12">
      <c r="A3602" s="20" t="s">
        <v>1671</v>
      </c>
      <c r="E3602" s="21">
        <f>IF(D3602="?OLD","!!!","")</f>
        <v/>
      </c>
      <c r="F3602" s="22" t="str">
        <f>IF(OR(E3602="",E3602="!!!"),"",IF(NOT(ISNA(VLOOKUP(E3602,E$1:E3601,1,FALSE()))),"OLD",IF(AND(E3602&lt;&gt;"",E3602&lt;&gt;"!!!"),"NEW","")))</f>
        <v> </v>
      </c>
      <c r="G3602" s="23" t="str">
        <f>IF(OR(E3602="",E3602="!!!"),"",IF(OR(J3602=0,AND(J3602=1,K3602=1),AND(J3602=1,I3602="SBJ"),AND(J3602=1,I3602=0)),"?IN_FOCUS",IF(J3602&lt;=2,"?ACTIVATED",IF(J3602&lt;&gt;"","?FAMILIAR",IF(F3602="NEW",IF(ISNA(VLOOKUP(E3602,#REF!,1,FALSE())),"?TYPE_IDENTIFIABLE","?REFERENTIAL"),"_")))))</f>
        <v> </v>
      </c>
      <c r="H3602" s="24" t="str">
        <f>IF(J3602&lt;&gt;1,"",IF(I3602="SBJ","CB","?"))</f>
        <v> </v>
      </c>
      <c r="I3602" s="25" t="str">
        <f>IF(OR(E3602="",E3602="!!!",F3602="NEW"),"",INDEX(B3601:B$2,-1+SUMPRODUCT(MAX(ROW(E3601:E$2)*(E3602=E3601:E$2)))))</f>
        <v> </v>
      </c>
      <c r="J3602" s="25" t="str">
        <f>IF(OR(E3602="",E3602="!!!",F3602="NEW"),"",COUNTBLANK(OFFSET(A$1,,,SUMPRODUCT(MAX(ROW(E$2:E3602)*(E3602=E$2:E3602)))))-COUNTBLANK(OFFSET(A$1,,,SUMPRODUCT(MAX(ROW(E$1:E3601)*(E2=E$1:E3601))))))</f>
        <v> </v>
      </c>
      <c r="K3602" s="25" t="str">
        <f>IF(OR(E3602="",E3602="!!!",F3602="NEW"),"",INDEX(J$1:J3601,SUMPRODUCT(MAX(ROW(E$1:E3601)*(E3602=E$1:E3601)))))</f>
        <v> </v>
      </c>
      <c r="L3602" s="26"/>
    </row>
    <row r="3603" spans="1:12">
      <c r="A3603" s="20" t="s">
        <v>565</v>
      </c>
      <c r="E3603" s="21">
        <f>IF(D3603="?OLD","!!!","")</f>
        <v/>
      </c>
      <c r="F3603" s="22" t="str">
        <f>IF(OR(E3603="",E3603="!!!"),"",IF(NOT(ISNA(VLOOKUP(E3603,E$1:E3602,1,FALSE()))),"OLD",IF(AND(E3603&lt;&gt;"",E3603&lt;&gt;"!!!"),"NEW","")))</f>
        <v> </v>
      </c>
      <c r="G3603" s="23" t="str">
        <f>IF(OR(E3603="",E3603="!!!"),"",IF(OR(J3603=0,AND(J3603=1,K3603=1),AND(J3603=1,I3603="SBJ"),AND(J3603=1,I3603=0)),"?IN_FOCUS",IF(J3603&lt;=2,"?ACTIVATED",IF(J3603&lt;&gt;"","?FAMILIAR",IF(F3603="NEW",IF(ISNA(VLOOKUP(E3603,#REF!,1,FALSE())),"?TYPE_IDENTIFIABLE","?REFERENTIAL"),"_")))))</f>
        <v> </v>
      </c>
      <c r="H3603" s="24" t="str">
        <f>IF(J3603&lt;&gt;1,"",IF(I3603="SBJ","CB","?"))</f>
        <v> </v>
      </c>
      <c r="I3603" s="25" t="str">
        <f>IF(OR(E3603="",E3603="!!!",F3603="NEW"),"",INDEX(B3602:B$2,-1+SUMPRODUCT(MAX(ROW(E3602:E$2)*(E3603=E3602:E$2)))))</f>
        <v> </v>
      </c>
      <c r="J3603" s="25" t="str">
        <f>IF(OR(E3603="",E3603="!!!",F3603="NEW"),"",COUNTBLANK(OFFSET(A$1,,,SUMPRODUCT(MAX(ROW(E$2:E3603)*(E3603=E$2:E3603)))))-COUNTBLANK(OFFSET(A$1,,,SUMPRODUCT(MAX(ROW(E$1:E3602)*(E2=E$1:E3602))))))</f>
        <v> </v>
      </c>
      <c r="K3603" s="25" t="str">
        <f>IF(OR(E3603="",E3603="!!!",F3603="NEW"),"",INDEX(J$1:J3602,SUMPRODUCT(MAX(ROW(E$1:E3602)*(E3603=E$1:E3602)))))</f>
        <v> </v>
      </c>
      <c r="L3603" s="26"/>
    </row>
    <row r="3604" spans="1:12">
      <c r="A3604" s="20" t="s">
        <v>1477</v>
      </c>
      <c r="E3604" s="21">
        <f>IF(D3604="?OLD","!!!","")</f>
        <v/>
      </c>
      <c r="F3604" s="22" t="str">
        <f>IF(OR(E3604="",E3604="!!!"),"",IF(NOT(ISNA(VLOOKUP(E3604,E$1:E3603,1,FALSE()))),"OLD",IF(AND(E3604&lt;&gt;"",E3604&lt;&gt;"!!!"),"NEW","")))</f>
        <v> </v>
      </c>
      <c r="G3604" s="23" t="str">
        <f>IF(OR(E3604="",E3604="!!!"),"",IF(OR(J3604=0,AND(J3604=1,K3604=1),AND(J3604=1,I3604="SBJ"),AND(J3604=1,I3604=0)),"?IN_FOCUS",IF(J3604&lt;=2,"?ACTIVATED",IF(J3604&lt;&gt;"","?FAMILIAR",IF(F3604="NEW",IF(ISNA(VLOOKUP(E3604,#REF!,1,FALSE())),"?TYPE_IDENTIFIABLE","?REFERENTIAL"),"_")))))</f>
        <v> </v>
      </c>
      <c r="H3604" s="24" t="str">
        <f>IF(J3604&lt;&gt;1,"",IF(I3604="SBJ","CB","?"))</f>
        <v> </v>
      </c>
      <c r="I3604" s="25" t="str">
        <f>IF(OR(E3604="",E3604="!!!",F3604="NEW"),"",INDEX(B3603:B$2,-1+SUMPRODUCT(MAX(ROW(E3603:E$2)*(E3604=E3603:E$2)))))</f>
        <v> </v>
      </c>
      <c r="J3604" s="25" t="str">
        <f>IF(OR(E3604="",E3604="!!!",F3604="NEW"),"",COUNTBLANK(OFFSET(A$1,,,SUMPRODUCT(MAX(ROW(E$2:E3604)*(E3604=E$2:E3604)))))-COUNTBLANK(OFFSET(A$1,,,SUMPRODUCT(MAX(ROW(E$1:E3603)*(E2=E$1:E3603))))))</f>
        <v> </v>
      </c>
      <c r="K3604" s="25" t="str">
        <f>IF(OR(E3604="",E3604="!!!",F3604="NEW"),"",INDEX(J$1:J3603,SUMPRODUCT(MAX(ROW(E$1:E3603)*(E3604=E$1:E3603)))))</f>
        <v> </v>
      </c>
      <c r="L3604" s="26"/>
    </row>
    <row r="3605" spans="1:12">
      <c r="A3605" s="20" t="s">
        <v>1201</v>
      </c>
      <c r="E3605" s="21">
        <f>IF(D3605="?OLD","!!!","")</f>
        <v/>
      </c>
      <c r="F3605" s="22" t="str">
        <f>IF(OR(E3605="",E3605="!!!"),"",IF(NOT(ISNA(VLOOKUP(E3605,E$1:E3604,1,FALSE()))),"OLD",IF(AND(E3605&lt;&gt;"",E3605&lt;&gt;"!!!"),"NEW","")))</f>
        <v> </v>
      </c>
      <c r="G3605" s="23" t="str">
        <f>IF(OR(E3605="",E3605="!!!"),"",IF(OR(J3605=0,AND(J3605=1,K3605=1),AND(J3605=1,I3605="SBJ"),AND(J3605=1,I3605=0)),"?IN_FOCUS",IF(J3605&lt;=2,"?ACTIVATED",IF(J3605&lt;&gt;"","?FAMILIAR",IF(F3605="NEW",IF(ISNA(VLOOKUP(E3605,#REF!,1,FALSE())),"?TYPE_IDENTIFIABLE","?REFERENTIAL"),"_")))))</f>
        <v> </v>
      </c>
      <c r="H3605" s="24" t="str">
        <f>IF(J3605&lt;&gt;1,"",IF(I3605="SBJ","CB","?"))</f>
        <v> </v>
      </c>
      <c r="I3605" s="25" t="str">
        <f>IF(OR(E3605="",E3605="!!!",F3605="NEW"),"",INDEX(B3604:B$2,-1+SUMPRODUCT(MAX(ROW(E3604:E$2)*(E3605=E3604:E$2)))))</f>
        <v> </v>
      </c>
      <c r="J3605" s="25" t="str">
        <f>IF(OR(E3605="",E3605="!!!",F3605="NEW"),"",COUNTBLANK(OFFSET(A$1,,,SUMPRODUCT(MAX(ROW(E$2:E3605)*(E3605=E$2:E3605)))))-COUNTBLANK(OFFSET(A$1,,,SUMPRODUCT(MAX(ROW(E$1:E3604)*(E2=E$1:E3604))))))</f>
        <v> </v>
      </c>
      <c r="K3605" s="25" t="str">
        <f>IF(OR(E3605="",E3605="!!!",F3605="NEW"),"",INDEX(J$1:J3604,SUMPRODUCT(MAX(ROW(E$1:E3604)*(E3605=E$1:E3604)))))</f>
        <v> </v>
      </c>
      <c r="L3605" s="26"/>
    </row>
    <row r="3606" spans="1:12">
      <c r="A3606" s="20" t="s">
        <v>542</v>
      </c>
      <c r="E3606" s="21">
        <f>IF(D3606="?OLD","!!!","")</f>
        <v/>
      </c>
      <c r="F3606" s="22" t="str">
        <f>IF(OR(E3606="",E3606="!!!"),"",IF(NOT(ISNA(VLOOKUP(E3606,E$1:E3605,1,FALSE()))),"OLD",IF(AND(E3606&lt;&gt;"",E3606&lt;&gt;"!!!"),"NEW","")))</f>
        <v> </v>
      </c>
      <c r="G3606" s="23" t="str">
        <f>IF(OR(E3606="",E3606="!!!"),"",IF(OR(J3606=0,AND(J3606=1,K3606=1),AND(J3606=1,I3606="SBJ"),AND(J3606=1,I3606=0)),"?IN_FOCUS",IF(J3606&lt;=2,"?ACTIVATED",IF(J3606&lt;&gt;"","?FAMILIAR",IF(F3606="NEW",IF(ISNA(VLOOKUP(E3606,#REF!,1,FALSE())),"?TYPE_IDENTIFIABLE","?REFERENTIAL"),"_")))))</f>
        <v> </v>
      </c>
      <c r="H3606" s="24" t="str">
        <f>IF(J3606&lt;&gt;1,"",IF(I3606="SBJ","CB","?"))</f>
        <v> </v>
      </c>
      <c r="I3606" s="25" t="str">
        <f>IF(OR(E3606="",E3606="!!!",F3606="NEW"),"",INDEX(B3605:B$2,-1+SUMPRODUCT(MAX(ROW(E3605:E$2)*(E3606=E3605:E$2)))))</f>
        <v> </v>
      </c>
      <c r="J3606" s="25" t="str">
        <f>IF(OR(E3606="",E3606="!!!",F3606="NEW"),"",COUNTBLANK(OFFSET(A$1,,,SUMPRODUCT(MAX(ROW(E$2:E3606)*(E3606=E$2:E3606)))))-COUNTBLANK(OFFSET(A$1,,,SUMPRODUCT(MAX(ROW(E$1:E3605)*(E2=E$1:E3605))))))</f>
        <v> </v>
      </c>
      <c r="K3606" s="25" t="str">
        <f>IF(OR(E3606="",E3606="!!!",F3606="NEW"),"",INDEX(J$1:J3605,SUMPRODUCT(MAX(ROW(E$1:E3605)*(E3606=E$1:E3605)))))</f>
        <v> </v>
      </c>
      <c r="L3606" s="26"/>
    </row>
    <row r="3607" spans="1:12">
      <c r="A3607" s="20" t="s">
        <v>1242</v>
      </c>
      <c r="E3607" s="21">
        <f>IF(D3607="?OLD","!!!","")</f>
        <v/>
      </c>
      <c r="F3607" s="22" t="str">
        <f>IF(OR(E3607="",E3607="!!!"),"",IF(NOT(ISNA(VLOOKUP(E3607,E$1:E3606,1,FALSE()))),"OLD",IF(AND(E3607&lt;&gt;"",E3607&lt;&gt;"!!!"),"NEW","")))</f>
        <v> </v>
      </c>
      <c r="G3607" s="23" t="str">
        <f>IF(OR(E3607="",E3607="!!!"),"",IF(OR(J3607=0,AND(J3607=1,K3607=1),AND(J3607=1,I3607="SBJ"),AND(J3607=1,I3607=0)),"?IN_FOCUS",IF(J3607&lt;=2,"?ACTIVATED",IF(J3607&lt;&gt;"","?FAMILIAR",IF(F3607="NEW",IF(ISNA(VLOOKUP(E3607,#REF!,1,FALSE())),"?TYPE_IDENTIFIABLE","?REFERENTIAL"),"_")))))</f>
        <v> </v>
      </c>
      <c r="H3607" s="24" t="str">
        <f>IF(J3607&lt;&gt;1,"",IF(I3607="SBJ","CB","?"))</f>
        <v> </v>
      </c>
      <c r="I3607" s="25" t="str">
        <f>IF(OR(E3607="",E3607="!!!",F3607="NEW"),"",INDEX(B3606:B$2,-1+SUMPRODUCT(MAX(ROW(E3606:E$2)*(E3607=E3606:E$2)))))</f>
        <v> </v>
      </c>
      <c r="J3607" s="25" t="str">
        <f>IF(OR(E3607="",E3607="!!!",F3607="NEW"),"",COUNTBLANK(OFFSET(A$1,,,SUMPRODUCT(MAX(ROW(E$2:E3607)*(E3607=E$2:E3607)))))-COUNTBLANK(OFFSET(A$1,,,SUMPRODUCT(MAX(ROW(E$1:E3606)*(E2=E$1:E3606))))))</f>
        <v> </v>
      </c>
      <c r="K3607" s="25" t="str">
        <f>IF(OR(E3607="",E3607="!!!",F3607="NEW"),"",INDEX(J$1:J3606,SUMPRODUCT(MAX(ROW(E$1:E3606)*(E3607=E$1:E3606)))))</f>
        <v> </v>
      </c>
      <c r="L3607" s="26"/>
    </row>
    <row r="3608" spans="1:12">
      <c r="A3608" s="20" t="s">
        <v>571</v>
      </c>
      <c r="E3608" s="21">
        <f>IF(D3608="?OLD","!!!","")</f>
        <v/>
      </c>
      <c r="F3608" s="22" t="str">
        <f>IF(OR(E3608="",E3608="!!!"),"",IF(NOT(ISNA(VLOOKUP(E3608,E$1:E3607,1,FALSE()))),"OLD",IF(AND(E3608&lt;&gt;"",E3608&lt;&gt;"!!!"),"NEW","")))</f>
        <v> </v>
      </c>
      <c r="G3608" s="23" t="str">
        <f>IF(OR(E3608="",E3608="!!!"),"",IF(OR(J3608=0,AND(J3608=1,K3608=1),AND(J3608=1,I3608="SBJ"),AND(J3608=1,I3608=0)),"?IN_FOCUS",IF(J3608&lt;=2,"?ACTIVATED",IF(J3608&lt;&gt;"","?FAMILIAR",IF(F3608="NEW",IF(ISNA(VLOOKUP(E3608,#REF!,1,FALSE())),"?TYPE_IDENTIFIABLE","?REFERENTIAL"),"_")))))</f>
        <v> </v>
      </c>
      <c r="H3608" s="24" t="str">
        <f>IF(J3608&lt;&gt;1,"",IF(I3608="SBJ","CB","?"))</f>
        <v> </v>
      </c>
      <c r="I3608" s="25" t="str">
        <f>IF(OR(E3608="",E3608="!!!",F3608="NEW"),"",INDEX(B3607:B$2,-1+SUMPRODUCT(MAX(ROW(E3607:E$2)*(E3608=E3607:E$2)))))</f>
        <v> </v>
      </c>
      <c r="J3608" s="25" t="str">
        <f>IF(OR(E3608="",E3608="!!!",F3608="NEW"),"",COUNTBLANK(OFFSET(A$1,,,SUMPRODUCT(MAX(ROW(E$2:E3608)*(E3608=E$2:E3608)))))-COUNTBLANK(OFFSET(A$1,,,SUMPRODUCT(MAX(ROW(E$1:E3607)*(E2=E$1:E3607))))))</f>
        <v> </v>
      </c>
      <c r="K3608" s="25" t="str">
        <f>IF(OR(E3608="",E3608="!!!",F3608="NEW"),"",INDEX(J$1:J3607,SUMPRODUCT(MAX(ROW(E$1:E3607)*(E3608=E$1:E3607)))))</f>
        <v> </v>
      </c>
      <c r="L3608" s="26"/>
    </row>
    <row r="3609" spans="1:12">
      <c r="A3609" s="20" t="s">
        <v>1050</v>
      </c>
      <c r="B3609" s="27" t="s">
        <v>658</v>
      </c>
      <c r="C3609" s="27" t="s">
        <v>669</v>
      </c>
      <c r="D3609" s="27" t="s">
        <v>524</v>
      </c>
      <c r="E3609" s="21">
        <f>IF(D3609="?OLD","!!!","")</f>
        <v/>
      </c>
      <c r="F3609" s="22" t="str">
        <f>IF(OR(E3609="",E3609="!!!"),"",IF(NOT(ISNA(VLOOKUP(E3609,E$1:E3608,1,FALSE()))),"OLD",IF(AND(E3609&lt;&gt;"",E3609&lt;&gt;"!!!"),"NEW","")))</f>
        <v> </v>
      </c>
      <c r="G3609" s="23" t="str">
        <f>IF(OR(E3609="",E3609="!!!"),"",IF(OR(J3609=0,AND(J3609=1,K3609=1),AND(J3609=1,I3609="SBJ"),AND(J3609=1,I3609=0)),"?IN_FOCUS",IF(J3609&lt;=2,"?ACTIVATED",IF(J3609&lt;&gt;"","?FAMILIAR",IF(F3609="NEW",IF(ISNA(VLOOKUP(E3609,#REF!,1,FALSE())),"?TYPE_IDENTIFIABLE","?REFERENTIAL"),"_")))))</f>
        <v> </v>
      </c>
      <c r="H3609" s="24" t="str">
        <f>IF(J3609&lt;&gt;1,"",IF(I3609="SBJ","CB","?"))</f>
        <v> </v>
      </c>
      <c r="I3609" s="25" t="str">
        <f>IF(OR(E3609="",E3609="!!!",F3609="NEW"),"",INDEX(B3608:B$2,-1+SUMPRODUCT(MAX(ROW(E3608:E$2)*(E3609=E3608:E$2)))))</f>
        <v> </v>
      </c>
      <c r="J3609" s="25" t="str">
        <f>IF(OR(E3609="",E3609="!!!",F3609="NEW"),"",COUNTBLANK(OFFSET(A$1,,,SUMPRODUCT(MAX(ROW(E$2:E3609)*(E3609=E$2:E3609)))))-COUNTBLANK(OFFSET(A$1,,,SUMPRODUCT(MAX(ROW(E$1:E3608)*(E2=E$1:E3608))))))</f>
        <v> </v>
      </c>
      <c r="K3609" s="25" t="str">
        <f>IF(OR(E3609="",E3609="!!!",F3609="NEW"),"",INDEX(J$1:J3608,SUMPRODUCT(MAX(ROW(E$1:E3608)*(E3609=E$1:E3608)))))</f>
        <v> </v>
      </c>
      <c r="L3609" s="26"/>
    </row>
    <row r="3610" spans="1:12">
      <c r="A3610" s="20" t="s">
        <v>814</v>
      </c>
      <c r="B3610" s="27" t="s">
        <v>653</v>
      </c>
      <c r="C3610" s="27" t="s">
        <v>540</v>
      </c>
      <c r="D3610" s="27" t="s">
        <v>524</v>
      </c>
      <c r="E3610" s="21">
        <f>IF(D3610="?OLD","!!!","")</f>
        <v/>
      </c>
      <c r="F3610" s="22" t="str">
        <f>IF(OR(E3610="",E3610="!!!"),"",IF(NOT(ISNA(VLOOKUP(E3610,E$1:E3609,1,FALSE()))),"OLD",IF(AND(E3610&lt;&gt;"",E3610&lt;&gt;"!!!"),"NEW","")))</f>
        <v> </v>
      </c>
      <c r="G3610" s="23" t="str">
        <f>IF(OR(E3610="",E3610="!!!"),"",IF(OR(J3610=0,AND(J3610=1,K3610=1),AND(J3610=1,I3610="SBJ"),AND(J3610=1,I3610=0)),"?IN_FOCUS",IF(J3610&lt;=2,"?ACTIVATED",IF(J3610&lt;&gt;"","?FAMILIAR",IF(F3610="NEW",IF(ISNA(VLOOKUP(E3610,#REF!,1,FALSE())),"?TYPE_IDENTIFIABLE","?REFERENTIAL"),"_")))))</f>
        <v> </v>
      </c>
      <c r="H3610" s="24" t="str">
        <f>IF(J3610&lt;&gt;1,"",IF(I3610="SBJ","CB","?"))</f>
        <v> </v>
      </c>
      <c r="I3610" s="25" t="str">
        <f>IF(OR(E3610="",E3610="!!!",F3610="NEW"),"",INDEX(B3609:B$2,-1+SUMPRODUCT(MAX(ROW(E3609:E$2)*(E3610=E3609:E$2)))))</f>
        <v> </v>
      </c>
      <c r="J3610" s="25" t="str">
        <f>IF(OR(E3610="",E3610="!!!",F3610="NEW"),"",COUNTBLANK(OFFSET(A$1,,,SUMPRODUCT(MAX(ROW(E$2:E3610)*(E3610=E$2:E3610)))))-COUNTBLANK(OFFSET(A$1,,,SUMPRODUCT(MAX(ROW(E$1:E3609)*(E2=E$1:E3609))))))</f>
        <v> </v>
      </c>
      <c r="K3610" s="25" t="str">
        <f>IF(OR(E3610="",E3610="!!!",F3610="NEW"),"",INDEX(J$1:J3609,SUMPRODUCT(MAX(ROW(E$1:E3609)*(E3610=E$1:E3609)))))</f>
        <v> </v>
      </c>
      <c r="L3610" s="26"/>
    </row>
    <row r="3611" spans="1:12">
      <c r="A3611" s="20" t="s">
        <v>518</v>
      </c>
      <c r="E3611" s="21">
        <f>IF(D3611="?OLD","!!!","")</f>
        <v/>
      </c>
      <c r="F3611" s="22" t="str">
        <f>IF(OR(E3611="",E3611="!!!"),"",IF(NOT(ISNA(VLOOKUP(E3611,E$1:E3610,1,FALSE()))),"OLD",IF(AND(E3611&lt;&gt;"",E3611&lt;&gt;"!!!"),"NEW","")))</f>
        <v> </v>
      </c>
      <c r="G3611" s="23" t="str">
        <f>IF(OR(E3611="",E3611="!!!"),"",IF(OR(J3611=0,AND(J3611=1,K3611=1),AND(J3611=1,I3611="SBJ"),AND(J3611=1,I3611=0)),"?IN_FOCUS",IF(J3611&lt;=2,"?ACTIVATED",IF(J3611&lt;&gt;"","?FAMILIAR",IF(F3611="NEW",IF(ISNA(VLOOKUP(E3611,#REF!,1,FALSE())),"?TYPE_IDENTIFIABLE","?REFERENTIAL"),"_")))))</f>
        <v> </v>
      </c>
      <c r="H3611" s="24" t="str">
        <f>IF(J3611&lt;&gt;1,"",IF(I3611="SBJ","CB","?"))</f>
        <v> </v>
      </c>
      <c r="I3611" s="25" t="str">
        <f>IF(OR(E3611="",E3611="!!!",F3611="NEW"),"",INDEX(B3610:B$2,-1+SUMPRODUCT(MAX(ROW(E3610:E$2)*(E3611=E3610:E$2)))))</f>
        <v> </v>
      </c>
      <c r="J3611" s="25" t="str">
        <f>IF(OR(E3611="",E3611="!!!",F3611="NEW"),"",COUNTBLANK(OFFSET(A$1,,,SUMPRODUCT(MAX(ROW(E$2:E3611)*(E3611=E$2:E3611)))))-COUNTBLANK(OFFSET(A$1,,,SUMPRODUCT(MAX(ROW(E$1:E3610)*(E2=E$1:E3610))))))</f>
        <v> </v>
      </c>
      <c r="K3611" s="25" t="str">
        <f>IF(OR(E3611="",E3611="!!!",F3611="NEW"),"",INDEX(J$1:J3610,SUMPRODUCT(MAX(ROW(E$1:E3610)*(E3611=E$1:E3610)))))</f>
        <v> </v>
      </c>
      <c r="L3611" s="26"/>
    </row>
    <row r="3612" spans="1:12">
      <c r="A3612" s="20" t="s">
        <v>542</v>
      </c>
      <c r="E3612" s="21">
        <f>IF(D3612="?OLD","!!!","")</f>
        <v/>
      </c>
      <c r="F3612" s="22" t="str">
        <f>IF(OR(E3612="",E3612="!!!"),"",IF(NOT(ISNA(VLOOKUP(E3612,E$1:E3611,1,FALSE()))),"OLD",IF(AND(E3612&lt;&gt;"",E3612&lt;&gt;"!!!"),"NEW","")))</f>
        <v> </v>
      </c>
      <c r="G3612" s="23" t="str">
        <f>IF(OR(E3612="",E3612="!!!"),"",IF(OR(J3612=0,AND(J3612=1,K3612=1),AND(J3612=1,I3612="SBJ"),AND(J3612=1,I3612=0)),"?IN_FOCUS",IF(J3612&lt;=2,"?ACTIVATED",IF(J3612&lt;&gt;"","?FAMILIAR",IF(F3612="NEW",IF(ISNA(VLOOKUP(E3612,#REF!,1,FALSE())),"?TYPE_IDENTIFIABLE","?REFERENTIAL"),"_")))))</f>
        <v> </v>
      </c>
      <c r="H3612" s="24" t="str">
        <f>IF(J3612&lt;&gt;1,"",IF(I3612="SBJ","CB","?"))</f>
        <v> </v>
      </c>
      <c r="I3612" s="25" t="str">
        <f>IF(OR(E3612="",E3612="!!!",F3612="NEW"),"",INDEX(B3611:B$2,-1+SUMPRODUCT(MAX(ROW(E3611:E$2)*(E3612=E3611:E$2)))))</f>
        <v> </v>
      </c>
      <c r="J3612" s="25" t="str">
        <f>IF(OR(E3612="",E3612="!!!",F3612="NEW"),"",COUNTBLANK(OFFSET(A$1,,,SUMPRODUCT(MAX(ROW(E$2:E3612)*(E3612=E$2:E3612)))))-COUNTBLANK(OFFSET(A$1,,,SUMPRODUCT(MAX(ROW(E$1:E3611)*(E2=E$1:E3611))))))</f>
        <v> </v>
      </c>
      <c r="K3612" s="25" t="str">
        <f>IF(OR(E3612="",E3612="!!!",F3612="NEW"),"",INDEX(J$1:J3611,SUMPRODUCT(MAX(ROW(E$1:E3611)*(E3612=E$1:E3611)))))</f>
        <v> </v>
      </c>
      <c r="L3612" s="26"/>
    </row>
    <row r="3613" spans="1:12">
      <c r="A3613" s="20" t="s">
        <v>758</v>
      </c>
      <c r="E3613" s="21">
        <f>IF(D3613="?OLD","!!!","")</f>
        <v/>
      </c>
      <c r="F3613" s="22" t="str">
        <f>IF(OR(E3613="",E3613="!!!"),"",IF(NOT(ISNA(VLOOKUP(E3613,E$1:E3612,1,FALSE()))),"OLD",IF(AND(E3613&lt;&gt;"",E3613&lt;&gt;"!!!"),"NEW","")))</f>
        <v> </v>
      </c>
      <c r="G3613" s="23" t="str">
        <f>IF(OR(E3613="",E3613="!!!"),"",IF(OR(J3613=0,AND(J3613=1,K3613=1),AND(J3613=1,I3613="SBJ"),AND(J3613=1,I3613=0)),"?IN_FOCUS",IF(J3613&lt;=2,"?ACTIVATED",IF(J3613&lt;&gt;"","?FAMILIAR",IF(F3613="NEW",IF(ISNA(VLOOKUP(E3613,#REF!,1,FALSE())),"?TYPE_IDENTIFIABLE","?REFERENTIAL"),"_")))))</f>
        <v> </v>
      </c>
      <c r="H3613" s="24" t="str">
        <f>IF(J3613&lt;&gt;1,"",IF(I3613="SBJ","CB","?"))</f>
        <v> </v>
      </c>
      <c r="I3613" s="25" t="str">
        <f>IF(OR(E3613="",E3613="!!!",F3613="NEW"),"",INDEX(B3612:B$2,-1+SUMPRODUCT(MAX(ROW(E3612:E$2)*(E3613=E3612:E$2)))))</f>
        <v> </v>
      </c>
      <c r="J3613" s="25" t="str">
        <f>IF(OR(E3613="",E3613="!!!",F3613="NEW"),"",COUNTBLANK(OFFSET(A$1,,,SUMPRODUCT(MAX(ROW(E$2:E3613)*(E3613=E$2:E3613)))))-COUNTBLANK(OFFSET(A$1,,,SUMPRODUCT(MAX(ROW(E$1:E3612)*(E2=E$1:E3612))))))</f>
        <v> </v>
      </c>
      <c r="K3613" s="25" t="str">
        <f>IF(OR(E3613="",E3613="!!!",F3613="NEW"),"",INDEX(J$1:J3612,SUMPRODUCT(MAX(ROW(E$1:E3612)*(E3613=E$1:E3612)))))</f>
        <v> </v>
      </c>
      <c r="L3613" s="26"/>
    </row>
    <row r="3614" spans="1:12">
      <c r="A3614" s="20" t="s">
        <v>1038</v>
      </c>
      <c r="B3614" s="27" t="s">
        <v>658</v>
      </c>
      <c r="C3614" s="27" t="s">
        <v>545</v>
      </c>
      <c r="D3614" s="27" t="s">
        <v>524</v>
      </c>
      <c r="E3614" s="21">
        <f>IF(D3614="?OLD","!!!","")</f>
        <v/>
      </c>
      <c r="F3614" s="22" t="str">
        <f>IF(OR(E3614="",E3614="!!!"),"",IF(NOT(ISNA(VLOOKUP(E3614,E$1:E3613,1,FALSE()))),"OLD",IF(AND(E3614&lt;&gt;"",E3614&lt;&gt;"!!!"),"NEW","")))</f>
        <v> </v>
      </c>
      <c r="G3614" s="23" t="str">
        <f>IF(OR(E3614="",E3614="!!!"),"",IF(OR(J3614=0,AND(J3614=1,K3614=1),AND(J3614=1,I3614="SBJ"),AND(J3614=1,I3614=0)),"?IN_FOCUS",IF(J3614&lt;=2,"?ACTIVATED",IF(J3614&lt;&gt;"","?FAMILIAR",IF(F3614="NEW",IF(ISNA(VLOOKUP(E3614,#REF!,1,FALSE())),"?TYPE_IDENTIFIABLE","?REFERENTIAL"),"_")))))</f>
        <v> </v>
      </c>
      <c r="H3614" s="24" t="str">
        <f>IF(J3614&lt;&gt;1,"",IF(I3614="SBJ","CB","?"))</f>
        <v> </v>
      </c>
      <c r="I3614" s="25" t="str">
        <f>IF(OR(E3614="",E3614="!!!",F3614="NEW"),"",INDEX(B3613:B$2,-1+SUMPRODUCT(MAX(ROW(E3613:E$2)*(E3614=E3613:E$2)))))</f>
        <v> </v>
      </c>
      <c r="J3614" s="25" t="str">
        <f>IF(OR(E3614="",E3614="!!!",F3614="NEW"),"",COUNTBLANK(OFFSET(A$1,,,SUMPRODUCT(MAX(ROW(E$2:E3614)*(E3614=E$2:E3614)))))-COUNTBLANK(OFFSET(A$1,,,SUMPRODUCT(MAX(ROW(E$1:E3613)*(E2=E$1:E3613))))))</f>
        <v> </v>
      </c>
      <c r="K3614" s="25" t="str">
        <f>IF(OR(E3614="",E3614="!!!",F3614="NEW"),"",INDEX(J$1:J3613,SUMPRODUCT(MAX(ROW(E$1:E3613)*(E3614=E$1:E3613)))))</f>
        <v> </v>
      </c>
      <c r="L3614" s="26"/>
    </row>
    <row r="3615" spans="1:12">
      <c r="A3615" s="20" t="s">
        <v>549</v>
      </c>
      <c r="E3615" s="21">
        <f>IF(D3615="?OLD","!!!","")</f>
        <v/>
      </c>
      <c r="F3615" s="22" t="str">
        <f>IF(OR(E3615="",E3615="!!!"),"",IF(NOT(ISNA(VLOOKUP(E3615,E$1:E3614,1,FALSE()))),"OLD",IF(AND(E3615&lt;&gt;"",E3615&lt;&gt;"!!!"),"NEW","")))</f>
        <v> </v>
      </c>
      <c r="G3615" s="23" t="str">
        <f>IF(OR(E3615="",E3615="!!!"),"",IF(OR(J3615=0,AND(J3615=1,K3615=1),AND(J3615=1,I3615="SBJ"),AND(J3615=1,I3615=0)),"?IN_FOCUS",IF(J3615&lt;=2,"?ACTIVATED",IF(J3615&lt;&gt;"","?FAMILIAR",IF(F3615="NEW",IF(ISNA(VLOOKUP(E3615,#REF!,1,FALSE())),"?TYPE_IDENTIFIABLE","?REFERENTIAL"),"_")))))</f>
        <v> </v>
      </c>
      <c r="H3615" s="24" t="str">
        <f>IF(J3615&lt;&gt;1,"",IF(I3615="SBJ","CB","?"))</f>
        <v> </v>
      </c>
      <c r="I3615" s="25" t="str">
        <f>IF(OR(E3615="",E3615="!!!",F3615="NEW"),"",INDEX(B3614:B$2,-1+SUMPRODUCT(MAX(ROW(E3614:E$2)*(E3615=E3614:E$2)))))</f>
        <v> </v>
      </c>
      <c r="J3615" s="25" t="str">
        <f>IF(OR(E3615="",E3615="!!!",F3615="NEW"),"",COUNTBLANK(OFFSET(A$1,,,SUMPRODUCT(MAX(ROW(E$2:E3615)*(E3615=E$2:E3615)))))-COUNTBLANK(OFFSET(A$1,,,SUMPRODUCT(MAX(ROW(E$1:E3614)*(E2=E$1:E3614))))))</f>
        <v> </v>
      </c>
      <c r="K3615" s="25" t="str">
        <f>IF(OR(E3615="",E3615="!!!",F3615="NEW"),"",INDEX(J$1:J3614,SUMPRODUCT(MAX(ROW(E$1:E3614)*(E3615=E$1:E3614)))))</f>
        <v> </v>
      </c>
      <c r="L3615" s="26"/>
    </row>
    <row r="3616" spans="1:12">
      <c r="A3616" s="20"/>
    </row>
    <row r="3617" spans="1:12">
      <c r="A3617" s="20" t="s">
        <v>1672</v>
      </c>
    </row>
    <row r="3618" spans="1:12">
      <c r="A3618" s="20" t="s">
        <v>552</v>
      </c>
      <c r="E3618" s="21">
        <f>IF(D3618="?OLD","!!!","")</f>
        <v/>
      </c>
      <c r="F3618" s="22" t="str">
        <f>IF(OR(E3618="",E3618="!!!"),"",IF(NOT(ISNA(VLOOKUP(E3618,E$1:E3617,1,FALSE()))),"OLD",IF(AND(E3618&lt;&gt;"",E3618&lt;&gt;"!!!"),"NEW","")))</f>
        <v> </v>
      </c>
      <c r="G3618" s="23" t="str">
        <f>IF(OR(E3618="",E3618="!!!"),"",IF(OR(J3618=0,AND(J3618=1,K3618=1),AND(J3618=1,I3618="SBJ"),AND(J3618=1,I3618=0)),"?IN_FOCUS",IF(J3618&lt;=2,"?ACTIVATED",IF(J3618&lt;&gt;"","?FAMILIAR",IF(F3618="NEW",IF(ISNA(VLOOKUP(E3618,#REF!,1,FALSE())),"?TYPE_IDENTIFIABLE","?REFERENTIAL"),"_")))))</f>
        <v> </v>
      </c>
      <c r="H3618" s="24" t="str">
        <f>IF(J3618&lt;&gt;1,"",IF(I3618="SBJ","CB","?"))</f>
        <v> </v>
      </c>
      <c r="I3618" s="25" t="str">
        <f>IF(OR(E3618="",E3618="!!!",F3618="NEW"),"",INDEX(B3617:B$2,-1+SUMPRODUCT(MAX(ROW(E3617:E$2)*(E3618=E3617:E$2)))))</f>
        <v> </v>
      </c>
      <c r="J3618" s="25" t="str">
        <f>IF(OR(E3618="",E3618="!!!",F3618="NEW"),"",COUNTBLANK(OFFSET(A$1,,,SUMPRODUCT(MAX(ROW(E$2:E3618)*(E3618=E$2:E3618)))))-COUNTBLANK(OFFSET(A$1,,,SUMPRODUCT(MAX(ROW(E$1:E3617)*(E2=E$1:E3617))))))</f>
        <v> </v>
      </c>
      <c r="K3618" s="25" t="str">
        <f>IF(OR(E3618="",E3618="!!!",F3618="NEW"),"",INDEX(J$1:J3617,SUMPRODUCT(MAX(ROW(E$1:E3617)*(E3618=E$1:E3617)))))</f>
        <v> </v>
      </c>
      <c r="L3618" s="26"/>
    </row>
    <row r="3619" spans="1:12">
      <c r="A3619" s="20" t="s">
        <v>525</v>
      </c>
      <c r="E3619" s="21">
        <f>IF(D3619="?OLD","!!!","")</f>
        <v/>
      </c>
      <c r="F3619" s="22" t="str">
        <f>IF(OR(E3619="",E3619="!!!"),"",IF(NOT(ISNA(VLOOKUP(E3619,E$1:E3618,1,FALSE()))),"OLD",IF(AND(E3619&lt;&gt;"",E3619&lt;&gt;"!!!"),"NEW","")))</f>
        <v> </v>
      </c>
      <c r="G3619" s="23" t="str">
        <f>IF(OR(E3619="",E3619="!!!"),"",IF(OR(J3619=0,AND(J3619=1,K3619=1),AND(J3619=1,I3619="SBJ"),AND(J3619=1,I3619=0)),"?IN_FOCUS",IF(J3619&lt;=2,"?ACTIVATED",IF(J3619&lt;&gt;"","?FAMILIAR",IF(F3619="NEW",IF(ISNA(VLOOKUP(E3619,#REF!,1,FALSE())),"?TYPE_IDENTIFIABLE","?REFERENTIAL"),"_")))))</f>
        <v> </v>
      </c>
      <c r="H3619" s="24" t="str">
        <f>IF(J3619&lt;&gt;1,"",IF(I3619="SBJ","CB","?"))</f>
        <v> </v>
      </c>
      <c r="I3619" s="25" t="str">
        <f>IF(OR(E3619="",E3619="!!!",F3619="NEW"),"",INDEX(B3618:B$2,-1+SUMPRODUCT(MAX(ROW(E3618:E$2)*(E3619=E3618:E$2)))))</f>
        <v> </v>
      </c>
      <c r="J3619" s="25" t="str">
        <f>IF(OR(E3619="",E3619="!!!",F3619="NEW"),"",COUNTBLANK(OFFSET(A$1,,,SUMPRODUCT(MAX(ROW(E$2:E3619)*(E3619=E$2:E3619)))))-COUNTBLANK(OFFSET(A$1,,,SUMPRODUCT(MAX(ROW(E$1:E3618)*(E2=E$1:E3618))))))</f>
        <v> </v>
      </c>
      <c r="K3619" s="25" t="str">
        <f>IF(OR(E3619="",E3619="!!!",F3619="NEW"),"",INDEX(J$1:J3618,SUMPRODUCT(MAX(ROW(E$1:E3618)*(E3619=E$1:E3618)))))</f>
        <v> </v>
      </c>
      <c r="L3619" s="26"/>
    </row>
    <row r="3620" spans="1:12">
      <c r="A3620" s="20" t="s">
        <v>1654</v>
      </c>
      <c r="B3620" s="27" t="s">
        <v>667</v>
      </c>
      <c r="C3620" s="27" t="s">
        <v>527</v>
      </c>
      <c r="E3620" s="21">
        <f>IF(D3620="?OLD","!!!","")</f>
        <v/>
      </c>
      <c r="F3620" s="22" t="str">
        <f>IF(OR(E3620="",E3620="!!!"),"",IF(NOT(ISNA(VLOOKUP(E3620,E$1:E3619,1,FALSE()))),"OLD",IF(AND(E3620&lt;&gt;"",E3620&lt;&gt;"!!!"),"NEW","")))</f>
        <v> </v>
      </c>
      <c r="G3620" s="23" t="str">
        <f>IF(OR(E3620="",E3620="!!!"),"",IF(OR(J3620=0,AND(J3620=1,K3620=1),AND(J3620=1,I3620="SBJ"),AND(J3620=1,I3620=0)),"?IN_FOCUS",IF(J3620&lt;=2,"?ACTIVATED",IF(J3620&lt;&gt;"","?FAMILIAR",IF(F3620="NEW",IF(ISNA(VLOOKUP(E3620,#REF!,1,FALSE())),"?TYPE_IDENTIFIABLE","?REFERENTIAL"),"_")))))</f>
        <v> </v>
      </c>
      <c r="H3620" s="24" t="str">
        <f>IF(J3620&lt;&gt;1,"",IF(I3620="SBJ","CB","?"))</f>
        <v> </v>
      </c>
      <c r="I3620" s="25" t="str">
        <f>IF(OR(E3620="",E3620="!!!",F3620="NEW"),"",INDEX(B3619:B$2,-1+SUMPRODUCT(MAX(ROW(E3619:E$2)*(E3620=E3619:E$2)))))</f>
        <v> </v>
      </c>
      <c r="J3620" s="25" t="str">
        <f>IF(OR(E3620="",E3620="!!!",F3620="NEW"),"",COUNTBLANK(OFFSET(A$1,,,SUMPRODUCT(MAX(ROW(E$2:E3620)*(E3620=E$2:E3620)))))-COUNTBLANK(OFFSET(A$1,,,SUMPRODUCT(MAX(ROW(E$1:E3619)*(E2=E$1:E3619))))))</f>
        <v> </v>
      </c>
      <c r="K3620" s="25" t="str">
        <f>IF(OR(E3620="",E3620="!!!",F3620="NEW"),"",INDEX(J$1:J3619,SUMPRODUCT(MAX(ROW(E$1:E3619)*(E3620=E$1:E3619)))))</f>
        <v> </v>
      </c>
      <c r="L3620" s="26"/>
    </row>
    <row r="3621" spans="1:12">
      <c r="A3621" s="20" t="s">
        <v>771</v>
      </c>
      <c r="E3621" s="21">
        <f>IF(D3621="?OLD","!!!","")</f>
        <v/>
      </c>
      <c r="F3621" s="22" t="str">
        <f>IF(OR(E3621="",E3621="!!!"),"",IF(NOT(ISNA(VLOOKUP(E3621,E$1:E3620,1,FALSE()))),"OLD",IF(AND(E3621&lt;&gt;"",E3621&lt;&gt;"!!!"),"NEW","")))</f>
        <v> </v>
      </c>
      <c r="G3621" s="23" t="str">
        <f>IF(OR(E3621="",E3621="!!!"),"",IF(OR(J3621=0,AND(J3621=1,K3621=1),AND(J3621=1,I3621="SBJ"),AND(J3621=1,I3621=0)),"?IN_FOCUS",IF(J3621&lt;=2,"?ACTIVATED",IF(J3621&lt;&gt;"","?FAMILIAR",IF(F3621="NEW",IF(ISNA(VLOOKUP(E3621,#REF!,1,FALSE())),"?TYPE_IDENTIFIABLE","?REFERENTIAL"),"_")))))</f>
        <v> </v>
      </c>
      <c r="H3621" s="24" t="str">
        <f>IF(J3621&lt;&gt;1,"",IF(I3621="SBJ","CB","?"))</f>
        <v> </v>
      </c>
      <c r="I3621" s="25" t="str">
        <f>IF(OR(E3621="",E3621="!!!",F3621="NEW"),"",INDEX(B3620:B$2,-1+SUMPRODUCT(MAX(ROW(E3620:E$2)*(E3621=E3620:E$2)))))</f>
        <v> </v>
      </c>
      <c r="J3621" s="25" t="str">
        <f>IF(OR(E3621="",E3621="!!!",F3621="NEW"),"",COUNTBLANK(OFFSET(A$1,,,SUMPRODUCT(MAX(ROW(E$2:E3621)*(E3621=E$2:E3621)))))-COUNTBLANK(OFFSET(A$1,,,SUMPRODUCT(MAX(ROW(E$1:E3620)*(E2=E$1:E3620))))))</f>
        <v> </v>
      </c>
      <c r="K3621" s="25" t="str">
        <f>IF(OR(E3621="",E3621="!!!",F3621="NEW"),"",INDEX(J$1:J3620,SUMPRODUCT(MAX(ROW(E$1:E3620)*(E3621=E$1:E3620)))))</f>
        <v> </v>
      </c>
      <c r="L3621" s="26"/>
    </row>
    <row r="3622" spans="1:12">
      <c r="A3622" s="20" t="s">
        <v>660</v>
      </c>
      <c r="E3622" s="21">
        <f>IF(D3622="?OLD","!!!","")</f>
        <v/>
      </c>
      <c r="F3622" s="22" t="str">
        <f>IF(OR(E3622="",E3622="!!!"),"",IF(NOT(ISNA(VLOOKUP(E3622,E$1:E3621,1,FALSE()))),"OLD",IF(AND(E3622&lt;&gt;"",E3622&lt;&gt;"!!!"),"NEW","")))</f>
        <v> </v>
      </c>
      <c r="G3622" s="23" t="str">
        <f>IF(OR(E3622="",E3622="!!!"),"",IF(OR(J3622=0,AND(J3622=1,K3622=1),AND(J3622=1,I3622="SBJ"),AND(J3622=1,I3622=0)),"?IN_FOCUS",IF(J3622&lt;=2,"?ACTIVATED",IF(J3622&lt;&gt;"","?FAMILIAR",IF(F3622="NEW",IF(ISNA(VLOOKUP(E3622,#REF!,1,FALSE())),"?TYPE_IDENTIFIABLE","?REFERENTIAL"),"_")))))</f>
        <v> </v>
      </c>
      <c r="H3622" s="24" t="str">
        <f>IF(J3622&lt;&gt;1,"",IF(I3622="SBJ","CB","?"))</f>
        <v> </v>
      </c>
      <c r="I3622" s="25" t="str">
        <f>IF(OR(E3622="",E3622="!!!",F3622="NEW"),"",INDEX(B3621:B$2,-1+SUMPRODUCT(MAX(ROW(E3621:E$2)*(E3622=E3621:E$2)))))</f>
        <v> </v>
      </c>
      <c r="J3622" s="25" t="str">
        <f>IF(OR(E3622="",E3622="!!!",F3622="NEW"),"",COUNTBLANK(OFFSET(A$1,,,SUMPRODUCT(MAX(ROW(E$2:E3622)*(E3622=E$2:E3622)))))-COUNTBLANK(OFFSET(A$1,,,SUMPRODUCT(MAX(ROW(E$1:E3621)*(E2=E$1:E3621))))))</f>
        <v> </v>
      </c>
      <c r="K3622" s="25" t="str">
        <f>IF(OR(E3622="",E3622="!!!",F3622="NEW"),"",INDEX(J$1:J3621,SUMPRODUCT(MAX(ROW(E$1:E3621)*(E3622=E$1:E3621)))))</f>
        <v> </v>
      </c>
      <c r="L3622" s="26"/>
    </row>
    <row r="3623" spans="1:12">
      <c r="A3623" s="20" t="s">
        <v>1673</v>
      </c>
      <c r="B3623" s="27" t="s">
        <v>522</v>
      </c>
      <c r="C3623" s="27" t="s">
        <v>637</v>
      </c>
      <c r="D3623" s="27" t="s">
        <v>524</v>
      </c>
      <c r="E3623" s="21">
        <f>IF(D3623="?OLD","!!!","")</f>
        <v/>
      </c>
      <c r="F3623" s="22" t="str">
        <f>IF(OR(E3623="",E3623="!!!"),"",IF(NOT(ISNA(VLOOKUP(E3623,E$1:E3622,1,FALSE()))),"OLD",IF(AND(E3623&lt;&gt;"",E3623&lt;&gt;"!!!"),"NEW","")))</f>
        <v> </v>
      </c>
      <c r="G3623" s="23" t="str">
        <f>IF(OR(E3623="",E3623="!!!"),"",IF(OR(J3623=0,AND(J3623=1,K3623=1),AND(J3623=1,I3623="SBJ"),AND(J3623=1,I3623=0)),"?IN_FOCUS",IF(J3623&lt;=2,"?ACTIVATED",IF(J3623&lt;&gt;"","?FAMILIAR",IF(F3623="NEW",IF(ISNA(VLOOKUP(E3623,#REF!,1,FALSE())),"?TYPE_IDENTIFIABLE","?REFERENTIAL"),"_")))))</f>
        <v> </v>
      </c>
      <c r="H3623" s="24" t="str">
        <f>IF(J3623&lt;&gt;1,"",IF(I3623="SBJ","CB","?"))</f>
        <v> </v>
      </c>
      <c r="I3623" s="25" t="str">
        <f>IF(OR(E3623="",E3623="!!!",F3623="NEW"),"",INDEX(B3622:B$2,-1+SUMPRODUCT(MAX(ROW(E3622:E$2)*(E3623=E3622:E$2)))))</f>
        <v> </v>
      </c>
      <c r="J3623" s="25" t="str">
        <f>IF(OR(E3623="",E3623="!!!",F3623="NEW"),"",COUNTBLANK(OFFSET(A$1,,,SUMPRODUCT(MAX(ROW(E$2:E3623)*(E3623=E$2:E3623)))))-COUNTBLANK(OFFSET(A$1,,,SUMPRODUCT(MAX(ROW(E$1:E3622)*(E2=E$1:E3622))))))</f>
        <v> </v>
      </c>
      <c r="K3623" s="25" t="str">
        <f>IF(OR(E3623="",E3623="!!!",F3623="NEW"),"",INDEX(J$1:J3622,SUMPRODUCT(MAX(ROW(E$1:E3622)*(E3623=E$1:E3622)))))</f>
        <v> </v>
      </c>
      <c r="L3623" s="26"/>
    </row>
    <row r="3624" spans="1:12">
      <c r="A3624" s="20" t="s">
        <v>1297</v>
      </c>
      <c r="E3624" s="21">
        <f>IF(D3624="?OLD","!!!","")</f>
        <v/>
      </c>
      <c r="F3624" s="22" t="str">
        <f>IF(OR(E3624="",E3624="!!!"),"",IF(NOT(ISNA(VLOOKUP(E3624,E$1:E3623,1,FALSE()))),"OLD",IF(AND(E3624&lt;&gt;"",E3624&lt;&gt;"!!!"),"NEW","")))</f>
        <v> </v>
      </c>
      <c r="G3624" s="23" t="str">
        <f>IF(OR(E3624="",E3624="!!!"),"",IF(OR(J3624=0,AND(J3624=1,K3624=1),AND(J3624=1,I3624="SBJ"),AND(J3624=1,I3624=0)),"?IN_FOCUS",IF(J3624&lt;=2,"?ACTIVATED",IF(J3624&lt;&gt;"","?FAMILIAR",IF(F3624="NEW",IF(ISNA(VLOOKUP(E3624,#REF!,1,FALSE())),"?TYPE_IDENTIFIABLE","?REFERENTIAL"),"_")))))</f>
        <v> </v>
      </c>
      <c r="H3624" s="24" t="str">
        <f>IF(J3624&lt;&gt;1,"",IF(I3624="SBJ","CB","?"))</f>
        <v> </v>
      </c>
      <c r="I3624" s="25" t="str">
        <f>IF(OR(E3624="",E3624="!!!",F3624="NEW"),"",INDEX(B3623:B$2,-1+SUMPRODUCT(MAX(ROW(E3623:E$2)*(E3624=E3623:E$2)))))</f>
        <v> </v>
      </c>
      <c r="J3624" s="25" t="str">
        <f>IF(OR(E3624="",E3624="!!!",F3624="NEW"),"",COUNTBLANK(OFFSET(A$1,,,SUMPRODUCT(MAX(ROW(E$2:E3624)*(E3624=E$2:E3624)))))-COUNTBLANK(OFFSET(A$1,,,SUMPRODUCT(MAX(ROW(E$1:E3623)*(E2=E$1:E3623))))))</f>
        <v> </v>
      </c>
      <c r="K3624" s="25" t="str">
        <f>IF(OR(E3624="",E3624="!!!",F3624="NEW"),"",INDEX(J$1:J3623,SUMPRODUCT(MAX(ROW(E$1:E3623)*(E3624=E$1:E3623)))))</f>
        <v> </v>
      </c>
      <c r="L3624" s="26"/>
    </row>
    <row r="3625" spans="1:12">
      <c r="A3625" s="20" t="s">
        <v>1674</v>
      </c>
      <c r="E3625" s="21">
        <f>IF(D3625="?OLD","!!!","")</f>
        <v/>
      </c>
      <c r="F3625" s="22" t="str">
        <f>IF(OR(E3625="",E3625="!!!"),"",IF(NOT(ISNA(VLOOKUP(E3625,E$1:E3624,1,FALSE()))),"OLD",IF(AND(E3625&lt;&gt;"",E3625&lt;&gt;"!!!"),"NEW","")))</f>
        <v> </v>
      </c>
      <c r="G3625" s="23" t="str">
        <f>IF(OR(E3625="",E3625="!!!"),"",IF(OR(J3625=0,AND(J3625=1,K3625=1),AND(J3625=1,I3625="SBJ"),AND(J3625=1,I3625=0)),"?IN_FOCUS",IF(J3625&lt;=2,"?ACTIVATED",IF(J3625&lt;&gt;"","?FAMILIAR",IF(F3625="NEW",IF(ISNA(VLOOKUP(E3625,#REF!,1,FALSE())),"?TYPE_IDENTIFIABLE","?REFERENTIAL"),"_")))))</f>
        <v> </v>
      </c>
      <c r="H3625" s="24" t="str">
        <f>IF(J3625&lt;&gt;1,"",IF(I3625="SBJ","CB","?"))</f>
        <v> </v>
      </c>
      <c r="I3625" s="25" t="str">
        <f>IF(OR(E3625="",E3625="!!!",F3625="NEW"),"",INDEX(B3624:B$2,-1+SUMPRODUCT(MAX(ROW(E3624:E$2)*(E3625=E3624:E$2)))))</f>
        <v> </v>
      </c>
      <c r="J3625" s="25" t="str">
        <f>IF(OR(E3625="",E3625="!!!",F3625="NEW"),"",COUNTBLANK(OFFSET(A$1,,,SUMPRODUCT(MAX(ROW(E$2:E3625)*(E3625=E$2:E3625)))))-COUNTBLANK(OFFSET(A$1,,,SUMPRODUCT(MAX(ROW(E$1:E3624)*(E2=E$1:E3624))))))</f>
        <v> </v>
      </c>
      <c r="K3625" s="25" t="str">
        <f>IF(OR(E3625="",E3625="!!!",F3625="NEW"),"",INDEX(J$1:J3624,SUMPRODUCT(MAX(ROW(E$1:E3624)*(E3625=E$1:E3624)))))</f>
        <v> </v>
      </c>
      <c r="L3625" s="26"/>
    </row>
    <row r="3626" spans="1:12">
      <c r="A3626" s="20" t="s">
        <v>518</v>
      </c>
      <c r="E3626" s="21">
        <f>IF(D3626="?OLD","!!!","")</f>
        <v/>
      </c>
      <c r="F3626" s="22" t="str">
        <f>IF(OR(E3626="",E3626="!!!"),"",IF(NOT(ISNA(VLOOKUP(E3626,E$1:E3625,1,FALSE()))),"OLD",IF(AND(E3626&lt;&gt;"",E3626&lt;&gt;"!!!"),"NEW","")))</f>
        <v> </v>
      </c>
      <c r="G3626" s="23" t="str">
        <f>IF(OR(E3626="",E3626="!!!"),"",IF(OR(J3626=0,AND(J3626=1,K3626=1),AND(J3626=1,I3626="SBJ"),AND(J3626=1,I3626=0)),"?IN_FOCUS",IF(J3626&lt;=2,"?ACTIVATED",IF(J3626&lt;&gt;"","?FAMILIAR",IF(F3626="NEW",IF(ISNA(VLOOKUP(E3626,#REF!,1,FALSE())),"?TYPE_IDENTIFIABLE","?REFERENTIAL"),"_")))))</f>
        <v> </v>
      </c>
      <c r="H3626" s="24" t="str">
        <f>IF(J3626&lt;&gt;1,"",IF(I3626="SBJ","CB","?"))</f>
        <v> </v>
      </c>
      <c r="I3626" s="25" t="str">
        <f>IF(OR(E3626="",E3626="!!!",F3626="NEW"),"",INDEX(B3625:B$2,-1+SUMPRODUCT(MAX(ROW(E3625:E$2)*(E3626=E3625:E$2)))))</f>
        <v> </v>
      </c>
      <c r="J3626" s="25" t="str">
        <f>IF(OR(E3626="",E3626="!!!",F3626="NEW"),"",COUNTBLANK(OFFSET(A$1,,,SUMPRODUCT(MAX(ROW(E$2:E3626)*(E3626=E$2:E3626)))))-COUNTBLANK(OFFSET(A$1,,,SUMPRODUCT(MAX(ROW(E$1:E3625)*(E2=E$1:E3625))))))</f>
        <v> </v>
      </c>
      <c r="K3626" s="25" t="str">
        <f>IF(OR(E3626="",E3626="!!!",F3626="NEW"),"",INDEX(J$1:J3625,SUMPRODUCT(MAX(ROW(E$1:E3625)*(E3626=E$1:E3625)))))</f>
        <v> </v>
      </c>
      <c r="L3626" s="26"/>
    </row>
    <row r="3627" spans="1:12">
      <c r="A3627" s="20" t="s">
        <v>1675</v>
      </c>
      <c r="E3627" s="21">
        <f>IF(D3627="?OLD","!!!","")</f>
        <v/>
      </c>
      <c r="F3627" s="22" t="str">
        <f>IF(OR(E3627="",E3627="!!!"),"",IF(NOT(ISNA(VLOOKUP(E3627,E$1:E3626,1,FALSE()))),"OLD",IF(AND(E3627&lt;&gt;"",E3627&lt;&gt;"!!!"),"NEW","")))</f>
        <v> </v>
      </c>
      <c r="G3627" s="23" t="str">
        <f>IF(OR(E3627="",E3627="!!!"),"",IF(OR(J3627=0,AND(J3627=1,K3627=1),AND(J3627=1,I3627="SBJ"),AND(J3627=1,I3627=0)),"?IN_FOCUS",IF(J3627&lt;=2,"?ACTIVATED",IF(J3627&lt;&gt;"","?FAMILIAR",IF(F3627="NEW",IF(ISNA(VLOOKUP(E3627,#REF!,1,FALSE())),"?TYPE_IDENTIFIABLE","?REFERENTIAL"),"_")))))</f>
        <v> </v>
      </c>
      <c r="H3627" s="24" t="str">
        <f>IF(J3627&lt;&gt;1,"",IF(I3627="SBJ","CB","?"))</f>
        <v> </v>
      </c>
      <c r="I3627" s="25" t="str">
        <f>IF(OR(E3627="",E3627="!!!",F3627="NEW"),"",INDEX(B3626:B$2,-1+SUMPRODUCT(MAX(ROW(E3626:E$2)*(E3627=E3626:E$2)))))</f>
        <v> </v>
      </c>
      <c r="J3627" s="25" t="str">
        <f>IF(OR(E3627="",E3627="!!!",F3627="NEW"),"",COUNTBLANK(OFFSET(A$1,,,SUMPRODUCT(MAX(ROW(E$2:E3627)*(E3627=E$2:E3627)))))-COUNTBLANK(OFFSET(A$1,,,SUMPRODUCT(MAX(ROW(E$1:E3626)*(E2=E$1:E3626))))))</f>
        <v> </v>
      </c>
      <c r="K3627" s="25" t="str">
        <f>IF(OR(E3627="",E3627="!!!",F3627="NEW"),"",INDEX(J$1:J3626,SUMPRODUCT(MAX(ROW(E$1:E3626)*(E3627=E$1:E3626)))))</f>
        <v> </v>
      </c>
      <c r="L3627" s="26"/>
    </row>
    <row r="3628" spans="1:12">
      <c r="A3628" s="20" t="s">
        <v>1676</v>
      </c>
      <c r="E3628" s="21">
        <f>IF(D3628="?OLD","!!!","")</f>
        <v/>
      </c>
      <c r="F3628" s="22" t="str">
        <f>IF(OR(E3628="",E3628="!!!"),"",IF(NOT(ISNA(VLOOKUP(E3628,E$1:E3627,1,FALSE()))),"OLD",IF(AND(E3628&lt;&gt;"",E3628&lt;&gt;"!!!"),"NEW","")))</f>
        <v> </v>
      </c>
      <c r="G3628" s="23" t="str">
        <f>IF(OR(E3628="",E3628="!!!"),"",IF(OR(J3628=0,AND(J3628=1,K3628=1),AND(J3628=1,I3628="SBJ"),AND(J3628=1,I3628=0)),"?IN_FOCUS",IF(J3628&lt;=2,"?ACTIVATED",IF(J3628&lt;&gt;"","?FAMILIAR",IF(F3628="NEW",IF(ISNA(VLOOKUP(E3628,#REF!,1,FALSE())),"?TYPE_IDENTIFIABLE","?REFERENTIAL"),"_")))))</f>
        <v> </v>
      </c>
      <c r="H3628" s="24" t="str">
        <f>IF(J3628&lt;&gt;1,"",IF(I3628="SBJ","CB","?"))</f>
        <v> </v>
      </c>
      <c r="I3628" s="25" t="str">
        <f>IF(OR(E3628="",E3628="!!!",F3628="NEW"),"",INDEX(B3627:B$2,-1+SUMPRODUCT(MAX(ROW(E3627:E$2)*(E3628=E3627:E$2)))))</f>
        <v> </v>
      </c>
      <c r="J3628" s="25" t="str">
        <f>IF(OR(E3628="",E3628="!!!",F3628="NEW"),"",COUNTBLANK(OFFSET(A$1,,,SUMPRODUCT(MAX(ROW(E$2:E3628)*(E3628=E$2:E3628)))))-COUNTBLANK(OFFSET(A$1,,,SUMPRODUCT(MAX(ROW(E$1:E3627)*(E2=E$1:E3627))))))</f>
        <v> </v>
      </c>
      <c r="K3628" s="25" t="str">
        <f>IF(OR(E3628="",E3628="!!!",F3628="NEW"),"",INDEX(J$1:J3627,SUMPRODUCT(MAX(ROW(E$1:E3627)*(E3628=E$1:E3627)))))</f>
        <v> </v>
      </c>
      <c r="L3628" s="26"/>
    </row>
    <row r="3629" spans="1:12">
      <c r="A3629" s="20" t="s">
        <v>1677</v>
      </c>
      <c r="B3629" s="27" t="s">
        <v>522</v>
      </c>
      <c r="C3629" s="27" t="s">
        <v>564</v>
      </c>
      <c r="E3629" s="21">
        <f>IF(D3629="?OLD","!!!","")</f>
        <v/>
      </c>
      <c r="F3629" s="22" t="str">
        <f>IF(OR(E3629="",E3629="!!!"),"",IF(NOT(ISNA(VLOOKUP(E3629,E$1:E3628,1,FALSE()))),"OLD",IF(AND(E3629&lt;&gt;"",E3629&lt;&gt;"!!!"),"NEW","")))</f>
        <v> </v>
      </c>
      <c r="G3629" s="23" t="str">
        <f>IF(OR(E3629="",E3629="!!!"),"",IF(OR(J3629=0,AND(J3629=1,K3629=1),AND(J3629=1,I3629="SBJ"),AND(J3629=1,I3629=0)),"?IN_FOCUS",IF(J3629&lt;=2,"?ACTIVATED",IF(J3629&lt;&gt;"","?FAMILIAR",IF(F3629="NEW",IF(ISNA(VLOOKUP(E3629,#REF!,1,FALSE())),"?TYPE_IDENTIFIABLE","?REFERENTIAL"),"_")))))</f>
        <v> </v>
      </c>
      <c r="H3629" s="24" t="str">
        <f>IF(J3629&lt;&gt;1,"",IF(I3629="SBJ","CB","?"))</f>
        <v> </v>
      </c>
      <c r="I3629" s="25" t="str">
        <f>IF(OR(E3629="",E3629="!!!",F3629="NEW"),"",INDEX(B3628:B$2,-1+SUMPRODUCT(MAX(ROW(E3628:E$2)*(E3629=E3628:E$2)))))</f>
        <v> </v>
      </c>
      <c r="J3629" s="25" t="str">
        <f>IF(OR(E3629="",E3629="!!!",F3629="NEW"),"",COUNTBLANK(OFFSET(A$1,,,SUMPRODUCT(MAX(ROW(E$2:E3629)*(E3629=E$2:E3629)))))-COUNTBLANK(OFFSET(A$1,,,SUMPRODUCT(MAX(ROW(E$1:E3628)*(E2=E$1:E3628))))))</f>
        <v> </v>
      </c>
      <c r="K3629" s="25" t="str">
        <f>IF(OR(E3629="",E3629="!!!",F3629="NEW"),"",INDEX(J$1:J3628,SUMPRODUCT(MAX(ROW(E$1:E3628)*(E3629=E$1:E3628)))))</f>
        <v> </v>
      </c>
      <c r="L3629" s="26"/>
    </row>
    <row r="3630" spans="1:12">
      <c r="A3630" s="20" t="s">
        <v>625</v>
      </c>
      <c r="E3630" s="21">
        <f>IF(D3630="?OLD","!!!","")</f>
        <v/>
      </c>
      <c r="F3630" s="22" t="str">
        <f>IF(OR(E3630="",E3630="!!!"),"",IF(NOT(ISNA(VLOOKUP(E3630,E$1:E3629,1,FALSE()))),"OLD",IF(AND(E3630&lt;&gt;"",E3630&lt;&gt;"!!!"),"NEW","")))</f>
        <v> </v>
      </c>
      <c r="G3630" s="23" t="str">
        <f>IF(OR(E3630="",E3630="!!!"),"",IF(OR(J3630=0,AND(J3630=1,K3630=1),AND(J3630=1,I3630="SBJ"),AND(J3630=1,I3630=0)),"?IN_FOCUS",IF(J3630&lt;=2,"?ACTIVATED",IF(J3630&lt;&gt;"","?FAMILIAR",IF(F3630="NEW",IF(ISNA(VLOOKUP(E3630,#REF!,1,FALSE())),"?TYPE_IDENTIFIABLE","?REFERENTIAL"),"_")))))</f>
        <v> </v>
      </c>
      <c r="H3630" s="24" t="str">
        <f>IF(J3630&lt;&gt;1,"",IF(I3630="SBJ","CB","?"))</f>
        <v> </v>
      </c>
      <c r="I3630" s="25" t="str">
        <f>IF(OR(E3630="",E3630="!!!",F3630="NEW"),"",INDEX(B3629:B$2,-1+SUMPRODUCT(MAX(ROW(E3629:E$2)*(E3630=E3629:E$2)))))</f>
        <v> </v>
      </c>
      <c r="J3630" s="25" t="str">
        <f>IF(OR(E3630="",E3630="!!!",F3630="NEW"),"",COUNTBLANK(OFFSET(A$1,,,SUMPRODUCT(MAX(ROW(E$2:E3630)*(E3630=E$2:E3630)))))-COUNTBLANK(OFFSET(A$1,,,SUMPRODUCT(MAX(ROW(E$1:E3629)*(E2=E$1:E3629))))))</f>
        <v> </v>
      </c>
      <c r="K3630" s="25" t="str">
        <f>IF(OR(E3630="",E3630="!!!",F3630="NEW"),"",INDEX(J$1:J3629,SUMPRODUCT(MAX(ROW(E$1:E3629)*(E3630=E$1:E3629)))))</f>
        <v> </v>
      </c>
      <c r="L3630" s="26"/>
    </row>
    <row r="3631" spans="1:12">
      <c r="A3631" s="20" t="s">
        <v>1676</v>
      </c>
      <c r="E3631" s="21">
        <f>IF(D3631="?OLD","!!!","")</f>
        <v/>
      </c>
      <c r="F3631" s="22" t="str">
        <f>IF(OR(E3631="",E3631="!!!"),"",IF(NOT(ISNA(VLOOKUP(E3631,E$1:E3630,1,FALSE()))),"OLD",IF(AND(E3631&lt;&gt;"",E3631&lt;&gt;"!!!"),"NEW","")))</f>
        <v> </v>
      </c>
      <c r="G3631" s="23" t="str">
        <f>IF(OR(E3631="",E3631="!!!"),"",IF(OR(J3631=0,AND(J3631=1,K3631=1),AND(J3631=1,I3631="SBJ"),AND(J3631=1,I3631=0)),"?IN_FOCUS",IF(J3631&lt;=2,"?ACTIVATED",IF(J3631&lt;&gt;"","?FAMILIAR",IF(F3631="NEW",IF(ISNA(VLOOKUP(E3631,#REF!,1,FALSE())),"?TYPE_IDENTIFIABLE","?REFERENTIAL"),"_")))))</f>
        <v> </v>
      </c>
      <c r="H3631" s="24" t="str">
        <f>IF(J3631&lt;&gt;1,"",IF(I3631="SBJ","CB","?"))</f>
        <v> </v>
      </c>
      <c r="I3631" s="25" t="str">
        <f>IF(OR(E3631="",E3631="!!!",F3631="NEW"),"",INDEX(B3630:B$2,-1+SUMPRODUCT(MAX(ROW(E3630:E$2)*(E3631=E3630:E$2)))))</f>
        <v> </v>
      </c>
      <c r="J3631" s="25" t="str">
        <f>IF(OR(E3631="",E3631="!!!",F3631="NEW"),"",COUNTBLANK(OFFSET(A$1,,,SUMPRODUCT(MAX(ROW(E$2:E3631)*(E3631=E$2:E3631)))))-COUNTBLANK(OFFSET(A$1,,,SUMPRODUCT(MAX(ROW(E$1:E3630)*(E2=E$1:E3630))))))</f>
        <v> </v>
      </c>
      <c r="K3631" s="25" t="str">
        <f>IF(OR(E3631="",E3631="!!!",F3631="NEW"),"",INDEX(J$1:J3630,SUMPRODUCT(MAX(ROW(E$1:E3630)*(E3631=E$1:E3630)))))</f>
        <v> </v>
      </c>
      <c r="L3631" s="26"/>
    </row>
    <row r="3632" spans="1:12">
      <c r="A3632" s="20" t="s">
        <v>1678</v>
      </c>
      <c r="B3632" s="27" t="s">
        <v>544</v>
      </c>
      <c r="C3632" s="27" t="s">
        <v>564</v>
      </c>
      <c r="E3632" s="21">
        <f>IF(D3632="?OLD","!!!","")</f>
        <v/>
      </c>
      <c r="F3632" s="22" t="str">
        <f>IF(OR(E3632="",E3632="!!!"),"",IF(NOT(ISNA(VLOOKUP(E3632,E$1:E3631,1,FALSE()))),"OLD",IF(AND(E3632&lt;&gt;"",E3632&lt;&gt;"!!!"),"NEW","")))</f>
        <v> </v>
      </c>
      <c r="G3632" s="23" t="str">
        <f>IF(OR(E3632="",E3632="!!!"),"",IF(OR(J3632=0,AND(J3632=1,K3632=1),AND(J3632=1,I3632="SBJ"),AND(J3632=1,I3632=0)),"?IN_FOCUS",IF(J3632&lt;=2,"?ACTIVATED",IF(J3632&lt;&gt;"","?FAMILIAR",IF(F3632="NEW",IF(ISNA(VLOOKUP(E3632,#REF!,1,FALSE())),"?TYPE_IDENTIFIABLE","?REFERENTIAL"),"_")))))</f>
        <v> </v>
      </c>
      <c r="H3632" s="24" t="str">
        <f>IF(J3632&lt;&gt;1,"",IF(I3632="SBJ","CB","?"))</f>
        <v> </v>
      </c>
      <c r="I3632" s="25" t="str">
        <f>IF(OR(E3632="",E3632="!!!",F3632="NEW"),"",INDEX(B3631:B$2,-1+SUMPRODUCT(MAX(ROW(E3631:E$2)*(E3632=E3631:E$2)))))</f>
        <v> </v>
      </c>
      <c r="J3632" s="25" t="str">
        <f>IF(OR(E3632="",E3632="!!!",F3632="NEW"),"",COUNTBLANK(OFFSET(A$1,,,SUMPRODUCT(MAX(ROW(E$2:E3632)*(E3632=E$2:E3632)))))-COUNTBLANK(OFFSET(A$1,,,SUMPRODUCT(MAX(ROW(E$1:E3631)*(E2=E$1:E3631))))))</f>
        <v> </v>
      </c>
      <c r="K3632" s="25" t="str">
        <f>IF(OR(E3632="",E3632="!!!",F3632="NEW"),"",INDEX(J$1:J3631,SUMPRODUCT(MAX(ROW(E$1:E3631)*(E3632=E$1:E3631)))))</f>
        <v> </v>
      </c>
      <c r="L3632" s="26"/>
    </row>
    <row r="3633" spans="1:12">
      <c r="A3633" s="20" t="s">
        <v>518</v>
      </c>
      <c r="E3633" s="21">
        <f>IF(D3633="?OLD","!!!","")</f>
        <v/>
      </c>
      <c r="F3633" s="22" t="str">
        <f>IF(OR(E3633="",E3633="!!!"),"",IF(NOT(ISNA(VLOOKUP(E3633,E$1:E3632,1,FALSE()))),"OLD",IF(AND(E3633&lt;&gt;"",E3633&lt;&gt;"!!!"),"NEW","")))</f>
        <v> </v>
      </c>
      <c r="G3633" s="23" t="str">
        <f>IF(OR(E3633="",E3633="!!!"),"",IF(OR(J3633=0,AND(J3633=1,K3633=1),AND(J3633=1,I3633="SBJ"),AND(J3633=1,I3633=0)),"?IN_FOCUS",IF(J3633&lt;=2,"?ACTIVATED",IF(J3633&lt;&gt;"","?FAMILIAR",IF(F3633="NEW",IF(ISNA(VLOOKUP(E3633,#REF!,1,FALSE())),"?TYPE_IDENTIFIABLE","?REFERENTIAL"),"_")))))</f>
        <v> </v>
      </c>
      <c r="H3633" s="24" t="str">
        <f>IF(J3633&lt;&gt;1,"",IF(I3633="SBJ","CB","?"))</f>
        <v> </v>
      </c>
      <c r="I3633" s="25" t="str">
        <f>IF(OR(E3633="",E3633="!!!",F3633="NEW"),"",INDEX(B3632:B$2,-1+SUMPRODUCT(MAX(ROW(E3632:E$2)*(E3633=E3632:E$2)))))</f>
        <v> </v>
      </c>
      <c r="J3633" s="25" t="str">
        <f>IF(OR(E3633="",E3633="!!!",F3633="NEW"),"",COUNTBLANK(OFFSET(A$1,,,SUMPRODUCT(MAX(ROW(E$2:E3633)*(E3633=E$2:E3633)))))-COUNTBLANK(OFFSET(A$1,,,SUMPRODUCT(MAX(ROW(E$1:E3632)*(E2=E$1:E3632))))))</f>
        <v> </v>
      </c>
      <c r="K3633" s="25" t="str">
        <f>IF(OR(E3633="",E3633="!!!",F3633="NEW"),"",INDEX(J$1:J3632,SUMPRODUCT(MAX(ROW(E$1:E3632)*(E3633=E$1:E3632)))))</f>
        <v> </v>
      </c>
      <c r="L3633" s="26"/>
    </row>
    <row r="3634" spans="1:12">
      <c r="A3634" s="20" t="s">
        <v>230</v>
      </c>
      <c r="E3634" s="21">
        <f>IF(D3634="?OLD","!!!","")</f>
        <v/>
      </c>
      <c r="F3634" s="22" t="str">
        <f>IF(OR(E3634="",E3634="!!!"),"",IF(NOT(ISNA(VLOOKUP(E3634,E$1:E3633,1,FALSE()))),"OLD",IF(AND(E3634&lt;&gt;"",E3634&lt;&gt;"!!!"),"NEW","")))</f>
        <v> </v>
      </c>
      <c r="G3634" s="23" t="str">
        <f>IF(OR(E3634="",E3634="!!!"),"",IF(OR(J3634=0,AND(J3634=1,K3634=1),AND(J3634=1,I3634="SBJ"),AND(J3634=1,I3634=0)),"?IN_FOCUS",IF(J3634&lt;=2,"?ACTIVATED",IF(J3634&lt;&gt;"","?FAMILIAR",IF(F3634="NEW",IF(ISNA(VLOOKUP(E3634,#REF!,1,FALSE())),"?TYPE_IDENTIFIABLE","?REFERENTIAL"),"_")))))</f>
        <v> </v>
      </c>
      <c r="H3634" s="24" t="str">
        <f>IF(J3634&lt;&gt;1,"",IF(I3634="SBJ","CB","?"))</f>
        <v> </v>
      </c>
      <c r="I3634" s="25" t="str">
        <f>IF(OR(E3634="",E3634="!!!",F3634="NEW"),"",INDEX(B3633:B$2,-1+SUMPRODUCT(MAX(ROW(E3633:E$2)*(E3634=E3633:E$2)))))</f>
        <v> </v>
      </c>
      <c r="J3634" s="25" t="str">
        <f>IF(OR(E3634="",E3634="!!!",F3634="NEW"),"",COUNTBLANK(OFFSET(A$1,,,SUMPRODUCT(MAX(ROW(E$2:E3634)*(E3634=E$2:E3634)))))-COUNTBLANK(OFFSET(A$1,,,SUMPRODUCT(MAX(ROW(E$1:E3633)*(E2=E$1:E3633))))))</f>
        <v> </v>
      </c>
      <c r="K3634" s="25" t="str">
        <f>IF(OR(E3634="",E3634="!!!",F3634="NEW"),"",INDEX(J$1:J3633,SUMPRODUCT(MAX(ROW(E$1:E3633)*(E3634=E$1:E3633)))))</f>
        <v> </v>
      </c>
      <c r="L3634" s="26"/>
    </row>
    <row r="3635" spans="1:12">
      <c r="A3635" s="20" t="s">
        <v>549</v>
      </c>
      <c r="E3635" s="21">
        <f>IF(D3635="?OLD","!!!","")</f>
        <v/>
      </c>
      <c r="F3635" s="22" t="str">
        <f>IF(OR(E3635="",E3635="!!!"),"",IF(NOT(ISNA(VLOOKUP(E3635,E$1:E3634,1,FALSE()))),"OLD",IF(AND(E3635&lt;&gt;"",E3635&lt;&gt;"!!!"),"NEW","")))</f>
        <v> </v>
      </c>
      <c r="G3635" s="23" t="str">
        <f>IF(OR(E3635="",E3635="!!!"),"",IF(OR(J3635=0,AND(J3635=1,K3635=1),AND(J3635=1,I3635="SBJ"),AND(J3635=1,I3635=0)),"?IN_FOCUS",IF(J3635&lt;=2,"?ACTIVATED",IF(J3635&lt;&gt;"","?FAMILIAR",IF(F3635="NEW",IF(ISNA(VLOOKUP(E3635,#REF!,1,FALSE())),"?TYPE_IDENTIFIABLE","?REFERENTIAL"),"_")))))</f>
        <v> </v>
      </c>
      <c r="H3635" s="24" t="str">
        <f>IF(J3635&lt;&gt;1,"",IF(I3635="SBJ","CB","?"))</f>
        <v> </v>
      </c>
      <c r="I3635" s="25" t="str">
        <f>IF(OR(E3635="",E3635="!!!",F3635="NEW"),"",INDEX(B3634:B$2,-1+SUMPRODUCT(MAX(ROW(E3634:E$2)*(E3635=E3634:E$2)))))</f>
        <v> </v>
      </c>
      <c r="J3635" s="25" t="str">
        <f>IF(OR(E3635="",E3635="!!!",F3635="NEW"),"",COUNTBLANK(OFFSET(A$1,,,SUMPRODUCT(MAX(ROW(E$2:E3635)*(E3635=E$2:E3635)))))-COUNTBLANK(OFFSET(A$1,,,SUMPRODUCT(MAX(ROW(E$1:E3634)*(E2=E$1:E3634))))))</f>
        <v> </v>
      </c>
      <c r="K3635" s="25" t="str">
        <f>IF(OR(E3635="",E3635="!!!",F3635="NEW"),"",INDEX(J$1:J3634,SUMPRODUCT(MAX(ROW(E$1:E3634)*(E3635=E$1:E3634)))))</f>
        <v> </v>
      </c>
      <c r="L3635" s="26"/>
    </row>
    <row r="3636" spans="1:12">
      <c r="A3636" s="20"/>
    </row>
    <row r="3637" spans="1:12">
      <c r="A3637" s="20" t="s">
        <v>1679</v>
      </c>
    </row>
    <row r="3638" spans="1:12">
      <c r="A3638" s="20" t="s">
        <v>517</v>
      </c>
      <c r="E3638" s="21">
        <f>IF(D3638="?OLD","!!!","")</f>
        <v/>
      </c>
      <c r="F3638" s="22" t="str">
        <f>IF(OR(E3638="",E3638="!!!"),"",IF(NOT(ISNA(VLOOKUP(E3638,E$1:E3637,1,FALSE()))),"OLD",IF(AND(E3638&lt;&gt;"",E3638&lt;&gt;"!!!"),"NEW","")))</f>
        <v> </v>
      </c>
      <c r="G3638" s="23" t="str">
        <f>IF(OR(E3638="",E3638="!!!"),"",IF(OR(J3638=0,AND(J3638=1,K3638=1),AND(J3638=1,I3638="SBJ"),AND(J3638=1,I3638=0)),"?IN_FOCUS",IF(J3638&lt;=2,"?ACTIVATED",IF(J3638&lt;&gt;"","?FAMILIAR",IF(F3638="NEW",IF(ISNA(VLOOKUP(E3638,#REF!,1,FALSE())),"?TYPE_IDENTIFIABLE","?REFERENTIAL"),"_")))))</f>
        <v> </v>
      </c>
      <c r="H3638" s="24" t="str">
        <f>IF(J3638&lt;&gt;1,"",IF(I3638="SBJ","CB","?"))</f>
        <v> </v>
      </c>
      <c r="I3638" s="25" t="str">
        <f>IF(OR(E3638="",E3638="!!!",F3638="NEW"),"",INDEX(B3637:B$2,-1+SUMPRODUCT(MAX(ROW(E3637:E$2)*(E3638=E3637:E$2)))))</f>
        <v> </v>
      </c>
      <c r="J3638" s="25" t="str">
        <f>IF(OR(E3638="",E3638="!!!",F3638="NEW"),"",COUNTBLANK(OFFSET(A$1,,,SUMPRODUCT(MAX(ROW(E$2:E3638)*(E3638=E$2:E3638)))))-COUNTBLANK(OFFSET(A$1,,,SUMPRODUCT(MAX(ROW(E$1:E3637)*(E2=E$1:E3637))))))</f>
        <v> </v>
      </c>
      <c r="K3638" s="25" t="str">
        <f>IF(OR(E3638="",E3638="!!!",F3638="NEW"),"",INDEX(J$1:J3637,SUMPRODUCT(MAX(ROW(E$1:E3637)*(E3638=E$1:E3637)))))</f>
        <v> </v>
      </c>
      <c r="L3638" s="26"/>
    </row>
    <row r="3639" spans="1:12">
      <c r="A3639" s="20" t="s">
        <v>518</v>
      </c>
      <c r="E3639" s="21">
        <f>IF(D3639="?OLD","!!!","")</f>
        <v/>
      </c>
      <c r="F3639" s="22" t="str">
        <f>IF(OR(E3639="",E3639="!!!"),"",IF(NOT(ISNA(VLOOKUP(E3639,E$1:E3638,1,FALSE()))),"OLD",IF(AND(E3639&lt;&gt;"",E3639&lt;&gt;"!!!"),"NEW","")))</f>
        <v> </v>
      </c>
      <c r="G3639" s="23" t="str">
        <f>IF(OR(E3639="",E3639="!!!"),"",IF(OR(J3639=0,AND(J3639=1,K3639=1),AND(J3639=1,I3639="SBJ"),AND(J3639=1,I3639=0)),"?IN_FOCUS",IF(J3639&lt;=2,"?ACTIVATED",IF(J3639&lt;&gt;"","?FAMILIAR",IF(F3639="NEW",IF(ISNA(VLOOKUP(E3639,#REF!,1,FALSE())),"?TYPE_IDENTIFIABLE","?REFERENTIAL"),"_")))))</f>
        <v> </v>
      </c>
      <c r="H3639" s="24" t="str">
        <f>IF(J3639&lt;&gt;1,"",IF(I3639="SBJ","CB","?"))</f>
        <v> </v>
      </c>
      <c r="I3639" s="25" t="str">
        <f>IF(OR(E3639="",E3639="!!!",F3639="NEW"),"",INDEX(B3638:B$2,-1+SUMPRODUCT(MAX(ROW(E3638:E$2)*(E3639=E3638:E$2)))))</f>
        <v> </v>
      </c>
      <c r="J3639" s="25" t="str">
        <f>IF(OR(E3639="",E3639="!!!",F3639="NEW"),"",COUNTBLANK(OFFSET(A$1,,,SUMPRODUCT(MAX(ROW(E$2:E3639)*(E3639=E$2:E3639)))))-COUNTBLANK(OFFSET(A$1,,,SUMPRODUCT(MAX(ROW(E$1:E3638)*(E2=E$1:E3638))))))</f>
        <v> </v>
      </c>
      <c r="K3639" s="25" t="str">
        <f>IF(OR(E3639="",E3639="!!!",F3639="NEW"),"",INDEX(J$1:J3638,SUMPRODUCT(MAX(ROW(E$1:E3638)*(E3639=E$1:E3638)))))</f>
        <v> </v>
      </c>
      <c r="L3639" s="26"/>
    </row>
    <row r="3640" spans="1:12">
      <c r="A3640" s="20" t="s">
        <v>1680</v>
      </c>
      <c r="E3640" s="21">
        <f>IF(D3640="?OLD","!!!","")</f>
        <v/>
      </c>
      <c r="F3640" s="22" t="str">
        <f>IF(OR(E3640="",E3640="!!!"),"",IF(NOT(ISNA(VLOOKUP(E3640,E$1:E3639,1,FALSE()))),"OLD",IF(AND(E3640&lt;&gt;"",E3640&lt;&gt;"!!!"),"NEW","")))</f>
        <v> </v>
      </c>
      <c r="G3640" s="23" t="str">
        <f>IF(OR(E3640="",E3640="!!!"),"",IF(OR(J3640=0,AND(J3640=1,K3640=1),AND(J3640=1,I3640="SBJ"),AND(J3640=1,I3640=0)),"?IN_FOCUS",IF(J3640&lt;=2,"?ACTIVATED",IF(J3640&lt;&gt;"","?FAMILIAR",IF(F3640="NEW",IF(ISNA(VLOOKUP(E3640,#REF!,1,FALSE())),"?TYPE_IDENTIFIABLE","?REFERENTIAL"),"_")))))</f>
        <v> </v>
      </c>
      <c r="H3640" s="24" t="str">
        <f>IF(J3640&lt;&gt;1,"",IF(I3640="SBJ","CB","?"))</f>
        <v> </v>
      </c>
      <c r="I3640" s="25" t="str">
        <f>IF(OR(E3640="",E3640="!!!",F3640="NEW"),"",INDEX(B3639:B$2,-1+SUMPRODUCT(MAX(ROW(E3639:E$2)*(E3640=E3639:E$2)))))</f>
        <v> </v>
      </c>
      <c r="J3640" s="25" t="str">
        <f>IF(OR(E3640="",E3640="!!!",F3640="NEW"),"",COUNTBLANK(OFFSET(A$1,,,SUMPRODUCT(MAX(ROW(E$2:E3640)*(E3640=E$2:E3640)))))-COUNTBLANK(OFFSET(A$1,,,SUMPRODUCT(MAX(ROW(E$1:E3639)*(E2=E$1:E3639))))))</f>
        <v> </v>
      </c>
      <c r="K3640" s="25" t="str">
        <f>IF(OR(E3640="",E3640="!!!",F3640="NEW"),"",INDEX(J$1:J3639,SUMPRODUCT(MAX(ROW(E$1:E3639)*(E3640=E$1:E3639)))))</f>
        <v> </v>
      </c>
      <c r="L3640" s="26"/>
    </row>
    <row r="3641" spans="1:12">
      <c r="A3641" s="20" t="s">
        <v>520</v>
      </c>
      <c r="E3641" s="21">
        <f>IF(D3641="?OLD","!!!","")</f>
        <v/>
      </c>
      <c r="F3641" s="22" t="str">
        <f>IF(OR(E3641="",E3641="!!!"),"",IF(NOT(ISNA(VLOOKUP(E3641,E$1:E3640,1,FALSE()))),"OLD",IF(AND(E3641&lt;&gt;"",E3641&lt;&gt;"!!!"),"NEW","")))</f>
        <v> </v>
      </c>
      <c r="G3641" s="23" t="str">
        <f>IF(OR(E3641="",E3641="!!!"),"",IF(OR(J3641=0,AND(J3641=1,K3641=1),AND(J3641=1,I3641="SBJ"),AND(J3641=1,I3641=0)),"?IN_FOCUS",IF(J3641&lt;=2,"?ACTIVATED",IF(J3641&lt;&gt;"","?FAMILIAR",IF(F3641="NEW",IF(ISNA(VLOOKUP(E3641,#REF!,1,FALSE())),"?TYPE_IDENTIFIABLE","?REFERENTIAL"),"_")))))</f>
        <v> </v>
      </c>
      <c r="H3641" s="24" t="str">
        <f>IF(J3641&lt;&gt;1,"",IF(I3641="SBJ","CB","?"))</f>
        <v> </v>
      </c>
      <c r="I3641" s="25" t="str">
        <f>IF(OR(E3641="",E3641="!!!",F3641="NEW"),"",INDEX(B3640:B$2,-1+SUMPRODUCT(MAX(ROW(E3640:E$2)*(E3641=E3640:E$2)))))</f>
        <v> </v>
      </c>
      <c r="J3641" s="25" t="str">
        <f>IF(OR(E3641="",E3641="!!!",F3641="NEW"),"",COUNTBLANK(OFFSET(A$1,,,SUMPRODUCT(MAX(ROW(E$2:E3641)*(E3641=E$2:E3641)))))-COUNTBLANK(OFFSET(A$1,,,SUMPRODUCT(MAX(ROW(E$1:E3640)*(E2=E$1:E3640))))))</f>
        <v> </v>
      </c>
      <c r="K3641" s="25" t="str">
        <f>IF(OR(E3641="",E3641="!!!",F3641="NEW"),"",INDEX(J$1:J3640,SUMPRODUCT(MAX(ROW(E$1:E3640)*(E3641=E$1:E3640)))))</f>
        <v> </v>
      </c>
      <c r="L3641" s="26"/>
    </row>
    <row r="3642" spans="1:12">
      <c r="A3642" s="20" t="s">
        <v>538</v>
      </c>
      <c r="E3642" s="21">
        <f>IF(D3642="?OLD","!!!","")</f>
        <v/>
      </c>
      <c r="F3642" s="22" t="str">
        <f>IF(OR(E3642="",E3642="!!!"),"",IF(NOT(ISNA(VLOOKUP(E3642,E$1:E3641,1,FALSE()))),"OLD",IF(AND(E3642&lt;&gt;"",E3642&lt;&gt;"!!!"),"NEW","")))</f>
        <v> </v>
      </c>
      <c r="G3642" s="23" t="str">
        <f>IF(OR(E3642="",E3642="!!!"),"",IF(OR(J3642=0,AND(J3642=1,K3642=1),AND(J3642=1,I3642="SBJ"),AND(J3642=1,I3642=0)),"?IN_FOCUS",IF(J3642&lt;=2,"?ACTIVATED",IF(J3642&lt;&gt;"","?FAMILIAR",IF(F3642="NEW",IF(ISNA(VLOOKUP(E3642,#REF!,1,FALSE())),"?TYPE_IDENTIFIABLE","?REFERENTIAL"),"_")))))</f>
        <v> </v>
      </c>
      <c r="H3642" s="24" t="str">
        <f>IF(J3642&lt;&gt;1,"",IF(I3642="SBJ","CB","?"))</f>
        <v> </v>
      </c>
      <c r="I3642" s="25" t="str">
        <f>IF(OR(E3642="",E3642="!!!",F3642="NEW"),"",INDEX(B3641:B$2,-1+SUMPRODUCT(MAX(ROW(E3641:E$2)*(E3642=E3641:E$2)))))</f>
        <v> </v>
      </c>
      <c r="J3642" s="25" t="str">
        <f>IF(OR(E3642="",E3642="!!!",F3642="NEW"),"",COUNTBLANK(OFFSET(A$1,,,SUMPRODUCT(MAX(ROW(E$2:E3642)*(E3642=E$2:E3642)))))-COUNTBLANK(OFFSET(A$1,,,SUMPRODUCT(MAX(ROW(E$1:E3641)*(E2=E$1:E3641))))))</f>
        <v> </v>
      </c>
      <c r="K3642" s="25" t="str">
        <f>IF(OR(E3642="",E3642="!!!",F3642="NEW"),"",INDEX(J$1:J3641,SUMPRODUCT(MAX(ROW(E$1:E3641)*(E3642=E$1:E3641)))))</f>
        <v> </v>
      </c>
      <c r="L3642" s="26"/>
    </row>
    <row r="3643" spans="1:12">
      <c r="A3643" s="20" t="s">
        <v>1681</v>
      </c>
      <c r="B3643" s="27" t="s">
        <v>592</v>
      </c>
      <c r="C3643" s="27" t="s">
        <v>540</v>
      </c>
      <c r="D3643" s="27" t="s">
        <v>524</v>
      </c>
      <c r="E3643" s="21">
        <f>IF(D3643="?OLD","!!!","")</f>
        <v/>
      </c>
      <c r="F3643" s="22" t="str">
        <f>IF(OR(E3643="",E3643="!!!"),"",IF(NOT(ISNA(VLOOKUP(E3643,E$1:E3642,1,FALSE()))),"OLD",IF(AND(E3643&lt;&gt;"",E3643&lt;&gt;"!!!"),"NEW","")))</f>
        <v> </v>
      </c>
      <c r="G3643" s="23" t="str">
        <f>IF(OR(E3643="",E3643="!!!"),"",IF(OR(J3643=0,AND(J3643=1,K3643=1),AND(J3643=1,I3643="SBJ"),AND(J3643=1,I3643=0)),"?IN_FOCUS",IF(J3643&lt;=2,"?ACTIVATED",IF(J3643&lt;&gt;"","?FAMILIAR",IF(F3643="NEW",IF(ISNA(VLOOKUP(E3643,#REF!,1,FALSE())),"?TYPE_IDENTIFIABLE","?REFERENTIAL"),"_")))))</f>
        <v> </v>
      </c>
      <c r="H3643" s="24" t="str">
        <f>IF(J3643&lt;&gt;1,"",IF(I3643="SBJ","CB","?"))</f>
        <v> </v>
      </c>
      <c r="I3643" s="25" t="str">
        <f>IF(OR(E3643="",E3643="!!!",F3643="NEW"),"",INDEX(B3642:B$2,-1+SUMPRODUCT(MAX(ROW(E3642:E$2)*(E3643=E3642:E$2)))))</f>
        <v> </v>
      </c>
      <c r="J3643" s="25" t="str">
        <f>IF(OR(E3643="",E3643="!!!",F3643="NEW"),"",COUNTBLANK(OFFSET(A$1,,,SUMPRODUCT(MAX(ROW(E$2:E3643)*(E3643=E$2:E3643)))))-COUNTBLANK(OFFSET(A$1,,,SUMPRODUCT(MAX(ROW(E$1:E3642)*(E2=E$1:E3642))))))</f>
        <v> </v>
      </c>
      <c r="K3643" s="25" t="str">
        <f>IF(OR(E3643="",E3643="!!!",F3643="NEW"),"",INDEX(J$1:J3642,SUMPRODUCT(MAX(ROW(E$1:E3642)*(E3643=E$1:E3642)))))</f>
        <v> </v>
      </c>
      <c r="L3643" s="26"/>
    </row>
    <row r="3644" spans="1:12">
      <c r="A3644" s="20" t="s">
        <v>518</v>
      </c>
      <c r="E3644" s="21">
        <f>IF(D3644="?OLD","!!!","")</f>
        <v/>
      </c>
      <c r="F3644" s="22" t="str">
        <f>IF(OR(E3644="",E3644="!!!"),"",IF(NOT(ISNA(VLOOKUP(E3644,E$1:E3643,1,FALSE()))),"OLD",IF(AND(E3644&lt;&gt;"",E3644&lt;&gt;"!!!"),"NEW","")))</f>
        <v> </v>
      </c>
      <c r="G3644" s="23" t="str">
        <f>IF(OR(E3644="",E3644="!!!"),"",IF(OR(J3644=0,AND(J3644=1,K3644=1),AND(J3644=1,I3644="SBJ"),AND(J3644=1,I3644=0)),"?IN_FOCUS",IF(J3644&lt;=2,"?ACTIVATED",IF(J3644&lt;&gt;"","?FAMILIAR",IF(F3644="NEW",IF(ISNA(VLOOKUP(E3644,#REF!,1,FALSE())),"?TYPE_IDENTIFIABLE","?REFERENTIAL"),"_")))))</f>
        <v> </v>
      </c>
      <c r="H3644" s="24" t="str">
        <f>IF(J3644&lt;&gt;1,"",IF(I3644="SBJ","CB","?"))</f>
        <v> </v>
      </c>
      <c r="I3644" s="25" t="str">
        <f>IF(OR(E3644="",E3644="!!!",F3644="NEW"),"",INDEX(B3643:B$2,-1+SUMPRODUCT(MAX(ROW(E3643:E$2)*(E3644=E3643:E$2)))))</f>
        <v> </v>
      </c>
      <c r="J3644" s="25" t="str">
        <f>IF(OR(E3644="",E3644="!!!",F3644="NEW"),"",COUNTBLANK(OFFSET(A$1,,,SUMPRODUCT(MAX(ROW(E$2:E3644)*(E3644=E$2:E3644)))))-COUNTBLANK(OFFSET(A$1,,,SUMPRODUCT(MAX(ROW(E$1:E3643)*(E2=E$1:E3643))))))</f>
        <v> </v>
      </c>
      <c r="K3644" s="25" t="str">
        <f>IF(OR(E3644="",E3644="!!!",F3644="NEW"),"",INDEX(J$1:J3643,SUMPRODUCT(MAX(ROW(E$1:E3643)*(E3644=E$1:E3643)))))</f>
        <v> </v>
      </c>
      <c r="L3644" s="26"/>
    </row>
    <row r="3645" spans="1:12">
      <c r="A3645" s="20" t="s">
        <v>538</v>
      </c>
      <c r="E3645" s="21">
        <f>IF(D3645="?OLD","!!!","")</f>
        <v/>
      </c>
      <c r="F3645" s="22" t="str">
        <f>IF(OR(E3645="",E3645="!!!"),"",IF(NOT(ISNA(VLOOKUP(E3645,E$1:E3644,1,FALSE()))),"OLD",IF(AND(E3645&lt;&gt;"",E3645&lt;&gt;"!!!"),"NEW","")))</f>
        <v> </v>
      </c>
      <c r="G3645" s="23" t="str">
        <f>IF(OR(E3645="",E3645="!!!"),"",IF(OR(J3645=0,AND(J3645=1,K3645=1),AND(J3645=1,I3645="SBJ"),AND(J3645=1,I3645=0)),"?IN_FOCUS",IF(J3645&lt;=2,"?ACTIVATED",IF(J3645&lt;&gt;"","?FAMILIAR",IF(F3645="NEW",IF(ISNA(VLOOKUP(E3645,#REF!,1,FALSE())),"?TYPE_IDENTIFIABLE","?REFERENTIAL"),"_")))))</f>
        <v> </v>
      </c>
      <c r="H3645" s="24" t="str">
        <f>IF(J3645&lt;&gt;1,"",IF(I3645="SBJ","CB","?"))</f>
        <v> </v>
      </c>
      <c r="I3645" s="25" t="str">
        <f>IF(OR(E3645="",E3645="!!!",F3645="NEW"),"",INDEX(B3644:B$2,-1+SUMPRODUCT(MAX(ROW(E3644:E$2)*(E3645=E3644:E$2)))))</f>
        <v> </v>
      </c>
      <c r="J3645" s="25" t="str">
        <f>IF(OR(E3645="",E3645="!!!",F3645="NEW"),"",COUNTBLANK(OFFSET(A$1,,,SUMPRODUCT(MAX(ROW(E$2:E3645)*(E3645=E$2:E3645)))))-COUNTBLANK(OFFSET(A$1,,,SUMPRODUCT(MAX(ROW(E$1:E3644)*(E2=E$1:E3644))))))</f>
        <v> </v>
      </c>
      <c r="K3645" s="25" t="str">
        <f>IF(OR(E3645="",E3645="!!!",F3645="NEW"),"",INDEX(J$1:J3644,SUMPRODUCT(MAX(ROW(E$1:E3644)*(E3645=E$1:E3644)))))</f>
        <v> </v>
      </c>
      <c r="L3645" s="26"/>
    </row>
    <row r="3646" spans="1:12">
      <c r="A3646" s="20" t="s">
        <v>1682</v>
      </c>
      <c r="B3646" s="27" t="s">
        <v>597</v>
      </c>
      <c r="C3646" s="27" t="s">
        <v>527</v>
      </c>
      <c r="E3646" s="21">
        <f>IF(D3646="?OLD","!!!","")</f>
        <v/>
      </c>
      <c r="F3646" s="22" t="str">
        <f>IF(OR(E3646="",E3646="!!!"),"",IF(NOT(ISNA(VLOOKUP(E3646,E$1:E3645,1,FALSE()))),"OLD",IF(AND(E3646&lt;&gt;"",E3646&lt;&gt;"!!!"),"NEW","")))</f>
        <v> </v>
      </c>
      <c r="G3646" s="23" t="str">
        <f>IF(OR(E3646="",E3646="!!!"),"",IF(OR(J3646=0,AND(J3646=1,K3646=1),AND(J3646=1,I3646="SBJ"),AND(J3646=1,I3646=0)),"?IN_FOCUS",IF(J3646&lt;=2,"?ACTIVATED",IF(J3646&lt;&gt;"","?FAMILIAR",IF(F3646="NEW",IF(ISNA(VLOOKUP(E3646,#REF!,1,FALSE())),"?TYPE_IDENTIFIABLE","?REFERENTIAL"),"_")))))</f>
        <v> </v>
      </c>
      <c r="H3646" s="24" t="str">
        <f>IF(J3646&lt;&gt;1,"",IF(I3646="SBJ","CB","?"))</f>
        <v> </v>
      </c>
      <c r="I3646" s="25" t="str">
        <f>IF(OR(E3646="",E3646="!!!",F3646="NEW"),"",INDEX(B3645:B$2,-1+SUMPRODUCT(MAX(ROW(E3645:E$2)*(E3646=E3645:E$2)))))</f>
        <v> </v>
      </c>
      <c r="J3646" s="25" t="str">
        <f>IF(OR(E3646="",E3646="!!!",F3646="NEW"),"",COUNTBLANK(OFFSET(A$1,,,SUMPRODUCT(MAX(ROW(E$2:E3646)*(E3646=E$2:E3646)))))-COUNTBLANK(OFFSET(A$1,,,SUMPRODUCT(MAX(ROW(E$1:E3645)*(E2=E$1:E3645))))))</f>
        <v> </v>
      </c>
      <c r="K3646" s="25" t="str">
        <f>IF(OR(E3646="",E3646="!!!",F3646="NEW"),"",INDEX(J$1:J3645,SUMPRODUCT(MAX(ROW(E$1:E3645)*(E3646=E$1:E3645)))))</f>
        <v> </v>
      </c>
      <c r="L3646" s="26"/>
    </row>
    <row r="3647" spans="1:12">
      <c r="A3647" s="20" t="s">
        <v>1683</v>
      </c>
      <c r="E3647" s="21">
        <f>IF(D3647="?OLD","!!!","")</f>
        <v/>
      </c>
      <c r="F3647" s="22" t="str">
        <f>IF(OR(E3647="",E3647="!!!"),"",IF(NOT(ISNA(VLOOKUP(E3647,E$1:E3646,1,FALSE()))),"OLD",IF(AND(E3647&lt;&gt;"",E3647&lt;&gt;"!!!"),"NEW","")))</f>
        <v> </v>
      </c>
      <c r="G3647" s="23" t="str">
        <f>IF(OR(E3647="",E3647="!!!"),"",IF(OR(J3647=0,AND(J3647=1,K3647=1),AND(J3647=1,I3647="SBJ"),AND(J3647=1,I3647=0)),"?IN_FOCUS",IF(J3647&lt;=2,"?ACTIVATED",IF(J3647&lt;&gt;"","?FAMILIAR",IF(F3647="NEW",IF(ISNA(VLOOKUP(E3647,#REF!,1,FALSE())),"?TYPE_IDENTIFIABLE","?REFERENTIAL"),"_")))))</f>
        <v> </v>
      </c>
      <c r="H3647" s="24" t="str">
        <f>IF(J3647&lt;&gt;1,"",IF(I3647="SBJ","CB","?"))</f>
        <v> </v>
      </c>
      <c r="I3647" s="25" t="str">
        <f>IF(OR(E3647="",E3647="!!!",F3647="NEW"),"",INDEX(B3646:B$2,-1+SUMPRODUCT(MAX(ROW(E3646:E$2)*(E3647=E3646:E$2)))))</f>
        <v> </v>
      </c>
      <c r="J3647" s="25" t="str">
        <f>IF(OR(E3647="",E3647="!!!",F3647="NEW"),"",COUNTBLANK(OFFSET(A$1,,,SUMPRODUCT(MAX(ROW(E$2:E3647)*(E3647=E$2:E3647)))))-COUNTBLANK(OFFSET(A$1,,,SUMPRODUCT(MAX(ROW(E$1:E3646)*(E2=E$1:E3646))))))</f>
        <v> </v>
      </c>
      <c r="K3647" s="25" t="str">
        <f>IF(OR(E3647="",E3647="!!!",F3647="NEW"),"",INDEX(J$1:J3646,SUMPRODUCT(MAX(ROW(E$1:E3646)*(E3647=E$1:E3646)))))</f>
        <v> </v>
      </c>
      <c r="L3647" s="26"/>
    </row>
    <row r="3648" spans="1:12">
      <c r="A3648" s="20" t="s">
        <v>518</v>
      </c>
      <c r="E3648" s="21">
        <f>IF(D3648="?OLD","!!!","")</f>
        <v/>
      </c>
      <c r="F3648" s="22" t="str">
        <f>IF(OR(E3648="",E3648="!!!"),"",IF(NOT(ISNA(VLOOKUP(E3648,E$1:E3647,1,FALSE()))),"OLD",IF(AND(E3648&lt;&gt;"",E3648&lt;&gt;"!!!"),"NEW","")))</f>
        <v> </v>
      </c>
      <c r="G3648" s="23" t="str">
        <f>IF(OR(E3648="",E3648="!!!"),"",IF(OR(J3648=0,AND(J3648=1,K3648=1),AND(J3648=1,I3648="SBJ"),AND(J3648=1,I3648=0)),"?IN_FOCUS",IF(J3648&lt;=2,"?ACTIVATED",IF(J3648&lt;&gt;"","?FAMILIAR",IF(F3648="NEW",IF(ISNA(VLOOKUP(E3648,#REF!,1,FALSE())),"?TYPE_IDENTIFIABLE","?REFERENTIAL"),"_")))))</f>
        <v> </v>
      </c>
      <c r="H3648" s="24" t="str">
        <f>IF(J3648&lt;&gt;1,"",IF(I3648="SBJ","CB","?"))</f>
        <v> </v>
      </c>
      <c r="I3648" s="25" t="str">
        <f>IF(OR(E3648="",E3648="!!!",F3648="NEW"),"",INDEX(B3647:B$2,-1+SUMPRODUCT(MAX(ROW(E3647:E$2)*(E3648=E3647:E$2)))))</f>
        <v> </v>
      </c>
      <c r="J3648" s="25" t="str">
        <f>IF(OR(E3648="",E3648="!!!",F3648="NEW"),"",COUNTBLANK(OFFSET(A$1,,,SUMPRODUCT(MAX(ROW(E$2:E3648)*(E3648=E$2:E3648)))))-COUNTBLANK(OFFSET(A$1,,,SUMPRODUCT(MAX(ROW(E$1:E3647)*(E2=E$1:E3647))))))</f>
        <v> </v>
      </c>
      <c r="K3648" s="25" t="str">
        <f>IF(OR(E3648="",E3648="!!!",F3648="NEW"),"",INDEX(J$1:J3647,SUMPRODUCT(MAX(ROW(E$1:E3647)*(E3648=E$1:E3647)))))</f>
        <v> </v>
      </c>
      <c r="L3648" s="26"/>
    </row>
    <row r="3649" spans="1:12">
      <c r="A3649" s="20" t="s">
        <v>571</v>
      </c>
      <c r="E3649" s="21">
        <f>IF(D3649="?OLD","!!!","")</f>
        <v/>
      </c>
      <c r="F3649" s="22" t="str">
        <f>IF(OR(E3649="",E3649="!!!"),"",IF(NOT(ISNA(VLOOKUP(E3649,E$1:E3648,1,FALSE()))),"OLD",IF(AND(E3649&lt;&gt;"",E3649&lt;&gt;"!!!"),"NEW","")))</f>
        <v> </v>
      </c>
      <c r="G3649" s="23" t="str">
        <f>IF(OR(E3649="",E3649="!!!"),"",IF(OR(J3649=0,AND(J3649=1,K3649=1),AND(J3649=1,I3649="SBJ"),AND(J3649=1,I3649=0)),"?IN_FOCUS",IF(J3649&lt;=2,"?ACTIVATED",IF(J3649&lt;&gt;"","?FAMILIAR",IF(F3649="NEW",IF(ISNA(VLOOKUP(E3649,#REF!,1,FALSE())),"?TYPE_IDENTIFIABLE","?REFERENTIAL"),"_")))))</f>
        <v> </v>
      </c>
      <c r="H3649" s="24" t="str">
        <f>IF(J3649&lt;&gt;1,"",IF(I3649="SBJ","CB","?"))</f>
        <v> </v>
      </c>
      <c r="I3649" s="25" t="str">
        <f>IF(OR(E3649="",E3649="!!!",F3649="NEW"),"",INDEX(B3648:B$2,-1+SUMPRODUCT(MAX(ROW(E3648:E$2)*(E3649=E3648:E$2)))))</f>
        <v> </v>
      </c>
      <c r="J3649" s="25" t="str">
        <f>IF(OR(E3649="",E3649="!!!",F3649="NEW"),"",COUNTBLANK(OFFSET(A$1,,,SUMPRODUCT(MAX(ROW(E$2:E3649)*(E3649=E$2:E3649)))))-COUNTBLANK(OFFSET(A$1,,,SUMPRODUCT(MAX(ROW(E$1:E3648)*(E2=E$1:E3648))))))</f>
        <v> </v>
      </c>
      <c r="K3649" s="25" t="str">
        <f>IF(OR(E3649="",E3649="!!!",F3649="NEW"),"",INDEX(J$1:J3648,SUMPRODUCT(MAX(ROW(E$1:E3648)*(E3649=E$1:E3648)))))</f>
        <v> </v>
      </c>
      <c r="L3649" s="26"/>
    </row>
    <row r="3650" spans="1:12">
      <c r="A3650" s="20" t="s">
        <v>1684</v>
      </c>
      <c r="B3650" s="27" t="s">
        <v>534</v>
      </c>
      <c r="C3650" s="27" t="s">
        <v>545</v>
      </c>
      <c r="D3650" s="27" t="s">
        <v>524</v>
      </c>
      <c r="E3650" s="21">
        <f>IF(D3650="?OLD","!!!","")</f>
        <v/>
      </c>
      <c r="F3650" s="22" t="str">
        <f>IF(OR(E3650="",E3650="!!!"),"",IF(NOT(ISNA(VLOOKUP(E3650,E$1:E3649,1,FALSE()))),"OLD",IF(AND(E3650&lt;&gt;"",E3650&lt;&gt;"!!!"),"NEW","")))</f>
        <v> </v>
      </c>
      <c r="G3650" s="23" t="str">
        <f>IF(OR(E3650="",E3650="!!!"),"",IF(OR(J3650=0,AND(J3650=1,K3650=1),AND(J3650=1,I3650="SBJ"),AND(J3650=1,I3650=0)),"?IN_FOCUS",IF(J3650&lt;=2,"?ACTIVATED",IF(J3650&lt;&gt;"","?FAMILIAR",IF(F3650="NEW",IF(ISNA(VLOOKUP(E3650,#REF!,1,FALSE())),"?TYPE_IDENTIFIABLE","?REFERENTIAL"),"_")))))</f>
        <v> </v>
      </c>
      <c r="H3650" s="24" t="str">
        <f>IF(J3650&lt;&gt;1,"",IF(I3650="SBJ","CB","?"))</f>
        <v> </v>
      </c>
      <c r="I3650" s="25" t="str">
        <f>IF(OR(E3650="",E3650="!!!",F3650="NEW"),"",INDEX(B3649:B$2,-1+SUMPRODUCT(MAX(ROW(E3649:E$2)*(E3650=E3649:E$2)))))</f>
        <v> </v>
      </c>
      <c r="J3650" s="25" t="str">
        <f>IF(OR(E3650="",E3650="!!!",F3650="NEW"),"",COUNTBLANK(OFFSET(A$1,,,SUMPRODUCT(MAX(ROW(E$2:E3650)*(E3650=E$2:E3650)))))-COUNTBLANK(OFFSET(A$1,,,SUMPRODUCT(MAX(ROW(E$1:E3649)*(E2=E$1:E3649))))))</f>
        <v> </v>
      </c>
      <c r="K3650" s="25" t="str">
        <f>IF(OR(E3650="",E3650="!!!",F3650="NEW"),"",INDEX(J$1:J3649,SUMPRODUCT(MAX(ROW(E$1:E3649)*(E3650=E$1:E3649)))))</f>
        <v> </v>
      </c>
      <c r="L3650" s="26"/>
    </row>
    <row r="3651" spans="1:12">
      <c r="A3651" s="20" t="s">
        <v>1685</v>
      </c>
      <c r="E3651" s="21">
        <f>IF(D3651="?OLD","!!!","")</f>
        <v/>
      </c>
      <c r="F3651" s="22" t="str">
        <f>IF(OR(E3651="",E3651="!!!"),"",IF(NOT(ISNA(VLOOKUP(E3651,E$1:E3650,1,FALSE()))),"OLD",IF(AND(E3651&lt;&gt;"",E3651&lt;&gt;"!!!"),"NEW","")))</f>
        <v> </v>
      </c>
      <c r="G3651" s="23" t="str">
        <f>IF(OR(E3651="",E3651="!!!"),"",IF(OR(J3651=0,AND(J3651=1,K3651=1),AND(J3651=1,I3651="SBJ"),AND(J3651=1,I3651=0)),"?IN_FOCUS",IF(J3651&lt;=2,"?ACTIVATED",IF(J3651&lt;&gt;"","?FAMILIAR",IF(F3651="NEW",IF(ISNA(VLOOKUP(E3651,#REF!,1,FALSE())),"?TYPE_IDENTIFIABLE","?REFERENTIAL"),"_")))))</f>
        <v> </v>
      </c>
      <c r="H3651" s="24" t="str">
        <f>IF(J3651&lt;&gt;1,"",IF(I3651="SBJ","CB","?"))</f>
        <v> </v>
      </c>
      <c r="I3651" s="25" t="str">
        <f>IF(OR(E3651="",E3651="!!!",F3651="NEW"),"",INDEX(B3650:B$2,-1+SUMPRODUCT(MAX(ROW(E3650:E$2)*(E3651=E3650:E$2)))))</f>
        <v> </v>
      </c>
      <c r="J3651" s="25" t="str">
        <f>IF(OR(E3651="",E3651="!!!",F3651="NEW"),"",COUNTBLANK(OFFSET(A$1,,,SUMPRODUCT(MAX(ROW(E$2:E3651)*(E3651=E$2:E3651)))))-COUNTBLANK(OFFSET(A$1,,,SUMPRODUCT(MAX(ROW(E$1:E3650)*(E2=E$1:E3650))))))</f>
        <v> </v>
      </c>
      <c r="K3651" s="25" t="str">
        <f>IF(OR(E3651="",E3651="!!!",F3651="NEW"),"",INDEX(J$1:J3650,SUMPRODUCT(MAX(ROW(E$1:E3650)*(E3651=E$1:E3650)))))</f>
        <v> </v>
      </c>
      <c r="L3651" s="26"/>
    </row>
    <row r="3652" spans="1:12">
      <c r="A3652" s="20" t="s">
        <v>565</v>
      </c>
      <c r="E3652" s="21">
        <f>IF(D3652="?OLD","!!!","")</f>
        <v/>
      </c>
      <c r="F3652" s="22" t="str">
        <f>IF(OR(E3652="",E3652="!!!"),"",IF(NOT(ISNA(VLOOKUP(E3652,E$1:E3651,1,FALSE()))),"OLD",IF(AND(E3652&lt;&gt;"",E3652&lt;&gt;"!!!"),"NEW","")))</f>
        <v> </v>
      </c>
      <c r="G3652" s="23" t="str">
        <f>IF(OR(E3652="",E3652="!!!"),"",IF(OR(J3652=0,AND(J3652=1,K3652=1),AND(J3652=1,I3652="SBJ"),AND(J3652=1,I3652=0)),"?IN_FOCUS",IF(J3652&lt;=2,"?ACTIVATED",IF(J3652&lt;&gt;"","?FAMILIAR",IF(F3652="NEW",IF(ISNA(VLOOKUP(E3652,#REF!,1,FALSE())),"?TYPE_IDENTIFIABLE","?REFERENTIAL"),"_")))))</f>
        <v> </v>
      </c>
      <c r="H3652" s="24" t="str">
        <f>IF(J3652&lt;&gt;1,"",IF(I3652="SBJ","CB","?"))</f>
        <v> </v>
      </c>
      <c r="I3652" s="25" t="str">
        <f>IF(OR(E3652="",E3652="!!!",F3652="NEW"),"",INDEX(B3651:B$2,-1+SUMPRODUCT(MAX(ROW(E3651:E$2)*(E3652=E3651:E$2)))))</f>
        <v> </v>
      </c>
      <c r="J3652" s="25" t="str">
        <f>IF(OR(E3652="",E3652="!!!",F3652="NEW"),"",COUNTBLANK(OFFSET(A$1,,,SUMPRODUCT(MAX(ROW(E$2:E3652)*(E3652=E$2:E3652)))))-COUNTBLANK(OFFSET(A$1,,,SUMPRODUCT(MAX(ROW(E$1:E3651)*(E2=E$1:E3651))))))</f>
        <v> </v>
      </c>
      <c r="K3652" s="25" t="str">
        <f>IF(OR(E3652="",E3652="!!!",F3652="NEW"),"",INDEX(J$1:J3651,SUMPRODUCT(MAX(ROW(E$1:E3651)*(E3652=E$1:E3651)))))</f>
        <v> </v>
      </c>
      <c r="L3652" s="26"/>
    </row>
    <row r="3653" spans="1:12">
      <c r="A3653" s="20" t="s">
        <v>1686</v>
      </c>
      <c r="E3653" s="21">
        <f>IF(D3653="?OLD","!!!","")</f>
        <v/>
      </c>
      <c r="F3653" s="22" t="str">
        <f>IF(OR(E3653="",E3653="!!!"),"",IF(NOT(ISNA(VLOOKUP(E3653,E$1:E3652,1,FALSE()))),"OLD",IF(AND(E3653&lt;&gt;"",E3653&lt;&gt;"!!!"),"NEW","")))</f>
        <v> </v>
      </c>
      <c r="G3653" s="23" t="str">
        <f>IF(OR(E3653="",E3653="!!!"),"",IF(OR(J3653=0,AND(J3653=1,K3653=1),AND(J3653=1,I3653="SBJ"),AND(J3653=1,I3653=0)),"?IN_FOCUS",IF(J3653&lt;=2,"?ACTIVATED",IF(J3653&lt;&gt;"","?FAMILIAR",IF(F3653="NEW",IF(ISNA(VLOOKUP(E3653,#REF!,1,FALSE())),"?TYPE_IDENTIFIABLE","?REFERENTIAL"),"_")))))</f>
        <v> </v>
      </c>
      <c r="H3653" s="24" t="str">
        <f>IF(J3653&lt;&gt;1,"",IF(I3653="SBJ","CB","?"))</f>
        <v> </v>
      </c>
      <c r="I3653" s="25" t="str">
        <f>IF(OR(E3653="",E3653="!!!",F3653="NEW"),"",INDEX(B3652:B$2,-1+SUMPRODUCT(MAX(ROW(E3652:E$2)*(E3653=E3652:E$2)))))</f>
        <v> </v>
      </c>
      <c r="J3653" s="25" t="str">
        <f>IF(OR(E3653="",E3653="!!!",F3653="NEW"),"",COUNTBLANK(OFFSET(A$1,,,SUMPRODUCT(MAX(ROW(E$2:E3653)*(E3653=E$2:E3653)))))-COUNTBLANK(OFFSET(A$1,,,SUMPRODUCT(MAX(ROW(E$1:E3652)*(E2=E$1:E3652))))))</f>
        <v> </v>
      </c>
      <c r="K3653" s="25" t="str">
        <f>IF(OR(E3653="",E3653="!!!",F3653="NEW"),"",INDEX(J$1:J3652,SUMPRODUCT(MAX(ROW(E$1:E3652)*(E3653=E$1:E3652)))))</f>
        <v> </v>
      </c>
      <c r="L3653" s="26"/>
    </row>
    <row r="3654" spans="1:12">
      <c r="A3654" s="20" t="s">
        <v>1687</v>
      </c>
      <c r="B3654" s="27" t="s">
        <v>544</v>
      </c>
      <c r="C3654" s="27" t="s">
        <v>548</v>
      </c>
      <c r="D3654" s="27" t="s">
        <v>524</v>
      </c>
      <c r="E3654" s="21">
        <f>IF(D3654="?OLD","!!!","")</f>
        <v/>
      </c>
      <c r="F3654" s="22" t="str">
        <f>IF(OR(E3654="",E3654="!!!"),"",IF(NOT(ISNA(VLOOKUP(E3654,E$1:E3653,1,FALSE()))),"OLD",IF(AND(E3654&lt;&gt;"",E3654&lt;&gt;"!!!"),"NEW","")))</f>
        <v> </v>
      </c>
      <c r="G3654" s="23" t="str">
        <f>IF(OR(E3654="",E3654="!!!"),"",IF(OR(J3654=0,AND(J3654=1,K3654=1),AND(J3654=1,I3654="SBJ"),AND(J3654=1,I3654=0)),"?IN_FOCUS",IF(J3654&lt;=2,"?ACTIVATED",IF(J3654&lt;&gt;"","?FAMILIAR",IF(F3654="NEW",IF(ISNA(VLOOKUP(E3654,#REF!,1,FALSE())),"?TYPE_IDENTIFIABLE","?REFERENTIAL"),"_")))))</f>
        <v> </v>
      </c>
      <c r="H3654" s="24" t="str">
        <f>IF(J3654&lt;&gt;1,"",IF(I3654="SBJ","CB","?"))</f>
        <v> </v>
      </c>
      <c r="I3654" s="25" t="str">
        <f>IF(OR(E3654="",E3654="!!!",F3654="NEW"),"",INDEX(B3653:B$2,-1+SUMPRODUCT(MAX(ROW(E3653:E$2)*(E3654=E3653:E$2)))))</f>
        <v> </v>
      </c>
      <c r="J3654" s="25" t="str">
        <f>IF(OR(E3654="",E3654="!!!",F3654="NEW"),"",COUNTBLANK(OFFSET(A$1,,,SUMPRODUCT(MAX(ROW(E$2:E3654)*(E3654=E$2:E3654)))))-COUNTBLANK(OFFSET(A$1,,,SUMPRODUCT(MAX(ROW(E$1:E3653)*(E2=E$1:E3653))))))</f>
        <v> </v>
      </c>
      <c r="K3654" s="25" t="str">
        <f>IF(OR(E3654="",E3654="!!!",F3654="NEW"),"",INDEX(J$1:J3653,SUMPRODUCT(MAX(ROW(E$1:E3653)*(E3654=E$1:E3653)))))</f>
        <v> </v>
      </c>
      <c r="L3654" s="26"/>
    </row>
    <row r="3655" spans="1:12">
      <c r="A3655" s="20" t="s">
        <v>565</v>
      </c>
      <c r="E3655" s="21">
        <f>IF(D3655="?OLD","!!!","")</f>
        <v/>
      </c>
      <c r="F3655" s="22" t="str">
        <f>IF(OR(E3655="",E3655="!!!"),"",IF(NOT(ISNA(VLOOKUP(E3655,E$1:E3654,1,FALSE()))),"OLD",IF(AND(E3655&lt;&gt;"",E3655&lt;&gt;"!!!"),"NEW","")))</f>
        <v> </v>
      </c>
      <c r="G3655" s="23" t="str">
        <f>IF(OR(E3655="",E3655="!!!"),"",IF(OR(J3655=0,AND(J3655=1,K3655=1),AND(J3655=1,I3655="SBJ"),AND(J3655=1,I3655=0)),"?IN_FOCUS",IF(J3655&lt;=2,"?ACTIVATED",IF(J3655&lt;&gt;"","?FAMILIAR",IF(F3655="NEW",IF(ISNA(VLOOKUP(E3655,#REF!,1,FALSE())),"?TYPE_IDENTIFIABLE","?REFERENTIAL"),"_")))))</f>
        <v> </v>
      </c>
      <c r="H3655" s="24" t="str">
        <f>IF(J3655&lt;&gt;1,"",IF(I3655="SBJ","CB","?"))</f>
        <v> </v>
      </c>
      <c r="I3655" s="25" t="str">
        <f>IF(OR(E3655="",E3655="!!!",F3655="NEW"),"",INDEX(B3654:B$2,-1+SUMPRODUCT(MAX(ROW(E3654:E$2)*(E3655=E3654:E$2)))))</f>
        <v> </v>
      </c>
      <c r="J3655" s="25" t="str">
        <f>IF(OR(E3655="",E3655="!!!",F3655="NEW"),"",COUNTBLANK(OFFSET(A$1,,,SUMPRODUCT(MAX(ROW(E$2:E3655)*(E3655=E$2:E3655)))))-COUNTBLANK(OFFSET(A$1,,,SUMPRODUCT(MAX(ROW(E$1:E3654)*(E2=E$1:E3654))))))</f>
        <v> </v>
      </c>
      <c r="K3655" s="25" t="str">
        <f>IF(OR(E3655="",E3655="!!!",F3655="NEW"),"",INDEX(J$1:J3654,SUMPRODUCT(MAX(ROW(E$1:E3654)*(E3655=E$1:E3654)))))</f>
        <v> </v>
      </c>
      <c r="L3655" s="26"/>
    </row>
    <row r="3656" spans="1:12">
      <c r="A3656" s="20" t="s">
        <v>528</v>
      </c>
      <c r="B3656" s="27" t="s">
        <v>633</v>
      </c>
      <c r="E3656" s="21">
        <f>IF(D3656="?OLD","!!!","")</f>
        <v/>
      </c>
      <c r="F3656" s="22" t="str">
        <f>IF(OR(E3656="",E3656="!!!"),"",IF(NOT(ISNA(VLOOKUP(E3656,E$1:E3655,1,FALSE()))),"OLD",IF(AND(E3656&lt;&gt;"",E3656&lt;&gt;"!!!"),"NEW","")))</f>
        <v> </v>
      </c>
      <c r="G3656" s="23" t="str">
        <f>IF(OR(E3656="",E3656="!!!"),"",IF(OR(J3656=0,AND(J3656=1,K3656=1),AND(J3656=1,I3656="SBJ"),AND(J3656=1,I3656=0)),"?IN_FOCUS",IF(J3656&lt;=2,"?ACTIVATED",IF(J3656&lt;&gt;"","?FAMILIAR",IF(F3656="NEW",IF(ISNA(VLOOKUP(E3656,#REF!,1,FALSE())),"?TYPE_IDENTIFIABLE","?REFERENTIAL"),"_")))))</f>
        <v> </v>
      </c>
      <c r="H3656" s="24" t="str">
        <f>IF(J3656&lt;&gt;1,"",IF(I3656="SBJ","CB","?"))</f>
        <v> </v>
      </c>
      <c r="I3656" s="25" t="str">
        <f>IF(OR(E3656="",E3656="!!!",F3656="NEW"),"",INDEX(B3655:B$2,-1+SUMPRODUCT(MAX(ROW(E3655:E$2)*(E3656=E3655:E$2)))))</f>
        <v> </v>
      </c>
      <c r="J3656" s="25" t="str">
        <f>IF(OR(E3656="",E3656="!!!",F3656="NEW"),"",COUNTBLANK(OFFSET(A$1,,,SUMPRODUCT(MAX(ROW(E$2:E3656)*(E3656=E$2:E3656)))))-COUNTBLANK(OFFSET(A$1,,,SUMPRODUCT(MAX(ROW(E$1:E3655)*(E2=E$1:E3655))))))</f>
        <v> </v>
      </c>
      <c r="K3656" s="25" t="str">
        <f>IF(OR(E3656="",E3656="!!!",F3656="NEW"),"",INDEX(J$1:J3655,SUMPRODUCT(MAX(ROW(E$1:E3655)*(E3656=E$1:E3655)))))</f>
        <v> </v>
      </c>
      <c r="L3656" s="26"/>
    </row>
    <row r="3657" spans="1:12">
      <c r="A3657" s="20" t="s">
        <v>645</v>
      </c>
      <c r="B3657" s="27" t="s">
        <v>556</v>
      </c>
      <c r="C3657" s="27" t="s">
        <v>523</v>
      </c>
      <c r="D3657" s="27" t="s">
        <v>524</v>
      </c>
      <c r="E3657" s="21">
        <f>IF(D3657="?OLD","!!!","")</f>
        <v/>
      </c>
      <c r="F3657" s="22" t="str">
        <f>IF(OR(E3657="",E3657="!!!"),"",IF(NOT(ISNA(VLOOKUP(E3657,E$1:E3656,1,FALSE()))),"OLD",IF(AND(E3657&lt;&gt;"",E3657&lt;&gt;"!!!"),"NEW","")))</f>
        <v> </v>
      </c>
      <c r="G3657" s="23" t="str">
        <f>IF(OR(E3657="",E3657="!!!"),"",IF(OR(J3657=0,AND(J3657=1,K3657=1),AND(J3657=1,I3657="SBJ"),AND(J3657=1,I3657=0)),"?IN_FOCUS",IF(J3657&lt;=2,"?ACTIVATED",IF(J3657&lt;&gt;"","?FAMILIAR",IF(F3657="NEW",IF(ISNA(VLOOKUP(E3657,#REF!,1,FALSE())),"?TYPE_IDENTIFIABLE","?REFERENTIAL"),"_")))))</f>
        <v> </v>
      </c>
      <c r="H3657" s="24" t="str">
        <f>IF(J3657&lt;&gt;1,"",IF(I3657="SBJ","CB","?"))</f>
        <v> </v>
      </c>
      <c r="I3657" s="25" t="str">
        <f>IF(OR(E3657="",E3657="!!!",F3657="NEW"),"",INDEX(B3656:B$2,-1+SUMPRODUCT(MAX(ROW(E3656:E$2)*(E3657=E3656:E$2)))))</f>
        <v> </v>
      </c>
      <c r="J3657" s="25" t="str">
        <f>IF(OR(E3657="",E3657="!!!",F3657="NEW"),"",COUNTBLANK(OFFSET(A$1,,,SUMPRODUCT(MAX(ROW(E$2:E3657)*(E3657=E$2:E3657)))))-COUNTBLANK(OFFSET(A$1,,,SUMPRODUCT(MAX(ROW(E$1:E3656)*(E2=E$1:E3656))))))</f>
        <v> </v>
      </c>
      <c r="K3657" s="25" t="str">
        <f>IF(OR(E3657="",E3657="!!!",F3657="NEW"),"",INDEX(J$1:J3656,SUMPRODUCT(MAX(ROW(E$1:E3656)*(E3657=E$1:E3656)))))</f>
        <v> </v>
      </c>
      <c r="L3657" s="26"/>
    </row>
    <row r="3658" spans="1:12">
      <c r="A3658" s="20" t="s">
        <v>1688</v>
      </c>
      <c r="E3658" s="21">
        <f>IF(D3658="?OLD","!!!","")</f>
        <v/>
      </c>
      <c r="F3658" s="22" t="str">
        <f>IF(OR(E3658="",E3658="!!!"),"",IF(NOT(ISNA(VLOOKUP(E3658,E$1:E3657,1,FALSE()))),"OLD",IF(AND(E3658&lt;&gt;"",E3658&lt;&gt;"!!!"),"NEW","")))</f>
        <v> </v>
      </c>
      <c r="G3658" s="23" t="str">
        <f>IF(OR(E3658="",E3658="!!!"),"",IF(OR(J3658=0,AND(J3658=1,K3658=1),AND(J3658=1,I3658="SBJ"),AND(J3658=1,I3658=0)),"?IN_FOCUS",IF(J3658&lt;=2,"?ACTIVATED",IF(J3658&lt;&gt;"","?FAMILIAR",IF(F3658="NEW",IF(ISNA(VLOOKUP(E3658,#REF!,1,FALSE())),"?TYPE_IDENTIFIABLE","?REFERENTIAL"),"_")))))</f>
        <v> </v>
      </c>
      <c r="H3658" s="24" t="str">
        <f>IF(J3658&lt;&gt;1,"",IF(I3658="SBJ","CB","?"))</f>
        <v> </v>
      </c>
      <c r="I3658" s="25" t="str">
        <f>IF(OR(E3658="",E3658="!!!",F3658="NEW"),"",INDEX(B3657:B$2,-1+SUMPRODUCT(MAX(ROW(E3657:E$2)*(E3658=E3657:E$2)))))</f>
        <v> </v>
      </c>
      <c r="J3658" s="25" t="str">
        <f>IF(OR(E3658="",E3658="!!!",F3658="NEW"),"",COUNTBLANK(OFFSET(A$1,,,SUMPRODUCT(MAX(ROW(E$2:E3658)*(E3658=E$2:E3658)))))-COUNTBLANK(OFFSET(A$1,,,SUMPRODUCT(MAX(ROW(E$1:E3657)*(E2=E$1:E3657))))))</f>
        <v> </v>
      </c>
      <c r="K3658" s="25" t="str">
        <f>IF(OR(E3658="",E3658="!!!",F3658="NEW"),"",INDEX(J$1:J3657,SUMPRODUCT(MAX(ROW(E$1:E3657)*(E3658=E$1:E3657)))))</f>
        <v> </v>
      </c>
      <c r="L3658" s="26"/>
    </row>
    <row r="3659" spans="1:12">
      <c r="A3659" s="20" t="s">
        <v>571</v>
      </c>
      <c r="E3659" s="21">
        <f>IF(D3659="?OLD","!!!","")</f>
        <v/>
      </c>
      <c r="F3659" s="22" t="str">
        <f>IF(OR(E3659="",E3659="!!!"),"",IF(NOT(ISNA(VLOOKUP(E3659,E$1:E3658,1,FALSE()))),"OLD",IF(AND(E3659&lt;&gt;"",E3659&lt;&gt;"!!!"),"NEW","")))</f>
        <v> </v>
      </c>
      <c r="G3659" s="23" t="str">
        <f>IF(OR(E3659="",E3659="!!!"),"",IF(OR(J3659=0,AND(J3659=1,K3659=1),AND(J3659=1,I3659="SBJ"),AND(J3659=1,I3659=0)),"?IN_FOCUS",IF(J3659&lt;=2,"?ACTIVATED",IF(J3659&lt;&gt;"","?FAMILIAR",IF(F3659="NEW",IF(ISNA(VLOOKUP(E3659,#REF!,1,FALSE())),"?TYPE_IDENTIFIABLE","?REFERENTIAL"),"_")))))</f>
        <v> </v>
      </c>
      <c r="H3659" s="24" t="str">
        <f>IF(J3659&lt;&gt;1,"",IF(I3659="SBJ","CB","?"))</f>
        <v> </v>
      </c>
      <c r="I3659" s="25" t="str">
        <f>IF(OR(E3659="",E3659="!!!",F3659="NEW"),"",INDEX(B3658:B$2,-1+SUMPRODUCT(MAX(ROW(E3658:E$2)*(E3659=E3658:E$2)))))</f>
        <v> </v>
      </c>
      <c r="J3659" s="25" t="str">
        <f>IF(OR(E3659="",E3659="!!!",F3659="NEW"),"",COUNTBLANK(OFFSET(A$1,,,SUMPRODUCT(MAX(ROW(E$2:E3659)*(E3659=E$2:E3659)))))-COUNTBLANK(OFFSET(A$1,,,SUMPRODUCT(MAX(ROW(E$1:E3658)*(E2=E$1:E3658))))))</f>
        <v> </v>
      </c>
      <c r="K3659" s="25" t="str">
        <f>IF(OR(E3659="",E3659="!!!",F3659="NEW"),"",INDEX(J$1:J3658,SUMPRODUCT(MAX(ROW(E$1:E3658)*(E3659=E$1:E3658)))))</f>
        <v> </v>
      </c>
      <c r="L3659" s="26"/>
    </row>
    <row r="3660" spans="1:12">
      <c r="A3660" s="20" t="s">
        <v>668</v>
      </c>
      <c r="B3660" s="27" t="s">
        <v>534</v>
      </c>
      <c r="C3660" s="27" t="s">
        <v>669</v>
      </c>
      <c r="D3660" s="27" t="s">
        <v>524</v>
      </c>
      <c r="E3660" s="21">
        <f>IF(D3660="?OLD","!!!","")</f>
        <v/>
      </c>
      <c r="F3660" s="22" t="str">
        <f>IF(OR(E3660="",E3660="!!!"),"",IF(NOT(ISNA(VLOOKUP(E3660,E$1:E3659,1,FALSE()))),"OLD",IF(AND(E3660&lt;&gt;"",E3660&lt;&gt;"!!!"),"NEW","")))</f>
        <v> </v>
      </c>
      <c r="G3660" s="23" t="str">
        <f>IF(OR(E3660="",E3660="!!!"),"",IF(OR(J3660=0,AND(J3660=1,K3660=1),AND(J3660=1,I3660="SBJ"),AND(J3660=1,I3660=0)),"?IN_FOCUS",IF(J3660&lt;=2,"?ACTIVATED",IF(J3660&lt;&gt;"","?FAMILIAR",IF(F3660="NEW",IF(ISNA(VLOOKUP(E3660,#REF!,1,FALSE())),"?TYPE_IDENTIFIABLE","?REFERENTIAL"),"_")))))</f>
        <v> </v>
      </c>
      <c r="H3660" s="24" t="str">
        <f>IF(J3660&lt;&gt;1,"",IF(I3660="SBJ","CB","?"))</f>
        <v> </v>
      </c>
      <c r="I3660" s="25" t="str">
        <f>IF(OR(E3660="",E3660="!!!",F3660="NEW"),"",INDEX(B3659:B$2,-1+SUMPRODUCT(MAX(ROW(E3659:E$2)*(E3660=E3659:E$2)))))</f>
        <v> </v>
      </c>
      <c r="J3660" s="25" t="str">
        <f>IF(OR(E3660="",E3660="!!!",F3660="NEW"),"",COUNTBLANK(OFFSET(A$1,,,SUMPRODUCT(MAX(ROW(E$2:E3660)*(E3660=E$2:E3660)))))-COUNTBLANK(OFFSET(A$1,,,SUMPRODUCT(MAX(ROW(E$1:E3659)*(E2=E$1:E3659))))))</f>
        <v> </v>
      </c>
      <c r="K3660" s="25" t="str">
        <f>IF(OR(E3660="",E3660="!!!",F3660="NEW"),"",INDEX(J$1:J3659,SUMPRODUCT(MAX(ROW(E$1:E3659)*(E3660=E$1:E3659)))))</f>
        <v> </v>
      </c>
      <c r="L3660" s="26"/>
    </row>
    <row r="3661" spans="1:12">
      <c r="A3661" s="20" t="s">
        <v>640</v>
      </c>
      <c r="B3661" s="27" t="s">
        <v>556</v>
      </c>
      <c r="C3661" s="27" t="s">
        <v>545</v>
      </c>
      <c r="D3661" s="27" t="s">
        <v>524</v>
      </c>
      <c r="E3661" s="21">
        <f>IF(D3661="?OLD","!!!","")</f>
        <v/>
      </c>
      <c r="F3661" s="22" t="str">
        <f>IF(OR(E3661="",E3661="!!!"),"",IF(NOT(ISNA(VLOOKUP(E3661,E$1:E3660,1,FALSE()))),"OLD",IF(AND(E3661&lt;&gt;"",E3661&lt;&gt;"!!!"),"NEW","")))</f>
        <v> </v>
      </c>
      <c r="G3661" s="23" t="str">
        <f>IF(OR(E3661="",E3661="!!!"),"",IF(OR(J3661=0,AND(J3661=1,K3661=1),AND(J3661=1,I3661="SBJ"),AND(J3661=1,I3661=0)),"?IN_FOCUS",IF(J3661&lt;=2,"?ACTIVATED",IF(J3661&lt;&gt;"","?FAMILIAR",IF(F3661="NEW",IF(ISNA(VLOOKUP(E3661,#REF!,1,FALSE())),"?TYPE_IDENTIFIABLE","?REFERENTIAL"),"_")))))</f>
        <v> </v>
      </c>
      <c r="H3661" s="24" t="str">
        <f>IF(J3661&lt;&gt;1,"",IF(I3661="SBJ","CB","?"))</f>
        <v> </v>
      </c>
      <c r="I3661" s="25" t="str">
        <f>IF(OR(E3661="",E3661="!!!",F3661="NEW"),"",INDEX(B3660:B$2,-1+SUMPRODUCT(MAX(ROW(E3660:E$2)*(E3661=E3660:E$2)))))</f>
        <v> </v>
      </c>
      <c r="J3661" s="25" t="str">
        <f>IF(OR(E3661="",E3661="!!!",F3661="NEW"),"",COUNTBLANK(OFFSET(A$1,,,SUMPRODUCT(MAX(ROW(E$2:E3661)*(E3661=E$2:E3661)))))-COUNTBLANK(OFFSET(A$1,,,SUMPRODUCT(MAX(ROW(E$1:E3660)*(E2=E$1:E3660))))))</f>
        <v> </v>
      </c>
      <c r="K3661" s="25" t="str">
        <f>IF(OR(E3661="",E3661="!!!",F3661="NEW"),"",INDEX(J$1:J3660,SUMPRODUCT(MAX(ROW(E$1:E3660)*(E3661=E$1:E3660)))))</f>
        <v> </v>
      </c>
      <c r="L3661" s="26"/>
    </row>
    <row r="3662" spans="1:12">
      <c r="A3662" s="20" t="s">
        <v>1689</v>
      </c>
      <c r="B3662" s="27" t="s">
        <v>534</v>
      </c>
      <c r="C3662" s="27" t="s">
        <v>548</v>
      </c>
      <c r="D3662" s="27" t="s">
        <v>524</v>
      </c>
      <c r="E3662" s="21">
        <f>IF(D3662="?OLD","!!!","")</f>
        <v/>
      </c>
      <c r="F3662" s="22" t="str">
        <f>IF(OR(E3662="",E3662="!!!"),"",IF(NOT(ISNA(VLOOKUP(E3662,E$1:E3661,1,FALSE()))),"OLD",IF(AND(E3662&lt;&gt;"",E3662&lt;&gt;"!!!"),"NEW","")))</f>
        <v> </v>
      </c>
      <c r="G3662" s="23" t="str">
        <f>IF(OR(E3662="",E3662="!!!"),"",IF(OR(J3662=0,AND(J3662=1,K3662=1),AND(J3662=1,I3662="SBJ"),AND(J3662=1,I3662=0)),"?IN_FOCUS",IF(J3662&lt;=2,"?ACTIVATED",IF(J3662&lt;&gt;"","?FAMILIAR",IF(F3662="NEW",IF(ISNA(VLOOKUP(E3662,#REF!,1,FALSE())),"?TYPE_IDENTIFIABLE","?REFERENTIAL"),"_")))))</f>
        <v> </v>
      </c>
      <c r="H3662" s="24" t="str">
        <f>IF(J3662&lt;&gt;1,"",IF(I3662="SBJ","CB","?"))</f>
        <v> </v>
      </c>
      <c r="I3662" s="25" t="str">
        <f>IF(OR(E3662="",E3662="!!!",F3662="NEW"),"",INDEX(B3661:B$2,-1+SUMPRODUCT(MAX(ROW(E3661:E$2)*(E3662=E3661:E$2)))))</f>
        <v> </v>
      </c>
      <c r="J3662" s="25" t="str">
        <f>IF(OR(E3662="",E3662="!!!",F3662="NEW"),"",COUNTBLANK(OFFSET(A$1,,,SUMPRODUCT(MAX(ROW(E$2:E3662)*(E3662=E$2:E3662)))))-COUNTBLANK(OFFSET(A$1,,,SUMPRODUCT(MAX(ROW(E$1:E3661)*(E2=E$1:E3661))))))</f>
        <v> </v>
      </c>
      <c r="K3662" s="25" t="str">
        <f>IF(OR(E3662="",E3662="!!!",F3662="NEW"),"",INDEX(J$1:J3661,SUMPRODUCT(MAX(ROW(E$1:E3661)*(E3662=E$1:E3661)))))</f>
        <v> </v>
      </c>
      <c r="L3662" s="26"/>
    </row>
    <row r="3663" spans="1:12">
      <c r="A3663" s="20" t="s">
        <v>1690</v>
      </c>
      <c r="B3663" s="27" t="s">
        <v>641</v>
      </c>
      <c r="C3663" s="27" t="s">
        <v>548</v>
      </c>
      <c r="D3663" s="27" t="s">
        <v>524</v>
      </c>
      <c r="E3663" s="21">
        <f>IF(D3663="?OLD","!!!","")</f>
        <v/>
      </c>
      <c r="F3663" s="22" t="str">
        <f>IF(OR(E3663="",E3663="!!!"),"",IF(NOT(ISNA(VLOOKUP(E3663,E$1:E3662,1,FALSE()))),"OLD",IF(AND(E3663&lt;&gt;"",E3663&lt;&gt;"!!!"),"NEW","")))</f>
        <v> </v>
      </c>
      <c r="G3663" s="23" t="str">
        <f>IF(OR(E3663="",E3663="!!!"),"",IF(OR(J3663=0,AND(J3663=1,K3663=1),AND(J3663=1,I3663="SBJ"),AND(J3663=1,I3663=0)),"?IN_FOCUS",IF(J3663&lt;=2,"?ACTIVATED",IF(J3663&lt;&gt;"","?FAMILIAR",IF(F3663="NEW",IF(ISNA(VLOOKUP(E3663,#REF!,1,FALSE())),"?TYPE_IDENTIFIABLE","?REFERENTIAL"),"_")))))</f>
        <v> </v>
      </c>
      <c r="H3663" s="24" t="str">
        <f>IF(J3663&lt;&gt;1,"",IF(I3663="SBJ","CB","?"))</f>
        <v> </v>
      </c>
      <c r="I3663" s="25" t="str">
        <f>IF(OR(E3663="",E3663="!!!",F3663="NEW"),"",INDEX(B3662:B$2,-1+SUMPRODUCT(MAX(ROW(E3662:E$2)*(E3663=E3662:E$2)))))</f>
        <v> </v>
      </c>
      <c r="J3663" s="25" t="str">
        <f>IF(OR(E3663="",E3663="!!!",F3663="NEW"),"",COUNTBLANK(OFFSET(A$1,,,SUMPRODUCT(MAX(ROW(E$2:E3663)*(E3663=E$2:E3663)))))-COUNTBLANK(OFFSET(A$1,,,SUMPRODUCT(MAX(ROW(E$1:E3662)*(E2=E$1:E3662))))))</f>
        <v> </v>
      </c>
      <c r="K3663" s="25" t="str">
        <f>IF(OR(E3663="",E3663="!!!",F3663="NEW"),"",INDEX(J$1:J3662,SUMPRODUCT(MAX(ROW(E$1:E3662)*(E3663=E$1:E3662)))))</f>
        <v> </v>
      </c>
      <c r="L3663" s="26"/>
    </row>
    <row r="3664" spans="1:12">
      <c r="A3664" s="20" t="s">
        <v>549</v>
      </c>
      <c r="E3664" s="21">
        <f>IF(D3664="?OLD","!!!","")</f>
        <v/>
      </c>
      <c r="F3664" s="22" t="str">
        <f>IF(OR(E3664="",E3664="!!!"),"",IF(NOT(ISNA(VLOOKUP(E3664,E$1:E3663,1,FALSE()))),"OLD",IF(AND(E3664&lt;&gt;"",E3664&lt;&gt;"!!!"),"NEW","")))</f>
        <v> </v>
      </c>
      <c r="G3664" s="23" t="str">
        <f>IF(OR(E3664="",E3664="!!!"),"",IF(OR(J3664=0,AND(J3664=1,K3664=1),AND(J3664=1,I3664="SBJ"),AND(J3664=1,I3664=0)),"?IN_FOCUS",IF(J3664&lt;=2,"?ACTIVATED",IF(J3664&lt;&gt;"","?FAMILIAR",IF(F3664="NEW",IF(ISNA(VLOOKUP(E3664,#REF!,1,FALSE())),"?TYPE_IDENTIFIABLE","?REFERENTIAL"),"_")))))</f>
        <v> </v>
      </c>
      <c r="H3664" s="24" t="str">
        <f>IF(J3664&lt;&gt;1,"",IF(I3664="SBJ","CB","?"))</f>
        <v> </v>
      </c>
      <c r="I3664" s="25" t="str">
        <f>IF(OR(E3664="",E3664="!!!",F3664="NEW"),"",INDEX(B3663:B$2,-1+SUMPRODUCT(MAX(ROW(E3663:E$2)*(E3664=E3663:E$2)))))</f>
        <v> </v>
      </c>
      <c r="J3664" s="25" t="str">
        <f>IF(OR(E3664="",E3664="!!!",F3664="NEW"),"",COUNTBLANK(OFFSET(A$1,,,SUMPRODUCT(MAX(ROW(E$2:E3664)*(E3664=E$2:E3664)))))-COUNTBLANK(OFFSET(A$1,,,SUMPRODUCT(MAX(ROW(E$1:E3663)*(E2=E$1:E3663))))))</f>
        <v> </v>
      </c>
      <c r="K3664" s="25" t="str">
        <f>IF(OR(E3664="",E3664="!!!",F3664="NEW"),"",INDEX(J$1:J3663,SUMPRODUCT(MAX(ROW(E$1:E3663)*(E3664=E$1:E3663)))))</f>
        <v> </v>
      </c>
      <c r="L3664" s="26"/>
    </row>
    <row r="3665" spans="1:12">
      <c r="A3665" s="20"/>
    </row>
    <row r="3666" spans="1:12">
      <c r="A3666" s="20" t="s">
        <v>550</v>
      </c>
      <c r="E3666" s="21">
        <f>IF(D3666="?OLD","!!!","")</f>
        <v/>
      </c>
      <c r="F3666" s="22" t="str">
        <f>IF(OR(E3666="",E3666="!!!"),"",IF(NOT(ISNA(VLOOKUP(E3666,E$1:E3665,1,FALSE()))),"OLD",IF(AND(E3666&lt;&gt;"",E3666&lt;&gt;"!!!"),"NEW","")))</f>
        <v> </v>
      </c>
      <c r="G3666" s="23" t="str">
        <f>IF(OR(E3666="",E3666="!!!"),"",IF(OR(J3666=0,AND(J3666=1,K3666=1),AND(J3666=1,I3666="SBJ"),AND(J3666=1,I3666=0)),"?IN_FOCUS",IF(J3666&lt;=2,"?ACTIVATED",IF(J3666&lt;&gt;"","?FAMILIAR",IF(F3666="NEW",IF(ISNA(VLOOKUP(E3666,#REF!,1,FALSE())),"?TYPE_IDENTIFIABLE","?REFERENTIAL"),"_")))))</f>
        <v> </v>
      </c>
      <c r="H3666" s="24" t="str">
        <f>IF(J3666&lt;&gt;1,"",IF(I3666="SBJ","CB","?"))</f>
        <v> </v>
      </c>
      <c r="I3666" s="25" t="str">
        <f>IF(OR(E3666="",E3666="!!!",F3666="NEW"),"",INDEX(B3665:B$2,-1+SUMPRODUCT(MAX(ROW(E3665:E$2)*(E3666=E3665:E$2)))))</f>
        <v> </v>
      </c>
      <c r="J3666" s="25" t="str">
        <f>IF(OR(E3666="",E3666="!!!",F3666="NEW"),"",COUNTBLANK(OFFSET(A$1,,,SUMPRODUCT(MAX(ROW(E$2:E3666)*(E3666=E$2:E3666)))))-COUNTBLANK(OFFSET(A$1,,,SUMPRODUCT(MAX(ROW(E$1:E3665)*(E2=E$1:E3665))))))</f>
        <v> </v>
      </c>
      <c r="K3666" s="25" t="str">
        <f>IF(OR(E3666="",E3666="!!!",F3666="NEW"),"",INDEX(J$1:J3665,SUMPRODUCT(MAX(ROW(E$1:E3665)*(E3666=E$1:E3665)))))</f>
        <v> </v>
      </c>
      <c r="L3666" s="26"/>
    </row>
    <row r="3667" spans="1:12">
      <c r="A3667" s="20" t="s">
        <v>1691</v>
      </c>
    </row>
    <row r="3668" spans="1:12">
      <c r="A3668" s="20" t="s">
        <v>11</v>
      </c>
      <c r="E3668" s="21">
        <f>IF(D3668="?OLD","!!!","")</f>
        <v/>
      </c>
      <c r="F3668" s="22" t="str">
        <f>IF(OR(E3668="",E3668="!!!"),"",IF(NOT(ISNA(VLOOKUP(E3668,E$1:E3667,1,FALSE()))),"OLD",IF(AND(E3668&lt;&gt;"",E3668&lt;&gt;"!!!"),"NEW","")))</f>
        <v> </v>
      </c>
      <c r="G3668" s="23" t="str">
        <f>IF(OR(E3668="",E3668="!!!"),"",IF(OR(J3668=0,AND(J3668=1,K3668=1),AND(J3668=1,I3668="SBJ"),AND(J3668=1,I3668=0)),"?IN_FOCUS",IF(J3668&lt;=2,"?ACTIVATED",IF(J3668&lt;&gt;"","?FAMILIAR",IF(F3668="NEW",IF(ISNA(VLOOKUP(E3668,#REF!,1,FALSE())),"?TYPE_IDENTIFIABLE","?REFERENTIAL"),"_")))))</f>
        <v> </v>
      </c>
      <c r="H3668" s="24" t="str">
        <f>IF(J3668&lt;&gt;1,"",IF(I3668="SBJ","CB","?"))</f>
        <v> </v>
      </c>
      <c r="I3668" s="25" t="str">
        <f>IF(OR(E3668="",E3668="!!!",F3668="NEW"),"",INDEX(B3667:B$2,-1+SUMPRODUCT(MAX(ROW(E3667:E$2)*(E3668=E3667:E$2)))))</f>
        <v> </v>
      </c>
      <c r="J3668" s="25" t="str">
        <f>IF(OR(E3668="",E3668="!!!",F3668="NEW"),"",COUNTBLANK(OFFSET(A$1,,,SUMPRODUCT(MAX(ROW(E$2:E3668)*(E3668=E$2:E3668)))))-COUNTBLANK(OFFSET(A$1,,,SUMPRODUCT(MAX(ROW(E$1:E3667)*(E2=E$1:E3667))))))</f>
        <v> </v>
      </c>
      <c r="K3668" s="25" t="str">
        <f>IF(OR(E3668="",E3668="!!!",F3668="NEW"),"",INDEX(J$1:J3667,SUMPRODUCT(MAX(ROW(E$1:E3667)*(E3668=E$1:E3667)))))</f>
        <v> </v>
      </c>
      <c r="L3668" s="26"/>
    </row>
    <row r="3669" spans="1:12">
      <c r="A3669" s="20" t="s">
        <v>1681</v>
      </c>
      <c r="B3669" s="27" t="s">
        <v>680</v>
      </c>
      <c r="C3669" s="27" t="s">
        <v>545</v>
      </c>
      <c r="D3669" s="27" t="s">
        <v>524</v>
      </c>
      <c r="E3669" s="21">
        <f>IF(D3669="?OLD","!!!","")</f>
        <v/>
      </c>
      <c r="F3669" s="22" t="str">
        <f>IF(OR(E3669="",E3669="!!!"),"",IF(NOT(ISNA(VLOOKUP(E3669,E$1:E3668,1,FALSE()))),"OLD",IF(AND(E3669&lt;&gt;"",E3669&lt;&gt;"!!!"),"NEW","")))</f>
        <v> </v>
      </c>
      <c r="G3669" s="23" t="str">
        <f>IF(OR(E3669="",E3669="!!!"),"",IF(OR(J3669=0,AND(J3669=1,K3669=1),AND(J3669=1,I3669="SBJ"),AND(J3669=1,I3669=0)),"?IN_FOCUS",IF(J3669&lt;=2,"?ACTIVATED",IF(J3669&lt;&gt;"","?FAMILIAR",IF(F3669="NEW",IF(ISNA(VLOOKUP(E3669,#REF!,1,FALSE())),"?TYPE_IDENTIFIABLE","?REFERENTIAL"),"_")))))</f>
        <v> </v>
      </c>
      <c r="H3669" s="24" t="str">
        <f>IF(J3669&lt;&gt;1,"",IF(I3669="SBJ","CB","?"))</f>
        <v> </v>
      </c>
      <c r="I3669" s="25" t="str">
        <f>IF(OR(E3669="",E3669="!!!",F3669="NEW"),"",INDEX(B3668:B$2,-1+SUMPRODUCT(MAX(ROW(E3668:E$2)*(E3669=E3668:E$2)))))</f>
        <v> </v>
      </c>
      <c r="J3669" s="25" t="str">
        <f>IF(OR(E3669="",E3669="!!!",F3669="NEW"),"",COUNTBLANK(OFFSET(A$1,,,SUMPRODUCT(MAX(ROW(E$2:E3669)*(E3669=E$2:E3669)))))-COUNTBLANK(OFFSET(A$1,,,SUMPRODUCT(MAX(ROW(E$1:E3668)*(E2=E$1:E3668))))))</f>
        <v> </v>
      </c>
      <c r="K3669" s="25" t="str">
        <f>IF(OR(E3669="",E3669="!!!",F3669="NEW"),"",INDEX(J$1:J3668,SUMPRODUCT(MAX(ROW(E$1:E3668)*(E3669=E$1:E3668)))))</f>
        <v> </v>
      </c>
      <c r="L3669" s="26"/>
    </row>
    <row r="3670" spans="1:12">
      <c r="A3670" s="20" t="s">
        <v>1692</v>
      </c>
      <c r="E3670" s="21">
        <f>IF(D3670="?OLD","!!!","")</f>
        <v/>
      </c>
      <c r="F3670" s="22" t="str">
        <f>IF(OR(E3670="",E3670="!!!"),"",IF(NOT(ISNA(VLOOKUP(E3670,E$1:E3669,1,FALSE()))),"OLD",IF(AND(E3670&lt;&gt;"",E3670&lt;&gt;"!!!"),"NEW","")))</f>
        <v> </v>
      </c>
      <c r="G3670" s="23" t="str">
        <f>IF(OR(E3670="",E3670="!!!"),"",IF(OR(J3670=0,AND(J3670=1,K3670=1),AND(J3670=1,I3670="SBJ"),AND(J3670=1,I3670=0)),"?IN_FOCUS",IF(J3670&lt;=2,"?ACTIVATED",IF(J3670&lt;&gt;"","?FAMILIAR",IF(F3670="NEW",IF(ISNA(VLOOKUP(E3670,#REF!,1,FALSE())),"?TYPE_IDENTIFIABLE","?REFERENTIAL"),"_")))))</f>
        <v> </v>
      </c>
      <c r="H3670" s="24" t="str">
        <f>IF(J3670&lt;&gt;1,"",IF(I3670="SBJ","CB","?"))</f>
        <v> </v>
      </c>
      <c r="I3670" s="25" t="str">
        <f>IF(OR(E3670="",E3670="!!!",F3670="NEW"),"",INDEX(B3669:B$2,-1+SUMPRODUCT(MAX(ROW(E3669:E$2)*(E3670=E3669:E$2)))))</f>
        <v> </v>
      </c>
      <c r="J3670" s="25" t="str">
        <f>IF(OR(E3670="",E3670="!!!",F3670="NEW"),"",COUNTBLANK(OFFSET(A$1,,,SUMPRODUCT(MAX(ROW(E$2:E3670)*(E3670=E$2:E3670)))))-COUNTBLANK(OFFSET(A$1,,,SUMPRODUCT(MAX(ROW(E$1:E3669)*(E2=E$1:E3669))))))</f>
        <v> </v>
      </c>
      <c r="K3670" s="25" t="str">
        <f>IF(OR(E3670="",E3670="!!!",F3670="NEW"),"",INDEX(J$1:J3669,SUMPRODUCT(MAX(ROW(E$1:E3669)*(E3670=E$1:E3669)))))</f>
        <v> </v>
      </c>
      <c r="L3670" s="26"/>
    </row>
    <row r="3671" spans="1:12">
      <c r="A3671" s="20" t="s">
        <v>843</v>
      </c>
      <c r="E3671" s="21">
        <f>IF(D3671="?OLD","!!!","")</f>
        <v/>
      </c>
      <c r="F3671" s="22" t="str">
        <f>IF(OR(E3671="",E3671="!!!"),"",IF(NOT(ISNA(VLOOKUP(E3671,E$1:E3670,1,FALSE()))),"OLD",IF(AND(E3671&lt;&gt;"",E3671&lt;&gt;"!!!"),"NEW","")))</f>
        <v> </v>
      </c>
      <c r="G3671" s="23" t="str">
        <f>IF(OR(E3671="",E3671="!!!"),"",IF(OR(J3671=0,AND(J3671=1,K3671=1),AND(J3671=1,I3671="SBJ"),AND(J3671=1,I3671=0)),"?IN_FOCUS",IF(J3671&lt;=2,"?ACTIVATED",IF(J3671&lt;&gt;"","?FAMILIAR",IF(F3671="NEW",IF(ISNA(VLOOKUP(E3671,#REF!,1,FALSE())),"?TYPE_IDENTIFIABLE","?REFERENTIAL"),"_")))))</f>
        <v> </v>
      </c>
      <c r="H3671" s="24" t="str">
        <f>IF(J3671&lt;&gt;1,"",IF(I3671="SBJ","CB","?"))</f>
        <v> </v>
      </c>
      <c r="I3671" s="25" t="str">
        <f>IF(OR(E3671="",E3671="!!!",F3671="NEW"),"",INDEX(B3670:B$2,-1+SUMPRODUCT(MAX(ROW(E3670:E$2)*(E3671=E3670:E$2)))))</f>
        <v> </v>
      </c>
      <c r="J3671" s="25" t="str">
        <f>IF(OR(E3671="",E3671="!!!",F3671="NEW"),"",COUNTBLANK(OFFSET(A$1,,,SUMPRODUCT(MAX(ROW(E$2:E3671)*(E3671=E$2:E3671)))))-COUNTBLANK(OFFSET(A$1,,,SUMPRODUCT(MAX(ROW(E$1:E3670)*(E2=E$1:E3670))))))</f>
        <v> </v>
      </c>
      <c r="K3671" s="25" t="str">
        <f>IF(OR(E3671="",E3671="!!!",F3671="NEW"),"",INDEX(J$1:J3670,SUMPRODUCT(MAX(ROW(E$1:E3670)*(E3671=E$1:E3670)))))</f>
        <v> </v>
      </c>
      <c r="L3671" s="26"/>
    </row>
    <row r="3672" spans="1:12">
      <c r="A3672" s="20" t="s">
        <v>1693</v>
      </c>
      <c r="B3672" s="27" t="s">
        <v>667</v>
      </c>
      <c r="C3672" s="27" t="s">
        <v>548</v>
      </c>
      <c r="D3672" s="27" t="s">
        <v>524</v>
      </c>
      <c r="E3672" s="21">
        <f>IF(D3672="?OLD","!!!","")</f>
        <v/>
      </c>
      <c r="F3672" s="22" t="str">
        <f>IF(OR(E3672="",E3672="!!!"),"",IF(NOT(ISNA(VLOOKUP(E3672,E$1:E3671,1,FALSE()))),"OLD",IF(AND(E3672&lt;&gt;"",E3672&lt;&gt;"!!!"),"NEW","")))</f>
        <v> </v>
      </c>
      <c r="G3672" s="23" t="str">
        <f>IF(OR(E3672="",E3672="!!!"),"",IF(OR(J3672=0,AND(J3672=1,K3672=1),AND(J3672=1,I3672="SBJ"),AND(J3672=1,I3672=0)),"?IN_FOCUS",IF(J3672&lt;=2,"?ACTIVATED",IF(J3672&lt;&gt;"","?FAMILIAR",IF(F3672="NEW",IF(ISNA(VLOOKUP(E3672,#REF!,1,FALSE())),"?TYPE_IDENTIFIABLE","?REFERENTIAL"),"_")))))</f>
        <v> </v>
      </c>
      <c r="H3672" s="24" t="str">
        <f>IF(J3672&lt;&gt;1,"",IF(I3672="SBJ","CB","?"))</f>
        <v> </v>
      </c>
      <c r="I3672" s="25" t="str">
        <f>IF(OR(E3672="",E3672="!!!",F3672="NEW"),"",INDEX(B3671:B$2,-1+SUMPRODUCT(MAX(ROW(E3671:E$2)*(E3672=E3671:E$2)))))</f>
        <v> </v>
      </c>
      <c r="J3672" s="25" t="str">
        <f>IF(OR(E3672="",E3672="!!!",F3672="NEW"),"",COUNTBLANK(OFFSET(A$1,,,SUMPRODUCT(MAX(ROW(E$2:E3672)*(E3672=E$2:E3672)))))-COUNTBLANK(OFFSET(A$1,,,SUMPRODUCT(MAX(ROW(E$1:E3671)*(E2=E$1:E3671))))))</f>
        <v> </v>
      </c>
      <c r="K3672" s="25" t="str">
        <f>IF(OR(E3672="",E3672="!!!",F3672="NEW"),"",INDEX(J$1:J3671,SUMPRODUCT(MAX(ROW(E$1:E3671)*(E3672=E$1:E3671)))))</f>
        <v> </v>
      </c>
      <c r="L3672" s="26"/>
    </row>
    <row r="3673" spans="1:12">
      <c r="A3673" s="20" t="s">
        <v>706</v>
      </c>
      <c r="B3673" s="27" t="s">
        <v>544</v>
      </c>
      <c r="C3673" s="27" t="s">
        <v>548</v>
      </c>
      <c r="D3673" s="27" t="s">
        <v>524</v>
      </c>
      <c r="E3673" s="21">
        <f>IF(D3673="?OLD","!!!","")</f>
        <v/>
      </c>
      <c r="F3673" s="22" t="str">
        <f>IF(OR(E3673="",E3673="!!!"),"",IF(NOT(ISNA(VLOOKUP(E3673,E$1:E3672,1,FALSE()))),"OLD",IF(AND(E3673&lt;&gt;"",E3673&lt;&gt;"!!!"),"NEW","")))</f>
        <v> </v>
      </c>
      <c r="G3673" s="23" t="str">
        <f>IF(OR(E3673="",E3673="!!!"),"",IF(OR(J3673=0,AND(J3673=1,K3673=1),AND(J3673=1,I3673="SBJ"),AND(J3673=1,I3673=0)),"?IN_FOCUS",IF(J3673&lt;=2,"?ACTIVATED",IF(J3673&lt;&gt;"","?FAMILIAR",IF(F3673="NEW",IF(ISNA(VLOOKUP(E3673,#REF!,1,FALSE())),"?TYPE_IDENTIFIABLE","?REFERENTIAL"),"_")))))</f>
        <v> </v>
      </c>
      <c r="H3673" s="24" t="str">
        <f>IF(J3673&lt;&gt;1,"",IF(I3673="SBJ","CB","?"))</f>
        <v> </v>
      </c>
      <c r="I3673" s="25" t="str">
        <f>IF(OR(E3673="",E3673="!!!",F3673="NEW"),"",INDEX(B3672:B$2,-1+SUMPRODUCT(MAX(ROW(E3672:E$2)*(E3673=E3672:E$2)))))</f>
        <v> </v>
      </c>
      <c r="J3673" s="25" t="str">
        <f>IF(OR(E3673="",E3673="!!!",F3673="NEW"),"",COUNTBLANK(OFFSET(A$1,,,SUMPRODUCT(MAX(ROW(E$2:E3673)*(E3673=E$2:E3673)))))-COUNTBLANK(OFFSET(A$1,,,SUMPRODUCT(MAX(ROW(E$1:E3672)*(E2=E$1:E3672))))))</f>
        <v> </v>
      </c>
      <c r="K3673" s="25" t="str">
        <f>IF(OR(E3673="",E3673="!!!",F3673="NEW"),"",INDEX(J$1:J3672,SUMPRODUCT(MAX(ROW(E$1:E3672)*(E3673=E$1:E3672)))))</f>
        <v> </v>
      </c>
      <c r="L3673" s="26"/>
    </row>
    <row r="3674" spans="1:12">
      <c r="A3674" s="20" t="s">
        <v>1694</v>
      </c>
      <c r="B3674" s="27" t="s">
        <v>544</v>
      </c>
      <c r="C3674" s="27" t="s">
        <v>548</v>
      </c>
      <c r="D3674" s="27" t="s">
        <v>524</v>
      </c>
      <c r="E3674" s="21">
        <f>IF(D3674="?OLD","!!!","")</f>
        <v/>
      </c>
      <c r="F3674" s="22" t="str">
        <f>IF(OR(E3674="",E3674="!!!"),"",IF(NOT(ISNA(VLOOKUP(E3674,E$1:E3673,1,FALSE()))),"OLD",IF(AND(E3674&lt;&gt;"",E3674&lt;&gt;"!!!"),"NEW","")))</f>
        <v> </v>
      </c>
      <c r="G3674" s="23" t="str">
        <f>IF(OR(E3674="",E3674="!!!"),"",IF(OR(J3674=0,AND(J3674=1,K3674=1),AND(J3674=1,I3674="SBJ"),AND(J3674=1,I3674=0)),"?IN_FOCUS",IF(J3674&lt;=2,"?ACTIVATED",IF(J3674&lt;&gt;"","?FAMILIAR",IF(F3674="NEW",IF(ISNA(VLOOKUP(E3674,#REF!,1,FALSE())),"?TYPE_IDENTIFIABLE","?REFERENTIAL"),"_")))))</f>
        <v> </v>
      </c>
      <c r="H3674" s="24" t="str">
        <f>IF(J3674&lt;&gt;1,"",IF(I3674="SBJ","CB","?"))</f>
        <v> </v>
      </c>
      <c r="I3674" s="25" t="str">
        <f>IF(OR(E3674="",E3674="!!!",F3674="NEW"),"",INDEX(B3673:B$2,-1+SUMPRODUCT(MAX(ROW(E3673:E$2)*(E3674=E3673:E$2)))))</f>
        <v> </v>
      </c>
      <c r="J3674" s="25" t="str">
        <f>IF(OR(E3674="",E3674="!!!",F3674="NEW"),"",COUNTBLANK(OFFSET(A$1,,,SUMPRODUCT(MAX(ROW(E$2:E3674)*(E3674=E$2:E3674)))))-COUNTBLANK(OFFSET(A$1,,,SUMPRODUCT(MAX(ROW(E$1:E3673)*(E2=E$1:E3673))))))</f>
        <v> </v>
      </c>
      <c r="K3674" s="25" t="str">
        <f>IF(OR(E3674="",E3674="!!!",F3674="NEW"),"",INDEX(J$1:J3673,SUMPRODUCT(MAX(ROW(E$1:E3673)*(E3674=E$1:E3673)))))</f>
        <v> </v>
      </c>
      <c r="L3674" s="26"/>
    </row>
    <row r="3675" spans="1:12">
      <c r="A3675" s="20" t="s">
        <v>1695</v>
      </c>
      <c r="B3675" s="27" t="s">
        <v>544</v>
      </c>
      <c r="C3675" s="27" t="s">
        <v>548</v>
      </c>
      <c r="D3675" s="27" t="s">
        <v>524</v>
      </c>
      <c r="E3675" s="21">
        <f>IF(D3675="?OLD","!!!","")</f>
        <v/>
      </c>
      <c r="F3675" s="22" t="str">
        <f>IF(OR(E3675="",E3675="!!!"),"",IF(NOT(ISNA(VLOOKUP(E3675,E$1:E3674,1,FALSE()))),"OLD",IF(AND(E3675&lt;&gt;"",E3675&lt;&gt;"!!!"),"NEW","")))</f>
        <v> </v>
      </c>
      <c r="G3675" s="23" t="str">
        <f>IF(OR(E3675="",E3675="!!!"),"",IF(OR(J3675=0,AND(J3675=1,K3675=1),AND(J3675=1,I3675="SBJ"),AND(J3675=1,I3675=0)),"?IN_FOCUS",IF(J3675&lt;=2,"?ACTIVATED",IF(J3675&lt;&gt;"","?FAMILIAR",IF(F3675="NEW",IF(ISNA(VLOOKUP(E3675,#REF!,1,FALSE())),"?TYPE_IDENTIFIABLE","?REFERENTIAL"),"_")))))</f>
        <v> </v>
      </c>
      <c r="H3675" s="24" t="str">
        <f>IF(J3675&lt;&gt;1,"",IF(I3675="SBJ","CB","?"))</f>
        <v> </v>
      </c>
      <c r="I3675" s="25" t="str">
        <f>IF(OR(E3675="",E3675="!!!",F3675="NEW"),"",INDEX(B3674:B$2,-1+SUMPRODUCT(MAX(ROW(E3674:E$2)*(E3675=E3674:E$2)))))</f>
        <v> </v>
      </c>
      <c r="J3675" s="25" t="str">
        <f>IF(OR(E3675="",E3675="!!!",F3675="NEW"),"",COUNTBLANK(OFFSET(A$1,,,SUMPRODUCT(MAX(ROW(E$2:E3675)*(E3675=E$2:E3675)))))-COUNTBLANK(OFFSET(A$1,,,SUMPRODUCT(MAX(ROW(E$1:E3674)*(E2=E$1:E3674))))))</f>
        <v> </v>
      </c>
      <c r="K3675" s="25" t="str">
        <f>IF(OR(E3675="",E3675="!!!",F3675="NEW"),"",INDEX(J$1:J3674,SUMPRODUCT(MAX(ROW(E$1:E3674)*(E3675=E$1:E3674)))))</f>
        <v> </v>
      </c>
      <c r="L3675" s="26"/>
    </row>
    <row r="3676" spans="1:12">
      <c r="A3676" s="20" t="s">
        <v>1696</v>
      </c>
      <c r="B3676" s="27" t="s">
        <v>544</v>
      </c>
      <c r="C3676" s="27" t="s">
        <v>548</v>
      </c>
      <c r="D3676" s="27" t="s">
        <v>524</v>
      </c>
      <c r="E3676" s="21">
        <f>IF(D3676="?OLD","!!!","")</f>
        <v/>
      </c>
      <c r="F3676" s="22" t="str">
        <f>IF(OR(E3676="",E3676="!!!"),"",IF(NOT(ISNA(VLOOKUP(E3676,E$1:E3675,1,FALSE()))),"OLD",IF(AND(E3676&lt;&gt;"",E3676&lt;&gt;"!!!"),"NEW","")))</f>
        <v> </v>
      </c>
      <c r="G3676" s="23" t="str">
        <f>IF(OR(E3676="",E3676="!!!"),"",IF(OR(J3676=0,AND(J3676=1,K3676=1),AND(J3676=1,I3676="SBJ"),AND(J3676=1,I3676=0)),"?IN_FOCUS",IF(J3676&lt;=2,"?ACTIVATED",IF(J3676&lt;&gt;"","?FAMILIAR",IF(F3676="NEW",IF(ISNA(VLOOKUP(E3676,#REF!,1,FALSE())),"?TYPE_IDENTIFIABLE","?REFERENTIAL"),"_")))))</f>
        <v> </v>
      </c>
      <c r="H3676" s="24" t="str">
        <f>IF(J3676&lt;&gt;1,"",IF(I3676="SBJ","CB","?"))</f>
        <v> </v>
      </c>
      <c r="I3676" s="25" t="str">
        <f>IF(OR(E3676="",E3676="!!!",F3676="NEW"),"",INDEX(B3675:B$2,-1+SUMPRODUCT(MAX(ROW(E3675:E$2)*(E3676=E3675:E$2)))))</f>
        <v> </v>
      </c>
      <c r="J3676" s="25" t="str">
        <f>IF(OR(E3676="",E3676="!!!",F3676="NEW"),"",COUNTBLANK(OFFSET(A$1,,,SUMPRODUCT(MAX(ROW(E$2:E3676)*(E3676=E$2:E3676)))))-COUNTBLANK(OFFSET(A$1,,,SUMPRODUCT(MAX(ROW(E$1:E3675)*(E2=E$1:E3675))))))</f>
        <v> </v>
      </c>
      <c r="K3676" s="25" t="str">
        <f>IF(OR(E3676="",E3676="!!!",F3676="NEW"),"",INDEX(J$1:J3675,SUMPRODUCT(MAX(ROW(E$1:E3675)*(E3676=E$1:E3675)))))</f>
        <v> </v>
      </c>
      <c r="L3676" s="26"/>
    </row>
    <row r="3677" spans="1:12">
      <c r="A3677" s="20" t="s">
        <v>1697</v>
      </c>
      <c r="B3677" s="27" t="s">
        <v>544</v>
      </c>
      <c r="C3677" s="27" t="s">
        <v>548</v>
      </c>
      <c r="D3677" s="27" t="s">
        <v>524</v>
      </c>
      <c r="E3677" s="21">
        <f>IF(D3677="?OLD","!!!","")</f>
        <v/>
      </c>
      <c r="F3677" s="22" t="str">
        <f>IF(OR(E3677="",E3677="!!!"),"",IF(NOT(ISNA(VLOOKUP(E3677,E$1:E3676,1,FALSE()))),"OLD",IF(AND(E3677&lt;&gt;"",E3677&lt;&gt;"!!!"),"NEW","")))</f>
        <v> </v>
      </c>
      <c r="G3677" s="23" t="str">
        <f>IF(OR(E3677="",E3677="!!!"),"",IF(OR(J3677=0,AND(J3677=1,K3677=1),AND(J3677=1,I3677="SBJ"),AND(J3677=1,I3677=0)),"?IN_FOCUS",IF(J3677&lt;=2,"?ACTIVATED",IF(J3677&lt;&gt;"","?FAMILIAR",IF(F3677="NEW",IF(ISNA(VLOOKUP(E3677,#REF!,1,FALSE())),"?TYPE_IDENTIFIABLE","?REFERENTIAL"),"_")))))</f>
        <v> </v>
      </c>
      <c r="H3677" s="24" t="str">
        <f>IF(J3677&lt;&gt;1,"",IF(I3677="SBJ","CB","?"))</f>
        <v> </v>
      </c>
      <c r="I3677" s="25" t="str">
        <f>IF(OR(E3677="",E3677="!!!",F3677="NEW"),"",INDEX(B3676:B$2,-1+SUMPRODUCT(MAX(ROW(E3676:E$2)*(E3677=E3676:E$2)))))</f>
        <v> </v>
      </c>
      <c r="J3677" s="25" t="str">
        <f>IF(OR(E3677="",E3677="!!!",F3677="NEW"),"",COUNTBLANK(OFFSET(A$1,,,SUMPRODUCT(MAX(ROW(E$2:E3677)*(E3677=E$2:E3677)))))-COUNTBLANK(OFFSET(A$1,,,SUMPRODUCT(MAX(ROW(E$1:E3676)*(E2=E$1:E3676))))))</f>
        <v> </v>
      </c>
      <c r="K3677" s="25" t="str">
        <f>IF(OR(E3677="",E3677="!!!",F3677="NEW"),"",INDEX(J$1:J3676,SUMPRODUCT(MAX(ROW(E$1:E3676)*(E3677=E$1:E3676)))))</f>
        <v> </v>
      </c>
      <c r="L3677" s="26"/>
    </row>
    <row r="3678" spans="1:12">
      <c r="A3678" s="20" t="s">
        <v>1698</v>
      </c>
      <c r="B3678" s="27" t="s">
        <v>544</v>
      </c>
      <c r="C3678" s="27" t="s">
        <v>548</v>
      </c>
      <c r="D3678" s="27" t="s">
        <v>524</v>
      </c>
      <c r="E3678" s="21">
        <f>IF(D3678="?OLD","!!!","")</f>
        <v/>
      </c>
      <c r="F3678" s="22" t="str">
        <f>IF(OR(E3678="",E3678="!!!"),"",IF(NOT(ISNA(VLOOKUP(E3678,E$1:E3677,1,FALSE()))),"OLD",IF(AND(E3678&lt;&gt;"",E3678&lt;&gt;"!!!"),"NEW","")))</f>
        <v> </v>
      </c>
      <c r="G3678" s="23" t="str">
        <f>IF(OR(E3678="",E3678="!!!"),"",IF(OR(J3678=0,AND(J3678=1,K3678=1),AND(J3678=1,I3678="SBJ"),AND(J3678=1,I3678=0)),"?IN_FOCUS",IF(J3678&lt;=2,"?ACTIVATED",IF(J3678&lt;&gt;"","?FAMILIAR",IF(F3678="NEW",IF(ISNA(VLOOKUP(E3678,#REF!,1,FALSE())),"?TYPE_IDENTIFIABLE","?REFERENTIAL"),"_")))))</f>
        <v> </v>
      </c>
      <c r="H3678" s="24" t="str">
        <f>IF(J3678&lt;&gt;1,"",IF(I3678="SBJ","CB","?"))</f>
        <v> </v>
      </c>
      <c r="I3678" s="25" t="str">
        <f>IF(OR(E3678="",E3678="!!!",F3678="NEW"),"",INDEX(B3677:B$2,-1+SUMPRODUCT(MAX(ROW(E3677:E$2)*(E3678=E3677:E$2)))))</f>
        <v> </v>
      </c>
      <c r="J3678" s="25" t="str">
        <f>IF(OR(E3678="",E3678="!!!",F3678="NEW"),"",COUNTBLANK(OFFSET(A$1,,,SUMPRODUCT(MAX(ROW(E$2:E3678)*(E3678=E$2:E3678)))))-COUNTBLANK(OFFSET(A$1,,,SUMPRODUCT(MAX(ROW(E$1:E3677)*(E2=E$1:E3677))))))</f>
        <v> </v>
      </c>
      <c r="K3678" s="25" t="str">
        <f>IF(OR(E3678="",E3678="!!!",F3678="NEW"),"",INDEX(J$1:J3677,SUMPRODUCT(MAX(ROW(E$1:E3677)*(E3678=E$1:E3677)))))</f>
        <v> </v>
      </c>
      <c r="L3678" s="26"/>
    </row>
    <row r="3679" spans="1:12">
      <c r="A3679" s="20" t="s">
        <v>549</v>
      </c>
      <c r="E3679" s="21">
        <f>IF(D3679="?OLD","!!!","")</f>
        <v/>
      </c>
      <c r="F3679" s="22" t="str">
        <f>IF(OR(E3679="",E3679="!!!"),"",IF(NOT(ISNA(VLOOKUP(E3679,E$1:E3678,1,FALSE()))),"OLD",IF(AND(E3679&lt;&gt;"",E3679&lt;&gt;"!!!"),"NEW","")))</f>
        <v> </v>
      </c>
      <c r="G3679" s="23" t="str">
        <f>IF(OR(E3679="",E3679="!!!"),"",IF(OR(J3679=0,AND(J3679=1,K3679=1),AND(J3679=1,I3679="SBJ"),AND(J3679=1,I3679=0)),"?IN_FOCUS",IF(J3679&lt;=2,"?ACTIVATED",IF(J3679&lt;&gt;"","?FAMILIAR",IF(F3679="NEW",IF(ISNA(VLOOKUP(E3679,#REF!,1,FALSE())),"?TYPE_IDENTIFIABLE","?REFERENTIAL"),"_")))))</f>
        <v> </v>
      </c>
      <c r="H3679" s="24" t="str">
        <f>IF(J3679&lt;&gt;1,"",IF(I3679="SBJ","CB","?"))</f>
        <v> </v>
      </c>
      <c r="I3679" s="25" t="str">
        <f>IF(OR(E3679="",E3679="!!!",F3679="NEW"),"",INDEX(B3678:B$2,-1+SUMPRODUCT(MAX(ROW(E3678:E$2)*(E3679=E3678:E$2)))))</f>
        <v> </v>
      </c>
      <c r="J3679" s="25" t="str">
        <f>IF(OR(E3679="",E3679="!!!",F3679="NEW"),"",COUNTBLANK(OFFSET(A$1,,,SUMPRODUCT(MAX(ROW(E$2:E3679)*(E3679=E$2:E3679)))))-COUNTBLANK(OFFSET(A$1,,,SUMPRODUCT(MAX(ROW(E$1:E3678)*(E2=E$1:E3678))))))</f>
        <v> </v>
      </c>
      <c r="K3679" s="25" t="str">
        <f>IF(OR(E3679="",E3679="!!!",F3679="NEW"),"",INDEX(J$1:J3678,SUMPRODUCT(MAX(ROW(E$1:E3678)*(E3679=E$1:E3678)))))</f>
        <v> </v>
      </c>
      <c r="L3679" s="26"/>
    </row>
    <row r="3680" spans="1:12">
      <c r="A3680" s="20" t="s">
        <v>581</v>
      </c>
      <c r="E3680" s="21">
        <f>IF(D3680="?OLD","!!!","")</f>
        <v/>
      </c>
      <c r="F3680" s="22" t="str">
        <f>IF(OR(E3680="",E3680="!!!"),"",IF(NOT(ISNA(VLOOKUP(E3680,E$1:E3679,1,FALSE()))),"OLD",IF(AND(E3680&lt;&gt;"",E3680&lt;&gt;"!!!"),"NEW","")))</f>
        <v> </v>
      </c>
      <c r="G3680" s="23" t="str">
        <f>IF(OR(E3680="",E3680="!!!"),"",IF(OR(J3680=0,AND(J3680=1,K3680=1),AND(J3680=1,I3680="SBJ"),AND(J3680=1,I3680=0)),"?IN_FOCUS",IF(J3680&lt;=2,"?ACTIVATED",IF(J3680&lt;&gt;"","?FAMILIAR",IF(F3680="NEW",IF(ISNA(VLOOKUP(E3680,#REF!,1,FALSE())),"?TYPE_IDENTIFIABLE","?REFERENTIAL"),"_")))))</f>
        <v> </v>
      </c>
      <c r="H3680" s="24" t="str">
        <f>IF(J3680&lt;&gt;1,"",IF(I3680="SBJ","CB","?"))</f>
        <v> </v>
      </c>
      <c r="I3680" s="25" t="str">
        <f>IF(OR(E3680="",E3680="!!!",F3680="NEW"),"",INDEX(B3679:B$2,-1+SUMPRODUCT(MAX(ROW(E3679:E$2)*(E3680=E3679:E$2)))))</f>
        <v> </v>
      </c>
      <c r="J3680" s="25" t="str">
        <f>IF(OR(E3680="",E3680="!!!",F3680="NEW"),"",COUNTBLANK(OFFSET(A$1,,,SUMPRODUCT(MAX(ROW(E$2:E3680)*(E3680=E$2:E3680)))))-COUNTBLANK(OFFSET(A$1,,,SUMPRODUCT(MAX(ROW(E$1:E3679)*(E2=E$1:E3679))))))</f>
        <v> </v>
      </c>
      <c r="K3680" s="25" t="str">
        <f>IF(OR(E3680="",E3680="!!!",F3680="NEW"),"",INDEX(J$1:J3679,SUMPRODUCT(MAX(ROW(E$1:E3679)*(E3680=E$1:E3679)))))</f>
        <v> </v>
      </c>
      <c r="L3680" s="26"/>
    </row>
    <row r="3681" spans="1:12">
      <c r="A3681" s="20" t="s">
        <v>581</v>
      </c>
      <c r="E3681" s="21">
        <f>IF(D3681="?OLD","!!!","")</f>
        <v/>
      </c>
      <c r="F3681" s="22" t="str">
        <f>IF(OR(E3681="",E3681="!!!"),"",IF(NOT(ISNA(VLOOKUP(E3681,E$1:E3680,1,FALSE()))),"OLD",IF(AND(E3681&lt;&gt;"",E3681&lt;&gt;"!!!"),"NEW","")))</f>
        <v> </v>
      </c>
      <c r="G3681" s="23" t="str">
        <f>IF(OR(E3681="",E3681="!!!"),"",IF(OR(J3681=0,AND(J3681=1,K3681=1),AND(J3681=1,I3681="SBJ"),AND(J3681=1,I3681=0)),"?IN_FOCUS",IF(J3681&lt;=2,"?ACTIVATED",IF(J3681&lt;&gt;"","?FAMILIAR",IF(F3681="NEW",IF(ISNA(VLOOKUP(E3681,#REF!,1,FALSE())),"?TYPE_IDENTIFIABLE","?REFERENTIAL"),"_")))))</f>
        <v> </v>
      </c>
      <c r="H3681" s="24" t="str">
        <f>IF(J3681&lt;&gt;1,"",IF(I3681="SBJ","CB","?"))</f>
        <v> </v>
      </c>
      <c r="I3681" s="25" t="str">
        <f>IF(OR(E3681="",E3681="!!!",F3681="NEW"),"",INDEX(B3680:B$2,-1+SUMPRODUCT(MAX(ROW(E3680:E$2)*(E3681=E3680:E$2)))))</f>
        <v> </v>
      </c>
      <c r="J3681" s="25" t="str">
        <f>IF(OR(E3681="",E3681="!!!",F3681="NEW"),"",COUNTBLANK(OFFSET(A$1,,,SUMPRODUCT(MAX(ROW(E$2:E3681)*(E3681=E$2:E3681)))))-COUNTBLANK(OFFSET(A$1,,,SUMPRODUCT(MAX(ROW(E$1:E3680)*(E2=E$1:E3680))))))</f>
        <v> </v>
      </c>
      <c r="K3681" s="25" t="str">
        <f>IF(OR(E3681="",E3681="!!!",F3681="NEW"),"",INDEX(J$1:J3680,SUMPRODUCT(MAX(ROW(E$1:E3680)*(E3681=E$1:E3680)))))</f>
        <v> </v>
      </c>
      <c r="L3681" s="26"/>
    </row>
    <row r="3682" spans="1:12">
      <c r="A3682" s="20" t="s">
        <v>1699</v>
      </c>
      <c r="E3682" s="21">
        <f>IF(D3682="?OLD","!!!","")</f>
        <v/>
      </c>
      <c r="F3682" s="22" t="str">
        <f>IF(OR(E3682="",E3682="!!!"),"",IF(NOT(ISNA(VLOOKUP(E3682,E$1:E3681,1,FALSE()))),"OLD",IF(AND(E3682&lt;&gt;"",E3682&lt;&gt;"!!!"),"NEW","")))</f>
        <v> </v>
      </c>
      <c r="G3682" s="23" t="str">
        <f>IF(OR(E3682="",E3682="!!!"),"",IF(OR(J3682=0,AND(J3682=1,K3682=1),AND(J3682=1,I3682="SBJ"),AND(J3682=1,I3682=0)),"?IN_FOCUS",IF(J3682&lt;=2,"?ACTIVATED",IF(J3682&lt;&gt;"","?FAMILIAR",IF(F3682="NEW",IF(ISNA(VLOOKUP(E3682,#REF!,1,FALSE())),"?TYPE_IDENTIFIABLE","?REFERENTIAL"),"_")))))</f>
        <v> </v>
      </c>
      <c r="H3682" s="24" t="str">
        <f>IF(J3682&lt;&gt;1,"",IF(I3682="SBJ","CB","?"))</f>
        <v> </v>
      </c>
      <c r="I3682" s="25" t="str">
        <f>IF(OR(E3682="",E3682="!!!",F3682="NEW"),"",INDEX(B3681:B$2,-1+SUMPRODUCT(MAX(ROW(E3681:E$2)*(E3682=E3681:E$2)))))</f>
        <v> </v>
      </c>
      <c r="J3682" s="25" t="str">
        <f>IF(OR(E3682="",E3682="!!!",F3682="NEW"),"",COUNTBLANK(OFFSET(A$1,,,SUMPRODUCT(MAX(ROW(E$2:E3682)*(E3682=E$2:E3682)))))-COUNTBLANK(OFFSET(A$1,,,SUMPRODUCT(MAX(ROW(E$1:E3681)*(E2=E$1:E3681))))))</f>
        <v> </v>
      </c>
      <c r="K3682" s="25" t="str">
        <f>IF(OR(E3682="",E3682="!!!",F3682="NEW"),"",INDEX(J$1:J3681,SUMPRODUCT(MAX(ROW(E$1:E3681)*(E3682=E$1:E3681)))))</f>
        <v> </v>
      </c>
      <c r="L3682" s="26"/>
    </row>
    <row r="3683" spans="1:12">
      <c r="A3683" s="20" t="s">
        <v>730</v>
      </c>
      <c r="E3683" s="21">
        <f>IF(D3683="?OLD","!!!","")</f>
        <v/>
      </c>
      <c r="F3683" s="22" t="str">
        <f>IF(OR(E3683="",E3683="!!!"),"",IF(NOT(ISNA(VLOOKUP(E3683,E$1:E3682,1,FALSE()))),"OLD",IF(AND(E3683&lt;&gt;"",E3683&lt;&gt;"!!!"),"NEW","")))</f>
        <v> </v>
      </c>
      <c r="G3683" s="23" t="str">
        <f>IF(OR(E3683="",E3683="!!!"),"",IF(OR(J3683=0,AND(J3683=1,K3683=1),AND(J3683=1,I3683="SBJ"),AND(J3683=1,I3683=0)),"?IN_FOCUS",IF(J3683&lt;=2,"?ACTIVATED",IF(J3683&lt;&gt;"","?FAMILIAR",IF(F3683="NEW",IF(ISNA(VLOOKUP(E3683,#REF!,1,FALSE())),"?TYPE_IDENTIFIABLE","?REFERENTIAL"),"_")))))</f>
        <v> </v>
      </c>
      <c r="H3683" s="24" t="str">
        <f>IF(J3683&lt;&gt;1,"",IF(I3683="SBJ","CB","?"))</f>
        <v> </v>
      </c>
      <c r="I3683" s="25" t="str">
        <f>IF(OR(E3683="",E3683="!!!",F3683="NEW"),"",INDEX(B3682:B$2,-1+SUMPRODUCT(MAX(ROW(E3682:E$2)*(E3683=E3682:E$2)))))</f>
        <v> </v>
      </c>
      <c r="J3683" s="25" t="str">
        <f>IF(OR(E3683="",E3683="!!!",F3683="NEW"),"",COUNTBLANK(OFFSET(A$1,,,SUMPRODUCT(MAX(ROW(E$2:E3683)*(E3683=E$2:E3683)))))-COUNTBLANK(OFFSET(A$1,,,SUMPRODUCT(MAX(ROW(E$1:E3682)*(E2=E$1:E3682))))))</f>
        <v> </v>
      </c>
      <c r="K3683" s="25" t="str">
        <f>IF(OR(E3683="",E3683="!!!",F3683="NEW"),"",INDEX(J$1:J3682,SUMPRODUCT(MAX(ROW(E$1:E3682)*(E3683=E$1:E3682)))))</f>
        <v> </v>
      </c>
      <c r="L3683" s="26"/>
    </row>
    <row r="3684" spans="1:12">
      <c r="A3684" s="20" t="s">
        <v>866</v>
      </c>
      <c r="B3684" s="27" t="s">
        <v>667</v>
      </c>
      <c r="C3684" s="27" t="s">
        <v>545</v>
      </c>
      <c r="D3684" s="27" t="s">
        <v>524</v>
      </c>
      <c r="E3684" s="21">
        <f>IF(D3684="?OLD","!!!","")</f>
        <v/>
      </c>
      <c r="F3684" s="22" t="str">
        <f>IF(OR(E3684="",E3684="!!!"),"",IF(NOT(ISNA(VLOOKUP(E3684,E$1:E3683,1,FALSE()))),"OLD",IF(AND(E3684&lt;&gt;"",E3684&lt;&gt;"!!!"),"NEW","")))</f>
        <v> </v>
      </c>
      <c r="G3684" s="23" t="str">
        <f>IF(OR(E3684="",E3684="!!!"),"",IF(OR(J3684=0,AND(J3684=1,K3684=1),AND(J3684=1,I3684="SBJ"),AND(J3684=1,I3684=0)),"?IN_FOCUS",IF(J3684&lt;=2,"?ACTIVATED",IF(J3684&lt;&gt;"","?FAMILIAR",IF(F3684="NEW",IF(ISNA(VLOOKUP(E3684,#REF!,1,FALSE())),"?TYPE_IDENTIFIABLE","?REFERENTIAL"),"_")))))</f>
        <v> </v>
      </c>
      <c r="H3684" s="24" t="str">
        <f>IF(J3684&lt;&gt;1,"",IF(I3684="SBJ","CB","?"))</f>
        <v> </v>
      </c>
      <c r="I3684" s="25" t="str">
        <f>IF(OR(E3684="",E3684="!!!",F3684="NEW"),"",INDEX(B3683:B$2,-1+SUMPRODUCT(MAX(ROW(E3683:E$2)*(E3684=E3683:E$2)))))</f>
        <v> </v>
      </c>
      <c r="J3684" s="25" t="str">
        <f>IF(OR(E3684="",E3684="!!!",F3684="NEW"),"",COUNTBLANK(OFFSET(A$1,,,SUMPRODUCT(MAX(ROW(E$2:E3684)*(E3684=E$2:E3684)))))-COUNTBLANK(OFFSET(A$1,,,SUMPRODUCT(MAX(ROW(E$1:E3683)*(E2=E$1:E3683))))))</f>
        <v> </v>
      </c>
      <c r="K3684" s="25" t="str">
        <f>IF(OR(E3684="",E3684="!!!",F3684="NEW"),"",INDEX(J$1:J3683,SUMPRODUCT(MAX(ROW(E$1:E3683)*(E3684=E$1:E3683)))))</f>
        <v> </v>
      </c>
      <c r="L3684" s="26"/>
    </row>
    <row r="3685" spans="1:12">
      <c r="A3685" s="20" t="s">
        <v>1700</v>
      </c>
      <c r="E3685" s="21">
        <f>IF(D3685="?OLD","!!!","")</f>
        <v/>
      </c>
      <c r="F3685" s="22" t="str">
        <f>IF(OR(E3685="",E3685="!!!"),"",IF(NOT(ISNA(VLOOKUP(E3685,E$1:E3684,1,FALSE()))),"OLD",IF(AND(E3685&lt;&gt;"",E3685&lt;&gt;"!!!"),"NEW","")))</f>
        <v> </v>
      </c>
      <c r="G3685" s="23" t="str">
        <f>IF(OR(E3685="",E3685="!!!"),"",IF(OR(J3685=0,AND(J3685=1,K3685=1),AND(J3685=1,I3685="SBJ"),AND(J3685=1,I3685=0)),"?IN_FOCUS",IF(J3685&lt;=2,"?ACTIVATED",IF(J3685&lt;&gt;"","?FAMILIAR",IF(F3685="NEW",IF(ISNA(VLOOKUP(E3685,#REF!,1,FALSE())),"?TYPE_IDENTIFIABLE","?REFERENTIAL"),"_")))))</f>
        <v> </v>
      </c>
      <c r="H3685" s="24" t="str">
        <f>IF(J3685&lt;&gt;1,"",IF(I3685="SBJ","CB","?"))</f>
        <v> </v>
      </c>
      <c r="I3685" s="25" t="str">
        <f>IF(OR(E3685="",E3685="!!!",F3685="NEW"),"",INDEX(B3684:B$2,-1+SUMPRODUCT(MAX(ROW(E3684:E$2)*(E3685=E3684:E$2)))))</f>
        <v> </v>
      </c>
      <c r="J3685" s="25" t="str">
        <f>IF(OR(E3685="",E3685="!!!",F3685="NEW"),"",COUNTBLANK(OFFSET(A$1,,,SUMPRODUCT(MAX(ROW(E$2:E3685)*(E3685=E$2:E3685)))))-COUNTBLANK(OFFSET(A$1,,,SUMPRODUCT(MAX(ROW(E$1:E3684)*(E2=E$1:E3684))))))</f>
        <v> </v>
      </c>
      <c r="K3685" s="25" t="str">
        <f>IF(OR(E3685="",E3685="!!!",F3685="NEW"),"",INDEX(J$1:J3684,SUMPRODUCT(MAX(ROW(E$1:E3684)*(E3685=E$1:E3684)))))</f>
        <v> </v>
      </c>
      <c r="L3685" s="26"/>
    </row>
    <row r="3686" spans="1:12">
      <c r="A3686" s="20" t="s">
        <v>706</v>
      </c>
      <c r="B3686" s="27" t="s">
        <v>522</v>
      </c>
      <c r="C3686" s="27" t="s">
        <v>548</v>
      </c>
      <c r="D3686" s="27" t="s">
        <v>524</v>
      </c>
      <c r="E3686" s="21">
        <f>IF(D3686="?OLD","!!!","")</f>
        <v/>
      </c>
      <c r="F3686" s="22" t="str">
        <f>IF(OR(E3686="",E3686="!!!"),"",IF(NOT(ISNA(VLOOKUP(E3686,E$1:E3685,1,FALSE()))),"OLD",IF(AND(E3686&lt;&gt;"",E3686&lt;&gt;"!!!"),"NEW","")))</f>
        <v> </v>
      </c>
      <c r="G3686" s="23" t="str">
        <f>IF(OR(E3686="",E3686="!!!"),"",IF(OR(J3686=0,AND(J3686=1,K3686=1),AND(J3686=1,I3686="SBJ"),AND(J3686=1,I3686=0)),"?IN_FOCUS",IF(J3686&lt;=2,"?ACTIVATED",IF(J3686&lt;&gt;"","?FAMILIAR",IF(F3686="NEW",IF(ISNA(VLOOKUP(E3686,#REF!,1,FALSE())),"?TYPE_IDENTIFIABLE","?REFERENTIAL"),"_")))))</f>
        <v> </v>
      </c>
      <c r="H3686" s="24" t="str">
        <f>IF(J3686&lt;&gt;1,"",IF(I3686="SBJ","CB","?"))</f>
        <v> </v>
      </c>
      <c r="I3686" s="25" t="str">
        <f>IF(OR(E3686="",E3686="!!!",F3686="NEW"),"",INDEX(B3685:B$2,-1+SUMPRODUCT(MAX(ROW(E3685:E$2)*(E3686=E3685:E$2)))))</f>
        <v> </v>
      </c>
      <c r="J3686" s="25" t="str">
        <f>IF(OR(E3686="",E3686="!!!",F3686="NEW"),"",COUNTBLANK(OFFSET(A$1,,,SUMPRODUCT(MAX(ROW(E$2:E3686)*(E3686=E$2:E3686)))))-COUNTBLANK(OFFSET(A$1,,,SUMPRODUCT(MAX(ROW(E$1:E3685)*(E2=E$1:E3685))))))</f>
        <v> </v>
      </c>
      <c r="K3686" s="25" t="str">
        <f>IF(OR(E3686="",E3686="!!!",F3686="NEW"),"",INDEX(J$1:J3685,SUMPRODUCT(MAX(ROW(E$1:E3685)*(E3686=E$1:E3685)))))</f>
        <v> </v>
      </c>
      <c r="L3686" s="26"/>
    </row>
    <row r="3687" spans="1:12">
      <c r="A3687" s="20" t="s">
        <v>565</v>
      </c>
      <c r="E3687" s="21">
        <f>IF(D3687="?OLD","!!!","")</f>
        <v/>
      </c>
      <c r="F3687" s="22" t="str">
        <f>IF(OR(E3687="",E3687="!!!"),"",IF(NOT(ISNA(VLOOKUP(E3687,E$1:E3686,1,FALSE()))),"OLD",IF(AND(E3687&lt;&gt;"",E3687&lt;&gt;"!!!"),"NEW","")))</f>
        <v> </v>
      </c>
      <c r="G3687" s="23" t="str">
        <f>IF(OR(E3687="",E3687="!!!"),"",IF(OR(J3687=0,AND(J3687=1,K3687=1),AND(J3687=1,I3687="SBJ"),AND(J3687=1,I3687=0)),"?IN_FOCUS",IF(J3687&lt;=2,"?ACTIVATED",IF(J3687&lt;&gt;"","?FAMILIAR",IF(F3687="NEW",IF(ISNA(VLOOKUP(E3687,#REF!,1,FALSE())),"?TYPE_IDENTIFIABLE","?REFERENTIAL"),"_")))))</f>
        <v> </v>
      </c>
      <c r="H3687" s="24" t="str">
        <f>IF(J3687&lt;&gt;1,"",IF(I3687="SBJ","CB","?"))</f>
        <v> </v>
      </c>
      <c r="I3687" s="25" t="str">
        <f>IF(OR(E3687="",E3687="!!!",F3687="NEW"),"",INDEX(B3686:B$2,-1+SUMPRODUCT(MAX(ROW(E3686:E$2)*(E3687=E3686:E$2)))))</f>
        <v> </v>
      </c>
      <c r="J3687" s="25" t="str">
        <f>IF(OR(E3687="",E3687="!!!",F3687="NEW"),"",COUNTBLANK(OFFSET(A$1,,,SUMPRODUCT(MAX(ROW(E$2:E3687)*(E3687=E$2:E3687)))))-COUNTBLANK(OFFSET(A$1,,,SUMPRODUCT(MAX(ROW(E$1:E3686)*(E2=E$1:E3686))))))</f>
        <v> </v>
      </c>
      <c r="K3687" s="25" t="str">
        <f>IF(OR(E3687="",E3687="!!!",F3687="NEW"),"",INDEX(J$1:J3686,SUMPRODUCT(MAX(ROW(E$1:E3686)*(E3687=E$1:E3686)))))</f>
        <v> </v>
      </c>
      <c r="L3687" s="26"/>
    </row>
    <row r="3688" spans="1:12">
      <c r="A3688" s="20" t="s">
        <v>581</v>
      </c>
      <c r="E3688" s="21">
        <f>IF(D3688="?OLD","!!!","")</f>
        <v/>
      </c>
      <c r="F3688" s="22" t="str">
        <f>IF(OR(E3688="",E3688="!!!"),"",IF(NOT(ISNA(VLOOKUP(E3688,E$1:E3687,1,FALSE()))),"OLD",IF(AND(E3688&lt;&gt;"",E3688&lt;&gt;"!!!"),"NEW","")))</f>
        <v> </v>
      </c>
      <c r="G3688" s="23" t="str">
        <f>IF(OR(E3688="",E3688="!!!"),"",IF(OR(J3688=0,AND(J3688=1,K3688=1),AND(J3688=1,I3688="SBJ"),AND(J3688=1,I3688=0)),"?IN_FOCUS",IF(J3688&lt;=2,"?ACTIVATED",IF(J3688&lt;&gt;"","?FAMILIAR",IF(F3688="NEW",IF(ISNA(VLOOKUP(E3688,#REF!,1,FALSE())),"?TYPE_IDENTIFIABLE","?REFERENTIAL"),"_")))))</f>
        <v> </v>
      </c>
      <c r="H3688" s="24" t="str">
        <f>IF(J3688&lt;&gt;1,"",IF(I3688="SBJ","CB","?"))</f>
        <v> </v>
      </c>
      <c r="I3688" s="25" t="str">
        <f>IF(OR(E3688="",E3688="!!!",F3688="NEW"),"",INDEX(B3687:B$2,-1+SUMPRODUCT(MAX(ROW(E3687:E$2)*(E3688=E3687:E$2)))))</f>
        <v> </v>
      </c>
      <c r="J3688" s="25" t="str">
        <f>IF(OR(E3688="",E3688="!!!",F3688="NEW"),"",COUNTBLANK(OFFSET(A$1,,,SUMPRODUCT(MAX(ROW(E$2:E3688)*(E3688=E$2:E3688)))))-COUNTBLANK(OFFSET(A$1,,,SUMPRODUCT(MAX(ROW(E$1:E3687)*(E2=E$1:E3687))))))</f>
        <v> </v>
      </c>
      <c r="K3688" s="25" t="str">
        <f>IF(OR(E3688="",E3688="!!!",F3688="NEW"),"",INDEX(J$1:J3687,SUMPRODUCT(MAX(ROW(E$1:E3687)*(E3688=E$1:E3687)))))</f>
        <v> </v>
      </c>
      <c r="L3688" s="26"/>
    </row>
    <row r="3689" spans="1:12">
      <c r="A3689" s="20" t="s">
        <v>708</v>
      </c>
      <c r="E3689" s="21">
        <f>IF(D3689="?OLD","!!!","")</f>
        <v/>
      </c>
      <c r="F3689" s="22" t="str">
        <f>IF(OR(E3689="",E3689="!!!"),"",IF(NOT(ISNA(VLOOKUP(E3689,E$1:E3688,1,FALSE()))),"OLD",IF(AND(E3689&lt;&gt;"",E3689&lt;&gt;"!!!"),"NEW","")))</f>
        <v> </v>
      </c>
      <c r="G3689" s="23" t="str">
        <f>IF(OR(E3689="",E3689="!!!"),"",IF(OR(J3689=0,AND(J3689=1,K3689=1),AND(J3689=1,I3689="SBJ"),AND(J3689=1,I3689=0)),"?IN_FOCUS",IF(J3689&lt;=2,"?ACTIVATED",IF(J3689&lt;&gt;"","?FAMILIAR",IF(F3689="NEW",IF(ISNA(VLOOKUP(E3689,#REF!,1,FALSE())),"?TYPE_IDENTIFIABLE","?REFERENTIAL"),"_")))))</f>
        <v> </v>
      </c>
      <c r="H3689" s="24" t="str">
        <f>IF(J3689&lt;&gt;1,"",IF(I3689="SBJ","CB","?"))</f>
        <v> </v>
      </c>
      <c r="I3689" s="25" t="str">
        <f>IF(OR(E3689="",E3689="!!!",F3689="NEW"),"",INDEX(B3688:B$2,-1+SUMPRODUCT(MAX(ROW(E3688:E$2)*(E3689=E3688:E$2)))))</f>
        <v> </v>
      </c>
      <c r="J3689" s="25" t="str">
        <f>IF(OR(E3689="",E3689="!!!",F3689="NEW"),"",COUNTBLANK(OFFSET(A$1,,,SUMPRODUCT(MAX(ROW(E$2:E3689)*(E3689=E$2:E3689)))))-COUNTBLANK(OFFSET(A$1,,,SUMPRODUCT(MAX(ROW(E$1:E3688)*(E2=E$1:E3688))))))</f>
        <v> </v>
      </c>
      <c r="K3689" s="25" t="str">
        <f>IF(OR(E3689="",E3689="!!!",F3689="NEW"),"",INDEX(J$1:J3688,SUMPRODUCT(MAX(ROW(E$1:E3688)*(E3689=E$1:E3688)))))</f>
        <v> </v>
      </c>
      <c r="L3689" s="26"/>
    </row>
    <row r="3690" spans="1:12">
      <c r="A3690" s="20" t="s">
        <v>571</v>
      </c>
      <c r="E3690" s="21">
        <f>IF(D3690="?OLD","!!!","")</f>
        <v/>
      </c>
      <c r="F3690" s="22" t="str">
        <f>IF(OR(E3690="",E3690="!!!"),"",IF(NOT(ISNA(VLOOKUP(E3690,E$1:E3689,1,FALSE()))),"OLD",IF(AND(E3690&lt;&gt;"",E3690&lt;&gt;"!!!"),"NEW","")))</f>
        <v> </v>
      </c>
      <c r="G3690" s="23" t="str">
        <f>IF(OR(E3690="",E3690="!!!"),"",IF(OR(J3690=0,AND(J3690=1,K3690=1),AND(J3690=1,I3690="SBJ"),AND(J3690=1,I3690=0)),"?IN_FOCUS",IF(J3690&lt;=2,"?ACTIVATED",IF(J3690&lt;&gt;"","?FAMILIAR",IF(F3690="NEW",IF(ISNA(VLOOKUP(E3690,#REF!,1,FALSE())),"?TYPE_IDENTIFIABLE","?REFERENTIAL"),"_")))))</f>
        <v> </v>
      </c>
      <c r="H3690" s="24" t="str">
        <f>IF(J3690&lt;&gt;1,"",IF(I3690="SBJ","CB","?"))</f>
        <v> </v>
      </c>
      <c r="I3690" s="25" t="str">
        <f>IF(OR(E3690="",E3690="!!!",F3690="NEW"),"",INDEX(B3689:B$2,-1+SUMPRODUCT(MAX(ROW(E3689:E$2)*(E3690=E3689:E$2)))))</f>
        <v> </v>
      </c>
      <c r="J3690" s="25" t="str">
        <f>IF(OR(E3690="",E3690="!!!",F3690="NEW"),"",COUNTBLANK(OFFSET(A$1,,,SUMPRODUCT(MAX(ROW(E$2:E3690)*(E3690=E$2:E3690)))))-COUNTBLANK(OFFSET(A$1,,,SUMPRODUCT(MAX(ROW(E$1:E3689)*(E2=E$1:E3689))))))</f>
        <v> </v>
      </c>
      <c r="K3690" s="25" t="str">
        <f>IF(OR(E3690="",E3690="!!!",F3690="NEW"),"",INDEX(J$1:J3689,SUMPRODUCT(MAX(ROW(E$1:E3689)*(E3690=E$1:E3689)))))</f>
        <v> </v>
      </c>
      <c r="L3690" s="26"/>
    </row>
    <row r="3691" spans="1:12">
      <c r="A3691" s="20" t="s">
        <v>706</v>
      </c>
      <c r="B3691" s="27" t="s">
        <v>522</v>
      </c>
      <c r="C3691" s="27" t="s">
        <v>548</v>
      </c>
      <c r="D3691" s="27" t="s">
        <v>524</v>
      </c>
      <c r="E3691" s="21">
        <f>IF(D3691="?OLD","!!!","")</f>
        <v/>
      </c>
      <c r="F3691" s="22" t="str">
        <f>IF(OR(E3691="",E3691="!!!"),"",IF(NOT(ISNA(VLOOKUP(E3691,E$1:E3690,1,FALSE()))),"OLD",IF(AND(E3691&lt;&gt;"",E3691&lt;&gt;"!!!"),"NEW","")))</f>
        <v> </v>
      </c>
      <c r="G3691" s="23" t="str">
        <f>IF(OR(E3691="",E3691="!!!"),"",IF(OR(J3691=0,AND(J3691=1,K3691=1),AND(J3691=1,I3691="SBJ"),AND(J3691=1,I3691=0)),"?IN_FOCUS",IF(J3691&lt;=2,"?ACTIVATED",IF(J3691&lt;&gt;"","?FAMILIAR",IF(F3691="NEW",IF(ISNA(VLOOKUP(E3691,#REF!,1,FALSE())),"?TYPE_IDENTIFIABLE","?REFERENTIAL"),"_")))))</f>
        <v> </v>
      </c>
      <c r="H3691" s="24" t="str">
        <f>IF(J3691&lt;&gt;1,"",IF(I3691="SBJ","CB","?"))</f>
        <v> </v>
      </c>
      <c r="I3691" s="25" t="str">
        <f>IF(OR(E3691="",E3691="!!!",F3691="NEW"),"",INDEX(B3690:B$2,-1+SUMPRODUCT(MAX(ROW(E3690:E$2)*(E3691=E3690:E$2)))))</f>
        <v> </v>
      </c>
      <c r="J3691" s="25" t="str">
        <f>IF(OR(E3691="",E3691="!!!",F3691="NEW"),"",COUNTBLANK(OFFSET(A$1,,,SUMPRODUCT(MAX(ROW(E$2:E3691)*(E3691=E$2:E3691)))))-COUNTBLANK(OFFSET(A$1,,,SUMPRODUCT(MAX(ROW(E$1:E3690)*(E2=E$1:E3690))))))</f>
        <v> </v>
      </c>
      <c r="K3691" s="25" t="str">
        <f>IF(OR(E3691="",E3691="!!!",F3691="NEW"),"",INDEX(J$1:J3690,SUMPRODUCT(MAX(ROW(E$1:E3690)*(E3691=E$1:E3690)))))</f>
        <v> </v>
      </c>
      <c r="L3691" s="26"/>
    </row>
    <row r="3692" spans="1:12">
      <c r="A3692" s="20" t="s">
        <v>518</v>
      </c>
      <c r="E3692" s="21">
        <f>IF(D3692="?OLD","!!!","")</f>
        <v/>
      </c>
      <c r="F3692" s="22" t="str">
        <f>IF(OR(E3692="",E3692="!!!"),"",IF(NOT(ISNA(VLOOKUP(E3692,E$1:E3691,1,FALSE()))),"OLD",IF(AND(E3692&lt;&gt;"",E3692&lt;&gt;"!!!"),"NEW","")))</f>
        <v> </v>
      </c>
      <c r="G3692" s="23" t="str">
        <f>IF(OR(E3692="",E3692="!!!"),"",IF(OR(J3692=0,AND(J3692=1,K3692=1),AND(J3692=1,I3692="SBJ"),AND(J3692=1,I3692=0)),"?IN_FOCUS",IF(J3692&lt;=2,"?ACTIVATED",IF(J3692&lt;&gt;"","?FAMILIAR",IF(F3692="NEW",IF(ISNA(VLOOKUP(E3692,#REF!,1,FALSE())),"?TYPE_IDENTIFIABLE","?REFERENTIAL"),"_")))))</f>
        <v> </v>
      </c>
      <c r="H3692" s="24" t="str">
        <f>IF(J3692&lt;&gt;1,"",IF(I3692="SBJ","CB","?"))</f>
        <v> </v>
      </c>
      <c r="I3692" s="25" t="str">
        <f>IF(OR(E3692="",E3692="!!!",F3692="NEW"),"",INDEX(B3691:B$2,-1+SUMPRODUCT(MAX(ROW(E3691:E$2)*(E3692=E3691:E$2)))))</f>
        <v> </v>
      </c>
      <c r="J3692" s="25" t="str">
        <f>IF(OR(E3692="",E3692="!!!",F3692="NEW"),"",COUNTBLANK(OFFSET(A$1,,,SUMPRODUCT(MAX(ROW(E$2:E3692)*(E3692=E$2:E3692)))))-COUNTBLANK(OFFSET(A$1,,,SUMPRODUCT(MAX(ROW(E$1:E3691)*(E2=E$1:E3691))))))</f>
        <v> </v>
      </c>
      <c r="K3692" s="25" t="str">
        <f>IF(OR(E3692="",E3692="!!!",F3692="NEW"),"",INDEX(J$1:J3691,SUMPRODUCT(MAX(ROW(E$1:E3691)*(E3692=E$1:E3691)))))</f>
        <v> </v>
      </c>
      <c r="L3692" s="26"/>
    </row>
    <row r="3693" spans="1:12">
      <c r="A3693" s="20" t="s">
        <v>682</v>
      </c>
      <c r="E3693" s="21">
        <f>IF(D3693="?OLD","!!!","")</f>
        <v/>
      </c>
      <c r="F3693" s="22" t="str">
        <f>IF(OR(E3693="",E3693="!!!"),"",IF(NOT(ISNA(VLOOKUP(E3693,E$1:E3692,1,FALSE()))),"OLD",IF(AND(E3693&lt;&gt;"",E3693&lt;&gt;"!!!"),"NEW","")))</f>
        <v> </v>
      </c>
      <c r="G3693" s="23" t="str">
        <f>IF(OR(E3693="",E3693="!!!"),"",IF(OR(J3693=0,AND(J3693=1,K3693=1),AND(J3693=1,I3693="SBJ"),AND(J3693=1,I3693=0)),"?IN_FOCUS",IF(J3693&lt;=2,"?ACTIVATED",IF(J3693&lt;&gt;"","?FAMILIAR",IF(F3693="NEW",IF(ISNA(VLOOKUP(E3693,#REF!,1,FALSE())),"?TYPE_IDENTIFIABLE","?REFERENTIAL"),"_")))))</f>
        <v> </v>
      </c>
      <c r="H3693" s="24" t="str">
        <f>IF(J3693&lt;&gt;1,"",IF(I3693="SBJ","CB","?"))</f>
        <v> </v>
      </c>
      <c r="I3693" s="25" t="str">
        <f>IF(OR(E3693="",E3693="!!!",F3693="NEW"),"",INDEX(B3692:B$2,-1+SUMPRODUCT(MAX(ROW(E3692:E$2)*(E3693=E3692:E$2)))))</f>
        <v> </v>
      </c>
      <c r="J3693" s="25" t="str">
        <f>IF(OR(E3693="",E3693="!!!",F3693="NEW"),"",COUNTBLANK(OFFSET(A$1,,,SUMPRODUCT(MAX(ROW(E$2:E3693)*(E3693=E$2:E3693)))))-COUNTBLANK(OFFSET(A$1,,,SUMPRODUCT(MAX(ROW(E$1:E3692)*(E2=E$1:E3692))))))</f>
        <v> </v>
      </c>
      <c r="K3693" s="25" t="str">
        <f>IF(OR(E3693="",E3693="!!!",F3693="NEW"),"",INDEX(J$1:J3692,SUMPRODUCT(MAX(ROW(E$1:E3692)*(E3693=E$1:E3692)))))</f>
        <v> </v>
      </c>
      <c r="L3693" s="26"/>
    </row>
    <row r="3694" spans="1:12">
      <c r="A3694" s="20" t="s">
        <v>901</v>
      </c>
      <c r="B3694" s="27" t="s">
        <v>544</v>
      </c>
      <c r="C3694" s="27" t="s">
        <v>545</v>
      </c>
      <c r="D3694" s="27" t="s">
        <v>524</v>
      </c>
      <c r="E3694" s="21">
        <f>IF(D3694="?OLD","!!!","")</f>
        <v/>
      </c>
      <c r="F3694" s="22" t="str">
        <f>IF(OR(E3694="",E3694="!!!"),"",IF(NOT(ISNA(VLOOKUP(E3694,E$1:E3693,1,FALSE()))),"OLD",IF(AND(E3694&lt;&gt;"",E3694&lt;&gt;"!!!"),"NEW","")))</f>
        <v> </v>
      </c>
      <c r="G3694" s="23" t="str">
        <f>IF(OR(E3694="",E3694="!!!"),"",IF(OR(J3694=0,AND(J3694=1,K3694=1),AND(J3694=1,I3694="SBJ"),AND(J3694=1,I3694=0)),"?IN_FOCUS",IF(J3694&lt;=2,"?ACTIVATED",IF(J3694&lt;&gt;"","?FAMILIAR",IF(F3694="NEW",IF(ISNA(VLOOKUP(E3694,#REF!,1,FALSE())),"?TYPE_IDENTIFIABLE","?REFERENTIAL"),"_")))))</f>
        <v> </v>
      </c>
      <c r="H3694" s="24" t="str">
        <f>IF(J3694&lt;&gt;1,"",IF(I3694="SBJ","CB","?"))</f>
        <v> </v>
      </c>
      <c r="I3694" s="25" t="str">
        <f>IF(OR(E3694="",E3694="!!!",F3694="NEW"),"",INDEX(B3693:B$2,-1+SUMPRODUCT(MAX(ROW(E3693:E$2)*(E3694=E3693:E$2)))))</f>
        <v> </v>
      </c>
      <c r="J3694" s="25" t="str">
        <f>IF(OR(E3694="",E3694="!!!",F3694="NEW"),"",COUNTBLANK(OFFSET(A$1,,,SUMPRODUCT(MAX(ROW(E$2:E3694)*(E3694=E$2:E3694)))))-COUNTBLANK(OFFSET(A$1,,,SUMPRODUCT(MAX(ROW(E$1:E3693)*(E2=E$1:E3693))))))</f>
        <v> </v>
      </c>
      <c r="K3694" s="25" t="str">
        <f>IF(OR(E3694="",E3694="!!!",F3694="NEW"),"",INDEX(J$1:J3693,SUMPRODUCT(MAX(ROW(E$1:E3693)*(E3694=E$1:E3693)))))</f>
        <v> </v>
      </c>
      <c r="L3694" s="26"/>
    </row>
    <row r="3695" spans="1:12">
      <c r="A3695" s="20" t="s">
        <v>565</v>
      </c>
      <c r="E3695" s="21">
        <f>IF(D3695="?OLD","!!!","")</f>
        <v/>
      </c>
      <c r="F3695" s="22" t="str">
        <f>IF(OR(E3695="",E3695="!!!"),"",IF(NOT(ISNA(VLOOKUP(E3695,E$1:E3694,1,FALSE()))),"OLD",IF(AND(E3695&lt;&gt;"",E3695&lt;&gt;"!!!"),"NEW","")))</f>
        <v> </v>
      </c>
      <c r="G3695" s="23" t="str">
        <f>IF(OR(E3695="",E3695="!!!"),"",IF(OR(J3695=0,AND(J3695=1,K3695=1),AND(J3695=1,I3695="SBJ"),AND(J3695=1,I3695=0)),"?IN_FOCUS",IF(J3695&lt;=2,"?ACTIVATED",IF(J3695&lt;&gt;"","?FAMILIAR",IF(F3695="NEW",IF(ISNA(VLOOKUP(E3695,#REF!,1,FALSE())),"?TYPE_IDENTIFIABLE","?REFERENTIAL"),"_")))))</f>
        <v> </v>
      </c>
      <c r="H3695" s="24" t="str">
        <f>IF(J3695&lt;&gt;1,"",IF(I3695="SBJ","CB","?"))</f>
        <v> </v>
      </c>
      <c r="I3695" s="25" t="str">
        <f>IF(OR(E3695="",E3695="!!!",F3695="NEW"),"",INDEX(B3694:B$2,-1+SUMPRODUCT(MAX(ROW(E3694:E$2)*(E3695=E3694:E$2)))))</f>
        <v> </v>
      </c>
      <c r="J3695" s="25" t="str">
        <f>IF(OR(E3695="",E3695="!!!",F3695="NEW"),"",COUNTBLANK(OFFSET(A$1,,,SUMPRODUCT(MAX(ROW(E$2:E3695)*(E3695=E$2:E3695)))))-COUNTBLANK(OFFSET(A$1,,,SUMPRODUCT(MAX(ROW(E$1:E3694)*(E2=E$1:E3694))))))</f>
        <v> </v>
      </c>
      <c r="K3695" s="25" t="str">
        <f>IF(OR(E3695="",E3695="!!!",F3695="NEW"),"",INDEX(J$1:J3694,SUMPRODUCT(MAX(ROW(E$1:E3694)*(E3695=E$1:E3694)))))</f>
        <v> </v>
      </c>
      <c r="L3695" s="26"/>
    </row>
    <row r="3696" spans="1:12">
      <c r="A3696" s="20" t="s">
        <v>581</v>
      </c>
      <c r="E3696" s="21">
        <f>IF(D3696="?OLD","!!!","")</f>
        <v/>
      </c>
      <c r="F3696" s="22" t="str">
        <f>IF(OR(E3696="",E3696="!!!"),"",IF(NOT(ISNA(VLOOKUP(E3696,E$1:E3695,1,FALSE()))),"OLD",IF(AND(E3696&lt;&gt;"",E3696&lt;&gt;"!!!"),"NEW","")))</f>
        <v> </v>
      </c>
      <c r="G3696" s="23" t="str">
        <f>IF(OR(E3696="",E3696="!!!"),"",IF(OR(J3696=0,AND(J3696=1,K3696=1),AND(J3696=1,I3696="SBJ"),AND(J3696=1,I3696=0)),"?IN_FOCUS",IF(J3696&lt;=2,"?ACTIVATED",IF(J3696&lt;&gt;"","?FAMILIAR",IF(F3696="NEW",IF(ISNA(VLOOKUP(E3696,#REF!,1,FALSE())),"?TYPE_IDENTIFIABLE","?REFERENTIAL"),"_")))))</f>
        <v> </v>
      </c>
      <c r="H3696" s="24" t="str">
        <f>IF(J3696&lt;&gt;1,"",IF(I3696="SBJ","CB","?"))</f>
        <v> </v>
      </c>
      <c r="I3696" s="25" t="str">
        <f>IF(OR(E3696="",E3696="!!!",F3696="NEW"),"",INDEX(B3695:B$2,-1+SUMPRODUCT(MAX(ROW(E3695:E$2)*(E3696=E3695:E$2)))))</f>
        <v> </v>
      </c>
      <c r="J3696" s="25" t="str">
        <f>IF(OR(E3696="",E3696="!!!",F3696="NEW"),"",COUNTBLANK(OFFSET(A$1,,,SUMPRODUCT(MAX(ROW(E$2:E3696)*(E3696=E$2:E3696)))))-COUNTBLANK(OFFSET(A$1,,,SUMPRODUCT(MAX(ROW(E$1:E3695)*(E2=E$1:E3695))))))</f>
        <v> </v>
      </c>
      <c r="K3696" s="25" t="str">
        <f>IF(OR(E3696="",E3696="!!!",F3696="NEW"),"",INDEX(J$1:J3695,SUMPRODUCT(MAX(ROW(E$1:E3695)*(E3696=E$1:E3695)))))</f>
        <v> </v>
      </c>
      <c r="L3696" s="26"/>
    </row>
    <row r="3697" spans="1:12">
      <c r="A3697" s="20" t="s">
        <v>708</v>
      </c>
      <c r="E3697" s="21">
        <f>IF(D3697="?OLD","!!!","")</f>
        <v/>
      </c>
      <c r="F3697" s="22" t="str">
        <f>IF(OR(E3697="",E3697="!!!"),"",IF(NOT(ISNA(VLOOKUP(E3697,E$1:E3696,1,FALSE()))),"OLD",IF(AND(E3697&lt;&gt;"",E3697&lt;&gt;"!!!"),"NEW","")))</f>
        <v> </v>
      </c>
      <c r="G3697" s="23" t="str">
        <f>IF(OR(E3697="",E3697="!!!"),"",IF(OR(J3697=0,AND(J3697=1,K3697=1),AND(J3697=1,I3697="SBJ"),AND(J3697=1,I3697=0)),"?IN_FOCUS",IF(J3697&lt;=2,"?ACTIVATED",IF(J3697&lt;&gt;"","?FAMILIAR",IF(F3697="NEW",IF(ISNA(VLOOKUP(E3697,#REF!,1,FALSE())),"?TYPE_IDENTIFIABLE","?REFERENTIAL"),"_")))))</f>
        <v> </v>
      </c>
      <c r="H3697" s="24" t="str">
        <f>IF(J3697&lt;&gt;1,"",IF(I3697="SBJ","CB","?"))</f>
        <v> </v>
      </c>
      <c r="I3697" s="25" t="str">
        <f>IF(OR(E3697="",E3697="!!!",F3697="NEW"),"",INDEX(B3696:B$2,-1+SUMPRODUCT(MAX(ROW(E3696:E$2)*(E3697=E3696:E$2)))))</f>
        <v> </v>
      </c>
      <c r="J3697" s="25" t="str">
        <f>IF(OR(E3697="",E3697="!!!",F3697="NEW"),"",COUNTBLANK(OFFSET(A$1,,,SUMPRODUCT(MAX(ROW(E$2:E3697)*(E3697=E$2:E3697)))))-COUNTBLANK(OFFSET(A$1,,,SUMPRODUCT(MAX(ROW(E$1:E3696)*(E2=E$1:E3696))))))</f>
        <v> </v>
      </c>
      <c r="K3697" s="25" t="str">
        <f>IF(OR(E3697="",E3697="!!!",F3697="NEW"),"",INDEX(J$1:J3696,SUMPRODUCT(MAX(ROW(E$1:E3696)*(E3697=E$1:E3696)))))</f>
        <v> </v>
      </c>
      <c r="L3697" s="26"/>
    </row>
    <row r="3698" spans="1:12">
      <c r="A3698" s="20" t="s">
        <v>571</v>
      </c>
      <c r="E3698" s="21">
        <f>IF(D3698="?OLD","!!!","")</f>
        <v/>
      </c>
      <c r="F3698" s="22" t="str">
        <f>IF(OR(E3698="",E3698="!!!"),"",IF(NOT(ISNA(VLOOKUP(E3698,E$1:E3697,1,FALSE()))),"OLD",IF(AND(E3698&lt;&gt;"",E3698&lt;&gt;"!!!"),"NEW","")))</f>
        <v> </v>
      </c>
      <c r="G3698" s="23" t="str">
        <f>IF(OR(E3698="",E3698="!!!"),"",IF(OR(J3698=0,AND(J3698=1,K3698=1),AND(J3698=1,I3698="SBJ"),AND(J3698=1,I3698=0)),"?IN_FOCUS",IF(J3698&lt;=2,"?ACTIVATED",IF(J3698&lt;&gt;"","?FAMILIAR",IF(F3698="NEW",IF(ISNA(VLOOKUP(E3698,#REF!,1,FALSE())),"?TYPE_IDENTIFIABLE","?REFERENTIAL"),"_")))))</f>
        <v> </v>
      </c>
      <c r="H3698" s="24" t="str">
        <f>IF(J3698&lt;&gt;1,"",IF(I3698="SBJ","CB","?"))</f>
        <v> </v>
      </c>
      <c r="I3698" s="25" t="str">
        <f>IF(OR(E3698="",E3698="!!!",F3698="NEW"),"",INDEX(B3697:B$2,-1+SUMPRODUCT(MAX(ROW(E3697:E$2)*(E3698=E3697:E$2)))))</f>
        <v> </v>
      </c>
      <c r="J3698" s="25" t="str">
        <f>IF(OR(E3698="",E3698="!!!",F3698="NEW"),"",COUNTBLANK(OFFSET(A$1,,,SUMPRODUCT(MAX(ROW(E$2:E3698)*(E3698=E$2:E3698)))))-COUNTBLANK(OFFSET(A$1,,,SUMPRODUCT(MAX(ROW(E$1:E3697)*(E2=E$1:E3697))))))</f>
        <v> </v>
      </c>
      <c r="K3698" s="25" t="str">
        <f>IF(OR(E3698="",E3698="!!!",F3698="NEW"),"",INDEX(J$1:J3697,SUMPRODUCT(MAX(ROW(E$1:E3697)*(E3698=E$1:E3697)))))</f>
        <v> </v>
      </c>
      <c r="L3698" s="26"/>
    </row>
    <row r="3699" spans="1:12">
      <c r="A3699" s="20" t="s">
        <v>706</v>
      </c>
      <c r="B3699" s="27" t="s">
        <v>522</v>
      </c>
      <c r="C3699" s="27" t="s">
        <v>548</v>
      </c>
      <c r="D3699" s="27" t="s">
        <v>524</v>
      </c>
      <c r="E3699" s="21">
        <f>IF(D3699="?OLD","!!!","")</f>
        <v/>
      </c>
      <c r="F3699" s="22" t="str">
        <f>IF(OR(E3699="",E3699="!!!"),"",IF(NOT(ISNA(VLOOKUP(E3699,E$1:E3698,1,FALSE()))),"OLD",IF(AND(E3699&lt;&gt;"",E3699&lt;&gt;"!!!"),"NEW","")))</f>
        <v> </v>
      </c>
      <c r="G3699" s="23" t="str">
        <f>IF(OR(E3699="",E3699="!!!"),"",IF(OR(J3699=0,AND(J3699=1,K3699=1),AND(J3699=1,I3699="SBJ"),AND(J3699=1,I3699=0)),"?IN_FOCUS",IF(J3699&lt;=2,"?ACTIVATED",IF(J3699&lt;&gt;"","?FAMILIAR",IF(F3699="NEW",IF(ISNA(VLOOKUP(E3699,#REF!,1,FALSE())),"?TYPE_IDENTIFIABLE","?REFERENTIAL"),"_")))))</f>
        <v> </v>
      </c>
      <c r="H3699" s="24" t="str">
        <f>IF(J3699&lt;&gt;1,"",IF(I3699="SBJ","CB","?"))</f>
        <v> </v>
      </c>
      <c r="I3699" s="25" t="str">
        <f>IF(OR(E3699="",E3699="!!!",F3699="NEW"),"",INDEX(B3698:B$2,-1+SUMPRODUCT(MAX(ROW(E3698:E$2)*(E3699=E3698:E$2)))))</f>
        <v> </v>
      </c>
      <c r="J3699" s="25" t="str">
        <f>IF(OR(E3699="",E3699="!!!",F3699="NEW"),"",COUNTBLANK(OFFSET(A$1,,,SUMPRODUCT(MAX(ROW(E$2:E3699)*(E3699=E$2:E3699)))))-COUNTBLANK(OFFSET(A$1,,,SUMPRODUCT(MAX(ROW(E$1:E3698)*(E2=E$1:E3698))))))</f>
        <v> </v>
      </c>
      <c r="K3699" s="25" t="str">
        <f>IF(OR(E3699="",E3699="!!!",F3699="NEW"),"",INDEX(J$1:J3698,SUMPRODUCT(MAX(ROW(E$1:E3698)*(E3699=E$1:E3698)))))</f>
        <v> </v>
      </c>
      <c r="L3699" s="26"/>
    </row>
    <row r="3700" spans="1:12">
      <c r="A3700" s="20" t="s">
        <v>518</v>
      </c>
      <c r="E3700" s="21">
        <f>IF(D3700="?OLD","!!!","")</f>
        <v/>
      </c>
      <c r="F3700" s="22" t="str">
        <f>IF(OR(E3700="",E3700="!!!"),"",IF(NOT(ISNA(VLOOKUP(E3700,E$1:E3699,1,FALSE()))),"OLD",IF(AND(E3700&lt;&gt;"",E3700&lt;&gt;"!!!"),"NEW","")))</f>
        <v> </v>
      </c>
      <c r="G3700" s="23" t="str">
        <f>IF(OR(E3700="",E3700="!!!"),"",IF(OR(J3700=0,AND(J3700=1,K3700=1),AND(J3700=1,I3700="SBJ"),AND(J3700=1,I3700=0)),"?IN_FOCUS",IF(J3700&lt;=2,"?ACTIVATED",IF(J3700&lt;&gt;"","?FAMILIAR",IF(F3700="NEW",IF(ISNA(VLOOKUP(E3700,#REF!,1,FALSE())),"?TYPE_IDENTIFIABLE","?REFERENTIAL"),"_")))))</f>
        <v> </v>
      </c>
      <c r="H3700" s="24" t="str">
        <f>IF(J3700&lt;&gt;1,"",IF(I3700="SBJ","CB","?"))</f>
        <v> </v>
      </c>
      <c r="I3700" s="25" t="str">
        <f>IF(OR(E3700="",E3700="!!!",F3700="NEW"),"",INDEX(B3699:B$2,-1+SUMPRODUCT(MAX(ROW(E3699:E$2)*(E3700=E3699:E$2)))))</f>
        <v> </v>
      </c>
      <c r="J3700" s="25" t="str">
        <f>IF(OR(E3700="",E3700="!!!",F3700="NEW"),"",COUNTBLANK(OFFSET(A$1,,,SUMPRODUCT(MAX(ROW(E$2:E3700)*(E3700=E$2:E3700)))))-COUNTBLANK(OFFSET(A$1,,,SUMPRODUCT(MAX(ROW(E$1:E3699)*(E2=E$1:E3699))))))</f>
        <v> </v>
      </c>
      <c r="K3700" s="25" t="str">
        <f>IF(OR(E3700="",E3700="!!!",F3700="NEW"),"",INDEX(J$1:J3699,SUMPRODUCT(MAX(ROW(E$1:E3699)*(E3700=E$1:E3699)))))</f>
        <v> </v>
      </c>
      <c r="L3700" s="26"/>
    </row>
    <row r="3701" spans="1:12">
      <c r="A3701" s="20" t="s">
        <v>730</v>
      </c>
      <c r="E3701" s="21">
        <f>IF(D3701="?OLD","!!!","")</f>
        <v/>
      </c>
      <c r="F3701" s="22" t="str">
        <f>IF(OR(E3701="",E3701="!!!"),"",IF(NOT(ISNA(VLOOKUP(E3701,E$1:E3700,1,FALSE()))),"OLD",IF(AND(E3701&lt;&gt;"",E3701&lt;&gt;"!!!"),"NEW","")))</f>
        <v> </v>
      </c>
      <c r="G3701" s="23" t="str">
        <f>IF(OR(E3701="",E3701="!!!"),"",IF(OR(J3701=0,AND(J3701=1,K3701=1),AND(J3701=1,I3701="SBJ"),AND(J3701=1,I3701=0)),"?IN_FOCUS",IF(J3701&lt;=2,"?ACTIVATED",IF(J3701&lt;&gt;"","?FAMILIAR",IF(F3701="NEW",IF(ISNA(VLOOKUP(E3701,#REF!,1,FALSE())),"?TYPE_IDENTIFIABLE","?REFERENTIAL"),"_")))))</f>
        <v> </v>
      </c>
      <c r="H3701" s="24" t="str">
        <f>IF(J3701&lt;&gt;1,"",IF(I3701="SBJ","CB","?"))</f>
        <v> </v>
      </c>
      <c r="I3701" s="25" t="str">
        <f>IF(OR(E3701="",E3701="!!!",F3701="NEW"),"",INDEX(B3700:B$2,-1+SUMPRODUCT(MAX(ROW(E3700:E$2)*(E3701=E3700:E$2)))))</f>
        <v> </v>
      </c>
      <c r="J3701" s="25" t="str">
        <f>IF(OR(E3701="",E3701="!!!",F3701="NEW"),"",COUNTBLANK(OFFSET(A$1,,,SUMPRODUCT(MAX(ROW(E$2:E3701)*(E3701=E$2:E3701)))))-COUNTBLANK(OFFSET(A$1,,,SUMPRODUCT(MAX(ROW(E$1:E3700)*(E2=E$1:E3700))))))</f>
        <v> </v>
      </c>
      <c r="K3701" s="25" t="str">
        <f>IF(OR(E3701="",E3701="!!!",F3701="NEW"),"",INDEX(J$1:J3700,SUMPRODUCT(MAX(ROW(E$1:E3700)*(E3701=E$1:E3700)))))</f>
        <v> </v>
      </c>
      <c r="L3701" s="26"/>
    </row>
    <row r="3702" spans="1:12">
      <c r="A3702" s="20" t="s">
        <v>1701</v>
      </c>
      <c r="B3702" s="27" t="s">
        <v>544</v>
      </c>
      <c r="C3702" s="27" t="s">
        <v>545</v>
      </c>
      <c r="D3702" s="27" t="s">
        <v>524</v>
      </c>
      <c r="E3702" s="21">
        <f>IF(D3702="?OLD","!!!","")</f>
        <v/>
      </c>
      <c r="F3702" s="22" t="str">
        <f>IF(OR(E3702="",E3702="!!!"),"",IF(NOT(ISNA(VLOOKUP(E3702,E$1:E3701,1,FALSE()))),"OLD",IF(AND(E3702&lt;&gt;"",E3702&lt;&gt;"!!!"),"NEW","")))</f>
        <v> </v>
      </c>
      <c r="G3702" s="23" t="str">
        <f>IF(OR(E3702="",E3702="!!!"),"",IF(OR(J3702=0,AND(J3702=1,K3702=1),AND(J3702=1,I3702="SBJ"),AND(J3702=1,I3702=0)),"?IN_FOCUS",IF(J3702&lt;=2,"?ACTIVATED",IF(J3702&lt;&gt;"","?FAMILIAR",IF(F3702="NEW",IF(ISNA(VLOOKUP(E3702,#REF!,1,FALSE())),"?TYPE_IDENTIFIABLE","?REFERENTIAL"),"_")))))</f>
        <v> </v>
      </c>
      <c r="H3702" s="24" t="str">
        <f>IF(J3702&lt;&gt;1,"",IF(I3702="SBJ","CB","?"))</f>
        <v> </v>
      </c>
      <c r="I3702" s="25" t="str">
        <f>IF(OR(E3702="",E3702="!!!",F3702="NEW"),"",INDEX(B3701:B$2,-1+SUMPRODUCT(MAX(ROW(E3701:E$2)*(E3702=E3701:E$2)))))</f>
        <v> </v>
      </c>
      <c r="J3702" s="25" t="str">
        <f>IF(OR(E3702="",E3702="!!!",F3702="NEW"),"",COUNTBLANK(OFFSET(A$1,,,SUMPRODUCT(MAX(ROW(E$2:E3702)*(E3702=E$2:E3702)))))-COUNTBLANK(OFFSET(A$1,,,SUMPRODUCT(MAX(ROW(E$1:E3701)*(E2=E$1:E3701))))))</f>
        <v> </v>
      </c>
      <c r="K3702" s="25" t="str">
        <f>IF(OR(E3702="",E3702="!!!",F3702="NEW"),"",INDEX(J$1:J3701,SUMPRODUCT(MAX(ROW(E$1:E3701)*(E3702=E$1:E3701)))))</f>
        <v> </v>
      </c>
      <c r="L3702" s="26"/>
    </row>
    <row r="3703" spans="1:12">
      <c r="A3703" s="20" t="s">
        <v>565</v>
      </c>
      <c r="E3703" s="21">
        <f>IF(D3703="?OLD","!!!","")</f>
        <v/>
      </c>
      <c r="F3703" s="22" t="str">
        <f>IF(OR(E3703="",E3703="!!!"),"",IF(NOT(ISNA(VLOOKUP(E3703,E$1:E3702,1,FALSE()))),"OLD",IF(AND(E3703&lt;&gt;"",E3703&lt;&gt;"!!!"),"NEW","")))</f>
        <v> </v>
      </c>
      <c r="G3703" s="23" t="str">
        <f>IF(OR(E3703="",E3703="!!!"),"",IF(OR(J3703=0,AND(J3703=1,K3703=1),AND(J3703=1,I3703="SBJ"),AND(J3703=1,I3703=0)),"?IN_FOCUS",IF(J3703&lt;=2,"?ACTIVATED",IF(J3703&lt;&gt;"","?FAMILIAR",IF(F3703="NEW",IF(ISNA(VLOOKUP(E3703,#REF!,1,FALSE())),"?TYPE_IDENTIFIABLE","?REFERENTIAL"),"_")))))</f>
        <v> </v>
      </c>
      <c r="H3703" s="24" t="str">
        <f>IF(J3703&lt;&gt;1,"",IF(I3703="SBJ","CB","?"))</f>
        <v> </v>
      </c>
      <c r="I3703" s="25" t="str">
        <f>IF(OR(E3703="",E3703="!!!",F3703="NEW"),"",INDEX(B3702:B$2,-1+SUMPRODUCT(MAX(ROW(E3702:E$2)*(E3703=E3702:E$2)))))</f>
        <v> </v>
      </c>
      <c r="J3703" s="25" t="str">
        <f>IF(OR(E3703="",E3703="!!!",F3703="NEW"),"",COUNTBLANK(OFFSET(A$1,,,SUMPRODUCT(MAX(ROW(E$2:E3703)*(E3703=E$2:E3703)))))-COUNTBLANK(OFFSET(A$1,,,SUMPRODUCT(MAX(ROW(E$1:E3702)*(E2=E$1:E3702))))))</f>
        <v> </v>
      </c>
      <c r="K3703" s="25" t="str">
        <f>IF(OR(E3703="",E3703="!!!",F3703="NEW"),"",INDEX(J$1:J3702,SUMPRODUCT(MAX(ROW(E$1:E3702)*(E3703=E$1:E3702)))))</f>
        <v> </v>
      </c>
      <c r="L3703" s="26"/>
    </row>
    <row r="3704" spans="1:12">
      <c r="A3704" s="20" t="s">
        <v>581</v>
      </c>
      <c r="E3704" s="21">
        <f>IF(D3704="?OLD","!!!","")</f>
        <v/>
      </c>
      <c r="F3704" s="22" t="str">
        <f>IF(OR(E3704="",E3704="!!!"),"",IF(NOT(ISNA(VLOOKUP(E3704,E$1:E3703,1,FALSE()))),"OLD",IF(AND(E3704&lt;&gt;"",E3704&lt;&gt;"!!!"),"NEW","")))</f>
        <v> </v>
      </c>
      <c r="G3704" s="23" t="str">
        <f>IF(OR(E3704="",E3704="!!!"),"",IF(OR(J3704=0,AND(J3704=1,K3704=1),AND(J3704=1,I3704="SBJ"),AND(J3704=1,I3704=0)),"?IN_FOCUS",IF(J3704&lt;=2,"?ACTIVATED",IF(J3704&lt;&gt;"","?FAMILIAR",IF(F3704="NEW",IF(ISNA(VLOOKUP(E3704,#REF!,1,FALSE())),"?TYPE_IDENTIFIABLE","?REFERENTIAL"),"_")))))</f>
        <v> </v>
      </c>
      <c r="H3704" s="24" t="str">
        <f>IF(J3704&lt;&gt;1,"",IF(I3704="SBJ","CB","?"))</f>
        <v> </v>
      </c>
      <c r="I3704" s="25" t="str">
        <f>IF(OR(E3704="",E3704="!!!",F3704="NEW"),"",INDEX(B3703:B$2,-1+SUMPRODUCT(MAX(ROW(E3703:E$2)*(E3704=E3703:E$2)))))</f>
        <v> </v>
      </c>
      <c r="J3704" s="25" t="str">
        <f>IF(OR(E3704="",E3704="!!!",F3704="NEW"),"",COUNTBLANK(OFFSET(A$1,,,SUMPRODUCT(MAX(ROW(E$2:E3704)*(E3704=E$2:E3704)))))-COUNTBLANK(OFFSET(A$1,,,SUMPRODUCT(MAX(ROW(E$1:E3703)*(E2=E$1:E3703))))))</f>
        <v> </v>
      </c>
      <c r="K3704" s="25" t="str">
        <f>IF(OR(E3704="",E3704="!!!",F3704="NEW"),"",INDEX(J$1:J3703,SUMPRODUCT(MAX(ROW(E$1:E3703)*(E3704=E$1:E3703)))))</f>
        <v> </v>
      </c>
      <c r="L3704" s="26"/>
    </row>
    <row r="3705" spans="1:12">
      <c r="A3705" s="20" t="s">
        <v>566</v>
      </c>
      <c r="E3705" s="21">
        <f>IF(D3705="?OLD","!!!","")</f>
        <v/>
      </c>
      <c r="F3705" s="22" t="str">
        <f>IF(OR(E3705="",E3705="!!!"),"",IF(NOT(ISNA(VLOOKUP(E3705,E$1:E3704,1,FALSE()))),"OLD",IF(AND(E3705&lt;&gt;"",E3705&lt;&gt;"!!!"),"NEW","")))</f>
        <v> </v>
      </c>
      <c r="G3705" s="23" t="str">
        <f>IF(OR(E3705="",E3705="!!!"),"",IF(OR(J3705=0,AND(J3705=1,K3705=1),AND(J3705=1,I3705="SBJ"),AND(J3705=1,I3705=0)),"?IN_FOCUS",IF(J3705&lt;=2,"?ACTIVATED",IF(J3705&lt;&gt;"","?FAMILIAR",IF(F3705="NEW",IF(ISNA(VLOOKUP(E3705,#REF!,1,FALSE())),"?TYPE_IDENTIFIABLE","?REFERENTIAL"),"_")))))</f>
        <v> </v>
      </c>
      <c r="H3705" s="24" t="str">
        <f>IF(J3705&lt;&gt;1,"",IF(I3705="SBJ","CB","?"))</f>
        <v> </v>
      </c>
      <c r="I3705" s="25" t="str">
        <f>IF(OR(E3705="",E3705="!!!",F3705="NEW"),"",INDEX(B3704:B$2,-1+SUMPRODUCT(MAX(ROW(E3704:E$2)*(E3705=E3704:E$2)))))</f>
        <v> </v>
      </c>
      <c r="J3705" s="25" t="str">
        <f>IF(OR(E3705="",E3705="!!!",F3705="NEW"),"",COUNTBLANK(OFFSET(A$1,,,SUMPRODUCT(MAX(ROW(E$2:E3705)*(E3705=E$2:E3705)))))-COUNTBLANK(OFFSET(A$1,,,SUMPRODUCT(MAX(ROW(E$1:E3704)*(E2=E$1:E3704))))))</f>
        <v> </v>
      </c>
      <c r="K3705" s="25" t="str">
        <f>IF(OR(E3705="",E3705="!!!",F3705="NEW"),"",INDEX(J$1:J3704,SUMPRODUCT(MAX(ROW(E$1:E3704)*(E3705=E$1:E3704)))))</f>
        <v> </v>
      </c>
      <c r="L3705" s="26"/>
    </row>
    <row r="3706" spans="1:12">
      <c r="A3706" s="20" t="s">
        <v>571</v>
      </c>
      <c r="E3706" s="21">
        <f>IF(D3706="?OLD","!!!","")</f>
        <v/>
      </c>
      <c r="F3706" s="22" t="str">
        <f>IF(OR(E3706="",E3706="!!!"),"",IF(NOT(ISNA(VLOOKUP(E3706,E$1:E3705,1,FALSE()))),"OLD",IF(AND(E3706&lt;&gt;"",E3706&lt;&gt;"!!!"),"NEW","")))</f>
        <v> </v>
      </c>
      <c r="G3706" s="23" t="str">
        <f>IF(OR(E3706="",E3706="!!!"),"",IF(OR(J3706=0,AND(J3706=1,K3706=1),AND(J3706=1,I3706="SBJ"),AND(J3706=1,I3706=0)),"?IN_FOCUS",IF(J3706&lt;=2,"?ACTIVATED",IF(J3706&lt;&gt;"","?FAMILIAR",IF(F3706="NEW",IF(ISNA(VLOOKUP(E3706,#REF!,1,FALSE())),"?TYPE_IDENTIFIABLE","?REFERENTIAL"),"_")))))</f>
        <v> </v>
      </c>
      <c r="H3706" s="24" t="str">
        <f>IF(J3706&lt;&gt;1,"",IF(I3706="SBJ","CB","?"))</f>
        <v> </v>
      </c>
      <c r="I3706" s="25" t="str">
        <f>IF(OR(E3706="",E3706="!!!",F3706="NEW"),"",INDEX(B3705:B$2,-1+SUMPRODUCT(MAX(ROW(E3705:E$2)*(E3706=E3705:E$2)))))</f>
        <v> </v>
      </c>
      <c r="J3706" s="25" t="str">
        <f>IF(OR(E3706="",E3706="!!!",F3706="NEW"),"",COUNTBLANK(OFFSET(A$1,,,SUMPRODUCT(MAX(ROW(E$2:E3706)*(E3706=E$2:E3706)))))-COUNTBLANK(OFFSET(A$1,,,SUMPRODUCT(MAX(ROW(E$1:E3705)*(E2=E$1:E3705))))))</f>
        <v> </v>
      </c>
      <c r="K3706" s="25" t="str">
        <f>IF(OR(E3706="",E3706="!!!",F3706="NEW"),"",INDEX(J$1:J3705,SUMPRODUCT(MAX(ROW(E$1:E3705)*(E3706=E$1:E3705)))))</f>
        <v> </v>
      </c>
      <c r="L3706" s="26"/>
    </row>
    <row r="3707" spans="1:12">
      <c r="A3707" s="20" t="s">
        <v>706</v>
      </c>
      <c r="B3707" s="27" t="s">
        <v>597</v>
      </c>
      <c r="C3707" s="27" t="s">
        <v>545</v>
      </c>
      <c r="D3707" s="27" t="s">
        <v>524</v>
      </c>
      <c r="E3707" s="21">
        <f>IF(D3707="?OLD","!!!","")</f>
        <v/>
      </c>
      <c r="F3707" s="22" t="str">
        <f>IF(OR(E3707="",E3707="!!!"),"",IF(NOT(ISNA(VLOOKUP(E3707,E$1:E3706,1,FALSE()))),"OLD",IF(AND(E3707&lt;&gt;"",E3707&lt;&gt;"!!!"),"NEW","")))</f>
        <v> </v>
      </c>
      <c r="G3707" s="23" t="str">
        <f>IF(OR(E3707="",E3707="!!!"),"",IF(OR(J3707=0,AND(J3707=1,K3707=1),AND(J3707=1,I3707="SBJ"),AND(J3707=1,I3707=0)),"?IN_FOCUS",IF(J3707&lt;=2,"?ACTIVATED",IF(J3707&lt;&gt;"","?FAMILIAR",IF(F3707="NEW",IF(ISNA(VLOOKUP(E3707,#REF!,1,FALSE())),"?TYPE_IDENTIFIABLE","?REFERENTIAL"),"_")))))</f>
        <v> </v>
      </c>
      <c r="H3707" s="24" t="str">
        <f>IF(J3707&lt;&gt;1,"",IF(I3707="SBJ","CB","?"))</f>
        <v> </v>
      </c>
      <c r="I3707" s="25" t="str">
        <f>IF(OR(E3707="",E3707="!!!",F3707="NEW"),"",INDEX(B3706:B$2,-1+SUMPRODUCT(MAX(ROW(E3706:E$2)*(E3707=E3706:E$2)))))</f>
        <v> </v>
      </c>
      <c r="J3707" s="25" t="str">
        <f>IF(OR(E3707="",E3707="!!!",F3707="NEW"),"",COUNTBLANK(OFFSET(A$1,,,SUMPRODUCT(MAX(ROW(E$2:E3707)*(E3707=E$2:E3707)))))-COUNTBLANK(OFFSET(A$1,,,SUMPRODUCT(MAX(ROW(E$1:E3706)*(E2=E$1:E3706))))))</f>
        <v> </v>
      </c>
      <c r="K3707" s="25" t="str">
        <f>IF(OR(E3707="",E3707="!!!",F3707="NEW"),"",INDEX(J$1:J3706,SUMPRODUCT(MAX(ROW(E$1:E3706)*(E3707=E$1:E3706)))))</f>
        <v> </v>
      </c>
      <c r="L3707" s="26"/>
    </row>
    <row r="3708" spans="1:12">
      <c r="A3708" s="20" t="s">
        <v>528</v>
      </c>
      <c r="B3708" s="27" t="s">
        <v>529</v>
      </c>
      <c r="E3708" s="21">
        <f>IF(D3708="?OLD","!!!","")</f>
        <v/>
      </c>
      <c r="F3708" s="22" t="str">
        <f>IF(OR(E3708="",E3708="!!!"),"",IF(NOT(ISNA(VLOOKUP(E3708,E$1:E3707,1,FALSE()))),"OLD",IF(AND(E3708&lt;&gt;"",E3708&lt;&gt;"!!!"),"NEW","")))</f>
        <v> </v>
      </c>
      <c r="G3708" s="23" t="str">
        <f>IF(OR(E3708="",E3708="!!!"),"",IF(OR(J3708=0,AND(J3708=1,K3708=1),AND(J3708=1,I3708="SBJ"),AND(J3708=1,I3708=0)),"?IN_FOCUS",IF(J3708&lt;=2,"?ACTIVATED",IF(J3708&lt;&gt;"","?FAMILIAR",IF(F3708="NEW",IF(ISNA(VLOOKUP(E3708,#REF!,1,FALSE())),"?TYPE_IDENTIFIABLE","?REFERENTIAL"),"_")))))</f>
        <v> </v>
      </c>
      <c r="H3708" s="24" t="str">
        <f>IF(J3708&lt;&gt;1,"",IF(I3708="SBJ","CB","?"))</f>
        <v> </v>
      </c>
      <c r="I3708" s="25" t="str">
        <f>IF(OR(E3708="",E3708="!!!",F3708="NEW"),"",INDEX(B3707:B$2,-1+SUMPRODUCT(MAX(ROW(E3707:E$2)*(E3708=E3707:E$2)))))</f>
        <v> </v>
      </c>
      <c r="J3708" s="25" t="str">
        <f>IF(OR(E3708="",E3708="!!!",F3708="NEW"),"",COUNTBLANK(OFFSET(A$1,,,SUMPRODUCT(MAX(ROW(E$2:E3708)*(E3708=E$2:E3708)))))-COUNTBLANK(OFFSET(A$1,,,SUMPRODUCT(MAX(ROW(E$1:E3707)*(E2=E$1:E3707))))))</f>
        <v> </v>
      </c>
      <c r="K3708" s="25" t="str">
        <f>IF(OR(E3708="",E3708="!!!",F3708="NEW"),"",INDEX(J$1:J3707,SUMPRODUCT(MAX(ROW(E$1:E3707)*(E3708=E$1:E3707)))))</f>
        <v> </v>
      </c>
      <c r="L3708" s="26"/>
    </row>
    <row r="3709" spans="1:12">
      <c r="A3709" s="20" t="s">
        <v>772</v>
      </c>
      <c r="E3709" s="21">
        <f>IF(D3709="?OLD","!!!","")</f>
        <v/>
      </c>
      <c r="F3709" s="22" t="str">
        <f>IF(OR(E3709="",E3709="!!!"),"",IF(NOT(ISNA(VLOOKUP(E3709,E$1:E3708,1,FALSE()))),"OLD",IF(AND(E3709&lt;&gt;"",E3709&lt;&gt;"!!!"),"NEW","")))</f>
        <v> </v>
      </c>
      <c r="G3709" s="23" t="str">
        <f>IF(OR(E3709="",E3709="!!!"),"",IF(OR(J3709=0,AND(J3709=1,K3709=1),AND(J3709=1,I3709="SBJ"),AND(J3709=1,I3709=0)),"?IN_FOCUS",IF(J3709&lt;=2,"?ACTIVATED",IF(J3709&lt;&gt;"","?FAMILIAR",IF(F3709="NEW",IF(ISNA(VLOOKUP(E3709,#REF!,1,FALSE())),"?TYPE_IDENTIFIABLE","?REFERENTIAL"),"_")))))</f>
        <v> </v>
      </c>
      <c r="H3709" s="24" t="str">
        <f>IF(J3709&lt;&gt;1,"",IF(I3709="SBJ","CB","?"))</f>
        <v> </v>
      </c>
      <c r="I3709" s="25" t="str">
        <f>IF(OR(E3709="",E3709="!!!",F3709="NEW"),"",INDEX(B3708:B$2,-1+SUMPRODUCT(MAX(ROW(E3708:E$2)*(E3709=E3708:E$2)))))</f>
        <v> </v>
      </c>
      <c r="J3709" s="25" t="str">
        <f>IF(OR(E3709="",E3709="!!!",F3709="NEW"),"",COUNTBLANK(OFFSET(A$1,,,SUMPRODUCT(MAX(ROW(E$2:E3709)*(E3709=E$2:E3709)))))-COUNTBLANK(OFFSET(A$1,,,SUMPRODUCT(MAX(ROW(E$1:E3708)*(E2=E$1:E3708))))))</f>
        <v> </v>
      </c>
      <c r="K3709" s="25" t="str">
        <f>IF(OR(E3709="",E3709="!!!",F3709="NEW"),"",INDEX(J$1:J3708,SUMPRODUCT(MAX(ROW(E$1:E3708)*(E3709=E$1:E3708)))))</f>
        <v> </v>
      </c>
      <c r="L3709" s="26"/>
    </row>
    <row r="3710" spans="1:12">
      <c r="A3710" s="20" t="s">
        <v>1702</v>
      </c>
      <c r="E3710" s="21">
        <f>IF(D3710="?OLD","!!!","")</f>
        <v/>
      </c>
      <c r="F3710" s="22" t="str">
        <f>IF(OR(E3710="",E3710="!!!"),"",IF(NOT(ISNA(VLOOKUP(E3710,E$1:E3709,1,FALSE()))),"OLD",IF(AND(E3710&lt;&gt;"",E3710&lt;&gt;"!!!"),"NEW","")))</f>
        <v> </v>
      </c>
      <c r="G3710" s="23" t="str">
        <f>IF(OR(E3710="",E3710="!!!"),"",IF(OR(J3710=0,AND(J3710=1,K3710=1),AND(J3710=1,I3710="SBJ"),AND(J3710=1,I3710=0)),"?IN_FOCUS",IF(J3710&lt;=2,"?ACTIVATED",IF(J3710&lt;&gt;"","?FAMILIAR",IF(F3710="NEW",IF(ISNA(VLOOKUP(E3710,#REF!,1,FALSE())),"?TYPE_IDENTIFIABLE","?REFERENTIAL"),"_")))))</f>
        <v> </v>
      </c>
      <c r="H3710" s="24" t="str">
        <f>IF(J3710&lt;&gt;1,"",IF(I3710="SBJ","CB","?"))</f>
        <v> </v>
      </c>
      <c r="I3710" s="25" t="str">
        <f>IF(OR(E3710="",E3710="!!!",F3710="NEW"),"",INDEX(B3709:B$2,-1+SUMPRODUCT(MAX(ROW(E3709:E$2)*(E3710=E3709:E$2)))))</f>
        <v> </v>
      </c>
      <c r="J3710" s="25" t="str">
        <f>IF(OR(E3710="",E3710="!!!",F3710="NEW"),"",COUNTBLANK(OFFSET(A$1,,,SUMPRODUCT(MAX(ROW(E$2:E3710)*(E3710=E$2:E3710)))))-COUNTBLANK(OFFSET(A$1,,,SUMPRODUCT(MAX(ROW(E$1:E3709)*(E2=E$1:E3709))))))</f>
        <v> </v>
      </c>
      <c r="K3710" s="25" t="str">
        <f>IF(OR(E3710="",E3710="!!!",F3710="NEW"),"",INDEX(J$1:J3709,SUMPRODUCT(MAX(ROW(E$1:E3709)*(E3710=E$1:E3709)))))</f>
        <v> </v>
      </c>
      <c r="L3710" s="26"/>
    </row>
    <row r="3711" spans="1:12">
      <c r="A3711" s="20" t="s">
        <v>1622</v>
      </c>
      <c r="E3711" s="21">
        <f>IF(D3711="?OLD","!!!","")</f>
        <v/>
      </c>
      <c r="F3711" s="22" t="str">
        <f>IF(OR(E3711="",E3711="!!!"),"",IF(NOT(ISNA(VLOOKUP(E3711,E$1:E3710,1,FALSE()))),"OLD",IF(AND(E3711&lt;&gt;"",E3711&lt;&gt;"!!!"),"NEW","")))</f>
        <v> </v>
      </c>
      <c r="G3711" s="23" t="str">
        <f>IF(OR(E3711="",E3711="!!!"),"",IF(OR(J3711=0,AND(J3711=1,K3711=1),AND(J3711=1,I3711="SBJ"),AND(J3711=1,I3711=0)),"?IN_FOCUS",IF(J3711&lt;=2,"?ACTIVATED",IF(J3711&lt;&gt;"","?FAMILIAR",IF(F3711="NEW",IF(ISNA(VLOOKUP(E3711,#REF!,1,FALSE())),"?TYPE_IDENTIFIABLE","?REFERENTIAL"),"_")))))</f>
        <v> </v>
      </c>
      <c r="H3711" s="24" t="str">
        <f>IF(J3711&lt;&gt;1,"",IF(I3711="SBJ","CB","?"))</f>
        <v> </v>
      </c>
      <c r="I3711" s="25" t="str">
        <f>IF(OR(E3711="",E3711="!!!",F3711="NEW"),"",INDEX(B3710:B$2,-1+SUMPRODUCT(MAX(ROW(E3710:E$2)*(E3711=E3710:E$2)))))</f>
        <v> </v>
      </c>
      <c r="J3711" s="25" t="str">
        <f>IF(OR(E3711="",E3711="!!!",F3711="NEW"),"",COUNTBLANK(OFFSET(A$1,,,SUMPRODUCT(MAX(ROW(E$2:E3711)*(E3711=E$2:E3711)))))-COUNTBLANK(OFFSET(A$1,,,SUMPRODUCT(MAX(ROW(E$1:E3710)*(E2=E$1:E3710))))))</f>
        <v> </v>
      </c>
      <c r="K3711" s="25" t="str">
        <f>IF(OR(E3711="",E3711="!!!",F3711="NEW"),"",INDEX(J$1:J3710,SUMPRODUCT(MAX(ROW(E$1:E3710)*(E3711=E$1:E3710)))))</f>
        <v> </v>
      </c>
      <c r="L3711" s="26"/>
    </row>
    <row r="3712" spans="1:12">
      <c r="A3712" s="20" t="s">
        <v>661</v>
      </c>
      <c r="B3712" s="27" t="s">
        <v>573</v>
      </c>
      <c r="C3712" s="27" t="s">
        <v>908</v>
      </c>
      <c r="E3712" s="21">
        <f>IF(D3712="?OLD","!!!","")</f>
        <v/>
      </c>
      <c r="F3712" s="22" t="str">
        <f>IF(OR(E3712="",E3712="!!!"),"",IF(NOT(ISNA(VLOOKUP(E3712,E$1:E3711,1,FALSE()))),"OLD",IF(AND(E3712&lt;&gt;"",E3712&lt;&gt;"!!!"),"NEW","")))</f>
        <v> </v>
      </c>
      <c r="G3712" s="23" t="str">
        <f>IF(OR(E3712="",E3712="!!!"),"",IF(OR(J3712=0,AND(J3712=1,K3712=1),AND(J3712=1,I3712="SBJ"),AND(J3712=1,I3712=0)),"?IN_FOCUS",IF(J3712&lt;=2,"?ACTIVATED",IF(J3712&lt;&gt;"","?FAMILIAR",IF(F3712="NEW",IF(ISNA(VLOOKUP(E3712,#REF!,1,FALSE())),"?TYPE_IDENTIFIABLE","?REFERENTIAL"),"_")))))</f>
        <v> </v>
      </c>
      <c r="H3712" s="24" t="str">
        <f>IF(J3712&lt;&gt;1,"",IF(I3712="SBJ","CB","?"))</f>
        <v> </v>
      </c>
      <c r="I3712" s="25" t="str">
        <f>IF(OR(E3712="",E3712="!!!",F3712="NEW"),"",INDEX(B3711:B$2,-1+SUMPRODUCT(MAX(ROW(E3711:E$2)*(E3712=E3711:E$2)))))</f>
        <v> </v>
      </c>
      <c r="J3712" s="25" t="str">
        <f>IF(OR(E3712="",E3712="!!!",F3712="NEW"),"",COUNTBLANK(OFFSET(A$1,,,SUMPRODUCT(MAX(ROW(E$2:E3712)*(E3712=E$2:E3712)))))-COUNTBLANK(OFFSET(A$1,,,SUMPRODUCT(MAX(ROW(E$1:E3711)*(E2=E$1:E3711))))))</f>
        <v> </v>
      </c>
      <c r="K3712" s="25" t="str">
        <f>IF(OR(E3712="",E3712="!!!",F3712="NEW"),"",INDEX(J$1:J3711,SUMPRODUCT(MAX(ROW(E$1:E3711)*(E3712=E$1:E3711)))))</f>
        <v> </v>
      </c>
      <c r="L3712" s="26"/>
    </row>
    <row r="3713" spans="1:12">
      <c r="A3713" s="20" t="s">
        <v>625</v>
      </c>
      <c r="E3713" s="21">
        <f>IF(D3713="?OLD","!!!","")</f>
        <v/>
      </c>
      <c r="F3713" s="22" t="str">
        <f>IF(OR(E3713="",E3713="!!!"),"",IF(NOT(ISNA(VLOOKUP(E3713,E$1:E3712,1,FALSE()))),"OLD",IF(AND(E3713&lt;&gt;"",E3713&lt;&gt;"!!!"),"NEW","")))</f>
        <v> </v>
      </c>
      <c r="G3713" s="23" t="str">
        <f>IF(OR(E3713="",E3713="!!!"),"",IF(OR(J3713=0,AND(J3713=1,K3713=1),AND(J3713=1,I3713="SBJ"),AND(J3713=1,I3713=0)),"?IN_FOCUS",IF(J3713&lt;=2,"?ACTIVATED",IF(J3713&lt;&gt;"","?FAMILIAR",IF(F3713="NEW",IF(ISNA(VLOOKUP(E3713,#REF!,1,FALSE())),"?TYPE_IDENTIFIABLE","?REFERENTIAL"),"_")))))</f>
        <v> </v>
      </c>
      <c r="H3713" s="24" t="str">
        <f>IF(J3713&lt;&gt;1,"",IF(I3713="SBJ","CB","?"))</f>
        <v> </v>
      </c>
      <c r="I3713" s="25" t="str">
        <f>IF(OR(E3713="",E3713="!!!",F3713="NEW"),"",INDEX(B3712:B$2,-1+SUMPRODUCT(MAX(ROW(E3712:E$2)*(E3713=E3712:E$2)))))</f>
        <v> </v>
      </c>
      <c r="J3713" s="25" t="str">
        <f>IF(OR(E3713="",E3713="!!!",F3713="NEW"),"",COUNTBLANK(OFFSET(A$1,,,SUMPRODUCT(MAX(ROW(E$2:E3713)*(E3713=E$2:E3713)))))-COUNTBLANK(OFFSET(A$1,,,SUMPRODUCT(MAX(ROW(E$1:E3712)*(E2=E$1:E3712))))))</f>
        <v> </v>
      </c>
      <c r="K3713" s="25" t="str">
        <f>IF(OR(E3713="",E3713="!!!",F3713="NEW"),"",INDEX(J$1:J3712,SUMPRODUCT(MAX(ROW(E$1:E3712)*(E3713=E$1:E3712)))))</f>
        <v> </v>
      </c>
      <c r="L3713" s="26"/>
    </row>
    <row r="3714" spans="1:12">
      <c r="A3714" s="20" t="s">
        <v>730</v>
      </c>
      <c r="B3714" s="27" t="s">
        <v>556</v>
      </c>
      <c r="C3714" s="27" t="s">
        <v>584</v>
      </c>
      <c r="D3714" s="27" t="s">
        <v>524</v>
      </c>
      <c r="E3714" s="21">
        <f>IF(D3714="?OLD","!!!","")</f>
        <v/>
      </c>
      <c r="F3714" s="22" t="str">
        <f>IF(OR(E3714="",E3714="!!!"),"",IF(NOT(ISNA(VLOOKUP(E3714,E$1:E3713,1,FALSE()))),"OLD",IF(AND(E3714&lt;&gt;"",E3714&lt;&gt;"!!!"),"NEW","")))</f>
        <v> </v>
      </c>
      <c r="G3714" s="23" t="str">
        <f>IF(OR(E3714="",E3714="!!!"),"",IF(OR(J3714=0,AND(J3714=1,K3714=1),AND(J3714=1,I3714="SBJ"),AND(J3714=1,I3714=0)),"?IN_FOCUS",IF(J3714&lt;=2,"?ACTIVATED",IF(J3714&lt;&gt;"","?FAMILIAR",IF(F3714="NEW",IF(ISNA(VLOOKUP(E3714,#REF!,1,FALSE())),"?TYPE_IDENTIFIABLE","?REFERENTIAL"),"_")))))</f>
        <v> </v>
      </c>
      <c r="H3714" s="24" t="str">
        <f>IF(J3714&lt;&gt;1,"",IF(I3714="SBJ","CB","?"))</f>
        <v> </v>
      </c>
      <c r="I3714" s="25" t="str">
        <f>IF(OR(E3714="",E3714="!!!",F3714="NEW"),"",INDEX(B3713:B$2,-1+SUMPRODUCT(MAX(ROW(E3713:E$2)*(E3714=E3713:E$2)))))</f>
        <v> </v>
      </c>
      <c r="J3714" s="25" t="str">
        <f>IF(OR(E3714="",E3714="!!!",F3714="NEW"),"",COUNTBLANK(OFFSET(A$1,,,SUMPRODUCT(MAX(ROW(E$2:E3714)*(E3714=E$2:E3714)))))-COUNTBLANK(OFFSET(A$1,,,SUMPRODUCT(MAX(ROW(E$1:E3713)*(E2=E$1:E3713))))))</f>
        <v> </v>
      </c>
      <c r="K3714" s="25" t="str">
        <f>IF(OR(E3714="",E3714="!!!",F3714="NEW"),"",INDEX(J$1:J3713,SUMPRODUCT(MAX(ROW(E$1:E3713)*(E3714=E$1:E3713)))))</f>
        <v> </v>
      </c>
      <c r="L3714" s="26"/>
    </row>
    <row r="3715" spans="1:12">
      <c r="A3715" s="20" t="s">
        <v>1703</v>
      </c>
      <c r="E3715" s="21">
        <f>IF(D3715="?OLD","!!!","")</f>
        <v/>
      </c>
      <c r="F3715" s="22" t="str">
        <f>IF(OR(E3715="",E3715="!!!"),"",IF(NOT(ISNA(VLOOKUP(E3715,E$1:E3714,1,FALSE()))),"OLD",IF(AND(E3715&lt;&gt;"",E3715&lt;&gt;"!!!"),"NEW","")))</f>
        <v> </v>
      </c>
      <c r="G3715" s="23" t="str">
        <f>IF(OR(E3715="",E3715="!!!"),"",IF(OR(J3715=0,AND(J3715=1,K3715=1),AND(J3715=1,I3715="SBJ"),AND(J3715=1,I3715=0)),"?IN_FOCUS",IF(J3715&lt;=2,"?ACTIVATED",IF(J3715&lt;&gt;"","?FAMILIAR",IF(F3715="NEW",IF(ISNA(VLOOKUP(E3715,#REF!,1,FALSE())),"?TYPE_IDENTIFIABLE","?REFERENTIAL"),"_")))))</f>
        <v> </v>
      </c>
      <c r="H3715" s="24" t="str">
        <f>IF(J3715&lt;&gt;1,"",IF(I3715="SBJ","CB","?"))</f>
        <v> </v>
      </c>
      <c r="I3715" s="25" t="str">
        <f>IF(OR(E3715="",E3715="!!!",F3715="NEW"),"",INDEX(B3714:B$2,-1+SUMPRODUCT(MAX(ROW(E3714:E$2)*(E3715=E3714:E$2)))))</f>
        <v> </v>
      </c>
      <c r="J3715" s="25" t="str">
        <f>IF(OR(E3715="",E3715="!!!",F3715="NEW"),"",COUNTBLANK(OFFSET(A$1,,,SUMPRODUCT(MAX(ROW(E$2:E3715)*(E3715=E$2:E3715)))))-COUNTBLANK(OFFSET(A$1,,,SUMPRODUCT(MAX(ROW(E$1:E3714)*(E2=E$1:E3714))))))</f>
        <v> </v>
      </c>
      <c r="K3715" s="25" t="str">
        <f>IF(OR(E3715="",E3715="!!!",F3715="NEW"),"",INDEX(J$1:J3714,SUMPRODUCT(MAX(ROW(E$1:E3714)*(E3715=E$1:E3714)))))</f>
        <v> </v>
      </c>
      <c r="L3715" s="26"/>
    </row>
    <row r="3716" spans="1:12">
      <c r="A3716" s="20" t="s">
        <v>1704</v>
      </c>
      <c r="E3716" s="21">
        <f>IF(D3716="?OLD","!!!","")</f>
        <v/>
      </c>
      <c r="F3716" s="22" t="str">
        <f>IF(OR(E3716="",E3716="!!!"),"",IF(NOT(ISNA(VLOOKUP(E3716,E$1:E3715,1,FALSE()))),"OLD",IF(AND(E3716&lt;&gt;"",E3716&lt;&gt;"!!!"),"NEW","")))</f>
        <v> </v>
      </c>
      <c r="G3716" s="23" t="str">
        <f>IF(OR(E3716="",E3716="!!!"),"",IF(OR(J3716=0,AND(J3716=1,K3716=1),AND(J3716=1,I3716="SBJ"),AND(J3716=1,I3716=0)),"?IN_FOCUS",IF(J3716&lt;=2,"?ACTIVATED",IF(J3716&lt;&gt;"","?FAMILIAR",IF(F3716="NEW",IF(ISNA(VLOOKUP(E3716,#REF!,1,FALSE())),"?TYPE_IDENTIFIABLE","?REFERENTIAL"),"_")))))</f>
        <v> </v>
      </c>
      <c r="H3716" s="24" t="str">
        <f>IF(J3716&lt;&gt;1,"",IF(I3716="SBJ","CB","?"))</f>
        <v> </v>
      </c>
      <c r="I3716" s="25" t="str">
        <f>IF(OR(E3716="",E3716="!!!",F3716="NEW"),"",INDEX(B3715:B$2,-1+SUMPRODUCT(MAX(ROW(E3715:E$2)*(E3716=E3715:E$2)))))</f>
        <v> </v>
      </c>
      <c r="J3716" s="25" t="str">
        <f>IF(OR(E3716="",E3716="!!!",F3716="NEW"),"",COUNTBLANK(OFFSET(A$1,,,SUMPRODUCT(MAX(ROW(E$2:E3716)*(E3716=E$2:E3716)))))-COUNTBLANK(OFFSET(A$1,,,SUMPRODUCT(MAX(ROW(E$1:E3715)*(E2=E$1:E3715))))))</f>
        <v> </v>
      </c>
      <c r="K3716" s="25" t="str">
        <f>IF(OR(E3716="",E3716="!!!",F3716="NEW"),"",INDEX(J$1:J3715,SUMPRODUCT(MAX(ROW(E$1:E3715)*(E3716=E$1:E3715)))))</f>
        <v> </v>
      </c>
      <c r="L3716" s="26"/>
    </row>
    <row r="3717" spans="1:12">
      <c r="A3717" s="20" t="s">
        <v>565</v>
      </c>
      <c r="E3717" s="21">
        <f>IF(D3717="?OLD","!!!","")</f>
        <v/>
      </c>
      <c r="F3717" s="22" t="str">
        <f>IF(OR(E3717="",E3717="!!!"),"",IF(NOT(ISNA(VLOOKUP(E3717,E$1:E3716,1,FALSE()))),"OLD",IF(AND(E3717&lt;&gt;"",E3717&lt;&gt;"!!!"),"NEW","")))</f>
        <v> </v>
      </c>
      <c r="G3717" s="23" t="str">
        <f>IF(OR(E3717="",E3717="!!!"),"",IF(OR(J3717=0,AND(J3717=1,K3717=1),AND(J3717=1,I3717="SBJ"),AND(J3717=1,I3717=0)),"?IN_FOCUS",IF(J3717&lt;=2,"?ACTIVATED",IF(J3717&lt;&gt;"","?FAMILIAR",IF(F3717="NEW",IF(ISNA(VLOOKUP(E3717,#REF!,1,FALSE())),"?TYPE_IDENTIFIABLE","?REFERENTIAL"),"_")))))</f>
        <v> </v>
      </c>
      <c r="H3717" s="24" t="str">
        <f>IF(J3717&lt;&gt;1,"",IF(I3717="SBJ","CB","?"))</f>
        <v> </v>
      </c>
      <c r="I3717" s="25" t="str">
        <f>IF(OR(E3717="",E3717="!!!",F3717="NEW"),"",INDEX(B3716:B$2,-1+SUMPRODUCT(MAX(ROW(E3716:E$2)*(E3717=E3716:E$2)))))</f>
        <v> </v>
      </c>
      <c r="J3717" s="25" t="str">
        <f>IF(OR(E3717="",E3717="!!!",F3717="NEW"),"",COUNTBLANK(OFFSET(A$1,,,SUMPRODUCT(MAX(ROW(E$2:E3717)*(E3717=E$2:E3717)))))-COUNTBLANK(OFFSET(A$1,,,SUMPRODUCT(MAX(ROW(E$1:E3716)*(E2=E$1:E3716))))))</f>
        <v> </v>
      </c>
      <c r="K3717" s="25" t="str">
        <f>IF(OR(E3717="",E3717="!!!",F3717="NEW"),"",INDEX(J$1:J3716,SUMPRODUCT(MAX(ROW(E$1:E3716)*(E3717=E$1:E3716)))))</f>
        <v> </v>
      </c>
      <c r="L3717" s="26"/>
    </row>
    <row r="3718" spans="1:12">
      <c r="A3718" s="20" t="s">
        <v>581</v>
      </c>
      <c r="E3718" s="21">
        <f>IF(D3718="?OLD","!!!","")</f>
        <v/>
      </c>
      <c r="F3718" s="22" t="str">
        <f>IF(OR(E3718="",E3718="!!!"),"",IF(NOT(ISNA(VLOOKUP(E3718,E$1:E3717,1,FALSE()))),"OLD",IF(AND(E3718&lt;&gt;"",E3718&lt;&gt;"!!!"),"NEW","")))</f>
        <v> </v>
      </c>
      <c r="G3718" s="23" t="str">
        <f>IF(OR(E3718="",E3718="!!!"),"",IF(OR(J3718=0,AND(J3718=1,K3718=1),AND(J3718=1,I3718="SBJ"),AND(J3718=1,I3718=0)),"?IN_FOCUS",IF(J3718&lt;=2,"?ACTIVATED",IF(J3718&lt;&gt;"","?FAMILIAR",IF(F3718="NEW",IF(ISNA(VLOOKUP(E3718,#REF!,1,FALSE())),"?TYPE_IDENTIFIABLE","?REFERENTIAL"),"_")))))</f>
        <v> </v>
      </c>
      <c r="H3718" s="24" t="str">
        <f>IF(J3718&lt;&gt;1,"",IF(I3718="SBJ","CB","?"))</f>
        <v> </v>
      </c>
      <c r="I3718" s="25" t="str">
        <f>IF(OR(E3718="",E3718="!!!",F3718="NEW"),"",INDEX(B3717:B$2,-1+SUMPRODUCT(MAX(ROW(E3717:E$2)*(E3718=E3717:E$2)))))</f>
        <v> </v>
      </c>
      <c r="J3718" s="25" t="str">
        <f>IF(OR(E3718="",E3718="!!!",F3718="NEW"),"",COUNTBLANK(OFFSET(A$1,,,SUMPRODUCT(MAX(ROW(E$2:E3718)*(E3718=E$2:E3718)))))-COUNTBLANK(OFFSET(A$1,,,SUMPRODUCT(MAX(ROW(E$1:E3717)*(E2=E$1:E3717))))))</f>
        <v> </v>
      </c>
      <c r="K3718" s="25" t="str">
        <f>IF(OR(E3718="",E3718="!!!",F3718="NEW"),"",INDEX(J$1:J3717,SUMPRODUCT(MAX(ROW(E$1:E3717)*(E3718=E$1:E3717)))))</f>
        <v> </v>
      </c>
      <c r="L3718" s="26"/>
    </row>
    <row r="3719" spans="1:12">
      <c r="A3719" s="20" t="s">
        <v>1705</v>
      </c>
      <c r="E3719" s="21">
        <f>IF(D3719="?OLD","!!!","")</f>
        <v/>
      </c>
      <c r="F3719" s="22" t="str">
        <f>IF(OR(E3719="",E3719="!!!"),"",IF(NOT(ISNA(VLOOKUP(E3719,E$1:E3718,1,FALSE()))),"OLD",IF(AND(E3719&lt;&gt;"",E3719&lt;&gt;"!!!"),"NEW","")))</f>
        <v> </v>
      </c>
      <c r="G3719" s="23" t="str">
        <f>IF(OR(E3719="",E3719="!!!"),"",IF(OR(J3719=0,AND(J3719=1,K3719=1),AND(J3719=1,I3719="SBJ"),AND(J3719=1,I3719=0)),"?IN_FOCUS",IF(J3719&lt;=2,"?ACTIVATED",IF(J3719&lt;&gt;"","?FAMILIAR",IF(F3719="NEW",IF(ISNA(VLOOKUP(E3719,#REF!,1,FALSE())),"?TYPE_IDENTIFIABLE","?REFERENTIAL"),"_")))))</f>
        <v> </v>
      </c>
      <c r="H3719" s="24" t="str">
        <f>IF(J3719&lt;&gt;1,"",IF(I3719="SBJ","CB","?"))</f>
        <v> </v>
      </c>
      <c r="I3719" s="25" t="str">
        <f>IF(OR(E3719="",E3719="!!!",F3719="NEW"),"",INDEX(B3718:B$2,-1+SUMPRODUCT(MAX(ROW(E3718:E$2)*(E3719=E3718:E$2)))))</f>
        <v> </v>
      </c>
      <c r="J3719" s="25" t="str">
        <f>IF(OR(E3719="",E3719="!!!",F3719="NEW"),"",COUNTBLANK(OFFSET(A$1,,,SUMPRODUCT(MAX(ROW(E$2:E3719)*(E3719=E$2:E3719)))))-COUNTBLANK(OFFSET(A$1,,,SUMPRODUCT(MAX(ROW(E$1:E3718)*(E2=E$1:E3718))))))</f>
        <v> </v>
      </c>
      <c r="K3719" s="25" t="str">
        <f>IF(OR(E3719="",E3719="!!!",F3719="NEW"),"",INDEX(J$1:J3718,SUMPRODUCT(MAX(ROW(E$1:E3718)*(E3719=E$1:E3718)))))</f>
        <v> </v>
      </c>
      <c r="L3719" s="26"/>
    </row>
    <row r="3720" spans="1:12">
      <c r="A3720" s="20" t="s">
        <v>594</v>
      </c>
      <c r="E3720" s="21">
        <f>IF(D3720="?OLD","!!!","")</f>
        <v/>
      </c>
      <c r="F3720" s="22" t="str">
        <f>IF(OR(E3720="",E3720="!!!"),"",IF(NOT(ISNA(VLOOKUP(E3720,E$1:E3719,1,FALSE()))),"OLD",IF(AND(E3720&lt;&gt;"",E3720&lt;&gt;"!!!"),"NEW","")))</f>
        <v> </v>
      </c>
      <c r="G3720" s="23" t="str">
        <f>IF(OR(E3720="",E3720="!!!"),"",IF(OR(J3720=0,AND(J3720=1,K3720=1),AND(J3720=1,I3720="SBJ"),AND(J3720=1,I3720=0)),"?IN_FOCUS",IF(J3720&lt;=2,"?ACTIVATED",IF(J3720&lt;&gt;"","?FAMILIAR",IF(F3720="NEW",IF(ISNA(VLOOKUP(E3720,#REF!,1,FALSE())),"?TYPE_IDENTIFIABLE","?REFERENTIAL"),"_")))))</f>
        <v> </v>
      </c>
      <c r="H3720" s="24" t="str">
        <f>IF(J3720&lt;&gt;1,"",IF(I3720="SBJ","CB","?"))</f>
        <v> </v>
      </c>
      <c r="I3720" s="25" t="str">
        <f>IF(OR(E3720="",E3720="!!!",F3720="NEW"),"",INDEX(B3719:B$2,-1+SUMPRODUCT(MAX(ROW(E3719:E$2)*(E3720=E3719:E$2)))))</f>
        <v> </v>
      </c>
      <c r="J3720" s="25" t="str">
        <f>IF(OR(E3720="",E3720="!!!",F3720="NEW"),"",COUNTBLANK(OFFSET(A$1,,,SUMPRODUCT(MAX(ROW(E$2:E3720)*(E3720=E$2:E3720)))))-COUNTBLANK(OFFSET(A$1,,,SUMPRODUCT(MAX(ROW(E$1:E3719)*(E2=E$1:E3719))))))</f>
        <v> </v>
      </c>
      <c r="K3720" s="25" t="str">
        <f>IF(OR(E3720="",E3720="!!!",F3720="NEW"),"",INDEX(J$1:J3719,SUMPRODUCT(MAX(ROW(E$1:E3719)*(E3720=E$1:E3719)))))</f>
        <v> </v>
      </c>
      <c r="L3720" s="26"/>
    </row>
    <row r="3721" spans="1:12">
      <c r="A3721" s="20" t="s">
        <v>1706</v>
      </c>
      <c r="E3721" s="21">
        <f>IF(D3721="?OLD","!!!","")</f>
        <v/>
      </c>
      <c r="F3721" s="22" t="str">
        <f>IF(OR(E3721="",E3721="!!!"),"",IF(NOT(ISNA(VLOOKUP(E3721,E$1:E3720,1,FALSE()))),"OLD",IF(AND(E3721&lt;&gt;"",E3721&lt;&gt;"!!!"),"NEW","")))</f>
        <v> </v>
      </c>
      <c r="G3721" s="23" t="str">
        <f>IF(OR(E3721="",E3721="!!!"),"",IF(OR(J3721=0,AND(J3721=1,K3721=1),AND(J3721=1,I3721="SBJ"),AND(J3721=1,I3721=0)),"?IN_FOCUS",IF(J3721&lt;=2,"?ACTIVATED",IF(J3721&lt;&gt;"","?FAMILIAR",IF(F3721="NEW",IF(ISNA(VLOOKUP(E3721,#REF!,1,FALSE())),"?TYPE_IDENTIFIABLE","?REFERENTIAL"),"_")))))</f>
        <v> </v>
      </c>
      <c r="H3721" s="24" t="str">
        <f>IF(J3721&lt;&gt;1,"",IF(I3721="SBJ","CB","?"))</f>
        <v> </v>
      </c>
      <c r="I3721" s="25" t="str">
        <f>IF(OR(E3721="",E3721="!!!",F3721="NEW"),"",INDEX(B3720:B$2,-1+SUMPRODUCT(MAX(ROW(E3720:E$2)*(E3721=E3720:E$2)))))</f>
        <v> </v>
      </c>
      <c r="J3721" s="25" t="str">
        <f>IF(OR(E3721="",E3721="!!!",F3721="NEW"),"",COUNTBLANK(OFFSET(A$1,,,SUMPRODUCT(MAX(ROW(E$2:E3721)*(E3721=E$2:E3721)))))-COUNTBLANK(OFFSET(A$1,,,SUMPRODUCT(MAX(ROW(E$1:E3720)*(E2=E$1:E3720))))))</f>
        <v> </v>
      </c>
      <c r="K3721" s="25" t="str">
        <f>IF(OR(E3721="",E3721="!!!",F3721="NEW"),"",INDEX(J$1:J3720,SUMPRODUCT(MAX(ROW(E$1:E3720)*(E3721=E$1:E3720)))))</f>
        <v> </v>
      </c>
      <c r="L3721" s="26"/>
    </row>
    <row r="3722" spans="1:12">
      <c r="A3722" s="20" t="s">
        <v>1056</v>
      </c>
      <c r="E3722" s="21">
        <f>IF(D3722="?OLD","!!!","")</f>
        <v/>
      </c>
      <c r="F3722" s="22" t="str">
        <f>IF(OR(E3722="",E3722="!!!"),"",IF(NOT(ISNA(VLOOKUP(E3722,E$1:E3721,1,FALSE()))),"OLD",IF(AND(E3722&lt;&gt;"",E3722&lt;&gt;"!!!"),"NEW","")))</f>
        <v> </v>
      </c>
      <c r="G3722" s="23" t="str">
        <f>IF(OR(E3722="",E3722="!!!"),"",IF(OR(J3722=0,AND(J3722=1,K3722=1),AND(J3722=1,I3722="SBJ"),AND(J3722=1,I3722=0)),"?IN_FOCUS",IF(J3722&lt;=2,"?ACTIVATED",IF(J3722&lt;&gt;"","?FAMILIAR",IF(F3722="NEW",IF(ISNA(VLOOKUP(E3722,#REF!,1,FALSE())),"?TYPE_IDENTIFIABLE","?REFERENTIAL"),"_")))))</f>
        <v> </v>
      </c>
      <c r="H3722" s="24" t="str">
        <f>IF(J3722&lt;&gt;1,"",IF(I3722="SBJ","CB","?"))</f>
        <v> </v>
      </c>
      <c r="I3722" s="25" t="str">
        <f>IF(OR(E3722="",E3722="!!!",F3722="NEW"),"",INDEX(B3721:B$2,-1+SUMPRODUCT(MAX(ROW(E3721:E$2)*(E3722=E3721:E$2)))))</f>
        <v> </v>
      </c>
      <c r="J3722" s="25" t="str">
        <f>IF(OR(E3722="",E3722="!!!",F3722="NEW"),"",COUNTBLANK(OFFSET(A$1,,,SUMPRODUCT(MAX(ROW(E$2:E3722)*(E3722=E$2:E3722)))))-COUNTBLANK(OFFSET(A$1,,,SUMPRODUCT(MAX(ROW(E$1:E3721)*(E2=E$1:E3721))))))</f>
        <v> </v>
      </c>
      <c r="K3722" s="25" t="str">
        <f>IF(OR(E3722="",E3722="!!!",F3722="NEW"),"",INDEX(J$1:J3721,SUMPRODUCT(MAX(ROW(E$1:E3721)*(E3722=E$1:E3721)))))</f>
        <v> </v>
      </c>
      <c r="L3722" s="26"/>
    </row>
    <row r="3723" spans="1:12">
      <c r="A3723" s="20" t="s">
        <v>1245</v>
      </c>
      <c r="E3723" s="21">
        <f>IF(D3723="?OLD","!!!","")</f>
        <v/>
      </c>
      <c r="F3723" s="22" t="str">
        <f>IF(OR(E3723="",E3723="!!!"),"",IF(NOT(ISNA(VLOOKUP(E3723,E$1:E3722,1,FALSE()))),"OLD",IF(AND(E3723&lt;&gt;"",E3723&lt;&gt;"!!!"),"NEW","")))</f>
        <v> </v>
      </c>
      <c r="G3723" s="23" t="str">
        <f>IF(OR(E3723="",E3723="!!!"),"",IF(OR(J3723=0,AND(J3723=1,K3723=1),AND(J3723=1,I3723="SBJ"),AND(J3723=1,I3723=0)),"?IN_FOCUS",IF(J3723&lt;=2,"?ACTIVATED",IF(J3723&lt;&gt;"","?FAMILIAR",IF(F3723="NEW",IF(ISNA(VLOOKUP(E3723,#REF!,1,FALSE())),"?TYPE_IDENTIFIABLE","?REFERENTIAL"),"_")))))</f>
        <v> </v>
      </c>
      <c r="H3723" s="24" t="str">
        <f>IF(J3723&lt;&gt;1,"",IF(I3723="SBJ","CB","?"))</f>
        <v> </v>
      </c>
      <c r="I3723" s="25" t="str">
        <f>IF(OR(E3723="",E3723="!!!",F3723="NEW"),"",INDEX(B3722:B$2,-1+SUMPRODUCT(MAX(ROW(E3722:E$2)*(E3723=E3722:E$2)))))</f>
        <v> </v>
      </c>
      <c r="J3723" s="25" t="str">
        <f>IF(OR(E3723="",E3723="!!!",F3723="NEW"),"",COUNTBLANK(OFFSET(A$1,,,SUMPRODUCT(MAX(ROW(E$2:E3723)*(E3723=E$2:E3723)))))-COUNTBLANK(OFFSET(A$1,,,SUMPRODUCT(MAX(ROW(E$1:E3722)*(E2=E$1:E3722))))))</f>
        <v> </v>
      </c>
      <c r="K3723" s="25" t="str">
        <f>IF(OR(E3723="",E3723="!!!",F3723="NEW"),"",INDEX(J$1:J3722,SUMPRODUCT(MAX(ROW(E$1:E3722)*(E3723=E$1:E3722)))))</f>
        <v> </v>
      </c>
      <c r="L3723" s="26"/>
    </row>
    <row r="3724" spans="1:12">
      <c r="A3724" s="20" t="s">
        <v>520</v>
      </c>
      <c r="E3724" s="21">
        <f>IF(D3724="?OLD","!!!","")</f>
        <v/>
      </c>
      <c r="F3724" s="22" t="str">
        <f>IF(OR(E3724="",E3724="!!!"),"",IF(NOT(ISNA(VLOOKUP(E3724,E$1:E3723,1,FALSE()))),"OLD",IF(AND(E3724&lt;&gt;"",E3724&lt;&gt;"!!!"),"NEW","")))</f>
        <v> </v>
      </c>
      <c r="G3724" s="23" t="str">
        <f>IF(OR(E3724="",E3724="!!!"),"",IF(OR(J3724=0,AND(J3724=1,K3724=1),AND(J3724=1,I3724="SBJ"),AND(J3724=1,I3724=0)),"?IN_FOCUS",IF(J3724&lt;=2,"?ACTIVATED",IF(J3724&lt;&gt;"","?FAMILIAR",IF(F3724="NEW",IF(ISNA(VLOOKUP(E3724,#REF!,1,FALSE())),"?TYPE_IDENTIFIABLE","?REFERENTIAL"),"_")))))</f>
        <v> </v>
      </c>
      <c r="H3724" s="24" t="str">
        <f>IF(J3724&lt;&gt;1,"",IF(I3724="SBJ","CB","?"))</f>
        <v> </v>
      </c>
      <c r="I3724" s="25" t="str">
        <f>IF(OR(E3724="",E3724="!!!",F3724="NEW"),"",INDEX(B3723:B$2,-1+SUMPRODUCT(MAX(ROW(E3723:E$2)*(E3724=E3723:E$2)))))</f>
        <v> </v>
      </c>
      <c r="J3724" s="25" t="str">
        <f>IF(OR(E3724="",E3724="!!!",F3724="NEW"),"",COUNTBLANK(OFFSET(A$1,,,SUMPRODUCT(MAX(ROW(E$2:E3724)*(E3724=E$2:E3724)))))-COUNTBLANK(OFFSET(A$1,,,SUMPRODUCT(MAX(ROW(E$1:E3723)*(E2=E$1:E3723))))))</f>
        <v> </v>
      </c>
      <c r="K3724" s="25" t="str">
        <f>IF(OR(E3724="",E3724="!!!",F3724="NEW"),"",INDEX(J$1:J3723,SUMPRODUCT(MAX(ROW(E$1:E3723)*(E3724=E$1:E3723)))))</f>
        <v> </v>
      </c>
      <c r="L3724" s="26"/>
    </row>
    <row r="3725" spans="1:12">
      <c r="A3725" s="20" t="s">
        <v>690</v>
      </c>
      <c r="B3725" s="27" t="s">
        <v>573</v>
      </c>
      <c r="C3725" s="27" t="s">
        <v>523</v>
      </c>
      <c r="D3725" s="27" t="s">
        <v>524</v>
      </c>
      <c r="E3725" s="21">
        <f>IF(D3725="?OLD","!!!","")</f>
        <v/>
      </c>
      <c r="F3725" s="22" t="str">
        <f>IF(OR(E3725="",E3725="!!!"),"",IF(NOT(ISNA(VLOOKUP(E3725,E$1:E3724,1,FALSE()))),"OLD",IF(AND(E3725&lt;&gt;"",E3725&lt;&gt;"!!!"),"NEW","")))</f>
        <v> </v>
      </c>
      <c r="G3725" s="23" t="str">
        <f>IF(OR(E3725="",E3725="!!!"),"",IF(OR(J3725=0,AND(J3725=1,K3725=1),AND(J3725=1,I3725="SBJ"),AND(J3725=1,I3725=0)),"?IN_FOCUS",IF(J3725&lt;=2,"?ACTIVATED",IF(J3725&lt;&gt;"","?FAMILIAR",IF(F3725="NEW",IF(ISNA(VLOOKUP(E3725,#REF!,1,FALSE())),"?TYPE_IDENTIFIABLE","?REFERENTIAL"),"_")))))</f>
        <v> </v>
      </c>
      <c r="H3725" s="24" t="str">
        <f>IF(J3725&lt;&gt;1,"",IF(I3725="SBJ","CB","?"))</f>
        <v> </v>
      </c>
      <c r="I3725" s="25" t="str">
        <f>IF(OR(E3725="",E3725="!!!",F3725="NEW"),"",INDEX(B3724:B$2,-1+SUMPRODUCT(MAX(ROW(E3724:E$2)*(E3725=E3724:E$2)))))</f>
        <v> </v>
      </c>
      <c r="J3725" s="25" t="str">
        <f>IF(OR(E3725="",E3725="!!!",F3725="NEW"),"",COUNTBLANK(OFFSET(A$1,,,SUMPRODUCT(MAX(ROW(E$2:E3725)*(E3725=E$2:E3725)))))-COUNTBLANK(OFFSET(A$1,,,SUMPRODUCT(MAX(ROW(E$1:E3724)*(E2=E$1:E3724))))))</f>
        <v> </v>
      </c>
      <c r="K3725" s="25" t="str">
        <f>IF(OR(E3725="",E3725="!!!",F3725="NEW"),"",INDEX(J$1:J3724,SUMPRODUCT(MAX(ROW(E$1:E3724)*(E3725=E$1:E3724)))))</f>
        <v> </v>
      </c>
      <c r="L3725" s="26"/>
    </row>
    <row r="3726" spans="1:12">
      <c r="A3726" s="20" t="s">
        <v>1706</v>
      </c>
      <c r="E3726" s="21">
        <f>IF(D3726="?OLD","!!!","")</f>
        <v/>
      </c>
      <c r="F3726" s="22" t="str">
        <f>IF(OR(E3726="",E3726="!!!"),"",IF(NOT(ISNA(VLOOKUP(E3726,E$1:E3725,1,FALSE()))),"OLD",IF(AND(E3726&lt;&gt;"",E3726&lt;&gt;"!!!"),"NEW","")))</f>
        <v> </v>
      </c>
      <c r="G3726" s="23" t="str">
        <f>IF(OR(E3726="",E3726="!!!"),"",IF(OR(J3726=0,AND(J3726=1,K3726=1),AND(J3726=1,I3726="SBJ"),AND(J3726=1,I3726=0)),"?IN_FOCUS",IF(J3726&lt;=2,"?ACTIVATED",IF(J3726&lt;&gt;"","?FAMILIAR",IF(F3726="NEW",IF(ISNA(VLOOKUP(E3726,#REF!,1,FALSE())),"?TYPE_IDENTIFIABLE","?REFERENTIAL"),"_")))))</f>
        <v> </v>
      </c>
      <c r="H3726" s="24" t="str">
        <f>IF(J3726&lt;&gt;1,"",IF(I3726="SBJ","CB","?"))</f>
        <v> </v>
      </c>
      <c r="I3726" s="25" t="str">
        <f>IF(OR(E3726="",E3726="!!!",F3726="NEW"),"",INDEX(B3725:B$2,-1+SUMPRODUCT(MAX(ROW(E3725:E$2)*(E3726=E3725:E$2)))))</f>
        <v> </v>
      </c>
      <c r="J3726" s="25" t="str">
        <f>IF(OR(E3726="",E3726="!!!",F3726="NEW"),"",COUNTBLANK(OFFSET(A$1,,,SUMPRODUCT(MAX(ROW(E$2:E3726)*(E3726=E$2:E3726)))))-COUNTBLANK(OFFSET(A$1,,,SUMPRODUCT(MAX(ROW(E$1:E3725)*(E2=E$1:E3725))))))</f>
        <v> </v>
      </c>
      <c r="K3726" s="25" t="str">
        <f>IF(OR(E3726="",E3726="!!!",F3726="NEW"),"",INDEX(J$1:J3725,SUMPRODUCT(MAX(ROW(E$1:E3725)*(E3726=E$1:E3725)))))</f>
        <v> </v>
      </c>
      <c r="L3726" s="26"/>
    </row>
    <row r="3727" spans="1:12">
      <c r="A3727" s="20" t="s">
        <v>549</v>
      </c>
      <c r="E3727" s="21">
        <f>IF(D3727="?OLD","!!!","")</f>
        <v/>
      </c>
      <c r="F3727" s="22" t="str">
        <f>IF(OR(E3727="",E3727="!!!"),"",IF(NOT(ISNA(VLOOKUP(E3727,E$1:E3726,1,FALSE()))),"OLD",IF(AND(E3727&lt;&gt;"",E3727&lt;&gt;"!!!"),"NEW","")))</f>
        <v> </v>
      </c>
      <c r="G3727" s="23" t="str">
        <f>IF(OR(E3727="",E3727="!!!"),"",IF(OR(J3727=0,AND(J3727=1,K3727=1),AND(J3727=1,I3727="SBJ"),AND(J3727=1,I3727=0)),"?IN_FOCUS",IF(J3727&lt;=2,"?ACTIVATED",IF(J3727&lt;&gt;"","?FAMILIAR",IF(F3727="NEW",IF(ISNA(VLOOKUP(E3727,#REF!,1,FALSE())),"?TYPE_IDENTIFIABLE","?REFERENTIAL"),"_")))))</f>
        <v> </v>
      </c>
      <c r="H3727" s="24" t="str">
        <f>IF(J3727&lt;&gt;1,"",IF(I3727="SBJ","CB","?"))</f>
        <v> </v>
      </c>
      <c r="I3727" s="25" t="str">
        <f>IF(OR(E3727="",E3727="!!!",F3727="NEW"),"",INDEX(B3726:B$2,-1+SUMPRODUCT(MAX(ROW(E3726:E$2)*(E3727=E3726:E$2)))))</f>
        <v> </v>
      </c>
      <c r="J3727" s="25" t="str">
        <f>IF(OR(E3727="",E3727="!!!",F3727="NEW"),"",COUNTBLANK(OFFSET(A$1,,,SUMPRODUCT(MAX(ROW(E$2:E3727)*(E3727=E$2:E3727)))))-COUNTBLANK(OFFSET(A$1,,,SUMPRODUCT(MAX(ROW(E$1:E3726)*(E2=E$1:E3726))))))</f>
        <v> </v>
      </c>
      <c r="K3727" s="25" t="str">
        <f>IF(OR(E3727="",E3727="!!!",F3727="NEW"),"",INDEX(J$1:J3726,SUMPRODUCT(MAX(ROW(E$1:E3726)*(E3727=E$1:E3726)))))</f>
        <v> </v>
      </c>
      <c r="L3727" s="26"/>
    </row>
    <row r="3728" spans="1:12">
      <c r="A3728" s="20"/>
    </row>
    <row r="3729" spans="1:12">
      <c r="A3729" s="20" t="s">
        <v>1707</v>
      </c>
    </row>
    <row r="3730" spans="1:12">
      <c r="A3730" s="20" t="s">
        <v>1708</v>
      </c>
      <c r="E3730" s="21">
        <f>IF(D3730="?OLD","!!!","")</f>
        <v/>
      </c>
      <c r="F3730" s="22" t="str">
        <f>IF(OR(E3730="",E3730="!!!"),"",IF(NOT(ISNA(VLOOKUP(E3730,E$1:E3729,1,FALSE()))),"OLD",IF(AND(E3730&lt;&gt;"",E3730&lt;&gt;"!!!"),"NEW","")))</f>
        <v> </v>
      </c>
      <c r="G3730" s="23" t="str">
        <f>IF(OR(E3730="",E3730="!!!"),"",IF(OR(J3730=0,AND(J3730=1,K3730=1),AND(J3730=1,I3730="SBJ"),AND(J3730=1,I3730=0)),"?IN_FOCUS",IF(J3730&lt;=2,"?ACTIVATED",IF(J3730&lt;&gt;"","?FAMILIAR",IF(F3730="NEW",IF(ISNA(VLOOKUP(E3730,#REF!,1,FALSE())),"?TYPE_IDENTIFIABLE","?REFERENTIAL"),"_")))))</f>
        <v> </v>
      </c>
      <c r="H3730" s="24" t="str">
        <f>IF(J3730&lt;&gt;1,"",IF(I3730="SBJ","CB","?"))</f>
        <v> </v>
      </c>
      <c r="I3730" s="25" t="str">
        <f>IF(OR(E3730="",E3730="!!!",F3730="NEW"),"",INDEX(B3729:B$2,-1+SUMPRODUCT(MAX(ROW(E3729:E$2)*(E3730=E3729:E$2)))))</f>
        <v> </v>
      </c>
      <c r="J3730" s="25" t="str">
        <f>IF(OR(E3730="",E3730="!!!",F3730="NEW"),"",COUNTBLANK(OFFSET(A$1,,,SUMPRODUCT(MAX(ROW(E$2:E3730)*(E3730=E$2:E3730)))))-COUNTBLANK(OFFSET(A$1,,,SUMPRODUCT(MAX(ROW(E$1:E3729)*(E2=E$1:E3729))))))</f>
        <v> </v>
      </c>
      <c r="K3730" s="25" t="str">
        <f>IF(OR(E3730="",E3730="!!!",F3730="NEW"),"",INDEX(J$1:J3729,SUMPRODUCT(MAX(ROW(E$1:E3729)*(E3730=E$1:E3729)))))</f>
        <v> </v>
      </c>
      <c r="L3730" s="26"/>
    </row>
    <row r="3731" spans="1:12">
      <c r="A3731" s="20" t="s">
        <v>1709</v>
      </c>
      <c r="E3731" s="21">
        <f>IF(D3731="?OLD","!!!","")</f>
        <v/>
      </c>
      <c r="F3731" s="22" t="str">
        <f>IF(OR(E3731="",E3731="!!!"),"",IF(NOT(ISNA(VLOOKUP(E3731,E$1:E3730,1,FALSE()))),"OLD",IF(AND(E3731&lt;&gt;"",E3731&lt;&gt;"!!!"),"NEW","")))</f>
        <v> </v>
      </c>
      <c r="G3731" s="23" t="str">
        <f>IF(OR(E3731="",E3731="!!!"),"",IF(OR(J3731=0,AND(J3731=1,K3731=1),AND(J3731=1,I3731="SBJ"),AND(J3731=1,I3731=0)),"?IN_FOCUS",IF(J3731&lt;=2,"?ACTIVATED",IF(J3731&lt;&gt;"","?FAMILIAR",IF(F3731="NEW",IF(ISNA(VLOOKUP(E3731,#REF!,1,FALSE())),"?TYPE_IDENTIFIABLE","?REFERENTIAL"),"_")))))</f>
        <v> </v>
      </c>
      <c r="H3731" s="24" t="str">
        <f>IF(J3731&lt;&gt;1,"",IF(I3731="SBJ","CB","?"))</f>
        <v> </v>
      </c>
      <c r="I3731" s="25" t="str">
        <f>IF(OR(E3731="",E3731="!!!",F3731="NEW"),"",INDEX(B3730:B$2,-1+SUMPRODUCT(MAX(ROW(E3730:E$2)*(E3731=E3730:E$2)))))</f>
        <v> </v>
      </c>
      <c r="J3731" s="25" t="str">
        <f>IF(OR(E3731="",E3731="!!!",F3731="NEW"),"",COUNTBLANK(OFFSET(A$1,,,SUMPRODUCT(MAX(ROW(E$2:E3731)*(E3731=E$2:E3731)))))-COUNTBLANK(OFFSET(A$1,,,SUMPRODUCT(MAX(ROW(E$1:E3730)*(E2=E$1:E3730))))))</f>
        <v> </v>
      </c>
      <c r="K3731" s="25" t="str">
        <f>IF(OR(E3731="",E3731="!!!",F3731="NEW"),"",INDEX(J$1:J3730,SUMPRODUCT(MAX(ROW(E$1:E3730)*(E3731=E$1:E3730)))))</f>
        <v> </v>
      </c>
      <c r="L3731" s="26"/>
    </row>
    <row r="3732" spans="1:12">
      <c r="A3732" s="20"/>
    </row>
    <row r="3733" spans="1:12">
      <c r="A3733" s="20" t="s">
        <v>1710</v>
      </c>
    </row>
    <row r="3734" spans="1:12">
      <c r="A3734" s="20" t="s">
        <v>1711</v>
      </c>
      <c r="E3734" s="21">
        <f>IF(D3734="?OLD","!!!","")</f>
        <v/>
      </c>
      <c r="F3734" s="22" t="str">
        <f>IF(OR(E3734="",E3734="!!!"),"",IF(NOT(ISNA(VLOOKUP(E3734,E$1:E3733,1,FALSE()))),"OLD",IF(AND(E3734&lt;&gt;"",E3734&lt;&gt;"!!!"),"NEW","")))</f>
        <v> </v>
      </c>
      <c r="G3734" s="23" t="str">
        <f>IF(OR(E3734="",E3734="!!!"),"",IF(OR(J3734=0,AND(J3734=1,K3734=1),AND(J3734=1,I3734="SBJ"),AND(J3734=1,I3734=0)),"?IN_FOCUS",IF(J3734&lt;=2,"?ACTIVATED",IF(J3734&lt;&gt;"","?FAMILIAR",IF(F3734="NEW",IF(ISNA(VLOOKUP(E3734,#REF!,1,FALSE())),"?TYPE_IDENTIFIABLE","?REFERENTIAL"),"_")))))</f>
        <v> </v>
      </c>
      <c r="H3734" s="24" t="str">
        <f>IF(J3734&lt;&gt;1,"",IF(I3734="SBJ","CB","?"))</f>
        <v> </v>
      </c>
      <c r="I3734" s="25" t="str">
        <f>IF(OR(E3734="",E3734="!!!",F3734="NEW"),"",INDEX(B3733:B$2,-1+SUMPRODUCT(MAX(ROW(E3733:E$2)*(E3734=E3733:E$2)))))</f>
        <v> </v>
      </c>
      <c r="J3734" s="25" t="str">
        <f>IF(OR(E3734="",E3734="!!!",F3734="NEW"),"",COUNTBLANK(OFFSET(A$1,,,SUMPRODUCT(MAX(ROW(E$2:E3734)*(E3734=E$2:E3734)))))-COUNTBLANK(OFFSET(A$1,,,SUMPRODUCT(MAX(ROW(E$1:E3733)*(E2=E$1:E3733))))))</f>
        <v> </v>
      </c>
      <c r="K3734" s="25" t="str">
        <f>IF(OR(E3734="",E3734="!!!",F3734="NEW"),"",INDEX(J$1:J3733,SUMPRODUCT(MAX(ROW(E$1:E3733)*(E3734=E$1:E3733)))))</f>
        <v> </v>
      </c>
      <c r="L3734" s="26"/>
    </row>
    <row r="3735" spans="1:12">
      <c r="A3735" s="20" t="s">
        <v>520</v>
      </c>
      <c r="E3735" s="21">
        <f>IF(D3735="?OLD","!!!","")</f>
        <v/>
      </c>
      <c r="F3735" s="22" t="str">
        <f>IF(OR(E3735="",E3735="!!!"),"",IF(NOT(ISNA(VLOOKUP(E3735,E$1:E3734,1,FALSE()))),"OLD",IF(AND(E3735&lt;&gt;"",E3735&lt;&gt;"!!!"),"NEW","")))</f>
        <v> </v>
      </c>
      <c r="G3735" s="23" t="str">
        <f>IF(OR(E3735="",E3735="!!!"),"",IF(OR(J3735=0,AND(J3735=1,K3735=1),AND(J3735=1,I3735="SBJ"),AND(J3735=1,I3735=0)),"?IN_FOCUS",IF(J3735&lt;=2,"?ACTIVATED",IF(J3735&lt;&gt;"","?FAMILIAR",IF(F3735="NEW",IF(ISNA(VLOOKUP(E3735,#REF!,1,FALSE())),"?TYPE_IDENTIFIABLE","?REFERENTIAL"),"_")))))</f>
        <v> </v>
      </c>
      <c r="H3735" s="24" t="str">
        <f>IF(J3735&lt;&gt;1,"",IF(I3735="SBJ","CB","?"))</f>
        <v> </v>
      </c>
      <c r="I3735" s="25" t="str">
        <f>IF(OR(E3735="",E3735="!!!",F3735="NEW"),"",INDEX(B3734:B$2,-1+SUMPRODUCT(MAX(ROW(E3734:E$2)*(E3735=E3734:E$2)))))</f>
        <v> </v>
      </c>
      <c r="J3735" s="25" t="str">
        <f>IF(OR(E3735="",E3735="!!!",F3735="NEW"),"",COUNTBLANK(OFFSET(A$1,,,SUMPRODUCT(MAX(ROW(E$2:E3735)*(E3735=E$2:E3735)))))-COUNTBLANK(OFFSET(A$1,,,SUMPRODUCT(MAX(ROW(E$1:E3734)*(E2=E$1:E3734))))))</f>
        <v> </v>
      </c>
      <c r="K3735" s="25" t="str">
        <f>IF(OR(E3735="",E3735="!!!",F3735="NEW"),"",INDEX(J$1:J3734,SUMPRODUCT(MAX(ROW(E$1:E3734)*(E3735=E$1:E3734)))))</f>
        <v> </v>
      </c>
      <c r="L3735" s="26"/>
    </row>
    <row r="3736" spans="1:12">
      <c r="A3736" s="20" t="s">
        <v>690</v>
      </c>
      <c r="B3736" s="27" t="s">
        <v>592</v>
      </c>
      <c r="C3736" s="27" t="s">
        <v>523</v>
      </c>
      <c r="D3736" s="27" t="s">
        <v>524</v>
      </c>
      <c r="E3736" s="21">
        <f>IF(D3736="?OLD","!!!","")</f>
        <v/>
      </c>
      <c r="F3736" s="22" t="str">
        <f>IF(OR(E3736="",E3736="!!!"),"",IF(NOT(ISNA(VLOOKUP(E3736,E$1:E3735,1,FALSE()))),"OLD",IF(AND(E3736&lt;&gt;"",E3736&lt;&gt;"!!!"),"NEW","")))</f>
        <v> </v>
      </c>
      <c r="G3736" s="23" t="str">
        <f>IF(OR(E3736="",E3736="!!!"),"",IF(OR(J3736=0,AND(J3736=1,K3736=1),AND(J3736=1,I3736="SBJ"),AND(J3736=1,I3736=0)),"?IN_FOCUS",IF(J3736&lt;=2,"?ACTIVATED",IF(J3736&lt;&gt;"","?FAMILIAR",IF(F3736="NEW",IF(ISNA(VLOOKUP(E3736,#REF!,1,FALSE())),"?TYPE_IDENTIFIABLE","?REFERENTIAL"),"_")))))</f>
        <v> </v>
      </c>
      <c r="H3736" s="24" t="str">
        <f>IF(J3736&lt;&gt;1,"",IF(I3736="SBJ","CB","?"))</f>
        <v> </v>
      </c>
      <c r="I3736" s="25" t="str">
        <f>IF(OR(E3736="",E3736="!!!",F3736="NEW"),"",INDEX(B3735:B$2,-1+SUMPRODUCT(MAX(ROW(E3735:E$2)*(E3736=E3735:E$2)))))</f>
        <v> </v>
      </c>
      <c r="J3736" s="25" t="str">
        <f>IF(OR(E3736="",E3736="!!!",F3736="NEW"),"",COUNTBLANK(OFFSET(A$1,,,SUMPRODUCT(MAX(ROW(E$2:E3736)*(E3736=E$2:E3736)))))-COUNTBLANK(OFFSET(A$1,,,SUMPRODUCT(MAX(ROW(E$1:E3735)*(E2=E$1:E3735))))))</f>
        <v> </v>
      </c>
      <c r="K3736" s="25" t="str">
        <f>IF(OR(E3736="",E3736="!!!",F3736="NEW"),"",INDEX(J$1:J3735,SUMPRODUCT(MAX(ROW(E$1:E3735)*(E3736=E$1:E3735)))))</f>
        <v> </v>
      </c>
      <c r="L3736" s="26"/>
    </row>
    <row r="3737" spans="1:12">
      <c r="A3737" s="20" t="s">
        <v>1709</v>
      </c>
      <c r="E3737" s="21">
        <f>IF(D3737="?OLD","!!!","")</f>
        <v/>
      </c>
      <c r="F3737" s="22" t="str">
        <f>IF(OR(E3737="",E3737="!!!"),"",IF(NOT(ISNA(VLOOKUP(E3737,E$1:E3736,1,FALSE()))),"OLD",IF(AND(E3737&lt;&gt;"",E3737&lt;&gt;"!!!"),"NEW","")))</f>
        <v> </v>
      </c>
      <c r="G3737" s="23" t="str">
        <f>IF(OR(E3737="",E3737="!!!"),"",IF(OR(J3737=0,AND(J3737=1,K3737=1),AND(J3737=1,I3737="SBJ"),AND(J3737=1,I3737=0)),"?IN_FOCUS",IF(J3737&lt;=2,"?ACTIVATED",IF(J3737&lt;&gt;"","?FAMILIAR",IF(F3737="NEW",IF(ISNA(VLOOKUP(E3737,#REF!,1,FALSE())),"?TYPE_IDENTIFIABLE","?REFERENTIAL"),"_")))))</f>
        <v> </v>
      </c>
      <c r="H3737" s="24" t="str">
        <f>IF(J3737&lt;&gt;1,"",IF(I3737="SBJ","CB","?"))</f>
        <v> </v>
      </c>
      <c r="I3737" s="25" t="str">
        <f>IF(OR(E3737="",E3737="!!!",F3737="NEW"),"",INDEX(B3736:B$2,-1+SUMPRODUCT(MAX(ROW(E3736:E$2)*(E3737=E3736:E$2)))))</f>
        <v> </v>
      </c>
      <c r="J3737" s="25" t="str">
        <f>IF(OR(E3737="",E3737="!!!",F3737="NEW"),"",COUNTBLANK(OFFSET(A$1,,,SUMPRODUCT(MAX(ROW(E$2:E3737)*(E3737=E$2:E3737)))))-COUNTBLANK(OFFSET(A$1,,,SUMPRODUCT(MAX(ROW(E$1:E3736)*(E2=E$1:E3736))))))</f>
        <v> </v>
      </c>
      <c r="K3737" s="25" t="str">
        <f>IF(OR(E3737="",E3737="!!!",F3737="NEW"),"",INDEX(J$1:J3736,SUMPRODUCT(MAX(ROW(E$1:E3736)*(E3737=E$1:E3736)))))</f>
        <v> </v>
      </c>
      <c r="L3737" s="26"/>
    </row>
    <row r="3738" spans="1:12">
      <c r="A3738" s="20"/>
    </row>
    <row r="3739" spans="1:12">
      <c r="A3739" s="20" t="s">
        <v>1712</v>
      </c>
    </row>
    <row r="3740" spans="1:12">
      <c r="A3740" s="20" t="s">
        <v>1713</v>
      </c>
      <c r="E3740" s="21">
        <f>IF(D3740="?OLD","!!!","")</f>
        <v/>
      </c>
      <c r="F3740" s="22" t="str">
        <f>IF(OR(E3740="",E3740="!!!"),"",IF(NOT(ISNA(VLOOKUP(E3740,E$1:E3739,1,FALSE()))),"OLD",IF(AND(E3740&lt;&gt;"",E3740&lt;&gt;"!!!"),"NEW","")))</f>
        <v> </v>
      </c>
      <c r="G3740" s="23" t="str">
        <f>IF(OR(E3740="",E3740="!!!"),"",IF(OR(J3740=0,AND(J3740=1,K3740=1),AND(J3740=1,I3740="SBJ"),AND(J3740=1,I3740=0)),"?IN_FOCUS",IF(J3740&lt;=2,"?ACTIVATED",IF(J3740&lt;&gt;"","?FAMILIAR",IF(F3740="NEW",IF(ISNA(VLOOKUP(E3740,#REF!,1,FALSE())),"?TYPE_IDENTIFIABLE","?REFERENTIAL"),"_")))))</f>
        <v> </v>
      </c>
      <c r="H3740" s="24" t="str">
        <f>IF(J3740&lt;&gt;1,"",IF(I3740="SBJ","CB","?"))</f>
        <v> </v>
      </c>
      <c r="I3740" s="25" t="str">
        <f>IF(OR(E3740="",E3740="!!!",F3740="NEW"),"",INDEX(B3739:B$2,-1+SUMPRODUCT(MAX(ROW(E3739:E$2)*(E3740=E3739:E$2)))))</f>
        <v> </v>
      </c>
      <c r="J3740" s="25" t="str">
        <f>IF(OR(E3740="",E3740="!!!",F3740="NEW"),"",COUNTBLANK(OFFSET(A$1,,,SUMPRODUCT(MAX(ROW(E$2:E3740)*(E3740=E$2:E3740)))))-COUNTBLANK(OFFSET(A$1,,,SUMPRODUCT(MAX(ROW(E$1:E3739)*(E2=E$1:E3739))))))</f>
        <v> </v>
      </c>
      <c r="K3740" s="25" t="str">
        <f>IF(OR(E3740="",E3740="!!!",F3740="NEW"),"",INDEX(J$1:J3739,SUMPRODUCT(MAX(ROW(E$1:E3739)*(E3740=E$1:E3739)))))</f>
        <v> </v>
      </c>
      <c r="L3740" s="26"/>
    </row>
    <row r="3741" spans="1:12">
      <c r="A3741" s="20" t="s">
        <v>549</v>
      </c>
      <c r="E3741" s="21">
        <f>IF(D3741="?OLD","!!!","")</f>
        <v/>
      </c>
      <c r="F3741" s="22" t="str">
        <f>IF(OR(E3741="",E3741="!!!"),"",IF(NOT(ISNA(VLOOKUP(E3741,E$1:E3740,1,FALSE()))),"OLD",IF(AND(E3741&lt;&gt;"",E3741&lt;&gt;"!!!"),"NEW","")))</f>
        <v> </v>
      </c>
      <c r="G3741" s="23" t="str">
        <f>IF(OR(E3741="",E3741="!!!"),"",IF(OR(J3741=0,AND(J3741=1,K3741=1),AND(J3741=1,I3741="SBJ"),AND(J3741=1,I3741=0)),"?IN_FOCUS",IF(J3741&lt;=2,"?ACTIVATED",IF(J3741&lt;&gt;"","?FAMILIAR",IF(F3741="NEW",IF(ISNA(VLOOKUP(E3741,#REF!,1,FALSE())),"?TYPE_IDENTIFIABLE","?REFERENTIAL"),"_")))))</f>
        <v> </v>
      </c>
      <c r="H3741" s="24" t="str">
        <f>IF(J3741&lt;&gt;1,"",IF(I3741="SBJ","CB","?"))</f>
        <v> </v>
      </c>
      <c r="I3741" s="25" t="str">
        <f>IF(OR(E3741="",E3741="!!!",F3741="NEW"),"",INDEX(B3740:B$2,-1+SUMPRODUCT(MAX(ROW(E3740:E$2)*(E3741=E3740:E$2)))))</f>
        <v> </v>
      </c>
      <c r="J3741" s="25" t="str">
        <f>IF(OR(E3741="",E3741="!!!",F3741="NEW"),"",COUNTBLANK(OFFSET(A$1,,,SUMPRODUCT(MAX(ROW(E$2:E3741)*(E3741=E$2:E3741)))))-COUNTBLANK(OFFSET(A$1,,,SUMPRODUCT(MAX(ROW(E$1:E3740)*(E2=E$1:E3740))))))</f>
        <v> </v>
      </c>
      <c r="K3741" s="25" t="str">
        <f>IF(OR(E3741="",E3741="!!!",F3741="NEW"),"",INDEX(J$1:J3740,SUMPRODUCT(MAX(ROW(E$1:E3740)*(E3741=E$1:E3740)))))</f>
        <v> </v>
      </c>
      <c r="L3741" s="26"/>
    </row>
    <row r="3742" spans="1:12">
      <c r="A3742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2025-07-10T18:08:25Z</dcterms:created>
  <dcterms:modified xsi:type="dcterms:W3CDTF">2025-07-10T18:08:25Z</dcterms:modified>
</cp:coreProperties>
</file>