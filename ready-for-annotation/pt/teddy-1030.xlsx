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<sst xmlns="http://schemas.openxmlformats.org/spreadsheetml/2006/main" count="7733" uniqueCount="1724">
  <si>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</si>
  <si>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</si>
  <si>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</si>
  <si>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</si>
  <si>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</si>
  <si>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</si>
  <si>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</si>
  <si>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</si>
  <si>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</si>
  <si>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</si>
  <si>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</si>
  <si>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</si>
  <si>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</si>
  <si>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falar</t>
  </si>
  <si>
    <t>Toda a gente fala de felicidade hoje em dia .</t>
  </si>
  <si>
    <t>file://conllu/pt/teddy-1030.conllu#s1_0</t>
  </si>
  <si>
    <t>2</t>
  </si>
  <si>
    <t>pedir</t>
  </si>
  <si>
    <t>Eu pedi a alguém que contasse o número de livros com &amp;quot; felicidade &amp;quot; no em o título , publicados nos em os últimos cinco anos , e eles desistiram depois de cerca de 40 , e havia muitos mais .</t>
  </si>
  <si>
    <t>file://conllu/pt/teddy-1030.conllu#s2_0</t>
  </si>
  <si>
    <t>3</t>
  </si>
  <si>
    <t>haver</t>
  </si>
  <si>
    <t>Há um interesse enorme sobre a felicidade entre os investigadores .</t>
  </si>
  <si>
    <t>file://conllu/pt/teddy-1030.conllu#s3_0</t>
  </si>
  <si>
    <t>Há muitos treinos para o desenvolvimento da de a felicidade .</t>
  </si>
  <si>
    <t>file://conllu/pt/teddy-1030.conllu#s4_0</t>
  </si>
  <si>
    <t>5</t>
  </si>
  <si>
    <t>gostar</t>
  </si>
  <si>
    <t>Toda a gente gostaria de fazer as pessoas mais felizes .</t>
  </si>
  <si>
    <t>file://conllu/pt/teddy-1030.conllu#s5_0</t>
  </si>
  <si>
    <t>6</t>
  </si>
  <si>
    <t>10</t>
  </si>
  <si>
    <t>Mas apesar de toda esta quantidade de trabalho , há várias armadilhas cognitivas que fazem com que seja quase impossível pensar corretamente acerca da de a felicidade .</t>
  </si>
  <si>
    <t>file://conllu/pt/teddy-1030.conllu#s6_0</t>
  </si>
  <si>
    <t>7</t>
  </si>
  <si>
    <t>ser (ser acerca)</t>
  </si>
  <si>
    <t>A minha palestra vai ser , sobretudo , acerca destas de estas armadilhas cognitivas .</t>
  </si>
  <si>
    <t>file://conllu/pt/teddy-1030.conllu#s7_0</t>
  </si>
  <si>
    <t>8</t>
  </si>
  <si>
    <t>aplicar</t>
  </si>
  <si>
    <t>Isto aplica-se aplica se a leigos que pensam sobre a sua própria felicidade , e aplica-se aplica se a eruditos que pensam sobre a felicidade , porque , afinal , estamos tão confundidos como qualquer outra pessoa .</t>
  </si>
  <si>
    <t>file://conllu/pt/teddy-1030.conllu#s8_0</t>
  </si>
  <si>
    <t>9</t>
  </si>
  <si>
    <t>ser (ser relutância)</t>
  </si>
  <si>
    <t>A primeira destas de estas armadilhas é a relutância em admitir complexidade .</t>
  </si>
  <si>
    <t>file://conllu/pt/teddy-1030.conllu#s9_0</t>
  </si>
  <si>
    <t>ser (ser palavra)</t>
  </si>
  <si>
    <t>Afinal , a palavra felicidade já não é uma palavra útil porque a aplicamos a demasiadas coisas diferentes .</t>
  </si>
  <si>
    <t>file://conllu/pt/teddy-1030.conllu#s10_0</t>
  </si>
  <si>
    <t>11</t>
  </si>
  <si>
    <t>pensar</t>
  </si>
  <si>
    <t>Penso que existe um significado em particular para o qual a podemos restringir mas , no em o final das de as contas , vamos ter de desistir deste de este termo e teremos de adotar a visão mais complicada sobre o que é o bem-estar .</t>
  </si>
  <si>
    <t>file://conllu/pt/teddy-1030.conllu#s11_0</t>
  </si>
  <si>
    <t>12</t>
  </si>
  <si>
    <t>ser (ser confusão)</t>
  </si>
  <si>
    <t>A segunda armadilha é a confusão entre experiência e memória : basicamente , é a diferença entre estarmos felizes na em a nossa vida e estarmos felizes sobre a nossa vida , ou estar feliz com a nossa vida .</t>
  </si>
  <si>
    <t>file://conllu/pt/teddy-1030.conllu#s12_0</t>
  </si>
  <si>
    <t>13</t>
  </si>
  <si>
    <t>ser (ser conceito)</t>
  </si>
  <si>
    <t>E esses são dois conceitos muito diferentes que estão juntos na em a noção de felicidade .</t>
  </si>
  <si>
    <t>file://conllu/pt/teddy-1030.conllu#s13_0</t>
  </si>
  <si>
    <t>14</t>
  </si>
  <si>
    <t>ser (ser ilusão)</t>
  </si>
  <si>
    <t>E a terceira é a ilusão do de o enfoque .</t>
  </si>
  <si>
    <t>file://conllu/pt/teddy-1030.conllu#s14_0</t>
  </si>
  <si>
    <t>15</t>
  </si>
  <si>
    <t>conseguir</t>
  </si>
  <si>
    <t>Infelizmente , não conseguimos pensar em nenhuma circunstância que afete o bem-estar sem distorcer a sua importância .</t>
  </si>
  <si>
    <t>file://conllu/pt/teddy-1030.conllu#s15_0</t>
  </si>
  <si>
    <t>16</t>
  </si>
  <si>
    <t>dizer (dizer querer)</t>
  </si>
  <si>
    <t>Quer dizer , isto é uma verdadeira armadilha cognitiva .</t>
  </si>
  <si>
    <t>file://conllu/pt/teddy-1030.conllu#s16_0</t>
  </si>
  <si>
    <t>17</t>
  </si>
  <si>
    <t>Não há nenhuma forma de o fazer de forma correta .</t>
  </si>
  <si>
    <t>file://conllu/pt/teddy-1030.conllu#s17_0</t>
  </si>
  <si>
    <t>18</t>
  </si>
  <si>
    <t>Por isso , gostaria de começar com um exemplo de alguém que esteve numa em uma sessão de perguntas e respostas depois de uma das de as minhas palestras , e me contou uma história .</t>
  </si>
  <si>
    <t>file://conllu/pt/teddy-1030.conllu#s18_0</t>
  </si>
  <si>
    <t>19</t>
  </si>
  <si>
    <t>ser (ser este)</t>
  </si>
  <si>
    <t>A história era esta .</t>
  </si>
  <si>
    <t>file://conllu/pt/teddy-1030.conllu#s19_0</t>
  </si>
  <si>
    <t>20</t>
  </si>
  <si>
    <t>ser (ser glorioso)</t>
  </si>
  <si>
    <t>Ele disse que tinha estado a ouvir uma sinfonia e a música era absolutamente gloriosa .</t>
  </si>
  <si>
    <t>file://conllu/pt/teddy-1030.conllu#s20_0</t>
  </si>
  <si>
    <t>21</t>
  </si>
  <si>
    <t>Mesmo no em o final da de a gravação , havia um guincho horrível .</t>
  </si>
  <si>
    <t>file://conllu/pt/teddy-1030.conllu#s21_0</t>
  </si>
  <si>
    <t>22</t>
  </si>
  <si>
    <t>dizer</t>
  </si>
  <si>
    <t>E ele disse-me disse me , de forma bastante emocionada , que isso lhe tinha estragado toda a experiência .</t>
  </si>
  <si>
    <t>file://conllu/pt/teddy-1030.conllu#s22_0</t>
  </si>
  <si>
    <t>23</t>
  </si>
  <si>
    <t>ter</t>
  </si>
  <si>
    <t>Mas não tinha .</t>
  </si>
  <si>
    <t>file://conllu/pt/teddy-1030.conllu#s23_0</t>
  </si>
  <si>
    <t>24</t>
  </si>
  <si>
    <t>ser (ser recordação)</t>
  </si>
  <si>
    <t>que tinha estragado foram as recordações da de a experiência .</t>
  </si>
  <si>
    <t>file://conllu/pt/teddy-1030.conllu#s24_0</t>
  </si>
  <si>
    <t>25</t>
  </si>
  <si>
    <t>Ele tinha tido a experiência .</t>
  </si>
  <si>
    <t>file://conllu/pt/teddy-1030.conllu#s25_0</t>
  </si>
  <si>
    <t>26</t>
  </si>
  <si>
    <t>Ele tinha tido 20 minutos de música gloriosa .</t>
  </si>
  <si>
    <t>file://conllu/pt/teddy-1030.conllu#s26_0</t>
  </si>
  <si>
    <t>27</t>
  </si>
  <si>
    <t>valer</t>
  </si>
  <si>
    <t>Mas não valeram de nada porque ele tinha ficado com aquela recordação .</t>
  </si>
  <si>
    <t>file://conllu/pt/teddy-1030.conllu#s27_0</t>
  </si>
  <si>
    <t>28</t>
  </si>
  <si>
    <t>estar (estar arruinado)</t>
  </si>
  <si>
    <t>A recordação estava arruinada e a recordação era tudo o que ele podia guardar .</t>
  </si>
  <si>
    <t>file://conllu/pt/teddy-1030.conllu#s28_0</t>
  </si>
  <si>
    <t>29</t>
  </si>
  <si>
    <t>poder</t>
  </si>
  <si>
    <t>que isto nos em os diz , na em a realidade , é que nós podemos pensar acerca de nós e das de as outras pessoas enquanto duas identidades .</t>
  </si>
  <si>
    <t>file://conllu/pt/teddy-1030.conllu#s29_0</t>
  </si>
  <si>
    <t>30</t>
  </si>
  <si>
    <t>Há um eu que vive a experiência , que vive no em o presente e conhece o presente , é capaz de reviver o passado , mas basicamente , tem apenas o presente .</t>
  </si>
  <si>
    <t>file://conllu/pt/teddy-1030.conllu#s30_0</t>
  </si>
  <si>
    <t>31</t>
  </si>
  <si>
    <t>ser (ser eu)</t>
  </si>
  <si>
    <t>É o eu que sente que o médico aborda , quando o médico pergunta : &amp;quot; Dói quando eu toco aqui ? &amp;quot; E depois existe o eu que recorda .</t>
  </si>
  <si>
    <t>file://conllu/pt/teddy-1030.conllu#s31_0</t>
  </si>
  <si>
    <t>32</t>
  </si>
  <si>
    <t>ser (ser o)</t>
  </si>
  <si>
    <t>eu que recorda é o que mantém os registos e guarda a história da de a nossa vida , e é aquele que o médico aborda quando pergunta : &amp;quot; Como se tem sentido ultimamente? &amp;quot; ou &amp;quot; Como foi a sua viagem à a a Albânia ? &amp;quot; , ou algo desse de esse género .</t>
  </si>
  <si>
    <t>file://conllu/pt/teddy-1030.conllu#s32_0</t>
  </si>
  <si>
    <t>33</t>
  </si>
  <si>
    <t>fazer</t>
  </si>
  <si>
    <t>Estas são duas entidades muito diferentes , o eu que vive a experiência e o eu que recorda , e sentir-se sentir se confundido no em o meio dos de os dois faz parte da de a confusão quanto à a a noção de felicidade .</t>
  </si>
  <si>
    <t>file://conllu/pt/teddy-1030.conllu#s33_0</t>
  </si>
  <si>
    <t>34</t>
  </si>
  <si>
    <t>ser (ser contador)</t>
  </si>
  <si>
    <t>eu que recorda é um contador de histórias .</t>
  </si>
  <si>
    <t>file://conllu/pt/teddy-1030.conllu#s34_0</t>
  </si>
  <si>
    <t>36</t>
  </si>
  <si>
    <t>contar</t>
  </si>
  <si>
    <t>A nossa memória conta-nos conta nos histórias , isto é , o que nós mantemos das de as nossas experiências é uma história .</t>
  </si>
  <si>
    <t>file://conllu/pt/teddy-1030.conllu#s36_0</t>
  </si>
  <si>
    <t>37</t>
  </si>
  <si>
    <t>ver</t>
  </si>
  <si>
    <t>Vou começar com um exemplo .</t>
  </si>
  <si>
    <t>file://conllu/pt/teddy-1030.conllu#s37_0</t>
  </si>
  <si>
    <t>38</t>
  </si>
  <si>
    <t>ser (ser estudo)</t>
  </si>
  <si>
    <t>Este é um estudo antigo .</t>
  </si>
  <si>
    <t>file://conllu/pt/teddy-1030.conllu#s38_0</t>
  </si>
  <si>
    <t>39</t>
  </si>
  <si>
    <t>ser (ser paciente)</t>
  </si>
  <si>
    <t>Aqueles são pacientes reais que estão a ser sujeitos a um procedimento doloroso .</t>
  </si>
  <si>
    <t>file://conllu/pt/teddy-1030.conllu#s39_0</t>
  </si>
  <si>
    <t>40</t>
  </si>
  <si>
    <t>entrar</t>
  </si>
  <si>
    <t>Não vou entrar em detalhes .</t>
  </si>
  <si>
    <t>file://conllu/pt/teddy-1030.conllu#s40_0</t>
  </si>
  <si>
    <t>41</t>
  </si>
  <si>
    <t>ser (ser doloroso)</t>
  </si>
  <si>
    <t>Já não é doloroso hoje em dia , mas era doloroso quando este estudo foi feito nos em os anos 90 .</t>
  </si>
  <si>
    <t>file://conllu/pt/teddy-1030.conllu#s41_0</t>
  </si>
  <si>
    <t>43</t>
  </si>
  <si>
    <t>estar</t>
  </si>
  <si>
    <t>E aqui estão dois pacientes .</t>
  </si>
  <si>
    <t>file://conllu/pt/teddy-1030.conllu#s43_0</t>
  </si>
  <si>
    <t>44</t>
  </si>
  <si>
    <t>ser (ser registo)</t>
  </si>
  <si>
    <t>Aqueles são os seus registos .</t>
  </si>
  <si>
    <t>file://conllu/pt/teddy-1030.conllu#s44_0</t>
  </si>
  <si>
    <t>45</t>
  </si>
  <si>
    <t>perguntar</t>
  </si>
  <si>
    <t>E eu pergunto-vos pergunto vos ; &amp;quot; Qual deles de eles sofreu mais ? &amp;quot;</t>
  </si>
  <si>
    <t>file://conllu/pt/teddy-1030.conllu#s45_0</t>
  </si>
  <si>
    <t>46</t>
  </si>
  <si>
    <t>ser (ser questão)</t>
  </si>
  <si>
    <t>É uma questão bastante fácil .</t>
  </si>
  <si>
    <t>file://conllu/pt/teddy-1030.conllu#s46_0</t>
  </si>
  <si>
    <t>47</t>
  </si>
  <si>
    <t>sofrer</t>
  </si>
  <si>
    <t>Claramente , o Paciente B sofreu mais .</t>
  </si>
  <si>
    <t>file://conllu/pt/teddy-1030.conllu#s47_0</t>
  </si>
  <si>
    <t>48</t>
  </si>
  <si>
    <t>demorar</t>
  </si>
  <si>
    <t>A colonoscopia dele de ele demorou mais tempo , e para todos os minutos de dor que o paciente A experimentou o paciente B experimentou o mesmo e mais .</t>
  </si>
  <si>
    <t>file://conllu/pt/teddy-1030.conllu#s48_0</t>
  </si>
  <si>
    <t>49</t>
  </si>
  <si>
    <t>surgir</t>
  </si>
  <si>
    <t>Mas agora surge outra questão :</t>
  </si>
  <si>
    <t>file://conllu/pt/teddy-1030.conllu#s49_0</t>
  </si>
  <si>
    <t>50</t>
  </si>
  <si>
    <t>&amp;quot;</t>
  </si>
  <si>
    <t>&amp;quot; Quanto é que estes pacientes pensam que sofreram ? &amp;quot;</t>
  </si>
  <si>
    <t>file://conllu/pt/teddy-1030.conllu#s50_0</t>
  </si>
  <si>
    <t>51</t>
  </si>
  <si>
    <t>estar (estar surpresa)</t>
  </si>
  <si>
    <t>E aqui está uma surpresa :</t>
  </si>
  <si>
    <t>file://conllu/pt/teddy-1030.conllu#s51_0</t>
  </si>
  <si>
    <t>52</t>
  </si>
  <si>
    <t>ser</t>
  </si>
  <si>
    <t>A surpresa é que o paciente A tinha uma recordação muito pior da de a colonoscopia do de o que o paciente B. As histórias das de as duas colonoscopias eram diferentes e , porque uma parte fundamental da de a história é como acaba , e nenhuma destas de estas histórias é muito inspiradora ou maravilhosa , mas uma delas de elas é esta distinção , uma delas de elas é distintamente pior do de o que a outra .</t>
  </si>
  <si>
    <t>file://conllu/pt/teddy-1030.conllu#s52_0</t>
  </si>
  <si>
    <t>53</t>
  </si>
  <si>
    <t>ser (ser mau)</t>
  </si>
  <si>
    <t>A que foi pior foi aquela em que a dor atingiu o pico no em o final .</t>
  </si>
  <si>
    <t>file://conllu/pt/teddy-1030.conllu#s53_0</t>
  </si>
  <si>
    <t>54</t>
  </si>
  <si>
    <t>ser (ser história)</t>
  </si>
  <si>
    <t>É uma má história .</t>
  </si>
  <si>
    <t>file://conllu/pt/teddy-1030.conllu#s54_0</t>
  </si>
  <si>
    <t>55</t>
  </si>
  <si>
    <t>saber</t>
  </si>
  <si>
    <t>Como é que sabemos isso ?</t>
  </si>
  <si>
    <t>file://conllu/pt/teddy-1030.conllu#s55_0</t>
  </si>
  <si>
    <t>56</t>
  </si>
  <si>
    <t>Porque perguntámos a estas pessoas depois das de as colonoscopias , e muito mais tarde , também , &amp;quot; Quão mau foi todo o procedimento , no em o geral ? &amp;quot; Foi muito pior para</t>
  </si>
  <si>
    <t>file://conllu/pt/teddy-1030.conllu#s56_0</t>
  </si>
  <si>
    <t>57</t>
  </si>
  <si>
    <t>o</t>
  </si>
  <si>
    <t>A do de o que para B na em a sua recordação .</t>
  </si>
  <si>
    <t>file://conllu/pt/teddy-1030.conllu#s57_0</t>
  </si>
  <si>
    <t>58</t>
  </si>
  <si>
    <t>ser (ser conflito)</t>
  </si>
  <si>
    <t>Isto é um conflito direto entre o eu que vive a experiência e o eu que recorda .</t>
  </si>
  <si>
    <t>file://conllu/pt/teddy-1030.conllu#s58_0</t>
  </si>
  <si>
    <t>60</t>
  </si>
  <si>
    <t>Mas , o que se poderia fazer com o paciente A , e nós chegámos a fazer testes clínicos , isso já foi feito , e funciona , poderíamos prolongar a colonoscopia do de o paciente A , mantendo o tubo sem o abanar muito .</t>
  </si>
  <si>
    <t>file://conllu/pt/teddy-1030.conllu#s60_0</t>
  </si>
  <si>
    <t>61</t>
  </si>
  <si>
    <t>Isto faz com que o paciente sofra , mas só um bocadinho e muito menos do de o que antes .</t>
  </si>
  <si>
    <t>file://conllu/pt/teddy-1030.conllu#s61_0</t>
  </si>
  <si>
    <t>62</t>
  </si>
  <si>
    <t>Se fizermos isso durante alguns minutos , do de o paciente</t>
  </si>
  <si>
    <t>file://conllu/pt/teddy-1030.conllu#s62_0</t>
  </si>
  <si>
    <t>63</t>
  </si>
  <si>
    <t>sente</t>
  </si>
  <si>
    <t>A sente-se sente se pior .</t>
  </si>
  <si>
    <t>file://conllu/pt/teddy-1030.conllu#s63_0</t>
  </si>
  <si>
    <t>64</t>
  </si>
  <si>
    <t>eu</t>
  </si>
  <si>
    <t>e o eu que recorda do de o paciente</t>
  </si>
  <si>
    <t>file://conllu/pt/teddy-1030.conllu#s64_0</t>
  </si>
  <si>
    <t>65</t>
  </si>
  <si>
    <t>A sente-se sente se muito melhor , porque agora oferecemos ao a o paciente</t>
  </si>
  <si>
    <t>file://conllu/pt/teddy-1030.conllu#s65_0</t>
  </si>
  <si>
    <t>66</t>
  </si>
  <si>
    <t>história</t>
  </si>
  <si>
    <t>A uma história melhor sobre a sua experiência .</t>
  </si>
  <si>
    <t>file://conllu/pt/teddy-1030.conllu#s66_0</t>
  </si>
  <si>
    <t>67</t>
  </si>
  <si>
    <t>definir</t>
  </si>
  <si>
    <t>que é que define uma história ?</t>
  </si>
  <si>
    <t>file://conllu/pt/teddy-1030.conllu#s67_0</t>
  </si>
  <si>
    <t>68</t>
  </si>
  <si>
    <t>ser (ser verdade)</t>
  </si>
  <si>
    <t>Isto é verdade para as histórias que a memória nos em os dá , assim como para as histórias que inventamos .</t>
  </si>
  <si>
    <t>file://conllu/pt/teddy-1030.conllu#s68_0</t>
  </si>
  <si>
    <t>69</t>
  </si>
  <si>
    <t>ser (ser mudança)</t>
  </si>
  <si>
    <t>que define uma história são as mudanças , os momentos significativos e os finais .</t>
  </si>
  <si>
    <t>file://conllu/pt/teddy-1030.conllu#s69_0</t>
  </si>
  <si>
    <t>70</t>
  </si>
  <si>
    <t>ser (ser importante)</t>
  </si>
  <si>
    <t>Os finais são muito , muito importantes .</t>
  </si>
  <si>
    <t>file://conllu/pt/teddy-1030.conllu#s70_0</t>
  </si>
  <si>
    <t>72</t>
  </si>
  <si>
    <t>viver</t>
  </si>
  <si>
    <t>Agora , o eu que vive a experiência vive a sua vida de forma contínua .</t>
  </si>
  <si>
    <t>file://conllu/pt/teddy-1030.conllu#s72_0</t>
  </si>
  <si>
    <t>73</t>
  </si>
  <si>
    <t>Tem momentos de experiência , um após o outro .</t>
  </si>
  <si>
    <t>file://conllu/pt/teddy-1030.conllu#s73_0</t>
  </si>
  <si>
    <t>74</t>
  </si>
  <si>
    <t>E perguntamos :</t>
  </si>
  <si>
    <t>file://conllu/pt/teddy-1030.conllu#s74_0</t>
  </si>
  <si>
    <t>75</t>
  </si>
  <si>
    <t>que acontece a esses momentos ?</t>
  </si>
  <si>
    <t>file://conllu/pt/teddy-1030.conllu#s75_0</t>
  </si>
  <si>
    <t>76</t>
  </si>
  <si>
    <t>ser (ser claro)</t>
  </si>
  <si>
    <t>A resposta é bastante clara .</t>
  </si>
  <si>
    <t>file://conllu/pt/teddy-1030.conllu#s76_0</t>
  </si>
  <si>
    <t>77</t>
  </si>
  <si>
    <t>perder</t>
  </si>
  <si>
    <t>São perdidos para sempre .</t>
  </si>
  <si>
    <t>file://conllu/pt/teddy-1030.conllu#s77_0</t>
  </si>
  <si>
    <t>78</t>
  </si>
  <si>
    <t>dizer (dizer dizer querer)</t>
  </si>
  <si>
    <t>Quer dizer , é que a maior parte dos de os momentos da de a nossa vida — eu calculei isso — diz-se diz se que o presente psicológico dura cerca de 3 segundos .</t>
  </si>
  <si>
    <t>file://conllu/pt/teddy-1030.conllu#s78_0</t>
  </si>
  <si>
    <t>79</t>
  </si>
  <si>
    <t>Isto quer dizer que há cerca de 600 milhões deles de eles durante a vida .</t>
  </si>
  <si>
    <t>file://conllu/pt/teddy-1030.conllu#s79_0</t>
  </si>
  <si>
    <t>81</t>
  </si>
  <si>
    <t>deixar</t>
  </si>
  <si>
    <t>A maior parte deles de eles não deixa qualquer traço .</t>
  </si>
  <si>
    <t>file://conllu/pt/teddy-1030.conllu#s81_0</t>
  </si>
  <si>
    <t>82</t>
  </si>
  <si>
    <t>ignorar</t>
  </si>
  <si>
    <t>A maioria é completamente ignorada pelo por o eu que recorda .</t>
  </si>
  <si>
    <t>file://conllu/pt/teddy-1030.conllu#s82_0</t>
  </si>
  <si>
    <t>83</t>
  </si>
  <si>
    <t>E apesar disto de isto , de certa forma , temos a sensação de que eles deviam contar , que o que acontece nestes em estes momentos de experiência é a nossa vida .</t>
  </si>
  <si>
    <t>file://conllu/pt/teddy-1030.conllu#s83_0</t>
  </si>
  <si>
    <t>84</t>
  </si>
  <si>
    <t>Nós estamos a gastar este recurso finito enquanto estamos nesta em esta terra .</t>
  </si>
  <si>
    <t>file://conllu/pt/teddy-1030.conllu#s84_0</t>
  </si>
  <si>
    <t>85</t>
  </si>
  <si>
    <t>dever</t>
  </si>
  <si>
    <t>E a forma como o gastamos deveria ser relevante .</t>
  </si>
  <si>
    <t>file://conllu/pt/teddy-1030.conllu#s85_0</t>
  </si>
  <si>
    <t>86</t>
  </si>
  <si>
    <t>Mas isso não é a história que o eu que recorda guarda para nós .</t>
  </si>
  <si>
    <t>file://conllu/pt/teddy-1030.conllu#s86_0</t>
  </si>
  <si>
    <t>87</t>
  </si>
  <si>
    <t>Por isso , temos o eu que recorda e o eu que vive a experiência , que são bastante distintos .</t>
  </si>
  <si>
    <t>file://conllu/pt/teddy-1030.conllu#s87_0</t>
  </si>
  <si>
    <t>88</t>
  </si>
  <si>
    <t>É como?</t>
  </si>
  <si>
    <t>ser (ser lidar)</t>
  </si>
  <si>
    <t>A maior diferença entre eles é como lidam com o tempo .</t>
  </si>
  <si>
    <t>file://conllu/pt/teddy-1030.conllu#s88_0</t>
  </si>
  <si>
    <t>89</t>
  </si>
  <si>
    <t>ser (ser vez)</t>
  </si>
  <si>
    <t>se formos de férias e a segunda semana for tão boa como a primeira , as férias de duas semanas são duas vezes melhores do de o que as férias de uma semana .</t>
  </si>
  <si>
    <t>file://conllu/pt/teddy-1030.conllu#s89_0</t>
  </si>
  <si>
    <t>90</t>
  </si>
  <si>
    <t>Mas não é assim que funciona para o eu que recorda .</t>
  </si>
  <si>
    <t>file://conllu/pt/teddy-1030.conllu#s90_0</t>
  </si>
  <si>
    <t>91</t>
  </si>
  <si>
    <t>ser (ser melhor)</t>
  </si>
  <si>
    <t>Para o eu que recorda , umas férias de duas semanas são pouco melhores do de o que férias de uma semana porque não houve novas memórias adicionadas .</t>
  </si>
  <si>
    <t>file://conllu/pt/teddy-1030.conllu#s91_0</t>
  </si>
  <si>
    <t>92</t>
  </si>
  <si>
    <t>mudar</t>
  </si>
  <si>
    <t>Nós não mudámos a história .</t>
  </si>
  <si>
    <t>file://conllu/pt/teddy-1030.conllu#s92_0</t>
  </si>
  <si>
    <t>94</t>
  </si>
  <si>
    <t>tempo tem muito pouco impacto nesta em esta história .</t>
  </si>
  <si>
    <t>file://conllu/pt/teddy-1030.conllu#s94_0</t>
  </si>
  <si>
    <t>95</t>
  </si>
  <si>
    <t>Mas , o eu que recorda faz mais do de o que relembrar e contar histórias .</t>
  </si>
  <si>
    <t>file://conllu/pt/teddy-1030.conllu#s95_0</t>
  </si>
  <si>
    <t>96</t>
  </si>
  <si>
    <t>ser (ser ele)</t>
  </si>
  <si>
    <t>É ele que toma decisões porque , se tivermos um paciente que fez , digamos , duas colonoscopias com dois cirurgiões diferentes e que está a decidir qual deles de eles escolher , o que ele escolhe é aquele que cuja recordação é menos má , e esse é o cirurgião que será escolhido .</t>
  </si>
  <si>
    <t>file://conllu/pt/teddy-1030.conllu#s96_0</t>
  </si>
  <si>
    <t>97</t>
  </si>
  <si>
    <t>eu que vive a experiência não tem qualquer voto nesta em esta escolha .</t>
  </si>
  <si>
    <t>file://conllu/pt/teddy-1030.conllu#s97_0</t>
  </si>
  <si>
    <t>99</t>
  </si>
  <si>
    <t>escolher</t>
  </si>
  <si>
    <t>nós escolhemos entre recordações de experiências .</t>
  </si>
  <si>
    <t>file://conllu/pt/teddy-1030.conllu#s99_0</t>
  </si>
  <si>
    <t>100</t>
  </si>
  <si>
    <t>pensar (pensar pensar)</t>
  </si>
  <si>
    <t>E , até quando pensamos acerca do de o futuro , não pensamos acerca do de o nosso futuro enquanto experiências .</t>
  </si>
  <si>
    <t>file://conllu/pt/teddy-1030.conllu#s100_0</t>
  </si>
  <si>
    <t>101</t>
  </si>
  <si>
    <t>Pensamos no em o nosso futuro como recordações antecipadas .</t>
  </si>
  <si>
    <t>file://conllu/pt/teddy-1030.conllu#s101_0</t>
  </si>
  <si>
    <t>102</t>
  </si>
  <si>
    <t>Basicamente podem olhar para isto como a tirania do de o eu que recorda , e podem pensar acerca do de o eu que recorda como se arrastasse o eu que vive a experiência através das de as experiências que o eu que vive a experiência não necessita .</t>
  </si>
  <si>
    <t>file://conllu/pt/teddy-1030.conllu#s102_0</t>
  </si>
  <si>
    <t>103</t>
  </si>
  <si>
    <t>Eu tenho a sensação que quando vamos de férias , isto é frequentemente o caso .</t>
  </si>
  <si>
    <t>file://conllu/pt/teddy-1030.conllu#s103_0</t>
  </si>
  <si>
    <t>104</t>
  </si>
  <si>
    <t>ir (ir férias)</t>
  </si>
  <si>
    <t>Nós vamos de férias em grande parte ao a o serviço do de o nosso eu que recorda .</t>
  </si>
  <si>
    <t>file://conllu/pt/teddy-1030.conllu#s104_0</t>
  </si>
  <si>
    <t>105</t>
  </si>
  <si>
    <t>ser (ser bocado)</t>
  </si>
  <si>
    <t>Quanto a mim , isto é um bocado difícil de justificar .</t>
  </si>
  <si>
    <t>file://conllu/pt/teddy-1030.conllu#s105_0</t>
  </si>
  <si>
    <t>106</t>
  </si>
  <si>
    <t>Quer dizer , quanto aproveitamos das de as nossas memórias ?</t>
  </si>
  <si>
    <t>file://conllu/pt/teddy-1030.conllu#s106_0</t>
  </si>
  <si>
    <t>107</t>
  </si>
  <si>
    <t>ser (ser um)</t>
  </si>
  <si>
    <t>Essa é uma das de as explicações dadas para a predominância do de o eu que recorda .</t>
  </si>
  <si>
    <t>file://conllu/pt/teddy-1030.conllu#s107_0</t>
  </si>
  <si>
    <t>108</t>
  </si>
  <si>
    <t>Quando penso sobre isso , penso numas em umas férias que tivemos na em a Antártida há uns anos , que foram claramente as melhores férias que alguma vez tive .</t>
  </si>
  <si>
    <t>file://conllu/pt/teddy-1030.conllu#s108_0</t>
  </si>
  <si>
    <t>109</t>
  </si>
  <si>
    <t>Penso nelas em elas com bastante frequência em comparação com o que penso noutras em outras férias .</t>
  </si>
  <si>
    <t>file://conllu/pt/teddy-1030.conllu#s109_0</t>
  </si>
  <si>
    <t>110</t>
  </si>
  <si>
    <t>aproveitar</t>
  </si>
  <si>
    <t>Provavelmente , aproveitei as minhas memórias dessa de essa viagem de três semanas , cerca de 25 minutos nos em os últimos quatro anos .</t>
  </si>
  <si>
    <t>file://conllu/pt/teddy-1030.conllu#s110_0</t>
  </si>
  <si>
    <t>111</t>
  </si>
  <si>
    <t>gastar</t>
  </si>
  <si>
    <t>Mas , se tivesse aberto o álbum que contém as 600 fotografias dentro , teria gasto outra hora .</t>
  </si>
  <si>
    <t>file://conllu/pt/teddy-1030.conllu#s111_0</t>
  </si>
  <si>
    <t>112</t>
  </si>
  <si>
    <t>ser (ser semana)</t>
  </si>
  <si>
    <t>Ora , isso são três semanas e , no em o máximo , uma hora e meia .</t>
  </si>
  <si>
    <t>file://conllu/pt/teddy-1030.conllu#s112_0</t>
  </si>
  <si>
    <t>113</t>
  </si>
  <si>
    <t>parecer</t>
  </si>
  <si>
    <t>Parece que existe uma discrepância .</t>
  </si>
  <si>
    <t>file://conllu/pt/teddy-1030.conllu#s113_0</t>
  </si>
  <si>
    <t>114</t>
  </si>
  <si>
    <t>Eu posso ser um pouco extremista no em o pouco apetite que tenho para aproveitar recordações , mas mesmo que vocês aproveitem mais , há uma questão genuína :</t>
  </si>
  <si>
    <t>file://conllu/pt/teddy-1030.conllu#s114_0</t>
  </si>
  <si>
    <t>115</t>
  </si>
  <si>
    <t>Porque é que?</t>
  </si>
  <si>
    <t>dar</t>
  </si>
  <si>
    <t>Porque é que damos tanta importância às a as recordações em relação à a a importância que damos às a as experiências ?</t>
  </si>
  <si>
    <t>file://conllu/pt/teddy-1030.conllu#s115_0</t>
  </si>
  <si>
    <t>116</t>
  </si>
  <si>
    <t>pensar (pensar querer)</t>
  </si>
  <si>
    <t>Por isso , queria que pensassem numa em uma experiência difícil .</t>
  </si>
  <si>
    <t>file://conllu/pt/teddy-1030.conllu#s116_0</t>
  </si>
  <si>
    <t>117</t>
  </si>
  <si>
    <t>saber (saber imaginar)</t>
  </si>
  <si>
    <t>Imaginem que nas em as vossas próximas férias vocês sabem que , no em o final das de as férias , todas as vossas fotografias vão ser destruídas , e dão-vos dão vos uma droga amnésica para que não se lembrem de nada .</t>
  </si>
  <si>
    <t>file://conllu/pt/teddy-1030.conllu#s117_0</t>
  </si>
  <si>
    <t>118</t>
  </si>
  <si>
    <t>Escolher (Escolher férias)</t>
  </si>
  <si>
    <t>Escolheriam as mesmas férias ?</t>
  </si>
  <si>
    <t>file://conllu/pt/teddy-1030.conllu#s118_0</t>
  </si>
  <si>
    <t>119</t>
  </si>
  <si>
    <t>riso</t>
  </si>
  <si>
    <t>( Risos ) E , se escolhessem umas férias diferentes , existe um conflito entre os dois eus e precisam de pensar como vão resolver esse conflito .</t>
  </si>
  <si>
    <t>file://conllu/pt/teddy-1030.conllu#s119_0</t>
  </si>
  <si>
    <t>121</t>
  </si>
  <si>
    <t>razão</t>
  </si>
  <si>
    <t>A razão por que escolhemos as férias que escolhemos é um dilema que nos em os confronta com uma escolha entre os dois eus .</t>
  </si>
  <si>
    <t>file://conllu/pt/teddy-1030.conllu#s121_0</t>
  </si>
  <si>
    <t>122</t>
  </si>
  <si>
    <t>trazer</t>
  </si>
  <si>
    <t>Mas , os dois eus trazem consigo com si duas noções de felicidade .</t>
  </si>
  <si>
    <t>file://conllu/pt/teddy-1030.conllu#s122_0</t>
  </si>
  <si>
    <t>123</t>
  </si>
  <si>
    <t>existir</t>
  </si>
  <si>
    <t>Existem dois conceitos de felicidade que podemos aplicar , um para cada eu .</t>
  </si>
  <si>
    <t>file://conllu/pt/teddy-1030.conllu#s123_0</t>
  </si>
  <si>
    <t>124</t>
  </si>
  <si>
    <t>Portanto , podem perguntar : &amp;quot; Quão feliz é o eu que vive a experiência ? &amp;quot; e depois perguntariam :</t>
  </si>
  <si>
    <t>file://conllu/pt/teddy-1030.conllu#s124_0</t>
  </si>
  <si>
    <t>125</t>
  </si>
  <si>
    <t>ser (ser feliz)</t>
  </si>
  <si>
    <t>Quão felizes são os momentos na em a vida do de o eu que vive a experiência ? &amp;quot; Todos eles são — a felicidade durante momentos é um processo complicado .</t>
  </si>
  <si>
    <t>file://conllu/pt/teddy-1030.conllu#s125_0</t>
  </si>
  <si>
    <t>126</t>
  </si>
  <si>
    <t>Que emoções podem ser medidas ?</t>
  </si>
  <si>
    <t>file://conllu/pt/teddy-1030.conllu#s126_0</t>
  </si>
  <si>
    <t>127</t>
  </si>
  <si>
    <t>ser (ser capaz)</t>
  </si>
  <si>
    <t>Já agora , neste em este momento somos capazes de ter uma boa perceção sobre a felicidade do de o eu que vive a experiência ao a o longo do de o tempo .</t>
  </si>
  <si>
    <t>file://conllu/pt/teddy-1030.conllu#s127_0</t>
  </si>
  <si>
    <t>128</t>
  </si>
  <si>
    <t>ser (ser diferente)</t>
  </si>
  <si>
    <t>Se questionarem sobre a felicidade do de o eu que recorda , isso , é algo completamente diferente .</t>
  </si>
  <si>
    <t>file://conllu/pt/teddy-1030.conllu#s128_0</t>
  </si>
  <si>
    <t>129</t>
  </si>
  <si>
    <t>tratar</t>
  </si>
  <si>
    <t>Não se trata de quão feliz alguém vive .</t>
  </si>
  <si>
    <t>file://conllu/pt/teddy-1030.conllu#s129_0</t>
  </si>
  <si>
    <t>131</t>
  </si>
  <si>
    <t>noção</t>
  </si>
  <si>
    <t>Uma noção muito diferente .</t>
  </si>
  <si>
    <t>file://conllu/pt/teddy-1030.conllu#s131_0</t>
  </si>
  <si>
    <t>132</t>
  </si>
  <si>
    <t>Quem?</t>
  </si>
  <si>
    <t>baralhar</t>
  </si>
  <si>
    <t>Quem quer que não distinga entre essas noções , vai baralhar o estudo da de a felicidade , e eu pertenço ao a o grupo de estudantes do de o bem-estar que tem criado confusão no em o estudo da de a felicidade durante muito tempo exatamente desta de esta forma .</t>
  </si>
  <si>
    <t>file://conllu/pt/teddy-1030.conllu#s132_0</t>
  </si>
  <si>
    <t>133</t>
  </si>
  <si>
    <t>reconhecer</t>
  </si>
  <si>
    <t>A distinção entre a felicidade do de o eu que vive a experiência e a satisfação do de o eu que recorda foi reconhecida nos em os últimos anos , e fazem-se fazem se agora esforços para medir ambos separadamente .</t>
  </si>
  <si>
    <t>file://conllu/pt/teddy-1030.conllu#s133_0</t>
  </si>
  <si>
    <t>134</t>
  </si>
  <si>
    <t>A Organização Gallup fez um inquérito mundial em que perguntaram a mais de meio milhão de pessoas o que pensam da de a sua vida e das de as suas experiências .</t>
  </si>
  <si>
    <t>file://conllu/pt/teddy-1030.conllu#s134_0</t>
  </si>
  <si>
    <t>135</t>
  </si>
  <si>
    <t>E tem havido outros esforços na em a mesma direção .</t>
  </si>
  <si>
    <t>file://conllu/pt/teddy-1030.conllu#s135_0</t>
  </si>
  <si>
    <t>136</t>
  </si>
  <si>
    <t>começar</t>
  </si>
  <si>
    <t>Portanto , nos em os últimos anos , temos começado a aprender sobre a felicidade dos de os dois eus .</t>
  </si>
  <si>
    <t>file://conllu/pt/teddy-1030.conllu#s136_0</t>
  </si>
  <si>
    <t>137</t>
  </si>
  <si>
    <t>E a principal lição que penso termos aprendido é que eles são bastante diferentes .</t>
  </si>
  <si>
    <t>file://conllu/pt/teddy-1030.conllu#s137_0</t>
  </si>
  <si>
    <t>138</t>
  </si>
  <si>
    <t>Podem saber o quanto alguém está satisfeito com a sua vida , e isso , na em a realidade , não vos diz muito sobre quão feliz é a vivência dessas de essas pessoas , e vice versa .</t>
  </si>
  <si>
    <t>file://conllu/pt/teddy-1030.conllu#s138_0</t>
  </si>
  <si>
    <t>139</t>
  </si>
  <si>
    <t>Só para vos dar uma noção da de a correlação , a correlação é de cerca de 0,5 .</t>
  </si>
  <si>
    <t>file://conllu/pt/teddy-1030.conllu#s139_0</t>
  </si>
  <si>
    <t>140</t>
  </si>
  <si>
    <t>conhecer (conhecer dizer querer)</t>
  </si>
  <si>
    <t>Isso quer dizer que , se conhecerem alguém e vos disserem : &amp;quot; pai dele de ele mede 1,80 m &amp;quot; , quanto saberiam acerca da de a altura dele de ele ?</t>
  </si>
  <si>
    <t>file://conllu/pt/teddy-1030.conllu#s140_0</t>
  </si>
  <si>
    <t>141</t>
  </si>
  <si>
    <t>saber (saber coisa)</t>
  </si>
  <si>
    <t>Saberiam qualquer coisa sobre a sua altura , mas existe bastante incerteza .</t>
  </si>
  <si>
    <t>file://conllu/pt/teddy-1030.conllu#s141_0</t>
  </si>
  <si>
    <t>142</t>
  </si>
  <si>
    <t>Tem essa mesma incerteza se eu vos disser que alguém classificou a sua vida com 8 numa em uma escala de 10 , têm bastante incerteza acerca de quão feliz essa pessoa é no em o seu eu que vive a experiência .</t>
  </si>
  <si>
    <t>file://conllu/pt/teddy-1030.conllu#s142_0</t>
  </si>
  <si>
    <t>143</t>
  </si>
  <si>
    <t>ser (ser baixo)</t>
  </si>
  <si>
    <t>Portanto , a correlação é baixa .</t>
  </si>
  <si>
    <t>file://conllu/pt/teddy-1030.conllu#s143_0</t>
  </si>
  <si>
    <t>144</t>
  </si>
  <si>
    <t>Sabemos algo acerca do de o que controla a satisfação do de o eu da de a felicidade .</t>
  </si>
  <si>
    <t>file://conllu/pt/teddy-1030.conllu#s144_0</t>
  </si>
  <si>
    <t>145</t>
  </si>
  <si>
    <t>Sabemos que o dinheiro é muito importante , os objetivos são muito importantes .</t>
  </si>
  <si>
    <t>file://conllu/pt/teddy-1030.conllu#s145_0</t>
  </si>
  <si>
    <t>146</t>
  </si>
  <si>
    <t>passar (passar saber)</t>
  </si>
  <si>
    <t>Sabemos que a felicidade é sobretudo estar satisfeito com pessoas de quem gostamos , e passar tempo com pessoas que gostamos .</t>
  </si>
  <si>
    <t>file://conllu/pt/teddy-1030.conllu#s146_0</t>
  </si>
  <si>
    <t>147</t>
  </si>
  <si>
    <t>Há outros prazeres , mas este é dominante .</t>
  </si>
  <si>
    <t>file://conllu/pt/teddy-1030.conllu#s147_0</t>
  </si>
  <si>
    <t>148</t>
  </si>
  <si>
    <t>acabar</t>
  </si>
  <si>
    <t>Portanto , se quiserem maximizar a felicidade dos de os dois eus , vão acabar por fazer coisas muito diferentes .</t>
  </si>
  <si>
    <t>file://conllu/pt/teddy-1030.conllu#s148_0</t>
  </si>
  <si>
    <t>149</t>
  </si>
  <si>
    <t>ponto fulcral do de o que eu disse aqui é que não devemos pensar na em a felicidade como um substituto para o bem-estar .</t>
  </si>
  <si>
    <t>file://conllu/pt/teddy-1030.conllu#s149_0</t>
  </si>
  <si>
    <t>150</t>
  </si>
  <si>
    <t>ser (ser noção)</t>
  </si>
  <si>
    <t>É uma noção completamente diferente .</t>
  </si>
  <si>
    <t>file://conllu/pt/teddy-1030.conllu#s150_0</t>
  </si>
  <si>
    <t>151</t>
  </si>
  <si>
    <t>Agora , muito rapidamente , outra razão por que não podemos pensar claramente sobre a felicidade é porque não levamos em conta as mesmas coisas quando pensamos sobre a vida , e quando a vivemos realmente .</t>
  </si>
  <si>
    <t>file://conllu/pt/teddy-1030.conllu#s151_0</t>
  </si>
  <si>
    <t>152</t>
  </si>
  <si>
    <t>chegar</t>
  </si>
  <si>
    <t>Portanto , se perguntarmos quão felizes são as pessoas na em a Califórnia , não vamos chegar à a a resposta certa .</t>
  </si>
  <si>
    <t>file://conllu/pt/teddy-1030.conllu#s152_0</t>
  </si>
  <si>
    <t>153</t>
  </si>
  <si>
    <t>perguntar (perguntar pensar)</t>
  </si>
  <si>
    <t>Quando perguntamos isso , pensamos que as pessoas devem ser mais felizes na em a Califórnia do de o que , digamos , se viverem no em o Ohio .</t>
  </si>
  <si>
    <t>file://conllu/pt/teddy-1030.conllu#s153_0</t>
  </si>
  <si>
    <t>154</t>
  </si>
  <si>
    <t>que acontece é que quando pensam em viver na em a Califórnia , estão a pensar no em o contraste entre a Califórnia e outros lugares .</t>
  </si>
  <si>
    <t>file://conllu/pt/teddy-1030.conllu#s154_0</t>
  </si>
  <si>
    <t>155</t>
  </si>
  <si>
    <t>E esse contraste é , digamos , o clima .</t>
  </si>
  <si>
    <t>file://conllu/pt/teddy-1030.conllu#s155_0</t>
  </si>
  <si>
    <t>157</t>
  </si>
  <si>
    <t>Mas , porque é o eu que reflete que está no em o comando , algumas pessoas poderão acabar por se mudar para a Califórnia .</t>
  </si>
  <si>
    <t>file://conllu/pt/teddy-1030.conllu#s157_0</t>
  </si>
  <si>
    <t>158</t>
  </si>
  <si>
    <t>ser (ser interessante)</t>
  </si>
  <si>
    <t>É interessante analisar o que vai acontecer às a as pessoas que se mudam para a Califórnia na em a esperança de serem mais felizes .</t>
  </si>
  <si>
    <t>file://conllu/pt/teddy-1030.conllu#s158_0</t>
  </si>
  <si>
    <t>159</t>
  </si>
  <si>
    <t>ficar</t>
  </si>
  <si>
    <t>seu eu que vive a experiência não vai ficar mais feliz .</t>
  </si>
  <si>
    <t>file://conllu/pt/teddy-1030.conllu#s159_0</t>
  </si>
  <si>
    <t>160</t>
  </si>
  <si>
    <t>Nós sabemos isso .</t>
  </si>
  <si>
    <t>file://conllu/pt/teddy-1030.conllu#s160_0</t>
  </si>
  <si>
    <t>161</t>
  </si>
  <si>
    <t>acontecer</t>
  </si>
  <si>
    <t>Contudo , vai acontecer uma coisa .</t>
  </si>
  <si>
    <t>file://conllu/pt/teddy-1030.conllu#s161_0</t>
  </si>
  <si>
    <t>162</t>
  </si>
  <si>
    <t>ser (ser clima)</t>
  </si>
  <si>
    <t>Eles vão pensar que são mais felizes , porque , quando pensam no em o assunto , lembram-se lembram se do de o quão horrível era o clima no em o Ohio e vão sentir que fizeram a escolha certa .</t>
  </si>
  <si>
    <t>file://conllu/pt/teddy-1030.conllu#s162_0</t>
  </si>
  <si>
    <t>163</t>
  </si>
  <si>
    <t>ser (ser difícil)</t>
  </si>
  <si>
    <t>É muito difícil pensar claramente sobre o bem-estar e eu espero que vos tenha oferecido uma noção de quão difícil é .</t>
  </si>
  <si>
    <t>file://conllu/pt/teddy-1030.conllu#s163_0</t>
  </si>
  <si>
    <t>164</t>
  </si>
  <si>
    <t>obrigar</t>
  </si>
  <si>
    <t>Obrigado . ( Aplausos ) Chris Anderson : Obrigado .</t>
  </si>
  <si>
    <t>file://conllu/pt/teddy-1030.conllu#s164_0</t>
  </si>
  <si>
    <t>165</t>
  </si>
  <si>
    <t>Tenho uma pergunta para ti .</t>
  </si>
  <si>
    <t>file://conllu/pt/teddy-1030.conllu#s165_0</t>
  </si>
  <si>
    <t>166</t>
  </si>
  <si>
    <t>obrigado</t>
  </si>
  <si>
    <t>Muito obrigado .</t>
  </si>
  <si>
    <t>file://conllu/pt/teddy-1030.conllu#s166_0</t>
  </si>
  <si>
    <t>167</t>
  </si>
  <si>
    <t>Quando estávamos ao a o telefone há umas semanas , mencionaste que havia um resultado bastante interessante que tinha surgido do de o questionário da de a Gallup .</t>
  </si>
  <si>
    <t>file://conllu/pt/teddy-1030.conllu#s167_0</t>
  </si>
  <si>
    <t>168</t>
  </si>
  <si>
    <t>Há alguma coisa que possas partilhar já que ainda tens uns momentos de sobra ?</t>
  </si>
  <si>
    <t>file://conllu/pt/teddy-1030.conllu#s168_0</t>
  </si>
  <si>
    <t>169</t>
  </si>
  <si>
    <t>Daniel</t>
  </si>
  <si>
    <t>Daniel Kahneman : Claro .</t>
  </si>
  <si>
    <t>file://conllu/pt/teddy-1030.conllu#s169_0</t>
  </si>
  <si>
    <t>170</t>
  </si>
  <si>
    <t>ser (ser número)</t>
  </si>
  <si>
    <t>Penso que o resultado mais interessante que tivemos no em o questionário da de a Gallup é um número , que não esperávamos encontrar , de todo .</t>
  </si>
  <si>
    <t>file://conllu/pt/teddy-1030.conllu#s170_0</t>
  </si>
  <si>
    <t>171</t>
  </si>
  <si>
    <t>Descobrir</t>
  </si>
  <si>
    <t>Descobrimos que , no em o que respeita à a a felicidade do de o eu que vive a experiência — quando observávamos como os sentimentos variavam com os rendimentos — revelou-se revelou se que , abaixo de um rendimento de 60 000 dólares por ano , para norte-americanos — e foi uma grande amostra de norte-americanos , uns 600 000 , uma amostra grande e representativa — abaixo de um rendimento de 600 000 dólares por ano ... CA : 60 000 DK : ... 60 000 ... 60 000 dólares por ano , as pessoas são infelizes , e ficam progressivamente mais infelizes quanto mais pobres são .</t>
  </si>
  <si>
    <t>file://conllu/pt/teddy-1030.conllu#s171_0</t>
  </si>
  <si>
    <t>172</t>
  </si>
  <si>
    <t>Acima disso de isso , temos um linha totalmente reta .</t>
  </si>
  <si>
    <t>file://conllu/pt/teddy-1030.conllu#s172_0</t>
  </si>
  <si>
    <t>173</t>
  </si>
  <si>
    <t>ver (ver dizer querer)</t>
  </si>
  <si>
    <t>Quer dizer , raramente vi linhas tão retas .</t>
  </si>
  <si>
    <t>file://conllu/pt/teddy-1030.conllu#s173_0</t>
  </si>
  <si>
    <t>174</t>
  </si>
  <si>
    <t>Claramente , o que acontece é que o dinheiro não compra a felicidade que se vive , mas a falta de dinheiro compra , certamente , a infelicidade , e nós podemos medir essa infelicidade muito , muito claramente .</t>
  </si>
  <si>
    <t>file://conllu/pt/teddy-1030.conllu#s174_0</t>
  </si>
  <si>
    <t>175</t>
  </si>
  <si>
    <t>Em relação ao a o outro eu , o eu que recorda , a história é diferente .</t>
  </si>
  <si>
    <t>file://conllu/pt/teddy-1030.conllu#s175_0</t>
  </si>
  <si>
    <t>176</t>
  </si>
  <si>
    <t>ganhar</t>
  </si>
  <si>
    <t>Quanto mais dinheiro ganham , mais satisfeitos estão .</t>
  </si>
  <si>
    <t>file://conllu/pt/teddy-1030.conllu#s176_0</t>
  </si>
  <si>
    <t>177</t>
  </si>
  <si>
    <t>verificar</t>
  </si>
  <si>
    <t>Isso não se verifica para as emoções .</t>
  </si>
  <si>
    <t>file://conllu/pt/teddy-1030.conllu#s177_0</t>
  </si>
  <si>
    <t>178</t>
  </si>
  <si>
    <t>CA</t>
  </si>
  <si>
    <t>CA : Mas Danny , todo o esforço americano é sobre a vida , a liberdade , a busca da de a felicidade .</t>
  </si>
  <si>
    <t>file://conllu/pt/teddy-1030.conllu#s178_0</t>
  </si>
  <si>
    <t>179</t>
  </si>
  <si>
    <t>Se as pessoas levarem esse resultado a sério , quer dizer , parece que volta do de o avesso tudo aquilo em que acreditamos , por exemplo , as políticas de impostos , etc.</t>
  </si>
  <si>
    <t>file://conllu/pt/teddy-1030.conllu#s179_0</t>
  </si>
  <si>
    <t>180</t>
  </si>
  <si>
    <t>Há alguma hipótese que os políticos , que o país em geral , levem um resultado como esse a sério e criem políticas públicas baseadas nisso em isso ?</t>
  </si>
  <si>
    <t>file://conllu/pt/teddy-1030.conllu#s180_0</t>
  </si>
  <si>
    <t>181</t>
  </si>
  <si>
    <t>Dk</t>
  </si>
  <si>
    <t>DK : Sabes , eu penso que se reconhece o papel da de a investigação em felicidade nas em as políticas públicas .</t>
  </si>
  <si>
    <t>file://conllu/pt/teddy-1030.conllu#s181_0</t>
  </si>
  <si>
    <t>182</t>
  </si>
  <si>
    <t>ser (ser lento)</t>
  </si>
  <si>
    <t>reconhecimento vai ser lento nos em os EUA , não há dúvida , mas no em o Reino Unido , isso está a acontecer , assim como noutros em outros países .</t>
  </si>
  <si>
    <t>file://conllu/pt/teddy-1030.conllu#s182_0</t>
  </si>
  <si>
    <t>183</t>
  </si>
  <si>
    <t>As pessoas estão a reconhecer que deveriam pensar na em a felicidade quando pensam em políticas públicas .</t>
  </si>
  <si>
    <t>file://conllu/pt/teddy-1030.conllu#s183_0</t>
  </si>
  <si>
    <t>184</t>
  </si>
  <si>
    <t>levar</t>
  </si>
  <si>
    <t>Vai levar algum tempo , e as pessoas vão debater se querem estudar a experiência de felicidade , ou se querem estudar a avaliação da de a vida .</t>
  </si>
  <si>
    <t>file://conllu/pt/teddy-1030.conllu#s184_0</t>
  </si>
  <si>
    <t>185</t>
  </si>
  <si>
    <t>precisar</t>
  </si>
  <si>
    <t>Portanto , precisamos de ter esse debate em breve .</t>
  </si>
  <si>
    <t>file://conllu/pt/teddy-1030.conllu#s185_0</t>
  </si>
  <si>
    <t>186</t>
  </si>
  <si>
    <t>E se?</t>
  </si>
  <si>
    <t>tomar</t>
  </si>
  <si>
    <t>Como aumentar a felicidade toma formas muito diferentes , dependendo de como pensas e se pensas no em o eu que recorda ou no em o eu que vive a experiência .</t>
  </si>
  <si>
    <t>file://conllu/pt/teddy-1030.conllu#s186_0</t>
  </si>
  <si>
    <t>187</t>
  </si>
  <si>
    <t>Penso que isto vai influenciar as políticas nos em os próximos anos .</t>
  </si>
  <si>
    <t>file://conllu/pt/teddy-1030.conllu#s187_0</t>
  </si>
  <si>
    <t>189</t>
  </si>
  <si>
    <t>Penso que , nas em as próximas décadas , isto fará parte das de as estatísticas nacionais .</t>
  </si>
  <si>
    <t>file://conllu/pt/teddy-1030.conllu#s189_0</t>
  </si>
  <si>
    <t>190</t>
  </si>
  <si>
    <t>CA : Bem , parece-me parece me que este assunto será , ou pelo por o menos deveria ser , a discussão política mais importante para acompanhar nos em os próximos anos .</t>
  </si>
  <si>
    <t>file://conllu/pt/teddy-1030.conllu#s190_0</t>
  </si>
  <si>
    <t>191</t>
  </si>
  <si>
    <t>Muito obrigado por inventares a economia comportamental .</t>
  </si>
  <si>
    <t>file://conllu/pt/teddy-1030.conllu#s191_0</t>
  </si>
  <si>
    <t>192</t>
  </si>
  <si>
    <t>Obrigado</t>
  </si>
  <si>
    <t>Obrigado , Danny Kahneman .</t>
  </si>
  <si>
    <t>file://conllu/pt/teddy-1030.conllu#s192_0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</si>
  <si>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</si>
  <si>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</si>
  <si>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</si>
  <si>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</si>
  <si>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</si>
  <si>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</si>
  <si>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</si>
  <si>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</si>
  <si>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</si>
  <si>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</si>
  <si>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</si>
  <si>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Toda a gente fala de felicidade hoje em dia.</t>
  </si>
  <si>
    <t>Toda</t>
  </si>
  <si>
    <t>a</t>
  </si>
  <si>
    <t>gente</t>
  </si>
  <si>
    <t>SBJ</t>
  </si>
  <si>
    <t>def-np.the</t>
  </si>
  <si>
    <t>?OLD</t>
  </si>
  <si>
    <t>fala</t>
  </si>
  <si>
    <t>de</t>
  </si>
  <si>
    <t>felicidade</t>
  </si>
  <si>
    <t>OBJ</t>
  </si>
  <si>
    <t>indef-np.bare</t>
  </si>
  <si>
    <t>hoje</t>
  </si>
  <si>
    <t>em</t>
  </si>
  <si>
    <t>dia</t>
  </si>
  <si>
    <t>other</t>
  </si>
  <si>
    <t>.</t>
  </si>
  <si>
    <t>--</t>
  </si>
  <si>
    <t># text = Eu pedi a alguém que contasse o número de livros com \"felicidade\" no título, publicados nos últimos cinco anos, e eles desistiram depois de cerca de 40, e havia muitos mais.</t>
  </si>
  <si>
    <t>Eu</t>
  </si>
  <si>
    <t>pron.pper</t>
  </si>
  <si>
    <t>pedi</t>
  </si>
  <si>
    <t>alguém</t>
  </si>
  <si>
    <t>pron.pind</t>
  </si>
  <si>
    <t>que</t>
  </si>
  <si>
    <t>SBJ_3</t>
  </si>
  <si>
    <t>contasse</t>
  </si>
  <si>
    <t>número</t>
  </si>
  <si>
    <t>OBJ_3</t>
  </si>
  <si>
    <t>def-np.poss</t>
  </si>
  <si>
    <t>livros</t>
  </si>
  <si>
    <t>other_4</t>
  </si>
  <si>
    <t>com</t>
  </si>
  <si>
    <t>título</t>
  </si>
  <si>
    <t>,</t>
  </si>
  <si>
    <t>publicados</t>
  </si>
  <si>
    <t>os</t>
  </si>
  <si>
    <t>últimos</t>
  </si>
  <si>
    <t>cinco</t>
  </si>
  <si>
    <t>anos</t>
  </si>
  <si>
    <t>other_6</t>
  </si>
  <si>
    <t>def-np.quant</t>
  </si>
  <si>
    <t>e</t>
  </si>
  <si>
    <t>eles</t>
  </si>
  <si>
    <t>SBJ_5</t>
  </si>
  <si>
    <t>desistiram</t>
  </si>
  <si>
    <t>depois</t>
  </si>
  <si>
    <t>cerca</t>
  </si>
  <si>
    <t>havia</t>
  </si>
  <si>
    <t>muitos</t>
  </si>
  <si>
    <t>OBJ_5</t>
  </si>
  <si>
    <t>mais</t>
  </si>
  <si>
    <t># text = Há um interesse enorme sobre a felicidade entre os investigadores.</t>
  </si>
  <si>
    <t>Há</t>
  </si>
  <si>
    <t>um</t>
  </si>
  <si>
    <t>interesse</t>
  </si>
  <si>
    <t>enorme</t>
  </si>
  <si>
    <t>sobre</t>
  </si>
  <si>
    <t>other_2</t>
  </si>
  <si>
    <t>entre</t>
  </si>
  <si>
    <t>investigadores</t>
  </si>
  <si>
    <t>other_3</t>
  </si>
  <si>
    <t># text = Há muitos treinos para o desenvolvimento da felicidade.</t>
  </si>
  <si>
    <t>treinos</t>
  </si>
  <si>
    <t>para</t>
  </si>
  <si>
    <t>desenvolvimento</t>
  </si>
  <si>
    <t># text = Toda a gente gostaria de fazer as pessoas mais felizes.</t>
  </si>
  <si>
    <t>gostaria</t>
  </si>
  <si>
    <t>as</t>
  </si>
  <si>
    <t>pessoas</t>
  </si>
  <si>
    <t>OBJ_2</t>
  </si>
  <si>
    <t>felizes</t>
  </si>
  <si>
    <t># text = Mas apesar de toda esta quantidade de trabalho, há várias armadilhas cognitivas que fazem com que seja quase impossível pensar corretamente acerca da felicidade.</t>
  </si>
  <si>
    <t>Mas</t>
  </si>
  <si>
    <t>apesar</t>
  </si>
  <si>
    <t>toda</t>
  </si>
  <si>
    <t>esta</t>
  </si>
  <si>
    <t>quantidade</t>
  </si>
  <si>
    <t>def-np.dem</t>
  </si>
  <si>
    <t>trabalho</t>
  </si>
  <si>
    <t>há</t>
  </si>
  <si>
    <t>várias</t>
  </si>
  <si>
    <t>armadilhas</t>
  </si>
  <si>
    <t>indef-np</t>
  </si>
  <si>
    <t>cognitivas</t>
  </si>
  <si>
    <t>fazem</t>
  </si>
  <si>
    <t>seja</t>
  </si>
  <si>
    <t>quase</t>
  </si>
  <si>
    <t>impossível</t>
  </si>
  <si>
    <t>corretamente</t>
  </si>
  <si>
    <t>acerca</t>
  </si>
  <si>
    <t># text = A minha palestra vai ser, sobretudo, acerca destas armadilhas cognitivas.</t>
  </si>
  <si>
    <t>A</t>
  </si>
  <si>
    <t>minha</t>
  </si>
  <si>
    <t>pron.ppos</t>
  </si>
  <si>
    <t>palestra</t>
  </si>
  <si>
    <t>vai</t>
  </si>
  <si>
    <t>sobretudo</t>
  </si>
  <si>
    <t>estas</t>
  </si>
  <si>
    <t># text = Isto aplica-se a leigos que pensam sobre a sua própria felicidade, e aplica-se a eruditos que pensam sobre a felicidade, porque, afinal, estamos tão confundidos como qualquer outra pessoa.</t>
  </si>
  <si>
    <t>Isto</t>
  </si>
  <si>
    <t>pron.pds</t>
  </si>
  <si>
    <t>aplica</t>
  </si>
  <si>
    <t>se</t>
  </si>
  <si>
    <t>leigos</t>
  </si>
  <si>
    <t>pensam</t>
  </si>
  <si>
    <t>sua</t>
  </si>
  <si>
    <t>própria</t>
  </si>
  <si>
    <t>eruditos</t>
  </si>
  <si>
    <t>SBJ_4</t>
  </si>
  <si>
    <t>OBJ_4</t>
  </si>
  <si>
    <t>porque</t>
  </si>
  <si>
    <t>afinal</t>
  </si>
  <si>
    <t>estamos</t>
  </si>
  <si>
    <t>tão</t>
  </si>
  <si>
    <t>confundidos</t>
  </si>
  <si>
    <t>como</t>
  </si>
  <si>
    <t>qualquer</t>
  </si>
  <si>
    <t>outra</t>
  </si>
  <si>
    <t>pessoa</t>
  </si>
  <si>
    <t># text = A primeira destas armadilhas é a relutância em admitir complexidade.</t>
  </si>
  <si>
    <t>primeira</t>
  </si>
  <si>
    <t>é</t>
  </si>
  <si>
    <t>relutância</t>
  </si>
  <si>
    <t>admitir</t>
  </si>
  <si>
    <t>complexidade</t>
  </si>
  <si>
    <t># text = Afinal, a palavra felicidade já não é uma palavra útil porque a aplicamos a demasiadas coisas diferentes.</t>
  </si>
  <si>
    <t>Afinal</t>
  </si>
  <si>
    <t>palavra</t>
  </si>
  <si>
    <t>já</t>
  </si>
  <si>
    <t>não</t>
  </si>
  <si>
    <t>uma</t>
  </si>
  <si>
    <t>indef-np.a</t>
  </si>
  <si>
    <t>útil</t>
  </si>
  <si>
    <t>SBJ_2</t>
  </si>
  <si>
    <t>aplicamos</t>
  </si>
  <si>
    <t>demasiadas</t>
  </si>
  <si>
    <t>coisas</t>
  </si>
  <si>
    <t>diferentes</t>
  </si>
  <si>
    <t># text = Penso que existe um significado em particular para o qual a podemos restringir mas, no final das contas, vamos ter de desistir deste termo e teremos de adotar a visão mais complicada sobre o que é o bem-estar.</t>
  </si>
  <si>
    <t>Penso</t>
  </si>
  <si>
    <t>existe</t>
  </si>
  <si>
    <t>significado</t>
  </si>
  <si>
    <t>particular</t>
  </si>
  <si>
    <t>qual</t>
  </si>
  <si>
    <t>OBJ_6</t>
  </si>
  <si>
    <t>podemos</t>
  </si>
  <si>
    <t>restringir</t>
  </si>
  <si>
    <t>mas</t>
  </si>
  <si>
    <t>final</t>
  </si>
  <si>
    <t>SBJ_9</t>
  </si>
  <si>
    <t>contas</t>
  </si>
  <si>
    <t>other_10</t>
  </si>
  <si>
    <t>vamos</t>
  </si>
  <si>
    <t>desistir</t>
  </si>
  <si>
    <t>este</t>
  </si>
  <si>
    <t>termo</t>
  </si>
  <si>
    <t>other_9</t>
  </si>
  <si>
    <t>teremos</t>
  </si>
  <si>
    <t>adotar</t>
  </si>
  <si>
    <t>visão</t>
  </si>
  <si>
    <t>OBJ_11</t>
  </si>
  <si>
    <t>complicada</t>
  </si>
  <si>
    <t>other_12</t>
  </si>
  <si>
    <t>SBJ_14</t>
  </si>
  <si>
    <t>bem-estar</t>
  </si>
  <si>
    <t>other_13</t>
  </si>
  <si>
    <t># text = A segunda armadilha é a confusão entre experiência e memória: basicamente, é a diferença entre estarmos felizes na nossa vida e estarmos felizes sobre a nossa vida, ou estar feliz com a nossa vida.</t>
  </si>
  <si>
    <t>segunda</t>
  </si>
  <si>
    <t>armadilha</t>
  </si>
  <si>
    <t>confusão</t>
  </si>
  <si>
    <t>experiência</t>
  </si>
  <si>
    <t>memória</t>
  </si>
  <si>
    <t>:</t>
  </si>
  <si>
    <t>basicamente</t>
  </si>
  <si>
    <t>diferença</t>
  </si>
  <si>
    <t>estarmos</t>
  </si>
  <si>
    <t>nossa</t>
  </si>
  <si>
    <t>vida</t>
  </si>
  <si>
    <t>other_5</t>
  </si>
  <si>
    <t>ou</t>
  </si>
  <si>
    <t>feliz</t>
  </si>
  <si>
    <t># text = E esses são dois conceitos muito diferentes que estão juntos na noção de felicidade.</t>
  </si>
  <si>
    <t>E</t>
  </si>
  <si>
    <t>esses</t>
  </si>
  <si>
    <t>são</t>
  </si>
  <si>
    <t>dois</t>
  </si>
  <si>
    <t>conceitos</t>
  </si>
  <si>
    <t>indef-np.quant</t>
  </si>
  <si>
    <t>muito</t>
  </si>
  <si>
    <t>estão</t>
  </si>
  <si>
    <t>juntos</t>
  </si>
  <si>
    <t># text = E a terceira é a ilusão do enfoque.</t>
  </si>
  <si>
    <t>terceira</t>
  </si>
  <si>
    <t>ilusão</t>
  </si>
  <si>
    <t>enfoque</t>
  </si>
  <si>
    <t># text = Infelizmente, não conseguimos pensar em nenhuma circunstância que afete o bem-estar sem distorcer a sua importância.</t>
  </si>
  <si>
    <t>Infelizmente</t>
  </si>
  <si>
    <t>conseguimos</t>
  </si>
  <si>
    <t>nenhuma</t>
  </si>
  <si>
    <t>circunstância</t>
  </si>
  <si>
    <t>afete</t>
  </si>
  <si>
    <t>sem</t>
  </si>
  <si>
    <t>distorcer</t>
  </si>
  <si>
    <t>importância</t>
  </si>
  <si>
    <t># text = Quer dizer, isto é uma verdadeira armadilha cognitiva.</t>
  </si>
  <si>
    <t>Quer</t>
  </si>
  <si>
    <t>isto</t>
  </si>
  <si>
    <t>verdadeira</t>
  </si>
  <si>
    <t>cognitiva</t>
  </si>
  <si>
    <t># text = Não há nenhuma forma de o fazer de forma correta.</t>
  </si>
  <si>
    <t>Não</t>
  </si>
  <si>
    <t>forma</t>
  </si>
  <si>
    <t>correta</t>
  </si>
  <si>
    <t># text = Por isso, gostaria de começar com um exemplo de alguém que esteve numa sessão de perguntas e respostas depois de uma das minhas palestras, e me contou uma história.</t>
  </si>
  <si>
    <t>Por</t>
  </si>
  <si>
    <t>isso</t>
  </si>
  <si>
    <t>exemplo</t>
  </si>
  <si>
    <t>esteve</t>
  </si>
  <si>
    <t>sessão</t>
  </si>
  <si>
    <t>perguntas</t>
  </si>
  <si>
    <t>respostas</t>
  </si>
  <si>
    <t>minhas</t>
  </si>
  <si>
    <t>palestras</t>
  </si>
  <si>
    <t>me</t>
  </si>
  <si>
    <t>contou</t>
  </si>
  <si>
    <t># text = A história era esta.</t>
  </si>
  <si>
    <t>era</t>
  </si>
  <si>
    <t># text = Ele disse que tinha estado a ouvir uma sinfonia e a música era absolutamente gloriosa.</t>
  </si>
  <si>
    <t>Ele</t>
  </si>
  <si>
    <t>disse</t>
  </si>
  <si>
    <t>tinha</t>
  </si>
  <si>
    <t>estado</t>
  </si>
  <si>
    <t>ouvir</t>
  </si>
  <si>
    <t>sinfonia</t>
  </si>
  <si>
    <t>música</t>
  </si>
  <si>
    <t>absolutamente</t>
  </si>
  <si>
    <t>gloriosa</t>
  </si>
  <si>
    <t># text = Mesmo no final da gravação, havia um guincho horrível.</t>
  </si>
  <si>
    <t>Mesmo</t>
  </si>
  <si>
    <t>gravação</t>
  </si>
  <si>
    <t>guincho</t>
  </si>
  <si>
    <t>horrível</t>
  </si>
  <si>
    <t># text = E ele disse-me, de forma bastante emocionada, que isso lhe tinha estragado toda a experiência.</t>
  </si>
  <si>
    <t>ele</t>
  </si>
  <si>
    <t>bastante</t>
  </si>
  <si>
    <t>emocionada</t>
  </si>
  <si>
    <t>lhe</t>
  </si>
  <si>
    <t>estragado</t>
  </si>
  <si>
    <t># text = Mas não tinha.</t>
  </si>
  <si>
    <t># text = O que tinha estragado foram as recordações da experiência.</t>
  </si>
  <si>
    <t>foram</t>
  </si>
  <si>
    <t>recordações</t>
  </si>
  <si>
    <t># text = Ele tinha tido a experiência.</t>
  </si>
  <si>
    <t>tido</t>
  </si>
  <si>
    <t># text = Ele tinha tido 20 minutos de música gloriosa.</t>
  </si>
  <si>
    <t>minutos</t>
  </si>
  <si>
    <t># text = Mas não valeram de nada porque ele tinha ficado com aquela recordação.</t>
  </si>
  <si>
    <t>valeram</t>
  </si>
  <si>
    <t>nada</t>
  </si>
  <si>
    <t>ficado</t>
  </si>
  <si>
    <t>aquela</t>
  </si>
  <si>
    <t>recordação</t>
  </si>
  <si>
    <t># text = A recordação estava arruinada e a recordação era tudo o que ele podia guardar.</t>
  </si>
  <si>
    <t>estava</t>
  </si>
  <si>
    <t>arruinada</t>
  </si>
  <si>
    <t>tudo</t>
  </si>
  <si>
    <t>podia</t>
  </si>
  <si>
    <t>guardar</t>
  </si>
  <si>
    <t># text = O que isto nos diz, na realidade, é que nós podemos pensar acerca de nós e das outras pessoas enquanto duas identidades.</t>
  </si>
  <si>
    <t>diz</t>
  </si>
  <si>
    <t>realidade</t>
  </si>
  <si>
    <t>nós</t>
  </si>
  <si>
    <t>outras</t>
  </si>
  <si>
    <t>enquanto</t>
  </si>
  <si>
    <t>duas</t>
  </si>
  <si>
    <t>identidades</t>
  </si>
  <si>
    <t># text = Há um eu que vive a experiência, que vive no presente e conhece o presente, é capaz de reviver o passado, mas basicamente, tem apenas o presente.</t>
  </si>
  <si>
    <t>vive</t>
  </si>
  <si>
    <t>presente</t>
  </si>
  <si>
    <t>conhece</t>
  </si>
  <si>
    <t>capaz</t>
  </si>
  <si>
    <t>reviver</t>
  </si>
  <si>
    <t>passado</t>
  </si>
  <si>
    <t>tem</t>
  </si>
  <si>
    <t>apenas</t>
  </si>
  <si>
    <t># text = É o eu que sente que o médico aborda, quando o médico pergunta: \"Dói quando eu toco aqui?\" E depois existe o eu que recorda.</t>
  </si>
  <si>
    <t>É</t>
  </si>
  <si>
    <t>médico</t>
  </si>
  <si>
    <t>aborda</t>
  </si>
  <si>
    <t>quando</t>
  </si>
  <si>
    <t>pergunta</t>
  </si>
  <si>
    <t>Dói</t>
  </si>
  <si>
    <t>toco</t>
  </si>
  <si>
    <t>aqui</t>
  </si>
  <si>
    <t>?</t>
  </si>
  <si>
    <t>recorda</t>
  </si>
  <si>
    <t># text = O eu que recorda é o que mantém os registos e guarda a história da nossa vida, e é aquele que o médico aborda quando pergunta: \"Como se tem sentido ultimamente?\" ou \"Como foi a sua viagem à Albânia?\", ou algo desse género.</t>
  </si>
  <si>
    <t>mantém</t>
  </si>
  <si>
    <t>registos</t>
  </si>
  <si>
    <t>guarda</t>
  </si>
  <si>
    <t>aquele</t>
  </si>
  <si>
    <t>Como</t>
  </si>
  <si>
    <t>sentido</t>
  </si>
  <si>
    <t>ultimamente?</t>
  </si>
  <si>
    <t>foi</t>
  </si>
  <si>
    <t>viagem</t>
  </si>
  <si>
    <t>Albânia</t>
  </si>
  <si>
    <t>ne</t>
  </si>
  <si>
    <t>algo</t>
  </si>
  <si>
    <t>esse</t>
  </si>
  <si>
    <t>género</t>
  </si>
  <si>
    <t>other_7</t>
  </si>
  <si>
    <t># text = Estas são duas entidades muito diferentes, o eu que vive a experiência e o eu que recorda, e sentir-se confundido no meio dos dois faz parte da confusão quanto à noção de felicidade.</t>
  </si>
  <si>
    <t>Estas</t>
  </si>
  <si>
    <t>entidades</t>
  </si>
  <si>
    <t>SBJ_6</t>
  </si>
  <si>
    <t>sentir</t>
  </si>
  <si>
    <t>confundido</t>
  </si>
  <si>
    <t>meio</t>
  </si>
  <si>
    <t>faz</t>
  </si>
  <si>
    <t>parte</t>
  </si>
  <si>
    <t>quanto</t>
  </si>
  <si>
    <t># text = O eu que recorda é um contador de histórias.</t>
  </si>
  <si>
    <t>contador</t>
  </si>
  <si>
    <t>histórias</t>
  </si>
  <si>
    <t># text = Na realidade, começa com uma resposta básica das nossas memórias, começa imediatamente, Não contamos histórias apenas quando nos dispomos a contar histórias.</t>
  </si>
  <si>
    <t>Em</t>
  </si>
  <si>
    <t>começa</t>
  </si>
  <si>
    <t>resposta</t>
  </si>
  <si>
    <t>básica</t>
  </si>
  <si>
    <t>nossas</t>
  </si>
  <si>
    <t>memórias</t>
  </si>
  <si>
    <t>imediatamente</t>
  </si>
  <si>
    <t>contamos</t>
  </si>
  <si>
    <t>dispomos</t>
  </si>
  <si>
    <t># text = A nossa memória conta-nos histórias, isto é, o que nós mantemos das nossas experiências é uma história.</t>
  </si>
  <si>
    <t>conta</t>
  </si>
  <si>
    <t>nos</t>
  </si>
  <si>
    <t>mantemos</t>
  </si>
  <si>
    <t>experiências</t>
  </si>
  <si>
    <t># text = Vou começar com um exemplo.</t>
  </si>
  <si>
    <t>Vou</t>
  </si>
  <si>
    <t># text = Este é um estudo antigo.</t>
  </si>
  <si>
    <t>Este</t>
  </si>
  <si>
    <t>estudo</t>
  </si>
  <si>
    <t>antigo</t>
  </si>
  <si>
    <t># text = Aqueles são pacientes reais que estão a ser sujeitos a um procedimento doloroso.</t>
  </si>
  <si>
    <t>Aqueles</t>
  </si>
  <si>
    <t>pacientes</t>
  </si>
  <si>
    <t>reais</t>
  </si>
  <si>
    <t>sujeitos</t>
  </si>
  <si>
    <t>procedimento</t>
  </si>
  <si>
    <t>doloroso</t>
  </si>
  <si>
    <t># text = Não vou entrar em detalhes.</t>
  </si>
  <si>
    <t>vou</t>
  </si>
  <si>
    <t>detalhes</t>
  </si>
  <si>
    <t># text = Já não é doloroso hoje em dia, mas era doloroso quando este estudo foi feito nos anos 90.</t>
  </si>
  <si>
    <t>Já</t>
  </si>
  <si>
    <t>feito</t>
  </si>
  <si>
    <t># text = Foi-lhes pedido para reportar a sua dor a cada 60 segundos.</t>
  </si>
  <si>
    <t>Foi</t>
  </si>
  <si>
    <t>lhes</t>
  </si>
  <si>
    <t>pedido</t>
  </si>
  <si>
    <t>reportar</t>
  </si>
  <si>
    <t>dor</t>
  </si>
  <si>
    <t>cada</t>
  </si>
  <si>
    <t>segundos</t>
  </si>
  <si>
    <t># text = E aqui estão dois pacientes.</t>
  </si>
  <si>
    <t># text = Aqueles são os seus registos.</t>
  </si>
  <si>
    <t>seus</t>
  </si>
  <si>
    <t># text = E eu pergunto-vos; \"Qual deles sofreu mais?\"</t>
  </si>
  <si>
    <t>pergunto</t>
  </si>
  <si>
    <t>vos</t>
  </si>
  <si>
    <t>;</t>
  </si>
  <si>
    <t>Qual</t>
  </si>
  <si>
    <t>pron.pint</t>
  </si>
  <si>
    <t>sofreu</t>
  </si>
  <si>
    <t># text = É uma questão bastante fácil.</t>
  </si>
  <si>
    <t>questão</t>
  </si>
  <si>
    <t>fácil</t>
  </si>
  <si>
    <t># text = Claramente, o Paciente B sofreu mais.</t>
  </si>
  <si>
    <t>Claramente</t>
  </si>
  <si>
    <t>Paciente</t>
  </si>
  <si>
    <t>B</t>
  </si>
  <si>
    <t># text = A colonoscopia dele demorou mais tempo, e para todos os minutos de dor que o paciente A experimentou o paciente B experimentou o mesmo e mais.</t>
  </si>
  <si>
    <t>colonoscopia</t>
  </si>
  <si>
    <t>demorou</t>
  </si>
  <si>
    <t>tempo</t>
  </si>
  <si>
    <t>todos</t>
  </si>
  <si>
    <t>paciente</t>
  </si>
  <si>
    <t>experimentou</t>
  </si>
  <si>
    <t>mesmo</t>
  </si>
  <si>
    <t># text = Mas agora surge outra questão:</t>
  </si>
  <si>
    <t>agora</t>
  </si>
  <si>
    <t>surge</t>
  </si>
  <si>
    <t># text = "Quanto é que estes pacientes pensam que sofreram?"</t>
  </si>
  <si>
    <t>Quanto</t>
  </si>
  <si>
    <t>estes</t>
  </si>
  <si>
    <t>sofreram</t>
  </si>
  <si>
    <t># text = E aqui está uma surpresa:</t>
  </si>
  <si>
    <t>está</t>
  </si>
  <si>
    <t>surpresa</t>
  </si>
  <si>
    <t># text = A surpresa é que o paciente A tinha uma recordação muito pior da colonoscopia do que o paciente B. As histórias das duas colonoscopias eram diferentes e, porque uma parte fundamental da história é como acaba, e nenhuma destas histórias é muito inspiradora ou maravilhosa, mas uma delas é esta distinção, uma delas é distintamente pior do que a outra.</t>
  </si>
  <si>
    <t>pior</t>
  </si>
  <si>
    <t>B.</t>
  </si>
  <si>
    <t>As</t>
  </si>
  <si>
    <t>colonoscopias</t>
  </si>
  <si>
    <t>eram</t>
  </si>
  <si>
    <t>fundamental</t>
  </si>
  <si>
    <t>acaba</t>
  </si>
  <si>
    <t>pron</t>
  </si>
  <si>
    <t>inspiradora</t>
  </si>
  <si>
    <t>maravilhosa</t>
  </si>
  <si>
    <t>elas</t>
  </si>
  <si>
    <t>distinção</t>
  </si>
  <si>
    <t>distintamente</t>
  </si>
  <si>
    <t># text = A que foi pior foi aquela em que a dor atingiu o pico no final.</t>
  </si>
  <si>
    <t>atingiu</t>
  </si>
  <si>
    <t>pico</t>
  </si>
  <si>
    <t># text = É uma má história.</t>
  </si>
  <si>
    <t>má</t>
  </si>
  <si>
    <t># text = Como é que sabemos isso?</t>
  </si>
  <si>
    <t>sabemos</t>
  </si>
  <si>
    <t># text = Porque perguntámos a estas pessoas depois das colonoscopias, e muito mais tarde, também, "Quão mau foi todo o procedimento, no geral?" Foi muito pior para</t>
  </si>
  <si>
    <t>Porque</t>
  </si>
  <si>
    <t>perguntámos</t>
  </si>
  <si>
    <t>tarde</t>
  </si>
  <si>
    <t>também</t>
  </si>
  <si>
    <t>Quão</t>
  </si>
  <si>
    <t>mau</t>
  </si>
  <si>
    <t>todo</t>
  </si>
  <si>
    <t>geral</t>
  </si>
  <si>
    <t># text = A do que para B na sua recordação.</t>
  </si>
  <si>
    <t># text = Isto é um conflito direto entre o eu que vive a experiência e o eu que recorda.</t>
  </si>
  <si>
    <t>conflito</t>
  </si>
  <si>
    <t>direto</t>
  </si>
  <si>
    <t># text = Do ponto de vista do eu que vive a experiência, claramente, o paciente B teve uma pior experiência.</t>
  </si>
  <si>
    <t>De</t>
  </si>
  <si>
    <t>ponto</t>
  </si>
  <si>
    <t>vista</t>
  </si>
  <si>
    <t>claramente</t>
  </si>
  <si>
    <t>teve</t>
  </si>
  <si>
    <t># text = Mas, o que se poderia fazer com o paciente A, e nós chegámos a fazer testes clínicos, isso já foi feito, e funciona, poderíamos prolongar a colonoscopia do paciente A, mantendo o tubo sem o abanar muito.</t>
  </si>
  <si>
    <t>poderia</t>
  </si>
  <si>
    <t>chegámos</t>
  </si>
  <si>
    <t>testes</t>
  </si>
  <si>
    <t>clínicos</t>
  </si>
  <si>
    <t>funciona</t>
  </si>
  <si>
    <t>poderíamos</t>
  </si>
  <si>
    <t>prolongar</t>
  </si>
  <si>
    <t>OBJ_7</t>
  </si>
  <si>
    <t>mantendo</t>
  </si>
  <si>
    <t>tubo</t>
  </si>
  <si>
    <t>abanar</t>
  </si>
  <si>
    <t># text = Isto faz com que o paciente sofra, mas só um bocadinho e muito menos do que antes.</t>
  </si>
  <si>
    <t>sofra</t>
  </si>
  <si>
    <t>só</t>
  </si>
  <si>
    <t>bocadinho</t>
  </si>
  <si>
    <t>menos</t>
  </si>
  <si>
    <t>antes</t>
  </si>
  <si>
    <t># text = Se fizermos isso durante alguns minutos, do paciente</t>
  </si>
  <si>
    <t>Se</t>
  </si>
  <si>
    <t>fizermos</t>
  </si>
  <si>
    <t>durante</t>
  </si>
  <si>
    <t>alguns</t>
  </si>
  <si>
    <t># text = A sente-se pior.</t>
  </si>
  <si>
    <t># text = e o eu que recorda do paciente</t>
  </si>
  <si>
    <t># text = A sente-se muito melhor, porque agora oferecemos ao paciente</t>
  </si>
  <si>
    <t>melhor</t>
  </si>
  <si>
    <t>oferecemos</t>
  </si>
  <si>
    <t># text = A uma história melhor sobre a sua experiência.</t>
  </si>
  <si>
    <t># text = O que é que define uma história?</t>
  </si>
  <si>
    <t>define</t>
  </si>
  <si>
    <t># text = Isto é verdade para as histórias que a memória nos dá, assim como para as histórias que inventamos.</t>
  </si>
  <si>
    <t>verdade</t>
  </si>
  <si>
    <t>dá</t>
  </si>
  <si>
    <t>assim</t>
  </si>
  <si>
    <t>inventamos</t>
  </si>
  <si>
    <t># text = O que define uma história são as mudanças, os momentos significativos e os finais.</t>
  </si>
  <si>
    <t>mudanças</t>
  </si>
  <si>
    <t>momentos</t>
  </si>
  <si>
    <t>significativos</t>
  </si>
  <si>
    <t>finais</t>
  </si>
  <si>
    <t># text = Os finais são muito, muito importantes.</t>
  </si>
  <si>
    <t>Os</t>
  </si>
  <si>
    <t>importantes</t>
  </si>
  <si>
    <t># text = Neste caso, foi o final dominou.</t>
  </si>
  <si>
    <t>caso</t>
  </si>
  <si>
    <t>dominou</t>
  </si>
  <si>
    <t># text = Agora, o eu que vive a experiência vive a sua vida de forma contínua.</t>
  </si>
  <si>
    <t>Agora</t>
  </si>
  <si>
    <t>contínua</t>
  </si>
  <si>
    <t># text = Tem momentos de experiência, um após o outro.</t>
  </si>
  <si>
    <t>Tem</t>
  </si>
  <si>
    <t>após</t>
  </si>
  <si>
    <t>outro</t>
  </si>
  <si>
    <t># text = E perguntamos:</t>
  </si>
  <si>
    <t>perguntamos</t>
  </si>
  <si>
    <t># text = O que acontece a esses momentos?</t>
  </si>
  <si>
    <t>acontece</t>
  </si>
  <si>
    <t># text = A resposta é bastante clara.</t>
  </si>
  <si>
    <t>clara</t>
  </si>
  <si>
    <t># text = São perdidos para sempre.</t>
  </si>
  <si>
    <t>São</t>
  </si>
  <si>
    <t>perdidos</t>
  </si>
  <si>
    <t>sempre</t>
  </si>
  <si>
    <t># text = Quer dizer, é que a maior parte dos momentos da nossa vida — eu calculei isso — diz-se que o presente psicológico dura cerca de 3 segundos.</t>
  </si>
  <si>
    <t>maior</t>
  </si>
  <si>
    <t>—</t>
  </si>
  <si>
    <t>calculei</t>
  </si>
  <si>
    <t>psicológico</t>
  </si>
  <si>
    <t>dura</t>
  </si>
  <si>
    <t># text = Isto quer dizer que há cerca de 600 milhões deles durante a vida.</t>
  </si>
  <si>
    <t>quer</t>
  </si>
  <si>
    <t>600</t>
  </si>
  <si>
    <t>milhões</t>
  </si>
  <si>
    <t># text = Num mês, há cerca de 600 000.</t>
  </si>
  <si>
    <t>mês</t>
  </si>
  <si>
    <t>000</t>
  </si>
  <si>
    <t># text = A maior parte deles não deixa qualquer traço.</t>
  </si>
  <si>
    <t>deixa</t>
  </si>
  <si>
    <t>traço</t>
  </si>
  <si>
    <t># text = A maioria é completamente ignorada pelo eu que recorda.</t>
  </si>
  <si>
    <t>maioria</t>
  </si>
  <si>
    <t>completamente</t>
  </si>
  <si>
    <t>ignorada</t>
  </si>
  <si>
    <t>por</t>
  </si>
  <si>
    <t># text = E apesar disto, de certa forma, temos a sensação de que eles deviam contar, que o que acontece nestes momentos de experiência é a nossa vida.</t>
  </si>
  <si>
    <t>certa</t>
  </si>
  <si>
    <t>temos</t>
  </si>
  <si>
    <t>sensação</t>
  </si>
  <si>
    <t>deviam</t>
  </si>
  <si>
    <t># text = Nós estamos a gastar este recurso finito enquanto estamos nesta terra.</t>
  </si>
  <si>
    <t>Nós</t>
  </si>
  <si>
    <t>recurso</t>
  </si>
  <si>
    <t>finito</t>
  </si>
  <si>
    <t>terra</t>
  </si>
  <si>
    <t># text = E a forma como o gastamos deveria ser relevante.</t>
  </si>
  <si>
    <t>gastamos</t>
  </si>
  <si>
    <t>deveria</t>
  </si>
  <si>
    <t>relevante</t>
  </si>
  <si>
    <t># text = Mas isso não é a história que o eu que recorda guarda para nós.</t>
  </si>
  <si>
    <t># text = Por isso, temos o eu que recorda e o eu que vive a experiência, que são bastante distintos.</t>
  </si>
  <si>
    <t>SBJ_7</t>
  </si>
  <si>
    <t>distintos</t>
  </si>
  <si>
    <t># text = A maior diferença entre eles é como lidam com o tempo.</t>
  </si>
  <si>
    <t>lidam</t>
  </si>
  <si>
    <t># text = se formos de férias e a segunda semana for tão boa como a primeira, as férias de duas semanas são duas vezes melhores do que as férias de uma semana.</t>
  </si>
  <si>
    <t>formos</t>
  </si>
  <si>
    <t>férias</t>
  </si>
  <si>
    <t>semana</t>
  </si>
  <si>
    <t>for</t>
  </si>
  <si>
    <t>boa</t>
  </si>
  <si>
    <t>semanas</t>
  </si>
  <si>
    <t>vezes</t>
  </si>
  <si>
    <t>melhores</t>
  </si>
  <si>
    <t># text = Mas não é assim que funciona para o eu que recorda.</t>
  </si>
  <si>
    <t># text = Para o eu que recorda, umas férias de duas semanas são pouco melhores do que férias de uma semana porque não houve novas memórias adicionadas.</t>
  </si>
  <si>
    <t>Para</t>
  </si>
  <si>
    <t>umas</t>
  </si>
  <si>
    <t>pouco</t>
  </si>
  <si>
    <t>houve</t>
  </si>
  <si>
    <t>novas</t>
  </si>
  <si>
    <t>adicionadas</t>
  </si>
  <si>
    <t># text = Nós não mudámos a história.</t>
  </si>
  <si>
    <t>mudámos</t>
  </si>
  <si>
    <t># text = Desta forma, o tempo é realmente a variável crítica que distingue o eu que recorda de um eu que vive a experiência.</t>
  </si>
  <si>
    <t>realmente</t>
  </si>
  <si>
    <t>variável</t>
  </si>
  <si>
    <t>crítica</t>
  </si>
  <si>
    <t>distingue</t>
  </si>
  <si>
    <t># text = O tempo tem muito pouco impacto nesta história.</t>
  </si>
  <si>
    <t>impacto</t>
  </si>
  <si>
    <t># text = Mas, o eu que recorda faz mais do que relembrar e contar histórias.</t>
  </si>
  <si>
    <t>relembrar</t>
  </si>
  <si>
    <t># text = É ele que toma decisões porque, se tivermos um paciente que fez, digamos, duas colonoscopias com dois cirurgiões diferentes e que está a decidir qual deles escolher, o que ele escolhe é aquele que cuja recordação é menos má, e esse é o cirurgião que será escolhido.</t>
  </si>
  <si>
    <t>toma</t>
  </si>
  <si>
    <t>decisões</t>
  </si>
  <si>
    <t>tivermos</t>
  </si>
  <si>
    <t>fez</t>
  </si>
  <si>
    <t>digamos</t>
  </si>
  <si>
    <t>cirurgiões</t>
  </si>
  <si>
    <t>decidir</t>
  </si>
  <si>
    <t>other_8</t>
  </si>
  <si>
    <t>SBJ_8</t>
  </si>
  <si>
    <t>OBJ_10</t>
  </si>
  <si>
    <t>SBJ_10</t>
  </si>
  <si>
    <t>escolhe</t>
  </si>
  <si>
    <t>OBJ_9</t>
  </si>
  <si>
    <t>cuja</t>
  </si>
  <si>
    <t>cirurgião</t>
  </si>
  <si>
    <t>será</t>
  </si>
  <si>
    <t>escolhido</t>
  </si>
  <si>
    <t># text = O eu que vive a experiência não tem qualquer voto nesta escolha.</t>
  </si>
  <si>
    <t>voto</t>
  </si>
  <si>
    <t>escolha</t>
  </si>
  <si>
    <t># text = Na realidade, nós não escolhemos entre experiências.</t>
  </si>
  <si>
    <t>escolhemos</t>
  </si>
  <si>
    <t># text = nós escolhemos entre recordações de experiências.</t>
  </si>
  <si>
    <t># text = E, até quando pensamos acerca do futuro, não pensamos acerca do nosso futuro enquanto experiências.</t>
  </si>
  <si>
    <t>até</t>
  </si>
  <si>
    <t>pensamos</t>
  </si>
  <si>
    <t>futuro</t>
  </si>
  <si>
    <t>nosso</t>
  </si>
  <si>
    <t># text = Pensamos no nosso futuro como recordações antecipadas.</t>
  </si>
  <si>
    <t>Pensamos</t>
  </si>
  <si>
    <t>antecipadas</t>
  </si>
  <si>
    <t># text = Basicamente podem olhar para isto como a tirania do eu que recorda, e podem pensar acerca do eu que recorda como se arrastasse o eu que vive a experiência através das experiências que o eu que vive a experiência não necessita.</t>
  </si>
  <si>
    <t>Basicamente</t>
  </si>
  <si>
    <t>podem</t>
  </si>
  <si>
    <t>olhar</t>
  </si>
  <si>
    <t>tirania</t>
  </si>
  <si>
    <t>arrastasse</t>
  </si>
  <si>
    <t>SBJ_13</t>
  </si>
  <si>
    <t>OBJ_13</t>
  </si>
  <si>
    <t>através</t>
  </si>
  <si>
    <t>other_14</t>
  </si>
  <si>
    <t>OBJ_16</t>
  </si>
  <si>
    <t>SBJ_16</t>
  </si>
  <si>
    <t>SBJ_18</t>
  </si>
  <si>
    <t>SBJ_19</t>
  </si>
  <si>
    <t>necessita</t>
  </si>
  <si>
    <t># text = Eu tenho a sensação que quando vamos de férias, isto é frequentemente o caso.</t>
  </si>
  <si>
    <t>tenho</t>
  </si>
  <si>
    <t>frequentemente</t>
  </si>
  <si>
    <t># text = Nós vamos de férias em grande parte ao serviço do nosso eu que recorda.</t>
  </si>
  <si>
    <t>grande</t>
  </si>
  <si>
    <t>serviço</t>
  </si>
  <si>
    <t># text = Quanto a mim, isto é um bocado difícil de justificar.</t>
  </si>
  <si>
    <t>mim</t>
  </si>
  <si>
    <t>bocado</t>
  </si>
  <si>
    <t>difícil</t>
  </si>
  <si>
    <t>justificar</t>
  </si>
  <si>
    <t># text = Quer dizer, quanto aproveitamos das nossas memórias?</t>
  </si>
  <si>
    <t>aproveitamos</t>
  </si>
  <si>
    <t># text = Essa é uma das explicações dadas para a predominância do eu que recorda.</t>
  </si>
  <si>
    <t>Essa</t>
  </si>
  <si>
    <t>explicações</t>
  </si>
  <si>
    <t>dadas</t>
  </si>
  <si>
    <t>predominância</t>
  </si>
  <si>
    <t># text = Quando penso sobre isso, penso numas férias que tivemos na Antártida há uns anos, que foram claramente as melhores férias que alguma vez tive.</t>
  </si>
  <si>
    <t>Quando</t>
  </si>
  <si>
    <t>penso</t>
  </si>
  <si>
    <t>tivemos</t>
  </si>
  <si>
    <t>Antártida</t>
  </si>
  <si>
    <t>uns</t>
  </si>
  <si>
    <t>alguma</t>
  </si>
  <si>
    <t>vez</t>
  </si>
  <si>
    <t>tive</t>
  </si>
  <si>
    <t># text = Penso nelas com bastante frequência em comparação com o que penso noutras férias.</t>
  </si>
  <si>
    <t>frequência</t>
  </si>
  <si>
    <t>comparação</t>
  </si>
  <si>
    <t># text = Provavelmente, aproveitei as minhas memórias dessa viagem de três semanas, cerca de 25 minutos nos últimos quatro anos.</t>
  </si>
  <si>
    <t>Provavelmente</t>
  </si>
  <si>
    <t>aproveitei</t>
  </si>
  <si>
    <t>essa</t>
  </si>
  <si>
    <t>três</t>
  </si>
  <si>
    <t>quatro</t>
  </si>
  <si>
    <t># text = Mas, se tivesse aberto o álbum que contém as 600 fotografias dentro, teria gasto outra hora.</t>
  </si>
  <si>
    <t>tivesse</t>
  </si>
  <si>
    <t>aberto</t>
  </si>
  <si>
    <t>álbum</t>
  </si>
  <si>
    <t>contém</t>
  </si>
  <si>
    <t>fotografias</t>
  </si>
  <si>
    <t>dentro</t>
  </si>
  <si>
    <t>teria</t>
  </si>
  <si>
    <t>gasto</t>
  </si>
  <si>
    <t>hora</t>
  </si>
  <si>
    <t># text = Ora, isso são três semanas e, no máximo, uma hora e meia.</t>
  </si>
  <si>
    <t>Ora</t>
  </si>
  <si>
    <t>máximo</t>
  </si>
  <si>
    <t>meia</t>
  </si>
  <si>
    <t># text = Parece que existe uma discrepância.</t>
  </si>
  <si>
    <t>Parece</t>
  </si>
  <si>
    <t>discrepância</t>
  </si>
  <si>
    <t># text = Eu posso ser um pouco extremista no pouco apetite que tenho para aproveitar recordações, mas mesmo que vocês aproveitem mais, há uma questão genuína:</t>
  </si>
  <si>
    <t>posso</t>
  </si>
  <si>
    <t>extremista</t>
  </si>
  <si>
    <t>apetite</t>
  </si>
  <si>
    <t>vocês</t>
  </si>
  <si>
    <t>aproveitem</t>
  </si>
  <si>
    <t>genuína</t>
  </si>
  <si>
    <t># text = Porque é que damos tanta importância às recordações em relação à importância que damos às experiências?</t>
  </si>
  <si>
    <t>damos</t>
  </si>
  <si>
    <t>tanta</t>
  </si>
  <si>
    <t>relação</t>
  </si>
  <si>
    <t># text = Por isso, queria que pensassem numa experiência difícil.</t>
  </si>
  <si>
    <t>queria</t>
  </si>
  <si>
    <t>pensassem</t>
  </si>
  <si>
    <t># text = Imaginem que nas vossas próximas férias vocês sabem que, no final das férias, todas as vossas fotografias vão ser destruídas, e dão-vos uma droga amnésica para que não se lembrem de nada.</t>
  </si>
  <si>
    <t>Imaginem</t>
  </si>
  <si>
    <t>vossas</t>
  </si>
  <si>
    <t>próximas</t>
  </si>
  <si>
    <t>sabem</t>
  </si>
  <si>
    <t>todas</t>
  </si>
  <si>
    <t>vão</t>
  </si>
  <si>
    <t>destruídas</t>
  </si>
  <si>
    <t>dão</t>
  </si>
  <si>
    <t>droga</t>
  </si>
  <si>
    <t>amnésica</t>
  </si>
  <si>
    <t>lembrem</t>
  </si>
  <si>
    <t># text = Escolheriam as mesmas férias?</t>
  </si>
  <si>
    <t>Escolheriam</t>
  </si>
  <si>
    <t>mesmas</t>
  </si>
  <si>
    <t># text = (Risos) E, se escolhessem umas férias diferentes, existe um conflito entre os dois eus e precisam de pensar como vão resolver esse conflito.</t>
  </si>
  <si>
    <t>(</t>
  </si>
  <si>
    <t>Risos</t>
  </si>
  <si>
    <t>)</t>
  </si>
  <si>
    <t>escolhessem</t>
  </si>
  <si>
    <t>eus</t>
  </si>
  <si>
    <t>precisam</t>
  </si>
  <si>
    <t>resolver</t>
  </si>
  <si>
    <t># text = Na realidade, não é óbvio de todo, porque, se pensarem em termos de tempo têm uma resposta, mas se pensarem em termos de recordações, podem ter outra resposta.</t>
  </si>
  <si>
    <t>óbvio</t>
  </si>
  <si>
    <t>pensarem</t>
  </si>
  <si>
    <t>termos</t>
  </si>
  <si>
    <t>têm</t>
  </si>
  <si>
    <t># text = A razão por que escolhemos as férias que escolhemos é um dilema que nos confronta com uma escolha entre os dois eus.</t>
  </si>
  <si>
    <t>dilema</t>
  </si>
  <si>
    <t>confronta</t>
  </si>
  <si>
    <t># text = Mas, os dois eus trazem consigo duas noções de felicidade.</t>
  </si>
  <si>
    <t>trazem</t>
  </si>
  <si>
    <t>si</t>
  </si>
  <si>
    <t>noções</t>
  </si>
  <si>
    <t># text = Existem dois conceitos de felicidade que podemos aplicar, um para cada eu.</t>
  </si>
  <si>
    <t>Existem</t>
  </si>
  <si>
    <t># text = Portanto, podem perguntar: \"Quão feliz é o eu que vive a experiência?\" e depois perguntariam:</t>
  </si>
  <si>
    <t>Portanto</t>
  </si>
  <si>
    <t>perguntariam</t>
  </si>
  <si>
    <t># text = Quão felizes são os momentos na vida do eu que vive a experiência?\" Todos eles são — a felicidade durante momentos é um processo complicado.</t>
  </si>
  <si>
    <t>Todos</t>
  </si>
  <si>
    <t>processo</t>
  </si>
  <si>
    <t>complicado</t>
  </si>
  <si>
    <t># text = Que emoções podem ser medidas?</t>
  </si>
  <si>
    <t>Que</t>
  </si>
  <si>
    <t>emoções</t>
  </si>
  <si>
    <t>medidas</t>
  </si>
  <si>
    <t># text = Já agora, neste momento somos capazes de ter uma boa perceção sobre a felicidade do eu que vive a experiência ao longo do tempo.</t>
  </si>
  <si>
    <t>momento</t>
  </si>
  <si>
    <t>somos</t>
  </si>
  <si>
    <t>capazes</t>
  </si>
  <si>
    <t>perceção</t>
  </si>
  <si>
    <t>longo</t>
  </si>
  <si>
    <t># text = Se questionarem sobre a felicidade do eu que recorda, isso, é algo completamente diferente.</t>
  </si>
  <si>
    <t>questionarem</t>
  </si>
  <si>
    <t>diferente</t>
  </si>
  <si>
    <t># text = Não se trata de quão feliz alguém vive.</t>
  </si>
  <si>
    <t>trata</t>
  </si>
  <si>
    <t>quão</t>
  </si>
  <si>
    <t># text = Trata-se de quão satisfeito ou contente a pessoa se sente quando pensa na sua vida.</t>
  </si>
  <si>
    <t>Trata</t>
  </si>
  <si>
    <t>satisfeito</t>
  </si>
  <si>
    <t>contente</t>
  </si>
  <si>
    <t>pensa</t>
  </si>
  <si>
    <t># text = Uma noção muito diferente.</t>
  </si>
  <si>
    <t>Uma</t>
  </si>
  <si>
    <t># text = Quem quer que não distinga entre essas noções, vai baralhar o estudo da felicidade, e eu pertenço ao grupo de estudantes do bem-estar que tem criado confusão no estudo da felicidade durante muito tempo exatamente desta forma.</t>
  </si>
  <si>
    <t>Quem</t>
  </si>
  <si>
    <t>distinga</t>
  </si>
  <si>
    <t>essas</t>
  </si>
  <si>
    <t>pertenço</t>
  </si>
  <si>
    <t>grupo</t>
  </si>
  <si>
    <t>estudantes</t>
  </si>
  <si>
    <t>criado</t>
  </si>
  <si>
    <t>exatamente</t>
  </si>
  <si>
    <t># text = A distinção entre a felicidade do eu que vive a experiência e a satisfação do eu que recorda foi reconhecida nos últimos anos, e fazem-se agora esforços para medir ambos separadamente.</t>
  </si>
  <si>
    <t>satisfação</t>
  </si>
  <si>
    <t>reconhecida</t>
  </si>
  <si>
    <t>esforços</t>
  </si>
  <si>
    <t>medir</t>
  </si>
  <si>
    <t>ambos</t>
  </si>
  <si>
    <t>separadamente</t>
  </si>
  <si>
    <t># text = A Organização Gallup fez um inquérito mundial em que perguntaram a mais de meio milhão de pessoas o que pensam da sua vida e das suas experiências.</t>
  </si>
  <si>
    <t>Organização</t>
  </si>
  <si>
    <t>Gallup</t>
  </si>
  <si>
    <t>inquérito</t>
  </si>
  <si>
    <t>mundial</t>
  </si>
  <si>
    <t>perguntaram</t>
  </si>
  <si>
    <t>milhão</t>
  </si>
  <si>
    <t>suas</t>
  </si>
  <si>
    <t># text = E tem havido outros esforços na mesma direção.</t>
  </si>
  <si>
    <t>havido</t>
  </si>
  <si>
    <t>outros</t>
  </si>
  <si>
    <t>mesma</t>
  </si>
  <si>
    <t>direção</t>
  </si>
  <si>
    <t># text = Portanto, nos últimos anos, temos começado a aprender sobre a felicidade dos dois eus.</t>
  </si>
  <si>
    <t>começado</t>
  </si>
  <si>
    <t>aprender</t>
  </si>
  <si>
    <t># text = E a principal lição que penso termos aprendido é que eles são bastante diferentes.</t>
  </si>
  <si>
    <t>principal</t>
  </si>
  <si>
    <t>lição</t>
  </si>
  <si>
    <t>aprendido</t>
  </si>
  <si>
    <t># text = Podem saber o quanto alguém está satisfeito com a sua vida, e isso, na realidade, não vos diz muito sobre quão feliz é a vivência dessas pessoas, e vice versa.</t>
  </si>
  <si>
    <t>Podem</t>
  </si>
  <si>
    <t>vivência</t>
  </si>
  <si>
    <t>vice</t>
  </si>
  <si>
    <t>versa</t>
  </si>
  <si>
    <t># text = Só para vos dar uma noção da correlação, a correlação é de cerca de 0,5.</t>
  </si>
  <si>
    <t>Só</t>
  </si>
  <si>
    <t>correlação</t>
  </si>
  <si>
    <t>0,5</t>
  </si>
  <si>
    <t># text = Isso quer dizer que, se conhecerem alguém e vos disserem: \"O pai dele mede 1,80 m\", quanto saberiam acerca da altura dele?</t>
  </si>
  <si>
    <t>Isso</t>
  </si>
  <si>
    <t>conhecerem</t>
  </si>
  <si>
    <t>disserem</t>
  </si>
  <si>
    <t>pai</t>
  </si>
  <si>
    <t>mede</t>
  </si>
  <si>
    <t>1,80</t>
  </si>
  <si>
    <t>m</t>
  </si>
  <si>
    <t>saberiam</t>
  </si>
  <si>
    <t>altura</t>
  </si>
  <si>
    <t># text = Saberiam qualquer coisa sobre a sua altura, mas existe bastante incerteza.</t>
  </si>
  <si>
    <t>Saberiam</t>
  </si>
  <si>
    <t>coisa</t>
  </si>
  <si>
    <t>incerteza</t>
  </si>
  <si>
    <t># text = Tem essa mesma incerteza se eu vos disser que alguém classificou a sua vida com 8 numa escala de 10, têm bastante incerteza acerca de quão feliz essa pessoa é no seu eu que vive a experiência.</t>
  </si>
  <si>
    <t>disser</t>
  </si>
  <si>
    <t>classificou</t>
  </si>
  <si>
    <t>escala</t>
  </si>
  <si>
    <t>seu</t>
  </si>
  <si>
    <t># text = Portanto, a correlação é baixa.</t>
  </si>
  <si>
    <t>baixa</t>
  </si>
  <si>
    <t># text = Sabemos algo acerca do que controla a satisfação do eu da felicidade.</t>
  </si>
  <si>
    <t>Sabemos</t>
  </si>
  <si>
    <t>controla</t>
  </si>
  <si>
    <t># text = Sabemos que o dinheiro é muito importante, os objetivos são muito importantes.</t>
  </si>
  <si>
    <t>dinheiro</t>
  </si>
  <si>
    <t>importante</t>
  </si>
  <si>
    <t>objetivos</t>
  </si>
  <si>
    <t># text = Sabemos que a felicidade é sobretudo estar satisfeito com pessoas de quem gostamos, e passar tempo com pessoas que gostamos.</t>
  </si>
  <si>
    <t>quem</t>
  </si>
  <si>
    <t>gostamos</t>
  </si>
  <si>
    <t>passar</t>
  </si>
  <si>
    <t># text = Há outros prazeres, mas este é dominante.</t>
  </si>
  <si>
    <t>prazeres</t>
  </si>
  <si>
    <t>dominante</t>
  </si>
  <si>
    <t># text = Portanto, se quiserem maximizar a felicidade dos dois eus, vão acabar por fazer coisas muito diferentes.</t>
  </si>
  <si>
    <t>quiserem</t>
  </si>
  <si>
    <t>maximizar</t>
  </si>
  <si>
    <t># text = O ponto fulcral do que eu disse aqui é que não devemos pensar na felicidade como um substituto para o bem-estar.</t>
  </si>
  <si>
    <t>fulcral</t>
  </si>
  <si>
    <t>devemos</t>
  </si>
  <si>
    <t>substituto</t>
  </si>
  <si>
    <t># text = É uma noção completamente diferente.</t>
  </si>
  <si>
    <t># text = Agora, muito rapidamente, outra razão por que não podemos pensar claramente sobre a felicidade é porque não levamos em conta as mesmas coisas quando pensamos sobre a vida, e quando a vivemos realmente.</t>
  </si>
  <si>
    <t>rapidamente</t>
  </si>
  <si>
    <t>levamos</t>
  </si>
  <si>
    <t>vivemos</t>
  </si>
  <si>
    <t># text = Portanto, se perguntarmos quão felizes são as pessoas na Califórnia, não vamos chegar à resposta certa.</t>
  </si>
  <si>
    <t>perguntarmos</t>
  </si>
  <si>
    <t>Califórnia</t>
  </si>
  <si>
    <t># text = Quando perguntamos isso, pensamos que as pessoas devem ser mais felizes na Califórnia do que, digamos, se viverem no Ohio.</t>
  </si>
  <si>
    <t>devem</t>
  </si>
  <si>
    <t>viverem</t>
  </si>
  <si>
    <t>Ohio</t>
  </si>
  <si>
    <t># text = O que acontece é que quando pensam em viver na Califórnia, estão a pensar no contraste entre a Califórnia e outros lugares.</t>
  </si>
  <si>
    <t>contraste</t>
  </si>
  <si>
    <t>lugares</t>
  </si>
  <si>
    <t># text = E esse contraste é, digamos, o clima.</t>
  </si>
  <si>
    <t>clima</t>
  </si>
  <si>
    <t># text = Na realidade, o clima não é muito importante para o eu que vive a experiência e nem sequer é muito importante para o eu que reflete, que decide quão felizes são as pessoas.</t>
  </si>
  <si>
    <t>nem</t>
  </si>
  <si>
    <t>sequer</t>
  </si>
  <si>
    <t>reflete</t>
  </si>
  <si>
    <t>decide</t>
  </si>
  <si>
    <t># text = Mas, porque é o eu que reflete que está no comando, algumas pessoas poderão acabar por se mudar para a Califórnia.</t>
  </si>
  <si>
    <t>comando</t>
  </si>
  <si>
    <t>algumas</t>
  </si>
  <si>
    <t>poderão</t>
  </si>
  <si>
    <t># text = É interessante analisar o que vai acontecer às pessoas que se mudam para a Califórnia na esperança de serem mais felizes.</t>
  </si>
  <si>
    <t>interessante</t>
  </si>
  <si>
    <t>analisar</t>
  </si>
  <si>
    <t>mudam</t>
  </si>
  <si>
    <t>esperança</t>
  </si>
  <si>
    <t>serem</t>
  </si>
  <si>
    <t># text = O seu eu que vive a experiência não vai ficar mais feliz.</t>
  </si>
  <si>
    <t># text = Nós sabemos isso.</t>
  </si>
  <si>
    <t># text = Contudo, vai acontecer uma coisa.</t>
  </si>
  <si>
    <t>Contudo</t>
  </si>
  <si>
    <t># text = Eles vão pensar que são mais felizes, porque, quando pensam no assunto, lembram-se do quão horrível era o clima no Ohio e vão sentir que fizeram a escolha certa.</t>
  </si>
  <si>
    <t>Eles</t>
  </si>
  <si>
    <t>assunto</t>
  </si>
  <si>
    <t>lembram</t>
  </si>
  <si>
    <t>fizeram</t>
  </si>
  <si>
    <t># text = É muito difícil pensar claramente sobre o bem-estar e eu espero que vos tenha oferecido uma noção de quão difícil é.</t>
  </si>
  <si>
    <t>espero</t>
  </si>
  <si>
    <t>tenha</t>
  </si>
  <si>
    <t>oferecido</t>
  </si>
  <si>
    <t># text = Obrigado. (Aplausos) Chris Anderson: Obrigado.</t>
  </si>
  <si>
    <t>Aplausos</t>
  </si>
  <si>
    <t>Chris</t>
  </si>
  <si>
    <t>Anderson</t>
  </si>
  <si>
    <t># text = Tenho uma pergunta para ti.</t>
  </si>
  <si>
    <t>Tenho</t>
  </si>
  <si>
    <t>ti</t>
  </si>
  <si>
    <t># text = Muito obrigado.</t>
  </si>
  <si>
    <t>Muito</t>
  </si>
  <si>
    <t># text = Quando estávamos ao telefone há umas semanas, mencionaste que havia um resultado bastante interessante que tinha surgido do questionário da Gallup.</t>
  </si>
  <si>
    <t>estávamos</t>
  </si>
  <si>
    <t>telefone</t>
  </si>
  <si>
    <t>mencionaste</t>
  </si>
  <si>
    <t>resultado</t>
  </si>
  <si>
    <t>surgido</t>
  </si>
  <si>
    <t>questionário</t>
  </si>
  <si>
    <t># text = Há alguma coisa que possas partilhar já que ainda tens uns momentos de sobra?</t>
  </si>
  <si>
    <t>possas</t>
  </si>
  <si>
    <t>partilhar</t>
  </si>
  <si>
    <t>ainda</t>
  </si>
  <si>
    <t>tens</t>
  </si>
  <si>
    <t>sobra</t>
  </si>
  <si>
    <t># text = Daniel Kahneman: Claro.</t>
  </si>
  <si>
    <t>Kahneman</t>
  </si>
  <si>
    <t>Claro</t>
  </si>
  <si>
    <t># text = Penso que o resultado mais interessante que tivemos no questionário da Gallup é um número, que não esperávamos encontrar, de todo.</t>
  </si>
  <si>
    <t>esperávamos</t>
  </si>
  <si>
    <t>encontrar</t>
  </si>
  <si>
    <t># text = Descobrimos que, no que respeita à felicidade do eu que vive a experiência — quando observávamos como os sentimentos variavam com os rendimentos — revelou-se que, abaixo de um rendimento de 60 000 dólares por ano, para norte-americanos — e foi uma grande amostra de norte-americanos, uns 600 000, uma amostra grande e representativa — abaixo de um rendimento de 600 000 dólares por ano... CA: 60 000 DK: ... 60 000 ... 60 000 dólares por ano, as pessoas são infelizes, e ficam progressivamente mais infelizes quanto mais pobres são.</t>
  </si>
  <si>
    <t>Descobrimos</t>
  </si>
  <si>
    <t>respeita</t>
  </si>
  <si>
    <t>observávamos</t>
  </si>
  <si>
    <t>sentimentos</t>
  </si>
  <si>
    <t>variavam</t>
  </si>
  <si>
    <t>rendimentos</t>
  </si>
  <si>
    <t>revelou</t>
  </si>
  <si>
    <t>abaixo</t>
  </si>
  <si>
    <t>rendimento</t>
  </si>
  <si>
    <t>dólares</t>
  </si>
  <si>
    <t>ano</t>
  </si>
  <si>
    <t>norte-americanos</t>
  </si>
  <si>
    <t>amostra</t>
  </si>
  <si>
    <t>representativa</t>
  </si>
  <si>
    <t>...</t>
  </si>
  <si>
    <t>DK</t>
  </si>
  <si>
    <t>other_11</t>
  </si>
  <si>
    <t>infelizes</t>
  </si>
  <si>
    <t>ficam</t>
  </si>
  <si>
    <t>progressivamente</t>
  </si>
  <si>
    <t>pobres</t>
  </si>
  <si>
    <t># text = Acima disso, temos um linha totalmente reta.</t>
  </si>
  <si>
    <t>Acima</t>
  </si>
  <si>
    <t>linha</t>
  </si>
  <si>
    <t>totalmente</t>
  </si>
  <si>
    <t>reta</t>
  </si>
  <si>
    <t># text = Quer dizer, raramente vi linhas tão retas.</t>
  </si>
  <si>
    <t>raramente</t>
  </si>
  <si>
    <t>vi</t>
  </si>
  <si>
    <t>linhas</t>
  </si>
  <si>
    <t>retas</t>
  </si>
  <si>
    <t># text = Claramente, o que acontece é que o dinheiro não compra a felicidade que se vive, mas a falta de dinheiro compra, certamente, a infelicidade, e nós podemos medir essa infelicidade muito, muito claramente.</t>
  </si>
  <si>
    <t>compra</t>
  </si>
  <si>
    <t>falta</t>
  </si>
  <si>
    <t>certamente</t>
  </si>
  <si>
    <t>infelicidade</t>
  </si>
  <si>
    <t># text = Em relação ao outro eu, o eu que recorda, a história é diferente.</t>
  </si>
  <si>
    <t># text = Quanto mais dinheiro ganham, mais satisfeitos estão.</t>
  </si>
  <si>
    <t>ganham</t>
  </si>
  <si>
    <t>satisfeitos</t>
  </si>
  <si>
    <t># text = Isso não se verifica para as emoções.</t>
  </si>
  <si>
    <t>verifica</t>
  </si>
  <si>
    <t># text = CA: Mas Danny, todo o esforço americano é sobre a vida, a liberdade, a busca da felicidade.</t>
  </si>
  <si>
    <t>Danny</t>
  </si>
  <si>
    <t>esforço</t>
  </si>
  <si>
    <t>americano</t>
  </si>
  <si>
    <t>liberdade</t>
  </si>
  <si>
    <t>busca</t>
  </si>
  <si>
    <t># text = Se as pessoas levarem esse resultado a sério, quer dizer, parece que volta do avesso tudo aquilo em que acreditamos, por exemplo, as políticas de impostos, etc.</t>
  </si>
  <si>
    <t>levarem</t>
  </si>
  <si>
    <t>sério</t>
  </si>
  <si>
    <t>parece</t>
  </si>
  <si>
    <t>volta</t>
  </si>
  <si>
    <t>avesso</t>
  </si>
  <si>
    <t>aquilo</t>
  </si>
  <si>
    <t>acreditamos</t>
  </si>
  <si>
    <t>políticas</t>
  </si>
  <si>
    <t>impostos</t>
  </si>
  <si>
    <t>etc.</t>
  </si>
  <si>
    <t># text = Há alguma hipótese que os políticos, que o país em geral, levem um resultado como esse a sério e criem políticas públicas baseadas nisso?</t>
  </si>
  <si>
    <t>hipótese</t>
  </si>
  <si>
    <t>políticos</t>
  </si>
  <si>
    <t>país</t>
  </si>
  <si>
    <t>levem</t>
  </si>
  <si>
    <t>criem</t>
  </si>
  <si>
    <t>públicas</t>
  </si>
  <si>
    <t>baseadas</t>
  </si>
  <si>
    <t># text = DK: Sabes, eu penso que se reconhece o papel da investigação em felicidade nas políticas públicas.</t>
  </si>
  <si>
    <t>Sabes</t>
  </si>
  <si>
    <t>reconhece</t>
  </si>
  <si>
    <t>papel</t>
  </si>
  <si>
    <t>investigação</t>
  </si>
  <si>
    <t># text = O reconhecimento vai ser lento nos EUA, não há dúvida, mas no Reino Unido, isso está a acontecer, assim como noutros países.</t>
  </si>
  <si>
    <t>reconhecimento</t>
  </si>
  <si>
    <t>lento</t>
  </si>
  <si>
    <t>EUA</t>
  </si>
  <si>
    <t>dúvida</t>
  </si>
  <si>
    <t>Reino</t>
  </si>
  <si>
    <t>Unido</t>
  </si>
  <si>
    <t>países</t>
  </si>
  <si>
    <t># text = As pessoas estão a reconhecer que deveriam pensar na felicidade quando pensam em políticas públicas.</t>
  </si>
  <si>
    <t>deveriam</t>
  </si>
  <si>
    <t># text = Vai levar algum tempo, e as pessoas vão debater se querem estudar a experiência de felicidade, ou se querem estudar a avaliação da vida.</t>
  </si>
  <si>
    <t>Vai</t>
  </si>
  <si>
    <t>algum</t>
  </si>
  <si>
    <t>debater</t>
  </si>
  <si>
    <t>querem</t>
  </si>
  <si>
    <t>estudar</t>
  </si>
  <si>
    <t>avaliação</t>
  </si>
  <si>
    <t># text = Portanto, precisamos de ter esse debate em breve.</t>
  </si>
  <si>
    <t>precisamos</t>
  </si>
  <si>
    <t>debate</t>
  </si>
  <si>
    <t>breve</t>
  </si>
  <si>
    <t># text = Como aumentar a felicidade toma formas muito diferentes, dependendo de como pensas e se pensas no eu que recorda ou no eu que vive a experiência.</t>
  </si>
  <si>
    <t>aumentar</t>
  </si>
  <si>
    <t>formas</t>
  </si>
  <si>
    <t>dependendo</t>
  </si>
  <si>
    <t>pensas</t>
  </si>
  <si>
    <t># text = Penso que isto vai influenciar as políticas nos próximos anos.</t>
  </si>
  <si>
    <t>influenciar</t>
  </si>
  <si>
    <t>próximos</t>
  </si>
  <si>
    <t># text = Nos EUA, estão a fazer-se esforços para medir a experiência de felicidade na população.</t>
  </si>
  <si>
    <t>população</t>
  </si>
  <si>
    <t># text = Penso que, nas próximas décadas, isto fará parte das estatísticas nacionais.</t>
  </si>
  <si>
    <t>décadas</t>
  </si>
  <si>
    <t>fará</t>
  </si>
  <si>
    <t>estatísticas</t>
  </si>
  <si>
    <t>nacionais</t>
  </si>
  <si>
    <t># text = CA: Bem, parece-me que este assunto será, ou pelo menos deveria ser, a discussão política mais importante para acompanhar nos próximos anos.</t>
  </si>
  <si>
    <t>Bem</t>
  </si>
  <si>
    <t>discussão</t>
  </si>
  <si>
    <t>política</t>
  </si>
  <si>
    <t>acompanhar</t>
  </si>
  <si>
    <t># text = Muito obrigado por inventares a economia comportamental.</t>
  </si>
  <si>
    <t>inventares</t>
  </si>
  <si>
    <t>economia</t>
  </si>
  <si>
    <t>comportamental</t>
  </si>
  <si>
    <t># text = Obrigado, Danny Kahneman.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</si>
</sst>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10</v>
      </c>
      <c r="C5" s="6" t="s">
        <v>12</v>
      </c>
      <c r="D5" s="7" t="s">
        <v>21</v>
      </c>
      <c r="E5" s="8" t="s">
        <v>24</v>
      </c>
      <c r="F5" s="6" t="s">
        <v>25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26</v>
      </c>
      <c r="B6" s="6" t="s">
        <v>11</v>
      </c>
      <c r="C6" s="6" t="s">
        <v>12</v>
      </c>
      <c r="D6" s="7" t="s">
        <v>27</v>
      </c>
      <c r="E6" s="8" t="s">
        <v>28</v>
      </c>
      <c r="F6" s="6" t="s">
        <v>29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30</v>
      </c>
      <c r="B7" s="6" t="s">
        <v>31</v>
      </c>
      <c r="C7" s="6" t="s">
        <v>12</v>
      </c>
      <c r="D7" s="7" t="s">
        <v>21</v>
      </c>
      <c r="E7" s="8" t="s">
        <v>32</v>
      </c>
      <c r="F7" s="6" t="s">
        <v>33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34</v>
      </c>
      <c r="B8" s="6" t="s">
        <v>26</v>
      </c>
      <c r="C8" s="6" t="s">
        <v>12</v>
      </c>
      <c r="D8" s="7" t="s">
        <v>35</v>
      </c>
      <c r="E8" s="8" t="s">
        <v>36</v>
      </c>
      <c r="F8" s="6" t="s">
        <v>37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38</v>
      </c>
      <c r="B9" s="6" t="s">
        <v>16</v>
      </c>
      <c r="C9" s="6" t="s">
        <v>12</v>
      </c>
      <c r="D9" s="7" t="s">
        <v>39</v>
      </c>
      <c r="E9" s="8" t="s">
        <v>40</v>
      </c>
      <c r="F9" s="6" t="s">
        <v>41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42</v>
      </c>
      <c r="B10" s="6" t="s">
        <v>30</v>
      </c>
      <c r="C10" s="6" t="s">
        <v>12</v>
      </c>
      <c r="D10" s="7" t="s">
        <v>43</v>
      </c>
      <c r="E10" s="8" t="s">
        <v>44</v>
      </c>
      <c r="F10" s="6" t="s">
        <v>45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31</v>
      </c>
      <c r="B11" s="6" t="s">
        <v>38</v>
      </c>
      <c r="C11" s="6" t="s">
        <v>12</v>
      </c>
      <c r="D11" s="7" t="s">
        <v>46</v>
      </c>
      <c r="E11" s="8" t="s">
        <v>47</v>
      </c>
      <c r="F11" s="6" t="s">
        <v>48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10</v>
      </c>
      <c r="C12" s="6" t="s">
        <v>12</v>
      </c>
      <c r="D12" s="7" t="s">
        <v>50</v>
      </c>
      <c r="E12" s="8" t="s">
        <v>51</v>
      </c>
      <c r="F12" s="6" t="s">
        <v>52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53</v>
      </c>
      <c r="B13" s="6" t="s">
        <v>11</v>
      </c>
      <c r="C13" s="6" t="s">
        <v>12</v>
      </c>
      <c r="D13" s="7" t="s">
        <v>54</v>
      </c>
      <c r="E13" s="8" t="s">
        <v>55</v>
      </c>
      <c r="F13" s="6" t="s">
        <v>56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20</v>
      </c>
      <c r="C14" s="6" t="s">
        <v>12</v>
      </c>
      <c r="D14" s="7" t="s">
        <v>58</v>
      </c>
      <c r="E14" s="8" t="s">
        <v>59</v>
      </c>
      <c r="F14" s="6" t="s">
        <v>60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61</v>
      </c>
      <c r="B15" s="6" t="s">
        <v>11</v>
      </c>
      <c r="C15" s="6" t="s">
        <v>12</v>
      </c>
      <c r="D15" s="7" t="s">
        <v>62</v>
      </c>
      <c r="E15" s="8" t="s">
        <v>63</v>
      </c>
      <c r="F15" s="6" t="s">
        <v>64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11</v>
      </c>
      <c r="C16" s="6" t="s">
        <v>12</v>
      </c>
      <c r="D16" s="7" t="s">
        <v>66</v>
      </c>
      <c r="E16" s="8" t="s">
        <v>67</v>
      </c>
      <c r="F16" s="6" t="s">
        <v>68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16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16</v>
      </c>
      <c r="C18" s="6" t="s">
        <v>12</v>
      </c>
      <c r="D18" s="7" t="s">
        <v>21</v>
      </c>
      <c r="E18" s="8" t="s">
        <v>74</v>
      </c>
      <c r="F18" s="6" t="s">
        <v>75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76</v>
      </c>
      <c r="B19" s="6" t="s">
        <v>11</v>
      </c>
      <c r="C19" s="6" t="s">
        <v>12</v>
      </c>
      <c r="D19" s="7" t="s">
        <v>27</v>
      </c>
      <c r="E19" s="8" t="s">
        <v>77</v>
      </c>
      <c r="F19" s="6" t="s">
        <v>78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79</v>
      </c>
      <c r="B20" s="6" t="s">
        <v>20</v>
      </c>
      <c r="C20" s="6" t="s">
        <v>12</v>
      </c>
      <c r="D20" s="7" t="s">
        <v>80</v>
      </c>
      <c r="E20" s="8" t="s">
        <v>81</v>
      </c>
      <c r="F20" s="6" t="s">
        <v>82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83</v>
      </c>
      <c r="B21" s="6" t="s">
        <v>57</v>
      </c>
      <c r="C21" s="6" t="s">
        <v>12</v>
      </c>
      <c r="D21" s="7" t="s">
        <v>84</v>
      </c>
      <c r="E21" s="8" t="s">
        <v>85</v>
      </c>
      <c r="F21" s="6" t="s">
        <v>86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87</v>
      </c>
      <c r="B22" s="6" t="s">
        <v>42</v>
      </c>
      <c r="C22" s="6" t="s">
        <v>12</v>
      </c>
      <c r="D22" s="7" t="s">
        <v>21</v>
      </c>
      <c r="E22" s="8" t="s">
        <v>88</v>
      </c>
      <c r="F22" s="6" t="s">
        <v>89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90</v>
      </c>
      <c r="B23" s="6" t="s">
        <v>20</v>
      </c>
      <c r="C23" s="6" t="s">
        <v>12</v>
      </c>
      <c r="D23" s="7" t="s">
        <v>91</v>
      </c>
      <c r="E23" s="8" t="s">
        <v>92</v>
      </c>
      <c r="F23" s="6" t="s">
        <v>93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94</v>
      </c>
      <c r="B24" s="6" t="s">
        <v>20</v>
      </c>
      <c r="C24" s="6" t="s">
        <v>12</v>
      </c>
      <c r="D24" s="7" t="s">
        <v>95</v>
      </c>
      <c r="E24" s="8" t="s">
        <v>96</v>
      </c>
      <c r="F24" s="6" t="s">
        <v>97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98</v>
      </c>
      <c r="B25" s="6" t="s">
        <v>26</v>
      </c>
      <c r="C25" s="6" t="s">
        <v>12</v>
      </c>
      <c r="D25" s="7" t="s">
        <v>99</v>
      </c>
      <c r="E25" s="8" t="s">
        <v>100</v>
      </c>
      <c r="F25" s="6" t="s">
        <v>101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102</v>
      </c>
      <c r="B26" s="6" t="s">
        <v>20</v>
      </c>
      <c r="C26" s="6" t="s">
        <v>12</v>
      </c>
      <c r="D26" s="7" t="s">
        <v>95</v>
      </c>
      <c r="E26" s="8" t="s">
        <v>103</v>
      </c>
      <c r="F26" s="6" t="s">
        <v>104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105</v>
      </c>
      <c r="B27" s="6" t="s">
        <v>20</v>
      </c>
      <c r="C27" s="6" t="s">
        <v>12</v>
      </c>
      <c r="D27" s="7" t="s">
        <v>95</v>
      </c>
      <c r="E27" s="8" t="s">
        <v>106</v>
      </c>
      <c r="F27" s="6" t="s">
        <v>107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108</v>
      </c>
      <c r="B28" s="6" t="s">
        <v>20</v>
      </c>
      <c r="C28" s="6" t="s">
        <v>12</v>
      </c>
      <c r="D28" s="7" t="s">
        <v>109</v>
      </c>
      <c r="E28" s="8" t="s">
        <v>110</v>
      </c>
      <c r="F28" s="6" t="s">
        <v>111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112</v>
      </c>
      <c r="B29" s="6" t="s">
        <v>20</v>
      </c>
      <c r="C29" s="6" t="s">
        <v>12</v>
      </c>
      <c r="D29" s="7" t="s">
        <v>113</v>
      </c>
      <c r="E29" s="8" t="s">
        <v>114</v>
      </c>
      <c r="F29" s="6" t="s">
        <v>115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116</v>
      </c>
      <c r="B30" s="6" t="s">
        <v>65</v>
      </c>
      <c r="C30" s="6" t="s">
        <v>12</v>
      </c>
      <c r="D30" s="7" t="s">
        <v>117</v>
      </c>
      <c r="E30" s="8" t="s">
        <v>118</v>
      </c>
      <c r="F30" s="6" t="s">
        <v>119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120</v>
      </c>
      <c r="B31" s="6" t="s">
        <v>10</v>
      </c>
      <c r="C31" s="6" t="s">
        <v>12</v>
      </c>
      <c r="D31" s="7" t="s">
        <v>21</v>
      </c>
      <c r="E31" s="8" t="s">
        <v>121</v>
      </c>
      <c r="F31" s="6" t="s">
        <v>122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123</v>
      </c>
      <c r="B32" s="6" t="s">
        <v>10</v>
      </c>
      <c r="C32" s="6" t="s">
        <v>12</v>
      </c>
      <c r="D32" s="7" t="s">
        <v>124</v>
      </c>
      <c r="E32" s="8" t="s">
        <v>125</v>
      </c>
      <c r="F32" s="6" t="s">
        <v>126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127</v>
      </c>
      <c r="B33" s="6" t="s">
        <v>26</v>
      </c>
      <c r="C33" s="6" t="s">
        <v>12</v>
      </c>
      <c r="D33" s="7" t="s">
        <v>128</v>
      </c>
      <c r="E33" s="8" t="s">
        <v>129</v>
      </c>
      <c r="F33" s="6" t="s">
        <v>130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131</v>
      </c>
      <c r="B34" s="6" t="s">
        <v>120</v>
      </c>
      <c r="C34" s="6" t="s">
        <v>12</v>
      </c>
      <c r="D34" s="7" t="s">
        <v>132</v>
      </c>
      <c r="E34" s="8" t="s">
        <v>133</v>
      </c>
      <c r="F34" s="6" t="s">
        <v>134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135</v>
      </c>
      <c r="B35" s="6" t="s">
        <v>26</v>
      </c>
      <c r="C35" s="6" t="s">
        <v>12</v>
      </c>
      <c r="D35" s="7" t="s">
        <v>136</v>
      </c>
      <c r="E35" s="8" t="s">
        <v>137</v>
      </c>
      <c r="F35" s="6" t="s">
        <v>138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11</v>
      </c>
      <c r="C36" s="6" t="s">
        <v>12</v>
      </c>
      <c r="D36" s="7" t="s">
        <v>140</v>
      </c>
      <c r="E36" s="8" t="s">
        <v>141</v>
      </c>
      <c r="F36" s="6" t="s">
        <v>142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143</v>
      </c>
      <c r="B37" s="6" t="s">
        <v>10</v>
      </c>
      <c r="C37" s="6" t="s">
        <v>12</v>
      </c>
      <c r="D37" s="7" t="s">
        <v>144</v>
      </c>
      <c r="E37" s="8" t="s">
        <v>145</v>
      </c>
      <c r="F37" s="6" t="s">
        <v>146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147</v>
      </c>
      <c r="B38" s="6" t="s">
        <v>16</v>
      </c>
      <c r="C38" s="6" t="s">
        <v>12</v>
      </c>
      <c r="D38" s="7" t="s">
        <v>148</v>
      </c>
      <c r="E38" s="8" t="s">
        <v>149</v>
      </c>
      <c r="F38" s="6" t="s">
        <v>150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151</v>
      </c>
      <c r="B39" s="6" t="s">
        <v>16</v>
      </c>
      <c r="C39" s="6" t="s">
        <v>12</v>
      </c>
      <c r="D39" s="7" t="s">
        <v>152</v>
      </c>
      <c r="E39" s="8" t="s">
        <v>153</v>
      </c>
      <c r="F39" s="6" t="s">
        <v>154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155</v>
      </c>
      <c r="B40" s="6" t="s">
        <v>20</v>
      </c>
      <c r="C40" s="6" t="s">
        <v>12</v>
      </c>
      <c r="D40" s="7" t="s">
        <v>156</v>
      </c>
      <c r="E40" s="8" t="s">
        <v>157</v>
      </c>
      <c r="F40" s="6" t="s">
        <v>158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159</v>
      </c>
      <c r="B41" s="6" t="s">
        <v>20</v>
      </c>
      <c r="C41" s="6" t="s">
        <v>12</v>
      </c>
      <c r="D41" s="7" t="s">
        <v>160</v>
      </c>
      <c r="E41" s="8" t="s">
        <v>161</v>
      </c>
      <c r="F41" s="6" t="s">
        <v>162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163</v>
      </c>
      <c r="B42" s="6" t="s">
        <v>20</v>
      </c>
      <c r="C42" s="6" t="s">
        <v>12</v>
      </c>
      <c r="D42" s="7" t="s">
        <v>164</v>
      </c>
      <c r="E42" s="8" t="s">
        <v>165</v>
      </c>
      <c r="F42" s="6" t="s">
        <v>166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167</v>
      </c>
      <c r="B43" s="6" t="s">
        <v>16</v>
      </c>
      <c r="C43" s="6" t="s">
        <v>12</v>
      </c>
      <c r="D43" s="7" t="s">
        <v>168</v>
      </c>
      <c r="E43" s="8" t="s">
        <v>169</v>
      </c>
      <c r="F43" s="6" t="s">
        <v>170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171</v>
      </c>
      <c r="B44" s="6" t="s">
        <v>20</v>
      </c>
      <c r="C44" s="6" t="s">
        <v>12</v>
      </c>
      <c r="D44" s="7" t="s">
        <v>172</v>
      </c>
      <c r="E44" s="8" t="s">
        <v>173</v>
      </c>
      <c r="F44" s="6" t="s">
        <v>174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175</v>
      </c>
      <c r="B45" s="6" t="s">
        <v>10</v>
      </c>
      <c r="C45" s="6" t="s">
        <v>12</v>
      </c>
      <c r="D45" s="7" t="s">
        <v>176</v>
      </c>
      <c r="E45" s="8" t="s">
        <v>177</v>
      </c>
      <c r="F45" s="6" t="s">
        <v>178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179</v>
      </c>
      <c r="B46" s="6" t="s">
        <v>30</v>
      </c>
      <c r="C46" s="6" t="s">
        <v>12</v>
      </c>
      <c r="D46" s="7" t="s">
        <v>180</v>
      </c>
      <c r="E46" s="8" t="s">
        <v>181</v>
      </c>
      <c r="F46" s="6" t="s">
        <v>182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183</v>
      </c>
      <c r="B47" s="6" t="s">
        <v>26</v>
      </c>
      <c r="C47" s="6" t="s">
        <v>12</v>
      </c>
      <c r="D47" s="7" t="s">
        <v>184</v>
      </c>
      <c r="E47" s="8" t="s">
        <v>185</v>
      </c>
      <c r="F47" s="6" t="s">
        <v>186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187</v>
      </c>
      <c r="B48" s="6" t="s">
        <v>20</v>
      </c>
      <c r="C48" s="6" t="s">
        <v>12</v>
      </c>
      <c r="D48" s="7" t="s">
        <v>188</v>
      </c>
      <c r="E48" s="8" t="s">
        <v>189</v>
      </c>
      <c r="F48" s="6" t="s">
        <v>190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191</v>
      </c>
      <c r="B49" s="6" t="s">
        <v>10</v>
      </c>
      <c r="C49" s="6" t="s">
        <v>12</v>
      </c>
      <c r="D49" s="7" t="s">
        <v>192</v>
      </c>
      <c r="E49" s="8" t="s">
        <v>193</v>
      </c>
      <c r="F49" s="6" t="s">
        <v>194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195</v>
      </c>
      <c r="B50" s="6" t="s">
        <v>20</v>
      </c>
      <c r="C50" s="6" t="s">
        <v>12</v>
      </c>
      <c r="D50" s="7" t="s">
        <v>196</v>
      </c>
      <c r="E50" s="8" t="s">
        <v>197</v>
      </c>
      <c r="F50" s="6" t="s">
        <v>198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199</v>
      </c>
      <c r="B51" s="6" t="s">
        <v>20</v>
      </c>
      <c r="C51" s="6" t="s">
        <v>12</v>
      </c>
      <c r="D51" s="7" t="s">
        <v>200</v>
      </c>
      <c r="E51" s="8" t="s">
        <v>201</v>
      </c>
      <c r="F51" s="6" t="s">
        <v>202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203</v>
      </c>
      <c r="B52" s="6" t="s">
        <v>20</v>
      </c>
      <c r="C52" s="6" t="s">
        <v>12</v>
      </c>
      <c r="D52" s="7" t="s">
        <v>204</v>
      </c>
      <c r="E52" s="8" t="s">
        <v>205</v>
      </c>
      <c r="F52" s="6" t="s">
        <v>206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207</v>
      </c>
      <c r="B53" s="6" t="s">
        <v>10</v>
      </c>
      <c r="C53" s="6" t="s">
        <v>12</v>
      </c>
      <c r="D53" s="7" t="s">
        <v>208</v>
      </c>
      <c r="E53" s="8" t="s">
        <v>209</v>
      </c>
      <c r="F53" s="6" t="s">
        <v>210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211</v>
      </c>
      <c r="B54" s="6" t="s">
        <v>11</v>
      </c>
      <c r="C54" s="6" t="s">
        <v>12</v>
      </c>
      <c r="D54" s="7" t="s">
        <v>212</v>
      </c>
      <c r="E54" s="8" t="s">
        <v>213</v>
      </c>
      <c r="F54" s="6" t="s">
        <v>214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215</v>
      </c>
      <c r="B55" s="6" t="s">
        <v>123</v>
      </c>
      <c r="C55" s="6" t="s">
        <v>12</v>
      </c>
      <c r="D55" s="7" t="s">
        <v>204</v>
      </c>
      <c r="E55" s="8" t="s">
        <v>216</v>
      </c>
      <c r="F55" s="6" t="s">
        <v>217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218</v>
      </c>
      <c r="B56" s="6" t="s">
        <v>10</v>
      </c>
      <c r="C56" s="6" t="s">
        <v>12</v>
      </c>
      <c r="D56" s="7" t="s">
        <v>219</v>
      </c>
      <c r="E56" s="8" t="s">
        <v>220</v>
      </c>
      <c r="F56" s="6" t="s">
        <v>221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222</v>
      </c>
      <c r="B57" s="6" t="s">
        <v>16</v>
      </c>
      <c r="C57" s="6" t="s">
        <v>12</v>
      </c>
      <c r="D57" s="7" t="s">
        <v>223</v>
      </c>
      <c r="E57" s="8" t="s">
        <v>224</v>
      </c>
      <c r="F57" s="6" t="s">
        <v>225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226</v>
      </c>
      <c r="B58" s="6" t="s">
        <v>20</v>
      </c>
      <c r="C58" s="6" t="s">
        <v>12</v>
      </c>
      <c r="D58" s="7" t="s">
        <v>219</v>
      </c>
      <c r="E58" s="8" t="s">
        <v>227</v>
      </c>
      <c r="F58" s="6" t="s">
        <v>228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229</v>
      </c>
      <c r="B59" s="6" t="s">
        <v>16</v>
      </c>
      <c r="C59" s="6" t="s">
        <v>12</v>
      </c>
      <c r="D59" s="7" t="s">
        <v>132</v>
      </c>
      <c r="E59" s="8" t="s">
        <v>230</v>
      </c>
      <c r="F59" s="6" t="s">
        <v>231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232</v>
      </c>
      <c r="B60" s="6" t="s">
        <v>16</v>
      </c>
      <c r="C60" s="6" t="s">
        <v>12</v>
      </c>
      <c r="D60" s="7" t="s">
        <v>132</v>
      </c>
      <c r="E60" s="8" t="s">
        <v>233</v>
      </c>
      <c r="F60" s="6" t="s">
        <v>234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235</v>
      </c>
      <c r="B61" s="6" t="s">
        <v>16</v>
      </c>
      <c r="C61" s="6" t="s">
        <v>12</v>
      </c>
      <c r="D61" s="7" t="s">
        <v>236</v>
      </c>
      <c r="E61" s="8" t="s">
        <v>237</v>
      </c>
      <c r="F61" s="6" t="s">
        <v>238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239</v>
      </c>
      <c r="B62" s="6" t="s">
        <v>20</v>
      </c>
      <c r="C62" s="6" t="s">
        <v>12</v>
      </c>
      <c r="D62" s="7" t="s">
        <v>240</v>
      </c>
      <c r="E62" s="8" t="s">
        <v>241</v>
      </c>
      <c r="F62" s="6" t="s">
        <v>242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243</v>
      </c>
      <c r="B63" s="6" t="s">
        <v>16</v>
      </c>
      <c r="C63" s="6" t="s">
        <v>12</v>
      </c>
      <c r="D63" s="7" t="s">
        <v>236</v>
      </c>
      <c r="E63" s="8" t="s">
        <v>244</v>
      </c>
      <c r="F63" s="6" t="s">
        <v>245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246</v>
      </c>
      <c r="B64" s="6" t="s">
        <v>20</v>
      </c>
      <c r="C64" s="6" t="s">
        <v>12</v>
      </c>
      <c r="D64" s="7" t="s">
        <v>247</v>
      </c>
      <c r="E64" s="8" t="s">
        <v>248</v>
      </c>
      <c r="F64" s="6" t="s">
        <v>249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250</v>
      </c>
      <c r="B65" s="6" t="s">
        <v>26</v>
      </c>
      <c r="C65" s="6" t="s">
        <v>12</v>
      </c>
      <c r="D65" s="7" t="s">
        <v>251</v>
      </c>
      <c r="E65" s="8" t="s">
        <v>252</v>
      </c>
      <c r="F65" s="6" t="s">
        <v>253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254</v>
      </c>
      <c r="B66" s="6" t="s">
        <v>16</v>
      </c>
      <c r="C66" s="6" t="s">
        <v>12</v>
      </c>
      <c r="D66" s="7" t="s">
        <v>255</v>
      </c>
      <c r="E66" s="8" t="s">
        <v>256</v>
      </c>
      <c r="F66" s="6" t="s">
        <v>257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258</v>
      </c>
      <c r="B67" s="6" t="s">
        <v>30</v>
      </c>
      <c r="C67" s="6" t="s">
        <v>12</v>
      </c>
      <c r="D67" s="7" t="s">
        <v>259</v>
      </c>
      <c r="E67" s="8" t="s">
        <v>260</v>
      </c>
      <c r="F67" s="6" t="s">
        <v>261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262</v>
      </c>
      <c r="B68" s="6" t="s">
        <v>20</v>
      </c>
      <c r="C68" s="6" t="s">
        <v>12</v>
      </c>
      <c r="D68" s="7" t="s">
        <v>263</v>
      </c>
      <c r="E68" s="8" t="s">
        <v>264</v>
      </c>
      <c r="F68" s="6" t="s">
        <v>265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266</v>
      </c>
      <c r="B69" s="6" t="s">
        <v>42</v>
      </c>
      <c r="C69" s="6" t="s">
        <v>12</v>
      </c>
      <c r="D69" s="7" t="s">
        <v>267</v>
      </c>
      <c r="E69" s="8" t="s">
        <v>268</v>
      </c>
      <c r="F69" s="6" t="s">
        <v>269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270</v>
      </c>
      <c r="B70" s="6" t="s">
        <v>10</v>
      </c>
      <c r="C70" s="6" t="s">
        <v>12</v>
      </c>
      <c r="D70" s="7" t="s">
        <v>95</v>
      </c>
      <c r="E70" s="8" t="s">
        <v>271</v>
      </c>
      <c r="F70" s="6" t="s">
        <v>272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273</v>
      </c>
      <c r="B71" s="6" t="s">
        <v>16</v>
      </c>
      <c r="C71" s="6" t="s">
        <v>12</v>
      </c>
      <c r="D71" s="7" t="s">
        <v>172</v>
      </c>
      <c r="E71" s="8" t="s">
        <v>274</v>
      </c>
      <c r="F71" s="6" t="s">
        <v>275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276</v>
      </c>
      <c r="B72" s="6" t="s">
        <v>10</v>
      </c>
      <c r="C72" s="6" t="s">
        <v>12</v>
      </c>
      <c r="D72" s="7" t="s">
        <v>219</v>
      </c>
      <c r="E72" s="8" t="s">
        <v>277</v>
      </c>
      <c r="F72" s="6" t="s">
        <v>278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279</v>
      </c>
      <c r="B73" s="6" t="s">
        <v>20</v>
      </c>
      <c r="C73" s="6" t="s">
        <v>12</v>
      </c>
      <c r="D73" s="7" t="s">
        <v>280</v>
      </c>
      <c r="E73" s="8" t="s">
        <v>281</v>
      </c>
      <c r="F73" s="6" t="s">
        <v>282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283</v>
      </c>
      <c r="B74" s="6" t="s">
        <v>16</v>
      </c>
      <c r="C74" s="6" t="s">
        <v>12</v>
      </c>
      <c r="D74" s="7" t="s">
        <v>284</v>
      </c>
      <c r="E74" s="8" t="s">
        <v>285</v>
      </c>
      <c r="F74" s="6" t="s">
        <v>286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287</v>
      </c>
      <c r="B75" s="6" t="s">
        <v>87</v>
      </c>
      <c r="C75" s="6" t="s">
        <v>12</v>
      </c>
      <c r="D75" s="7" t="s">
        <v>288</v>
      </c>
      <c r="E75" s="8" t="s">
        <v>289</v>
      </c>
      <c r="F75" s="6" t="s">
        <v>290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291</v>
      </c>
      <c r="B76" s="6" t="s">
        <v>20</v>
      </c>
      <c r="C76" s="6" t="s">
        <v>12</v>
      </c>
      <c r="D76" s="7" t="s">
        <v>70</v>
      </c>
      <c r="E76" s="8" t="s">
        <v>292</v>
      </c>
      <c r="F76" s="6" t="s">
        <v>293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294</v>
      </c>
      <c r="B77" s="6" t="s">
        <v>34</v>
      </c>
      <c r="C77" s="6" t="s">
        <v>12</v>
      </c>
      <c r="D77" s="7" t="s">
        <v>295</v>
      </c>
      <c r="E77" s="8" t="s">
        <v>296</v>
      </c>
      <c r="F77" s="6" t="s">
        <v>297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298</v>
      </c>
      <c r="B78" s="6" t="s">
        <v>26</v>
      </c>
      <c r="C78" s="6" t="s">
        <v>12</v>
      </c>
      <c r="D78" s="7" t="s">
        <v>299</v>
      </c>
      <c r="E78" s="8" t="s">
        <v>300</v>
      </c>
      <c r="F78" s="6" t="s">
        <v>301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302</v>
      </c>
      <c r="B79" s="6" t="s">
        <v>31</v>
      </c>
      <c r="C79" s="6" t="s">
        <v>12</v>
      </c>
      <c r="D79" s="7" t="s">
        <v>95</v>
      </c>
      <c r="E79" s="8" t="s">
        <v>303</v>
      </c>
      <c r="F79" s="6" t="s">
        <v>304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305</v>
      </c>
      <c r="B80" s="6" t="s">
        <v>16</v>
      </c>
      <c r="C80" s="6" t="s">
        <v>12</v>
      </c>
      <c r="D80" s="7" t="s">
        <v>164</v>
      </c>
      <c r="E80" s="8" t="s">
        <v>306</v>
      </c>
      <c r="F80" s="6" t="s">
        <v>307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308</v>
      </c>
      <c r="B81" s="6" t="s">
        <v>34</v>
      </c>
      <c r="C81" s="6" t="s">
        <v>12</v>
      </c>
      <c r="D81" s="7" t="s">
        <v>309</v>
      </c>
      <c r="E81" s="8" t="s">
        <v>310</v>
      </c>
      <c r="F81" s="6" t="s">
        <v>311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312</v>
      </c>
      <c r="B82" s="6" t="s">
        <v>11</v>
      </c>
      <c r="C82" s="6" t="s">
        <v>12</v>
      </c>
      <c r="D82" s="7" t="s">
        <v>208</v>
      </c>
      <c r="E82" s="8" t="s">
        <v>313</v>
      </c>
      <c r="F82" s="6" t="s">
        <v>314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315</v>
      </c>
      <c r="B83" s="6" t="s">
        <v>11</v>
      </c>
      <c r="C83" s="6" t="s">
        <v>12</v>
      </c>
      <c r="D83" s="7" t="s">
        <v>95</v>
      </c>
      <c r="E83" s="8" t="s">
        <v>316</v>
      </c>
      <c r="F83" s="6" t="s">
        <v>317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318</v>
      </c>
      <c r="B84" s="6" t="s">
        <v>30</v>
      </c>
      <c r="C84" s="6" t="s">
        <v>319</v>
      </c>
      <c r="D84" s="7" t="s">
        <v>320</v>
      </c>
      <c r="E84" s="8" t="s">
        <v>321</v>
      </c>
      <c r="F84" s="6" t="s">
        <v>322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323</v>
      </c>
      <c r="B85" s="6" t="s">
        <v>87</v>
      </c>
      <c r="C85" s="6" t="s">
        <v>12</v>
      </c>
      <c r="D85" s="7" t="s">
        <v>324</v>
      </c>
      <c r="E85" s="8" t="s">
        <v>325</v>
      </c>
      <c r="F85" s="6" t="s">
        <v>326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327</v>
      </c>
      <c r="B86" s="6" t="s">
        <v>20</v>
      </c>
      <c r="C86" s="6" t="s">
        <v>12</v>
      </c>
      <c r="D86" s="7" t="s">
        <v>200</v>
      </c>
      <c r="E86" s="8" t="s">
        <v>328</v>
      </c>
      <c r="F86" s="6" t="s">
        <v>329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330</v>
      </c>
      <c r="B87" s="6" t="s">
        <v>53</v>
      </c>
      <c r="C87" s="6" t="s">
        <v>12</v>
      </c>
      <c r="D87" s="7" t="s">
        <v>331</v>
      </c>
      <c r="E87" s="8" t="s">
        <v>332</v>
      </c>
      <c r="F87" s="6" t="s">
        <v>333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334</v>
      </c>
      <c r="B88" s="6" t="s">
        <v>20</v>
      </c>
      <c r="C88" s="6" t="s">
        <v>12</v>
      </c>
      <c r="D88" s="7" t="s">
        <v>335</v>
      </c>
      <c r="E88" s="8" t="s">
        <v>336</v>
      </c>
      <c r="F88" s="6" t="s">
        <v>337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338</v>
      </c>
      <c r="B89" s="6" t="s">
        <v>20</v>
      </c>
      <c r="C89" s="6" t="s">
        <v>12</v>
      </c>
      <c r="D89" s="7" t="s">
        <v>95</v>
      </c>
      <c r="E89" s="8" t="s">
        <v>339</v>
      </c>
      <c r="F89" s="6" t="s">
        <v>340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341</v>
      </c>
      <c r="B90" s="6" t="s">
        <v>34</v>
      </c>
      <c r="C90" s="6" t="s">
        <v>12</v>
      </c>
      <c r="D90" s="7" t="s">
        <v>132</v>
      </c>
      <c r="E90" s="8" t="s">
        <v>342</v>
      </c>
      <c r="F90" s="6" t="s">
        <v>343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344</v>
      </c>
      <c r="B91" s="6" t="s">
        <v>10</v>
      </c>
      <c r="C91" s="6" t="s">
        <v>12</v>
      </c>
      <c r="D91" s="7" t="s">
        <v>345</v>
      </c>
      <c r="E91" s="8" t="s">
        <v>346</v>
      </c>
      <c r="F91" s="6" t="s">
        <v>347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348</v>
      </c>
      <c r="B92" s="6" t="s">
        <v>16</v>
      </c>
      <c r="C92" s="6" t="s">
        <v>12</v>
      </c>
      <c r="D92" s="7" t="s">
        <v>240</v>
      </c>
      <c r="E92" s="8" t="s">
        <v>349</v>
      </c>
      <c r="F92" s="6" t="s">
        <v>350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351</v>
      </c>
      <c r="B93" s="6" t="s">
        <v>16</v>
      </c>
      <c r="C93" s="6" t="s">
        <v>12</v>
      </c>
      <c r="D93" s="7" t="s">
        <v>352</v>
      </c>
      <c r="E93" s="8" t="s">
        <v>353</v>
      </c>
      <c r="F93" s="6" t="s">
        <v>354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355</v>
      </c>
      <c r="B94" s="6" t="s">
        <v>26</v>
      </c>
      <c r="C94" s="6" t="s">
        <v>12</v>
      </c>
      <c r="D94" s="7" t="s">
        <v>356</v>
      </c>
      <c r="E94" s="8" t="s">
        <v>357</v>
      </c>
      <c r="F94" s="6" t="s">
        <v>358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359</v>
      </c>
      <c r="B95" s="6" t="s">
        <v>10</v>
      </c>
      <c r="C95" s="6" t="s">
        <v>12</v>
      </c>
      <c r="D95" s="7" t="s">
        <v>50</v>
      </c>
      <c r="E95" s="8" t="s">
        <v>360</v>
      </c>
      <c r="F95" s="6" t="s">
        <v>361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362</v>
      </c>
      <c r="B96" s="6" t="s">
        <v>16</v>
      </c>
      <c r="C96" s="6" t="s">
        <v>12</v>
      </c>
      <c r="D96" s="7" t="s">
        <v>117</v>
      </c>
      <c r="E96" s="8" t="s">
        <v>363</v>
      </c>
      <c r="F96" s="6" t="s">
        <v>364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365</v>
      </c>
      <c r="B97" s="6" t="s">
        <v>16</v>
      </c>
      <c r="C97" s="6" t="s">
        <v>12</v>
      </c>
      <c r="D97" s="7" t="s">
        <v>95</v>
      </c>
      <c r="E97" s="8" t="s">
        <v>366</v>
      </c>
      <c r="F97" s="6" t="s">
        <v>367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368</v>
      </c>
      <c r="B98" s="6" t="s">
        <v>16</v>
      </c>
      <c r="C98" s="6" t="s">
        <v>12</v>
      </c>
      <c r="D98" s="7" t="s">
        <v>369</v>
      </c>
      <c r="E98" s="8" t="s">
        <v>370</v>
      </c>
      <c r="F98" s="6" t="s">
        <v>371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372</v>
      </c>
      <c r="B99" s="6" t="s">
        <v>30</v>
      </c>
      <c r="C99" s="6" t="s">
        <v>12</v>
      </c>
      <c r="D99" s="7" t="s">
        <v>373</v>
      </c>
      <c r="E99" s="8" t="s">
        <v>374</v>
      </c>
      <c r="F99" s="6" t="s">
        <v>375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376</v>
      </c>
      <c r="B100" s="6" t="s">
        <v>16</v>
      </c>
      <c r="C100" s="6" t="s">
        <v>12</v>
      </c>
      <c r="D100" s="7" t="s">
        <v>70</v>
      </c>
      <c r="E100" s="8" t="s">
        <v>377</v>
      </c>
      <c r="F100" s="6" t="s">
        <v>378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379</v>
      </c>
      <c r="B101" s="6" t="s">
        <v>16</v>
      </c>
      <c r="C101" s="6" t="s">
        <v>12</v>
      </c>
      <c r="D101" s="7" t="s">
        <v>380</v>
      </c>
      <c r="E101" s="8" t="s">
        <v>381</v>
      </c>
      <c r="F101" s="6" t="s">
        <v>382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383</v>
      </c>
      <c r="B102" s="6" t="s">
        <v>16</v>
      </c>
      <c r="C102" s="6" t="s">
        <v>12</v>
      </c>
      <c r="D102" s="7" t="s">
        <v>356</v>
      </c>
      <c r="E102" s="8" t="s">
        <v>384</v>
      </c>
      <c r="F102" s="6" t="s">
        <v>385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386</v>
      </c>
      <c r="B103" s="6" t="s">
        <v>10</v>
      </c>
      <c r="C103" s="6" t="s">
        <v>12</v>
      </c>
      <c r="D103" s="7" t="s">
        <v>50</v>
      </c>
      <c r="E103" s="8" t="s">
        <v>387</v>
      </c>
      <c r="F103" s="6" t="s">
        <v>388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389</v>
      </c>
      <c r="B104" s="6" t="s">
        <v>20</v>
      </c>
      <c r="C104" s="6" t="s">
        <v>12</v>
      </c>
      <c r="D104" s="7" t="s">
        <v>390</v>
      </c>
      <c r="E104" s="8" t="s">
        <v>391</v>
      </c>
      <c r="F104" s="6" t="s">
        <v>392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393</v>
      </c>
      <c r="B105" s="6" t="s">
        <v>69</v>
      </c>
      <c r="C105" s="6" t="s">
        <v>12</v>
      </c>
      <c r="D105" s="7" t="s">
        <v>394</v>
      </c>
      <c r="E105" s="8" t="s">
        <v>395</v>
      </c>
      <c r="F105" s="6" t="s">
        <v>396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397</v>
      </c>
      <c r="B106" s="6" t="s">
        <v>11</v>
      </c>
      <c r="C106" s="6" t="s">
        <v>12</v>
      </c>
      <c r="D106" s="7" t="s">
        <v>398</v>
      </c>
      <c r="E106" s="8" t="s">
        <v>399</v>
      </c>
      <c r="F106" s="6" t="s">
        <v>400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401</v>
      </c>
      <c r="B107" s="6" t="s">
        <v>10</v>
      </c>
      <c r="C107" s="6" t="s">
        <v>12</v>
      </c>
      <c r="D107" s="7" t="s">
        <v>402</v>
      </c>
      <c r="E107" s="8" t="s">
        <v>403</v>
      </c>
      <c r="F107" s="6" t="s">
        <v>404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405</v>
      </c>
      <c r="B108" s="6" t="s">
        <v>16</v>
      </c>
      <c r="C108" s="6" t="s">
        <v>12</v>
      </c>
      <c r="D108" s="7" t="s">
        <v>117</v>
      </c>
      <c r="E108" s="8" t="s">
        <v>406</v>
      </c>
      <c r="F108" s="6" t="s">
        <v>407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408</v>
      </c>
      <c r="B109" s="6" t="s">
        <v>11</v>
      </c>
      <c r="C109" s="6" t="s">
        <v>409</v>
      </c>
      <c r="D109" s="7" t="s">
        <v>410</v>
      </c>
      <c r="E109" s="8" t="s">
        <v>411</v>
      </c>
      <c r="F109" s="6" t="s">
        <v>412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413</v>
      </c>
      <c r="B110" s="6" t="s">
        <v>30</v>
      </c>
      <c r="C110" s="6" t="s">
        <v>12</v>
      </c>
      <c r="D110" s="7" t="s">
        <v>414</v>
      </c>
      <c r="E110" s="8" t="s">
        <v>415</v>
      </c>
      <c r="F110" s="6" t="s">
        <v>416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417</v>
      </c>
      <c r="B111" s="6" t="s">
        <v>42</v>
      </c>
      <c r="C111" s="6" t="s">
        <v>12</v>
      </c>
      <c r="D111" s="7" t="s">
        <v>418</v>
      </c>
      <c r="E111" s="8" t="s">
        <v>419</v>
      </c>
      <c r="F111" s="6" t="s">
        <v>420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421</v>
      </c>
      <c r="B112" s="6" t="s">
        <v>10</v>
      </c>
      <c r="C112" s="6" t="s">
        <v>12</v>
      </c>
      <c r="D112" s="7" t="s">
        <v>422</v>
      </c>
      <c r="E112" s="8" t="s">
        <v>423</v>
      </c>
      <c r="F112" s="6" t="s">
        <v>424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425</v>
      </c>
      <c r="B113" s="6" t="s">
        <v>16</v>
      </c>
      <c r="C113" s="6" t="s">
        <v>12</v>
      </c>
      <c r="D113" s="7" t="s">
        <v>426</v>
      </c>
      <c r="E113" s="8" t="s">
        <v>427</v>
      </c>
      <c r="F113" s="6" t="s">
        <v>428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429</v>
      </c>
      <c r="B114" s="6" t="s">
        <v>16</v>
      </c>
      <c r="C114" s="6" t="s">
        <v>12</v>
      </c>
      <c r="D114" s="7" t="s">
        <v>430</v>
      </c>
      <c r="E114" s="8" t="s">
        <v>431</v>
      </c>
      <c r="F114" s="6" t="s">
        <v>432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433</v>
      </c>
      <c r="B115" s="6" t="s">
        <v>30</v>
      </c>
      <c r="C115" s="6" t="s">
        <v>12</v>
      </c>
      <c r="D115" s="7" t="s">
        <v>434</v>
      </c>
      <c r="E115" s="8" t="s">
        <v>435</v>
      </c>
      <c r="F115" s="6" t="s">
        <v>436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437</v>
      </c>
      <c r="B116" s="6" t="s">
        <v>10</v>
      </c>
      <c r="C116" s="6" t="s">
        <v>12</v>
      </c>
      <c r="D116" s="7" t="s">
        <v>438</v>
      </c>
      <c r="E116" s="8" t="s">
        <v>439</v>
      </c>
      <c r="F116" s="6" t="s">
        <v>440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441</v>
      </c>
      <c r="B117" s="6" t="s">
        <v>20</v>
      </c>
      <c r="C117" s="6" t="s">
        <v>12</v>
      </c>
      <c r="D117" s="7" t="s">
        <v>117</v>
      </c>
      <c r="E117" s="8" t="s">
        <v>442</v>
      </c>
      <c r="F117" s="6" t="s">
        <v>443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444</v>
      </c>
      <c r="B118" s="6" t="s">
        <v>20</v>
      </c>
      <c r="C118" s="6" t="s">
        <v>12</v>
      </c>
      <c r="D118" s="7" t="s">
        <v>445</v>
      </c>
      <c r="E118" s="8" t="s">
        <v>446</v>
      </c>
      <c r="F118" s="6" t="s">
        <v>447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448</v>
      </c>
      <c r="B119" s="6" t="s">
        <v>20</v>
      </c>
      <c r="C119" s="6" t="s">
        <v>12</v>
      </c>
      <c r="D119" s="7" t="s">
        <v>117</v>
      </c>
      <c r="E119" s="8" t="s">
        <v>449</v>
      </c>
      <c r="F119" s="6" t="s">
        <v>450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451</v>
      </c>
      <c r="B120" s="6" t="s">
        <v>34</v>
      </c>
      <c r="C120" s="6" t="s">
        <v>12</v>
      </c>
      <c r="D120" s="7" t="s">
        <v>452</v>
      </c>
      <c r="E120" s="8" t="s">
        <v>453</v>
      </c>
      <c r="F120" s="6" t="s">
        <v>454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455</v>
      </c>
      <c r="B121" s="6" t="s">
        <v>61</v>
      </c>
      <c r="C121" s="6" t="s">
        <v>12</v>
      </c>
      <c r="D121" s="7" t="s">
        <v>456</v>
      </c>
      <c r="E121" s="8" t="s">
        <v>457</v>
      </c>
      <c r="F121" s="6" t="s">
        <v>458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459</v>
      </c>
      <c r="B122" s="6" t="s">
        <v>20</v>
      </c>
      <c r="C122" s="6" t="s">
        <v>12</v>
      </c>
      <c r="D122" s="7" t="s">
        <v>460</v>
      </c>
      <c r="E122" s="8" t="s">
        <v>461</v>
      </c>
      <c r="F122" s="6" t="s">
        <v>462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463</v>
      </c>
      <c r="B123" s="6" t="s">
        <v>16</v>
      </c>
      <c r="C123" s="6" t="s">
        <v>12</v>
      </c>
      <c r="D123" s="7" t="s">
        <v>464</v>
      </c>
      <c r="E123" s="8" t="s">
        <v>465</v>
      </c>
      <c r="F123" s="6" t="s">
        <v>466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467</v>
      </c>
      <c r="B124" s="6" t="s">
        <v>49</v>
      </c>
      <c r="C124" s="6" t="s">
        <v>468</v>
      </c>
      <c r="D124" s="7" t="s">
        <v>469</v>
      </c>
      <c r="E124" s="8" t="s">
        <v>470</v>
      </c>
      <c r="F124" s="6" t="s">
        <v>471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472</v>
      </c>
      <c r="B125" s="6" t="s">
        <v>90</v>
      </c>
      <c r="C125" s="6" t="s">
        <v>12</v>
      </c>
      <c r="D125" s="7" t="s">
        <v>473</v>
      </c>
      <c r="E125" s="8" t="s">
        <v>474</v>
      </c>
      <c r="F125" s="6" t="s">
        <v>475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476</v>
      </c>
      <c r="B126" s="6" t="s">
        <v>11</v>
      </c>
      <c r="C126" s="6" t="s">
        <v>12</v>
      </c>
      <c r="D126" s="7" t="s">
        <v>132</v>
      </c>
      <c r="E126" s="8" t="s">
        <v>477</v>
      </c>
      <c r="F126" s="6" t="s">
        <v>478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479</v>
      </c>
      <c r="B127" s="6" t="s">
        <v>20</v>
      </c>
      <c r="C127" s="6" t="s">
        <v>12</v>
      </c>
      <c r="D127" s="7" t="s">
        <v>21</v>
      </c>
      <c r="E127" s="8" t="s">
        <v>480</v>
      </c>
      <c r="F127" s="6" t="s">
        <v>481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482</v>
      </c>
      <c r="B128" s="6" t="s">
        <v>42</v>
      </c>
      <c r="C128" s="6" t="s">
        <v>12</v>
      </c>
      <c r="D128" s="7" t="s">
        <v>483</v>
      </c>
      <c r="E128" s="8" t="s">
        <v>484</v>
      </c>
      <c r="F128" s="6" t="s">
        <v>485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486</v>
      </c>
      <c r="B129" s="6" t="s">
        <v>53</v>
      </c>
      <c r="C129" s="6" t="s">
        <v>12</v>
      </c>
      <c r="D129" s="7" t="s">
        <v>456</v>
      </c>
      <c r="E129" s="8" t="s">
        <v>487</v>
      </c>
      <c r="F129" s="6" t="s">
        <v>488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489</v>
      </c>
      <c r="B130" s="6" t="s">
        <v>10</v>
      </c>
      <c r="C130" s="6" t="s">
        <v>12</v>
      </c>
      <c r="D130" s="7" t="s">
        <v>117</v>
      </c>
      <c r="E130" s="8" t="s">
        <v>490</v>
      </c>
      <c r="F130" s="6" t="s">
        <v>491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492</v>
      </c>
      <c r="B131" s="6" t="s">
        <v>11</v>
      </c>
      <c r="C131" s="6" t="s">
        <v>12</v>
      </c>
      <c r="D131" s="7" t="s">
        <v>410</v>
      </c>
      <c r="E131" s="8" t="s">
        <v>493</v>
      </c>
      <c r="F131" s="6" t="s">
        <v>494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495</v>
      </c>
      <c r="B132" s="6" t="s">
        <v>34</v>
      </c>
      <c r="C132" s="6" t="s">
        <v>12</v>
      </c>
      <c r="D132" s="7" t="s">
        <v>496</v>
      </c>
      <c r="E132" s="8" t="s">
        <v>497</v>
      </c>
      <c r="F132" s="6" t="s">
        <v>498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499</v>
      </c>
      <c r="B133" s="6" t="s">
        <v>10</v>
      </c>
      <c r="C133" s="6" t="s">
        <v>12</v>
      </c>
      <c r="D133" s="7" t="s">
        <v>500</v>
      </c>
      <c r="E133" s="8" t="s">
        <v>501</v>
      </c>
      <c r="F133" s="6" t="s">
        <v>502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503</v>
      </c>
      <c r="B134" s="6" t="s">
        <v>94</v>
      </c>
      <c r="C134" s="6" t="s">
        <v>12</v>
      </c>
      <c r="D134" s="7" t="s">
        <v>95</v>
      </c>
      <c r="E134" s="8" t="s">
        <v>504</v>
      </c>
      <c r="F134" s="6" t="s">
        <v>505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506</v>
      </c>
      <c r="B135" s="6" t="s">
        <v>26</v>
      </c>
      <c r="C135" s="6" t="s">
        <v>12</v>
      </c>
      <c r="D135" s="7" t="s">
        <v>507</v>
      </c>
      <c r="E135" s="8" t="s">
        <v>508</v>
      </c>
      <c r="F135" s="6" t="s">
        <v>509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510</v>
      </c>
      <c r="B136" s="6" t="s">
        <v>10</v>
      </c>
      <c r="C136" s="6" t="s">
        <v>12</v>
      </c>
      <c r="D136" s="7" t="s">
        <v>212</v>
      </c>
      <c r="E136" s="8" t="s">
        <v>511</v>
      </c>
      <c r="F136" s="6" t="s">
        <v>512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513</v>
      </c>
      <c r="B137" s="6" t="s">
        <v>10</v>
      </c>
      <c r="C137" s="6" t="s">
        <v>12</v>
      </c>
      <c r="D137" s="7" t="s">
        <v>212</v>
      </c>
      <c r="E137" s="8" t="s">
        <v>514</v>
      </c>
      <c r="F137" s="6" t="s">
        <v>515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516</v>
      </c>
      <c r="B138" s="6" t="s">
        <v>69</v>
      </c>
      <c r="C138" s="6" t="s">
        <v>12</v>
      </c>
      <c r="D138" s="7" t="s">
        <v>517</v>
      </c>
      <c r="E138" s="8" t="s">
        <v>518</v>
      </c>
      <c r="F138" s="6" t="s">
        <v>519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520</v>
      </c>
      <c r="B139" s="6" t="s">
        <v>10</v>
      </c>
      <c r="C139" s="6" t="s">
        <v>12</v>
      </c>
      <c r="D139" s="7" t="s">
        <v>21</v>
      </c>
      <c r="E139" s="8" t="s">
        <v>521</v>
      </c>
      <c r="F139" s="6" t="s">
        <v>522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523</v>
      </c>
      <c r="B140" s="6" t="s">
        <v>61</v>
      </c>
      <c r="C140" s="6" t="s">
        <v>12</v>
      </c>
      <c r="D140" s="7" t="s">
        <v>524</v>
      </c>
      <c r="E140" s="8" t="s">
        <v>525</v>
      </c>
      <c r="F140" s="6" t="s">
        <v>526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527</v>
      </c>
      <c r="B141" s="6" t="s">
        <v>57</v>
      </c>
      <c r="C141" s="6" t="s">
        <v>12</v>
      </c>
      <c r="D141" s="7" t="s">
        <v>309</v>
      </c>
      <c r="E141" s="8" t="s">
        <v>528</v>
      </c>
      <c r="F141" s="6" t="s">
        <v>529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530</v>
      </c>
      <c r="B142" s="6" t="s">
        <v>10</v>
      </c>
      <c r="C142" s="6" t="s">
        <v>12</v>
      </c>
      <c r="D142" s="7" t="s">
        <v>531</v>
      </c>
      <c r="E142" s="8" t="s">
        <v>532</v>
      </c>
      <c r="F142" s="6" t="s">
        <v>533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534</v>
      </c>
      <c r="B143" s="6" t="s">
        <v>73</v>
      </c>
      <c r="C143" s="6" t="s">
        <v>12</v>
      </c>
      <c r="D143" s="7" t="s">
        <v>200</v>
      </c>
      <c r="E143" s="8" t="s">
        <v>535</v>
      </c>
      <c r="F143" s="6" t="s">
        <v>536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537</v>
      </c>
      <c r="B144" s="6" t="s">
        <v>69</v>
      </c>
      <c r="C144" s="6" t="s">
        <v>12</v>
      </c>
      <c r="D144" s="7" t="s">
        <v>538</v>
      </c>
      <c r="E144" s="8" t="s">
        <v>539</v>
      </c>
      <c r="F144" s="6" t="s">
        <v>540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541</v>
      </c>
      <c r="B145" s="6" t="s">
        <v>16</v>
      </c>
      <c r="C145" s="6" t="s">
        <v>12</v>
      </c>
      <c r="D145" s="7" t="s">
        <v>542</v>
      </c>
      <c r="E145" s="8" t="s">
        <v>543</v>
      </c>
      <c r="F145" s="6" t="s">
        <v>544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545</v>
      </c>
      <c r="B146" s="6" t="s">
        <v>61</v>
      </c>
      <c r="C146" s="6" t="s">
        <v>12</v>
      </c>
      <c r="D146" s="7" t="s">
        <v>164</v>
      </c>
      <c r="E146" s="8" t="s">
        <v>546</v>
      </c>
      <c r="F146" s="6" t="s">
        <v>547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548</v>
      </c>
      <c r="B147" s="6" t="s">
        <v>30</v>
      </c>
      <c r="C147" s="6" t="s">
        <v>12</v>
      </c>
      <c r="D147" s="7" t="s">
        <v>91</v>
      </c>
      <c r="E147" s="8" t="s">
        <v>549</v>
      </c>
      <c r="F147" s="6" t="s">
        <v>550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551</v>
      </c>
      <c r="B148" s="6" t="s">
        <v>73</v>
      </c>
      <c r="C148" s="6" t="s">
        <v>12</v>
      </c>
      <c r="D148" s="7" t="s">
        <v>117</v>
      </c>
      <c r="E148" s="8" t="s">
        <v>552</v>
      </c>
      <c r="F148" s="6" t="s">
        <v>553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554</v>
      </c>
      <c r="B149" s="6" t="s">
        <v>10</v>
      </c>
      <c r="C149" s="6" t="s">
        <v>12</v>
      </c>
      <c r="D149" s="7" t="s">
        <v>555</v>
      </c>
      <c r="E149" s="8" t="s">
        <v>556</v>
      </c>
      <c r="F149" s="6" t="s">
        <v>557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558</v>
      </c>
      <c r="B150" s="6" t="s">
        <v>31</v>
      </c>
      <c r="C150" s="6" t="s">
        <v>12</v>
      </c>
      <c r="D150" s="7" t="s">
        <v>559</v>
      </c>
      <c r="E150" s="8" t="s">
        <v>560</v>
      </c>
      <c r="F150" s="6" t="s">
        <v>561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562</v>
      </c>
      <c r="B151" s="6" t="s">
        <v>16</v>
      </c>
      <c r="C151" s="6" t="s">
        <v>12</v>
      </c>
      <c r="D151" s="7" t="s">
        <v>212</v>
      </c>
      <c r="E151" s="8" t="s">
        <v>563</v>
      </c>
      <c r="F151" s="6" t="s">
        <v>564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565</v>
      </c>
      <c r="B152" s="6" t="s">
        <v>11</v>
      </c>
      <c r="C152" s="6" t="s">
        <v>12</v>
      </c>
      <c r="D152" s="7" t="s">
        <v>566</v>
      </c>
      <c r="E152" s="8" t="s">
        <v>567</v>
      </c>
      <c r="F152" s="6" t="s">
        <v>568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569</v>
      </c>
      <c r="B153" s="6" t="s">
        <v>94</v>
      </c>
      <c r="C153" s="6" t="s">
        <v>12</v>
      </c>
      <c r="D153" s="7" t="s">
        <v>570</v>
      </c>
      <c r="E153" s="8" t="s">
        <v>571</v>
      </c>
      <c r="F153" s="6" t="s">
        <v>572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573</v>
      </c>
      <c r="B154" s="6" t="s">
        <v>87</v>
      </c>
      <c r="C154" s="6" t="s">
        <v>12</v>
      </c>
      <c r="D154" s="7" t="s">
        <v>574</v>
      </c>
      <c r="E154" s="8" t="s">
        <v>575</v>
      </c>
      <c r="F154" s="6" t="s">
        <v>576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577</v>
      </c>
      <c r="B155" s="6" t="s">
        <v>10</v>
      </c>
      <c r="C155" s="6" t="s">
        <v>12</v>
      </c>
      <c r="D155" s="7" t="s">
        <v>578</v>
      </c>
      <c r="E155" s="8" t="s">
        <v>579</v>
      </c>
      <c r="F155" s="6" t="s">
        <v>580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581</v>
      </c>
      <c r="B156" s="6" t="s">
        <v>10</v>
      </c>
      <c r="C156" s="6" t="s">
        <v>12</v>
      </c>
      <c r="D156" s="7" t="s">
        <v>95</v>
      </c>
      <c r="E156" s="8" t="s">
        <v>582</v>
      </c>
      <c r="F156" s="6" t="s">
        <v>583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584</v>
      </c>
      <c r="B157" s="6" t="s">
        <v>16</v>
      </c>
      <c r="C157" s="6" t="s">
        <v>12</v>
      </c>
      <c r="D157" s="7" t="s">
        <v>585</v>
      </c>
      <c r="E157" s="8" t="s">
        <v>586</v>
      </c>
      <c r="F157" s="6" t="s">
        <v>587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588</v>
      </c>
      <c r="B158" s="6" t="s">
        <v>30</v>
      </c>
      <c r="C158" s="6" t="s">
        <v>12</v>
      </c>
      <c r="D158" s="7" t="s">
        <v>21</v>
      </c>
      <c r="E158" s="8" t="s">
        <v>589</v>
      </c>
      <c r="F158" s="6" t="s">
        <v>590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591</v>
      </c>
      <c r="B159" s="6" t="s">
        <v>10</v>
      </c>
      <c r="C159" s="6" t="s">
        <v>12</v>
      </c>
      <c r="D159" s="7" t="s">
        <v>21</v>
      </c>
      <c r="E159" s="8" t="s">
        <v>592</v>
      </c>
      <c r="F159" s="6" t="s">
        <v>593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594</v>
      </c>
      <c r="B160" s="6" t="s">
        <v>10</v>
      </c>
      <c r="C160" s="6" t="s">
        <v>12</v>
      </c>
      <c r="D160" s="7" t="s">
        <v>595</v>
      </c>
      <c r="E160" s="8" t="s">
        <v>596</v>
      </c>
      <c r="F160" s="6" t="s">
        <v>597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598</v>
      </c>
      <c r="B161" s="6" t="s">
        <v>65</v>
      </c>
      <c r="C161" s="6" t="s">
        <v>12</v>
      </c>
      <c r="D161" s="7" t="s">
        <v>599</v>
      </c>
      <c r="E161" s="8" t="s">
        <v>600</v>
      </c>
      <c r="F161" s="6" t="s">
        <v>601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602</v>
      </c>
      <c r="B162" s="6" t="s">
        <v>10</v>
      </c>
      <c r="C162" s="6" t="s">
        <v>12</v>
      </c>
      <c r="D162" s="7" t="s">
        <v>603</v>
      </c>
      <c r="E162" s="8" t="s">
        <v>604</v>
      </c>
      <c r="F162" s="6" t="s">
        <v>605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606</v>
      </c>
      <c r="B163" s="6" t="s">
        <v>26</v>
      </c>
      <c r="C163" s="6" t="s">
        <v>12</v>
      </c>
      <c r="D163" s="7" t="s">
        <v>95</v>
      </c>
      <c r="E163" s="8" t="s">
        <v>607</v>
      </c>
      <c r="F163" s="6" t="s">
        <v>608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609</v>
      </c>
      <c r="B164" s="6" t="s">
        <v>26</v>
      </c>
      <c r="C164" s="6" t="s">
        <v>12</v>
      </c>
      <c r="D164" s="7" t="s">
        <v>610</v>
      </c>
      <c r="E164" s="8" t="s">
        <v>611</v>
      </c>
      <c r="F164" s="6" t="s">
        <v>612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613</v>
      </c>
      <c r="B165" s="6" t="s">
        <v>30</v>
      </c>
      <c r="C165" s="6" t="s">
        <v>12</v>
      </c>
      <c r="D165" s="7" t="s">
        <v>200</v>
      </c>
      <c r="E165" s="8" t="s">
        <v>614</v>
      </c>
      <c r="F165" s="6" t="s">
        <v>615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616</v>
      </c>
      <c r="B166" s="6" t="s">
        <v>65</v>
      </c>
      <c r="C166" s="6" t="s">
        <v>12</v>
      </c>
      <c r="D166" s="7" t="s">
        <v>456</v>
      </c>
      <c r="E166" s="8" t="s">
        <v>617</v>
      </c>
      <c r="F166" s="6" t="s">
        <v>618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619</v>
      </c>
      <c r="B167" s="6" t="s">
        <v>11</v>
      </c>
      <c r="C167" s="6" t="s">
        <v>12</v>
      </c>
      <c r="D167" s="7" t="s">
        <v>620</v>
      </c>
      <c r="E167" s="8" t="s">
        <v>621</v>
      </c>
      <c r="F167" s="6" t="s">
        <v>622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623</v>
      </c>
      <c r="B168" s="6" t="s">
        <v>11</v>
      </c>
      <c r="C168" s="6" t="s">
        <v>12</v>
      </c>
      <c r="D168" s="7" t="s">
        <v>624</v>
      </c>
      <c r="E168" s="8" t="s">
        <v>625</v>
      </c>
      <c r="F168" s="6" t="s">
        <v>626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627</v>
      </c>
      <c r="B169" s="6" t="s">
        <v>10</v>
      </c>
      <c r="C169" s="6" t="s">
        <v>12</v>
      </c>
      <c r="D169" s="7" t="s">
        <v>628</v>
      </c>
      <c r="E169" s="8" t="s">
        <v>629</v>
      </c>
      <c r="F169" s="6" t="s">
        <v>630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631</v>
      </c>
      <c r="B170" s="6" t="s">
        <v>57</v>
      </c>
      <c r="C170" s="6" t="s">
        <v>12</v>
      </c>
      <c r="D170" s="7" t="s">
        <v>402</v>
      </c>
      <c r="E170" s="8" t="s">
        <v>632</v>
      </c>
      <c r="F170" s="6" t="s">
        <v>633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634</v>
      </c>
      <c r="B171" s="6" t="s">
        <v>10</v>
      </c>
      <c r="C171" s="6" t="s">
        <v>12</v>
      </c>
      <c r="D171" s="7" t="s">
        <v>21</v>
      </c>
      <c r="E171" s="8" t="s">
        <v>635</v>
      </c>
      <c r="F171" s="6" t="s">
        <v>636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637</v>
      </c>
      <c r="B172" s="6" t="s">
        <v>10</v>
      </c>
      <c r="C172" s="6" t="s">
        <v>12</v>
      </c>
      <c r="D172" s="7" t="s">
        <v>638</v>
      </c>
      <c r="E172" s="8" t="s">
        <v>639</v>
      </c>
      <c r="F172" s="6" t="s">
        <v>640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641</v>
      </c>
      <c r="B173" s="6" t="s">
        <v>11</v>
      </c>
      <c r="C173" s="6" t="s">
        <v>12</v>
      </c>
      <c r="D173" s="7" t="s">
        <v>642</v>
      </c>
      <c r="E173" s="8" t="s">
        <v>643</v>
      </c>
      <c r="F173" s="6" t="s">
        <v>644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645</v>
      </c>
      <c r="B174" s="6" t="s">
        <v>20</v>
      </c>
      <c r="C174" s="6" t="s">
        <v>12</v>
      </c>
      <c r="D174" s="7" t="s">
        <v>164</v>
      </c>
      <c r="E174" s="8" t="s">
        <v>646</v>
      </c>
      <c r="F174" s="6" t="s">
        <v>647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648</v>
      </c>
      <c r="B175" s="6" t="s">
        <v>16</v>
      </c>
      <c r="C175" s="6" t="s">
        <v>12</v>
      </c>
      <c r="D175" s="7" t="s">
        <v>649</v>
      </c>
      <c r="E175" s="8" t="s">
        <v>650</v>
      </c>
      <c r="F175" s="6" t="s">
        <v>651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652</v>
      </c>
      <c r="B176" s="6" t="s">
        <v>20</v>
      </c>
      <c r="C176" s="6" t="s">
        <v>12</v>
      </c>
      <c r="D176" s="7" t="s">
        <v>653</v>
      </c>
      <c r="E176" s="8" t="s">
        <v>654</v>
      </c>
      <c r="F176" s="6" t="s">
        <v>655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656</v>
      </c>
      <c r="B177" s="6" t="s">
        <v>26</v>
      </c>
      <c r="C177" s="6" t="s">
        <v>657</v>
      </c>
      <c r="D177" s="7" t="s">
        <v>658</v>
      </c>
      <c r="E177" s="8" t="s">
        <v>659</v>
      </c>
      <c r="F177" s="6" t="s">
        <v>660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661</v>
      </c>
      <c r="B178" s="6" t="s">
        <v>10</v>
      </c>
      <c r="C178" s="6" t="s">
        <v>12</v>
      </c>
      <c r="D178" s="7" t="s">
        <v>50</v>
      </c>
      <c r="E178" s="8" t="s">
        <v>662</v>
      </c>
      <c r="F178" s="6" t="s">
        <v>663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664</v>
      </c>
      <c r="B179" s="6" t="s">
        <v>10</v>
      </c>
      <c r="C179" s="6" t="s">
        <v>12</v>
      </c>
      <c r="D179" s="7" t="s">
        <v>50</v>
      </c>
      <c r="E179" s="8" t="s">
        <v>665</v>
      </c>
      <c r="F179" s="6" t="s">
        <v>666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667</v>
      </c>
      <c r="B180" s="6" t="s">
        <v>26</v>
      </c>
      <c r="C180" s="6" t="s">
        <v>12</v>
      </c>
      <c r="D180" s="7" t="s">
        <v>402</v>
      </c>
      <c r="E180" s="8" t="s">
        <v>668</v>
      </c>
      <c r="F180" s="6" t="s">
        <v>669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670</v>
      </c>
      <c r="B181" s="6" t="s">
        <v>16</v>
      </c>
      <c r="C181" s="6" t="s">
        <v>12</v>
      </c>
      <c r="D181" s="7" t="s">
        <v>578</v>
      </c>
      <c r="E181" s="8" t="s">
        <v>671</v>
      </c>
      <c r="F181" s="6" t="s">
        <v>672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673</v>
      </c>
      <c r="B182" s="6" t="s">
        <v>10</v>
      </c>
      <c r="C182" s="6" t="s">
        <v>12</v>
      </c>
      <c r="D182" s="7" t="s">
        <v>674</v>
      </c>
      <c r="E182" s="8" t="s">
        <v>675</v>
      </c>
      <c r="F182" s="6" t="s">
        <v>676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677</v>
      </c>
      <c r="B1" s="13" t="s">
        <v>678</v>
      </c>
      <c r="C1" s="13" t="s">
        <v>679</v>
      </c>
      <c r="D1" s="13" t="s">
        <v>680</v>
      </c>
      <c r="E1" s="14" t="s">
        <v>681</v>
      </c>
      <c r="F1" s="15" t="s">
        <v>682</v>
      </c>
      <c r="G1" s="16" t="s">
        <v>683</v>
      </c>
      <c r="H1" s="17" t="s">
        <v>684</v>
      </c>
      <c r="I1" s="18" t="s">
        <v>685</v>
      </c>
      <c r="J1" s="18" t="s">
        <v>686</v>
      </c>
      <c r="K1" s="18" t="s">
        <v>687</v>
      </c>
      <c r="L1" s="19" t="s">
        <v>9</v>
      </c>
    </row>
    <row r="2" spans="1:12">
      <c r="A2" s="20" t="s">
        <v>688</v>
      </c>
    </row>
    <row r="3" spans="1:12">
      <c r="A3" s="20" t="s">
        <v>689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690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691</v>
      </c>
      <c r="B5" s="27" t="s">
        <v>692</v>
      </c>
      <c r="C5" s="27" t="s">
        <v>693</v>
      </c>
      <c r="D5" s="27" t="s">
        <v>694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695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696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697</v>
      </c>
      <c r="B8" s="27" t="s">
        <v>698</v>
      </c>
      <c r="C8" s="27" t="s">
        <v>699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700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701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702</v>
      </c>
      <c r="B11" s="27" t="s">
        <v>703</v>
      </c>
      <c r="C11" s="27" t="s">
        <v>699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704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705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706</v>
      </c>
    </row>
    <row r="16" spans="1:12">
      <c r="A16" s="20" t="s">
        <v>707</v>
      </c>
      <c r="B16" s="27" t="s">
        <v>692</v>
      </c>
      <c r="C16" s="27" t="s">
        <v>708</v>
      </c>
      <c r="D16" s="27" t="s">
        <v>694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709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690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710</v>
      </c>
      <c r="B19" s="27" t="s">
        <v>698</v>
      </c>
      <c r="C19" s="27" t="s">
        <v>711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712</v>
      </c>
      <c r="B20" s="27" t="s">
        <v>713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714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219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715</v>
      </c>
      <c r="B23" s="27" t="s">
        <v>716</v>
      </c>
      <c r="C23" s="27" t="s">
        <v>717</v>
      </c>
      <c r="D23" s="27" t="s">
        <v>694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696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718</v>
      </c>
      <c r="B25" s="27" t="s">
        <v>719</v>
      </c>
      <c r="C25" s="27" t="s">
        <v>699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720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697</v>
      </c>
      <c r="B28" s="27" t="s">
        <v>716</v>
      </c>
      <c r="C28" s="27" t="s">
        <v>717</v>
      </c>
      <c r="D28" s="27" t="s">
        <v>694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192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701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721</v>
      </c>
      <c r="B32" s="27" t="s">
        <v>719</v>
      </c>
      <c r="C32" s="27" t="s">
        <v>693</v>
      </c>
      <c r="D32" s="27" t="s">
        <v>694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722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723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701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724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725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726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727</v>
      </c>
      <c r="B39" s="27" t="s">
        <v>728</v>
      </c>
      <c r="C39" s="27" t="s">
        <v>729</v>
      </c>
      <c r="D39" s="27" t="s">
        <v>694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722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730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731</v>
      </c>
      <c r="B42" s="27" t="s">
        <v>732</v>
      </c>
      <c r="C42" s="27" t="s">
        <v>708</v>
      </c>
      <c r="D42" s="27" t="s">
        <v>694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733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734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696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735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696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155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722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730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736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737</v>
      </c>
      <c r="B52" s="27" t="s">
        <v>738</v>
      </c>
      <c r="C52" s="27" t="s">
        <v>711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739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704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/>
    </row>
    <row r="56" spans="1:12">
      <c r="A56" s="20" t="s">
        <v>740</v>
      </c>
    </row>
    <row r="57" spans="1:12">
      <c r="A57" s="20" t="s">
        <v>741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742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743</v>
      </c>
      <c r="B59" s="27" t="s">
        <v>698</v>
      </c>
      <c r="C59" s="27" t="s">
        <v>717</v>
      </c>
      <c r="D59" s="27" t="s">
        <v>694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744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745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690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697</v>
      </c>
      <c r="B63" s="27" t="s">
        <v>746</v>
      </c>
      <c r="C63" s="27" t="s">
        <v>717</v>
      </c>
      <c r="D63" s="27" t="s">
        <v>694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747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724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748</v>
      </c>
      <c r="B66" s="27" t="s">
        <v>749</v>
      </c>
      <c r="C66" s="27" t="s">
        <v>693</v>
      </c>
      <c r="D66" s="27" t="s">
        <v>694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704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750</v>
      </c>
    </row>
    <row r="70" spans="1:12">
      <c r="A70" s="20" t="s">
        <v>741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737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751</v>
      </c>
      <c r="B72" s="27" t="s">
        <v>698</v>
      </c>
      <c r="C72" s="27" t="s">
        <v>717</v>
      </c>
      <c r="D72" s="27" t="s">
        <v>694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752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753</v>
      </c>
      <c r="B75" s="27" t="s">
        <v>746</v>
      </c>
      <c r="C75" s="27" t="s">
        <v>717</v>
      </c>
      <c r="D75" s="27" t="s">
        <v>694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696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690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697</v>
      </c>
      <c r="B78" s="27" t="s">
        <v>749</v>
      </c>
      <c r="C78" s="27" t="s">
        <v>693</v>
      </c>
      <c r="D78" s="27" t="s">
        <v>694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704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754</v>
      </c>
    </row>
    <row r="82" spans="1:12">
      <c r="A82" s="20" t="s">
        <v>689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690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691</v>
      </c>
      <c r="B84" s="27" t="s">
        <v>692</v>
      </c>
      <c r="C84" s="27" t="s">
        <v>711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755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696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132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756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757</v>
      </c>
      <c r="B89" s="27" t="s">
        <v>758</v>
      </c>
      <c r="C89" s="27" t="s">
        <v>693</v>
      </c>
      <c r="D89" s="27" t="s">
        <v>694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739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759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704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/>
    </row>
    <row r="94" spans="1:12">
      <c r="A94" s="20" t="s">
        <v>760</v>
      </c>
    </row>
    <row r="95" spans="1:12">
      <c r="A95" s="20" t="s">
        <v>761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762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696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763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764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765</v>
      </c>
      <c r="B100" s="27" t="s">
        <v>746</v>
      </c>
      <c r="C100" s="27" t="s">
        <v>766</v>
      </c>
      <c r="D100" s="27" t="s">
        <v>694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696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767</v>
      </c>
      <c r="B102" s="27" t="s">
        <v>749</v>
      </c>
      <c r="C102" s="27" t="s">
        <v>699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722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768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769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770</v>
      </c>
      <c r="B106" s="27" t="s">
        <v>698</v>
      </c>
      <c r="C106" s="27" t="s">
        <v>771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772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712</v>
      </c>
      <c r="B108" s="27" t="s">
        <v>713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773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720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712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774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775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776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50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777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778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696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690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697</v>
      </c>
      <c r="B120" s="27" t="s">
        <v>728</v>
      </c>
      <c r="C120" s="27" t="s">
        <v>693</v>
      </c>
      <c r="D120" s="27" t="s">
        <v>694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704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779</v>
      </c>
    </row>
    <row r="124" spans="1:12">
      <c r="A124" s="20" t="s">
        <v>780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781</v>
      </c>
      <c r="B125" s="27" t="s">
        <v>746</v>
      </c>
      <c r="C125" s="27" t="s">
        <v>782</v>
      </c>
      <c r="D125" s="27" t="s">
        <v>694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783</v>
      </c>
      <c r="B126" s="27" t="s">
        <v>692</v>
      </c>
      <c r="C126" s="27" t="s">
        <v>693</v>
      </c>
      <c r="D126" s="27" t="s">
        <v>694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784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722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785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722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778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696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786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770</v>
      </c>
      <c r="B135" s="27" t="s">
        <v>703</v>
      </c>
      <c r="C135" s="27" t="s">
        <v>766</v>
      </c>
      <c r="D135" s="27" t="s">
        <v>694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772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704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/>
    </row>
    <row r="139" spans="1:12">
      <c r="A139" s="20" t="s">
        <v>787</v>
      </c>
    </row>
    <row r="140" spans="1:12">
      <c r="A140" s="20" t="s">
        <v>788</v>
      </c>
      <c r="B140" s="27" t="s">
        <v>692</v>
      </c>
      <c r="C140" s="27" t="s">
        <v>789</v>
      </c>
      <c r="D140" s="27" t="s">
        <v>694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790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791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690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792</v>
      </c>
      <c r="B144" s="27" t="s">
        <v>698</v>
      </c>
      <c r="C144" s="27" t="s">
        <v>699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712</v>
      </c>
      <c r="B145" s="27" t="s">
        <v>713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793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745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690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794</v>
      </c>
      <c r="B149" s="27" t="s">
        <v>719</v>
      </c>
      <c r="C149" s="27" t="s">
        <v>782</v>
      </c>
      <c r="D149" s="27" t="s">
        <v>694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795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697</v>
      </c>
      <c r="B151" s="27" t="s">
        <v>716</v>
      </c>
      <c r="C151" s="27" t="s">
        <v>693</v>
      </c>
      <c r="D151" s="27" t="s">
        <v>694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722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730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790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791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690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796</v>
      </c>
      <c r="B157" s="27" t="s">
        <v>758</v>
      </c>
      <c r="C157" s="27" t="s">
        <v>699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712</v>
      </c>
      <c r="B158" s="27" t="s">
        <v>797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793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745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690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697</v>
      </c>
      <c r="B162" s="27" t="s">
        <v>798</v>
      </c>
      <c r="C162" s="27" t="s">
        <v>693</v>
      </c>
      <c r="D162" s="27" t="s">
        <v>694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722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799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722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800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722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801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802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803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804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805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806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807</v>
      </c>
      <c r="B174" s="27" t="s">
        <v>719</v>
      </c>
      <c r="C174" s="27" t="s">
        <v>771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704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808</v>
      </c>
    </row>
    <row r="178" spans="1:12">
      <c r="A178" s="20" t="s">
        <v>780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809</v>
      </c>
      <c r="B179" s="27" t="s">
        <v>692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696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786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770</v>
      </c>
      <c r="B182" s="27" t="s">
        <v>746</v>
      </c>
      <c r="C182" s="27" t="s">
        <v>766</v>
      </c>
      <c r="D182" s="27" t="s">
        <v>694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810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690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811</v>
      </c>
      <c r="B185" s="27" t="s">
        <v>703</v>
      </c>
      <c r="C185" s="27" t="s">
        <v>693</v>
      </c>
      <c r="D185" s="27" t="s">
        <v>694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701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812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813</v>
      </c>
      <c r="B188" s="27" t="s">
        <v>758</v>
      </c>
      <c r="C188" s="27" t="s">
        <v>699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704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/>
    </row>
    <row r="191" spans="1:12">
      <c r="A191" s="20" t="s">
        <v>814</v>
      </c>
    </row>
    <row r="192" spans="1:12">
      <c r="A192" s="20" t="s">
        <v>815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722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690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816</v>
      </c>
      <c r="B195" s="27" t="s">
        <v>692</v>
      </c>
      <c r="C195" s="27" t="s">
        <v>717</v>
      </c>
      <c r="D195" s="27" t="s">
        <v>694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697</v>
      </c>
      <c r="B196" s="27" t="s">
        <v>746</v>
      </c>
      <c r="C196" s="27" t="s">
        <v>699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817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818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810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819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816</v>
      </c>
      <c r="B201" s="27" t="s">
        <v>703</v>
      </c>
      <c r="C201" s="27" t="s">
        <v>820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821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799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690</v>
      </c>
      <c r="B204" s="27" t="s">
        <v>822</v>
      </c>
      <c r="C204" s="27" t="s">
        <v>789</v>
      </c>
      <c r="D204" s="27" t="s">
        <v>694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823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690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824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825</v>
      </c>
      <c r="B208" s="27" t="s">
        <v>758</v>
      </c>
      <c r="C208" s="27" t="s">
        <v>699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826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704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/>
    </row>
    <row r="212" spans="1:12">
      <c r="A212" s="20" t="s">
        <v>827</v>
      </c>
    </row>
    <row r="213" spans="1:12">
      <c r="A213" s="20" t="s">
        <v>828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712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829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742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830</v>
      </c>
      <c r="B217" s="27" t="s">
        <v>822</v>
      </c>
      <c r="C217" s="27" t="s">
        <v>717</v>
      </c>
      <c r="D217" s="27" t="s">
        <v>694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701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831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752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219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832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690</v>
      </c>
      <c r="B223" s="27" t="s">
        <v>833</v>
      </c>
      <c r="C223" s="27" t="s">
        <v>708</v>
      </c>
      <c r="D223" s="27" t="s">
        <v>694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834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835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836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722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701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219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837</v>
      </c>
      <c r="B230" s="27" t="s">
        <v>838</v>
      </c>
      <c r="C230" s="27" t="s">
        <v>717</v>
      </c>
      <c r="D230" s="27" t="s">
        <v>694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696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756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839</v>
      </c>
      <c r="B233" s="27" t="s">
        <v>840</v>
      </c>
      <c r="C233" s="27" t="s">
        <v>693</v>
      </c>
      <c r="D233" s="27" t="s">
        <v>694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722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841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95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696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842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696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843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844</v>
      </c>
      <c r="B241" s="27" t="s">
        <v>845</v>
      </c>
      <c r="C241" s="27" t="s">
        <v>766</v>
      </c>
      <c r="D241" s="27" t="s">
        <v>694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730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846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696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847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690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848</v>
      </c>
      <c r="B247" s="27" t="s">
        <v>849</v>
      </c>
      <c r="C247" s="27" t="s">
        <v>717</v>
      </c>
      <c r="D247" s="27" t="s">
        <v>694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739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850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745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219</v>
      </c>
      <c r="B251" s="27" t="s">
        <v>851</v>
      </c>
      <c r="C251" s="27" t="s">
        <v>789</v>
      </c>
      <c r="D251" s="27" t="s">
        <v>694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712</v>
      </c>
      <c r="B252" s="27" t="s">
        <v>852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810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219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853</v>
      </c>
      <c r="B255" s="27" t="s">
        <v>854</v>
      </c>
      <c r="C255" s="27" t="s">
        <v>693</v>
      </c>
      <c r="D255" s="27" t="s">
        <v>694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704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/>
    </row>
    <row r="258" spans="1:12">
      <c r="A258" s="20" t="s">
        <v>855</v>
      </c>
    </row>
    <row r="259" spans="1:12">
      <c r="A259" s="20" t="s">
        <v>780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856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857</v>
      </c>
      <c r="B261" s="27" t="s">
        <v>692</v>
      </c>
      <c r="C261" s="27" t="s">
        <v>693</v>
      </c>
      <c r="D261" s="27" t="s">
        <v>694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810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690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858</v>
      </c>
      <c r="B264" s="27" t="s">
        <v>703</v>
      </c>
      <c r="C264" s="27" t="s">
        <v>717</v>
      </c>
      <c r="D264" s="27" t="s">
        <v>694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747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859</v>
      </c>
      <c r="B266" s="27" t="s">
        <v>703</v>
      </c>
      <c r="C266" s="27" t="s">
        <v>699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730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860</v>
      </c>
      <c r="B268" s="27" t="s">
        <v>746</v>
      </c>
      <c r="C268" s="27" t="s">
        <v>699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861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862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722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810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690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863</v>
      </c>
      <c r="B274" s="27" t="s">
        <v>703</v>
      </c>
      <c r="C274" s="27" t="s">
        <v>693</v>
      </c>
      <c r="D274" s="27" t="s">
        <v>694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747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864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759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701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690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865</v>
      </c>
      <c r="B280" s="27" t="s">
        <v>719</v>
      </c>
      <c r="C280" s="27" t="s">
        <v>782</v>
      </c>
      <c r="D280" s="27" t="s">
        <v>694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866</v>
      </c>
      <c r="B281" s="27" t="s">
        <v>749</v>
      </c>
      <c r="C281" s="27" t="s">
        <v>693</v>
      </c>
      <c r="D281" s="27" t="s">
        <v>694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730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864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759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745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690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865</v>
      </c>
      <c r="B287" s="27" t="s">
        <v>867</v>
      </c>
      <c r="C287" s="27" t="s">
        <v>782</v>
      </c>
      <c r="D287" s="27" t="s">
        <v>694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866</v>
      </c>
      <c r="B288" s="27" t="s">
        <v>719</v>
      </c>
      <c r="C288" s="27" t="s">
        <v>693</v>
      </c>
      <c r="D288" s="27" t="s">
        <v>694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722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868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164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869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720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690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865</v>
      </c>
      <c r="B295" s="27" t="s">
        <v>728</v>
      </c>
      <c r="C295" s="27" t="s">
        <v>782</v>
      </c>
      <c r="D295" s="27" t="s">
        <v>694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866</v>
      </c>
      <c r="B296" s="27" t="s">
        <v>867</v>
      </c>
      <c r="C296" s="27" t="s">
        <v>693</v>
      </c>
      <c r="D296" s="27" t="s">
        <v>694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704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870</v>
      </c>
    </row>
    <row r="300" spans="1:12">
      <c r="A300" s="20" t="s">
        <v>871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872</v>
      </c>
      <c r="B301" s="27" t="s">
        <v>692</v>
      </c>
      <c r="C301" s="27" t="s">
        <v>789</v>
      </c>
      <c r="D301" s="27" t="s">
        <v>694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873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874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875</v>
      </c>
      <c r="B304" s="27" t="s">
        <v>703</v>
      </c>
      <c r="C304" s="27" t="s">
        <v>876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877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826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712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878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879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701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690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464</v>
      </c>
      <c r="B312" s="27" t="s">
        <v>746</v>
      </c>
      <c r="C312" s="27" t="s">
        <v>717</v>
      </c>
      <c r="D312" s="27" t="s">
        <v>694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696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697</v>
      </c>
      <c r="B314" s="27" t="s">
        <v>749</v>
      </c>
      <c r="C314" s="27" t="s">
        <v>699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704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/>
    </row>
    <row r="317" spans="1:12">
      <c r="A317" s="20" t="s">
        <v>880</v>
      </c>
    </row>
    <row r="318" spans="1:12">
      <c r="A318" s="20" t="s">
        <v>871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690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881</v>
      </c>
      <c r="B320" s="27" t="s">
        <v>692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810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690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882</v>
      </c>
      <c r="B323" s="27" t="s">
        <v>703</v>
      </c>
      <c r="C323" s="27" t="s">
        <v>717</v>
      </c>
      <c r="D323" s="27" t="s">
        <v>694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696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219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883</v>
      </c>
      <c r="B326" s="27" t="s">
        <v>703</v>
      </c>
      <c r="C326" s="27" t="s">
        <v>693</v>
      </c>
      <c r="D326" s="27" t="s">
        <v>694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704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/>
    </row>
    <row r="329" spans="1:12">
      <c r="A329" s="20" t="s">
        <v>884</v>
      </c>
    </row>
    <row r="330" spans="1:12">
      <c r="A330" s="20" t="s">
        <v>885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722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818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886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50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701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887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888</v>
      </c>
      <c r="B337" s="27" t="s">
        <v>758</v>
      </c>
      <c r="C337" s="27" t="s">
        <v>876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712</v>
      </c>
      <c r="B338" s="27" t="s">
        <v>797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889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219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853</v>
      </c>
      <c r="B341" s="27" t="s">
        <v>798</v>
      </c>
      <c r="C341" s="27" t="s">
        <v>693</v>
      </c>
      <c r="D341" s="27" t="s">
        <v>694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890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891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690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794</v>
      </c>
      <c r="B345" s="27" t="s">
        <v>728</v>
      </c>
      <c r="C345" s="27" t="s">
        <v>782</v>
      </c>
      <c r="D345" s="27" t="s">
        <v>694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892</v>
      </c>
      <c r="B346" s="27" t="s">
        <v>738</v>
      </c>
      <c r="C346" s="27" t="s">
        <v>693</v>
      </c>
      <c r="D346" s="27" t="s">
        <v>694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704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893</v>
      </c>
    </row>
    <row r="350" spans="1:12">
      <c r="A350" s="20" t="s">
        <v>894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91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722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895</v>
      </c>
      <c r="B353" s="27" t="s">
        <v>713</v>
      </c>
      <c r="C353" s="27" t="s">
        <v>789</v>
      </c>
      <c r="D353" s="27" t="s">
        <v>694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810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819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896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857</v>
      </c>
      <c r="B357" s="27" t="s">
        <v>746</v>
      </c>
      <c r="C357" s="27" t="s">
        <v>820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897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704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898</v>
      </c>
    </row>
    <row r="362" spans="1:12">
      <c r="A362" s="20" t="s">
        <v>899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768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887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900</v>
      </c>
      <c r="B365" s="27" t="s">
        <v>698</v>
      </c>
      <c r="C365" s="27" t="s">
        <v>717</v>
      </c>
      <c r="D365" s="27" t="s">
        <v>694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696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219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132</v>
      </c>
      <c r="B368" s="27" t="s">
        <v>746</v>
      </c>
      <c r="C368" s="27" t="s">
        <v>717</v>
      </c>
      <c r="D368" s="27" t="s">
        <v>694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696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900</v>
      </c>
      <c r="B370" s="27" t="s">
        <v>749</v>
      </c>
      <c r="C370" s="27" t="s">
        <v>699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901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704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/>
    </row>
    <row r="374" spans="1:12">
      <c r="A374" s="20" t="s">
        <v>902</v>
      </c>
    </row>
    <row r="375" spans="1:12">
      <c r="A375" s="20" t="s">
        <v>903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904</v>
      </c>
      <c r="B376" s="27" t="s">
        <v>703</v>
      </c>
      <c r="C376" s="27" t="s">
        <v>789</v>
      </c>
      <c r="D376" s="27" t="s">
        <v>694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722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755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696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483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720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742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905</v>
      </c>
      <c r="B383" s="27" t="s">
        <v>698</v>
      </c>
      <c r="C383" s="27" t="s">
        <v>717</v>
      </c>
      <c r="D383" s="27" t="s">
        <v>694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696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710</v>
      </c>
      <c r="B385" s="27" t="s">
        <v>746</v>
      </c>
      <c r="C385" s="27" t="s">
        <v>711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712</v>
      </c>
      <c r="B386" s="27" t="s">
        <v>797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906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701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819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907</v>
      </c>
      <c r="B390" s="27" t="s">
        <v>749</v>
      </c>
      <c r="C390" s="27" t="s">
        <v>717</v>
      </c>
      <c r="D390" s="27" t="s">
        <v>694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696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908</v>
      </c>
      <c r="B392" s="27" t="s">
        <v>719</v>
      </c>
      <c r="C392" s="27" t="s">
        <v>699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730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909</v>
      </c>
      <c r="B394" s="27" t="s">
        <v>867</v>
      </c>
      <c r="C394" s="27" t="s">
        <v>699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734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696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819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696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756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910</v>
      </c>
      <c r="B400" s="27" t="s">
        <v>867</v>
      </c>
      <c r="C400" s="27" t="s">
        <v>782</v>
      </c>
      <c r="D400" s="27" t="s">
        <v>694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911</v>
      </c>
      <c r="B401" s="27" t="s">
        <v>719</v>
      </c>
      <c r="C401" s="27" t="s">
        <v>729</v>
      </c>
      <c r="D401" s="27" t="s">
        <v>694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722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730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912</v>
      </c>
      <c r="B404" s="27" t="s">
        <v>833</v>
      </c>
      <c r="C404" s="27" t="s">
        <v>708</v>
      </c>
      <c r="D404" s="27" t="s">
        <v>694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913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819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247</v>
      </c>
      <c r="B407" s="27" t="s">
        <v>728</v>
      </c>
      <c r="C407" s="27" t="s">
        <v>820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704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914</v>
      </c>
    </row>
    <row r="411" spans="1:12">
      <c r="A411" s="20" t="s">
        <v>780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247</v>
      </c>
      <c r="B412" s="27" t="s">
        <v>692</v>
      </c>
      <c r="C412" s="27" t="s">
        <v>693</v>
      </c>
      <c r="D412" s="27" t="s">
        <v>694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915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764</v>
      </c>
      <c r="B414" s="27" t="s">
        <v>703</v>
      </c>
      <c r="C414" s="27" t="s">
        <v>789</v>
      </c>
      <c r="D414" s="27" t="s">
        <v>694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704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/>
    </row>
    <row r="417" spans="1:12">
      <c r="A417" s="20" t="s">
        <v>916</v>
      </c>
    </row>
    <row r="418" spans="1:12">
      <c r="A418" s="20" t="s">
        <v>917</v>
      </c>
      <c r="B418" s="27" t="s">
        <v>822</v>
      </c>
      <c r="C418" s="27" t="s">
        <v>708</v>
      </c>
      <c r="D418" s="27" t="s">
        <v>694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918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712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919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920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690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921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819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922</v>
      </c>
      <c r="B426" s="27" t="s">
        <v>798</v>
      </c>
      <c r="C426" s="27" t="s">
        <v>820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730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690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923</v>
      </c>
      <c r="B429" s="27" t="s">
        <v>867</v>
      </c>
      <c r="C429" s="27" t="s">
        <v>693</v>
      </c>
      <c r="D429" s="27" t="s">
        <v>694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915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924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925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704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/>
    </row>
    <row r="435" spans="1:12">
      <c r="A435" s="20" t="s">
        <v>926</v>
      </c>
    </row>
    <row r="436" spans="1:12">
      <c r="A436" s="20" t="s">
        <v>927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701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219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837</v>
      </c>
      <c r="B439" s="27" t="s">
        <v>746</v>
      </c>
      <c r="C439" s="27" t="s">
        <v>717</v>
      </c>
      <c r="D439" s="27" t="s">
        <v>694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696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690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928</v>
      </c>
      <c r="B442" s="27" t="s">
        <v>749</v>
      </c>
      <c r="C442" s="27" t="s">
        <v>693</v>
      </c>
      <c r="D442" s="27" t="s">
        <v>694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722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736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742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929</v>
      </c>
      <c r="B446" s="27" t="s">
        <v>698</v>
      </c>
      <c r="C446" s="27" t="s">
        <v>820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930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704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/>
    </row>
    <row r="450" spans="1:12">
      <c r="A450" s="20" t="s">
        <v>931</v>
      </c>
    </row>
    <row r="451" spans="1:12">
      <c r="A451" s="20" t="s">
        <v>871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932</v>
      </c>
      <c r="B452" s="27" t="s">
        <v>692</v>
      </c>
      <c r="C452" s="27" t="s">
        <v>708</v>
      </c>
      <c r="D452" s="27" t="s">
        <v>694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918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912</v>
      </c>
      <c r="B454" s="27" t="s">
        <v>698</v>
      </c>
      <c r="C454" s="27" t="s">
        <v>708</v>
      </c>
      <c r="D454" s="27" t="s">
        <v>694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722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696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900</v>
      </c>
      <c r="B457" s="27" t="s">
        <v>703</v>
      </c>
      <c r="C457" s="27" t="s">
        <v>699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933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934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722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712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904</v>
      </c>
      <c r="B462" s="27" t="s">
        <v>713</v>
      </c>
      <c r="C462" s="27" t="s">
        <v>789</v>
      </c>
      <c r="D462" s="27" t="s">
        <v>694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935</v>
      </c>
      <c r="B463" s="27" t="s">
        <v>716</v>
      </c>
      <c r="C463" s="27" t="s">
        <v>708</v>
      </c>
      <c r="D463" s="27" t="s">
        <v>694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919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936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763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690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859</v>
      </c>
      <c r="B468" s="27" t="s">
        <v>716</v>
      </c>
      <c r="C468" s="27" t="s">
        <v>876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704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/>
    </row>
    <row r="471" spans="1:12">
      <c r="A471" s="20" t="s">
        <v>937</v>
      </c>
    </row>
    <row r="472" spans="1:12">
      <c r="A472" s="20" t="s">
        <v>761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818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919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704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/>
    </row>
    <row r="477" spans="1:12">
      <c r="A477" s="20" t="s">
        <v>938</v>
      </c>
    </row>
    <row r="478" spans="1:12">
      <c r="A478" s="20" t="s">
        <v>12</v>
      </c>
      <c r="B478" s="27" t="s">
        <v>692</v>
      </c>
      <c r="C478" s="27" t="s">
        <v>789</v>
      </c>
      <c r="D478" s="27" t="s">
        <v>694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712</v>
      </c>
      <c r="B479" s="27" t="s">
        <v>716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919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936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939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756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940</v>
      </c>
      <c r="B484" s="27" t="s">
        <v>703</v>
      </c>
      <c r="C484" s="27" t="s">
        <v>717</v>
      </c>
      <c r="D484" s="27" t="s">
        <v>694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696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690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859</v>
      </c>
      <c r="B487" s="27" t="s">
        <v>703</v>
      </c>
      <c r="C487" s="27" t="s">
        <v>693</v>
      </c>
      <c r="D487" s="27" t="s">
        <v>694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704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/>
    </row>
    <row r="490" spans="1:12">
      <c r="A490" s="20" t="s">
        <v>941</v>
      </c>
    </row>
    <row r="491" spans="1:12">
      <c r="A491" s="20" t="s">
        <v>917</v>
      </c>
      <c r="B491" s="27" t="s">
        <v>692</v>
      </c>
      <c r="C491" s="27" t="s">
        <v>708</v>
      </c>
      <c r="D491" s="27" t="s">
        <v>694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919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942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690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859</v>
      </c>
      <c r="B495" s="27" t="s">
        <v>698</v>
      </c>
      <c r="C495" s="27" t="s">
        <v>693</v>
      </c>
      <c r="D495" s="27" t="s">
        <v>694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704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/>
    </row>
    <row r="498" spans="1:12">
      <c r="A498" s="20" t="s">
        <v>943</v>
      </c>
    </row>
    <row r="499" spans="1:12">
      <c r="A499" s="20" t="s">
        <v>917</v>
      </c>
      <c r="B499" s="27" t="s">
        <v>692</v>
      </c>
      <c r="C499" s="27" t="s">
        <v>708</v>
      </c>
      <c r="D499" s="27" t="s">
        <v>694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919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942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83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944</v>
      </c>
      <c r="B503" s="27" t="s">
        <v>698</v>
      </c>
      <c r="C503" s="27" t="s">
        <v>717</v>
      </c>
      <c r="D503" s="27" t="s">
        <v>694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696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923</v>
      </c>
      <c r="B505" s="27" t="s">
        <v>746</v>
      </c>
      <c r="C505" s="27" t="s">
        <v>699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925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704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/>
    </row>
    <row r="509" spans="1:12">
      <c r="A509" s="20" t="s">
        <v>945</v>
      </c>
    </row>
    <row r="510" spans="1:12">
      <c r="A510" s="20" t="s">
        <v>761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818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946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696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947</v>
      </c>
      <c r="B514" s="27" t="s">
        <v>698</v>
      </c>
      <c r="C514" s="27" t="s">
        <v>711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799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932</v>
      </c>
      <c r="B516" s="27" t="s">
        <v>822</v>
      </c>
      <c r="C516" s="27" t="s">
        <v>708</v>
      </c>
      <c r="D516" s="27" t="s">
        <v>694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919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948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720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949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950</v>
      </c>
      <c r="B521" s="27" t="s">
        <v>758</v>
      </c>
      <c r="C521" s="27" t="s">
        <v>766</v>
      </c>
      <c r="D521" s="27" t="s">
        <v>694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704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/>
    </row>
    <row r="524" spans="1:12">
      <c r="A524" s="20" t="s">
        <v>951</v>
      </c>
    </row>
    <row r="525" spans="1:12">
      <c r="A525" s="20" t="s">
        <v>780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950</v>
      </c>
      <c r="B526" s="27" t="s">
        <v>692</v>
      </c>
      <c r="C526" s="27" t="s">
        <v>693</v>
      </c>
      <c r="D526" s="27" t="s">
        <v>694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952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953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730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690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950</v>
      </c>
      <c r="B531" s="27" t="s">
        <v>703</v>
      </c>
      <c r="C531" s="27" t="s">
        <v>693</v>
      </c>
      <c r="D531" s="27" t="s">
        <v>694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915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954</v>
      </c>
      <c r="B533" s="27" t="s">
        <v>798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219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712</v>
      </c>
      <c r="B535" s="27" t="s">
        <v>867</v>
      </c>
      <c r="C535" s="27" t="s">
        <v>789</v>
      </c>
      <c r="D535" s="27" t="s">
        <v>694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932</v>
      </c>
      <c r="B536" s="27" t="s">
        <v>797</v>
      </c>
      <c r="C536" s="27" t="s">
        <v>708</v>
      </c>
      <c r="D536" s="27" t="s">
        <v>694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955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956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704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957</v>
      </c>
    </row>
    <row r="542" spans="1:12">
      <c r="A542" s="20" t="s">
        <v>12</v>
      </c>
      <c r="B542" s="27" t="s">
        <v>692</v>
      </c>
      <c r="C542" s="27" t="s">
        <v>789</v>
      </c>
      <c r="D542" s="27" t="s">
        <v>694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712</v>
      </c>
      <c r="B543" s="27" t="s">
        <v>716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895</v>
      </c>
      <c r="B544" s="27" t="s">
        <v>713</v>
      </c>
      <c r="C544" s="27" t="s">
        <v>789</v>
      </c>
      <c r="D544" s="27" t="s">
        <v>694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701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724</v>
      </c>
      <c r="B546" s="27" t="s">
        <v>749</v>
      </c>
      <c r="C546" s="27" t="s">
        <v>789</v>
      </c>
      <c r="D546" s="27" t="s">
        <v>694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958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722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701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690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959</v>
      </c>
      <c r="B551" s="27" t="s">
        <v>749</v>
      </c>
      <c r="C551" s="27" t="s">
        <v>693</v>
      </c>
      <c r="D551" s="27" t="s">
        <v>694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722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810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712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960</v>
      </c>
      <c r="B555" s="27" t="s">
        <v>822</v>
      </c>
      <c r="C555" s="27" t="s">
        <v>708</v>
      </c>
      <c r="D555" s="27" t="s">
        <v>694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834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50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778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696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960</v>
      </c>
      <c r="B560" s="27" t="s">
        <v>749</v>
      </c>
      <c r="C560" s="27" t="s">
        <v>708</v>
      </c>
      <c r="D560" s="27" t="s">
        <v>694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730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696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756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961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757</v>
      </c>
      <c r="B565" s="27" t="s">
        <v>719</v>
      </c>
      <c r="C565" s="27" t="s">
        <v>693</v>
      </c>
      <c r="D565" s="27" t="s">
        <v>694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962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963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964</v>
      </c>
      <c r="B568" s="27" t="s">
        <v>719</v>
      </c>
      <c r="C568" s="27" t="s">
        <v>876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704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965</v>
      </c>
    </row>
    <row r="572" spans="1:12">
      <c r="A572" s="20" t="s">
        <v>741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742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240</v>
      </c>
      <c r="B574" s="27" t="s">
        <v>698</v>
      </c>
      <c r="C574" s="27" t="s">
        <v>820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712</v>
      </c>
      <c r="B575" s="27" t="s">
        <v>713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966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690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859</v>
      </c>
      <c r="B578" s="27" t="s">
        <v>716</v>
      </c>
      <c r="C578" s="27" t="s">
        <v>693</v>
      </c>
      <c r="D578" s="27" t="s">
        <v>694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722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712</v>
      </c>
      <c r="B580" s="27" t="s">
        <v>732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966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701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219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967</v>
      </c>
      <c r="B584" s="27" t="s">
        <v>867</v>
      </c>
      <c r="C584" s="27" t="s">
        <v>693</v>
      </c>
      <c r="D584" s="27" t="s">
        <v>694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730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968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219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967</v>
      </c>
      <c r="B588" s="27" t="s">
        <v>758</v>
      </c>
      <c r="C588" s="27" t="s">
        <v>693</v>
      </c>
      <c r="D588" s="27" t="s">
        <v>694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722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810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969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696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970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219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971</v>
      </c>
      <c r="B595" s="27" t="s">
        <v>716</v>
      </c>
      <c r="C595" s="27" t="s">
        <v>693</v>
      </c>
      <c r="D595" s="27" t="s">
        <v>694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722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836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862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722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972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973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219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967</v>
      </c>
      <c r="B603" s="27" t="s">
        <v>758</v>
      </c>
      <c r="C603" s="27" t="s">
        <v>693</v>
      </c>
      <c r="D603" s="27" t="s">
        <v>694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704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705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974</v>
      </c>
    </row>
    <row r="608" spans="1:12">
      <c r="A608" s="20" t="s">
        <v>975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219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240</v>
      </c>
      <c r="B610" s="27" t="s">
        <v>703</v>
      </c>
      <c r="C610" s="27" t="s">
        <v>708</v>
      </c>
      <c r="D610" s="27" t="s">
        <v>694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712</v>
      </c>
      <c r="B611" s="27" t="s">
        <v>822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236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712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219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976</v>
      </c>
      <c r="B615" s="27" t="s">
        <v>713</v>
      </c>
      <c r="C615" s="27" t="s">
        <v>693</v>
      </c>
      <c r="D615" s="27" t="s">
        <v>694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977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722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978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219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976</v>
      </c>
      <c r="B620" s="27" t="s">
        <v>713</v>
      </c>
      <c r="C620" s="27" t="s">
        <v>693</v>
      </c>
      <c r="D620" s="27" t="s">
        <v>694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979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861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192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980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978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240</v>
      </c>
      <c r="B626" s="27" t="s">
        <v>749</v>
      </c>
      <c r="C626" s="27" t="s">
        <v>708</v>
      </c>
      <c r="D626" s="27" t="s">
        <v>694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981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982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983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192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871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734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829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219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240</v>
      </c>
      <c r="B635" s="27" t="s">
        <v>822</v>
      </c>
      <c r="C635" s="27" t="s">
        <v>693</v>
      </c>
      <c r="D635" s="27" t="s">
        <v>694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712</v>
      </c>
      <c r="B636" s="27" t="s">
        <v>797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984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704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/>
    </row>
    <row r="640" spans="1:12">
      <c r="A640" s="20" t="s">
        <v>705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985</v>
      </c>
    </row>
    <row r="642" spans="1:12">
      <c r="A642" s="20" t="s">
        <v>12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240</v>
      </c>
      <c r="B643" s="27" t="s">
        <v>692</v>
      </c>
      <c r="C643" s="27" t="s">
        <v>708</v>
      </c>
      <c r="D643" s="27" t="s">
        <v>694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712</v>
      </c>
      <c r="B644" s="27" t="s">
        <v>713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984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810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219</v>
      </c>
      <c r="B647" s="27" t="s">
        <v>703</v>
      </c>
      <c r="C647" s="27" t="s">
        <v>789</v>
      </c>
      <c r="D647" s="27" t="s">
        <v>694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712</v>
      </c>
      <c r="B648" s="27" t="s">
        <v>822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986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724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987</v>
      </c>
      <c r="B651" s="27" t="s">
        <v>758</v>
      </c>
      <c r="C651" s="27" t="s">
        <v>693</v>
      </c>
      <c r="D651" s="27" t="s">
        <v>694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730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988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690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247</v>
      </c>
      <c r="B655" s="27" t="s">
        <v>716</v>
      </c>
      <c r="C655" s="27" t="s">
        <v>717</v>
      </c>
      <c r="D655" s="27" t="s">
        <v>694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696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690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865</v>
      </c>
      <c r="B658" s="27" t="s">
        <v>867</v>
      </c>
      <c r="C658" s="27" t="s">
        <v>782</v>
      </c>
      <c r="D658" s="27" t="s">
        <v>694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866</v>
      </c>
      <c r="B659" s="27" t="s">
        <v>719</v>
      </c>
      <c r="C659" s="27" t="s">
        <v>693</v>
      </c>
      <c r="D659" s="27" t="s">
        <v>694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722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730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810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989</v>
      </c>
      <c r="B663" s="27" t="s">
        <v>703</v>
      </c>
      <c r="C663" s="27" t="s">
        <v>789</v>
      </c>
      <c r="D663" s="27" t="s">
        <v>694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712</v>
      </c>
      <c r="B664" s="27" t="s">
        <v>716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219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976</v>
      </c>
      <c r="B666" s="27" t="s">
        <v>713</v>
      </c>
      <c r="C666" s="27" t="s">
        <v>693</v>
      </c>
      <c r="D666" s="27" t="s">
        <v>694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977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978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979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861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192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990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791</v>
      </c>
      <c r="B673" s="27" t="s">
        <v>797</v>
      </c>
      <c r="C673" s="27" t="s">
        <v>708</v>
      </c>
      <c r="D673" s="27" t="s">
        <v>694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972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991</v>
      </c>
      <c r="B675" s="27" t="s">
        <v>798</v>
      </c>
      <c r="C675" s="27" t="s">
        <v>699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992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192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868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192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990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993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690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794</v>
      </c>
      <c r="B683" s="27" t="s">
        <v>728</v>
      </c>
      <c r="C683" s="27" t="s">
        <v>782</v>
      </c>
      <c r="D683" s="27" t="s">
        <v>694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994</v>
      </c>
      <c r="B684" s="27" t="s">
        <v>867</v>
      </c>
      <c r="C684" s="27" t="s">
        <v>717</v>
      </c>
      <c r="D684" s="27" t="s">
        <v>694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690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690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995</v>
      </c>
      <c r="B687" s="27" t="s">
        <v>728</v>
      </c>
      <c r="C687" s="27" t="s">
        <v>996</v>
      </c>
      <c r="D687" s="27" t="s">
        <v>694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983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192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722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868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997</v>
      </c>
      <c r="B692" s="27" t="s">
        <v>728</v>
      </c>
      <c r="C692" s="27" t="s">
        <v>711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696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998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999</v>
      </c>
      <c r="B695" s="27" t="s">
        <v>1000</v>
      </c>
      <c r="C695" s="27" t="s">
        <v>766</v>
      </c>
      <c r="D695" s="27" t="s">
        <v>694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704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/>
    </row>
    <row r="698" spans="1:12">
      <c r="A698" s="20" t="s">
        <v>1001</v>
      </c>
    </row>
    <row r="699" spans="1:12">
      <c r="A699" s="20" t="s">
        <v>1002</v>
      </c>
      <c r="B699" s="27" t="s">
        <v>822</v>
      </c>
      <c r="C699" s="27" t="s">
        <v>789</v>
      </c>
      <c r="D699" s="27" t="s">
        <v>694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873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963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1003</v>
      </c>
      <c r="B702" s="27" t="s">
        <v>703</v>
      </c>
      <c r="C702" s="27" t="s">
        <v>876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877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826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722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219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240</v>
      </c>
      <c r="B707" s="27" t="s">
        <v>692</v>
      </c>
      <c r="C707" s="27" t="s">
        <v>708</v>
      </c>
      <c r="D707" s="27" t="s">
        <v>694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712</v>
      </c>
      <c r="B708" s="27" t="s">
        <v>713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966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690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859</v>
      </c>
      <c r="B711" s="27" t="s">
        <v>716</v>
      </c>
      <c r="C711" s="27" t="s">
        <v>693</v>
      </c>
      <c r="D711" s="27" t="s">
        <v>694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730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219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240</v>
      </c>
      <c r="B714" s="27" t="s">
        <v>719</v>
      </c>
      <c r="C714" s="27" t="s">
        <v>708</v>
      </c>
      <c r="D714" s="27" t="s">
        <v>694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712</v>
      </c>
      <c r="B715" s="27" t="s">
        <v>1004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984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722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730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1005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791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1006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701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219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1007</v>
      </c>
      <c r="B724" s="27" t="s">
        <v>719</v>
      </c>
      <c r="C724" s="27" t="s">
        <v>729</v>
      </c>
      <c r="D724" s="27" t="s">
        <v>694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696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724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874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1008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1009</v>
      </c>
      <c r="B729" s="27" t="s">
        <v>698</v>
      </c>
      <c r="C729" s="27" t="s">
        <v>717</v>
      </c>
      <c r="D729" s="27" t="s">
        <v>694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696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690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858</v>
      </c>
      <c r="B732" s="27" t="s">
        <v>746</v>
      </c>
      <c r="C732" s="27" t="s">
        <v>693</v>
      </c>
      <c r="D732" s="27" t="s">
        <v>694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1010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690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690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464</v>
      </c>
      <c r="B736" s="27" t="s">
        <v>719</v>
      </c>
      <c r="C736" s="27" t="s">
        <v>717</v>
      </c>
      <c r="D736" s="27" t="s">
        <v>694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696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697</v>
      </c>
      <c r="B738" s="27" t="s">
        <v>867</v>
      </c>
      <c r="C738" s="27" t="s">
        <v>699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704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/>
    </row>
    <row r="741" spans="1:12">
      <c r="A741" s="20" t="s">
        <v>1011</v>
      </c>
    </row>
    <row r="742" spans="1:12">
      <c r="A742" s="20" t="s">
        <v>12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240</v>
      </c>
      <c r="B743" s="27" t="s">
        <v>692</v>
      </c>
      <c r="C743" s="27" t="s">
        <v>708</v>
      </c>
      <c r="D743" s="27" t="s">
        <v>694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712</v>
      </c>
      <c r="B744" s="27" t="s">
        <v>713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984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810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742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1012</v>
      </c>
      <c r="B748" s="27" t="s">
        <v>703</v>
      </c>
      <c r="C748" s="27" t="s">
        <v>717</v>
      </c>
      <c r="D748" s="27" t="s">
        <v>694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696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1013</v>
      </c>
      <c r="B750" s="27" t="s">
        <v>703</v>
      </c>
      <c r="C750" s="27" t="s">
        <v>699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704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/>
    </row>
    <row r="753" spans="1:12">
      <c r="A753" s="20" t="s">
        <v>1014</v>
      </c>
    </row>
    <row r="754" spans="1:12">
      <c r="A754" s="20" t="s">
        <v>1015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690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959</v>
      </c>
      <c r="B756" s="27" t="s">
        <v>703</v>
      </c>
      <c r="C756" s="27" t="s">
        <v>693</v>
      </c>
      <c r="D756" s="27" t="s">
        <v>694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722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1016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720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819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1017</v>
      </c>
      <c r="B761" s="27" t="s">
        <v>703</v>
      </c>
      <c r="C761" s="27" t="s">
        <v>717</v>
      </c>
      <c r="D761" s="27" t="s">
        <v>694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1018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696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756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1019</v>
      </c>
      <c r="B765" s="27" t="s">
        <v>749</v>
      </c>
      <c r="C765" s="27" t="s">
        <v>782</v>
      </c>
      <c r="D765" s="27" t="s">
        <v>694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1020</v>
      </c>
      <c r="B766" s="27" t="s">
        <v>746</v>
      </c>
      <c r="C766" s="27" t="s">
        <v>693</v>
      </c>
      <c r="D766" s="27" t="s">
        <v>694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722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1016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1021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722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899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1022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1013</v>
      </c>
      <c r="B773" s="27" t="s">
        <v>716</v>
      </c>
      <c r="C773" s="27" t="s">
        <v>699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973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978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701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724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1023</v>
      </c>
      <c r="B778" s="27" t="s">
        <v>867</v>
      </c>
      <c r="C778" s="27" t="s">
        <v>693</v>
      </c>
      <c r="D778" s="27" t="s">
        <v>694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690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140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1013</v>
      </c>
      <c r="B781" s="27" t="s">
        <v>738</v>
      </c>
      <c r="C781" s="27" t="s">
        <v>699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704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/>
    </row>
    <row r="784" spans="1:12">
      <c r="A784" s="20" t="s">
        <v>1024</v>
      </c>
    </row>
    <row r="785" spans="1:12">
      <c r="A785" s="20" t="s">
        <v>780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865</v>
      </c>
      <c r="B786" s="27" t="s">
        <v>746</v>
      </c>
      <c r="C786" s="27" t="s">
        <v>782</v>
      </c>
      <c r="D786" s="27" t="s">
        <v>694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860</v>
      </c>
      <c r="B787" s="27" t="s">
        <v>692</v>
      </c>
      <c r="C787" s="27" t="s">
        <v>693</v>
      </c>
      <c r="D787" s="27" t="s">
        <v>694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1025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1026</v>
      </c>
      <c r="B789" s="27" t="s">
        <v>698</v>
      </c>
      <c r="C789" s="27" t="s">
        <v>708</v>
      </c>
      <c r="D789" s="27" t="s">
        <v>694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1013</v>
      </c>
      <c r="B790" s="27" t="s">
        <v>698</v>
      </c>
      <c r="C790" s="27" t="s">
        <v>699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722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895</v>
      </c>
      <c r="B792" s="27" t="s">
        <v>703</v>
      </c>
      <c r="C792" s="27" t="s">
        <v>789</v>
      </c>
      <c r="D792" s="27" t="s">
        <v>694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810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722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219</v>
      </c>
      <c r="B795" s="27" t="s">
        <v>822</v>
      </c>
      <c r="C795" s="27" t="s">
        <v>789</v>
      </c>
      <c r="D795" s="27" t="s">
        <v>694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712</v>
      </c>
      <c r="B796" s="27" t="s">
        <v>798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960</v>
      </c>
      <c r="B797" s="27" t="s">
        <v>797</v>
      </c>
      <c r="C797" s="27" t="s">
        <v>708</v>
      </c>
      <c r="D797" s="27" t="s">
        <v>694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1027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696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756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1019</v>
      </c>
      <c r="B801" s="27" t="s">
        <v>867</v>
      </c>
      <c r="C801" s="27" t="s">
        <v>782</v>
      </c>
      <c r="D801" s="27" t="s">
        <v>694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1028</v>
      </c>
      <c r="B802" s="27" t="s">
        <v>719</v>
      </c>
      <c r="C802" s="27" t="s">
        <v>693</v>
      </c>
      <c r="D802" s="27" t="s">
        <v>694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810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819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247</v>
      </c>
      <c r="B805" s="27" t="s">
        <v>703</v>
      </c>
      <c r="C805" s="27" t="s">
        <v>820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704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/>
    </row>
    <row r="808" spans="1:12">
      <c r="A808" s="20" t="s">
        <v>1029</v>
      </c>
    </row>
    <row r="809" spans="1:12">
      <c r="A809" s="20" t="s">
        <v>1030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483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720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742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905</v>
      </c>
      <c r="B813" s="27" t="s">
        <v>746</v>
      </c>
      <c r="C813" s="27" t="s">
        <v>820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704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/>
    </row>
    <row r="816" spans="1:12">
      <c r="A816" s="20" t="s">
        <v>1031</v>
      </c>
    </row>
    <row r="817" spans="1:12">
      <c r="A817" s="20" t="s">
        <v>1032</v>
      </c>
      <c r="B817" s="27" t="s">
        <v>692</v>
      </c>
      <c r="C817" s="27" t="s">
        <v>789</v>
      </c>
      <c r="D817" s="27" t="s">
        <v>694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810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742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1033</v>
      </c>
      <c r="B820" s="27" t="s">
        <v>703</v>
      </c>
      <c r="C820" s="27" t="s">
        <v>820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1034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704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/>
    </row>
    <row r="824" spans="1:12">
      <c r="A824" s="20" t="s">
        <v>1035</v>
      </c>
    </row>
    <row r="825" spans="1:12">
      <c r="A825" s="20" t="s">
        <v>1036</v>
      </c>
      <c r="B825" s="27" t="s">
        <v>692</v>
      </c>
      <c r="C825" s="27" t="s">
        <v>708</v>
      </c>
      <c r="D825" s="27" t="s">
        <v>694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873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1037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1038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712</v>
      </c>
      <c r="B829" s="27" t="s">
        <v>713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878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690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200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1039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690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742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1040</v>
      </c>
      <c r="B836" s="27" t="s">
        <v>749</v>
      </c>
      <c r="C836" s="27" t="s">
        <v>820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1041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704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/>
    </row>
    <row r="840" spans="1:12">
      <c r="A840" s="20" t="s">
        <v>1042</v>
      </c>
    </row>
    <row r="841" spans="1:12">
      <c r="A841" s="20" t="s">
        <v>899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1043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156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701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1044</v>
      </c>
      <c r="B845" s="27" t="s">
        <v>703</v>
      </c>
      <c r="C845" s="27" t="s">
        <v>699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704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/>
    </row>
    <row r="848" spans="1:12">
      <c r="A848" s="20" t="s">
        <v>1045</v>
      </c>
    </row>
    <row r="849" spans="1:12">
      <c r="A849" s="20" t="s">
        <v>1046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818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810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1041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700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701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702</v>
      </c>
      <c r="B855" s="27" t="s">
        <v>703</v>
      </c>
      <c r="C855" s="27" t="s">
        <v>699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722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836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915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1041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978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843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1033</v>
      </c>
      <c r="B862" s="27" t="s">
        <v>713</v>
      </c>
      <c r="C862" s="27" t="s">
        <v>766</v>
      </c>
      <c r="D862" s="27" t="s">
        <v>694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993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1047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701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724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727</v>
      </c>
      <c r="B867" s="27" t="s">
        <v>749</v>
      </c>
      <c r="C867" s="27" t="s">
        <v>729</v>
      </c>
      <c r="D867" s="27" t="s">
        <v>694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327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704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/>
    </row>
    <row r="871" spans="1:12">
      <c r="A871" s="20" t="s">
        <v>1048</v>
      </c>
    </row>
    <row r="872" spans="1:12">
      <c r="A872" s="20" t="s">
        <v>1049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1050</v>
      </c>
      <c r="B873" s="27" t="s">
        <v>698</v>
      </c>
      <c r="C873" s="27" t="s">
        <v>708</v>
      </c>
      <c r="D873" s="27" t="s">
        <v>694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1051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752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1052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690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794</v>
      </c>
      <c r="B878" s="27" t="s">
        <v>749</v>
      </c>
      <c r="C878" s="27" t="s">
        <v>782</v>
      </c>
      <c r="D878" s="27" t="s">
        <v>694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1053</v>
      </c>
      <c r="B879" s="27" t="s">
        <v>758</v>
      </c>
      <c r="C879" s="27" t="s">
        <v>693</v>
      </c>
      <c r="D879" s="27" t="s">
        <v>694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690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1054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226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1055</v>
      </c>
      <c r="B883" s="27" t="s">
        <v>746</v>
      </c>
      <c r="C883" s="27" t="s">
        <v>876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704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/>
    </row>
    <row r="886" spans="1:12">
      <c r="A886" s="20" t="s">
        <v>1056</v>
      </c>
    </row>
    <row r="887" spans="1:12">
      <c r="A887" s="20" t="s">
        <v>871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982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878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874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1037</v>
      </c>
      <c r="B891" s="27" t="s">
        <v>692</v>
      </c>
      <c r="C891" s="27" t="s">
        <v>876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704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/>
    </row>
    <row r="894" spans="1:12">
      <c r="A894" s="20" t="s">
        <v>1057</v>
      </c>
    </row>
    <row r="895" spans="1:12">
      <c r="A895" s="20" t="s">
        <v>1036</v>
      </c>
      <c r="B895" s="27" t="s">
        <v>692</v>
      </c>
      <c r="C895" s="27" t="s">
        <v>708</v>
      </c>
      <c r="D895" s="27" t="s">
        <v>694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873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724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1058</v>
      </c>
      <c r="B898" s="27" t="s">
        <v>703</v>
      </c>
      <c r="C898" s="27" t="s">
        <v>782</v>
      </c>
      <c r="D898" s="27" t="s">
        <v>694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987</v>
      </c>
      <c r="B899" s="27" t="s">
        <v>703</v>
      </c>
      <c r="C899" s="27" t="s">
        <v>693</v>
      </c>
      <c r="D899" s="27" t="s">
        <v>694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704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/>
    </row>
    <row r="902" spans="1:12">
      <c r="A902" s="20" t="s">
        <v>705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1059</v>
      </c>
    </row>
    <row r="904" spans="1:12">
      <c r="A904" s="20" t="s">
        <v>871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240</v>
      </c>
      <c r="B905" s="27" t="s">
        <v>692</v>
      </c>
      <c r="C905" s="27" t="s">
        <v>708</v>
      </c>
      <c r="D905" s="27" t="s">
        <v>694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1060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1061</v>
      </c>
      <c r="B907" s="27" t="s">
        <v>698</v>
      </c>
      <c r="C907" s="27" t="s">
        <v>708</v>
      </c>
      <c r="D907" s="27" t="s">
        <v>694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1062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192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1063</v>
      </c>
      <c r="B910" s="27" t="s">
        <v>822</v>
      </c>
      <c r="C910" s="27" t="s">
        <v>1064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696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731</v>
      </c>
      <c r="B912" s="27" t="s">
        <v>749</v>
      </c>
      <c r="C912" s="27" t="s">
        <v>708</v>
      </c>
      <c r="D912" s="27" t="s">
        <v>694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1065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739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983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192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/>
    </row>
    <row r="918" spans="1:12">
      <c r="A918" s="20" t="s">
        <v>1066</v>
      </c>
    </row>
    <row r="919" spans="1:12">
      <c r="A919" s="20" t="s">
        <v>975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819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1067</v>
      </c>
      <c r="B921" s="27" t="s">
        <v>703</v>
      </c>
      <c r="C921" s="27" t="s">
        <v>820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933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1068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704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/>
    </row>
    <row r="926" spans="1:12">
      <c r="A926" s="20" t="s">
        <v>1069</v>
      </c>
    </row>
    <row r="927" spans="1:12">
      <c r="A927" s="20" t="s">
        <v>1070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722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219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1071</v>
      </c>
      <c r="B930" s="27" t="s">
        <v>692</v>
      </c>
      <c r="C930" s="27" t="s">
        <v>996</v>
      </c>
      <c r="D930" s="27" t="s">
        <v>694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1072</v>
      </c>
      <c r="B931" s="27" t="s">
        <v>746</v>
      </c>
      <c r="C931" s="27" t="s">
        <v>996</v>
      </c>
      <c r="D931" s="27" t="s">
        <v>694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1065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739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704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/>
    </row>
    <row r="936" spans="1:12">
      <c r="A936" s="20" t="s">
        <v>1073</v>
      </c>
    </row>
    <row r="937" spans="1:12">
      <c r="A937" s="20" t="s">
        <v>780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1074</v>
      </c>
      <c r="B938" s="27" t="s">
        <v>692</v>
      </c>
      <c r="C938" s="27" t="s">
        <v>717</v>
      </c>
      <c r="D938" s="27" t="s">
        <v>694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696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932</v>
      </c>
      <c r="B940" s="27" t="s">
        <v>746</v>
      </c>
      <c r="C940" s="27" t="s">
        <v>708</v>
      </c>
      <c r="D940" s="27" t="s">
        <v>694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1075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739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1076</v>
      </c>
      <c r="B943" s="27" t="s">
        <v>703</v>
      </c>
      <c r="C943" s="27" t="s">
        <v>771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722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730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752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1077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724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944</v>
      </c>
      <c r="B949" s="27" t="s">
        <v>703</v>
      </c>
      <c r="C949" s="27" t="s">
        <v>717</v>
      </c>
      <c r="D949" s="27" t="s">
        <v>694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696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1053</v>
      </c>
      <c r="B951" s="27" t="s">
        <v>746</v>
      </c>
      <c r="C951" s="27" t="s">
        <v>699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712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219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1078</v>
      </c>
      <c r="B954" s="27" t="s">
        <v>713</v>
      </c>
      <c r="C954" s="27" t="s">
        <v>693</v>
      </c>
      <c r="D954" s="27" t="s">
        <v>694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780</v>
      </c>
      <c r="B955" s="27" t="s">
        <v>716</v>
      </c>
      <c r="C955" s="27" t="s">
        <v>708</v>
      </c>
      <c r="D955" s="27" t="s">
        <v>694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1079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219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1078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1072</v>
      </c>
      <c r="B959" s="27" t="s">
        <v>797</v>
      </c>
      <c r="C959" s="27" t="s">
        <v>693</v>
      </c>
      <c r="D959" s="27" t="s">
        <v>694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1079</v>
      </c>
      <c r="B960" s="27" t="s">
        <v>716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219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1080</v>
      </c>
      <c r="B962" s="27" t="s">
        <v>749</v>
      </c>
      <c r="C962" s="27" t="s">
        <v>789</v>
      </c>
      <c r="D962" s="27" t="s">
        <v>694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730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739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704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/>
    </row>
    <row r="967" spans="1:12">
      <c r="A967" s="20" t="s">
        <v>1081</v>
      </c>
    </row>
    <row r="968" spans="1:12">
      <c r="A968" s="20" t="s">
        <v>761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1082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1083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806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1067</v>
      </c>
      <c r="B972" s="27" t="s">
        <v>692</v>
      </c>
      <c r="C972" s="27" t="s">
        <v>771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861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/>
    </row>
    <row r="975" spans="1:12">
      <c r="A975" s="20" t="s">
        <v>705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1084</v>
      </c>
    </row>
    <row r="977" spans="1:12">
      <c r="A977" s="20" t="s">
        <v>192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1085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810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712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1086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1037</v>
      </c>
      <c r="B982" s="27" t="s">
        <v>822</v>
      </c>
      <c r="C982" s="27" t="s">
        <v>766</v>
      </c>
      <c r="D982" s="27" t="s">
        <v>694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793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712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1087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983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192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/>
    </row>
    <row r="989" spans="1:12">
      <c r="A989" s="20" t="s">
        <v>1088</v>
      </c>
    </row>
    <row r="990" spans="1:12">
      <c r="A990" s="20" t="s">
        <v>871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982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1089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819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1090</v>
      </c>
      <c r="B994" s="27" t="s">
        <v>703</v>
      </c>
      <c r="C994" s="27" t="s">
        <v>820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861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  <row r="997" spans="1:12">
      <c r="A997" s="20" t="s">
        <v>1091</v>
      </c>
    </row>
    <row r="998" spans="1:12">
      <c r="A998" s="20" t="s">
        <v>780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1090</v>
      </c>
      <c r="B999" s="27" t="s">
        <v>692</v>
      </c>
      <c r="C999" s="27" t="s">
        <v>693</v>
      </c>
      <c r="D999" s="27" t="s">
        <v>694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810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712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219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1078</v>
      </c>
      <c r="B1003" s="27" t="s">
        <v>822</v>
      </c>
      <c r="C1003" s="27" t="s">
        <v>693</v>
      </c>
      <c r="D1003" s="27" t="s">
        <v>694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780</v>
      </c>
      <c r="B1004" s="27" t="s">
        <v>822</v>
      </c>
      <c r="C1004" s="27" t="s">
        <v>708</v>
      </c>
      <c r="D1004" s="27" t="s">
        <v>694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919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819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950</v>
      </c>
      <c r="B1007" s="27" t="s">
        <v>758</v>
      </c>
      <c r="C1007" s="27" t="s">
        <v>820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877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1092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696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690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1074</v>
      </c>
      <c r="B1012" s="27" t="s">
        <v>719</v>
      </c>
      <c r="C1012" s="27" t="s">
        <v>717</v>
      </c>
      <c r="D1012" s="27" t="s">
        <v>694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696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219</v>
      </c>
      <c r="B1014" s="27" t="s">
        <v>1000</v>
      </c>
      <c r="C1014" s="27" t="s">
        <v>789</v>
      </c>
      <c r="D1014" s="27" t="s">
        <v>694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712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219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1078</v>
      </c>
      <c r="B1017" s="27" t="s">
        <v>867</v>
      </c>
      <c r="C1017" s="27" t="s">
        <v>693</v>
      </c>
      <c r="D1017" s="27" t="s">
        <v>694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1093</v>
      </c>
      <c r="B1018" s="27" t="s">
        <v>728</v>
      </c>
      <c r="C1018" s="27" t="s">
        <v>996</v>
      </c>
      <c r="D1018" s="27" t="s">
        <v>694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1094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1013</v>
      </c>
      <c r="B1020" s="27" t="s">
        <v>749</v>
      </c>
      <c r="C1020" s="27" t="s">
        <v>717</v>
      </c>
      <c r="D1020" s="27" t="s">
        <v>694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696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756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963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1095</v>
      </c>
      <c r="B1024" s="27" t="s">
        <v>719</v>
      </c>
      <c r="C1024" s="27" t="s">
        <v>729</v>
      </c>
      <c r="D1024" s="27" t="s">
        <v>694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1096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826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730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722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799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819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1009</v>
      </c>
      <c r="B1031" s="27" t="s">
        <v>713</v>
      </c>
      <c r="C1031" s="27" t="s">
        <v>717</v>
      </c>
      <c r="D1031" s="27" t="s">
        <v>694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1097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696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690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247</v>
      </c>
      <c r="B1035" s="27" t="s">
        <v>719</v>
      </c>
      <c r="C1035" s="27" t="s">
        <v>693</v>
      </c>
      <c r="D1035" s="27" t="s">
        <v>694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810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804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1098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722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730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887</v>
      </c>
      <c r="B1041" s="27" t="s">
        <v>713</v>
      </c>
      <c r="C1041" s="27" t="s">
        <v>1099</v>
      </c>
      <c r="D1041" s="27" t="s">
        <v>694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696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786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1013</v>
      </c>
      <c r="B1044" s="27" t="s">
        <v>719</v>
      </c>
      <c r="C1044" s="27" t="s">
        <v>766</v>
      </c>
      <c r="D1044" s="27" t="s">
        <v>694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810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877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1100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868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1101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722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836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819</v>
      </c>
      <c r="B1052" s="27" t="s">
        <v>797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696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1102</v>
      </c>
      <c r="B1054" s="27" t="s">
        <v>867</v>
      </c>
      <c r="C1054" s="27" t="s">
        <v>708</v>
      </c>
      <c r="D1054" s="27" t="s">
        <v>694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810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764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1103</v>
      </c>
      <c r="B1057" s="27" t="s">
        <v>719</v>
      </c>
      <c r="C1057" s="27" t="s">
        <v>766</v>
      </c>
      <c r="D1057" s="27" t="s">
        <v>694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722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819</v>
      </c>
      <c r="B1059" s="27" t="s">
        <v>797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696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1102</v>
      </c>
      <c r="B1061" s="27" t="s">
        <v>867</v>
      </c>
      <c r="C1061" s="27" t="s">
        <v>708</v>
      </c>
      <c r="D1061" s="27" t="s">
        <v>694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810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1104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1092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696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219</v>
      </c>
      <c r="B1066" s="27" t="s">
        <v>728</v>
      </c>
      <c r="C1066" s="27" t="s">
        <v>789</v>
      </c>
      <c r="D1066" s="27" t="s">
        <v>694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712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690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806</v>
      </c>
      <c r="B1069" s="27" t="s">
        <v>719</v>
      </c>
      <c r="C1069" s="27" t="s">
        <v>711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704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/>
    </row>
    <row r="1072" spans="1:12">
      <c r="A1072" s="20" t="s">
        <v>1105</v>
      </c>
    </row>
    <row r="1073" spans="1:12">
      <c r="A1073" s="20" t="s">
        <v>780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712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993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1092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993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949</v>
      </c>
      <c r="B1078" s="27" t="s">
        <v>692</v>
      </c>
      <c r="C1078" s="27" t="s">
        <v>789</v>
      </c>
      <c r="D1078" s="27" t="s">
        <v>694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701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712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690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1053</v>
      </c>
      <c r="B1082" s="27" t="s">
        <v>713</v>
      </c>
      <c r="C1082" s="27" t="s">
        <v>693</v>
      </c>
      <c r="D1082" s="27" t="s">
        <v>694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1106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219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1107</v>
      </c>
      <c r="B1085" s="27" t="s">
        <v>716</v>
      </c>
      <c r="C1085" s="27" t="s">
        <v>693</v>
      </c>
      <c r="D1085" s="27" t="s">
        <v>694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701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219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837</v>
      </c>
      <c r="B1088" s="27" t="s">
        <v>749</v>
      </c>
      <c r="C1088" s="27" t="s">
        <v>693</v>
      </c>
      <c r="D1088" s="27" t="s">
        <v>694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704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/>
    </row>
    <row r="1091" spans="1:12">
      <c r="A1091" s="20" t="s">
        <v>1108</v>
      </c>
    </row>
    <row r="1092" spans="1:12">
      <c r="A1092" s="20" t="s">
        <v>975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819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1109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247</v>
      </c>
      <c r="B1095" s="27" t="s">
        <v>703</v>
      </c>
      <c r="C1095" s="27" t="s">
        <v>820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704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/>
    </row>
    <row r="1098" spans="1:12">
      <c r="A1098" s="20" t="s">
        <v>1110</v>
      </c>
    </row>
    <row r="1099" spans="1:12">
      <c r="A1099" s="20" t="s">
        <v>990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810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712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1111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904</v>
      </c>
      <c r="B1103" s="27" t="s">
        <v>698</v>
      </c>
      <c r="C1103" s="27" t="s">
        <v>789</v>
      </c>
      <c r="D1103" s="27" t="s">
        <v>694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983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/>
    </row>
    <row r="1106" spans="1:12">
      <c r="A1106" s="20" t="s">
        <v>705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1112</v>
      </c>
    </row>
    <row r="1108" spans="1:12">
      <c r="A1108" s="20" t="s">
        <v>1113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1114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690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786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757</v>
      </c>
      <c r="B1112" s="27" t="s">
        <v>758</v>
      </c>
      <c r="C1112" s="27" t="s">
        <v>766</v>
      </c>
      <c r="D1112" s="27" t="s">
        <v>694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734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696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756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1095</v>
      </c>
      <c r="B1116" s="27" t="s">
        <v>749</v>
      </c>
      <c r="C1116" s="27" t="s">
        <v>693</v>
      </c>
      <c r="D1116" s="27" t="s">
        <v>694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722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730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877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739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1115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722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1116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722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192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1117</v>
      </c>
      <c r="B1126" s="27" t="s">
        <v>713</v>
      </c>
      <c r="C1126" s="27" t="s">
        <v>699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1118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993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1119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219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1040</v>
      </c>
      <c r="B1131" s="27" t="s">
        <v>746</v>
      </c>
      <c r="C1131" s="27" t="s">
        <v>876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722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701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219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1120</v>
      </c>
      <c r="B1135" s="27" t="s">
        <v>746</v>
      </c>
      <c r="C1135" s="27" t="s">
        <v>693</v>
      </c>
      <c r="D1135" s="27" t="s">
        <v>694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983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192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1049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877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1092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752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/>
    </row>
    <row r="1143" spans="1:12">
      <c r="A1143" s="20" t="s">
        <v>1121</v>
      </c>
    </row>
    <row r="1144" spans="1:12">
      <c r="A1144" s="20" t="s">
        <v>780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696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219</v>
      </c>
      <c r="B1146" s="27" t="s">
        <v>703</v>
      </c>
      <c r="C1146" s="27" t="s">
        <v>789</v>
      </c>
      <c r="D1146" s="27" t="s">
        <v>694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712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752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1072</v>
      </c>
      <c r="B1149" s="27" t="s">
        <v>703</v>
      </c>
      <c r="C1149" s="27" t="s">
        <v>996</v>
      </c>
      <c r="D1149" s="27" t="s">
        <v>694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701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690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794</v>
      </c>
      <c r="B1152" s="27" t="s">
        <v>749</v>
      </c>
      <c r="C1152" s="27" t="s">
        <v>782</v>
      </c>
      <c r="D1152" s="27" t="s">
        <v>694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950</v>
      </c>
      <c r="B1153" s="27" t="s">
        <v>746</v>
      </c>
      <c r="C1153" s="27" t="s">
        <v>693</v>
      </c>
      <c r="D1153" s="27" t="s">
        <v>694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704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/>
    </row>
    <row r="1156" spans="1:12">
      <c r="A1156" s="20" t="s">
        <v>1122</v>
      </c>
    </row>
    <row r="1157" spans="1:12">
      <c r="A1157" s="20" t="s">
        <v>788</v>
      </c>
      <c r="B1157" s="27" t="s">
        <v>692</v>
      </c>
      <c r="C1157" s="27" t="s">
        <v>789</v>
      </c>
      <c r="D1157" s="27" t="s">
        <v>694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810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742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1123</v>
      </c>
      <c r="B1160" s="27" t="s">
        <v>703</v>
      </c>
      <c r="C1160" s="27" t="s">
        <v>717</v>
      </c>
      <c r="D1160" s="27" t="s">
        <v>694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1124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747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219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240</v>
      </c>
      <c r="B1164" s="27" t="s">
        <v>703</v>
      </c>
      <c r="C1164" s="27" t="s">
        <v>708</v>
      </c>
      <c r="D1164" s="27" t="s">
        <v>694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712</v>
      </c>
      <c r="B1165" s="27" t="s">
        <v>713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966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690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859</v>
      </c>
      <c r="B1168" s="27" t="s">
        <v>716</v>
      </c>
      <c r="C1168" s="27" t="s">
        <v>693</v>
      </c>
      <c r="D1168" s="27" t="s">
        <v>694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730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219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240</v>
      </c>
      <c r="B1171" s="27" t="s">
        <v>719</v>
      </c>
      <c r="C1171" s="27" t="s">
        <v>708</v>
      </c>
      <c r="D1171" s="27" t="s">
        <v>694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712</v>
      </c>
      <c r="B1172" s="27" t="s">
        <v>1004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984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704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/>
    </row>
    <row r="1176" spans="1:12">
      <c r="A1176" s="20" t="s">
        <v>1125</v>
      </c>
    </row>
    <row r="1177" spans="1:12">
      <c r="A1177" s="20" t="s">
        <v>1126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219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1127</v>
      </c>
      <c r="B1179" s="27" t="s">
        <v>703</v>
      </c>
      <c r="C1179" s="27" t="s">
        <v>717</v>
      </c>
      <c r="D1179" s="27" t="s">
        <v>694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696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1128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696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219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240</v>
      </c>
      <c r="B1184" s="27" t="s">
        <v>746</v>
      </c>
      <c r="C1184" s="27" t="s">
        <v>708</v>
      </c>
      <c r="D1184" s="27" t="s">
        <v>694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712</v>
      </c>
      <c r="B1185" s="27" t="s">
        <v>797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966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690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859</v>
      </c>
      <c r="B1188" s="27" t="s">
        <v>798</v>
      </c>
      <c r="C1188" s="27" t="s">
        <v>693</v>
      </c>
      <c r="D1188" s="27" t="s">
        <v>694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722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1129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722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219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1078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1072</v>
      </c>
      <c r="B1194" s="27" t="s">
        <v>692</v>
      </c>
      <c r="C1194" s="27" t="s">
        <v>693</v>
      </c>
      <c r="D1194" s="27" t="s">
        <v>694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1130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819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1092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859</v>
      </c>
      <c r="B1198" s="27" t="s">
        <v>698</v>
      </c>
      <c r="C1198" s="27" t="s">
        <v>820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704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/>
    </row>
    <row r="1201" spans="1:12">
      <c r="A1201" s="20" t="s">
        <v>1131</v>
      </c>
    </row>
    <row r="1202" spans="1:12">
      <c r="A1202" s="20" t="s">
        <v>761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722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219</v>
      </c>
      <c r="B1204" s="27" t="s">
        <v>703</v>
      </c>
      <c r="C1204" s="27" t="s">
        <v>789</v>
      </c>
      <c r="D1204" s="27" t="s">
        <v>694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712</v>
      </c>
      <c r="B1205" s="27" t="s">
        <v>716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791</v>
      </c>
      <c r="B1206" s="27" t="s">
        <v>713</v>
      </c>
      <c r="C1206" s="27" t="s">
        <v>708</v>
      </c>
      <c r="D1206" s="27" t="s">
        <v>694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1132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132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720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219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1078</v>
      </c>
      <c r="B1211" s="27" t="s">
        <v>749</v>
      </c>
      <c r="C1211" s="27" t="s">
        <v>693</v>
      </c>
      <c r="D1211" s="27" t="s">
        <v>694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780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722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730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960</v>
      </c>
      <c r="B1215" s="27" t="s">
        <v>822</v>
      </c>
      <c r="C1215" s="27" t="s">
        <v>708</v>
      </c>
      <c r="D1215" s="27" t="s">
        <v>694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1133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690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132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1134</v>
      </c>
      <c r="B1219" s="27" t="s">
        <v>716</v>
      </c>
      <c r="C1219" s="27" t="s">
        <v>699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1135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722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904</v>
      </c>
      <c r="B1222" s="27" t="s">
        <v>713</v>
      </c>
      <c r="C1222" s="27" t="s">
        <v>789</v>
      </c>
      <c r="D1222" s="27" t="s">
        <v>694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817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993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1047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722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730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1136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722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1137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1138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690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1074</v>
      </c>
      <c r="B1233" s="27" t="s">
        <v>738</v>
      </c>
      <c r="C1233" s="27" t="s">
        <v>717</v>
      </c>
      <c r="D1233" s="27" t="s">
        <v>694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696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219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1078</v>
      </c>
      <c r="B1236" s="27" t="s">
        <v>728</v>
      </c>
      <c r="C1236" s="27" t="s">
        <v>693</v>
      </c>
      <c r="D1236" s="27" t="s">
        <v>694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780</v>
      </c>
      <c r="B1237" s="27" t="s">
        <v>1139</v>
      </c>
      <c r="C1237" s="27" t="s">
        <v>708</v>
      </c>
      <c r="D1237" s="27" t="s">
        <v>694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722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1140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219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1141</v>
      </c>
      <c r="B1241" s="27" t="s">
        <v>738</v>
      </c>
      <c r="C1241" s="27" t="s">
        <v>693</v>
      </c>
      <c r="D1241" s="27" t="s">
        <v>694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890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219</v>
      </c>
      <c r="B1243" s="27" t="s">
        <v>833</v>
      </c>
      <c r="C1243" s="27" t="s">
        <v>708</v>
      </c>
      <c r="D1243" s="27" t="s">
        <v>694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1142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877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704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/>
    </row>
    <row r="1248" spans="1:12">
      <c r="A1248" s="20" t="s">
        <v>1143</v>
      </c>
    </row>
    <row r="1249" spans="1:12">
      <c r="A1249" s="20" t="s">
        <v>788</v>
      </c>
      <c r="B1249" s="27" t="s">
        <v>692</v>
      </c>
      <c r="C1249" s="27" t="s">
        <v>789</v>
      </c>
      <c r="D1249" s="27" t="s">
        <v>694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1008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720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712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219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1078</v>
      </c>
      <c r="B1254" s="27" t="s">
        <v>703</v>
      </c>
      <c r="C1254" s="27" t="s">
        <v>693</v>
      </c>
      <c r="D1254" s="27" t="s">
        <v>694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1144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722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836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1145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742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1146</v>
      </c>
      <c r="B1260" s="27" t="s">
        <v>746</v>
      </c>
      <c r="C1260" s="27" t="s">
        <v>820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730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877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1147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696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219</v>
      </c>
      <c r="B1265" s="27" t="s">
        <v>867</v>
      </c>
      <c r="C1265" s="27" t="s">
        <v>789</v>
      </c>
      <c r="D1265" s="27" t="s">
        <v>694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712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1148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704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/>
    </row>
    <row r="1270" spans="1:12">
      <c r="A1270" s="20" t="s">
        <v>1149</v>
      </c>
    </row>
    <row r="1271" spans="1:12">
      <c r="A1271" s="20" t="s">
        <v>1150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1151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904</v>
      </c>
      <c r="B1273" s="27" t="s">
        <v>698</v>
      </c>
      <c r="C1273" s="27" t="s">
        <v>789</v>
      </c>
      <c r="D1273" s="27" t="s">
        <v>694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1152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1153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944</v>
      </c>
      <c r="B1276" s="27" t="s">
        <v>703</v>
      </c>
      <c r="C1276" s="27" t="s">
        <v>717</v>
      </c>
      <c r="D1276" s="27" t="s">
        <v>694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722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696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219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1078</v>
      </c>
      <c r="B1280" s="27" t="s">
        <v>746</v>
      </c>
      <c r="C1280" s="27" t="s">
        <v>693</v>
      </c>
      <c r="D1280" s="27" t="s">
        <v>694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/>
    </row>
    <row r="1282" spans="1:12">
      <c r="A1282" s="20" t="s">
        <v>1154</v>
      </c>
    </row>
    <row r="1283" spans="1:12">
      <c r="A1283" s="20" t="s">
        <v>780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236</v>
      </c>
      <c r="B1284" s="27" t="s">
        <v>703</v>
      </c>
      <c r="C1284" s="27" t="s">
        <v>693</v>
      </c>
      <c r="D1284" s="27" t="s">
        <v>694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791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1092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704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/>
    </row>
    <row r="1289" spans="1:12">
      <c r="A1289" s="20" t="s">
        <v>1155</v>
      </c>
    </row>
    <row r="1290" spans="1:12">
      <c r="A1290" s="20" t="s">
        <v>730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219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240</v>
      </c>
      <c r="B1292" s="27" t="s">
        <v>703</v>
      </c>
      <c r="C1292" s="27" t="s">
        <v>708</v>
      </c>
      <c r="D1292" s="27" t="s">
        <v>694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712</v>
      </c>
      <c r="B1293" s="27" t="s">
        <v>822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984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696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219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1078</v>
      </c>
      <c r="B1297" s="27" t="s">
        <v>758</v>
      </c>
      <c r="C1297" s="27" t="s">
        <v>693</v>
      </c>
      <c r="D1297" s="27" t="s">
        <v>694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/>
    </row>
    <row r="1299" spans="1:12">
      <c r="A1299" s="20" t="s">
        <v>1156</v>
      </c>
    </row>
    <row r="1300" spans="1:12">
      <c r="A1300" s="20" t="s">
        <v>780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236</v>
      </c>
      <c r="B1301" s="27" t="s">
        <v>703</v>
      </c>
      <c r="C1301" s="27" t="s">
        <v>693</v>
      </c>
      <c r="D1301" s="27" t="s">
        <v>694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791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877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1157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722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799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1082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1158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690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219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1078</v>
      </c>
      <c r="B1311" s="27" t="s">
        <v>716</v>
      </c>
      <c r="C1311" s="27" t="s">
        <v>693</v>
      </c>
      <c r="D1311" s="27" t="s">
        <v>694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/>
    </row>
    <row r="1313" spans="1:12">
      <c r="A1313" s="20" t="s">
        <v>1159</v>
      </c>
    </row>
    <row r="1314" spans="1:12">
      <c r="A1314" s="20" t="s">
        <v>780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819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247</v>
      </c>
      <c r="B1316" s="27" t="s">
        <v>703</v>
      </c>
      <c r="C1316" s="27" t="s">
        <v>717</v>
      </c>
      <c r="D1316" s="27" t="s">
        <v>694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1157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745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690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794</v>
      </c>
      <c r="B1320" s="27" t="s">
        <v>746</v>
      </c>
      <c r="C1320" s="27" t="s">
        <v>782</v>
      </c>
      <c r="D1320" s="27" t="s">
        <v>694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859</v>
      </c>
      <c r="B1321" s="27" t="s">
        <v>703</v>
      </c>
      <c r="C1321" s="27" t="s">
        <v>693</v>
      </c>
      <c r="D1321" s="27" t="s">
        <v>694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704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/>
    </row>
    <row r="1324" spans="1:12">
      <c r="A1324" s="20" t="s">
        <v>1160</v>
      </c>
    </row>
    <row r="1325" spans="1:12">
      <c r="A1325" s="20" t="s">
        <v>12</v>
      </c>
      <c r="B1325" s="27" t="s">
        <v>746</v>
      </c>
      <c r="C1325" s="27" t="s">
        <v>789</v>
      </c>
      <c r="D1325" s="27" t="s">
        <v>694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712</v>
      </c>
      <c r="B1326" s="27" t="s">
        <v>692</v>
      </c>
      <c r="C1326" s="27" t="s">
        <v>1064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810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712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1161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819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247</v>
      </c>
      <c r="B1331" s="27" t="s">
        <v>698</v>
      </c>
      <c r="C1331" s="27" t="s">
        <v>820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983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/>
    </row>
    <row r="1334" spans="1:12">
      <c r="A1334" s="20" t="s">
        <v>1162</v>
      </c>
    </row>
    <row r="1335" spans="1:12">
      <c r="A1335" s="20" t="s">
        <v>788</v>
      </c>
      <c r="B1335" s="27" t="s">
        <v>692</v>
      </c>
      <c r="C1335" s="27" t="s">
        <v>789</v>
      </c>
      <c r="D1335" s="27" t="s">
        <v>694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810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1163</v>
      </c>
      <c r="B1337" s="27" t="s">
        <v>703</v>
      </c>
      <c r="C1337" s="27" t="s">
        <v>717</v>
      </c>
      <c r="D1337" s="27" t="s">
        <v>694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752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756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1013</v>
      </c>
      <c r="B1340" s="27" t="s">
        <v>703</v>
      </c>
      <c r="C1340" s="27" t="s">
        <v>693</v>
      </c>
      <c r="D1340" s="27" t="s">
        <v>694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712</v>
      </c>
      <c r="B1341" s="27" t="s">
        <v>716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690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860</v>
      </c>
      <c r="B1343" s="27" t="s">
        <v>713</v>
      </c>
      <c r="C1343" s="27" t="s">
        <v>693</v>
      </c>
      <c r="D1343" s="27" t="s">
        <v>694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701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724</v>
      </c>
      <c r="B1345" s="27" t="s">
        <v>749</v>
      </c>
      <c r="C1345" s="27" t="s">
        <v>789</v>
      </c>
      <c r="D1345" s="27" t="s">
        <v>694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1164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722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1165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804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752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756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1013</v>
      </c>
      <c r="B1352" s="27" t="s">
        <v>703</v>
      </c>
      <c r="C1352" s="27" t="s">
        <v>693</v>
      </c>
      <c r="D1352" s="27" t="s">
        <v>694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712</v>
      </c>
      <c r="B1353" s="27" t="s">
        <v>716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1166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704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/>
    </row>
    <row r="1357" spans="1:12">
      <c r="A1357" s="20" t="s">
        <v>1167</v>
      </c>
    </row>
    <row r="1358" spans="1:12">
      <c r="A1358" s="20" t="s">
        <v>12</v>
      </c>
      <c r="B1358" s="27" t="s">
        <v>692</v>
      </c>
      <c r="C1358" s="27" t="s">
        <v>789</v>
      </c>
      <c r="D1358" s="27" t="s">
        <v>694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712</v>
      </c>
      <c r="B1359" s="27" t="s">
        <v>713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1161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819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247</v>
      </c>
      <c r="B1362" s="27" t="s">
        <v>716</v>
      </c>
      <c r="C1362" s="27" t="s">
        <v>820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873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756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1168</v>
      </c>
      <c r="B1365" s="27" t="s">
        <v>703</v>
      </c>
      <c r="C1365" s="27" t="s">
        <v>693</v>
      </c>
      <c r="D1365" s="27" t="s">
        <v>694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722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724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1169</v>
      </c>
      <c r="B1368" s="27" t="s">
        <v>703</v>
      </c>
      <c r="C1368" s="27" t="s">
        <v>693</v>
      </c>
      <c r="D1368" s="27" t="s">
        <v>694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1170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730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724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1171</v>
      </c>
      <c r="B1372" s="27" t="s">
        <v>746</v>
      </c>
      <c r="C1372" s="27" t="s">
        <v>693</v>
      </c>
      <c r="D1372" s="27" t="s">
        <v>694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704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/>
    </row>
    <row r="1375" spans="1:12">
      <c r="A1375" s="20" t="s">
        <v>1172</v>
      </c>
    </row>
    <row r="1376" spans="1:12">
      <c r="A1376" s="20" t="s">
        <v>1173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1171</v>
      </c>
      <c r="B1377" s="27" t="s">
        <v>692</v>
      </c>
      <c r="C1377" s="27" t="s">
        <v>693</v>
      </c>
      <c r="D1377" s="27" t="s">
        <v>694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873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877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722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877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1174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704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/>
    </row>
    <row r="1385" spans="1:12">
      <c r="A1385" s="20" t="s">
        <v>1175</v>
      </c>
    </row>
    <row r="1386" spans="1:12">
      <c r="A1386" s="20" t="s">
        <v>1015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843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1176</v>
      </c>
      <c r="B1388" s="27" t="s">
        <v>703</v>
      </c>
      <c r="C1388" s="27" t="s">
        <v>766</v>
      </c>
      <c r="D1388" s="27" t="s">
        <v>694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722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993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219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837</v>
      </c>
      <c r="B1392" s="27" t="s">
        <v>703</v>
      </c>
      <c r="C1392" s="27" t="s">
        <v>717</v>
      </c>
      <c r="D1392" s="27" t="s">
        <v>694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1177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704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/>
    </row>
    <row r="1396" spans="1:12">
      <c r="A1396" s="20" t="s">
        <v>1178</v>
      </c>
    </row>
    <row r="1397" spans="1:12">
      <c r="A1397" s="20" t="s">
        <v>1179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722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219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240</v>
      </c>
      <c r="B1400" s="27" t="s">
        <v>692</v>
      </c>
      <c r="C1400" s="27" t="s">
        <v>708</v>
      </c>
      <c r="D1400" s="27" t="s">
        <v>694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712</v>
      </c>
      <c r="B1401" s="27" t="s">
        <v>713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966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690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859</v>
      </c>
      <c r="B1404" s="27" t="s">
        <v>716</v>
      </c>
      <c r="C1404" s="27" t="s">
        <v>693</v>
      </c>
      <c r="D1404" s="27" t="s">
        <v>694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966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690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794</v>
      </c>
      <c r="B1407" s="27" t="s">
        <v>746</v>
      </c>
      <c r="C1407" s="27" t="s">
        <v>782</v>
      </c>
      <c r="D1407" s="27" t="s">
        <v>694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866</v>
      </c>
      <c r="B1408" s="27" t="s">
        <v>698</v>
      </c>
      <c r="C1408" s="27" t="s">
        <v>717</v>
      </c>
      <c r="D1408" s="27" t="s">
        <v>694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696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900</v>
      </c>
      <c r="B1410" s="27" t="s">
        <v>746</v>
      </c>
      <c r="C1410" s="27" t="s">
        <v>699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1180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704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/>
    </row>
    <row r="1414" spans="1:12">
      <c r="A1414" s="20" t="s">
        <v>1181</v>
      </c>
    </row>
    <row r="1415" spans="1:12">
      <c r="A1415" s="20" t="s">
        <v>1182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1169</v>
      </c>
      <c r="B1416" s="27" t="s">
        <v>698</v>
      </c>
      <c r="C1416" s="27" t="s">
        <v>717</v>
      </c>
      <c r="D1416" s="27" t="s">
        <v>694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696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859</v>
      </c>
      <c r="B1418" s="27" t="s">
        <v>746</v>
      </c>
      <c r="C1418" s="27" t="s">
        <v>699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722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742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1183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219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1184</v>
      </c>
      <c r="B1423" s="27" t="s">
        <v>746</v>
      </c>
      <c r="C1423" s="27" t="s">
        <v>711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704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/>
    </row>
    <row r="1426" spans="1:12">
      <c r="A1426" s="20" t="s">
        <v>1185</v>
      </c>
    </row>
    <row r="1427" spans="1:12">
      <c r="A1427" s="20" t="s">
        <v>871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1186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861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/>
    </row>
    <row r="1431" spans="1:12">
      <c r="A1431" s="20" t="s">
        <v>1187</v>
      </c>
    </row>
    <row r="1432" spans="1:12">
      <c r="A1432" s="20" t="s">
        <v>12</v>
      </c>
      <c r="B1432" s="27" t="s">
        <v>703</v>
      </c>
      <c r="C1432" s="27" t="s">
        <v>789</v>
      </c>
      <c r="D1432" s="27" t="s">
        <v>694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712</v>
      </c>
      <c r="B1433" s="27" t="s">
        <v>822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1188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690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872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1169</v>
      </c>
      <c r="B1437" s="27" t="s">
        <v>758</v>
      </c>
      <c r="C1437" s="27" t="s">
        <v>766</v>
      </c>
      <c r="D1437" s="27" t="s">
        <v>694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983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/>
    </row>
    <row r="1440" spans="1:12">
      <c r="A1440" s="20" t="s">
        <v>1189</v>
      </c>
    </row>
    <row r="1441" spans="1:12">
      <c r="A1441" s="20" t="s">
        <v>780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1017</v>
      </c>
      <c r="B1442" s="27" t="s">
        <v>692</v>
      </c>
      <c r="C1442" s="27" t="s">
        <v>693</v>
      </c>
      <c r="D1442" s="27" t="s">
        <v>694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810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933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1190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704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/>
    </row>
    <row r="1448" spans="1:12">
      <c r="A1448" s="20" t="s">
        <v>1191</v>
      </c>
    </row>
    <row r="1449" spans="1:12">
      <c r="A1449" s="20" t="s">
        <v>1192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1193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752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1194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704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/>
    </row>
    <row r="1455" spans="1:12">
      <c r="A1455" s="20" t="s">
        <v>1195</v>
      </c>
    </row>
    <row r="1456" spans="1:12">
      <c r="A1456" s="20" t="s">
        <v>894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91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722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810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712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690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1196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1009</v>
      </c>
      <c r="B1463" s="27" t="s">
        <v>713</v>
      </c>
      <c r="C1463" s="27" t="s">
        <v>717</v>
      </c>
      <c r="D1463" s="27" t="s">
        <v>694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696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724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1169</v>
      </c>
      <c r="B1466" s="27" t="s">
        <v>719</v>
      </c>
      <c r="C1466" s="27" t="s">
        <v>717</v>
      </c>
      <c r="D1466" s="27" t="s">
        <v>694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696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690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865</v>
      </c>
      <c r="B1469" s="27" t="s">
        <v>728</v>
      </c>
      <c r="C1469" s="27" t="s">
        <v>782</v>
      </c>
      <c r="D1469" s="27" t="s">
        <v>694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866</v>
      </c>
      <c r="B1470" s="27" t="s">
        <v>867</v>
      </c>
      <c r="C1470" s="27" t="s">
        <v>693</v>
      </c>
      <c r="D1470" s="27" t="s">
        <v>694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1197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240</v>
      </c>
      <c r="B1472" s="27" t="s">
        <v>732</v>
      </c>
      <c r="C1472" s="27" t="s">
        <v>708</v>
      </c>
      <c r="D1472" s="27" t="s">
        <v>694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1198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904</v>
      </c>
      <c r="B1474" s="27" t="s">
        <v>738</v>
      </c>
      <c r="C1474" s="27" t="s">
        <v>789</v>
      </c>
      <c r="D1474" s="27" t="s">
        <v>694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1197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958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791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712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219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967</v>
      </c>
      <c r="B1480" s="27" t="s">
        <v>797</v>
      </c>
      <c r="C1480" s="27" t="s">
        <v>693</v>
      </c>
      <c r="D1480" s="27" t="s">
        <v>694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1199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1200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735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696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20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1055</v>
      </c>
      <c r="B1486" s="27" t="s">
        <v>798</v>
      </c>
      <c r="C1486" s="27" t="s">
        <v>876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704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/>
    </row>
    <row r="1489" spans="1:12">
      <c r="A1489" s="20" t="s">
        <v>1201</v>
      </c>
    </row>
    <row r="1490" spans="1:12">
      <c r="A1490" s="20" t="s">
        <v>788</v>
      </c>
      <c r="B1490" s="27" t="s">
        <v>692</v>
      </c>
      <c r="C1490" s="27" t="s">
        <v>789</v>
      </c>
      <c r="D1490" s="27" t="s">
        <v>694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1202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91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712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768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735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696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1203</v>
      </c>
      <c r="B1497" s="27" t="s">
        <v>716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1204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696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731</v>
      </c>
      <c r="B1500" s="27" t="s">
        <v>719</v>
      </c>
      <c r="C1500" s="27" t="s">
        <v>708</v>
      </c>
      <c r="D1500" s="27" t="s">
        <v>694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1152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690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866</v>
      </c>
      <c r="B1503" s="27" t="s">
        <v>749</v>
      </c>
      <c r="C1503" s="27" t="s">
        <v>693</v>
      </c>
      <c r="D1503" s="27" t="s">
        <v>694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704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/>
    </row>
    <row r="1506" spans="1:12">
      <c r="A1506" s="20" t="s">
        <v>1205</v>
      </c>
    </row>
    <row r="1507" spans="1:12">
      <c r="A1507" s="20" t="s">
        <v>1015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742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1206</v>
      </c>
      <c r="B1509" s="27" t="s">
        <v>703</v>
      </c>
      <c r="C1509" s="27" t="s">
        <v>876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722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768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735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696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1203</v>
      </c>
      <c r="B1514" s="27" t="s">
        <v>698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1207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704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/>
    </row>
    <row r="1518" spans="1:12">
      <c r="A1518" s="20" t="s">
        <v>1208</v>
      </c>
    </row>
    <row r="1519" spans="1:12">
      <c r="A1519" s="20" t="s">
        <v>780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1196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1009</v>
      </c>
      <c r="B1521" s="27" t="s">
        <v>692</v>
      </c>
      <c r="C1521" s="27" t="s">
        <v>717</v>
      </c>
      <c r="D1521" s="27" t="s">
        <v>694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696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731</v>
      </c>
      <c r="B1523" s="27" t="s">
        <v>746</v>
      </c>
      <c r="C1523" s="27" t="s">
        <v>708</v>
      </c>
      <c r="D1523" s="27" t="s">
        <v>694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818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1209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805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1210</v>
      </c>
      <c r="B1527" s="27" t="s">
        <v>698</v>
      </c>
      <c r="C1527" s="27" t="s">
        <v>771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704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/>
    </row>
    <row r="1530" spans="1:12">
      <c r="A1530" s="20" t="s">
        <v>1211</v>
      </c>
    </row>
    <row r="1531" spans="1:12">
      <c r="A1531" s="20" t="s">
        <v>780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1212</v>
      </c>
      <c r="B1532" s="27" t="s">
        <v>692</v>
      </c>
      <c r="C1532" s="27" t="s">
        <v>693</v>
      </c>
      <c r="D1532" s="27" t="s">
        <v>694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810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1213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1214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1215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219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240</v>
      </c>
      <c r="B1538" s="27" t="s">
        <v>703</v>
      </c>
      <c r="C1538" s="27" t="s">
        <v>708</v>
      </c>
      <c r="D1538" s="27" t="s">
        <v>694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712</v>
      </c>
      <c r="B1539" s="27" t="s">
        <v>713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984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704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/>
    </row>
    <row r="1543" spans="1:12">
      <c r="A1543" s="20" t="s">
        <v>1216</v>
      </c>
    </row>
    <row r="1544" spans="1:12">
      <c r="A1544" s="20" t="s">
        <v>871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762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696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895</v>
      </c>
      <c r="B1547" s="27" t="s">
        <v>703</v>
      </c>
      <c r="C1547" s="27" t="s">
        <v>789</v>
      </c>
      <c r="D1547" s="27" t="s">
        <v>694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722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696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1217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900</v>
      </c>
      <c r="B1551" s="27" t="s">
        <v>703</v>
      </c>
      <c r="C1551" s="27" t="s">
        <v>771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722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1218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690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1219</v>
      </c>
      <c r="B1555" s="27" t="s">
        <v>698</v>
      </c>
      <c r="C1555" s="27" t="s">
        <v>693</v>
      </c>
      <c r="D1555" s="27" t="s">
        <v>694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696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712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731</v>
      </c>
      <c r="B1558" s="27" t="s">
        <v>713</v>
      </c>
      <c r="C1558" s="27" t="s">
        <v>708</v>
      </c>
      <c r="D1558" s="27" t="s">
        <v>694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1220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140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722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712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219</v>
      </c>
      <c r="B1563" s="27" t="s">
        <v>797</v>
      </c>
      <c r="C1563" s="27" t="s">
        <v>789</v>
      </c>
      <c r="D1563" s="27" t="s">
        <v>694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712</v>
      </c>
      <c r="B1564" s="27" t="s">
        <v>1004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1188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701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1086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1169</v>
      </c>
      <c r="B1568" s="27" t="s">
        <v>728</v>
      </c>
      <c r="C1568" s="27" t="s">
        <v>766</v>
      </c>
      <c r="D1568" s="27" t="s">
        <v>694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696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859</v>
      </c>
      <c r="B1570" s="27" t="s">
        <v>1000</v>
      </c>
      <c r="C1570" s="27" t="s">
        <v>699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810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690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865</v>
      </c>
      <c r="B1573" s="27" t="s">
        <v>719</v>
      </c>
      <c r="C1573" s="27" t="s">
        <v>782</v>
      </c>
      <c r="D1573" s="27" t="s">
        <v>694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866</v>
      </c>
      <c r="B1574" s="27" t="s">
        <v>749</v>
      </c>
      <c r="C1574" s="27" t="s">
        <v>693</v>
      </c>
      <c r="D1574" s="27" t="s">
        <v>694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704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/>
    </row>
    <row r="1577" spans="1:12">
      <c r="A1577" s="20" t="s">
        <v>1221</v>
      </c>
    </row>
    <row r="1578" spans="1:12">
      <c r="A1578" s="20" t="s">
        <v>1222</v>
      </c>
      <c r="B1578" s="27" t="s">
        <v>822</v>
      </c>
      <c r="C1578" s="27" t="s">
        <v>708</v>
      </c>
      <c r="D1578" s="27" t="s">
        <v>694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801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690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394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843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1223</v>
      </c>
      <c r="B1583" s="27" t="s">
        <v>758</v>
      </c>
      <c r="C1583" s="27" t="s">
        <v>766</v>
      </c>
      <c r="D1583" s="27" t="s">
        <v>694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1224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962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801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701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764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1225</v>
      </c>
      <c r="B1589" s="27" t="s">
        <v>746</v>
      </c>
      <c r="C1589" s="27" t="s">
        <v>766</v>
      </c>
      <c r="D1589" s="27" t="s">
        <v>694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704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/>
    </row>
    <row r="1592" spans="1:12">
      <c r="A1592" s="20" t="s">
        <v>1226</v>
      </c>
    </row>
    <row r="1593" spans="1:12">
      <c r="A1593" s="20" t="s">
        <v>871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690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900</v>
      </c>
      <c r="B1595" s="27" t="s">
        <v>692</v>
      </c>
      <c r="C1595" s="27" t="s">
        <v>693</v>
      </c>
      <c r="D1595" s="27" t="s">
        <v>694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804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219</v>
      </c>
      <c r="B1597" s="27" t="s">
        <v>716</v>
      </c>
      <c r="C1597" s="27" t="s">
        <v>708</v>
      </c>
      <c r="D1597" s="27" t="s">
        <v>694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1227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1228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200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1229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704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/>
    </row>
    <row r="1604" spans="1:12">
      <c r="A1604" s="20" t="s">
        <v>1230</v>
      </c>
    </row>
    <row r="1605" spans="1:12">
      <c r="A1605" s="20" t="s">
        <v>761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904</v>
      </c>
      <c r="B1606" s="27" t="s">
        <v>692</v>
      </c>
      <c r="C1606" s="27" t="s">
        <v>789</v>
      </c>
      <c r="D1606" s="27" t="s">
        <v>694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818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810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690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247</v>
      </c>
      <c r="B1610" s="27" t="s">
        <v>703</v>
      </c>
      <c r="C1610" s="27" t="s">
        <v>693</v>
      </c>
      <c r="D1610" s="27" t="s">
        <v>694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712</v>
      </c>
      <c r="B1611" s="27" t="s">
        <v>758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219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240</v>
      </c>
      <c r="B1613" s="27" t="s">
        <v>822</v>
      </c>
      <c r="C1613" s="27" t="s">
        <v>708</v>
      </c>
      <c r="D1613" s="27" t="s">
        <v>694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712</v>
      </c>
      <c r="B1614" s="27" t="s">
        <v>797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984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988</v>
      </c>
      <c r="B1616" s="27" t="s">
        <v>798</v>
      </c>
      <c r="C1616" s="27" t="s">
        <v>699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752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960</v>
      </c>
      <c r="B1618" s="27" t="s">
        <v>798</v>
      </c>
      <c r="C1618" s="27" t="s">
        <v>708</v>
      </c>
      <c r="D1618" s="27" t="s">
        <v>694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704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/>
    </row>
    <row r="1621" spans="1:12">
      <c r="A1621" s="20" t="s">
        <v>1231</v>
      </c>
    </row>
    <row r="1622" spans="1:12">
      <c r="A1622" s="20" t="s">
        <v>903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904</v>
      </c>
      <c r="B1623" s="27" t="s">
        <v>703</v>
      </c>
      <c r="C1623" s="27" t="s">
        <v>789</v>
      </c>
      <c r="D1623" s="27" t="s">
        <v>694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722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1218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219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240</v>
      </c>
      <c r="B1627" s="27" t="s">
        <v>698</v>
      </c>
      <c r="C1627" s="27" t="s">
        <v>693</v>
      </c>
      <c r="D1627" s="27" t="s">
        <v>694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712</v>
      </c>
      <c r="B1628" s="27" t="s">
        <v>713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984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730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219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240</v>
      </c>
      <c r="B1632" s="27" t="s">
        <v>716</v>
      </c>
      <c r="C1632" s="27" t="s">
        <v>708</v>
      </c>
      <c r="D1632" s="27" t="s">
        <v>694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712</v>
      </c>
      <c r="B1633" s="27" t="s">
        <v>732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966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690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859</v>
      </c>
      <c r="B1636" s="27" t="s">
        <v>738</v>
      </c>
      <c r="C1636" s="27" t="s">
        <v>693</v>
      </c>
      <c r="D1636" s="27" t="s">
        <v>694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722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712</v>
      </c>
      <c r="B1638" s="27" t="s">
        <v>1232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873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933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1233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704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/>
    </row>
    <row r="1644" spans="1:12">
      <c r="A1644" s="20" t="s">
        <v>1234</v>
      </c>
    </row>
    <row r="1645" spans="1:12">
      <c r="A1645" s="20" t="s">
        <v>780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1196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863</v>
      </c>
      <c r="B1647" s="27" t="s">
        <v>692</v>
      </c>
      <c r="C1647" s="27" t="s">
        <v>717</v>
      </c>
      <c r="D1647" s="27" t="s">
        <v>694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747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731</v>
      </c>
      <c r="B1649" s="27" t="s">
        <v>746</v>
      </c>
      <c r="C1649" s="27" t="s">
        <v>708</v>
      </c>
      <c r="D1649" s="27" t="s">
        <v>694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810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804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1235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720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219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1076</v>
      </c>
      <c r="B1655" s="27" t="s">
        <v>703</v>
      </c>
      <c r="C1655" s="27" t="s">
        <v>693</v>
      </c>
      <c r="D1655" s="27" t="s">
        <v>694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704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/>
    </row>
    <row r="1658" spans="1:12">
      <c r="A1658" s="20" t="s">
        <v>1236</v>
      </c>
    </row>
    <row r="1659" spans="1:12">
      <c r="A1659" s="20" t="s">
        <v>791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1237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696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1238</v>
      </c>
      <c r="B1662" s="27" t="s">
        <v>758</v>
      </c>
      <c r="C1662" s="27" t="s">
        <v>699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730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690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856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1239</v>
      </c>
      <c r="B1666" s="27" t="s">
        <v>797</v>
      </c>
      <c r="C1666" s="27" t="s">
        <v>693</v>
      </c>
      <c r="D1666" s="27" t="s">
        <v>694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1240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802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1241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804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690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809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722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756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1238</v>
      </c>
      <c r="B1675" s="27" t="s">
        <v>692</v>
      </c>
      <c r="C1675" s="27" t="s">
        <v>717</v>
      </c>
      <c r="D1675" s="27" t="s">
        <v>694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696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963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1242</v>
      </c>
      <c r="B1678" s="27" t="s">
        <v>746</v>
      </c>
      <c r="C1678" s="27" t="s">
        <v>876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873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963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1243</v>
      </c>
      <c r="B1681" s="27" t="s">
        <v>703</v>
      </c>
      <c r="C1681" s="27" t="s">
        <v>876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1244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696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219</v>
      </c>
      <c r="B1684" s="27" t="s">
        <v>719</v>
      </c>
      <c r="C1684" s="27" t="s">
        <v>789</v>
      </c>
      <c r="D1684" s="27" t="s">
        <v>694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712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756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1238</v>
      </c>
      <c r="B1687" s="27" t="s">
        <v>746</v>
      </c>
      <c r="C1687" s="27" t="s">
        <v>717</v>
      </c>
      <c r="D1687" s="27" t="s">
        <v>694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696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819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1239</v>
      </c>
      <c r="B1690" s="27" t="s">
        <v>749</v>
      </c>
      <c r="C1690" s="27" t="s">
        <v>876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704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/>
    </row>
    <row r="1693" spans="1:12">
      <c r="A1693" s="20" t="s">
        <v>1245</v>
      </c>
    </row>
    <row r="1694" spans="1:12">
      <c r="A1694" s="20" t="s">
        <v>761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818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810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1165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712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1136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752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219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240</v>
      </c>
      <c r="B1702" s="27" t="s">
        <v>758</v>
      </c>
      <c r="C1702" s="27" t="s">
        <v>708</v>
      </c>
      <c r="D1702" s="27" t="s">
        <v>694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712</v>
      </c>
      <c r="B1703" s="27" t="s">
        <v>797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984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704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/>
    </row>
    <row r="1707" spans="1:12">
      <c r="A1707" s="20" t="s">
        <v>1246</v>
      </c>
    </row>
    <row r="1708" spans="1:12">
      <c r="A1708" s="20" t="s">
        <v>1247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219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240</v>
      </c>
      <c r="B1710" s="27" t="s">
        <v>692</v>
      </c>
      <c r="C1710" s="27" t="s">
        <v>708</v>
      </c>
      <c r="D1710" s="27" t="s">
        <v>694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712</v>
      </c>
      <c r="B1711" s="27" t="s">
        <v>713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984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722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1248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1238</v>
      </c>
      <c r="B1715" s="27" t="s">
        <v>716</v>
      </c>
      <c r="C1715" s="27" t="s">
        <v>717</v>
      </c>
      <c r="D1715" s="27" t="s">
        <v>694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696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963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1242</v>
      </c>
      <c r="B1718" s="27" t="s">
        <v>719</v>
      </c>
      <c r="C1718" s="27" t="s">
        <v>876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873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1249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1244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696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219</v>
      </c>
      <c r="B1723" s="27" t="s">
        <v>749</v>
      </c>
      <c r="C1723" s="27" t="s">
        <v>789</v>
      </c>
      <c r="D1723" s="27" t="s">
        <v>694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712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1238</v>
      </c>
      <c r="B1725" s="27" t="s">
        <v>703</v>
      </c>
      <c r="C1725" s="27" t="s">
        <v>717</v>
      </c>
      <c r="D1725" s="27" t="s">
        <v>694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696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819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1239</v>
      </c>
      <c r="B1728" s="27" t="s">
        <v>746</v>
      </c>
      <c r="C1728" s="27" t="s">
        <v>820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799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818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1250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1251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1020</v>
      </c>
      <c r="B1733" s="27" t="s">
        <v>758</v>
      </c>
      <c r="C1733" s="27" t="s">
        <v>699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1252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704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/>
    </row>
    <row r="1737" spans="1:12">
      <c r="A1737" s="20" t="s">
        <v>1253</v>
      </c>
    </row>
    <row r="1738" spans="1:12">
      <c r="A1738" s="20" t="s">
        <v>1222</v>
      </c>
      <c r="B1738" s="27" t="s">
        <v>692</v>
      </c>
      <c r="C1738" s="27" t="s">
        <v>708</v>
      </c>
      <c r="D1738" s="27" t="s">
        <v>694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818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1254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690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247</v>
      </c>
      <c r="B1742" s="27" t="s">
        <v>698</v>
      </c>
      <c r="C1742" s="27" t="s">
        <v>693</v>
      </c>
      <c r="D1742" s="27" t="s">
        <v>694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704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/>
    </row>
    <row r="1745" spans="1:12">
      <c r="A1745" s="20" t="s">
        <v>1255</v>
      </c>
    </row>
    <row r="1746" spans="1:12">
      <c r="A1746" s="20" t="s">
        <v>1126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764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900</v>
      </c>
      <c r="B1748" s="27" t="s">
        <v>703</v>
      </c>
      <c r="C1748" s="27" t="s">
        <v>766</v>
      </c>
      <c r="D1748" s="27" t="s">
        <v>694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722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219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1076</v>
      </c>
      <c r="B1751" s="27" t="s">
        <v>692</v>
      </c>
      <c r="C1751" s="27" t="s">
        <v>693</v>
      </c>
      <c r="D1751" s="27" t="s">
        <v>694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810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1256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690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1257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1258</v>
      </c>
      <c r="B1756" s="27" t="s">
        <v>703</v>
      </c>
      <c r="C1756" s="27" t="s">
        <v>717</v>
      </c>
      <c r="D1756" s="27" t="s">
        <v>694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712</v>
      </c>
      <c r="B1757" s="27" t="s">
        <v>822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1259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219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240</v>
      </c>
      <c r="B1760" s="27" t="s">
        <v>758</v>
      </c>
      <c r="C1760" s="27" t="s">
        <v>693</v>
      </c>
      <c r="D1760" s="27" t="s">
        <v>694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712</v>
      </c>
      <c r="B1761" s="27" t="s">
        <v>797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984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696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742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240</v>
      </c>
      <c r="B1765" s="27" t="s">
        <v>798</v>
      </c>
      <c r="C1765" s="27" t="s">
        <v>708</v>
      </c>
      <c r="D1765" s="27" t="s">
        <v>694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712</v>
      </c>
      <c r="B1766" s="27" t="s">
        <v>1004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966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690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859</v>
      </c>
      <c r="B1769" s="27" t="s">
        <v>833</v>
      </c>
      <c r="C1769" s="27" t="s">
        <v>693</v>
      </c>
      <c r="D1769" s="27" t="s">
        <v>694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704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/>
    </row>
    <row r="1772" spans="1:12">
      <c r="A1772" s="20" t="s">
        <v>1260</v>
      </c>
    </row>
    <row r="1773" spans="1:12">
      <c r="A1773" s="20" t="s">
        <v>12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1076</v>
      </c>
      <c r="B1774" s="27" t="s">
        <v>692</v>
      </c>
      <c r="C1774" s="27" t="s">
        <v>693</v>
      </c>
      <c r="D1774" s="27" t="s">
        <v>694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972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877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1249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1261</v>
      </c>
      <c r="B1778" s="27" t="s">
        <v>698</v>
      </c>
      <c r="C1778" s="27" t="s">
        <v>717</v>
      </c>
      <c r="D1778" s="27" t="s">
        <v>694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701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764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247</v>
      </c>
      <c r="B1781" s="27" t="s">
        <v>746</v>
      </c>
      <c r="C1781" s="27" t="s">
        <v>766</v>
      </c>
      <c r="D1781" s="27" t="s">
        <v>694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704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/>
    </row>
    <row r="1784" spans="1:12">
      <c r="A1784" s="20" t="s">
        <v>1262</v>
      </c>
    </row>
    <row r="1785" spans="1:12">
      <c r="A1785" s="20" t="s">
        <v>761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722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219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240</v>
      </c>
      <c r="B1788" s="27" t="s">
        <v>692</v>
      </c>
      <c r="C1788" s="27" t="s">
        <v>708</v>
      </c>
      <c r="D1788" s="27" t="s">
        <v>694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712</v>
      </c>
      <c r="B1789" s="27" t="s">
        <v>713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984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1008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739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696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219</v>
      </c>
      <c r="B1794" s="27" t="s">
        <v>746</v>
      </c>
      <c r="C1794" s="27" t="s">
        <v>789</v>
      </c>
      <c r="D1794" s="27" t="s">
        <v>694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712</v>
      </c>
      <c r="B1795" s="27" t="s">
        <v>758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1263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730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140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1013</v>
      </c>
      <c r="B1799" s="27" t="s">
        <v>758</v>
      </c>
      <c r="C1799" s="27" t="s">
        <v>699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704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/>
    </row>
    <row r="1802" spans="1:12">
      <c r="A1802" s="20" t="s">
        <v>1264</v>
      </c>
    </row>
    <row r="1803" spans="1:12">
      <c r="A1803" s="20" t="s">
        <v>975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932</v>
      </c>
      <c r="B1804" s="27" t="s">
        <v>703</v>
      </c>
      <c r="C1804" s="27" t="s">
        <v>708</v>
      </c>
      <c r="D1804" s="27" t="s">
        <v>694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712</v>
      </c>
      <c r="B1805" s="27" t="s">
        <v>822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1265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1266</v>
      </c>
      <c r="B1807" s="27" t="s">
        <v>758</v>
      </c>
      <c r="C1807" s="27" t="s">
        <v>699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799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722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791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1267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742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1078</v>
      </c>
      <c r="B1813" s="27" t="s">
        <v>758</v>
      </c>
      <c r="C1813" s="27" t="s">
        <v>820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712</v>
      </c>
      <c r="B1814" s="27" t="s">
        <v>797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1268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722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1269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722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963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1095</v>
      </c>
      <c r="B1820" s="27" t="s">
        <v>798</v>
      </c>
      <c r="C1820" s="27" t="s">
        <v>876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720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874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1270</v>
      </c>
      <c r="B1823" s="27" t="s">
        <v>719</v>
      </c>
      <c r="C1823" s="27" t="s">
        <v>876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826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730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712</v>
      </c>
      <c r="B1826" s="27" t="s">
        <v>1232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1089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690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1271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832</v>
      </c>
      <c r="B1830" s="27" t="s">
        <v>1272</v>
      </c>
      <c r="C1830" s="27" t="s">
        <v>1064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696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731</v>
      </c>
      <c r="B1832" s="27" t="s">
        <v>838</v>
      </c>
      <c r="C1832" s="27" t="s">
        <v>708</v>
      </c>
      <c r="D1832" s="27" t="s">
        <v>694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352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722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219</v>
      </c>
      <c r="B1835" s="27" t="s">
        <v>1273</v>
      </c>
      <c r="C1835" s="27" t="s">
        <v>789</v>
      </c>
      <c r="D1835" s="27" t="s">
        <v>694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712</v>
      </c>
      <c r="B1836" s="27" t="s">
        <v>1274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932</v>
      </c>
      <c r="B1837" s="27" t="s">
        <v>1275</v>
      </c>
      <c r="C1837" s="27" t="s">
        <v>708</v>
      </c>
      <c r="D1837" s="27" t="s">
        <v>694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1276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810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989</v>
      </c>
      <c r="B1840" s="27" t="s">
        <v>1139</v>
      </c>
      <c r="C1840" s="27" t="s">
        <v>789</v>
      </c>
      <c r="D1840" s="27" t="s">
        <v>694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712</v>
      </c>
      <c r="B1841" s="27" t="s">
        <v>1277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1278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950</v>
      </c>
      <c r="B1843" s="27" t="s">
        <v>838</v>
      </c>
      <c r="C1843" s="27" t="s">
        <v>771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810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1147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1109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722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730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998</v>
      </c>
      <c r="B1849" s="27" t="s">
        <v>867</v>
      </c>
      <c r="C1849" s="27" t="s">
        <v>789</v>
      </c>
      <c r="D1849" s="27" t="s">
        <v>694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810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219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1279</v>
      </c>
      <c r="B1852" s="27" t="s">
        <v>719</v>
      </c>
      <c r="C1852" s="27" t="s">
        <v>717</v>
      </c>
      <c r="D1852" s="27" t="s">
        <v>694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712</v>
      </c>
      <c r="B1853" s="27" t="s">
        <v>1004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1280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1281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704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/>
    </row>
    <row r="1858" spans="1:12">
      <c r="A1858" s="20" t="s">
        <v>1282</v>
      </c>
    </row>
    <row r="1859" spans="1:12">
      <c r="A1859" s="20" t="s">
        <v>12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240</v>
      </c>
      <c r="B1860" s="27" t="s">
        <v>703</v>
      </c>
      <c r="C1860" s="27" t="s">
        <v>708</v>
      </c>
      <c r="D1860" s="27" t="s">
        <v>694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712</v>
      </c>
      <c r="B1861" s="27" t="s">
        <v>822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966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690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859</v>
      </c>
      <c r="B1864" s="27" t="s">
        <v>713</v>
      </c>
      <c r="C1864" s="27" t="s">
        <v>693</v>
      </c>
      <c r="D1864" s="27" t="s">
        <v>694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818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972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805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1283</v>
      </c>
      <c r="B1868" s="27" t="s">
        <v>716</v>
      </c>
      <c r="C1868" s="27" t="s">
        <v>717</v>
      </c>
      <c r="D1868" s="27" t="s">
        <v>694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701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764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1284</v>
      </c>
      <c r="B1871" s="27" t="s">
        <v>719</v>
      </c>
      <c r="C1871" s="27" t="s">
        <v>766</v>
      </c>
      <c r="D1871" s="27" t="s">
        <v>694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704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/>
    </row>
    <row r="1874" spans="1:12">
      <c r="A1874" s="20" t="s">
        <v>1285</v>
      </c>
    </row>
    <row r="1875" spans="1:12">
      <c r="A1875" s="20" t="s">
        <v>1015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690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959</v>
      </c>
      <c r="B1877" s="27" t="s">
        <v>703</v>
      </c>
      <c r="C1877" s="27" t="s">
        <v>693</v>
      </c>
      <c r="D1877" s="27" t="s">
        <v>694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722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960</v>
      </c>
      <c r="B1879" s="27" t="s">
        <v>692</v>
      </c>
      <c r="C1879" s="27" t="s">
        <v>708</v>
      </c>
      <c r="D1879" s="27" t="s">
        <v>694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818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1286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747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1028</v>
      </c>
      <c r="B1883" s="27" t="s">
        <v>703</v>
      </c>
      <c r="C1883" s="27" t="s">
        <v>699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704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/>
    </row>
    <row r="1886" spans="1:12">
      <c r="A1886" s="20" t="s">
        <v>1287</v>
      </c>
    </row>
    <row r="1887" spans="1:12">
      <c r="A1887" s="20" t="s">
        <v>960</v>
      </c>
      <c r="B1887" s="27" t="s">
        <v>692</v>
      </c>
      <c r="C1887" s="27" t="s">
        <v>708</v>
      </c>
      <c r="D1887" s="27" t="s">
        <v>694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1286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747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940</v>
      </c>
      <c r="B1890" s="27" t="s">
        <v>703</v>
      </c>
      <c r="C1890" s="27" t="s">
        <v>717</v>
      </c>
      <c r="D1890" s="27" t="s">
        <v>694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696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1028</v>
      </c>
      <c r="B1892" s="27" t="s">
        <v>746</v>
      </c>
      <c r="C1892" s="27" t="s">
        <v>699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704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/>
    </row>
    <row r="1895" spans="1:12">
      <c r="A1895" s="20" t="s">
        <v>1288</v>
      </c>
    </row>
    <row r="1896" spans="1:12">
      <c r="A1896" s="20" t="s">
        <v>871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722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1289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978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1290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778</v>
      </c>
      <c r="B1901" s="27" t="s">
        <v>758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696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219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1291</v>
      </c>
      <c r="B1904" s="27" t="s">
        <v>749</v>
      </c>
      <c r="C1904" s="27" t="s">
        <v>693</v>
      </c>
      <c r="D1904" s="27" t="s">
        <v>694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722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818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1290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778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696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219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1292</v>
      </c>
      <c r="B1911" s="27" t="s">
        <v>749</v>
      </c>
      <c r="C1911" s="27" t="s">
        <v>782</v>
      </c>
      <c r="D1911" s="27" t="s">
        <v>694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1291</v>
      </c>
      <c r="B1912" s="27" t="s">
        <v>746</v>
      </c>
      <c r="C1912" s="27" t="s">
        <v>693</v>
      </c>
      <c r="D1912" s="27" t="s">
        <v>694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962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1028</v>
      </c>
      <c r="B1914" s="27" t="s">
        <v>703</v>
      </c>
      <c r="C1914" s="27" t="s">
        <v>699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704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/>
    </row>
    <row r="1917" spans="1:12">
      <c r="A1917" s="20" t="s">
        <v>1293</v>
      </c>
    </row>
    <row r="1918" spans="1:12">
      <c r="A1918" s="20" t="s">
        <v>1294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701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219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1292</v>
      </c>
      <c r="B1921" s="27" t="s">
        <v>746</v>
      </c>
      <c r="C1921" s="27" t="s">
        <v>782</v>
      </c>
      <c r="D1921" s="27" t="s">
        <v>694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1291</v>
      </c>
      <c r="B1922" s="27" t="s">
        <v>698</v>
      </c>
      <c r="C1922" s="27" t="s">
        <v>693</v>
      </c>
      <c r="D1922" s="27" t="s">
        <v>694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804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940</v>
      </c>
      <c r="B1924" s="27" t="s">
        <v>703</v>
      </c>
      <c r="C1924" s="27" t="s">
        <v>699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1295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704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/>
    </row>
    <row r="1928" spans="1:12">
      <c r="A1928" s="20" t="s">
        <v>1296</v>
      </c>
    </row>
    <row r="1929" spans="1:12">
      <c r="A1929" s="20" t="s">
        <v>1297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1298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1299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752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895</v>
      </c>
      <c r="B1933" s="27" t="s">
        <v>746</v>
      </c>
      <c r="C1933" s="27" t="s">
        <v>789</v>
      </c>
      <c r="D1933" s="27" t="s">
        <v>694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804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690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1300</v>
      </c>
      <c r="B1936" s="27" t="s">
        <v>746</v>
      </c>
      <c r="C1936" s="27" t="s">
        <v>717</v>
      </c>
      <c r="D1936" s="27" t="s">
        <v>694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696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219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240</v>
      </c>
      <c r="B1939" s="27" t="s">
        <v>749</v>
      </c>
      <c r="C1939" s="27" t="s">
        <v>708</v>
      </c>
      <c r="D1939" s="27" t="s">
        <v>694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712</v>
      </c>
      <c r="B1940" s="27" t="s">
        <v>732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984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722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730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1298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50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778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696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219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240</v>
      </c>
      <c r="B1949" s="27" t="s">
        <v>1272</v>
      </c>
      <c r="C1949" s="27" t="s">
        <v>708</v>
      </c>
      <c r="D1949" s="27" t="s">
        <v>694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712</v>
      </c>
      <c r="B1950" s="27" t="s">
        <v>1275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984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804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791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1301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219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240</v>
      </c>
      <c r="B1956" s="27" t="s">
        <v>849</v>
      </c>
      <c r="C1956" s="27" t="s">
        <v>693</v>
      </c>
      <c r="D1956" s="27" t="s">
        <v>694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712</v>
      </c>
      <c r="B1957" s="27" t="s">
        <v>1302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966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690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859</v>
      </c>
      <c r="B1960" s="27" t="s">
        <v>1303</v>
      </c>
      <c r="C1960" s="27" t="s">
        <v>693</v>
      </c>
      <c r="D1960" s="27" t="s">
        <v>694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1304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696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756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1028</v>
      </c>
      <c r="B1964" s="27" t="s">
        <v>1305</v>
      </c>
      <c r="C1964" s="27" t="s">
        <v>693</v>
      </c>
      <c r="D1964" s="27" t="s">
        <v>694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712</v>
      </c>
      <c r="B1965" s="27" t="s">
        <v>1306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219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240</v>
      </c>
      <c r="B1967" s="27" t="s">
        <v>1307</v>
      </c>
      <c r="C1967" s="27" t="s">
        <v>708</v>
      </c>
      <c r="D1967" s="27" t="s">
        <v>694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712</v>
      </c>
      <c r="B1968" s="27" t="s">
        <v>1308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966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690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859</v>
      </c>
      <c r="B1971" s="27" t="s">
        <v>1309</v>
      </c>
      <c r="C1971" s="27" t="s">
        <v>693</v>
      </c>
      <c r="D1971" s="27" t="s">
        <v>694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818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1310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704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/>
    </row>
    <row r="1976" spans="1:12">
      <c r="A1976" s="20" t="s">
        <v>1311</v>
      </c>
    </row>
    <row r="1977" spans="1:12">
      <c r="A1977" s="20" t="s">
        <v>707</v>
      </c>
      <c r="B1977" s="27" t="s">
        <v>692</v>
      </c>
      <c r="C1977" s="27" t="s">
        <v>708</v>
      </c>
      <c r="D1977" s="27" t="s">
        <v>694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1312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690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1219</v>
      </c>
      <c r="B1980" s="27" t="s">
        <v>698</v>
      </c>
      <c r="C1980" s="27" t="s">
        <v>693</v>
      </c>
      <c r="D1980" s="27" t="s">
        <v>694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712</v>
      </c>
      <c r="B1981" s="27" t="s">
        <v>713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978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841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696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1238</v>
      </c>
      <c r="B1985" s="27" t="s">
        <v>716</v>
      </c>
      <c r="C1985" s="27" t="s">
        <v>699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722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895</v>
      </c>
      <c r="B1987" s="27" t="s">
        <v>822</v>
      </c>
      <c r="C1987" s="27" t="s">
        <v>789</v>
      </c>
      <c r="D1987" s="27" t="s">
        <v>694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810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1313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219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1176</v>
      </c>
      <c r="B1991" s="27" t="s">
        <v>758</v>
      </c>
      <c r="C1991" s="27" t="s">
        <v>693</v>
      </c>
      <c r="D1991" s="27" t="s">
        <v>694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704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/>
    </row>
    <row r="1994" spans="1:12">
      <c r="A1994" s="20" t="s">
        <v>1314</v>
      </c>
    </row>
    <row r="1995" spans="1:12">
      <c r="A1995" s="20" t="s">
        <v>1222</v>
      </c>
      <c r="B1995" s="27" t="s">
        <v>692</v>
      </c>
      <c r="C1995" s="27" t="s">
        <v>708</v>
      </c>
      <c r="D1995" s="27" t="s">
        <v>694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841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696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1238</v>
      </c>
      <c r="B1998" s="27" t="s">
        <v>703</v>
      </c>
      <c r="C1998" s="27" t="s">
        <v>717</v>
      </c>
      <c r="D1998" s="27" t="s">
        <v>694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701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1315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1009</v>
      </c>
      <c r="B2001" s="27" t="s">
        <v>703</v>
      </c>
      <c r="C2001" s="27" t="s">
        <v>699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690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219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1316</v>
      </c>
      <c r="B2004" s="27" t="s">
        <v>703</v>
      </c>
      <c r="C2004" s="27" t="s">
        <v>693</v>
      </c>
      <c r="D2004" s="27" t="s">
        <v>694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696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219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1292</v>
      </c>
      <c r="B2007" s="27" t="s">
        <v>749</v>
      </c>
      <c r="C2007" s="27" t="s">
        <v>782</v>
      </c>
      <c r="D2007" s="27" t="s">
        <v>694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240</v>
      </c>
      <c r="B2008" s="27" t="s">
        <v>746</v>
      </c>
      <c r="C2008" s="27" t="s">
        <v>708</v>
      </c>
      <c r="D2008" s="27" t="s">
        <v>694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712</v>
      </c>
      <c r="B2009" s="27" t="s">
        <v>797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984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704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/>
    </row>
    <row r="2013" spans="1:12">
      <c r="A2013" s="20" t="s">
        <v>1317</v>
      </c>
    </row>
    <row r="2014" spans="1:12">
      <c r="A2014" s="20" t="s">
        <v>1085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690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1318</v>
      </c>
      <c r="B2016" s="27" t="s">
        <v>703</v>
      </c>
      <c r="C2016" s="27" t="s">
        <v>708</v>
      </c>
      <c r="D2016" s="27" t="s">
        <v>694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722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895</v>
      </c>
      <c r="B2018" s="27" t="s">
        <v>692</v>
      </c>
      <c r="C2018" s="27" t="s">
        <v>789</v>
      </c>
      <c r="D2018" s="27" t="s">
        <v>694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810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742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1319</v>
      </c>
      <c r="B2021" s="27" t="s">
        <v>703</v>
      </c>
      <c r="C2021" s="27" t="s">
        <v>717</v>
      </c>
      <c r="D2021" s="27" t="s">
        <v>694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1320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696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1321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704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/>
    </row>
    <row r="2027" spans="1:12">
      <c r="A2027" s="20" t="s">
        <v>1322</v>
      </c>
    </row>
    <row r="2028" spans="1:12">
      <c r="A2028" s="20" t="s">
        <v>894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91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722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1010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1323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696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756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1019</v>
      </c>
      <c r="B2035" s="27" t="s">
        <v>719</v>
      </c>
      <c r="C2035" s="27" t="s">
        <v>782</v>
      </c>
      <c r="D2035" s="27" t="s">
        <v>694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1020</v>
      </c>
      <c r="B2036" s="27" t="s">
        <v>716</v>
      </c>
      <c r="C2036" s="27" t="s">
        <v>693</v>
      </c>
      <c r="D2036" s="27" t="s">
        <v>694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983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/>
    </row>
    <row r="2039" spans="1:12">
      <c r="A2039" s="20" t="s">
        <v>1324</v>
      </c>
    </row>
    <row r="2040" spans="1:12">
      <c r="A2040" s="20" t="s">
        <v>1325</v>
      </c>
      <c r="B2040" s="27" t="s">
        <v>692</v>
      </c>
      <c r="C2040" s="27" t="s">
        <v>789</v>
      </c>
      <c r="D2040" s="27" t="s">
        <v>694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810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819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696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756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1326</v>
      </c>
      <c r="B2045" s="27" t="s">
        <v>703</v>
      </c>
      <c r="C2045" s="27" t="s">
        <v>693</v>
      </c>
      <c r="D2045" s="27" t="s">
        <v>694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1327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752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690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1328</v>
      </c>
      <c r="B2049" s="27" t="s">
        <v>749</v>
      </c>
      <c r="C2049" s="27" t="s">
        <v>717</v>
      </c>
      <c r="D2049" s="27" t="s">
        <v>694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696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219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240</v>
      </c>
      <c r="B2052" s="27" t="s">
        <v>719</v>
      </c>
      <c r="C2052" s="27" t="s">
        <v>708</v>
      </c>
      <c r="D2052" s="27" t="s">
        <v>694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712</v>
      </c>
      <c r="B2053" s="27" t="s">
        <v>1004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984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704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/>
    </row>
    <row r="2057" spans="1:12">
      <c r="A2057" s="20" t="s">
        <v>1329</v>
      </c>
    </row>
    <row r="2058" spans="1:12">
      <c r="A2058" s="20" t="s">
        <v>1330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1331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745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904</v>
      </c>
      <c r="B2061" s="27" t="s">
        <v>746</v>
      </c>
      <c r="C2061" s="27" t="s">
        <v>789</v>
      </c>
      <c r="D2061" s="27" t="s">
        <v>694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722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1331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701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1248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1238</v>
      </c>
      <c r="B2066" s="27" t="s">
        <v>703</v>
      </c>
      <c r="C2066" s="27" t="s">
        <v>771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712</v>
      </c>
      <c r="B2067" s="27" t="s">
        <v>716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1332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701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690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1333</v>
      </c>
      <c r="B2071" s="27" t="s">
        <v>749</v>
      </c>
      <c r="C2071" s="27" t="s">
        <v>996</v>
      </c>
      <c r="D2071" s="27" t="s">
        <v>694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768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1334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727</v>
      </c>
      <c r="B2074" s="27" t="s">
        <v>749</v>
      </c>
      <c r="C2074" s="27" t="s">
        <v>771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722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712</v>
      </c>
      <c r="B2076" s="27" t="s">
        <v>713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939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1129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756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1244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1238</v>
      </c>
      <c r="B2081" s="27" t="s">
        <v>746</v>
      </c>
      <c r="C2081" s="27" t="s">
        <v>693</v>
      </c>
      <c r="D2081" s="27" t="s">
        <v>694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712</v>
      </c>
      <c r="B2082" s="27" t="s">
        <v>798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1335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1336</v>
      </c>
      <c r="B2084" s="27" t="s">
        <v>797</v>
      </c>
      <c r="C2084" s="27" t="s">
        <v>771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1337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704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/>
    </row>
    <row r="2088" spans="1:12">
      <c r="A2088" s="20" t="s">
        <v>1338</v>
      </c>
    </row>
    <row r="2089" spans="1:12">
      <c r="A2089" s="20" t="s">
        <v>828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701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1102</v>
      </c>
      <c r="B2091" s="27" t="s">
        <v>703</v>
      </c>
      <c r="C2091" s="27" t="s">
        <v>708</v>
      </c>
      <c r="D2091" s="27" t="s">
        <v>694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720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933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1339</v>
      </c>
      <c r="B2094" s="27" t="s">
        <v>698</v>
      </c>
      <c r="C2094" s="27" t="s">
        <v>717</v>
      </c>
      <c r="D2094" s="27" t="s">
        <v>694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701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1340</v>
      </c>
      <c r="B2096" s="27" t="s">
        <v>746</v>
      </c>
      <c r="C2096" s="27" t="s">
        <v>717</v>
      </c>
      <c r="D2096" s="27" t="s">
        <v>694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720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219</v>
      </c>
      <c r="B2098" s="27" t="s">
        <v>749</v>
      </c>
      <c r="C2098" s="27" t="s">
        <v>789</v>
      </c>
      <c r="D2098" s="27" t="s">
        <v>694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712</v>
      </c>
      <c r="B2099" s="27" t="s">
        <v>738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1331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701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961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1238</v>
      </c>
      <c r="B2103" s="27" t="s">
        <v>867</v>
      </c>
      <c r="C2103" s="27" t="s">
        <v>771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704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/>
    </row>
    <row r="2106" spans="1:12">
      <c r="A2106" s="20" t="s">
        <v>1341</v>
      </c>
    </row>
    <row r="2107" spans="1:12">
      <c r="A2107" s="20" t="s">
        <v>1342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722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1343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756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910</v>
      </c>
      <c r="B2111" s="27" t="s">
        <v>746</v>
      </c>
      <c r="C2111" s="27" t="s">
        <v>782</v>
      </c>
      <c r="D2111" s="27" t="s">
        <v>694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1020</v>
      </c>
      <c r="B2112" s="27" t="s">
        <v>698</v>
      </c>
      <c r="C2112" s="27" t="s">
        <v>717</v>
      </c>
      <c r="D2112" s="27" t="s">
        <v>694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696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1344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994</v>
      </c>
      <c r="B2115" s="27" t="s">
        <v>746</v>
      </c>
      <c r="C2115" s="27" t="s">
        <v>766</v>
      </c>
      <c r="D2115" s="27" t="s">
        <v>694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696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1345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1242</v>
      </c>
      <c r="B2118" s="27" t="s">
        <v>749</v>
      </c>
      <c r="C2118" s="27" t="s">
        <v>876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722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735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696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102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944</v>
      </c>
      <c r="B2123" s="27" t="s">
        <v>749</v>
      </c>
      <c r="C2123" s="27" t="s">
        <v>717</v>
      </c>
      <c r="D2123" s="27" t="s">
        <v>694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701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724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725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1346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727</v>
      </c>
      <c r="B2128" s="27" t="s">
        <v>719</v>
      </c>
      <c r="C2128" s="27" t="s">
        <v>729</v>
      </c>
      <c r="D2128" s="27" t="s">
        <v>694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704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/>
    </row>
    <row r="2131" spans="1:12">
      <c r="A2131" s="20" t="s">
        <v>1347</v>
      </c>
    </row>
    <row r="2132" spans="1:12">
      <c r="A2132" s="20" t="s">
        <v>761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722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791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1348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1349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219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1350</v>
      </c>
      <c r="B2138" s="27" t="s">
        <v>758</v>
      </c>
      <c r="C2138" s="27" t="s">
        <v>693</v>
      </c>
      <c r="D2138" s="27" t="s">
        <v>694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712</v>
      </c>
      <c r="B2139" s="27" t="s">
        <v>797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1351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756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1203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1352</v>
      </c>
      <c r="B2143" s="27" t="s">
        <v>798</v>
      </c>
      <c r="C2143" s="27" t="s">
        <v>729</v>
      </c>
      <c r="D2143" s="27" t="s">
        <v>694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1353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722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1354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1355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806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1356</v>
      </c>
      <c r="B2149" s="27" t="s">
        <v>698</v>
      </c>
      <c r="C2149" s="27" t="s">
        <v>771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704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/>
    </row>
    <row r="2152" spans="1:12">
      <c r="A2152" s="20" t="s">
        <v>1357</v>
      </c>
    </row>
    <row r="2153" spans="1:12">
      <c r="A2153" s="20" t="s">
        <v>1358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722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904</v>
      </c>
      <c r="B2155" s="27" t="s">
        <v>692</v>
      </c>
      <c r="C2155" s="27" t="s">
        <v>789</v>
      </c>
      <c r="D2155" s="27" t="s">
        <v>694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873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1345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1242</v>
      </c>
      <c r="B2158" s="27" t="s">
        <v>703</v>
      </c>
      <c r="C2158" s="27" t="s">
        <v>876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730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722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701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219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1359</v>
      </c>
      <c r="B2163" s="27" t="s">
        <v>746</v>
      </c>
      <c r="C2163" s="27" t="s">
        <v>693</v>
      </c>
      <c r="D2163" s="27" t="s">
        <v>694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722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819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1356</v>
      </c>
      <c r="B2166" s="27" t="s">
        <v>703</v>
      </c>
      <c r="C2166" s="27" t="s">
        <v>717</v>
      </c>
      <c r="D2166" s="27" t="s">
        <v>694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730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1360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704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/>
    </row>
    <row r="2171" spans="1:12">
      <c r="A2171" s="20" t="s">
        <v>1361</v>
      </c>
    </row>
    <row r="2172" spans="1:12">
      <c r="A2172" s="20" t="s">
        <v>1362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712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829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819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1363</v>
      </c>
      <c r="B2176" s="27" t="s">
        <v>822</v>
      </c>
      <c r="C2176" s="27" t="s">
        <v>820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704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/>
    </row>
    <row r="2179" spans="1:12">
      <c r="A2179" s="20" t="s">
        <v>1364</v>
      </c>
    </row>
    <row r="2180" spans="1:12">
      <c r="A2180" s="20" t="s">
        <v>707</v>
      </c>
      <c r="B2180" s="27" t="s">
        <v>692</v>
      </c>
      <c r="C2180" s="27" t="s">
        <v>708</v>
      </c>
      <c r="D2180" s="27" t="s">
        <v>694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1365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200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742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1249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1366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701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219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1249</v>
      </c>
      <c r="B2188" s="27" t="s">
        <v>746</v>
      </c>
      <c r="C2188" s="27" t="s">
        <v>789</v>
      </c>
      <c r="D2188" s="27" t="s">
        <v>694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1367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712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1312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752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390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940</v>
      </c>
      <c r="B2194" s="27" t="s">
        <v>798</v>
      </c>
      <c r="C2194" s="27" t="s">
        <v>699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722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836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1080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712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1368</v>
      </c>
      <c r="B2199" s="27" t="s">
        <v>732</v>
      </c>
      <c r="C2199" s="27" t="s">
        <v>708</v>
      </c>
      <c r="D2199" s="27" t="s">
        <v>694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1369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739</v>
      </c>
      <c r="B2201" s="27" t="s">
        <v>738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722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768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819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1067</v>
      </c>
      <c r="B2205" s="27" t="s">
        <v>716</v>
      </c>
      <c r="C2205" s="27" t="s">
        <v>820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1370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861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/>
    </row>
    <row r="2209" spans="1:12">
      <c r="A2209" s="20" t="s">
        <v>1371</v>
      </c>
    </row>
    <row r="2210" spans="1:12">
      <c r="A2210" s="20" t="s">
        <v>1113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810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712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1372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1373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892</v>
      </c>
      <c r="B2215" s="27" t="s">
        <v>698</v>
      </c>
      <c r="C2215" s="27" t="s">
        <v>771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690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756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940</v>
      </c>
      <c r="B2218" s="27" t="s">
        <v>703</v>
      </c>
      <c r="C2218" s="27" t="s">
        <v>717</v>
      </c>
      <c r="D2218" s="27" t="s">
        <v>694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701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1374</v>
      </c>
      <c r="B2220" s="27" t="s">
        <v>746</v>
      </c>
      <c r="C2220" s="27" t="s">
        <v>717</v>
      </c>
      <c r="D2220" s="27" t="s">
        <v>694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690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690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892</v>
      </c>
      <c r="B2223" s="27" t="s">
        <v>749</v>
      </c>
      <c r="C2223" s="27" t="s">
        <v>693</v>
      </c>
      <c r="D2223" s="27" t="s">
        <v>694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712</v>
      </c>
      <c r="B2224" s="27" t="s">
        <v>732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1372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690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756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1028</v>
      </c>
      <c r="B2228" s="27" t="s">
        <v>738</v>
      </c>
      <c r="C2228" s="27" t="s">
        <v>693</v>
      </c>
      <c r="D2228" s="27" t="s">
        <v>694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983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/>
    </row>
    <row r="2231" spans="1:12">
      <c r="A2231" s="20" t="s">
        <v>1375</v>
      </c>
    </row>
    <row r="2232" spans="1:12">
      <c r="A2232" s="20" t="s">
        <v>903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904</v>
      </c>
      <c r="B2233" s="27" t="s">
        <v>703</v>
      </c>
      <c r="C2233" s="27" t="s">
        <v>789</v>
      </c>
      <c r="D2233" s="27" t="s">
        <v>694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722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1376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712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1377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701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819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859</v>
      </c>
      <c r="B2240" s="27" t="s">
        <v>746</v>
      </c>
      <c r="C2240" s="27" t="s">
        <v>820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1320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704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/>
    </row>
    <row r="2244" spans="1:12">
      <c r="A2244" s="20" t="s">
        <v>1378</v>
      </c>
    </row>
    <row r="2245" spans="1:12">
      <c r="A2245" s="20" t="s">
        <v>1379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712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701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756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1380</v>
      </c>
      <c r="B2249" s="27" t="s">
        <v>746</v>
      </c>
      <c r="C2249" s="27" t="s">
        <v>693</v>
      </c>
      <c r="D2249" s="27" t="s">
        <v>694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1381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1238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1368</v>
      </c>
      <c r="B2252" s="27" t="s">
        <v>822</v>
      </c>
      <c r="C2252" s="27" t="s">
        <v>708</v>
      </c>
      <c r="D2252" s="27" t="s">
        <v>694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1382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712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722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701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219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837</v>
      </c>
      <c r="B2258" s="27" t="s">
        <v>749</v>
      </c>
      <c r="C2258" s="27" t="s">
        <v>717</v>
      </c>
      <c r="D2258" s="27" t="s">
        <v>694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696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756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1238</v>
      </c>
      <c r="B2261" s="27" t="s">
        <v>719</v>
      </c>
      <c r="C2261" s="27" t="s">
        <v>693</v>
      </c>
      <c r="D2261" s="27" t="s">
        <v>694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722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1383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756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1380</v>
      </c>
      <c r="B2265" s="27" t="s">
        <v>719</v>
      </c>
      <c r="C2265" s="27" t="s">
        <v>782</v>
      </c>
      <c r="D2265" s="27" t="s">
        <v>694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1352</v>
      </c>
      <c r="B2266" s="27" t="s">
        <v>713</v>
      </c>
      <c r="C2266" s="27" t="s">
        <v>876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1384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200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1385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722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730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1386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1061</v>
      </c>
      <c r="B2273" s="27" t="s">
        <v>798</v>
      </c>
      <c r="C2273" s="27" t="s">
        <v>708</v>
      </c>
      <c r="D2273" s="27" t="s">
        <v>694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819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1387</v>
      </c>
      <c r="B2275" s="27" t="s">
        <v>798</v>
      </c>
      <c r="C2275" s="27" t="s">
        <v>820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1388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752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712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818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791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1389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696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947</v>
      </c>
      <c r="B2283" s="27" t="s">
        <v>833</v>
      </c>
      <c r="C2283" s="27" t="s">
        <v>711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704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/>
    </row>
    <row r="2286" spans="1:12">
      <c r="A2286" s="20" t="s">
        <v>1390</v>
      </c>
    </row>
    <row r="2287" spans="1:12">
      <c r="A2287" s="20" t="s">
        <v>1391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756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1392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1238</v>
      </c>
      <c r="B2290" s="27" t="s">
        <v>703</v>
      </c>
      <c r="C2290" s="27" t="s">
        <v>693</v>
      </c>
      <c r="D2290" s="27" t="s">
        <v>694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983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/>
    </row>
    <row r="2293" spans="1:12">
      <c r="A2293" s="20" t="s">
        <v>1393</v>
      </c>
    </row>
    <row r="2294" spans="1:12">
      <c r="A2294" s="20" t="s">
        <v>1394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1395</v>
      </c>
      <c r="B2295" s="27" t="s">
        <v>703</v>
      </c>
      <c r="C2295" s="27" t="s">
        <v>699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1396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871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722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791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1397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1248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1238</v>
      </c>
      <c r="B2302" s="27" t="s">
        <v>716</v>
      </c>
      <c r="C2302" s="27" t="s">
        <v>771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826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722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829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742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1123</v>
      </c>
      <c r="B2307" s="27" t="s">
        <v>822</v>
      </c>
      <c r="C2307" s="27" t="s">
        <v>717</v>
      </c>
      <c r="D2307" s="27" t="s">
        <v>694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747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724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874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1398</v>
      </c>
      <c r="B2311" s="27" t="s">
        <v>749</v>
      </c>
      <c r="C2311" s="27" t="s">
        <v>729</v>
      </c>
      <c r="D2311" s="27" t="s">
        <v>694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730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1399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696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50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804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1384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1400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998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1123</v>
      </c>
      <c r="B2320" s="27" t="s">
        <v>738</v>
      </c>
      <c r="C2320" s="27" t="s">
        <v>766</v>
      </c>
      <c r="D2320" s="27" t="s">
        <v>694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704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/>
    </row>
    <row r="2323" spans="1:12">
      <c r="A2323" s="20" t="s">
        <v>1401</v>
      </c>
    </row>
    <row r="2324" spans="1:12">
      <c r="A2324" s="20" t="s">
        <v>1015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690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959</v>
      </c>
      <c r="B2326" s="27" t="s">
        <v>749</v>
      </c>
      <c r="C2326" s="27" t="s">
        <v>693</v>
      </c>
      <c r="D2326" s="27" t="s">
        <v>694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722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818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810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1402</v>
      </c>
      <c r="B2330" s="27" t="s">
        <v>822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696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1119</v>
      </c>
      <c r="B2332" s="27" t="s">
        <v>749</v>
      </c>
      <c r="C2332" s="27" t="s">
        <v>1099</v>
      </c>
      <c r="D2332" s="27" t="s">
        <v>694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722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799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722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791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1403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701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1404</v>
      </c>
      <c r="B2339" s="27" t="s">
        <v>867</v>
      </c>
      <c r="C2339" s="27" t="s">
        <v>717</v>
      </c>
      <c r="D2339" s="27" t="s">
        <v>694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696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1076</v>
      </c>
      <c r="B2341" s="27" t="s">
        <v>728</v>
      </c>
      <c r="C2341" s="27" t="s">
        <v>699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1405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819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1017</v>
      </c>
      <c r="B2344" s="27" t="s">
        <v>798</v>
      </c>
      <c r="C2344" s="27" t="s">
        <v>820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722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836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791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1403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701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1404</v>
      </c>
      <c r="B2350" s="27" t="s">
        <v>719</v>
      </c>
      <c r="C2350" s="27" t="s">
        <v>717</v>
      </c>
      <c r="D2350" s="27" t="s">
        <v>694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696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940</v>
      </c>
      <c r="B2352" s="27" t="s">
        <v>867</v>
      </c>
      <c r="C2352" s="27" t="s">
        <v>699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722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1298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95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806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1017</v>
      </c>
      <c r="B2357" s="27" t="s">
        <v>758</v>
      </c>
      <c r="C2357" s="27" t="s">
        <v>771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704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/>
    </row>
    <row r="2360" spans="1:12">
      <c r="A2360" s="20" t="s">
        <v>1406</v>
      </c>
    </row>
    <row r="2361" spans="1:12">
      <c r="A2361" s="20" t="s">
        <v>780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430</v>
      </c>
      <c r="B2362" s="27" t="s">
        <v>703</v>
      </c>
      <c r="C2362" s="27" t="s">
        <v>693</v>
      </c>
      <c r="D2362" s="27" t="s">
        <v>694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1215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712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1286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756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1238</v>
      </c>
      <c r="B2367" s="27" t="s">
        <v>758</v>
      </c>
      <c r="C2367" s="27" t="s">
        <v>693</v>
      </c>
      <c r="D2367" s="27" t="s">
        <v>694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712</v>
      </c>
      <c r="B2368" s="27" t="s">
        <v>797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1286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810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742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1407</v>
      </c>
      <c r="B2372" s="27" t="s">
        <v>749</v>
      </c>
      <c r="C2372" s="27" t="s">
        <v>717</v>
      </c>
      <c r="D2372" s="27" t="s">
        <v>694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712</v>
      </c>
      <c r="B2373" s="27" t="s">
        <v>732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701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724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1408</v>
      </c>
      <c r="B2376" s="27" t="s">
        <v>719</v>
      </c>
      <c r="C2376" s="27" t="s">
        <v>717</v>
      </c>
      <c r="D2376" s="27" t="s">
        <v>694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720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819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1284</v>
      </c>
      <c r="B2379" s="27" t="s">
        <v>867</v>
      </c>
      <c r="C2379" s="27" t="s">
        <v>717</v>
      </c>
      <c r="D2379" s="27" t="s">
        <v>694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747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724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874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1398</v>
      </c>
      <c r="B2383" s="27" t="s">
        <v>728</v>
      </c>
      <c r="C2383" s="27" t="s">
        <v>729</v>
      </c>
      <c r="D2383" s="27" t="s">
        <v>694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704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/>
    </row>
    <row r="2386" spans="1:12">
      <c r="A2386" s="20" t="s">
        <v>1409</v>
      </c>
    </row>
    <row r="2387" spans="1:12">
      <c r="A2387" s="20" t="s">
        <v>761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722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724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874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1398</v>
      </c>
      <c r="B2391" s="27" t="s">
        <v>692</v>
      </c>
      <c r="C2391" s="27" t="s">
        <v>729</v>
      </c>
      <c r="D2391" s="27" t="s">
        <v>694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1410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720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1411</v>
      </c>
      <c r="B2394" s="27" t="s">
        <v>746</v>
      </c>
      <c r="C2394" s="27" t="s">
        <v>708</v>
      </c>
      <c r="D2394" s="27" t="s">
        <v>694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963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1412</v>
      </c>
      <c r="B2396" s="27" t="s">
        <v>698</v>
      </c>
      <c r="C2396" s="27" t="s">
        <v>717</v>
      </c>
      <c r="D2396" s="27" t="s">
        <v>694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696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697</v>
      </c>
      <c r="B2398" s="27" t="s">
        <v>746</v>
      </c>
      <c r="C2398" s="27" t="s">
        <v>699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704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/>
    </row>
    <row r="2401" spans="1:12">
      <c r="A2401" s="20" t="s">
        <v>1413</v>
      </c>
    </row>
    <row r="2402" spans="1:12">
      <c r="A2402" s="20" t="s">
        <v>1414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874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875</v>
      </c>
      <c r="B2404" s="27" t="s">
        <v>698</v>
      </c>
      <c r="C2404" s="27" t="s">
        <v>717</v>
      </c>
      <c r="D2404" s="27" t="s">
        <v>694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696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697</v>
      </c>
      <c r="B2406" s="27" t="s">
        <v>746</v>
      </c>
      <c r="C2406" s="27" t="s">
        <v>699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712</v>
      </c>
      <c r="B2407" s="27" t="s">
        <v>798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834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39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722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742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752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1054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240</v>
      </c>
      <c r="B2414" s="27" t="s">
        <v>749</v>
      </c>
      <c r="C2414" s="27" t="s">
        <v>708</v>
      </c>
      <c r="D2414" s="27" t="s">
        <v>694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704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/>
    </row>
    <row r="2417" spans="1:12">
      <c r="A2417" s="20" t="s">
        <v>705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1415</v>
      </c>
    </row>
    <row r="2419" spans="1:12">
      <c r="A2419" s="20" t="s">
        <v>1416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722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 t="s">
        <v>1298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172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861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192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1117</v>
      </c>
      <c r="B2425" s="27" t="s">
        <v>797</v>
      </c>
      <c r="C2425" s="27" t="s">
        <v>996</v>
      </c>
      <c r="D2425" s="27" t="s">
        <v>694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869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810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219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240</v>
      </c>
      <c r="B2429" s="27" t="s">
        <v>713</v>
      </c>
      <c r="C2429" s="27" t="s">
        <v>708</v>
      </c>
      <c r="D2429" s="27" t="s">
        <v>694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712</v>
      </c>
      <c r="B2430" s="27" t="s">
        <v>732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966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690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 t="s">
        <v>859</v>
      </c>
      <c r="B2433" s="27" t="s">
        <v>738</v>
      </c>
      <c r="C2433" s="27" t="s">
        <v>693</v>
      </c>
      <c r="D2433" s="27" t="s">
        <v>694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983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192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730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734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1417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861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/>
    </row>
    <row r="2441" spans="1:12">
      <c r="A2441" s="20" t="s">
        <v>705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1418</v>
      </c>
    </row>
    <row r="2443" spans="1:12">
      <c r="A2443" s="20" t="s">
        <v>1117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759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873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724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1169</v>
      </c>
      <c r="B2447" s="27" t="s">
        <v>692</v>
      </c>
      <c r="C2447" s="27" t="s">
        <v>693</v>
      </c>
      <c r="D2447" s="27" t="s">
        <v>694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701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 t="s">
        <v>690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866</v>
      </c>
      <c r="B2450" s="27" t="s">
        <v>703</v>
      </c>
      <c r="C2450" s="27" t="s">
        <v>717</v>
      </c>
      <c r="D2450" s="27" t="s">
        <v>694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696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219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240</v>
      </c>
      <c r="B2453" s="27" t="s">
        <v>746</v>
      </c>
      <c r="C2453" s="27" t="s">
        <v>708</v>
      </c>
      <c r="D2453" s="27" t="s">
        <v>694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712</v>
      </c>
      <c r="B2454" s="27" t="s">
        <v>797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966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690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859</v>
      </c>
      <c r="B2457" s="27" t="s">
        <v>798</v>
      </c>
      <c r="C2457" s="27" t="s">
        <v>693</v>
      </c>
      <c r="D2457" s="27" t="s">
        <v>694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983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192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1419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731</v>
      </c>
      <c r="B2461" s="27" t="s">
        <v>822</v>
      </c>
      <c r="C2461" s="27" t="s">
        <v>708</v>
      </c>
      <c r="D2461" s="27" t="s">
        <v>694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873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1197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690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697</v>
      </c>
      <c r="B2465" s="27" t="s">
        <v>822</v>
      </c>
      <c r="C2465" s="27" t="s">
        <v>717</v>
      </c>
      <c r="D2465" s="27" t="s">
        <v>694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1152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1169</v>
      </c>
      <c r="B2467" s="27" t="s">
        <v>749</v>
      </c>
      <c r="C2467" s="27" t="s">
        <v>699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810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742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1420</v>
      </c>
      <c r="B2470" s="27" t="s">
        <v>703</v>
      </c>
      <c r="C2470" s="27" t="s">
        <v>820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1421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704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/>
    </row>
    <row r="2474" spans="1:12">
      <c r="A2474" s="20" t="s">
        <v>1422</v>
      </c>
    </row>
    <row r="2475" spans="1:12">
      <c r="A2475" s="20" t="s">
        <v>1423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1424</v>
      </c>
      <c r="B2476" s="27" t="s">
        <v>692</v>
      </c>
      <c r="C2476" s="27" t="s">
        <v>699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1298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200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1425</v>
      </c>
      <c r="B2479" s="27" t="s">
        <v>703</v>
      </c>
      <c r="C2479" s="27" t="s">
        <v>699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983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/>
    </row>
    <row r="2482" spans="1:12">
      <c r="A2482" s="20" t="s">
        <v>1426</v>
      </c>
    </row>
    <row r="2483" spans="1:12">
      <c r="A2483" s="20" t="s">
        <v>1046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1082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722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701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843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1427</v>
      </c>
      <c r="B2488" s="27" t="s">
        <v>703</v>
      </c>
      <c r="C2488" s="27" t="s">
        <v>766</v>
      </c>
      <c r="D2488" s="27" t="s">
        <v>694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1428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1429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696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95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819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1241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1430</v>
      </c>
      <c r="B2495" s="27" t="s">
        <v>758</v>
      </c>
      <c r="C2495" s="27" t="s">
        <v>717</v>
      </c>
      <c r="D2495" s="27" t="s">
        <v>694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745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690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697</v>
      </c>
      <c r="B2498" s="27" t="s">
        <v>749</v>
      </c>
      <c r="C2498" s="27" t="s">
        <v>717</v>
      </c>
      <c r="D2498" s="27" t="s">
        <v>694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696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219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240</v>
      </c>
      <c r="B2501" s="27" t="s">
        <v>719</v>
      </c>
      <c r="C2501" s="27" t="s">
        <v>708</v>
      </c>
      <c r="D2501" s="27" t="s">
        <v>694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712</v>
      </c>
      <c r="B2502" s="27" t="s">
        <v>1004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966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690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859</v>
      </c>
      <c r="B2505" s="27" t="s">
        <v>833</v>
      </c>
      <c r="C2505" s="27" t="s">
        <v>717</v>
      </c>
      <c r="D2505" s="27" t="s">
        <v>694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690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219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1431</v>
      </c>
      <c r="B2508" s="27" t="s">
        <v>1000</v>
      </c>
      <c r="C2508" s="27" t="s">
        <v>717</v>
      </c>
      <c r="D2508" s="27" t="s">
        <v>694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696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219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1076</v>
      </c>
      <c r="B2511" s="27" t="s">
        <v>1272</v>
      </c>
      <c r="C2511" s="27" t="s">
        <v>693</v>
      </c>
      <c r="D2511" s="27" t="s">
        <v>694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704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/>
    </row>
    <row r="2514" spans="1:12">
      <c r="A2514" s="20" t="s">
        <v>1432</v>
      </c>
    </row>
    <row r="2515" spans="1:12">
      <c r="A2515" s="20" t="s">
        <v>1150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1433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745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690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697</v>
      </c>
      <c r="B2519" s="27" t="s">
        <v>758</v>
      </c>
      <c r="C2519" s="27" t="s">
        <v>717</v>
      </c>
      <c r="D2519" s="27" t="s">
        <v>694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696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219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240</v>
      </c>
      <c r="B2522" s="27" t="s">
        <v>749</v>
      </c>
      <c r="C2522" s="27" t="s">
        <v>708</v>
      </c>
      <c r="D2522" s="27" t="s">
        <v>694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712</v>
      </c>
      <c r="B2523" s="27" t="s">
        <v>732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984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722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904</v>
      </c>
      <c r="B2526" s="27" t="s">
        <v>738</v>
      </c>
      <c r="C2526" s="27" t="s">
        <v>789</v>
      </c>
      <c r="D2526" s="27" t="s">
        <v>694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722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 t="s">
        <v>810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997</v>
      </c>
      <c r="B2529" s="27" t="s">
        <v>692</v>
      </c>
      <c r="C2529" s="27" t="s">
        <v>711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1213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1434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704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/>
    </row>
    <row r="2534" spans="1:12">
      <c r="A2534" s="20" t="s">
        <v>1435</v>
      </c>
    </row>
    <row r="2535" spans="1:12">
      <c r="A2535" s="20" t="s">
        <v>899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791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1436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 t="s">
        <v>696</v>
      </c>
      <c r="E2538" s="21">
        <f>IF(D2538="?OLD","!!!","")</f>
        <v/>
      </c>
      <c r="F2538" s="22" t="str">
        <f>IF(OR(E2538="",E2538="!!!"),"",IF(NOT(ISNA(VLOOKUP(E2538,E$1:E2537,1,FALSE()))),"OLD",IF(AND(E2538&lt;&gt;"",E2538&lt;&gt;"!!!"),"NEW","")))</f>
        <v> </v>
      </c>
      <c r="G2538" s="23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4" t="str">
        <f>IF(J2538&lt;&gt;1,"",IF(I2538="SBJ","CB","?"))</f>
        <v> </v>
      </c>
      <c r="I2538" s="25" t="str">
        <f>IF(OR(E2538="",E2538="!!!",F2538="NEW"),"",INDEX(B2537:B$2,-1+SUMPRODUCT(MAX(ROW(E2537:E$2)*(E2538=E2537:E$2)))))</f>
        <v> </v>
      </c>
      <c r="J2538" s="25" t="str">
        <f>IF(OR(E2538="",E2538="!!!",F2538="NEW"),"",COUNTBLANK(OFFSET(A$1,,,SUMPRODUCT(MAX(ROW(E$2:E2538)*(E2538=E$2:E2538)))))-COUNTBLANK(OFFSET(A$1,,,SUMPRODUCT(MAX(ROW(E$1:E2537)*(E2=E$1:E2537))))))</f>
        <v> </v>
      </c>
      <c r="K2538" s="25" t="str">
        <f>IF(OR(E2538="",E2538="!!!",F2538="NEW"),"",INDEX(J$1:J2537,SUMPRODUCT(MAX(ROW(E$1:E2537)*(E2538=E$1:E2537)))))</f>
        <v> </v>
      </c>
      <c r="L2538" s="26"/>
    </row>
    <row r="2539" spans="1:12">
      <c r="A2539" s="20" t="s">
        <v>1437</v>
      </c>
      <c r="B2539" s="27" t="s">
        <v>758</v>
      </c>
      <c r="C2539" s="27" t="s">
        <v>699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869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710</v>
      </c>
      <c r="B2541" s="27" t="s">
        <v>822</v>
      </c>
      <c r="C2541" s="27" t="s">
        <v>711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966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704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/>
    </row>
    <row r="2545" spans="1:12">
      <c r="A2545" s="20" t="s">
        <v>1438</v>
      </c>
    </row>
    <row r="2546" spans="1:12">
      <c r="A2546" s="20" t="s">
        <v>1439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791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696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1437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1440</v>
      </c>
      <c r="B2550" s="27" t="s">
        <v>698</v>
      </c>
      <c r="C2550" s="27" t="s">
        <v>699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868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1441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690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 t="s">
        <v>807</v>
      </c>
      <c r="B2554" s="27" t="s">
        <v>713</v>
      </c>
      <c r="C2554" s="27" t="s">
        <v>693</v>
      </c>
      <c r="D2554" s="27" t="s">
        <v>694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791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236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978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1442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701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690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794</v>
      </c>
      <c r="B2561" s="27" t="s">
        <v>867</v>
      </c>
      <c r="C2561" s="27" t="s">
        <v>782</v>
      </c>
      <c r="D2561" s="27" t="s">
        <v>694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866</v>
      </c>
      <c r="B2562" s="27" t="s">
        <v>798</v>
      </c>
      <c r="C2562" s="27" t="s">
        <v>693</v>
      </c>
      <c r="D2562" s="27" t="s">
        <v>694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704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/>
    </row>
    <row r="2565" spans="1:12">
      <c r="A2565" s="20" t="s">
        <v>1443</v>
      </c>
    </row>
    <row r="2566" spans="1:12">
      <c r="A2566" s="20" t="s">
        <v>1444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464</v>
      </c>
      <c r="B2567" s="27" t="s">
        <v>703</v>
      </c>
      <c r="C2567" s="27" t="s">
        <v>820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877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1434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704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/>
    </row>
    <row r="2572" spans="1:12">
      <c r="A2572" s="20" t="s">
        <v>1445</v>
      </c>
    </row>
    <row r="2573" spans="1:12">
      <c r="A2573" s="20" t="s">
        <v>1446</v>
      </c>
      <c r="B2573" s="27" t="s">
        <v>822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1202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712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818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1447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747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1448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1412</v>
      </c>
      <c r="B2580" s="27" t="s">
        <v>749</v>
      </c>
      <c r="C2580" s="27" t="s">
        <v>766</v>
      </c>
      <c r="D2580" s="27" t="s">
        <v>694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722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784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469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 t="s">
        <v>219</v>
      </c>
      <c r="E2584" s="21">
        <f>IF(D2584="?OLD","!!!","")</f>
        <v/>
      </c>
      <c r="F2584" s="22" t="str">
        <f>IF(OR(E2584="",E2584="!!!"),"",IF(NOT(ISNA(VLOOKUP(E2584,E$1:E2583,1,FALSE()))),"OLD",IF(AND(E2584&lt;&gt;"",E2584&lt;&gt;"!!!"),"NEW","")))</f>
        <v> </v>
      </c>
      <c r="G2584" s="23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4" t="str">
        <f>IF(J2584&lt;&gt;1,"",IF(I2584="SBJ","CB","?"))</f>
        <v> </v>
      </c>
      <c r="I2584" s="25" t="str">
        <f>IF(OR(E2584="",E2584="!!!",F2584="NEW"),"",INDEX(B2583:B$2,-1+SUMPRODUCT(MAX(ROW(E2583:E$2)*(E2584=E2583:E$2)))))</f>
        <v> </v>
      </c>
      <c r="J2584" s="25" t="str">
        <f>IF(OR(E2584="",E2584="!!!",F2584="NEW"),"",COUNTBLANK(OFFSET(A$1,,,SUMPRODUCT(MAX(ROW(E$2:E2584)*(E2584=E$2:E2584)))))-COUNTBLANK(OFFSET(A$1,,,SUMPRODUCT(MAX(ROW(E$1:E2583)*(E2=E$1:E2583))))))</f>
        <v> </v>
      </c>
      <c r="K2584" s="25" t="str">
        <f>IF(OR(E2584="",E2584="!!!",F2584="NEW"),"",INDEX(J$1:J2583,SUMPRODUCT(MAX(ROW(E$1:E2583)*(E2584=E$1:E2583)))))</f>
        <v> </v>
      </c>
      <c r="L2584" s="26"/>
    </row>
    <row r="2585" spans="1:12">
      <c r="A2585" s="20" t="s">
        <v>1033</v>
      </c>
      <c r="B2585" s="27" t="s">
        <v>698</v>
      </c>
      <c r="C2585" s="27" t="s">
        <v>717</v>
      </c>
      <c r="D2585" s="27" t="s">
        <v>694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696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690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697</v>
      </c>
      <c r="B2588" s="27" t="s">
        <v>746</v>
      </c>
      <c r="C2588" s="27" t="s">
        <v>693</v>
      </c>
      <c r="D2588" s="27" t="s">
        <v>694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722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730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240</v>
      </c>
      <c r="B2591" s="27" t="s">
        <v>822</v>
      </c>
      <c r="C2591" s="27" t="s">
        <v>708</v>
      </c>
      <c r="D2591" s="27" t="s">
        <v>694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1449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690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219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1450</v>
      </c>
      <c r="B2595" s="27" t="s">
        <v>758</v>
      </c>
      <c r="C2595" s="27" t="s">
        <v>717</v>
      </c>
      <c r="D2595" s="27" t="s">
        <v>694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696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1451</v>
      </c>
      <c r="B2597" s="27" t="s">
        <v>749</v>
      </c>
      <c r="C2597" s="27" t="s">
        <v>717</v>
      </c>
      <c r="D2597" s="27" t="s">
        <v>694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696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219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853</v>
      </c>
      <c r="B2600" s="27" t="s">
        <v>719</v>
      </c>
      <c r="C2600" s="27" t="s">
        <v>693</v>
      </c>
      <c r="D2600" s="27" t="s">
        <v>694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712</v>
      </c>
      <c r="B2601" s="27" t="s">
        <v>1004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972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1452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858</v>
      </c>
      <c r="B2604" s="27" t="s">
        <v>833</v>
      </c>
      <c r="C2604" s="27" t="s">
        <v>699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 t="s">
        <v>701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219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1033</v>
      </c>
      <c r="B2607" s="27" t="s">
        <v>728</v>
      </c>
      <c r="C2607" s="27" t="s">
        <v>717</v>
      </c>
      <c r="D2607" s="27" t="s">
        <v>694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696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690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697</v>
      </c>
      <c r="B2610" s="27" t="s">
        <v>1000</v>
      </c>
      <c r="C2610" s="27" t="s">
        <v>693</v>
      </c>
      <c r="D2610" s="27" t="s">
        <v>694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1152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877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1076</v>
      </c>
      <c r="B2613" s="27" t="s">
        <v>728</v>
      </c>
      <c r="C2613" s="27" t="s">
        <v>771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1453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696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764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900</v>
      </c>
      <c r="B2617" s="27" t="s">
        <v>1272</v>
      </c>
      <c r="C2617" s="27" t="s">
        <v>766</v>
      </c>
      <c r="D2617" s="27" t="s">
        <v>694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704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/>
    </row>
    <row r="2620" spans="1:12">
      <c r="A2620" s="20" t="s">
        <v>1454</v>
      </c>
    </row>
    <row r="2621" spans="1:12">
      <c r="A2621" s="20" t="s">
        <v>780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1103</v>
      </c>
      <c r="B2622" s="27" t="s">
        <v>692</v>
      </c>
      <c r="C2622" s="27" t="s">
        <v>717</v>
      </c>
      <c r="D2622" s="27" t="s">
        <v>694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747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690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697</v>
      </c>
      <c r="B2625" s="27" t="s">
        <v>746</v>
      </c>
      <c r="C2625" s="27" t="s">
        <v>717</v>
      </c>
      <c r="D2625" s="27" t="s">
        <v>694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696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 t="s">
        <v>219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 t="s">
        <v>240</v>
      </c>
      <c r="B2628" s="27" t="s">
        <v>749</v>
      </c>
      <c r="C2628" s="27" t="s">
        <v>708</v>
      </c>
      <c r="D2628" s="27" t="s">
        <v>694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712</v>
      </c>
      <c r="B2629" s="27" t="s">
        <v>732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966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690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859</v>
      </c>
      <c r="B2632" s="27" t="s">
        <v>738</v>
      </c>
      <c r="C2632" s="27" t="s">
        <v>693</v>
      </c>
      <c r="D2632" s="27" t="s">
        <v>694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730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690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1455</v>
      </c>
      <c r="B2635" s="27" t="s">
        <v>728</v>
      </c>
      <c r="C2635" s="27" t="s">
        <v>717</v>
      </c>
      <c r="D2635" s="27" t="s">
        <v>694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696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219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240</v>
      </c>
      <c r="B2638" s="27" t="s">
        <v>1000</v>
      </c>
      <c r="C2638" s="27" t="s">
        <v>708</v>
      </c>
      <c r="D2638" s="27" t="s">
        <v>694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712</v>
      </c>
      <c r="B2639" s="27" t="s">
        <v>838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984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993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1456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701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724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 t="s">
        <v>725</v>
      </c>
      <c r="E2645" s="21">
        <f>IF(D2645="?OLD","!!!","")</f>
        <v/>
      </c>
      <c r="F2645" s="22" t="str">
        <f>IF(OR(E2645="",E2645="!!!"),"",IF(NOT(ISNA(VLOOKUP(E2645,E$1:E2644,1,FALSE()))),"OLD",IF(AND(E2645&lt;&gt;"",E2645&lt;&gt;"!!!"),"NEW","")))</f>
        <v> </v>
      </c>
      <c r="G2645" s="23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4" t="str">
        <f>IF(J2645&lt;&gt;1,"",IF(I2645="SBJ","CB","?"))</f>
        <v> </v>
      </c>
      <c r="I2645" s="25" t="str">
        <f>IF(OR(E2645="",E2645="!!!",F2645="NEW"),"",INDEX(B2644:B$2,-1+SUMPRODUCT(MAX(ROW(E2644:E$2)*(E2645=E2644:E$2)))))</f>
        <v> </v>
      </c>
      <c r="J2645" s="25" t="str">
        <f>IF(OR(E2645="",E2645="!!!",F2645="NEW"),"",COUNTBLANK(OFFSET(A$1,,,SUMPRODUCT(MAX(ROW(E$2:E2645)*(E2645=E$2:E2645)))))-COUNTBLANK(OFFSET(A$1,,,SUMPRODUCT(MAX(ROW(E$1:E2644)*(E2=E$1:E2644))))))</f>
        <v> </v>
      </c>
      <c r="K2645" s="25" t="str">
        <f>IF(OR(E2645="",E2645="!!!",F2645="NEW"),"",INDEX(J$1:J2644,SUMPRODUCT(MAX(ROW(E$1:E2644)*(E2645=E$1:E2644)))))</f>
        <v> </v>
      </c>
      <c r="L2645" s="26"/>
    </row>
    <row r="2646" spans="1:12">
      <c r="A2646" s="20" t="s">
        <v>727</v>
      </c>
      <c r="B2646" s="27" t="s">
        <v>703</v>
      </c>
      <c r="C2646" s="27" t="s">
        <v>693</v>
      </c>
      <c r="D2646" s="27" t="s">
        <v>694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 t="s">
        <v>722</v>
      </c>
      <c r="E2647" s="21">
        <f>IF(D2647="?OLD","!!!","")</f>
        <v/>
      </c>
      <c r="F2647" s="22" t="str">
        <f>IF(OR(E2647="",E2647="!!!"),"",IF(NOT(ISNA(VLOOKUP(E2647,E$1:E2646,1,FALSE()))),"OLD",IF(AND(E2647&lt;&gt;"",E2647&lt;&gt;"!!!"),"NEW","")))</f>
        <v> </v>
      </c>
      <c r="G2647" s="23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4" t="str">
        <f>IF(J2647&lt;&gt;1,"",IF(I2647="SBJ","CB","?"))</f>
        <v> </v>
      </c>
      <c r="I2647" s="25" t="str">
        <f>IF(OR(E2647="",E2647="!!!",F2647="NEW"),"",INDEX(B2646:B$2,-1+SUMPRODUCT(MAX(ROW(E2646:E$2)*(E2647=E2646:E$2)))))</f>
        <v> </v>
      </c>
      <c r="J2647" s="25" t="str">
        <f>IF(OR(E2647="",E2647="!!!",F2647="NEW"),"",COUNTBLANK(OFFSET(A$1,,,SUMPRODUCT(MAX(ROW(E$2:E2647)*(E2647=E$2:E2647)))))-COUNTBLANK(OFFSET(A$1,,,SUMPRODUCT(MAX(ROW(E$1:E2646)*(E2=E$1:E2646))))))</f>
        <v> </v>
      </c>
      <c r="K2647" s="25" t="str">
        <f>IF(OR(E2647="",E2647="!!!",F2647="NEW"),"",INDEX(J$1:J2646,SUMPRODUCT(MAX(ROW(E$1:E2646)*(E2647=E$1:E2646)))))</f>
        <v> </v>
      </c>
      <c r="L2647" s="26"/>
    </row>
    <row r="2648" spans="1:12">
      <c r="A2648" s="20" t="s">
        <v>730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773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791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1082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1457</v>
      </c>
      <c r="B2652" s="27" t="s">
        <v>758</v>
      </c>
      <c r="C2652" s="27" t="s">
        <v>699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752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1458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1459</v>
      </c>
      <c r="B2655" s="27" t="s">
        <v>798</v>
      </c>
      <c r="C2655" s="27" t="s">
        <v>1099</v>
      </c>
      <c r="D2655" s="27" t="s">
        <v>694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1460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704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/>
    </row>
    <row r="2659" spans="1:12">
      <c r="A2659" s="20" t="s">
        <v>1461</v>
      </c>
    </row>
    <row r="2660" spans="1:12">
      <c r="A2660" s="20" t="s">
        <v>780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1462</v>
      </c>
      <c r="B2661" s="27" t="s">
        <v>692</v>
      </c>
      <c r="C2661" s="27" t="s">
        <v>996</v>
      </c>
      <c r="D2661" s="27" t="s">
        <v>694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1463</v>
      </c>
      <c r="B2662" s="27" t="s">
        <v>746</v>
      </c>
      <c r="C2662" s="27" t="s">
        <v>996</v>
      </c>
      <c r="D2662" s="27" t="s">
        <v>694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1268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742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1464</v>
      </c>
      <c r="B2665" s="27" t="s">
        <v>698</v>
      </c>
      <c r="C2665" s="27" t="s">
        <v>820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1465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701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712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1466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690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739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696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1007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 t="s">
        <v>1467</v>
      </c>
      <c r="B2674" s="27" t="s">
        <v>758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696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757</v>
      </c>
      <c r="B2676" s="27" t="s">
        <v>749</v>
      </c>
      <c r="C2676" s="27" t="s">
        <v>699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219</v>
      </c>
      <c r="B2677" s="27" t="s">
        <v>719</v>
      </c>
      <c r="C2677" s="27" t="s">
        <v>789</v>
      </c>
      <c r="D2677" s="27" t="s">
        <v>694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712</v>
      </c>
      <c r="B2678" s="27" t="s">
        <v>1004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793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696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690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794</v>
      </c>
      <c r="B2682" s="27" t="s">
        <v>1000</v>
      </c>
      <c r="C2682" s="27" t="s">
        <v>782</v>
      </c>
      <c r="D2682" s="27" t="s">
        <v>694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866</v>
      </c>
      <c r="B2683" s="27" t="s">
        <v>833</v>
      </c>
      <c r="C2683" s="27" t="s">
        <v>693</v>
      </c>
      <c r="D2683" s="27" t="s">
        <v>694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730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696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 t="s">
        <v>756</v>
      </c>
      <c r="E2686" s="21">
        <f>IF(D2686="?OLD","!!!","")</f>
        <v/>
      </c>
      <c r="F2686" s="22" t="str">
        <f>IF(OR(E2686="",E2686="!!!"),"",IF(NOT(ISNA(VLOOKUP(E2686,E$1:E2685,1,FALSE()))),"OLD",IF(AND(E2686&lt;&gt;"",E2686&lt;&gt;"!!!"),"NEW","")))</f>
        <v> </v>
      </c>
      <c r="G2686" s="23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4" t="str">
        <f>IF(J2686&lt;&gt;1,"",IF(I2686="SBJ","CB","?"))</f>
        <v> </v>
      </c>
      <c r="I2686" s="25" t="str">
        <f>IF(OR(E2686="",E2686="!!!",F2686="NEW"),"",INDEX(B2685:B$2,-1+SUMPRODUCT(MAX(ROW(E2685:E$2)*(E2686=E2685:E$2)))))</f>
        <v> </v>
      </c>
      <c r="J2686" s="25" t="str">
        <f>IF(OR(E2686="",E2686="!!!",F2686="NEW"),"",COUNTBLANK(OFFSET(A$1,,,SUMPRODUCT(MAX(ROW(E$2:E2686)*(E2686=E$2:E2686)))))-COUNTBLANK(OFFSET(A$1,,,SUMPRODUCT(MAX(ROW(E$1:E2685)*(E2=E$1:E2685))))))</f>
        <v> </v>
      </c>
      <c r="K2686" s="25" t="str">
        <f>IF(OR(E2686="",E2686="!!!",F2686="NEW"),"",INDEX(J$1:J2685,SUMPRODUCT(MAX(ROW(E$1:E2685)*(E2686=E$1:E2685)))))</f>
        <v> </v>
      </c>
      <c r="L2686" s="26"/>
    </row>
    <row r="2687" spans="1:12">
      <c r="A2687" s="20" t="s">
        <v>1468</v>
      </c>
      <c r="B2687" s="27" t="s">
        <v>1272</v>
      </c>
      <c r="C2687" s="27" t="s">
        <v>782</v>
      </c>
      <c r="D2687" s="27" t="s">
        <v>694</v>
      </c>
      <c r="E2687" s="21">
        <f>IF(D2687="?OLD","!!!","")</f>
        <v/>
      </c>
      <c r="F2687" s="22" t="str">
        <f>IF(OR(E2687="",E2687="!!!"),"",IF(NOT(ISNA(VLOOKUP(E2687,E$1:E2686,1,FALSE()))),"OLD",IF(AND(E2687&lt;&gt;"",E2687&lt;&gt;"!!!"),"NEW","")))</f>
        <v> </v>
      </c>
      <c r="G2687" s="23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4" t="str">
        <f>IF(J2687&lt;&gt;1,"",IF(I2687="SBJ","CB","?"))</f>
        <v> </v>
      </c>
      <c r="I2687" s="25" t="str">
        <f>IF(OR(E2687="",E2687="!!!",F2687="NEW"),"",INDEX(B2686:B$2,-1+SUMPRODUCT(MAX(ROW(E2686:E$2)*(E2687=E2686:E$2)))))</f>
        <v> </v>
      </c>
      <c r="J2687" s="25" t="str">
        <f>IF(OR(E2687="",E2687="!!!",F2687="NEW"),"",COUNTBLANK(OFFSET(A$1,,,SUMPRODUCT(MAX(ROW(E$2:E2687)*(E2687=E$2:E2687)))))-COUNTBLANK(OFFSET(A$1,,,SUMPRODUCT(MAX(ROW(E$1:E2686)*(E2=E$1:E2686))))))</f>
        <v> </v>
      </c>
      <c r="K2687" s="25" t="str">
        <f>IF(OR(E2687="",E2687="!!!",F2687="NEW"),"",INDEX(J$1:J2686,SUMPRODUCT(MAX(ROW(E$1:E2686)*(E2687=E$1:E2686)))))</f>
        <v> </v>
      </c>
      <c r="L2687" s="26"/>
    </row>
    <row r="2688" spans="1:12">
      <c r="A2688" s="20" t="s">
        <v>1028</v>
      </c>
      <c r="B2688" s="27" t="s">
        <v>1000</v>
      </c>
      <c r="C2688" s="27" t="s">
        <v>693</v>
      </c>
      <c r="D2688" s="27" t="s">
        <v>694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704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/>
    </row>
    <row r="2691" spans="1:12">
      <c r="A2691" s="20" t="s">
        <v>1469</v>
      </c>
    </row>
    <row r="2692" spans="1:12">
      <c r="A2692" s="20" t="s">
        <v>871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972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1470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1471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1457</v>
      </c>
      <c r="B2696" s="27" t="s">
        <v>698</v>
      </c>
      <c r="C2696" s="27" t="s">
        <v>771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701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690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1472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1473</v>
      </c>
      <c r="B2700" s="27" t="s">
        <v>703</v>
      </c>
      <c r="C2700" s="27" t="s">
        <v>693</v>
      </c>
      <c r="D2700" s="27" t="s">
        <v>694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704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/>
    </row>
    <row r="2703" spans="1:12">
      <c r="A2703" s="20" t="s">
        <v>1474</v>
      </c>
    </row>
    <row r="2704" spans="1:12">
      <c r="A2704" s="20" t="s">
        <v>1416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722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701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724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725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727</v>
      </c>
      <c r="B2709" s="27" t="s">
        <v>746</v>
      </c>
      <c r="C2709" s="27" t="s">
        <v>693</v>
      </c>
      <c r="D2709" s="27" t="s">
        <v>694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722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1218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1475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690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1476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745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690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697</v>
      </c>
      <c r="B2717" s="27" t="s">
        <v>758</v>
      </c>
      <c r="C2717" s="27" t="s">
        <v>717</v>
      </c>
      <c r="D2717" s="27" t="s">
        <v>694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696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724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874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1398</v>
      </c>
      <c r="B2721" s="27" t="s">
        <v>749</v>
      </c>
      <c r="C2721" s="27" t="s">
        <v>729</v>
      </c>
      <c r="D2721" s="27" t="s">
        <v>694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704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/>
    </row>
    <row r="2724" spans="1:12">
      <c r="A2724" s="20" t="s">
        <v>1477</v>
      </c>
    </row>
    <row r="2725" spans="1:12">
      <c r="A2725" s="20" t="s">
        <v>871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690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1478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1479</v>
      </c>
      <c r="B2728" s="27" t="s">
        <v>692</v>
      </c>
      <c r="C2728" s="27" t="s">
        <v>693</v>
      </c>
      <c r="D2728" s="27" t="s">
        <v>694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712</v>
      </c>
      <c r="B2729" s="27" t="s">
        <v>713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1331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1404</v>
      </c>
      <c r="B2731" s="27" t="s">
        <v>716</v>
      </c>
      <c r="C2731" s="27" t="s">
        <v>699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1480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810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712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731</v>
      </c>
      <c r="B2735" s="27" t="s">
        <v>692</v>
      </c>
      <c r="C2735" s="27" t="s">
        <v>708</v>
      </c>
      <c r="D2735" s="27" t="s">
        <v>694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873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933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826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704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/>
    </row>
    <row r="2741" spans="1:12">
      <c r="A2741" s="20" t="s">
        <v>1481</v>
      </c>
    </row>
    <row r="2742" spans="1:12">
      <c r="A2742" s="20" t="s">
        <v>1482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212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219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1010</v>
      </c>
      <c r="B2745" s="27" t="s">
        <v>713</v>
      </c>
      <c r="C2745" s="27" t="s">
        <v>1064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710</v>
      </c>
      <c r="B2746" s="27" t="s">
        <v>732</v>
      </c>
      <c r="C2746" s="27" t="s">
        <v>711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1089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1440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720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690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794</v>
      </c>
      <c r="B2751" s="27" t="s">
        <v>728</v>
      </c>
      <c r="C2751" s="27" t="s">
        <v>782</v>
      </c>
      <c r="D2751" s="27" t="s">
        <v>694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866</v>
      </c>
      <c r="B2752" s="27" t="s">
        <v>867</v>
      </c>
      <c r="C2752" s="27" t="s">
        <v>693</v>
      </c>
      <c r="D2752" s="27" t="s">
        <v>694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722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730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904</v>
      </c>
      <c r="B2755" s="27" t="s">
        <v>867</v>
      </c>
      <c r="C2755" s="27" t="s">
        <v>789</v>
      </c>
      <c r="D2755" s="27" t="s">
        <v>694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722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701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690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959</v>
      </c>
      <c r="B2759" s="27" t="s">
        <v>719</v>
      </c>
      <c r="C2759" s="27" t="s">
        <v>693</v>
      </c>
      <c r="D2759" s="27" t="s">
        <v>694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 t="s">
        <v>722</v>
      </c>
      <c r="E2760" s="21">
        <f>IF(D2760="?OLD","!!!","")</f>
        <v/>
      </c>
      <c r="F2760" s="22" t="str">
        <f>IF(OR(E2760="",E2760="!!!"),"",IF(NOT(ISNA(VLOOKUP(E2760,E$1:E2759,1,FALSE()))),"OLD",IF(AND(E2760&lt;&gt;"",E2760&lt;&gt;"!!!"),"NEW","")))</f>
        <v> </v>
      </c>
      <c r="G2760" s="23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4" t="str">
        <f>IF(J2760&lt;&gt;1,"",IF(I2760="SBJ","CB","?"))</f>
        <v> </v>
      </c>
      <c r="I2760" s="25" t="str">
        <f>IF(OR(E2760="",E2760="!!!",F2760="NEW"),"",INDEX(B2759:B$2,-1+SUMPRODUCT(MAX(ROW(E2759:E$2)*(E2760=E2759:E$2)))))</f>
        <v> </v>
      </c>
      <c r="J2760" s="25" t="str">
        <f>IF(OR(E2760="",E2760="!!!",F2760="NEW"),"",COUNTBLANK(OFFSET(A$1,,,SUMPRODUCT(MAX(ROW(E$2:E2760)*(E2760=E$2:E2760)))))-COUNTBLANK(OFFSET(A$1,,,SUMPRODUCT(MAX(ROW(E$1:E2759)*(E2=E$1:E2759))))))</f>
        <v> </v>
      </c>
      <c r="K2760" s="25" t="str">
        <f>IF(OR(E2760="",E2760="!!!",F2760="NEW"),"",INDEX(J$1:J2759,SUMPRODUCT(MAX(ROW(E$1:E2759)*(E2760=E$1:E2759)))))</f>
        <v> </v>
      </c>
      <c r="L2760" s="26"/>
    </row>
    <row r="2761" spans="1:12">
      <c r="A2761" s="20" t="s">
        <v>818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1061</v>
      </c>
      <c r="B2762" s="27" t="s">
        <v>797</v>
      </c>
      <c r="C2762" s="27" t="s">
        <v>708</v>
      </c>
      <c r="D2762" s="27" t="s">
        <v>694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958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877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745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1437</v>
      </c>
      <c r="B2766" s="27" t="s">
        <v>798</v>
      </c>
      <c r="C2766" s="27" t="s">
        <v>699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869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810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690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1483</v>
      </c>
      <c r="B2770" s="27" t="s">
        <v>758</v>
      </c>
      <c r="C2770" s="27" t="s">
        <v>717</v>
      </c>
      <c r="D2770" s="27" t="s">
        <v>694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696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1448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757</v>
      </c>
      <c r="B2773" s="27" t="s">
        <v>749</v>
      </c>
      <c r="C2773" s="27" t="s">
        <v>766</v>
      </c>
      <c r="D2773" s="27" t="s">
        <v>694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722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730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1484</v>
      </c>
      <c r="B2776" s="27" t="s">
        <v>746</v>
      </c>
      <c r="C2776" s="27" t="s">
        <v>699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1485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704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/>
    </row>
    <row r="2780" spans="1:12">
      <c r="A2780" s="20" t="s">
        <v>1486</v>
      </c>
    </row>
    <row r="2781" spans="1:12">
      <c r="A2781" s="20" t="s">
        <v>1487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752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1061</v>
      </c>
      <c r="B2783" s="27" t="s">
        <v>692</v>
      </c>
      <c r="C2783" s="27" t="s">
        <v>708</v>
      </c>
      <c r="D2783" s="27" t="s">
        <v>694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410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819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464</v>
      </c>
      <c r="B2786" s="27" t="s">
        <v>698</v>
      </c>
      <c r="C2786" s="27" t="s">
        <v>717</v>
      </c>
      <c r="D2786" s="27" t="s">
        <v>694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696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690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1488</v>
      </c>
      <c r="B2789" s="27" t="s">
        <v>746</v>
      </c>
      <c r="C2789" s="27" t="s">
        <v>693</v>
      </c>
      <c r="D2789" s="27" t="s">
        <v>694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722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690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1488</v>
      </c>
      <c r="B2792" s="27" t="s">
        <v>822</v>
      </c>
      <c r="C2792" s="27" t="s">
        <v>693</v>
      </c>
      <c r="D2792" s="27" t="s">
        <v>694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810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696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735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696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1489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704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/>
    </row>
    <row r="2800" spans="1:12">
      <c r="A2800" s="20" t="s">
        <v>705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1490</v>
      </c>
    </row>
    <row r="2802" spans="1:12">
      <c r="A2802" s="20" t="s">
        <v>1491</v>
      </c>
      <c r="B2802" s="27" t="s">
        <v>692</v>
      </c>
      <c r="C2802" s="27" t="s">
        <v>789</v>
      </c>
      <c r="D2802" s="27" t="s">
        <v>694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1202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91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712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722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791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1492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710</v>
      </c>
      <c r="B2809" s="27" t="s">
        <v>716</v>
      </c>
      <c r="C2809" s="27" t="s">
        <v>711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730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1061</v>
      </c>
      <c r="B2811" s="27" t="s">
        <v>797</v>
      </c>
      <c r="C2811" s="27" t="s">
        <v>708</v>
      </c>
      <c r="D2811" s="27" t="s">
        <v>694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1493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861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192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12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1494</v>
      </c>
      <c r="B2816" s="27" t="s">
        <v>713</v>
      </c>
      <c r="C2816" s="27" t="s">
        <v>717</v>
      </c>
      <c r="D2816" s="27" t="s">
        <v>694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696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932</v>
      </c>
      <c r="B2818" s="27" t="s">
        <v>719</v>
      </c>
      <c r="C2818" s="27" t="s">
        <v>708</v>
      </c>
      <c r="D2818" s="27" t="s">
        <v>694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1495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1496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1497</v>
      </c>
      <c r="B2821" s="27" t="s">
        <v>716</v>
      </c>
      <c r="C2821" s="27" t="s">
        <v>876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 t="s">
        <v>192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722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 t="s">
        <v>1010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1498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778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696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690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1499</v>
      </c>
      <c r="B2829" s="27" t="s">
        <v>749</v>
      </c>
      <c r="C2829" s="27" t="s">
        <v>717</v>
      </c>
      <c r="D2829" s="27" t="s">
        <v>694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696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932</v>
      </c>
      <c r="B2831" s="27" t="s">
        <v>719</v>
      </c>
      <c r="C2831" s="27" t="s">
        <v>708</v>
      </c>
      <c r="D2831" s="27" t="s">
        <v>694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983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/>
    </row>
    <row r="2834" spans="1:12">
      <c r="A2834" s="20" t="s">
        <v>1500</v>
      </c>
    </row>
    <row r="2835" spans="1:12">
      <c r="A2835" s="20" t="s">
        <v>1501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805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 t="s">
        <v>1502</v>
      </c>
      <c r="B2837" s="27" t="s">
        <v>703</v>
      </c>
      <c r="C2837" s="27" t="s">
        <v>717</v>
      </c>
      <c r="D2837" s="27" t="s">
        <v>694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745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690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794</v>
      </c>
      <c r="B2840" s="27" t="s">
        <v>746</v>
      </c>
      <c r="C2840" s="27" t="s">
        <v>782</v>
      </c>
      <c r="D2840" s="27" t="s">
        <v>694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 t="s">
        <v>1499</v>
      </c>
      <c r="B2841" s="27" t="s">
        <v>703</v>
      </c>
      <c r="C2841" s="27" t="s">
        <v>693</v>
      </c>
      <c r="D2841" s="27" t="s">
        <v>694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722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836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829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933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1503</v>
      </c>
      <c r="B2846" s="27" t="s">
        <v>822</v>
      </c>
      <c r="C2846" s="27" t="s">
        <v>699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704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/>
    </row>
    <row r="2849" spans="1:12">
      <c r="A2849" s="20" t="s">
        <v>1504</v>
      </c>
    </row>
    <row r="2850" spans="1:12">
      <c r="A2850" s="20" t="s">
        <v>1182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1344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1472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1503</v>
      </c>
      <c r="B2853" s="27" t="s">
        <v>758</v>
      </c>
      <c r="C2853" s="27" t="s">
        <v>766</v>
      </c>
      <c r="D2853" s="27" t="s">
        <v>694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791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240</v>
      </c>
      <c r="B2855" s="27" t="s">
        <v>713</v>
      </c>
      <c r="C2855" s="27" t="s">
        <v>708</v>
      </c>
      <c r="D2855" s="27" t="s">
        <v>694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1061</v>
      </c>
      <c r="B2856" s="27" t="s">
        <v>716</v>
      </c>
      <c r="C2856" s="27" t="s">
        <v>708</v>
      </c>
      <c r="D2856" s="27" t="s">
        <v>694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1505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712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710</v>
      </c>
      <c r="B2859" s="27" t="s">
        <v>797</v>
      </c>
      <c r="C2859" s="27" t="s">
        <v>711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1506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690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794</v>
      </c>
      <c r="B2862" s="27" t="s">
        <v>867</v>
      </c>
      <c r="C2862" s="27" t="s">
        <v>782</v>
      </c>
      <c r="D2862" s="27" t="s">
        <v>694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866</v>
      </c>
      <c r="B2863" s="27" t="s">
        <v>798</v>
      </c>
      <c r="C2863" s="27" t="s">
        <v>693</v>
      </c>
      <c r="D2863" s="27" t="s">
        <v>694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720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38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701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819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1507</v>
      </c>
      <c r="B2868" s="27" t="s">
        <v>867</v>
      </c>
      <c r="C2868" s="27" t="s">
        <v>717</v>
      </c>
      <c r="D2868" s="27" t="s">
        <v>694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696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31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722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1405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933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 t="s">
        <v>1503</v>
      </c>
      <c r="B2874" s="27" t="s">
        <v>698</v>
      </c>
      <c r="C2874" s="27" t="s">
        <v>771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778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696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1437</v>
      </c>
      <c r="B2877" s="27" t="s">
        <v>746</v>
      </c>
      <c r="C2877" s="27" t="s">
        <v>699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869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1344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807</v>
      </c>
      <c r="B2880" s="27" t="s">
        <v>822</v>
      </c>
      <c r="C2880" s="27" t="s">
        <v>766</v>
      </c>
      <c r="D2880" s="27" t="s">
        <v>694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810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701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219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 t="s">
        <v>1508</v>
      </c>
      <c r="B2884" s="27" t="s">
        <v>746</v>
      </c>
      <c r="C2884" s="27" t="s">
        <v>782</v>
      </c>
      <c r="D2884" s="27" t="s">
        <v>694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240</v>
      </c>
      <c r="B2885" s="27" t="s">
        <v>703</v>
      </c>
      <c r="C2885" s="27" t="s">
        <v>708</v>
      </c>
      <c r="D2885" s="27" t="s">
        <v>694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712</v>
      </c>
      <c r="B2886" s="27" t="s">
        <v>713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966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690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859</v>
      </c>
      <c r="B2889" s="27" t="s">
        <v>716</v>
      </c>
      <c r="C2889" s="27" t="s">
        <v>693</v>
      </c>
      <c r="D2889" s="27" t="s">
        <v>694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704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/>
    </row>
    <row r="2892" spans="1:12">
      <c r="A2892" s="20" t="s">
        <v>1509</v>
      </c>
    </row>
    <row r="2893" spans="1:12">
      <c r="A2893" s="20" t="s">
        <v>1416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722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690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1488</v>
      </c>
      <c r="B2896" s="27" t="s">
        <v>692</v>
      </c>
      <c r="C2896" s="27" t="s">
        <v>693</v>
      </c>
      <c r="D2896" s="27" t="s">
        <v>694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810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1510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704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/>
    </row>
    <row r="2901" spans="1:12">
      <c r="A2901" s="20" t="s">
        <v>1511</v>
      </c>
    </row>
    <row r="2902" spans="1:12">
      <c r="A2902" s="20" t="s">
        <v>1512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 t="s">
        <v>997</v>
      </c>
      <c r="B2903" s="27" t="s">
        <v>698</v>
      </c>
      <c r="C2903" s="27" t="s">
        <v>711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 t="s">
        <v>778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696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219</v>
      </c>
      <c r="B2906" s="27" t="s">
        <v>867</v>
      </c>
      <c r="C2906" s="27" t="s">
        <v>789</v>
      </c>
      <c r="D2906" s="27" t="s">
        <v>694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712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1513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690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1455</v>
      </c>
      <c r="B2910" s="27" t="s">
        <v>798</v>
      </c>
      <c r="C2910" s="27" t="s">
        <v>693</v>
      </c>
      <c r="D2910" s="27" t="s">
        <v>694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 t="s">
        <v>696</v>
      </c>
      <c r="E2911" s="21">
        <f>IF(D2911="?OLD","!!!","")</f>
        <v/>
      </c>
      <c r="F2911" s="22" t="str">
        <f>IF(OR(E2911="",E2911="!!!"),"",IF(NOT(ISNA(VLOOKUP(E2911,E$1:E2910,1,FALSE()))),"OLD",IF(AND(E2911&lt;&gt;"",E2911&lt;&gt;"!!!"),"NEW","")))</f>
        <v> </v>
      </c>
      <c r="G2911" s="23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4" t="str">
        <f>IF(J2911&lt;&gt;1,"",IF(I2911="SBJ","CB","?"))</f>
        <v> </v>
      </c>
      <c r="I2911" s="25" t="str">
        <f>IF(OR(E2911="",E2911="!!!",F2911="NEW"),"",INDEX(B2910:B$2,-1+SUMPRODUCT(MAX(ROW(E2910:E$2)*(E2911=E2910:E$2)))))</f>
        <v> </v>
      </c>
      <c r="J2911" s="25" t="str">
        <f>IF(OR(E2911="",E2911="!!!",F2911="NEW"),"",COUNTBLANK(OFFSET(A$1,,,SUMPRODUCT(MAX(ROW(E$2:E2911)*(E2911=E$2:E2911)))))-COUNTBLANK(OFFSET(A$1,,,SUMPRODUCT(MAX(ROW(E$1:E2910)*(E2=E$1:E2910))))))</f>
        <v> </v>
      </c>
      <c r="K2911" s="25" t="str">
        <f>IF(OR(E2911="",E2911="!!!",F2911="NEW"),"",INDEX(J$1:J2910,SUMPRODUCT(MAX(ROW(E$1:E2910)*(E2911=E$1:E2910)))))</f>
        <v> </v>
      </c>
      <c r="L2911" s="26"/>
    </row>
    <row r="2912" spans="1:12">
      <c r="A2912" s="20" t="s">
        <v>219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240</v>
      </c>
      <c r="B2913" s="27" t="s">
        <v>867</v>
      </c>
      <c r="C2913" s="27" t="s">
        <v>708</v>
      </c>
      <c r="D2913" s="27" t="s">
        <v>694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696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690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697</v>
      </c>
      <c r="B2916" s="27" t="s">
        <v>728</v>
      </c>
      <c r="C2916" s="27" t="s">
        <v>693</v>
      </c>
      <c r="D2916" s="27" t="s">
        <v>694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704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/>
    </row>
    <row r="2919" spans="1:12">
      <c r="A2919" s="20" t="s">
        <v>1514</v>
      </c>
    </row>
    <row r="2920" spans="1:12">
      <c r="A2920" s="20" t="s">
        <v>1512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712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219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1515</v>
      </c>
      <c r="B2923" s="27" t="s">
        <v>713</v>
      </c>
      <c r="C2923" s="27" t="s">
        <v>693</v>
      </c>
      <c r="D2923" s="27" t="s">
        <v>694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810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877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 t="s">
        <v>1516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722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724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1517</v>
      </c>
      <c r="B2929" s="27" t="s">
        <v>822</v>
      </c>
      <c r="C2929" s="27" t="s">
        <v>693</v>
      </c>
      <c r="D2929" s="27" t="s">
        <v>694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873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877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1174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704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/>
    </row>
    <row r="2935" spans="1:12">
      <c r="A2935" s="20" t="s">
        <v>1518</v>
      </c>
    </row>
    <row r="2936" spans="1:12">
      <c r="A2936" s="20" t="s">
        <v>1512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712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690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697</v>
      </c>
      <c r="B2939" s="27" t="s">
        <v>822</v>
      </c>
      <c r="C2939" s="27" t="s">
        <v>693</v>
      </c>
      <c r="D2939" s="27" t="s">
        <v>694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810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785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164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1440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720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757</v>
      </c>
      <c r="B2945" s="27" t="s">
        <v>746</v>
      </c>
      <c r="C2945" s="27" t="s">
        <v>699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696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1519</v>
      </c>
      <c r="B2947" s="27" t="s">
        <v>798</v>
      </c>
      <c r="C2947" s="27" t="s">
        <v>1064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1520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722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730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1521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1076</v>
      </c>
      <c r="B2952" s="27" t="s">
        <v>758</v>
      </c>
      <c r="C2952" s="27" t="s">
        <v>717</v>
      </c>
      <c r="D2952" s="27" t="s">
        <v>694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720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757</v>
      </c>
      <c r="B2954" s="27" t="s">
        <v>749</v>
      </c>
      <c r="C2954" s="27" t="s">
        <v>699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712</v>
      </c>
      <c r="B2955" s="27" t="s">
        <v>738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1520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704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/>
    </row>
    <row r="2959" spans="1:12">
      <c r="A2959" s="20" t="s">
        <v>1522</v>
      </c>
    </row>
    <row r="2960" spans="1:12">
      <c r="A2960" s="20" t="s">
        <v>741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1471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1523</v>
      </c>
      <c r="B2962" s="27" t="s">
        <v>698</v>
      </c>
      <c r="C2962" s="27" t="s">
        <v>771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722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836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843</v>
      </c>
      <c r="B2965" s="27" t="s">
        <v>822</v>
      </c>
      <c r="C2965" s="27" t="s">
        <v>789</v>
      </c>
      <c r="D2965" s="27" t="s">
        <v>694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810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1524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704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/>
    </row>
    <row r="2970" spans="1:12">
      <c r="A2970" s="20" t="s">
        <v>1525</v>
      </c>
    </row>
    <row r="2971" spans="1:12">
      <c r="A2971" s="20" t="s">
        <v>1416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722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791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1526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1527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690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697</v>
      </c>
      <c r="B2977" s="27" t="s">
        <v>716</v>
      </c>
      <c r="C2977" s="27" t="s">
        <v>717</v>
      </c>
      <c r="D2977" s="27" t="s">
        <v>694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696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724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874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1398</v>
      </c>
      <c r="B2981" s="27" t="s">
        <v>719</v>
      </c>
      <c r="C2981" s="27" t="s">
        <v>729</v>
      </c>
      <c r="D2981" s="27" t="s">
        <v>694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722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1384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524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1215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132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825</v>
      </c>
      <c r="B2987" s="27" t="s">
        <v>758</v>
      </c>
      <c r="C2987" s="27" t="s">
        <v>699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877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826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704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/>
    </row>
    <row r="2992" spans="1:12">
      <c r="A2992" s="20" t="s">
        <v>1528</v>
      </c>
    </row>
    <row r="2993" spans="1:12">
      <c r="A2993" s="20" t="s">
        <v>12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1127</v>
      </c>
      <c r="B2994" s="27" t="s">
        <v>692</v>
      </c>
      <c r="C2994" s="27" t="s">
        <v>693</v>
      </c>
      <c r="D2994" s="27" t="s">
        <v>694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1529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696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219</v>
      </c>
      <c r="B2997" s="27" t="s">
        <v>698</v>
      </c>
      <c r="C2997" s="27" t="s">
        <v>789</v>
      </c>
      <c r="D2997" s="27" t="s">
        <v>694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712</v>
      </c>
      <c r="B2998" s="27" t="s">
        <v>716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240</v>
      </c>
      <c r="B2999" s="27" t="s">
        <v>713</v>
      </c>
      <c r="C2999" s="27" t="s">
        <v>708</v>
      </c>
      <c r="D2999" s="27" t="s">
        <v>694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918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 t="s">
        <v>982</v>
      </c>
      <c r="E3001" s="21">
        <f>IF(D3001="?OLD","!!!","")</f>
        <v/>
      </c>
      <c r="F3001" s="22" t="str">
        <f>IF(OR(E3001="",E3001="!!!"),"",IF(NOT(ISNA(VLOOKUP(E3001,E$1:E3000,1,FALSE()))),"OLD",IF(AND(E3001&lt;&gt;"",E3001&lt;&gt;"!!!"),"NEW","")))</f>
        <v> </v>
      </c>
      <c r="G3001" s="23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4" t="str">
        <f>IF(J3001&lt;&gt;1,"",IF(I3001="SBJ","CB","?"))</f>
        <v> </v>
      </c>
      <c r="I3001" s="25" t="str">
        <f>IF(OR(E3001="",E3001="!!!",F3001="NEW"),"",INDEX(B3000:B$2,-1+SUMPRODUCT(MAX(ROW(E3000:E$2)*(E3001=E3000:E$2)))))</f>
        <v> </v>
      </c>
      <c r="J3001" s="25" t="str">
        <f>IF(OR(E3001="",E3001="!!!",F3001="NEW"),"",COUNTBLANK(OFFSET(A$1,,,SUMPRODUCT(MAX(ROW(E$2:E3001)*(E3001=E$2:E3001)))))-COUNTBLANK(OFFSET(A$1,,,SUMPRODUCT(MAX(ROW(E$1:E3000)*(E2=E$1:E3000))))))</f>
        <v> </v>
      </c>
      <c r="K3001" s="25" t="str">
        <f>IF(OR(E3001="",E3001="!!!",F3001="NEW"),"",INDEX(J$1:J3000,SUMPRODUCT(MAX(ROW(E$1:E3000)*(E3001=E$1:E3000)))))</f>
        <v> </v>
      </c>
      <c r="L3001" s="26"/>
    </row>
    <row r="3002" spans="1:12">
      <c r="A3002" s="20" t="s">
        <v>810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712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818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1530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50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701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690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697</v>
      </c>
      <c r="B3009" s="27" t="s">
        <v>758</v>
      </c>
      <c r="C3009" s="27" t="s">
        <v>693</v>
      </c>
      <c r="D3009" s="27" t="s">
        <v>694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804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742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 t="s">
        <v>1531</v>
      </c>
      <c r="B3012" s="27" t="s">
        <v>746</v>
      </c>
      <c r="C3012" s="27" t="s">
        <v>717</v>
      </c>
      <c r="D3012" s="27" t="s">
        <v>694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752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219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853</v>
      </c>
      <c r="B3015" s="27" t="s">
        <v>749</v>
      </c>
      <c r="C3015" s="27" t="s">
        <v>693</v>
      </c>
      <c r="D3015" s="27" t="s">
        <v>694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704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/>
    </row>
    <row r="3018" spans="1:12">
      <c r="A3018" s="20" t="s">
        <v>1532</v>
      </c>
    </row>
    <row r="3019" spans="1:12">
      <c r="A3019" s="20" t="s">
        <v>975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819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464</v>
      </c>
      <c r="B3021" s="27" t="s">
        <v>703</v>
      </c>
      <c r="C3021" s="27" t="s">
        <v>820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1213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1434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704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/>
    </row>
    <row r="3026" spans="1:12">
      <c r="A3026" s="20" t="s">
        <v>1533</v>
      </c>
    </row>
    <row r="3027" spans="1:12">
      <c r="A3027" s="20" t="s">
        <v>1179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722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877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1534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722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806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430</v>
      </c>
      <c r="B3033" s="27" t="s">
        <v>692</v>
      </c>
      <c r="C3033" s="27" t="s">
        <v>771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1215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 t="s">
        <v>712</v>
      </c>
      <c r="B3035" s="27" t="s">
        <v>797</v>
      </c>
      <c r="E3035" s="21">
        <f>IF(D3035="?OLD","!!!","")</f>
        <v/>
      </c>
      <c r="F3035" s="22" t="str">
        <f>IF(OR(E3035="",E3035="!!!"),"",IF(NOT(ISNA(VLOOKUP(E3035,E$1:E3034,1,FALSE()))),"OLD",IF(AND(E3035&lt;&gt;"",E3035&lt;&gt;"!!!"),"NEW","")))</f>
        <v> </v>
      </c>
      <c r="G3035" s="23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4" t="str">
        <f>IF(J3035&lt;&gt;1,"",IF(I3035="SBJ","CB","?"))</f>
        <v> </v>
      </c>
      <c r="I3035" s="25" t="str">
        <f>IF(OR(E3035="",E3035="!!!",F3035="NEW"),"",INDEX(B3034:B$2,-1+SUMPRODUCT(MAX(ROW(E3034:E$2)*(E3035=E3034:E$2)))))</f>
        <v> </v>
      </c>
      <c r="J3035" s="25" t="str">
        <f>IF(OR(E3035="",E3035="!!!",F3035="NEW"),"",COUNTBLANK(OFFSET(A$1,,,SUMPRODUCT(MAX(ROW(E$2:E3035)*(E3035=E$2:E3035)))))-COUNTBLANK(OFFSET(A$1,,,SUMPRODUCT(MAX(ROW(E$1:E3034)*(E2=E$1:E3034))))))</f>
        <v> </v>
      </c>
      <c r="K3035" s="25" t="str">
        <f>IF(OR(E3035="",E3035="!!!",F3035="NEW"),"",INDEX(J$1:J3034,SUMPRODUCT(MAX(ROW(E$1:E3034)*(E3035=E$1:E3034)))))</f>
        <v> </v>
      </c>
      <c r="L3035" s="26"/>
    </row>
    <row r="3036" spans="1:12">
      <c r="A3036" s="20" t="s">
        <v>818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834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50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1129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745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690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697</v>
      </c>
      <c r="B3042" s="27" t="s">
        <v>798</v>
      </c>
      <c r="C3042" s="27" t="s">
        <v>693</v>
      </c>
      <c r="D3042" s="27" t="s">
        <v>694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810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799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818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1535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701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1025</v>
      </c>
      <c r="B3048" s="27" t="s">
        <v>746</v>
      </c>
      <c r="C3048" s="27" t="s">
        <v>699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756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 t="s">
        <v>1392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825</v>
      </c>
      <c r="B3051" s="27" t="s">
        <v>758</v>
      </c>
      <c r="C3051" s="27" t="s">
        <v>693</v>
      </c>
      <c r="D3051" s="27" t="s">
        <v>694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978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1290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745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690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866</v>
      </c>
      <c r="B3056" s="27" t="s">
        <v>746</v>
      </c>
      <c r="C3056" s="27" t="s">
        <v>693</v>
      </c>
      <c r="D3056" s="27" t="s">
        <v>694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722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 t="s">
        <v>730</v>
      </c>
      <c r="E3058" s="21">
        <f>IF(D3058="?OLD","!!!","")</f>
        <v/>
      </c>
      <c r="F3058" s="22" t="str">
        <f>IF(OR(E3058="",E3058="!!!"),"",IF(NOT(ISNA(VLOOKUP(E3058,E$1:E3057,1,FALSE()))),"OLD",IF(AND(E3058&lt;&gt;"",E3058&lt;&gt;"!!!"),"NEW","")))</f>
        <v> </v>
      </c>
      <c r="G3058" s="23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4" t="str">
        <f>IF(J3058&lt;&gt;1,"",IF(I3058="SBJ","CB","?"))</f>
        <v> </v>
      </c>
      <c r="I3058" s="25" t="str">
        <f>IF(OR(E3058="",E3058="!!!",F3058="NEW"),"",INDEX(B3057:B$2,-1+SUMPRODUCT(MAX(ROW(E3057:E$2)*(E3058=E3057:E$2)))))</f>
        <v> </v>
      </c>
      <c r="J3058" s="25" t="str">
        <f>IF(OR(E3058="",E3058="!!!",F3058="NEW"),"",COUNTBLANK(OFFSET(A$1,,,SUMPRODUCT(MAX(ROW(E$2:E3058)*(E3058=E$2:E3058)))))-COUNTBLANK(OFFSET(A$1,,,SUMPRODUCT(MAX(ROW(E$1:E3057)*(E2=E$1:E3057))))))</f>
        <v> </v>
      </c>
      <c r="K3058" s="25" t="str">
        <f>IF(OR(E3058="",E3058="!!!",F3058="NEW"),"",INDEX(J$1:J3057,SUMPRODUCT(MAX(ROW(E$1:E3057)*(E3058=E$1:E3057)))))</f>
        <v> </v>
      </c>
      <c r="L3058" s="26"/>
    </row>
    <row r="3059" spans="1:12">
      <c r="A3059" s="20" t="s">
        <v>978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690</v>
      </c>
      <c r="B3060" s="27" t="s">
        <v>716</v>
      </c>
      <c r="C3060" s="27" t="s">
        <v>708</v>
      </c>
      <c r="D3060" s="27" t="s">
        <v>694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1536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 t="s">
        <v>1256</v>
      </c>
      <c r="E3062" s="21">
        <f>IF(D3062="?OLD","!!!","")</f>
        <v/>
      </c>
      <c r="F3062" s="22" t="str">
        <f>IF(OR(E3062="",E3062="!!!"),"",IF(NOT(ISNA(VLOOKUP(E3062,E$1:E3061,1,FALSE()))),"OLD",IF(AND(E3062&lt;&gt;"",E3062&lt;&gt;"!!!"),"NEW","")))</f>
        <v> </v>
      </c>
      <c r="G3062" s="23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4" t="str">
        <f>IF(J3062&lt;&gt;1,"",IF(I3062="SBJ","CB","?"))</f>
        <v> </v>
      </c>
      <c r="I3062" s="25" t="str">
        <f>IF(OR(E3062="",E3062="!!!",F3062="NEW"),"",INDEX(B3061:B$2,-1+SUMPRODUCT(MAX(ROW(E3061:E$2)*(E3062=E3061:E$2)))))</f>
        <v> </v>
      </c>
      <c r="J3062" s="25" t="str">
        <f>IF(OR(E3062="",E3062="!!!",F3062="NEW"),"",COUNTBLANK(OFFSET(A$1,,,SUMPRODUCT(MAX(ROW(E$2:E3062)*(E3062=E$2:E3062)))))-COUNTBLANK(OFFSET(A$1,,,SUMPRODUCT(MAX(ROW(E$1:E3061)*(E2=E$1:E3061))))))</f>
        <v> </v>
      </c>
      <c r="K3062" s="25" t="str">
        <f>IF(OR(E3062="",E3062="!!!",F3062="NEW"),"",INDEX(J$1:J3061,SUMPRODUCT(MAX(ROW(E$1:E3061)*(E3062=E$1:E3061)))))</f>
        <v> </v>
      </c>
      <c r="L3062" s="26"/>
    </row>
    <row r="3063" spans="1:12">
      <c r="A3063" s="20" t="s">
        <v>704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/>
    </row>
    <row r="3065" spans="1:12">
      <c r="A3065" s="20" t="s">
        <v>1537</v>
      </c>
    </row>
    <row r="3066" spans="1:12">
      <c r="A3066" s="20" t="s">
        <v>1416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722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791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1538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1437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759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873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756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757</v>
      </c>
      <c r="B3074" s="27" t="s">
        <v>692</v>
      </c>
      <c r="C3074" s="27" t="s">
        <v>717</v>
      </c>
      <c r="D3074" s="27" t="s">
        <v>694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701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690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1539</v>
      </c>
      <c r="B3077" s="27" t="s">
        <v>746</v>
      </c>
      <c r="C3077" s="27" t="s">
        <v>996</v>
      </c>
      <c r="D3077" s="27" t="s">
        <v>694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722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818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841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 t="s">
        <v>538</v>
      </c>
      <c r="E3081" s="21">
        <f>IF(D3081="?OLD","!!!","")</f>
        <v/>
      </c>
      <c r="F3081" s="22" t="str">
        <f>IF(OR(E3081="",E3081="!!!"),"",IF(NOT(ISNA(VLOOKUP(E3081,E$1:E3080,1,FALSE()))),"OLD",IF(AND(E3081&lt;&gt;"",E3081&lt;&gt;"!!!"),"NEW","")))</f>
        <v> </v>
      </c>
      <c r="G3081" s="23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4" t="str">
        <f>IF(J3081&lt;&gt;1,"",IF(I3081="SBJ","CB","?"))</f>
        <v> </v>
      </c>
      <c r="I3081" s="25" t="str">
        <f>IF(OR(E3081="",E3081="!!!",F3081="NEW"),"",INDEX(B3080:B$2,-1+SUMPRODUCT(MAX(ROW(E3080:E$2)*(E3081=E3080:E$2)))))</f>
        <v> </v>
      </c>
      <c r="J3081" s="25" t="str">
        <f>IF(OR(E3081="",E3081="!!!",F3081="NEW"),"",COUNTBLANK(OFFSET(A$1,,,SUMPRODUCT(MAX(ROW(E$2:E3081)*(E3081=E$2:E3081)))))-COUNTBLANK(OFFSET(A$1,,,SUMPRODUCT(MAX(ROW(E$1:E3080)*(E2=E$1:E3080))))))</f>
        <v> </v>
      </c>
      <c r="K3081" s="25" t="str">
        <f>IF(OR(E3081="",E3081="!!!",F3081="NEW"),"",INDEX(J$1:J3080,SUMPRODUCT(MAX(ROW(E$1:E3080)*(E3081=E$1:E3080)))))</f>
        <v> </v>
      </c>
      <c r="L3081" s="26"/>
    </row>
    <row r="3082" spans="1:12">
      <c r="A3082" s="20" t="s">
        <v>690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690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1017</v>
      </c>
      <c r="B3084" s="27" t="s">
        <v>698</v>
      </c>
      <c r="C3084" s="27" t="s">
        <v>693</v>
      </c>
      <c r="D3084" s="27" t="s">
        <v>694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1217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704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/>
    </row>
    <row r="3088" spans="1:12">
      <c r="A3088" s="20" t="s">
        <v>1540</v>
      </c>
    </row>
    <row r="3089" spans="1:12">
      <c r="A3089" s="20" t="s">
        <v>1330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1186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904</v>
      </c>
      <c r="B3091" s="27" t="s">
        <v>758</v>
      </c>
      <c r="C3091" s="27" t="s">
        <v>789</v>
      </c>
      <c r="D3091" s="27" t="s">
        <v>694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722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1290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712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756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757</v>
      </c>
      <c r="B3096" s="27" t="s">
        <v>713</v>
      </c>
      <c r="C3096" s="27" t="s">
        <v>693</v>
      </c>
      <c r="D3096" s="27" t="s">
        <v>694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1541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200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739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759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701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690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1539</v>
      </c>
      <c r="B3103" s="27" t="s">
        <v>749</v>
      </c>
      <c r="C3103" s="27" t="s">
        <v>996</v>
      </c>
      <c r="D3103" s="27" t="s">
        <v>694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696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219</v>
      </c>
      <c r="B3105" s="27" t="s">
        <v>867</v>
      </c>
      <c r="C3105" s="27" t="s">
        <v>789</v>
      </c>
      <c r="D3105" s="27" t="s">
        <v>694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 t="s">
        <v>712</v>
      </c>
      <c r="E3106" s="21">
        <f>IF(D3106="?OLD","!!!","")</f>
        <v/>
      </c>
      <c r="F3106" s="22" t="str">
        <f>IF(OR(E3106="",E3106="!!!"),"",IF(NOT(ISNA(VLOOKUP(E3106,E$1:E3105,1,FALSE()))),"OLD",IF(AND(E3106&lt;&gt;"",E3106&lt;&gt;"!!!"),"NEW","")))</f>
        <v> </v>
      </c>
      <c r="G3106" s="23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4" t="str">
        <f>IF(J3106&lt;&gt;1,"",IF(I3106="SBJ","CB","?"))</f>
        <v> </v>
      </c>
      <c r="I3106" s="25" t="str">
        <f>IF(OR(E3106="",E3106="!!!",F3106="NEW"),"",INDEX(B3105:B$2,-1+SUMPRODUCT(MAX(ROW(E3105:E$2)*(E3106=E3105:E$2)))))</f>
        <v> </v>
      </c>
      <c r="J3106" s="25" t="str">
        <f>IF(OR(E3106="",E3106="!!!",F3106="NEW"),"",COUNTBLANK(OFFSET(A$1,,,SUMPRODUCT(MAX(ROW(E$2:E3106)*(E3106=E$2:E3106)))))-COUNTBLANK(OFFSET(A$1,,,SUMPRODUCT(MAX(ROW(E$1:E3105)*(E2=E$1:E3105))))))</f>
        <v> </v>
      </c>
      <c r="K3106" s="25" t="str">
        <f>IF(OR(E3106="",E3106="!!!",F3106="NEW"),"",INDEX(J$1:J3105,SUMPRODUCT(MAX(ROW(E$1:E3105)*(E3106=E$1:E3105)))))</f>
        <v> </v>
      </c>
      <c r="L3106" s="26"/>
    </row>
    <row r="3107" spans="1:12">
      <c r="A3107" s="20" t="s">
        <v>722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1269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722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791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1542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701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219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1543</v>
      </c>
      <c r="B3114" s="27" t="s">
        <v>719</v>
      </c>
      <c r="C3114" s="27" t="s">
        <v>996</v>
      </c>
      <c r="D3114" s="27" t="s">
        <v>694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704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/>
    </row>
    <row r="3117" spans="1:12">
      <c r="A3117" s="20" t="s">
        <v>1544</v>
      </c>
    </row>
    <row r="3118" spans="1:12">
      <c r="A3118" s="20" t="s">
        <v>12</v>
      </c>
      <c r="B3118" s="27" t="s">
        <v>713</v>
      </c>
      <c r="C3118" s="27" t="s">
        <v>789</v>
      </c>
      <c r="D3118" s="27" t="s">
        <v>694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712</v>
      </c>
      <c r="B3119" s="27" t="s">
        <v>732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1188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810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712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978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793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701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267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701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690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1539</v>
      </c>
      <c r="B3129" s="27" t="s">
        <v>867</v>
      </c>
      <c r="C3129" s="27" t="s">
        <v>996</v>
      </c>
      <c r="D3129" s="27" t="s">
        <v>694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722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878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690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50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 t="s">
        <v>701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 t="s">
        <v>219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1545</v>
      </c>
      <c r="B3136" s="27" t="s">
        <v>758</v>
      </c>
      <c r="C3136" s="27" t="s">
        <v>717</v>
      </c>
      <c r="D3136" s="27" t="s">
        <v>694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747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690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 t="s">
        <v>1539</v>
      </c>
      <c r="B3139" s="27" t="s">
        <v>749</v>
      </c>
      <c r="C3139" s="27" t="s">
        <v>996</v>
      </c>
      <c r="D3139" s="27" t="s">
        <v>694</v>
      </c>
      <c r="E3139" s="21">
        <f>IF(D3139="?OLD","!!!","")</f>
        <v/>
      </c>
      <c r="F3139" s="22" t="str">
        <f>IF(OR(E3139="",E3139="!!!"),"",IF(NOT(ISNA(VLOOKUP(E3139,E$1:E3138,1,FALSE()))),"OLD",IF(AND(E3139&lt;&gt;"",E3139&lt;&gt;"!!!"),"NEW","")))</f>
        <v> </v>
      </c>
      <c r="G3139" s="23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4" t="str">
        <f>IF(J3139&lt;&gt;1,"",IF(I3139="SBJ","CB","?"))</f>
        <v> </v>
      </c>
      <c r="I3139" s="25" t="str">
        <f>IF(OR(E3139="",E3139="!!!",F3139="NEW"),"",INDEX(B3138:B$2,-1+SUMPRODUCT(MAX(ROW(E3138:E$2)*(E3139=E3138:E$2)))))</f>
        <v> </v>
      </c>
      <c r="J3139" s="25" t="str">
        <f>IF(OR(E3139="",E3139="!!!",F3139="NEW"),"",COUNTBLANK(OFFSET(A$1,,,SUMPRODUCT(MAX(ROW(E$2:E3139)*(E3139=E$2:E3139)))))-COUNTBLANK(OFFSET(A$1,,,SUMPRODUCT(MAX(ROW(E$1:E3138)*(E2=E$1:E3138))))))</f>
        <v> </v>
      </c>
      <c r="K3139" s="25" t="str">
        <f>IF(OR(E3139="",E3139="!!!",F3139="NEW"),"",INDEX(J$1:J3138,SUMPRODUCT(MAX(ROW(E$1:E3138)*(E3139=E$1:E3138)))))</f>
        <v> </v>
      </c>
      <c r="L3139" s="26"/>
    </row>
    <row r="3140" spans="1:12">
      <c r="A3140" s="20" t="s">
        <v>730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1471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1546</v>
      </c>
      <c r="B3142" s="27" t="s">
        <v>719</v>
      </c>
      <c r="C3142" s="27" t="s">
        <v>771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704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/>
    </row>
    <row r="3145" spans="1:12">
      <c r="A3145" s="20" t="s">
        <v>1547</v>
      </c>
    </row>
    <row r="3146" spans="1:12">
      <c r="A3146" s="20" t="s">
        <v>871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 t="s">
        <v>998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1545</v>
      </c>
      <c r="B3148" s="27" t="s">
        <v>692</v>
      </c>
      <c r="C3148" s="27" t="s">
        <v>766</v>
      </c>
      <c r="D3148" s="27" t="s">
        <v>694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 t="s">
        <v>810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722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 t="s">
        <v>1269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722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 t="s">
        <v>219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 t="s">
        <v>1548</v>
      </c>
      <c r="B3154" s="27" t="s">
        <v>698</v>
      </c>
      <c r="C3154" s="27" t="s">
        <v>693</v>
      </c>
      <c r="D3154" s="27" t="s">
        <v>694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704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/>
    </row>
    <row r="3157" spans="1:12">
      <c r="A3157" s="20" t="s">
        <v>1549</v>
      </c>
    </row>
    <row r="3158" spans="1:12">
      <c r="A3158" s="20" t="s">
        <v>1015</v>
      </c>
      <c r="E3158" s="21">
        <f>IF(D3158="?OLD","!!!","")</f>
        <v/>
      </c>
      <c r="F3158" s="22" t="str">
        <f>IF(OR(E3158="",E3158="!!!"),"",IF(NOT(ISNA(VLOOKUP(E3158,E$1:E3157,1,FALSE()))),"OLD",IF(AND(E3158&lt;&gt;"",E3158&lt;&gt;"!!!"),"NEW","")))</f>
        <v> </v>
      </c>
      <c r="G3158" s="23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4" t="str">
        <f>IF(J3158&lt;&gt;1,"",IF(I3158="SBJ","CB","?"))</f>
        <v> </v>
      </c>
      <c r="I3158" s="25" t="str">
        <f>IF(OR(E3158="",E3158="!!!",F3158="NEW"),"",INDEX(B3157:B$2,-1+SUMPRODUCT(MAX(ROW(E3157:E$2)*(E3158=E3157:E$2)))))</f>
        <v> </v>
      </c>
      <c r="J3158" s="25" t="str">
        <f>IF(OR(E3158="",E3158="!!!",F3158="NEW"),"",COUNTBLANK(OFFSET(A$1,,,SUMPRODUCT(MAX(ROW(E$2:E3158)*(E3158=E$2:E3158)))))-COUNTBLANK(OFFSET(A$1,,,SUMPRODUCT(MAX(ROW(E$1:E3157)*(E2=E$1:E3157))))))</f>
        <v> </v>
      </c>
      <c r="K3158" s="25" t="str">
        <f>IF(OR(E3158="",E3158="!!!",F3158="NEW"),"",INDEX(J$1:J3157,SUMPRODUCT(MAX(ROW(E$1:E3157)*(E3158=E$1:E3157)))))</f>
        <v> </v>
      </c>
      <c r="L3158" s="26"/>
    </row>
    <row r="3159" spans="1:12">
      <c r="A3159" s="20" t="s">
        <v>690</v>
      </c>
      <c r="E3159" s="21">
        <f>IF(D3159="?OLD","!!!","")</f>
        <v/>
      </c>
      <c r="F3159" s="22" t="str">
        <f>IF(OR(E3159="",E3159="!!!"),"",IF(NOT(ISNA(VLOOKUP(E3159,E$1:E3158,1,FALSE()))),"OLD",IF(AND(E3159&lt;&gt;"",E3159&lt;&gt;"!!!"),"NEW","")))</f>
        <v> </v>
      </c>
      <c r="G3159" s="23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4" t="str">
        <f>IF(J3159&lt;&gt;1,"",IF(I3159="SBJ","CB","?"))</f>
        <v> </v>
      </c>
      <c r="I3159" s="25" t="str">
        <f>IF(OR(E3159="",E3159="!!!",F3159="NEW"),"",INDEX(B3158:B$2,-1+SUMPRODUCT(MAX(ROW(E3158:E$2)*(E3159=E3158:E$2)))))</f>
        <v> </v>
      </c>
      <c r="J3159" s="25" t="str">
        <f>IF(OR(E3159="",E3159="!!!",F3159="NEW"),"",COUNTBLANK(OFFSET(A$1,,,SUMPRODUCT(MAX(ROW(E$2:E3159)*(E3159=E$2:E3159)))))-COUNTBLANK(OFFSET(A$1,,,SUMPRODUCT(MAX(ROW(E$1:E3158)*(E2=E$1:E3158))))))</f>
        <v> </v>
      </c>
      <c r="K3159" s="25" t="str">
        <f>IF(OR(E3159="",E3159="!!!",F3159="NEW"),"",INDEX(J$1:J3158,SUMPRODUCT(MAX(ROW(E$1:E3158)*(E3159=E$1:E3158)))))</f>
        <v> </v>
      </c>
      <c r="L3159" s="26"/>
    </row>
    <row r="3160" spans="1:12">
      <c r="A3160" s="20" t="s">
        <v>959</v>
      </c>
      <c r="B3160" s="27" t="s">
        <v>703</v>
      </c>
      <c r="C3160" s="27" t="s">
        <v>693</v>
      </c>
      <c r="D3160" s="27" t="s">
        <v>694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722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219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1548</v>
      </c>
      <c r="B3163" s="27" t="s">
        <v>692</v>
      </c>
      <c r="C3163" s="27" t="s">
        <v>693</v>
      </c>
      <c r="D3163" s="27" t="s">
        <v>694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818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810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877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 t="s">
        <v>1516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 t="s">
        <v>752</v>
      </c>
      <c r="E3168" s="21">
        <f>IF(D3168="?OLD","!!!","")</f>
        <v/>
      </c>
      <c r="F3168" s="22" t="str">
        <f>IF(OR(E3168="",E3168="!!!"),"",IF(NOT(ISNA(VLOOKUP(E3168,E$1:E3167,1,FALSE()))),"OLD",IF(AND(E3168&lt;&gt;"",E3168&lt;&gt;"!!!"),"NEW","")))</f>
        <v> </v>
      </c>
      <c r="G3168" s="23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4" t="str">
        <f>IF(J3168&lt;&gt;1,"",IF(I3168="SBJ","CB","?"))</f>
        <v> </v>
      </c>
      <c r="I3168" s="25" t="str">
        <f>IF(OR(E3168="",E3168="!!!",F3168="NEW"),"",INDEX(B3167:B$2,-1+SUMPRODUCT(MAX(ROW(E3167:E$2)*(E3168=E3167:E$2)))))</f>
        <v> </v>
      </c>
      <c r="J3168" s="25" t="str">
        <f>IF(OR(E3168="",E3168="!!!",F3168="NEW"),"",COUNTBLANK(OFFSET(A$1,,,SUMPRODUCT(MAX(ROW(E$2:E3168)*(E3168=E$2:E3168)))))-COUNTBLANK(OFFSET(A$1,,,SUMPRODUCT(MAX(ROW(E$1:E3167)*(E2=E$1:E3167))))))</f>
        <v> </v>
      </c>
      <c r="K3168" s="25" t="str">
        <f>IF(OR(E3168="",E3168="!!!",F3168="NEW"),"",INDEX(J$1:J3167,SUMPRODUCT(MAX(ROW(E$1:E3167)*(E3168=E$1:E3167)))))</f>
        <v> </v>
      </c>
      <c r="L3168" s="26"/>
    </row>
    <row r="3169" spans="1:12">
      <c r="A3169" s="20" t="s">
        <v>219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240</v>
      </c>
      <c r="B3170" s="27" t="s">
        <v>703</v>
      </c>
      <c r="C3170" s="27" t="s">
        <v>708</v>
      </c>
      <c r="D3170" s="27" t="s">
        <v>694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712</v>
      </c>
      <c r="B3171" s="27" t="s">
        <v>713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966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690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859</v>
      </c>
      <c r="B3174" s="27" t="s">
        <v>797</v>
      </c>
      <c r="C3174" s="27" t="s">
        <v>693</v>
      </c>
      <c r="D3174" s="27" t="s">
        <v>694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730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 t="s">
        <v>1550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 t="s">
        <v>1551</v>
      </c>
      <c r="B3177" s="27" t="s">
        <v>728</v>
      </c>
      <c r="C3177" s="27" t="s">
        <v>699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810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877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1516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752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219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240</v>
      </c>
      <c r="B3183" s="27" t="s">
        <v>728</v>
      </c>
      <c r="C3183" s="27" t="s">
        <v>708</v>
      </c>
      <c r="D3183" s="27" t="s">
        <v>694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712</v>
      </c>
      <c r="B3184" s="27" t="s">
        <v>1273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1552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722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712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1553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1437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759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873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756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757</v>
      </c>
      <c r="B3193" s="27" t="s">
        <v>749</v>
      </c>
      <c r="C3193" s="27" t="s">
        <v>693</v>
      </c>
      <c r="D3193" s="27" t="s">
        <v>694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 t="s">
        <v>704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/>
    </row>
    <row r="3196" spans="1:12">
      <c r="A3196" s="20" t="s">
        <v>1554</v>
      </c>
    </row>
    <row r="3197" spans="1:12">
      <c r="A3197" s="20" t="s">
        <v>761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722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799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810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219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240</v>
      </c>
      <c r="B3202" s="27" t="s">
        <v>746</v>
      </c>
      <c r="C3202" s="27" t="s">
        <v>708</v>
      </c>
      <c r="D3202" s="27" t="s">
        <v>694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712</v>
      </c>
      <c r="B3203" s="27" t="s">
        <v>797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1552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 t="s">
        <v>712</v>
      </c>
      <c r="E3205" s="21">
        <f>IF(D3205="?OLD","!!!","")</f>
        <v/>
      </c>
      <c r="F3205" s="22" t="str">
        <f>IF(OR(E3205="",E3205="!!!"),"",IF(NOT(ISNA(VLOOKUP(E3205,E$1:E3204,1,FALSE()))),"OLD",IF(AND(E3205&lt;&gt;"",E3205&lt;&gt;"!!!"),"NEW","")))</f>
        <v> </v>
      </c>
      <c r="G3205" s="23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4" t="str">
        <f>IF(J3205&lt;&gt;1,"",IF(I3205="SBJ","CB","?"))</f>
        <v> </v>
      </c>
      <c r="I3205" s="25" t="str">
        <f>IF(OR(E3205="",E3205="!!!",F3205="NEW"),"",INDEX(B3204:B$2,-1+SUMPRODUCT(MAX(ROW(E3204:E$2)*(E3205=E3204:E$2)))))</f>
        <v> </v>
      </c>
      <c r="J3205" s="25" t="str">
        <f>IF(OR(E3205="",E3205="!!!",F3205="NEW"),"",COUNTBLANK(OFFSET(A$1,,,SUMPRODUCT(MAX(ROW(E$2:E3205)*(E3205=E$2:E3205)))))-COUNTBLANK(OFFSET(A$1,,,SUMPRODUCT(MAX(ROW(E$1:E3204)*(E2=E$1:E3204))))))</f>
        <v> </v>
      </c>
      <c r="K3205" s="25" t="str">
        <f>IF(OR(E3205="",E3205="!!!",F3205="NEW"),"",INDEX(J$1:J3204,SUMPRODUCT(MAX(ROW(E$1:E3204)*(E3205=E$1:E3204)))))</f>
        <v> </v>
      </c>
      <c r="L3205" s="26"/>
    </row>
    <row r="3206" spans="1:12">
      <c r="A3206" s="20" t="s">
        <v>1089</v>
      </c>
      <c r="E3206" s="21">
        <f>IF(D3206="?OLD","!!!","")</f>
        <v/>
      </c>
      <c r="F3206" s="22" t="str">
        <f>IF(OR(E3206="",E3206="!!!"),"",IF(NOT(ISNA(VLOOKUP(E3206,E$1:E3205,1,FALSE()))),"OLD",IF(AND(E3206&lt;&gt;"",E3206&lt;&gt;"!!!"),"NEW","")))</f>
        <v> </v>
      </c>
      <c r="G3206" s="23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4" t="str">
        <f>IF(J3206&lt;&gt;1,"",IF(I3206="SBJ","CB","?"))</f>
        <v> </v>
      </c>
      <c r="I3206" s="25" t="str">
        <f>IF(OR(E3206="",E3206="!!!",F3206="NEW"),"",INDEX(B3205:B$2,-1+SUMPRODUCT(MAX(ROW(E3205:E$2)*(E3206=E3205:E$2)))))</f>
        <v> </v>
      </c>
      <c r="J3206" s="25" t="str">
        <f>IF(OR(E3206="",E3206="!!!",F3206="NEW"),"",COUNTBLANK(OFFSET(A$1,,,SUMPRODUCT(MAX(ROW(E$2:E3206)*(E3206=E$2:E3206)))))-COUNTBLANK(OFFSET(A$1,,,SUMPRODUCT(MAX(ROW(E$1:E3205)*(E2=E$1:E3205))))))</f>
        <v> </v>
      </c>
      <c r="K3206" s="25" t="str">
        <f>IF(OR(E3206="",E3206="!!!",F3206="NEW"),"",INDEX(J$1:J3205,SUMPRODUCT(MAX(ROW(E$1:E3205)*(E3206=E$1:E3205)))))</f>
        <v> </v>
      </c>
      <c r="L3206" s="26"/>
    </row>
    <row r="3207" spans="1:12">
      <c r="A3207" s="20" t="s">
        <v>701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219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1555</v>
      </c>
      <c r="B3209" s="27" t="s">
        <v>719</v>
      </c>
      <c r="C3209" s="27" t="s">
        <v>693</v>
      </c>
      <c r="D3209" s="27" t="s">
        <v>694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 t="s">
        <v>722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 t="s">
        <v>1556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 t="s">
        <v>757</v>
      </c>
      <c r="B3212" s="27" t="s">
        <v>822</v>
      </c>
      <c r="C3212" s="27" t="s">
        <v>771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 t="s">
        <v>1557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 t="s">
        <v>524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 t="s">
        <v>1215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791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335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752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690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1539</v>
      </c>
      <c r="B3220" s="27" t="s">
        <v>749</v>
      </c>
      <c r="C3220" s="27" t="s">
        <v>996</v>
      </c>
      <c r="D3220" s="27" t="s">
        <v>694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704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/>
    </row>
    <row r="3223" spans="1:12">
      <c r="A3223" s="20" t="s">
        <v>1558</v>
      </c>
    </row>
    <row r="3224" spans="1:12">
      <c r="A3224" s="20" t="s">
        <v>975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1559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 t="s">
        <v>1560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219</v>
      </c>
      <c r="B3227" s="27" t="s">
        <v>758</v>
      </c>
      <c r="C3227" s="27" t="s">
        <v>789</v>
      </c>
      <c r="D3227" s="27" t="s">
        <v>694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712</v>
      </c>
      <c r="B3228" s="27" t="s">
        <v>797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784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566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690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756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757</v>
      </c>
      <c r="B3233" s="27" t="s">
        <v>798</v>
      </c>
      <c r="C3233" s="27" t="s">
        <v>693</v>
      </c>
      <c r="D3233" s="27" t="s">
        <v>694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712</v>
      </c>
      <c r="B3234" s="27" t="s">
        <v>1004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791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1561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752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690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 t="s">
        <v>1539</v>
      </c>
      <c r="B3239" s="27" t="s">
        <v>728</v>
      </c>
      <c r="C3239" s="27" t="s">
        <v>996</v>
      </c>
      <c r="D3239" s="27" t="s">
        <v>694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701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690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1562</v>
      </c>
      <c r="B3242" s="27" t="s">
        <v>728</v>
      </c>
      <c r="C3242" s="27" t="s">
        <v>693</v>
      </c>
      <c r="D3242" s="27" t="s">
        <v>694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696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1563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739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759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704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/>
    </row>
    <row r="3249" spans="1:12">
      <c r="A3249" s="20" t="s">
        <v>1564</v>
      </c>
    </row>
    <row r="3250" spans="1:12">
      <c r="A3250" s="20" t="s">
        <v>12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1508</v>
      </c>
      <c r="B3251" s="27" t="s">
        <v>746</v>
      </c>
      <c r="C3251" s="27" t="s">
        <v>782</v>
      </c>
      <c r="D3251" s="27" t="s">
        <v>694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 t="s">
        <v>240</v>
      </c>
      <c r="B3252" s="27" t="s">
        <v>692</v>
      </c>
      <c r="C3252" s="27" t="s">
        <v>708</v>
      </c>
      <c r="D3252" s="27" t="s">
        <v>694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 t="s">
        <v>712</v>
      </c>
      <c r="E3253" s="21">
        <f>IF(D3253="?OLD","!!!","")</f>
        <v/>
      </c>
      <c r="F3253" s="22" t="str">
        <f>IF(OR(E3253="",E3253="!!!"),"",IF(NOT(ISNA(VLOOKUP(E3253,E$1:E3252,1,FALSE()))),"OLD",IF(AND(E3253&lt;&gt;"",E3253&lt;&gt;"!!!"),"NEW","")))</f>
        <v> </v>
      </c>
      <c r="G3253" s="23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4" t="str">
        <f>IF(J3253&lt;&gt;1,"",IF(I3253="SBJ","CB","?"))</f>
        <v> </v>
      </c>
      <c r="I3253" s="25" t="str">
        <f>IF(OR(E3253="",E3253="!!!",F3253="NEW"),"",INDEX(B3252:B$2,-1+SUMPRODUCT(MAX(ROW(E3252:E$2)*(E3253=E3252:E$2)))))</f>
        <v> </v>
      </c>
      <c r="J3253" s="25" t="str">
        <f>IF(OR(E3253="",E3253="!!!",F3253="NEW"),"",COUNTBLANK(OFFSET(A$1,,,SUMPRODUCT(MAX(ROW(E$2:E3253)*(E3253=E$2:E3253)))))-COUNTBLANK(OFFSET(A$1,,,SUMPRODUCT(MAX(ROW(E$1:E3252)*(E2=E$1:E3252))))))</f>
        <v> </v>
      </c>
      <c r="K3253" s="25" t="str">
        <f>IF(OR(E3253="",E3253="!!!",F3253="NEW"),"",INDEX(J$1:J3252,SUMPRODUCT(MAX(ROW(E$1:E3252)*(E3253=E$1:E3252)))))</f>
        <v> </v>
      </c>
      <c r="L3253" s="26"/>
    </row>
    <row r="3254" spans="1:12">
      <c r="A3254" s="20" t="s">
        <v>966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690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859</v>
      </c>
      <c r="B3256" s="27" t="s">
        <v>758</v>
      </c>
      <c r="C3256" s="27" t="s">
        <v>693</v>
      </c>
      <c r="D3256" s="27" t="s">
        <v>694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818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784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559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739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 t="s">
        <v>869</v>
      </c>
      <c r="E3261" s="21">
        <f>IF(D3261="?OLD","!!!","")</f>
        <v/>
      </c>
      <c r="F3261" s="22" t="str">
        <f>IF(OR(E3261="",E3261="!!!"),"",IF(NOT(ISNA(VLOOKUP(E3261,E$1:E3260,1,FALSE()))),"OLD",IF(AND(E3261&lt;&gt;"",E3261&lt;&gt;"!!!"),"NEW","")))</f>
        <v> </v>
      </c>
      <c r="G3261" s="23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4" t="str">
        <f>IF(J3261&lt;&gt;1,"",IF(I3261="SBJ","CB","?"))</f>
        <v> </v>
      </c>
      <c r="I3261" s="25" t="str">
        <f>IF(OR(E3261="",E3261="!!!",F3261="NEW"),"",INDEX(B3260:B$2,-1+SUMPRODUCT(MAX(ROW(E3260:E$2)*(E3261=E3260:E$2)))))</f>
        <v> </v>
      </c>
      <c r="J3261" s="25" t="str">
        <f>IF(OR(E3261="",E3261="!!!",F3261="NEW"),"",COUNTBLANK(OFFSET(A$1,,,SUMPRODUCT(MAX(ROW(E$2:E3261)*(E3261=E$2:E3261)))))-COUNTBLANK(OFFSET(A$1,,,SUMPRODUCT(MAX(ROW(E$1:E3260)*(E2=E$1:E3260))))))</f>
        <v> </v>
      </c>
      <c r="K3261" s="25" t="str">
        <f>IF(OR(E3261="",E3261="!!!",F3261="NEW"),"",INDEX(J$1:J3260,SUMPRODUCT(MAX(ROW(E$1:E3260)*(E3261=E$1:E3260)))))</f>
        <v> </v>
      </c>
      <c r="L3261" s="26"/>
    </row>
    <row r="3262" spans="1:12">
      <c r="A3262" s="20" t="s">
        <v>704</v>
      </c>
      <c r="E3262" s="21">
        <f>IF(D3262="?OLD","!!!","")</f>
        <v/>
      </c>
      <c r="F3262" s="22" t="str">
        <f>IF(OR(E3262="",E3262="!!!"),"",IF(NOT(ISNA(VLOOKUP(E3262,E$1:E3261,1,FALSE()))),"OLD",IF(AND(E3262&lt;&gt;"",E3262&lt;&gt;"!!!"),"NEW","")))</f>
        <v> </v>
      </c>
      <c r="G3262" s="23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4" t="str">
        <f>IF(J3262&lt;&gt;1,"",IF(I3262="SBJ","CB","?"))</f>
        <v> </v>
      </c>
      <c r="I3262" s="25" t="str">
        <f>IF(OR(E3262="",E3262="!!!",F3262="NEW"),"",INDEX(B3261:B$2,-1+SUMPRODUCT(MAX(ROW(E3261:E$2)*(E3262=E3261:E$2)))))</f>
        <v> </v>
      </c>
      <c r="J3262" s="25" t="str">
        <f>IF(OR(E3262="",E3262="!!!",F3262="NEW"),"",COUNTBLANK(OFFSET(A$1,,,SUMPRODUCT(MAX(ROW(E$2:E3262)*(E3262=E$2:E3262)))))-COUNTBLANK(OFFSET(A$1,,,SUMPRODUCT(MAX(ROW(E$1:E3261)*(E2=E$1:E3261))))))</f>
        <v> </v>
      </c>
      <c r="K3262" s="25" t="str">
        <f>IF(OR(E3262="",E3262="!!!",F3262="NEW"),"",INDEX(J$1:J3261,SUMPRODUCT(MAX(ROW(E$1:E3261)*(E3262=E$1:E3261)))))</f>
        <v> </v>
      </c>
      <c r="L3262" s="26"/>
    </row>
    <row r="3263" spans="1:12">
      <c r="A3263" s="20"/>
    </row>
    <row r="3264" spans="1:12">
      <c r="A3264" s="20" t="s">
        <v>1565</v>
      </c>
    </row>
    <row r="3265" spans="1:12">
      <c r="A3265" s="20" t="s">
        <v>1222</v>
      </c>
      <c r="B3265" s="27" t="s">
        <v>692</v>
      </c>
      <c r="C3265" s="27" t="s">
        <v>708</v>
      </c>
      <c r="D3265" s="27" t="s">
        <v>694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1111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904</v>
      </c>
      <c r="B3267" s="27" t="s">
        <v>698</v>
      </c>
      <c r="C3267" s="27" t="s">
        <v>789</v>
      </c>
      <c r="D3267" s="27" t="s">
        <v>694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 t="s">
        <v>704</v>
      </c>
      <c r="E3268" s="21">
        <f>IF(D3268="?OLD","!!!","")</f>
        <v/>
      </c>
      <c r="F3268" s="22" t="str">
        <f>IF(OR(E3268="",E3268="!!!"),"",IF(NOT(ISNA(VLOOKUP(E3268,E$1:E3267,1,FALSE()))),"OLD",IF(AND(E3268&lt;&gt;"",E3268&lt;&gt;"!!!"),"NEW","")))</f>
        <v> </v>
      </c>
      <c r="G3268" s="23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4" t="str">
        <f>IF(J3268&lt;&gt;1,"",IF(I3268="SBJ","CB","?"))</f>
        <v> </v>
      </c>
      <c r="I3268" s="25" t="str">
        <f>IF(OR(E3268="",E3268="!!!",F3268="NEW"),"",INDEX(B3267:B$2,-1+SUMPRODUCT(MAX(ROW(E3267:E$2)*(E3268=E3267:E$2)))))</f>
        <v> </v>
      </c>
      <c r="J3268" s="25" t="str">
        <f>IF(OR(E3268="",E3268="!!!",F3268="NEW"),"",COUNTBLANK(OFFSET(A$1,,,SUMPRODUCT(MAX(ROW(E$2:E3268)*(E3268=E$2:E3268)))))-COUNTBLANK(OFFSET(A$1,,,SUMPRODUCT(MAX(ROW(E$1:E3267)*(E2=E$1:E3267))))))</f>
        <v> </v>
      </c>
      <c r="K3268" s="25" t="str">
        <f>IF(OR(E3268="",E3268="!!!",F3268="NEW"),"",INDEX(J$1:J3267,SUMPRODUCT(MAX(ROW(E$1:E3267)*(E3268=E$1:E3267)))))</f>
        <v> </v>
      </c>
      <c r="L3268" s="26"/>
    </row>
    <row r="3269" spans="1:12">
      <c r="A3269" s="20"/>
    </row>
    <row r="3270" spans="1:12">
      <c r="A3270" s="20" t="s">
        <v>1566</v>
      </c>
    </row>
    <row r="3271" spans="1:12">
      <c r="A3271" s="20" t="s">
        <v>1567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722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784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 t="s">
        <v>566</v>
      </c>
      <c r="E3274" s="21">
        <f>IF(D3274="?OLD","!!!","")</f>
        <v/>
      </c>
      <c r="F3274" s="22" t="str">
        <f>IF(OR(E3274="",E3274="!!!"),"",IF(NOT(ISNA(VLOOKUP(E3274,E$1:E3273,1,FALSE()))),"OLD",IF(AND(E3274&lt;&gt;"",E3274&lt;&gt;"!!!"),"NEW","")))</f>
        <v> </v>
      </c>
      <c r="G3274" s="23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4" t="str">
        <f>IF(J3274&lt;&gt;1,"",IF(I3274="SBJ","CB","?"))</f>
        <v> </v>
      </c>
      <c r="I3274" s="25" t="str">
        <f>IF(OR(E3274="",E3274="!!!",F3274="NEW"),"",INDEX(B3273:B$2,-1+SUMPRODUCT(MAX(ROW(E3273:E$2)*(E3274=E3273:E$2)))))</f>
        <v> </v>
      </c>
      <c r="J3274" s="25" t="str">
        <f>IF(OR(E3274="",E3274="!!!",F3274="NEW"),"",COUNTBLANK(OFFSET(A$1,,,SUMPRODUCT(MAX(ROW(E$2:E3274)*(E3274=E$2:E3274)))))-COUNTBLANK(OFFSET(A$1,,,SUMPRODUCT(MAX(ROW(E$1:E3273)*(E2=E$1:E3273))))))</f>
        <v> </v>
      </c>
      <c r="K3274" s="25" t="str">
        <f>IF(OR(E3274="",E3274="!!!",F3274="NEW"),"",INDEX(J$1:J3273,SUMPRODUCT(MAX(ROW(E$1:E3273)*(E3274=E$1:E3273)))))</f>
        <v> </v>
      </c>
      <c r="L3274" s="26"/>
    </row>
    <row r="3275" spans="1:12">
      <c r="A3275" s="20" t="s">
        <v>819</v>
      </c>
      <c r="E3275" s="21">
        <f>IF(D3275="?OLD","!!!","")</f>
        <v/>
      </c>
      <c r="F3275" s="22" t="str">
        <f>IF(OR(E3275="",E3275="!!!"),"",IF(NOT(ISNA(VLOOKUP(E3275,E$1:E3274,1,FALSE()))),"OLD",IF(AND(E3275&lt;&gt;"",E3275&lt;&gt;"!!!"),"NEW","")))</f>
        <v> </v>
      </c>
      <c r="G3275" s="23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4" t="str">
        <f>IF(J3275&lt;&gt;1,"",IF(I3275="SBJ","CB","?"))</f>
        <v> </v>
      </c>
      <c r="I3275" s="25" t="str">
        <f>IF(OR(E3275="",E3275="!!!",F3275="NEW"),"",INDEX(B3274:B$2,-1+SUMPRODUCT(MAX(ROW(E3274:E$2)*(E3275=E3274:E$2)))))</f>
        <v> </v>
      </c>
      <c r="J3275" s="25" t="str">
        <f>IF(OR(E3275="",E3275="!!!",F3275="NEW"),"",COUNTBLANK(OFFSET(A$1,,,SUMPRODUCT(MAX(ROW(E$2:E3275)*(E3275=E$2:E3275)))))-COUNTBLANK(OFFSET(A$1,,,SUMPRODUCT(MAX(ROW(E$1:E3274)*(E2=E$1:E3274))))))</f>
        <v> </v>
      </c>
      <c r="K3275" s="25" t="str">
        <f>IF(OR(E3275="",E3275="!!!",F3275="NEW"),"",INDEX(J$1:J3274,SUMPRODUCT(MAX(ROW(E$1:E3274)*(E3275=E$1:E3274)))))</f>
        <v> </v>
      </c>
      <c r="L3275" s="26"/>
    </row>
    <row r="3276" spans="1:12">
      <c r="A3276" s="20" t="s">
        <v>1502</v>
      </c>
      <c r="B3276" s="27" t="s">
        <v>698</v>
      </c>
      <c r="C3276" s="27" t="s">
        <v>820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704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/>
    </row>
    <row r="3279" spans="1:12">
      <c r="A3279" s="20" t="s">
        <v>1568</v>
      </c>
    </row>
    <row r="3280" spans="1:12">
      <c r="A3280" s="20" t="s">
        <v>1569</v>
      </c>
      <c r="B3280" s="27" t="s">
        <v>713</v>
      </c>
      <c r="C3280" s="27" t="s">
        <v>708</v>
      </c>
      <c r="D3280" s="27" t="s">
        <v>694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1384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 t="s">
        <v>50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 t="s">
        <v>712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873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739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759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722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799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722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 t="s">
        <v>978</v>
      </c>
      <c r="E3290" s="21">
        <f>IF(D3290="?OLD","!!!","")</f>
        <v/>
      </c>
      <c r="F3290" s="22" t="str">
        <f>IF(OR(E3290="",E3290="!!!"),"",IF(NOT(ISNA(VLOOKUP(E3290,E$1:E3289,1,FALSE()))),"OLD",IF(AND(E3290&lt;&gt;"",E3290&lt;&gt;"!!!"),"NEW","")))</f>
        <v> </v>
      </c>
      <c r="G3290" s="23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4" t="str">
        <f>IF(J3290&lt;&gt;1,"",IF(I3290="SBJ","CB","?"))</f>
        <v> </v>
      </c>
      <c r="I3290" s="25" t="str">
        <f>IF(OR(E3290="",E3290="!!!",F3290="NEW"),"",INDEX(B3289:B$2,-1+SUMPRODUCT(MAX(ROW(E3289:E$2)*(E3290=E3289:E$2)))))</f>
        <v> </v>
      </c>
      <c r="J3290" s="25" t="str">
        <f>IF(OR(E3290="",E3290="!!!",F3290="NEW"),"",COUNTBLANK(OFFSET(A$1,,,SUMPRODUCT(MAX(ROW(E$2:E3290)*(E3290=E$2:E3290)))))-COUNTBLANK(OFFSET(A$1,,,SUMPRODUCT(MAX(ROW(E$1:E3289)*(E2=E$1:E3289))))))</f>
        <v> </v>
      </c>
      <c r="K3290" s="25" t="str">
        <f>IF(OR(E3290="",E3290="!!!",F3290="NEW"),"",INDEX(J$1:J3289,SUMPRODUCT(MAX(ROW(E$1:E3289)*(E3290=E$1:E3289)))))</f>
        <v> </v>
      </c>
      <c r="L3290" s="26"/>
    </row>
    <row r="3291" spans="1:12">
      <c r="A3291" s="20" t="s">
        <v>793</v>
      </c>
      <c r="E3291" s="21">
        <f>IF(D3291="?OLD","!!!","")</f>
        <v/>
      </c>
      <c r="F3291" s="22" t="str">
        <f>IF(OR(E3291="",E3291="!!!"),"",IF(NOT(ISNA(VLOOKUP(E3291,E$1:E3290,1,FALSE()))),"OLD",IF(AND(E3291&lt;&gt;"",E3291&lt;&gt;"!!!"),"NEW","")))</f>
        <v> </v>
      </c>
      <c r="G3291" s="23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4" t="str">
        <f>IF(J3291&lt;&gt;1,"",IF(I3291="SBJ","CB","?"))</f>
        <v> </v>
      </c>
      <c r="I3291" s="25" t="str">
        <f>IF(OR(E3291="",E3291="!!!",F3291="NEW"),"",INDEX(B3290:B$2,-1+SUMPRODUCT(MAX(ROW(E3290:E$2)*(E3291=E3290:E$2)))))</f>
        <v> </v>
      </c>
      <c r="J3291" s="25" t="str">
        <f>IF(OR(E3291="",E3291="!!!",F3291="NEW"),"",COUNTBLANK(OFFSET(A$1,,,SUMPRODUCT(MAX(ROW(E$2:E3291)*(E3291=E$2:E3291)))))-COUNTBLANK(OFFSET(A$1,,,SUMPRODUCT(MAX(ROW(E$1:E3290)*(E2=E$1:E3290))))))</f>
        <v> </v>
      </c>
      <c r="K3291" s="25" t="str">
        <f>IF(OR(E3291="",E3291="!!!",F3291="NEW"),"",INDEX(J$1:J3290,SUMPRODUCT(MAX(ROW(E$1:E3290)*(E3291=E$1:E3290)))))</f>
        <v> </v>
      </c>
      <c r="L3291" s="26"/>
    </row>
    <row r="3292" spans="1:12">
      <c r="A3292" s="20" t="s">
        <v>701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219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1570</v>
      </c>
      <c r="B3294" s="27" t="s">
        <v>798</v>
      </c>
      <c r="C3294" s="27" t="s">
        <v>693</v>
      </c>
      <c r="D3294" s="27" t="s">
        <v>694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 t="s">
        <v>722</v>
      </c>
      <c r="E3295" s="21">
        <f>IF(D3295="?OLD","!!!","")</f>
        <v/>
      </c>
      <c r="F3295" s="22" t="str">
        <f>IF(OR(E3295="",E3295="!!!"),"",IF(NOT(ISNA(VLOOKUP(E3295,E$1:E3294,1,FALSE()))),"OLD",IF(AND(E3295&lt;&gt;"",E3295&lt;&gt;"!!!"),"NEW","")))</f>
        <v> </v>
      </c>
      <c r="G3295" s="23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4" t="str">
        <f>IF(J3295&lt;&gt;1,"",IF(I3295="SBJ","CB","?"))</f>
        <v> </v>
      </c>
      <c r="I3295" s="25" t="str">
        <f>IF(OR(E3295="",E3295="!!!",F3295="NEW"),"",INDEX(B3294:B$2,-1+SUMPRODUCT(MAX(ROW(E3294:E$2)*(E3295=E3294:E$2)))))</f>
        <v> </v>
      </c>
      <c r="J3295" s="25" t="str">
        <f>IF(OR(E3295="",E3295="!!!",F3295="NEW"),"",COUNTBLANK(OFFSET(A$1,,,SUMPRODUCT(MAX(ROW(E$2:E3295)*(E3295=E$2:E3295)))))-COUNTBLANK(OFFSET(A$1,,,SUMPRODUCT(MAX(ROW(E$1:E3294)*(E2=E$1:E3294))))))</f>
        <v> </v>
      </c>
      <c r="K3295" s="25" t="str">
        <f>IF(OR(E3295="",E3295="!!!",F3295="NEW"),"",INDEX(J$1:J3294,SUMPRODUCT(MAX(ROW(E$1:E3294)*(E3295=E$1:E3294)))))</f>
        <v> </v>
      </c>
      <c r="L3295" s="26"/>
    </row>
    <row r="3296" spans="1:12">
      <c r="A3296" s="20" t="s">
        <v>1571</v>
      </c>
      <c r="B3296" s="27" t="s">
        <v>692</v>
      </c>
      <c r="E3296" s="21">
        <f>IF(D3296="?OLD","!!!","")</f>
        <v/>
      </c>
      <c r="F3296" s="22" t="str">
        <f>IF(OR(E3296="",E3296="!!!"),"",IF(NOT(ISNA(VLOOKUP(E3296,E$1:E3295,1,FALSE()))),"OLD",IF(AND(E3296&lt;&gt;"",E3296&lt;&gt;"!!!"),"NEW","")))</f>
        <v> </v>
      </c>
      <c r="G3296" s="23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4" t="str">
        <f>IF(J3296&lt;&gt;1,"",IF(I3296="SBJ","CB","?"))</f>
        <v> </v>
      </c>
      <c r="I3296" s="25" t="str">
        <f>IF(OR(E3296="",E3296="!!!",F3296="NEW"),"",INDEX(B3295:B$2,-1+SUMPRODUCT(MAX(ROW(E3295:E$2)*(E3296=E3295:E$2)))))</f>
        <v> </v>
      </c>
      <c r="J3296" s="25" t="str">
        <f>IF(OR(E3296="",E3296="!!!",F3296="NEW"),"",COUNTBLANK(OFFSET(A$1,,,SUMPRODUCT(MAX(ROW(E$2:E3296)*(E3296=E$2:E3296)))))-COUNTBLANK(OFFSET(A$1,,,SUMPRODUCT(MAX(ROW(E$1:E3295)*(E2=E$1:E3295))))))</f>
        <v> </v>
      </c>
      <c r="K3296" s="25" t="str">
        <f>IF(OR(E3296="",E3296="!!!",F3296="NEW"),"",INDEX(J$1:J3295,SUMPRODUCT(MAX(ROW(E$1:E3295)*(E3296=E$1:E3295)))))</f>
        <v> </v>
      </c>
      <c r="L3296" s="26"/>
    </row>
    <row r="3297" spans="1:12">
      <c r="A3297" s="20" t="s">
        <v>791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696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219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1437</v>
      </c>
      <c r="B3300" s="27" t="s">
        <v>758</v>
      </c>
      <c r="C3300" s="27" t="s">
        <v>693</v>
      </c>
      <c r="D3300" s="27" t="s">
        <v>694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930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915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 t="s">
        <v>219</v>
      </c>
      <c r="E3303" s="21">
        <f>IF(D3303="?OLD","!!!","")</f>
        <v/>
      </c>
      <c r="F3303" s="22" t="str">
        <f>IF(OR(E3303="",E3303="!!!"),"",IF(NOT(ISNA(VLOOKUP(E3303,E$1:E3302,1,FALSE()))),"OLD",IF(AND(E3303&lt;&gt;"",E3303&lt;&gt;"!!!"),"NEW","")))</f>
        <v> </v>
      </c>
      <c r="G3303" s="23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4" t="str">
        <f>IF(J3303&lt;&gt;1,"",IF(I3303="SBJ","CB","?"))</f>
        <v> </v>
      </c>
      <c r="I3303" s="25" t="str">
        <f>IF(OR(E3303="",E3303="!!!",F3303="NEW"),"",INDEX(B3302:B$2,-1+SUMPRODUCT(MAX(ROW(E3302:E$2)*(E3303=E3302:E$2)))))</f>
        <v> </v>
      </c>
      <c r="J3303" s="25" t="str">
        <f>IF(OR(E3303="",E3303="!!!",F3303="NEW"),"",COUNTBLANK(OFFSET(A$1,,,SUMPRODUCT(MAX(ROW(E$2:E3303)*(E3303=E$2:E3303)))))-COUNTBLANK(OFFSET(A$1,,,SUMPRODUCT(MAX(ROW(E$1:E3302)*(E2=E$1:E3302))))))</f>
        <v> </v>
      </c>
      <c r="K3303" s="25" t="str">
        <f>IF(OR(E3303="",E3303="!!!",F3303="NEW"),"",INDEX(J$1:J3302,SUMPRODUCT(MAX(ROW(E$1:E3302)*(E3303=E$1:E3302)))))</f>
        <v> </v>
      </c>
      <c r="L3303" s="26"/>
    </row>
    <row r="3304" spans="1:12">
      <c r="A3304" s="20" t="s">
        <v>1548</v>
      </c>
      <c r="B3304" s="27" t="s">
        <v>703</v>
      </c>
      <c r="C3304" s="27" t="s">
        <v>717</v>
      </c>
      <c r="D3304" s="27" t="s">
        <v>694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701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219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1543</v>
      </c>
      <c r="B3307" s="27" t="s">
        <v>703</v>
      </c>
      <c r="C3307" s="27" t="s">
        <v>996</v>
      </c>
      <c r="D3307" s="27" t="s">
        <v>694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730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1384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1005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 t="s">
        <v>712</v>
      </c>
      <c r="E3311" s="21">
        <f>IF(D3311="?OLD","!!!","")</f>
        <v/>
      </c>
      <c r="F3311" s="22" t="str">
        <f>IF(OR(E3311="",E3311="!!!"),"",IF(NOT(ISNA(VLOOKUP(E3311,E$1:E3310,1,FALSE()))),"OLD",IF(AND(E3311&lt;&gt;"",E3311&lt;&gt;"!!!"),"NEW","")))</f>
        <v> </v>
      </c>
      <c r="G3311" s="23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4" t="str">
        <f>IF(J3311&lt;&gt;1,"",IF(I3311="SBJ","CB","?"))</f>
        <v> </v>
      </c>
      <c r="I3311" s="25" t="str">
        <f>IF(OR(E3311="",E3311="!!!",F3311="NEW"),"",INDEX(B3310:B$2,-1+SUMPRODUCT(MAX(ROW(E3310:E$2)*(E3311=E3310:E$2)))))</f>
        <v> </v>
      </c>
      <c r="J3311" s="25" t="str">
        <f>IF(OR(E3311="",E3311="!!!",F3311="NEW"),"",COUNTBLANK(OFFSET(A$1,,,SUMPRODUCT(MAX(ROW(E$2:E3311)*(E3311=E$2:E3311)))))-COUNTBLANK(OFFSET(A$1,,,SUMPRODUCT(MAX(ROW(E$1:E3310)*(E2=E$1:E3310))))))</f>
        <v> </v>
      </c>
      <c r="K3311" s="25" t="str">
        <f>IF(OR(E3311="",E3311="!!!",F3311="NEW"),"",INDEX(J$1:J3310,SUMPRODUCT(MAX(ROW(E$1:E3310)*(E3311=E$1:E3310)))))</f>
        <v> </v>
      </c>
      <c r="L3311" s="26"/>
    </row>
    <row r="3312" spans="1:12">
      <c r="A3312" s="20" t="s">
        <v>1572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690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1284</v>
      </c>
      <c r="B3314" s="27" t="s">
        <v>716</v>
      </c>
      <c r="C3314" s="27" t="s">
        <v>693</v>
      </c>
      <c r="D3314" s="27" t="s">
        <v>694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1217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 t="s">
        <v>704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/>
    </row>
    <row r="3318" spans="1:12">
      <c r="A3318" s="20" t="s">
        <v>1573</v>
      </c>
    </row>
    <row r="3319" spans="1:12">
      <c r="A3319" s="20" t="s">
        <v>975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877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1320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50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1129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745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219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853</v>
      </c>
      <c r="B3326" s="27" t="s">
        <v>758</v>
      </c>
      <c r="C3326" s="27" t="s">
        <v>693</v>
      </c>
      <c r="D3326" s="27" t="s">
        <v>694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730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240</v>
      </c>
      <c r="B3328" s="27" t="s">
        <v>713</v>
      </c>
      <c r="C3328" s="27" t="s">
        <v>708</v>
      </c>
      <c r="D3328" s="27" t="s">
        <v>694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1574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712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1061</v>
      </c>
      <c r="B3331" s="27" t="s">
        <v>797</v>
      </c>
      <c r="C3331" s="27" t="s">
        <v>708</v>
      </c>
      <c r="D3331" s="27" t="s">
        <v>694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 t="s">
        <v>1575</v>
      </c>
      <c r="E3332" s="21">
        <f>IF(D3332="?OLD","!!!","")</f>
        <v/>
      </c>
      <c r="F3332" s="22" t="str">
        <f>IF(OR(E3332="",E3332="!!!"),"",IF(NOT(ISNA(VLOOKUP(E3332,E$1:E3331,1,FALSE()))),"OLD",IF(AND(E3332&lt;&gt;"",E3332&lt;&gt;"!!!"),"NEW","")))</f>
        <v> </v>
      </c>
      <c r="G3332" s="23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4" t="str">
        <f>IF(J3332&lt;&gt;1,"",IF(I3332="SBJ","CB","?"))</f>
        <v> </v>
      </c>
      <c r="I3332" s="25" t="str">
        <f>IF(OR(E3332="",E3332="!!!",F3332="NEW"),"",INDEX(B3331:B$2,-1+SUMPRODUCT(MAX(ROW(E3331:E$2)*(E3332=E3331:E$2)))))</f>
        <v> </v>
      </c>
      <c r="J3332" s="25" t="str">
        <f>IF(OR(E3332="",E3332="!!!",F3332="NEW"),"",COUNTBLANK(OFFSET(A$1,,,SUMPRODUCT(MAX(ROW(E$2:E3332)*(E3332=E$2:E3332)))))-COUNTBLANK(OFFSET(A$1,,,SUMPRODUCT(MAX(ROW(E$1:E3331)*(E2=E$1:E3331))))))</f>
        <v> </v>
      </c>
      <c r="K3332" s="25" t="str">
        <f>IF(OR(E3332="",E3332="!!!",F3332="NEW"),"",INDEX(J$1:J3331,SUMPRODUCT(MAX(ROW(E$1:E3331)*(E3332=E$1:E3331)))))</f>
        <v> </v>
      </c>
      <c r="L3332" s="26"/>
    </row>
    <row r="3333" spans="1:12">
      <c r="A3333" s="20" t="s">
        <v>1576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819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464</v>
      </c>
      <c r="B3335" s="27" t="s">
        <v>798</v>
      </c>
      <c r="C3335" s="27" t="s">
        <v>717</v>
      </c>
      <c r="D3335" s="27" t="s">
        <v>694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696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1437</v>
      </c>
      <c r="B3337" s="27" t="s">
        <v>867</v>
      </c>
      <c r="C3337" s="27" t="s">
        <v>699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1320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810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704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/>
    </row>
    <row r="3342" spans="1:12">
      <c r="A3342" s="20" t="s">
        <v>1577</v>
      </c>
    </row>
    <row r="3343" spans="1:12">
      <c r="A3343" s="20" t="s">
        <v>674</v>
      </c>
      <c r="E3343" s="21">
        <f>IF(D3343="?OLD","!!!","")</f>
        <v/>
      </c>
      <c r="F3343" s="22" t="str">
        <f>IF(OR(E3343="",E3343="!!!"),"",IF(NOT(ISNA(VLOOKUP(E3343,E$1:E3342,1,FALSE()))),"OLD",IF(AND(E3343&lt;&gt;"",E3343&lt;&gt;"!!!"),"NEW","")))</f>
        <v> </v>
      </c>
      <c r="G3343" s="23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4" t="str">
        <f>IF(J3343&lt;&gt;1,"",IF(I3343="SBJ","CB","?"))</f>
        <v> </v>
      </c>
      <c r="I3343" s="25" t="str">
        <f>IF(OR(E3343="",E3343="!!!",F3343="NEW"),"",INDEX(B3342:B$2,-1+SUMPRODUCT(MAX(ROW(E3342:E$2)*(E3343=E3342:E$2)))))</f>
        <v> </v>
      </c>
      <c r="J3343" s="25" t="str">
        <f>IF(OR(E3343="",E3343="!!!",F3343="NEW"),"",COUNTBLANK(OFFSET(A$1,,,SUMPRODUCT(MAX(ROW(E$2:E3343)*(E3343=E$2:E3343)))))-COUNTBLANK(OFFSET(A$1,,,SUMPRODUCT(MAX(ROW(E$1:E3342)*(E2=E$1:E3342))))))</f>
        <v> </v>
      </c>
      <c r="K3343" s="25" t="str">
        <f>IF(OR(E3343="",E3343="!!!",F3343="NEW"),"",INDEX(J$1:J3342,SUMPRODUCT(MAX(ROW(E$1:E3342)*(E3343=E$1:E3342)))))</f>
        <v> </v>
      </c>
      <c r="L3343" s="26"/>
    </row>
    <row r="3344" spans="1:12">
      <c r="A3344" s="20" t="s">
        <v>704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 t="s">
        <v>1394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1578</v>
      </c>
      <c r="B3346" s="27" t="s">
        <v>746</v>
      </c>
      <c r="C3346" s="27" t="s">
        <v>699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1396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1579</v>
      </c>
      <c r="B3348" s="27" t="s">
        <v>749</v>
      </c>
      <c r="C3348" s="27" t="s">
        <v>996</v>
      </c>
      <c r="D3348" s="27" t="s">
        <v>694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1580</v>
      </c>
      <c r="B3349" s="27" t="s">
        <v>719</v>
      </c>
      <c r="C3349" s="27" t="s">
        <v>996</v>
      </c>
      <c r="D3349" s="27" t="s">
        <v>694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861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674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704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/>
    </row>
    <row r="3354" spans="1:12">
      <c r="A3354" s="20" t="s">
        <v>1581</v>
      </c>
    </row>
    <row r="3355" spans="1:12">
      <c r="A3355" s="20" t="s">
        <v>1582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819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 t="s">
        <v>979</v>
      </c>
      <c r="B3357" s="27" t="s">
        <v>698</v>
      </c>
      <c r="C3357" s="27" t="s">
        <v>717</v>
      </c>
      <c r="D3357" s="27" t="s">
        <v>694</v>
      </c>
      <c r="E3357" s="21">
        <f>IF(D3357="?OLD","!!!","")</f>
        <v/>
      </c>
      <c r="F3357" s="22" t="str">
        <f>IF(OR(E3357="",E3357="!!!"),"",IF(NOT(ISNA(VLOOKUP(E3357,E$1:E3356,1,FALSE()))),"OLD",IF(AND(E3357&lt;&gt;"",E3357&lt;&gt;"!!!"),"NEW","")))</f>
        <v> </v>
      </c>
      <c r="G3357" s="23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4" t="str">
        <f>IF(J3357&lt;&gt;1,"",IF(I3357="SBJ","CB","?"))</f>
        <v> </v>
      </c>
      <c r="I3357" s="25" t="str">
        <f>IF(OR(E3357="",E3357="!!!",F3357="NEW"),"",INDEX(B3356:B$2,-1+SUMPRODUCT(MAX(ROW(E3356:E$2)*(E3357=E3356:E$2)))))</f>
        <v> </v>
      </c>
      <c r="J3357" s="25" t="str">
        <f>IF(OR(E3357="",E3357="!!!",F3357="NEW"),"",COUNTBLANK(OFFSET(A$1,,,SUMPRODUCT(MAX(ROW(E$2:E3357)*(E3357=E$2:E3357)))))-COUNTBLANK(OFFSET(A$1,,,SUMPRODUCT(MAX(ROW(E$1:E3356)*(E2=E$1:E3356))))))</f>
        <v> </v>
      </c>
      <c r="K3357" s="25" t="str">
        <f>IF(OR(E3357="",E3357="!!!",F3357="NEW"),"",INDEX(J$1:J3356,SUMPRODUCT(MAX(ROW(E$1:E3356)*(E3357=E$1:E3356)))))</f>
        <v> </v>
      </c>
      <c r="L3357" s="26"/>
    </row>
    <row r="3358" spans="1:12">
      <c r="A3358" s="20" t="s">
        <v>752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1583</v>
      </c>
      <c r="B3359" s="27" t="s">
        <v>746</v>
      </c>
      <c r="C3359" s="27" t="s">
        <v>708</v>
      </c>
      <c r="D3359" s="27" t="s">
        <v>694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704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/>
    </row>
    <row r="3362" spans="1:12">
      <c r="A3362" s="20" t="s">
        <v>1584</v>
      </c>
    </row>
    <row r="3363" spans="1:12">
      <c r="A3363" s="20" t="s">
        <v>1585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585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704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/>
    </row>
    <row r="3367" spans="1:12">
      <c r="A3367" s="20" t="s">
        <v>1586</v>
      </c>
    </row>
    <row r="3368" spans="1:12">
      <c r="A3368" s="20" t="s">
        <v>1330</v>
      </c>
      <c r="E3368" s="21">
        <f>IF(D3368="?OLD","!!!","")</f>
        <v/>
      </c>
      <c r="F3368" s="22" t="str">
        <f>IF(OR(E3368="",E3368="!!!"),"",IF(NOT(ISNA(VLOOKUP(E3368,E$1:E3367,1,FALSE()))),"OLD",IF(AND(E3368&lt;&gt;"",E3368&lt;&gt;"!!!"),"NEW","")))</f>
        <v> </v>
      </c>
      <c r="G3368" s="23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4" t="str">
        <f>IF(J3368&lt;&gt;1,"",IF(I3368="SBJ","CB","?"))</f>
        <v> </v>
      </c>
      <c r="I3368" s="25" t="str">
        <f>IF(OR(E3368="",E3368="!!!",F3368="NEW"),"",INDEX(B3367:B$2,-1+SUMPRODUCT(MAX(ROW(E3367:E$2)*(E3368=E3367:E$2)))))</f>
        <v> </v>
      </c>
      <c r="J3368" s="25" t="str">
        <f>IF(OR(E3368="",E3368="!!!",F3368="NEW"),"",COUNTBLANK(OFFSET(A$1,,,SUMPRODUCT(MAX(ROW(E$2:E3368)*(E3368=E$2:E3368)))))-COUNTBLANK(OFFSET(A$1,,,SUMPRODUCT(MAX(ROW(E$1:E3367)*(E2=E$1:E3367))))))</f>
        <v> </v>
      </c>
      <c r="K3368" s="25" t="str">
        <f>IF(OR(E3368="",E3368="!!!",F3368="NEW"),"",INDEX(J$1:J3367,SUMPRODUCT(MAX(ROW(E$1:E3367)*(E3368=E$1:E3367)))))</f>
        <v> </v>
      </c>
      <c r="L3368" s="26"/>
    </row>
    <row r="3369" spans="1:12">
      <c r="A3369" s="20" t="s">
        <v>1587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690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219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 t="s">
        <v>1588</v>
      </c>
      <c r="B3372" s="27" t="s">
        <v>746</v>
      </c>
      <c r="C3372" s="27" t="s">
        <v>693</v>
      </c>
      <c r="D3372" s="27" t="s">
        <v>694</v>
      </c>
      <c r="E3372" s="21">
        <f>IF(D3372="?OLD","!!!","")</f>
        <v/>
      </c>
      <c r="F3372" s="22" t="str">
        <f>IF(OR(E3372="",E3372="!!!"),"",IF(NOT(ISNA(VLOOKUP(E3372,E$1:E3371,1,FALSE()))),"OLD",IF(AND(E3372&lt;&gt;"",E3372&lt;&gt;"!!!"),"NEW","")))</f>
        <v> </v>
      </c>
      <c r="G3372" s="23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4" t="str">
        <f>IF(J3372&lt;&gt;1,"",IF(I3372="SBJ","CB","?"))</f>
        <v> </v>
      </c>
      <c r="I3372" s="25" t="str">
        <f>IF(OR(E3372="",E3372="!!!",F3372="NEW"),"",INDEX(B3371:B$2,-1+SUMPRODUCT(MAX(ROW(E3371:E$2)*(E3372=E3371:E$2)))))</f>
        <v> </v>
      </c>
      <c r="J3372" s="25" t="str">
        <f>IF(OR(E3372="",E3372="!!!",F3372="NEW"),"",COUNTBLANK(OFFSET(A$1,,,SUMPRODUCT(MAX(ROW(E$2:E3372)*(E3372=E$2:E3372)))))-COUNTBLANK(OFFSET(A$1,,,SUMPRODUCT(MAX(ROW(E$1:E3371)*(E2=E$1:E3371))))))</f>
        <v> </v>
      </c>
      <c r="K3372" s="25" t="str">
        <f>IF(OR(E3372="",E3372="!!!",F3372="NEW"),"",INDEX(J$1:J3371,SUMPRODUCT(MAX(ROW(E$1:E3371)*(E3372=E$1:E3371)))))</f>
        <v> </v>
      </c>
      <c r="L3372" s="26"/>
    </row>
    <row r="3373" spans="1:12">
      <c r="A3373" s="20" t="s">
        <v>768</v>
      </c>
      <c r="E3373" s="21">
        <f>IF(D3373="?OLD","!!!","")</f>
        <v/>
      </c>
      <c r="F3373" s="22" t="str">
        <f>IF(OR(E3373="",E3373="!!!"),"",IF(NOT(ISNA(VLOOKUP(E3373,E$1:E3372,1,FALSE()))),"OLD",IF(AND(E3373&lt;&gt;"",E3373&lt;&gt;"!!!"),"NEW","")))</f>
        <v> </v>
      </c>
      <c r="G3373" s="23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4" t="str">
        <f>IF(J3373&lt;&gt;1,"",IF(I3373="SBJ","CB","?"))</f>
        <v> </v>
      </c>
      <c r="I3373" s="25" t="str">
        <f>IF(OR(E3373="",E3373="!!!",F3373="NEW"),"",INDEX(B3372:B$2,-1+SUMPRODUCT(MAX(ROW(E3372:E$2)*(E3373=E3372:E$2)))))</f>
        <v> </v>
      </c>
      <c r="J3373" s="25" t="str">
        <f>IF(OR(E3373="",E3373="!!!",F3373="NEW"),"",COUNTBLANK(OFFSET(A$1,,,SUMPRODUCT(MAX(ROW(E$2:E3373)*(E3373=E$2:E3373)))))-COUNTBLANK(OFFSET(A$1,,,SUMPRODUCT(MAX(ROW(E$1:E3372)*(E2=E$1:E3372))))))</f>
        <v> </v>
      </c>
      <c r="K3373" s="25" t="str">
        <f>IF(OR(E3373="",E3373="!!!",F3373="NEW"),"",INDEX(J$1:J3372,SUMPRODUCT(MAX(ROW(E$1:E3372)*(E3373=E$1:E3372)))))</f>
        <v> </v>
      </c>
      <c r="L3373" s="26"/>
    </row>
    <row r="3374" spans="1:12">
      <c r="A3374" s="20" t="s">
        <v>1248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1242</v>
      </c>
      <c r="B3375" s="27" t="s">
        <v>698</v>
      </c>
      <c r="C3375" s="27" t="s">
        <v>771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722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1589</v>
      </c>
      <c r="B3377" s="27" t="s">
        <v>746</v>
      </c>
      <c r="C3377" s="27" t="s">
        <v>699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712</v>
      </c>
      <c r="B3378" s="27" t="s">
        <v>713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736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742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1590</v>
      </c>
      <c r="B3381" s="27" t="s">
        <v>716</v>
      </c>
      <c r="C3381" s="27" t="s">
        <v>820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933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1559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712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919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1591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696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 t="s">
        <v>219</v>
      </c>
      <c r="E3388" s="21">
        <f>IF(D3388="?OLD","!!!","")</f>
        <v/>
      </c>
      <c r="F3388" s="22" t="str">
        <f>IF(OR(E3388="",E3388="!!!"),"",IF(NOT(ISNA(VLOOKUP(E3388,E$1:E3387,1,FALSE()))),"OLD",IF(AND(E3388&lt;&gt;"",E3388&lt;&gt;"!!!"),"NEW","")))</f>
        <v> </v>
      </c>
      <c r="G3388" s="23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4" t="str">
        <f>IF(J3388&lt;&gt;1,"",IF(I3388="SBJ","CB","?"))</f>
        <v> </v>
      </c>
      <c r="I3388" s="25" t="str">
        <f>IF(OR(E3388="",E3388="!!!",F3388="NEW"),"",INDEX(B3387:B$2,-1+SUMPRODUCT(MAX(ROW(E3387:E$2)*(E3388=E3387:E$2)))))</f>
        <v> </v>
      </c>
      <c r="J3388" s="25" t="str">
        <f>IF(OR(E3388="",E3388="!!!",F3388="NEW"),"",COUNTBLANK(OFFSET(A$1,,,SUMPRODUCT(MAX(ROW(E$2:E3388)*(E3388=E$2:E3388)))))-COUNTBLANK(OFFSET(A$1,,,SUMPRODUCT(MAX(ROW(E$1:E3387)*(E2=E$1:E3387))))))</f>
        <v> </v>
      </c>
      <c r="K3388" s="25" t="str">
        <f>IF(OR(E3388="",E3388="!!!",F3388="NEW"),"",INDEX(J$1:J3387,SUMPRODUCT(MAX(ROW(E$1:E3387)*(E3388=E$1:E3387)))))</f>
        <v> </v>
      </c>
      <c r="L3388" s="26"/>
    </row>
    <row r="3389" spans="1:12">
      <c r="A3389" s="20" t="s">
        <v>1592</v>
      </c>
      <c r="B3389" s="27" t="s">
        <v>798</v>
      </c>
      <c r="C3389" s="27" t="s">
        <v>717</v>
      </c>
      <c r="D3389" s="27" t="s">
        <v>694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696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690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1463</v>
      </c>
      <c r="B3392" s="27" t="s">
        <v>867</v>
      </c>
      <c r="C3392" s="27" t="s">
        <v>996</v>
      </c>
      <c r="D3392" s="27" t="s">
        <v>694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704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/>
    </row>
    <row r="3395" spans="1:12">
      <c r="A3395" s="20" t="s">
        <v>1593</v>
      </c>
    </row>
    <row r="3396" spans="1:12">
      <c r="A3396" s="20" t="s">
        <v>741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1335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1502</v>
      </c>
      <c r="B3398" s="27" t="s">
        <v>698</v>
      </c>
      <c r="C3398" s="27" t="s">
        <v>771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 t="s">
        <v>712</v>
      </c>
      <c r="E3399" s="21">
        <f>IF(D3399="?OLD","!!!","")</f>
        <v/>
      </c>
      <c r="F3399" s="22" t="str">
        <f>IF(OR(E3399="",E3399="!!!"),"",IF(NOT(ISNA(VLOOKUP(E3399,E$1:E3398,1,FALSE()))),"OLD",IF(AND(E3399&lt;&gt;"",E3399&lt;&gt;"!!!"),"NEW","")))</f>
        <v> </v>
      </c>
      <c r="G3399" s="23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4" t="str">
        <f>IF(J3399&lt;&gt;1,"",IF(I3399="SBJ","CB","?"))</f>
        <v> </v>
      </c>
      <c r="I3399" s="25" t="str">
        <f>IF(OR(E3399="",E3399="!!!",F3399="NEW"),"",INDEX(B3398:B$2,-1+SUMPRODUCT(MAX(ROW(E3398:E$2)*(E3399=E3398:E$2)))))</f>
        <v> </v>
      </c>
      <c r="J3399" s="25" t="str">
        <f>IF(OR(E3399="",E3399="!!!",F3399="NEW"),"",COUNTBLANK(OFFSET(A$1,,,SUMPRODUCT(MAX(ROW(E$2:E3399)*(E3399=E$2:E3399)))))-COUNTBLANK(OFFSET(A$1,,,SUMPRODUCT(MAX(ROW(E$1:E3398)*(E2=E$1:E3398))))))</f>
        <v> </v>
      </c>
      <c r="K3399" s="25" t="str">
        <f>IF(OR(E3399="",E3399="!!!",F3399="NEW"),"",INDEX(J$1:J3398,SUMPRODUCT(MAX(ROW(E$1:E3398)*(E3399=E$1:E3398)))))</f>
        <v> </v>
      </c>
      <c r="L3399" s="26"/>
    </row>
    <row r="3400" spans="1:12">
      <c r="A3400" s="20" t="s">
        <v>1594</v>
      </c>
      <c r="B3400" s="27" t="s">
        <v>822</v>
      </c>
      <c r="C3400" s="27" t="s">
        <v>789</v>
      </c>
      <c r="D3400" s="27" t="s">
        <v>694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1595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817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712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1596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1597</v>
      </c>
      <c r="B3405" s="27" t="s">
        <v>713</v>
      </c>
      <c r="C3405" s="27" t="s">
        <v>717</v>
      </c>
      <c r="D3405" s="27" t="s">
        <v>694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1334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1169</v>
      </c>
      <c r="B3407" s="27" t="s">
        <v>719</v>
      </c>
      <c r="C3407" s="27" t="s">
        <v>717</v>
      </c>
      <c r="D3407" s="27" t="s">
        <v>694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696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1598</v>
      </c>
      <c r="B3409" s="27" t="s">
        <v>867</v>
      </c>
      <c r="C3409" s="27" t="s">
        <v>699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 t="s">
        <v>983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/>
    </row>
    <row r="3412" spans="1:12">
      <c r="A3412" s="20" t="s">
        <v>1599</v>
      </c>
    </row>
    <row r="3413" spans="1:12">
      <c r="A3413" s="20" t="s">
        <v>595</v>
      </c>
      <c r="B3413" s="27" t="s">
        <v>703</v>
      </c>
      <c r="C3413" s="27" t="s">
        <v>996</v>
      </c>
      <c r="D3413" s="27" t="s">
        <v>694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1600</v>
      </c>
      <c r="B3414" s="27" t="s">
        <v>703</v>
      </c>
      <c r="C3414" s="27" t="s">
        <v>996</v>
      </c>
      <c r="D3414" s="27" t="s">
        <v>694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861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1601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704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/>
    </row>
    <row r="3419" spans="1:12">
      <c r="A3419" s="20" t="s">
        <v>1602</v>
      </c>
    </row>
    <row r="3420" spans="1:12">
      <c r="A3420" s="20" t="s">
        <v>828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712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 t="s">
        <v>219</v>
      </c>
      <c r="E3422" s="21">
        <f>IF(D3422="?OLD","!!!","")</f>
        <v/>
      </c>
      <c r="F3422" s="22" t="str">
        <f>IF(OR(E3422="",E3422="!!!"),"",IF(NOT(ISNA(VLOOKUP(E3422,E$1:E3421,1,FALSE()))),"OLD",IF(AND(E3422&lt;&gt;"",E3422&lt;&gt;"!!!"),"NEW","")))</f>
        <v> </v>
      </c>
      <c r="G3422" s="23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4" t="str">
        <f>IF(J3422&lt;&gt;1,"",IF(I3422="SBJ","CB","?"))</f>
        <v> </v>
      </c>
      <c r="I3422" s="25" t="str">
        <f>IF(OR(E3422="",E3422="!!!",F3422="NEW"),"",INDEX(B3421:B$2,-1+SUMPRODUCT(MAX(ROW(E3421:E$2)*(E3422=E3421:E$2)))))</f>
        <v> </v>
      </c>
      <c r="J3422" s="25" t="str">
        <f>IF(OR(E3422="",E3422="!!!",F3422="NEW"),"",COUNTBLANK(OFFSET(A$1,,,SUMPRODUCT(MAX(ROW(E$2:E3422)*(E3422=E$2:E3422)))))-COUNTBLANK(OFFSET(A$1,,,SUMPRODUCT(MAX(ROW(E$1:E3421)*(E2=E$1:E3421))))))</f>
        <v> </v>
      </c>
      <c r="K3422" s="25" t="str">
        <f>IF(OR(E3422="",E3422="!!!",F3422="NEW"),"",INDEX(J$1:J3421,SUMPRODUCT(MAX(ROW(E$1:E3421)*(E3422=E$1:E3421)))))</f>
        <v> </v>
      </c>
      <c r="L3422" s="26"/>
    </row>
    <row r="3423" spans="1:12">
      <c r="A3423" s="20" t="s">
        <v>1590</v>
      </c>
      <c r="B3423" s="27" t="s">
        <v>713</v>
      </c>
      <c r="C3423" s="27" t="s">
        <v>693</v>
      </c>
      <c r="D3423" s="27" t="s">
        <v>694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739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1559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712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1332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701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219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1592</v>
      </c>
      <c r="B3430" s="27" t="s">
        <v>749</v>
      </c>
      <c r="C3430" s="27" t="s">
        <v>717</v>
      </c>
      <c r="D3430" s="27" t="s">
        <v>694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696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690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1463</v>
      </c>
      <c r="B3433" s="27" t="s">
        <v>719</v>
      </c>
      <c r="C3433" s="27" t="s">
        <v>996</v>
      </c>
      <c r="D3433" s="27" t="s">
        <v>694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810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 t="s">
        <v>742</v>
      </c>
      <c r="E3435" s="21">
        <f>IF(D3435="?OLD","!!!","")</f>
        <v/>
      </c>
      <c r="F3435" s="22" t="str">
        <f>IF(OR(E3435="",E3435="!!!"),"",IF(NOT(ISNA(VLOOKUP(E3435,E$1:E3434,1,FALSE()))),"OLD",IF(AND(E3435&lt;&gt;"",E3435&lt;&gt;"!!!"),"NEW","")))</f>
        <v> </v>
      </c>
      <c r="G3435" s="23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4" t="str">
        <f>IF(J3435&lt;&gt;1,"",IF(I3435="SBJ","CB","?"))</f>
        <v> </v>
      </c>
      <c r="I3435" s="25" t="str">
        <f>IF(OR(E3435="",E3435="!!!",F3435="NEW"),"",INDEX(B3434:B$2,-1+SUMPRODUCT(MAX(ROW(E3434:E$2)*(E3435=E3434:E$2)))))</f>
        <v> </v>
      </c>
      <c r="J3435" s="25" t="str">
        <f>IF(OR(E3435="",E3435="!!!",F3435="NEW"),"",COUNTBLANK(OFFSET(A$1,,,SUMPRODUCT(MAX(ROW(E$2:E3435)*(E3435=E$2:E3435)))))-COUNTBLANK(OFFSET(A$1,,,SUMPRODUCT(MAX(ROW(E$1:E3434)*(E2=E$1:E3434))))))</f>
        <v> </v>
      </c>
      <c r="K3435" s="25" t="str">
        <f>IF(OR(E3435="",E3435="!!!",F3435="NEW"),"",INDEX(J$1:J3434,SUMPRODUCT(MAX(ROW(E$1:E3434)*(E3435=E$1:E3434)))))</f>
        <v> </v>
      </c>
      <c r="L3435" s="26"/>
    </row>
    <row r="3436" spans="1:12">
      <c r="A3436" s="20" t="s">
        <v>715</v>
      </c>
      <c r="B3436" s="27" t="s">
        <v>703</v>
      </c>
      <c r="C3436" s="27" t="s">
        <v>820</v>
      </c>
      <c r="E3436" s="21">
        <f>IF(D3436="?OLD","!!!","")</f>
        <v/>
      </c>
      <c r="F3436" s="22" t="str">
        <f>IF(OR(E3436="",E3436="!!!"),"",IF(NOT(ISNA(VLOOKUP(E3436,E$1:E3435,1,FALSE()))),"OLD",IF(AND(E3436&lt;&gt;"",E3436&lt;&gt;"!!!"),"NEW","")))</f>
        <v> </v>
      </c>
      <c r="G3436" s="23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4" t="str">
        <f>IF(J3436&lt;&gt;1,"",IF(I3436="SBJ","CB","?"))</f>
        <v> </v>
      </c>
      <c r="I3436" s="25" t="str">
        <f>IF(OR(E3436="",E3436="!!!",F3436="NEW"),"",INDEX(B3435:B$2,-1+SUMPRODUCT(MAX(ROW(E3435:E$2)*(E3436=E3435:E$2)))))</f>
        <v> </v>
      </c>
      <c r="J3436" s="25" t="str">
        <f>IF(OR(E3436="",E3436="!!!",F3436="NEW"),"",COUNTBLANK(OFFSET(A$1,,,SUMPRODUCT(MAX(ROW(E$2:E3436)*(E3436=E$2:E3436)))))-COUNTBLANK(OFFSET(A$1,,,SUMPRODUCT(MAX(ROW(E$1:E3435)*(E2=E$1:E3435))))))</f>
        <v> </v>
      </c>
      <c r="K3436" s="25" t="str">
        <f>IF(OR(E3436="",E3436="!!!",F3436="NEW"),"",INDEX(J$1:J3435,SUMPRODUCT(MAX(ROW(E$1:E3435)*(E3436=E$1:E3435)))))</f>
        <v> </v>
      </c>
      <c r="L3436" s="26"/>
    </row>
    <row r="3437" spans="1:12">
      <c r="A3437" s="20" t="s">
        <v>722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712</v>
      </c>
      <c r="B3438" s="27" t="s">
        <v>822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818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 t="s">
        <v>1603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1604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722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696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1119</v>
      </c>
      <c r="B3444" s="27" t="s">
        <v>749</v>
      </c>
      <c r="C3444" s="27" t="s">
        <v>1099</v>
      </c>
      <c r="D3444" s="27" t="s">
        <v>694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704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/>
    </row>
    <row r="3447" spans="1:12">
      <c r="A3447" s="20" t="s">
        <v>1605</v>
      </c>
    </row>
    <row r="3448" spans="1:12">
      <c r="A3448" s="20" t="s">
        <v>1606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712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722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 t="s">
        <v>701</v>
      </c>
      <c r="E3451" s="21">
        <f>IF(D3451="?OLD","!!!","")</f>
        <v/>
      </c>
      <c r="F3451" s="22" t="str">
        <f>IF(OR(E3451="",E3451="!!!"),"",IF(NOT(ISNA(VLOOKUP(E3451,E$1:E3450,1,FALSE()))),"OLD",IF(AND(E3451&lt;&gt;"",E3451&lt;&gt;"!!!"),"NEW","")))</f>
        <v> </v>
      </c>
      <c r="G3451" s="23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4" t="str">
        <f>IF(J3451&lt;&gt;1,"",IF(I3451="SBJ","CB","?"))</f>
        <v> </v>
      </c>
      <c r="I3451" s="25" t="str">
        <f>IF(OR(E3451="",E3451="!!!",F3451="NEW"),"",INDEX(B3450:B$2,-1+SUMPRODUCT(MAX(ROW(E3450:E$2)*(E3451=E3450:E$2)))))</f>
        <v> </v>
      </c>
      <c r="J3451" s="25" t="str">
        <f>IF(OR(E3451="",E3451="!!!",F3451="NEW"),"",COUNTBLANK(OFFSET(A$1,,,SUMPRODUCT(MAX(ROW(E$2:E3451)*(E3451=E$2:E3451)))))-COUNTBLANK(OFFSET(A$1,,,SUMPRODUCT(MAX(ROW(E$1:E3450)*(E2=E$1:E3450))))))</f>
        <v> </v>
      </c>
      <c r="K3451" s="25" t="str">
        <f>IF(OR(E3451="",E3451="!!!",F3451="NEW"),"",INDEX(J$1:J3450,SUMPRODUCT(MAX(ROW(E$1:E3450)*(E3451=E$1:E3450)))))</f>
        <v> </v>
      </c>
      <c r="L3451" s="26"/>
    </row>
    <row r="3452" spans="1:12">
      <c r="A3452" s="20" t="s">
        <v>219</v>
      </c>
      <c r="B3452" s="27" t="s">
        <v>749</v>
      </c>
      <c r="C3452" s="27" t="s">
        <v>789</v>
      </c>
      <c r="D3452" s="27" t="s">
        <v>694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712</v>
      </c>
      <c r="B3453" s="27" t="s">
        <v>822</v>
      </c>
      <c r="C3453" s="27" t="s">
        <v>711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 t="s">
        <v>1607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690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690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697</v>
      </c>
      <c r="B3457" s="27" t="s">
        <v>758</v>
      </c>
      <c r="C3457" s="27" t="s">
        <v>717</v>
      </c>
      <c r="D3457" s="27" t="s">
        <v>694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696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219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 t="s">
        <v>240</v>
      </c>
      <c r="B3460" s="27" t="s">
        <v>749</v>
      </c>
      <c r="C3460" s="27" t="s">
        <v>708</v>
      </c>
      <c r="D3460" s="27" t="s">
        <v>694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712</v>
      </c>
      <c r="B3461" s="27" t="s">
        <v>732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966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690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859</v>
      </c>
      <c r="B3464" s="27" t="s">
        <v>738</v>
      </c>
      <c r="C3464" s="27" t="s">
        <v>693</v>
      </c>
      <c r="D3464" s="27" t="s">
        <v>694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1197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978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1608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 t="s">
        <v>804</v>
      </c>
      <c r="E3468" s="21">
        <f>IF(D3468="?OLD","!!!","")</f>
        <v/>
      </c>
      <c r="F3468" s="22" t="str">
        <f>IF(OR(E3468="",E3468="!!!"),"",IF(NOT(ISNA(VLOOKUP(E3468,E$1:E3467,1,FALSE()))),"OLD",IF(AND(E3468&lt;&gt;"",E3468&lt;&gt;"!!!"),"NEW","")))</f>
        <v> </v>
      </c>
      <c r="G3468" s="23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4" t="str">
        <f>IF(J3468&lt;&gt;1,"",IF(I3468="SBJ","CB","?"))</f>
        <v> </v>
      </c>
      <c r="I3468" s="25" t="str">
        <f>IF(OR(E3468="",E3468="!!!",F3468="NEW"),"",INDEX(B3467:B$2,-1+SUMPRODUCT(MAX(ROW(E3467:E$2)*(E3468=E3467:E$2)))))</f>
        <v> </v>
      </c>
      <c r="J3468" s="25" t="str">
        <f>IF(OR(E3468="",E3468="!!!",F3468="NEW"),"",COUNTBLANK(OFFSET(A$1,,,SUMPRODUCT(MAX(ROW(E$2:E3468)*(E3468=E$2:E3468)))))-COUNTBLANK(OFFSET(A$1,,,SUMPRODUCT(MAX(ROW(E$1:E3467)*(E2=E$1:E3467))))))</f>
        <v> </v>
      </c>
      <c r="K3468" s="25" t="str">
        <f>IF(OR(E3468="",E3468="!!!",F3468="NEW"),"",INDEX(J$1:J3467,SUMPRODUCT(MAX(ROW(E$1:E3467)*(E3468=E$1:E3467)))))</f>
        <v> </v>
      </c>
      <c r="L3468" s="26"/>
    </row>
    <row r="3469" spans="1:12">
      <c r="A3469" s="20" t="s">
        <v>724</v>
      </c>
      <c r="E3469" s="21">
        <f>IF(D3469="?OLD","!!!","")</f>
        <v/>
      </c>
      <c r="F3469" s="22" t="str">
        <f>IF(OR(E3469="",E3469="!!!"),"",IF(NOT(ISNA(VLOOKUP(E3469,E$1:E3468,1,FALSE()))),"OLD",IF(AND(E3469&lt;&gt;"",E3469&lt;&gt;"!!!"),"NEW","")))</f>
        <v> </v>
      </c>
      <c r="G3469" s="23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4" t="str">
        <f>IF(J3469&lt;&gt;1,"",IF(I3469="SBJ","CB","?"))</f>
        <v> </v>
      </c>
      <c r="I3469" s="25" t="str">
        <f>IF(OR(E3469="",E3469="!!!",F3469="NEW"),"",INDEX(B3468:B$2,-1+SUMPRODUCT(MAX(ROW(E3468:E$2)*(E3469=E3468:E$2)))))</f>
        <v> </v>
      </c>
      <c r="J3469" s="25" t="str">
        <f>IF(OR(E3469="",E3469="!!!",F3469="NEW"),"",COUNTBLANK(OFFSET(A$1,,,SUMPRODUCT(MAX(ROW(E$2:E3469)*(E3469=E$2:E3469)))))-COUNTBLANK(OFFSET(A$1,,,SUMPRODUCT(MAX(ROW(E$1:E3468)*(E2=E$1:E3468))))))</f>
        <v> </v>
      </c>
      <c r="K3469" s="25" t="str">
        <f>IF(OR(E3469="",E3469="!!!",F3469="NEW"),"",INDEX(J$1:J3468,SUMPRODUCT(MAX(ROW(E$1:E3468)*(E3469=E$1:E3468)))))</f>
        <v> </v>
      </c>
      <c r="L3469" s="26"/>
    </row>
    <row r="3470" spans="1:12">
      <c r="A3470" s="20" t="s">
        <v>1609</v>
      </c>
      <c r="B3470" s="27" t="s">
        <v>1000</v>
      </c>
      <c r="C3470" s="27" t="s">
        <v>693</v>
      </c>
      <c r="D3470" s="27" t="s">
        <v>694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1610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720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724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1611</v>
      </c>
      <c r="B3474" s="27" t="s">
        <v>1000</v>
      </c>
      <c r="C3474" s="27" t="s">
        <v>693</v>
      </c>
      <c r="D3474" s="27" t="s">
        <v>694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1197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1612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 t="s">
        <v>791</v>
      </c>
      <c r="B3477" s="27" t="s">
        <v>1004</v>
      </c>
      <c r="C3477" s="27" t="s">
        <v>708</v>
      </c>
      <c r="D3477" s="27" t="s">
        <v>694</v>
      </c>
      <c r="E3477" s="21">
        <f>IF(D3477="?OLD","!!!","")</f>
        <v/>
      </c>
      <c r="F3477" s="22" t="str">
        <f>IF(OR(E3477="",E3477="!!!"),"",IF(NOT(ISNA(VLOOKUP(E3477,E$1:E3476,1,FALSE()))),"OLD",IF(AND(E3477&lt;&gt;"",E3477&lt;&gt;"!!!"),"NEW","")))</f>
        <v> </v>
      </c>
      <c r="G3477" s="23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4" t="str">
        <f>IF(J3477&lt;&gt;1,"",IF(I3477="SBJ","CB","?"))</f>
        <v> </v>
      </c>
      <c r="I3477" s="25" t="str">
        <f>IF(OR(E3477="",E3477="!!!",F3477="NEW"),"",INDEX(B3476:B$2,-1+SUMPRODUCT(MAX(ROW(E3476:E$2)*(E3477=E3476:E$2)))))</f>
        <v> </v>
      </c>
      <c r="J3477" s="25" t="str">
        <f>IF(OR(E3477="",E3477="!!!",F3477="NEW"),"",COUNTBLANK(OFFSET(A$1,,,SUMPRODUCT(MAX(ROW(E$2:E3477)*(E3477=E$2:E3477)))))-COUNTBLANK(OFFSET(A$1,,,SUMPRODUCT(MAX(ROW(E$1:E3476)*(E2=E$1:E3476))))))</f>
        <v> </v>
      </c>
      <c r="K3477" s="25" t="str">
        <f>IF(OR(E3477="",E3477="!!!",F3477="NEW"),"",INDEX(J$1:J3476,SUMPRODUCT(MAX(ROW(E$1:E3476)*(E3477=E$1:E3476)))))</f>
        <v> </v>
      </c>
      <c r="L3477" s="26"/>
    </row>
    <row r="3478" spans="1:12">
      <c r="A3478" s="20" t="s">
        <v>712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722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 t="s">
        <v>1613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696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742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1614</v>
      </c>
      <c r="B3483" s="27" t="s">
        <v>1272</v>
      </c>
      <c r="C3483" s="27" t="s">
        <v>717</v>
      </c>
      <c r="D3483" s="27" t="s">
        <v>694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696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226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1207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1615</v>
      </c>
      <c r="B3487" s="27" t="s">
        <v>728</v>
      </c>
      <c r="C3487" s="27" t="s">
        <v>717</v>
      </c>
      <c r="D3487" s="27" t="s">
        <v>694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1215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1616</v>
      </c>
      <c r="B3489" s="27" t="s">
        <v>1000</v>
      </c>
      <c r="C3489" s="27" t="s">
        <v>699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722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752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1617</v>
      </c>
      <c r="B3492" s="27" t="s">
        <v>1000</v>
      </c>
      <c r="C3492" s="27" t="s">
        <v>699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1197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730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993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 t="s">
        <v>819</v>
      </c>
      <c r="E3496" s="21">
        <f>IF(D3496="?OLD","!!!","")</f>
        <v/>
      </c>
      <c r="F3496" s="22" t="str">
        <f>IF(OR(E3496="",E3496="!!!"),"",IF(NOT(ISNA(VLOOKUP(E3496,E$1:E3495,1,FALSE()))),"OLD",IF(AND(E3496&lt;&gt;"",E3496&lt;&gt;"!!!"),"NEW","")))</f>
        <v> </v>
      </c>
      <c r="G3496" s="23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4" t="str">
        <f>IF(J3496&lt;&gt;1,"",IF(I3496="SBJ","CB","?"))</f>
        <v> </v>
      </c>
      <c r="I3496" s="25" t="str">
        <f>IF(OR(E3496="",E3496="!!!",F3496="NEW"),"",INDEX(B3495:B$2,-1+SUMPRODUCT(MAX(ROW(E3495:E$2)*(E3496=E3495:E$2)))))</f>
        <v> </v>
      </c>
      <c r="J3496" s="25" t="str">
        <f>IF(OR(E3496="",E3496="!!!",F3496="NEW"),"",COUNTBLANK(OFFSET(A$1,,,SUMPRODUCT(MAX(ROW(E$2:E3496)*(E3496=E$2:E3496)))))-COUNTBLANK(OFFSET(A$1,,,SUMPRODUCT(MAX(ROW(E$1:E3495)*(E2=E$1:E3495))))))</f>
        <v> </v>
      </c>
      <c r="K3496" s="25" t="str">
        <f>IF(OR(E3496="",E3496="!!!",F3496="NEW"),"",INDEX(J$1:J3495,SUMPRODUCT(MAX(ROW(E$1:E3495)*(E3496=E$1:E3495)))))</f>
        <v> </v>
      </c>
      <c r="L3496" s="26"/>
    </row>
    <row r="3497" spans="1:12">
      <c r="A3497" s="20" t="s">
        <v>1315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 t="s">
        <v>1618</v>
      </c>
      <c r="B3498" s="27" t="s">
        <v>1000</v>
      </c>
      <c r="C3498" s="27" t="s">
        <v>717</v>
      </c>
      <c r="D3498" s="27" t="s">
        <v>694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 t="s">
        <v>696</v>
      </c>
      <c r="E3499" s="21">
        <f>IF(D3499="?OLD","!!!","")</f>
        <v/>
      </c>
      <c r="F3499" s="22" t="str">
        <f>IF(OR(E3499="",E3499="!!!"),"",IF(NOT(ISNA(VLOOKUP(E3499,E$1:E3498,1,FALSE()))),"OLD",IF(AND(E3499&lt;&gt;"",E3499&lt;&gt;"!!!"),"NEW","")))</f>
        <v> </v>
      </c>
      <c r="G3499" s="23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4" t="str">
        <f>IF(J3499&lt;&gt;1,"",IF(I3499="SBJ","CB","?"))</f>
        <v> </v>
      </c>
      <c r="I3499" s="25" t="str">
        <f>IF(OR(E3499="",E3499="!!!",F3499="NEW"),"",INDEX(B3498:B$2,-1+SUMPRODUCT(MAX(ROW(E3498:E$2)*(E3499=E3498:E$2)))))</f>
        <v> </v>
      </c>
      <c r="J3499" s="25" t="str">
        <f>IF(OR(E3499="",E3499="!!!",F3499="NEW"),"",COUNTBLANK(OFFSET(A$1,,,SUMPRODUCT(MAX(ROW(E$2:E3499)*(E3499=E$2:E3499)))))-COUNTBLANK(OFFSET(A$1,,,SUMPRODUCT(MAX(ROW(E$1:E3498)*(E2=E$1:E3498))))))</f>
        <v> </v>
      </c>
      <c r="K3499" s="25" t="str">
        <f>IF(OR(E3499="",E3499="!!!",F3499="NEW"),"",INDEX(J$1:J3498,SUMPRODUCT(MAX(ROW(E$1:E3498)*(E3499=E$1:E3498)))))</f>
        <v> </v>
      </c>
      <c r="L3499" s="26"/>
    </row>
    <row r="3500" spans="1:12">
      <c r="A3500" s="20" t="s">
        <v>1617</v>
      </c>
      <c r="B3500" s="27" t="s">
        <v>1272</v>
      </c>
      <c r="C3500" s="27" t="s">
        <v>699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 t="s">
        <v>722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 t="s">
        <v>1334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 t="s">
        <v>1203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1207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722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819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1618</v>
      </c>
      <c r="B3507" s="27" t="s">
        <v>1000</v>
      </c>
      <c r="C3507" s="27" t="s">
        <v>717</v>
      </c>
      <c r="D3507" s="27" t="s">
        <v>694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1315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730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1619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 t="s">
        <v>1197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1613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696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742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1614</v>
      </c>
      <c r="B3515" s="27" t="s">
        <v>1272</v>
      </c>
      <c r="C3515" s="27" t="s">
        <v>717</v>
      </c>
      <c r="D3515" s="27" t="s">
        <v>694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696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1203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1207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1615</v>
      </c>
      <c r="B3519" s="27" t="s">
        <v>845</v>
      </c>
      <c r="C3519" s="27" t="s">
        <v>876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1215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 t="s">
        <v>1616</v>
      </c>
      <c r="B3521" s="27" t="s">
        <v>845</v>
      </c>
      <c r="C3521" s="27" t="s">
        <v>699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1620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628</v>
      </c>
      <c r="B3523" s="27" t="s">
        <v>845</v>
      </c>
      <c r="C3523" s="27" t="s">
        <v>996</v>
      </c>
      <c r="D3523" s="27" t="s">
        <v>694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861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226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1207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 t="s">
        <v>1621</v>
      </c>
      <c r="B3527" s="27" t="s">
        <v>1272</v>
      </c>
      <c r="C3527" s="27" t="s">
        <v>996</v>
      </c>
      <c r="D3527" s="27" t="s">
        <v>694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861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 t="s">
        <v>1620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226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 t="s">
        <v>1207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 t="s">
        <v>1620</v>
      </c>
      <c r="E3532" s="21">
        <f>IF(D3532="?OLD","!!!","")</f>
        <v/>
      </c>
      <c r="F3532" s="22" t="str">
        <f>IF(OR(E3532="",E3532="!!!"),"",IF(NOT(ISNA(VLOOKUP(E3532,E$1:E3531,1,FALSE()))),"OLD",IF(AND(E3532&lt;&gt;"",E3532&lt;&gt;"!!!"),"NEW","")))</f>
        <v> </v>
      </c>
      <c r="G3532" s="23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4" t="str">
        <f>IF(J3532&lt;&gt;1,"",IF(I3532="SBJ","CB","?"))</f>
        <v> </v>
      </c>
      <c r="I3532" s="25" t="str">
        <f>IF(OR(E3532="",E3532="!!!",F3532="NEW"),"",INDEX(B3531:B$2,-1+SUMPRODUCT(MAX(ROW(E3531:E$2)*(E3532=E3531:E$2)))))</f>
        <v> </v>
      </c>
      <c r="J3532" s="25" t="str">
        <f>IF(OR(E3532="",E3532="!!!",F3532="NEW"),"",COUNTBLANK(OFFSET(A$1,,,SUMPRODUCT(MAX(ROW(E$2:E3532)*(E3532=E$2:E3532)))))-COUNTBLANK(OFFSET(A$1,,,SUMPRODUCT(MAX(ROW(E$1:E3531)*(E2=E$1:E3531))))))</f>
        <v> </v>
      </c>
      <c r="K3532" s="25" t="str">
        <f>IF(OR(E3532="",E3532="!!!",F3532="NEW"),"",INDEX(J$1:J3531,SUMPRODUCT(MAX(ROW(E$1:E3531)*(E3532=E$1:E3531)))))</f>
        <v> </v>
      </c>
      <c r="L3532" s="26"/>
    </row>
    <row r="3533" spans="1:12">
      <c r="A3533" s="20" t="s">
        <v>226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1207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1615</v>
      </c>
      <c r="B3535" s="27" t="s">
        <v>840</v>
      </c>
      <c r="C3535" s="27" t="s">
        <v>717</v>
      </c>
      <c r="D3535" s="27" t="s">
        <v>694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 t="s">
        <v>1215</v>
      </c>
      <c r="E3536" s="21">
        <f>IF(D3536="?OLD","!!!","")</f>
        <v/>
      </c>
      <c r="F3536" s="22" t="str">
        <f>IF(OR(E3536="",E3536="!!!"),"",IF(NOT(ISNA(VLOOKUP(E3536,E$1:E3535,1,FALSE()))),"OLD",IF(AND(E3536&lt;&gt;"",E3536&lt;&gt;"!!!"),"NEW","")))</f>
        <v> </v>
      </c>
      <c r="G3536" s="23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4" t="str">
        <f>IF(J3536&lt;&gt;1,"",IF(I3536="SBJ","CB","?"))</f>
        <v> </v>
      </c>
      <c r="I3536" s="25" t="str">
        <f>IF(OR(E3536="",E3536="!!!",F3536="NEW"),"",INDEX(B3535:B$2,-1+SUMPRODUCT(MAX(ROW(E3535:E$2)*(E3536=E3535:E$2)))))</f>
        <v> </v>
      </c>
      <c r="J3536" s="25" t="str">
        <f>IF(OR(E3536="",E3536="!!!",F3536="NEW"),"",COUNTBLANK(OFFSET(A$1,,,SUMPRODUCT(MAX(ROW(E$2:E3536)*(E3536=E$2:E3536)))))-COUNTBLANK(OFFSET(A$1,,,SUMPRODUCT(MAX(ROW(E$1:E3535)*(E2=E$1:E3535))))))</f>
        <v> </v>
      </c>
      <c r="K3536" s="25" t="str">
        <f>IF(OR(E3536="",E3536="!!!",F3536="NEW"),"",INDEX(J$1:J3535,SUMPRODUCT(MAX(ROW(E$1:E3535)*(E3536=E$1:E3535)))))</f>
        <v> </v>
      </c>
      <c r="L3536" s="26"/>
    </row>
    <row r="3537" spans="1:12">
      <c r="A3537" s="20" t="s">
        <v>1616</v>
      </c>
      <c r="B3537" s="27" t="s">
        <v>1622</v>
      </c>
      <c r="C3537" s="27" t="s">
        <v>699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722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756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 t="s">
        <v>757</v>
      </c>
      <c r="B3540" s="27" t="s">
        <v>1275</v>
      </c>
      <c r="C3540" s="27" t="s">
        <v>693</v>
      </c>
      <c r="D3540" s="27" t="s">
        <v>694</v>
      </c>
      <c r="E3540" s="21">
        <f>IF(D3540="?OLD","!!!","")</f>
        <v/>
      </c>
      <c r="F3540" s="22" t="str">
        <f>IF(OR(E3540="",E3540="!!!"),"",IF(NOT(ISNA(VLOOKUP(E3540,E$1:E3539,1,FALSE()))),"OLD",IF(AND(E3540&lt;&gt;"",E3540&lt;&gt;"!!!"),"NEW","")))</f>
        <v> </v>
      </c>
      <c r="G3540" s="23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4" t="str">
        <f>IF(J3540&lt;&gt;1,"",IF(I3540="SBJ","CB","?"))</f>
        <v> </v>
      </c>
      <c r="I3540" s="25" t="str">
        <f>IF(OR(E3540="",E3540="!!!",F3540="NEW"),"",INDEX(B3539:B$2,-1+SUMPRODUCT(MAX(ROW(E3539:E$2)*(E3540=E3539:E$2)))))</f>
        <v> </v>
      </c>
      <c r="J3540" s="25" t="str">
        <f>IF(OR(E3540="",E3540="!!!",F3540="NEW"),"",COUNTBLANK(OFFSET(A$1,,,SUMPRODUCT(MAX(ROW(E$2:E3540)*(E3540=E$2:E3540)))))-COUNTBLANK(OFFSET(A$1,,,SUMPRODUCT(MAX(ROW(E$1:E3539)*(E2=E$1:E3539))))))</f>
        <v> </v>
      </c>
      <c r="K3540" s="25" t="str">
        <f>IF(OR(E3540="",E3540="!!!",F3540="NEW"),"",INDEX(J$1:J3539,SUMPRODUCT(MAX(ROW(E$1:E3539)*(E3540=E$1:E3539)))))</f>
        <v> </v>
      </c>
      <c r="L3540" s="26"/>
    </row>
    <row r="3541" spans="1:12">
      <c r="A3541" s="20" t="s">
        <v>873</v>
      </c>
      <c r="E3541" s="21">
        <f>IF(D3541="?OLD","!!!","")</f>
        <v/>
      </c>
      <c r="F3541" s="22" t="str">
        <f>IF(OR(E3541="",E3541="!!!"),"",IF(NOT(ISNA(VLOOKUP(E3541,E$1:E3540,1,FALSE()))),"OLD",IF(AND(E3541&lt;&gt;"",E3541&lt;&gt;"!!!"),"NEW","")))</f>
        <v> </v>
      </c>
      <c r="G3541" s="23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4" t="str">
        <f>IF(J3541&lt;&gt;1,"",IF(I3541="SBJ","CB","?"))</f>
        <v> </v>
      </c>
      <c r="I3541" s="25" t="str">
        <f>IF(OR(E3541="",E3541="!!!",F3541="NEW"),"",INDEX(B3540:B$2,-1+SUMPRODUCT(MAX(ROW(E3540:E$2)*(E3541=E3540:E$2)))))</f>
        <v> </v>
      </c>
      <c r="J3541" s="25" t="str">
        <f>IF(OR(E3541="",E3541="!!!",F3541="NEW"),"",COUNTBLANK(OFFSET(A$1,,,SUMPRODUCT(MAX(ROW(E$2:E3541)*(E3541=E$2:E3541)))))-COUNTBLANK(OFFSET(A$1,,,SUMPRODUCT(MAX(ROW(E$1:E3540)*(E2=E$1:E3540))))))</f>
        <v> </v>
      </c>
      <c r="K3541" s="25" t="str">
        <f>IF(OR(E3541="",E3541="!!!",F3541="NEW"),"",INDEX(J$1:J3540,SUMPRODUCT(MAX(ROW(E$1:E3540)*(E3541=E$1:E3540)))))</f>
        <v> </v>
      </c>
      <c r="L3541" s="26"/>
    </row>
    <row r="3542" spans="1:12">
      <c r="A3542" s="20" t="s">
        <v>1623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 t="s">
        <v>722</v>
      </c>
      <c r="E3543" s="21">
        <f>IF(D3543="?OLD","!!!","")</f>
        <v/>
      </c>
      <c r="F3543" s="22" t="str">
        <f>IF(OR(E3543="",E3543="!!!"),"",IF(NOT(ISNA(VLOOKUP(E3543,E$1:E3542,1,FALSE()))),"OLD",IF(AND(E3543&lt;&gt;"",E3543&lt;&gt;"!!!"),"NEW","")))</f>
        <v> </v>
      </c>
      <c r="G3543" s="23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4" t="str">
        <f>IF(J3543&lt;&gt;1,"",IF(I3543="SBJ","CB","?"))</f>
        <v> </v>
      </c>
      <c r="I3543" s="25" t="str">
        <f>IF(OR(E3543="",E3543="!!!",F3543="NEW"),"",INDEX(B3542:B$2,-1+SUMPRODUCT(MAX(ROW(E3542:E$2)*(E3543=E3542:E$2)))))</f>
        <v> </v>
      </c>
      <c r="J3543" s="25" t="str">
        <f>IF(OR(E3543="",E3543="!!!",F3543="NEW"),"",COUNTBLANK(OFFSET(A$1,,,SUMPRODUCT(MAX(ROW(E$2:E3543)*(E3543=E$2:E3543)))))-COUNTBLANK(OFFSET(A$1,,,SUMPRODUCT(MAX(ROW(E$1:E3542)*(E2=E$1:E3542))))))</f>
        <v> </v>
      </c>
      <c r="K3543" s="25" t="str">
        <f>IF(OR(E3543="",E3543="!!!",F3543="NEW"),"",INDEX(J$1:J3542,SUMPRODUCT(MAX(ROW(E$1:E3542)*(E3543=E$1:E3542)))))</f>
        <v> </v>
      </c>
      <c r="L3543" s="26"/>
    </row>
    <row r="3544" spans="1:12">
      <c r="A3544" s="20" t="s">
        <v>730</v>
      </c>
      <c r="E3544" s="21">
        <f>IF(D3544="?OLD","!!!","")</f>
        <v/>
      </c>
      <c r="F3544" s="22" t="str">
        <f>IF(OR(E3544="",E3544="!!!"),"",IF(NOT(ISNA(VLOOKUP(E3544,E$1:E3543,1,FALSE()))),"OLD",IF(AND(E3544&lt;&gt;"",E3544&lt;&gt;"!!!"),"NEW","")))</f>
        <v> </v>
      </c>
      <c r="G3544" s="23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4" t="str">
        <f>IF(J3544&lt;&gt;1,"",IF(I3544="SBJ","CB","?"))</f>
        <v> </v>
      </c>
      <c r="I3544" s="25" t="str">
        <f>IF(OR(E3544="",E3544="!!!",F3544="NEW"),"",INDEX(B3543:B$2,-1+SUMPRODUCT(MAX(ROW(E3543:E$2)*(E3544=E3543:E$2)))))</f>
        <v> </v>
      </c>
      <c r="J3544" s="25" t="str">
        <f>IF(OR(E3544="",E3544="!!!",F3544="NEW"),"",COUNTBLANK(OFFSET(A$1,,,SUMPRODUCT(MAX(ROW(E$2:E3544)*(E3544=E$2:E3544)))))-COUNTBLANK(OFFSET(A$1,,,SUMPRODUCT(MAX(ROW(E$1:E3543)*(E2=E$1:E3543))))))</f>
        <v> </v>
      </c>
      <c r="K3544" s="25" t="str">
        <f>IF(OR(E3544="",E3544="!!!",F3544="NEW"),"",INDEX(J$1:J3543,SUMPRODUCT(MAX(ROW(E$1:E3543)*(E3544=E$1:E3543)))))</f>
        <v> </v>
      </c>
      <c r="L3544" s="26"/>
    </row>
    <row r="3545" spans="1:12">
      <c r="A3545" s="20" t="s">
        <v>1624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 t="s">
        <v>1625</v>
      </c>
      <c r="E3546" s="21">
        <f>IF(D3546="?OLD","!!!","")</f>
        <v/>
      </c>
      <c r="F3546" s="22" t="str">
        <f>IF(OR(E3546="",E3546="!!!"),"",IF(NOT(ISNA(VLOOKUP(E3546,E$1:E3545,1,FALSE()))),"OLD",IF(AND(E3546&lt;&gt;"",E3546&lt;&gt;"!!!"),"NEW","")))</f>
        <v> </v>
      </c>
      <c r="G3546" s="23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4" t="str">
        <f>IF(J3546&lt;&gt;1,"",IF(I3546="SBJ","CB","?"))</f>
        <v> </v>
      </c>
      <c r="I3546" s="25" t="str">
        <f>IF(OR(E3546="",E3546="!!!",F3546="NEW"),"",INDEX(B3545:B$2,-1+SUMPRODUCT(MAX(ROW(E3545:E$2)*(E3546=E3545:E$2)))))</f>
        <v> </v>
      </c>
      <c r="J3546" s="25" t="str">
        <f>IF(OR(E3546="",E3546="!!!",F3546="NEW"),"",COUNTBLANK(OFFSET(A$1,,,SUMPRODUCT(MAX(ROW(E$2:E3546)*(E3546=E$2:E3546)))))-COUNTBLANK(OFFSET(A$1,,,SUMPRODUCT(MAX(ROW(E$1:E3545)*(E2=E$1:E3545))))))</f>
        <v> </v>
      </c>
      <c r="K3546" s="25" t="str">
        <f>IF(OR(E3546="",E3546="!!!",F3546="NEW"),"",INDEX(J$1:J3545,SUMPRODUCT(MAX(ROW(E$1:E3545)*(E3546=E$1:E3545)))))</f>
        <v> </v>
      </c>
      <c r="L3546" s="26"/>
    </row>
    <row r="3547" spans="1:12">
      <c r="A3547" s="20" t="s">
        <v>739</v>
      </c>
      <c r="E3547" s="21">
        <f>IF(D3547="?OLD","!!!","")</f>
        <v/>
      </c>
      <c r="F3547" s="22" t="str">
        <f>IF(OR(E3547="",E3547="!!!"),"",IF(NOT(ISNA(VLOOKUP(E3547,E$1:E3546,1,FALSE()))),"OLD",IF(AND(E3547&lt;&gt;"",E3547&lt;&gt;"!!!"),"NEW","")))</f>
        <v> </v>
      </c>
      <c r="G3547" s="23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4" t="str">
        <f>IF(J3547&lt;&gt;1,"",IF(I3547="SBJ","CB","?"))</f>
        <v> </v>
      </c>
      <c r="I3547" s="25" t="str">
        <f>IF(OR(E3547="",E3547="!!!",F3547="NEW"),"",INDEX(B3546:B$2,-1+SUMPRODUCT(MAX(ROW(E3546:E$2)*(E3547=E3546:E$2)))))</f>
        <v> </v>
      </c>
      <c r="J3547" s="25" t="str">
        <f>IF(OR(E3547="",E3547="!!!",F3547="NEW"),"",COUNTBLANK(OFFSET(A$1,,,SUMPRODUCT(MAX(ROW(E$2:E3547)*(E3547=E$2:E3547)))))-COUNTBLANK(OFFSET(A$1,,,SUMPRODUCT(MAX(ROW(E$1:E3546)*(E2=E$1:E3546))))))</f>
        <v> </v>
      </c>
      <c r="K3547" s="25" t="str">
        <f>IF(OR(E3547="",E3547="!!!",F3547="NEW"),"",INDEX(J$1:J3546,SUMPRODUCT(MAX(ROW(E$1:E3546)*(E3547=E$1:E3546)))))</f>
        <v> </v>
      </c>
      <c r="L3547" s="26"/>
    </row>
    <row r="3548" spans="1:12">
      <c r="A3548" s="20" t="s">
        <v>1623</v>
      </c>
      <c r="E3548" s="21">
        <f>IF(D3548="?OLD","!!!","")</f>
        <v/>
      </c>
      <c r="F3548" s="22" t="str">
        <f>IF(OR(E3548="",E3548="!!!"),"",IF(NOT(ISNA(VLOOKUP(E3548,E$1:E3547,1,FALSE()))),"OLD",IF(AND(E3548&lt;&gt;"",E3548&lt;&gt;"!!!"),"NEW","")))</f>
        <v> </v>
      </c>
      <c r="G3548" s="23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4" t="str">
        <f>IF(J3548&lt;&gt;1,"",IF(I3548="SBJ","CB","?"))</f>
        <v> </v>
      </c>
      <c r="I3548" s="25" t="str">
        <f>IF(OR(E3548="",E3548="!!!",F3548="NEW"),"",INDEX(B3547:B$2,-1+SUMPRODUCT(MAX(ROW(E3547:E$2)*(E3548=E3547:E$2)))))</f>
        <v> </v>
      </c>
      <c r="J3548" s="25" t="str">
        <f>IF(OR(E3548="",E3548="!!!",F3548="NEW"),"",COUNTBLANK(OFFSET(A$1,,,SUMPRODUCT(MAX(ROW(E$2:E3548)*(E3548=E$2:E3548)))))-COUNTBLANK(OFFSET(A$1,,,SUMPRODUCT(MAX(ROW(E$1:E3547)*(E2=E$1:E3547))))))</f>
        <v> </v>
      </c>
      <c r="K3548" s="25" t="str">
        <f>IF(OR(E3548="",E3548="!!!",F3548="NEW"),"",INDEX(J$1:J3547,SUMPRODUCT(MAX(ROW(E$1:E3547)*(E3548=E$1:E3547)))))</f>
        <v> </v>
      </c>
      <c r="L3548" s="26"/>
    </row>
    <row r="3549" spans="1:12">
      <c r="A3549" s="20" t="s">
        <v>1010</v>
      </c>
      <c r="E3549" s="21">
        <f>IF(D3549="?OLD","!!!","")</f>
        <v/>
      </c>
      <c r="F3549" s="22" t="str">
        <f>IF(OR(E3549="",E3549="!!!"),"",IF(NOT(ISNA(VLOOKUP(E3549,E$1:E3548,1,FALSE()))),"OLD",IF(AND(E3549&lt;&gt;"",E3549&lt;&gt;"!!!"),"NEW","")))</f>
        <v> </v>
      </c>
      <c r="G3549" s="23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4" t="str">
        <f>IF(J3549&lt;&gt;1,"",IF(I3549="SBJ","CB","?"))</f>
        <v> </v>
      </c>
      <c r="I3549" s="25" t="str">
        <f>IF(OR(E3549="",E3549="!!!",F3549="NEW"),"",INDEX(B3548:B$2,-1+SUMPRODUCT(MAX(ROW(E3548:E$2)*(E3549=E3548:E$2)))))</f>
        <v> </v>
      </c>
      <c r="J3549" s="25" t="str">
        <f>IF(OR(E3549="",E3549="!!!",F3549="NEW"),"",COUNTBLANK(OFFSET(A$1,,,SUMPRODUCT(MAX(ROW(E$2:E3549)*(E3549=E$2:E3549)))))-COUNTBLANK(OFFSET(A$1,,,SUMPRODUCT(MAX(ROW(E$1:E3548)*(E2=E$1:E3548))))))</f>
        <v> </v>
      </c>
      <c r="K3549" s="25" t="str">
        <f>IF(OR(E3549="",E3549="!!!",F3549="NEW"),"",INDEX(J$1:J3548,SUMPRODUCT(MAX(ROW(E$1:E3548)*(E3549=E$1:E3548)))))</f>
        <v> </v>
      </c>
      <c r="L3549" s="26"/>
    </row>
    <row r="3550" spans="1:12">
      <c r="A3550" s="20" t="s">
        <v>739</v>
      </c>
      <c r="E3550" s="21">
        <f>IF(D3550="?OLD","!!!","")</f>
        <v/>
      </c>
      <c r="F3550" s="22" t="str">
        <f>IF(OR(E3550="",E3550="!!!"),"",IF(NOT(ISNA(VLOOKUP(E3550,E$1:E3549,1,FALSE()))),"OLD",IF(AND(E3550&lt;&gt;"",E3550&lt;&gt;"!!!"),"NEW","")))</f>
        <v> </v>
      </c>
      <c r="G3550" s="23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4" t="str">
        <f>IF(J3550&lt;&gt;1,"",IF(I3550="SBJ","CB","?"))</f>
        <v> </v>
      </c>
      <c r="I3550" s="25" t="str">
        <f>IF(OR(E3550="",E3550="!!!",F3550="NEW"),"",INDEX(B3549:B$2,-1+SUMPRODUCT(MAX(ROW(E3549:E$2)*(E3550=E3549:E$2)))))</f>
        <v> </v>
      </c>
      <c r="J3550" s="25" t="str">
        <f>IF(OR(E3550="",E3550="!!!",F3550="NEW"),"",COUNTBLANK(OFFSET(A$1,,,SUMPRODUCT(MAX(ROW(E$2:E3550)*(E3550=E$2:E3550)))))-COUNTBLANK(OFFSET(A$1,,,SUMPRODUCT(MAX(ROW(E$1:E3549)*(E2=E$1:E3549))))))</f>
        <v> </v>
      </c>
      <c r="K3550" s="25" t="str">
        <f>IF(OR(E3550="",E3550="!!!",F3550="NEW"),"",INDEX(J$1:J3549,SUMPRODUCT(MAX(ROW(E$1:E3549)*(E3550=E$1:E3549)))))</f>
        <v> </v>
      </c>
      <c r="L3550" s="26"/>
    </row>
    <row r="3551" spans="1:12">
      <c r="A3551" s="20" t="s">
        <v>1626</v>
      </c>
      <c r="E3551" s="21">
        <f>IF(D3551="?OLD","!!!","")</f>
        <v/>
      </c>
      <c r="F3551" s="22" t="str">
        <f>IF(OR(E3551="",E3551="!!!"),"",IF(NOT(ISNA(VLOOKUP(E3551,E$1:E3550,1,FALSE()))),"OLD",IF(AND(E3551&lt;&gt;"",E3551&lt;&gt;"!!!"),"NEW","")))</f>
        <v> </v>
      </c>
      <c r="G3551" s="23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4" t="str">
        <f>IF(J3551&lt;&gt;1,"",IF(I3551="SBJ","CB","?"))</f>
        <v> </v>
      </c>
      <c r="I3551" s="25" t="str">
        <f>IF(OR(E3551="",E3551="!!!",F3551="NEW"),"",INDEX(B3550:B$2,-1+SUMPRODUCT(MAX(ROW(E3550:E$2)*(E3551=E3550:E$2)))))</f>
        <v> </v>
      </c>
      <c r="J3551" s="25" t="str">
        <f>IF(OR(E3551="",E3551="!!!",F3551="NEW"),"",COUNTBLANK(OFFSET(A$1,,,SUMPRODUCT(MAX(ROW(E$2:E3551)*(E3551=E$2:E3551)))))-COUNTBLANK(OFFSET(A$1,,,SUMPRODUCT(MAX(ROW(E$1:E3550)*(E2=E$1:E3550))))))</f>
        <v> </v>
      </c>
      <c r="K3551" s="25" t="str">
        <f>IF(OR(E3551="",E3551="!!!",F3551="NEW"),"",INDEX(J$1:J3550,SUMPRODUCT(MAX(ROW(E$1:E3550)*(E3551=E$1:E3550)))))</f>
        <v> </v>
      </c>
      <c r="L3551" s="26"/>
    </row>
    <row r="3552" spans="1:12">
      <c r="A3552" s="20" t="s">
        <v>873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 t="s">
        <v>704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/>
    </row>
    <row r="3555" spans="1:12">
      <c r="A3555" s="20" t="s">
        <v>1627</v>
      </c>
    </row>
    <row r="3556" spans="1:12">
      <c r="A3556" s="20" t="s">
        <v>1628</v>
      </c>
      <c r="E3556" s="21">
        <f>IF(D3556="?OLD","!!!","")</f>
        <v/>
      </c>
      <c r="F3556" s="22" t="str">
        <f>IF(OR(E3556="",E3556="!!!"),"",IF(NOT(ISNA(VLOOKUP(E3556,E$1:E3555,1,FALSE()))),"OLD",IF(AND(E3556&lt;&gt;"",E3556&lt;&gt;"!!!"),"NEW","")))</f>
        <v> </v>
      </c>
      <c r="G3556" s="23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4" t="str">
        <f>IF(J3556&lt;&gt;1,"",IF(I3556="SBJ","CB","?"))</f>
        <v> </v>
      </c>
      <c r="I3556" s="25" t="str">
        <f>IF(OR(E3556="",E3556="!!!",F3556="NEW"),"",INDEX(B3555:B$2,-1+SUMPRODUCT(MAX(ROW(E3555:E$2)*(E3556=E3555:E$2)))))</f>
        <v> </v>
      </c>
      <c r="J3556" s="25" t="str">
        <f>IF(OR(E3556="",E3556="!!!",F3556="NEW"),"",COUNTBLANK(OFFSET(A$1,,,SUMPRODUCT(MAX(ROW(E$2:E3556)*(E3556=E$2:E3556)))))-COUNTBLANK(OFFSET(A$1,,,SUMPRODUCT(MAX(ROW(E$1:E3555)*(E2=E$1:E3555))))))</f>
        <v> </v>
      </c>
      <c r="K3556" s="25" t="str">
        <f>IF(OR(E3556="",E3556="!!!",F3556="NEW"),"",INDEX(J$1:J3555,SUMPRODUCT(MAX(ROW(E$1:E3555)*(E3556=E$1:E3555)))))</f>
        <v> </v>
      </c>
      <c r="L3556" s="26"/>
    </row>
    <row r="3557" spans="1:12">
      <c r="A3557" s="20" t="s">
        <v>696</v>
      </c>
      <c r="E3557" s="21">
        <f>IF(D3557="?OLD","!!!","")</f>
        <v/>
      </c>
      <c r="F3557" s="22" t="str">
        <f>IF(OR(E3557="",E3557="!!!"),"",IF(NOT(ISNA(VLOOKUP(E3557,E$1:E3556,1,FALSE()))),"OLD",IF(AND(E3557&lt;&gt;"",E3557&lt;&gt;"!!!"),"NEW","")))</f>
        <v> </v>
      </c>
      <c r="G3557" s="23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4" t="str">
        <f>IF(J3557&lt;&gt;1,"",IF(I3557="SBJ","CB","?"))</f>
        <v> </v>
      </c>
      <c r="I3557" s="25" t="str">
        <f>IF(OR(E3557="",E3557="!!!",F3557="NEW"),"",INDEX(B3556:B$2,-1+SUMPRODUCT(MAX(ROW(E3556:E$2)*(E3557=E3556:E$2)))))</f>
        <v> </v>
      </c>
      <c r="J3557" s="25" t="str">
        <f>IF(OR(E3557="",E3557="!!!",F3557="NEW"),"",COUNTBLANK(OFFSET(A$1,,,SUMPRODUCT(MAX(ROW(E$2:E3557)*(E3557=E$2:E3557)))))-COUNTBLANK(OFFSET(A$1,,,SUMPRODUCT(MAX(ROW(E$1:E3556)*(E2=E$1:E3556))))))</f>
        <v> </v>
      </c>
      <c r="K3557" s="25" t="str">
        <f>IF(OR(E3557="",E3557="!!!",F3557="NEW"),"",INDEX(J$1:J3556,SUMPRODUCT(MAX(ROW(E$1:E3556)*(E3557=E$1:E3556)))))</f>
        <v> </v>
      </c>
      <c r="L3557" s="26"/>
    </row>
    <row r="3558" spans="1:12">
      <c r="A3558" s="20" t="s">
        <v>904</v>
      </c>
      <c r="B3558" s="27" t="s">
        <v>746</v>
      </c>
      <c r="C3558" s="27" t="s">
        <v>789</v>
      </c>
      <c r="D3558" s="27" t="s">
        <v>694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722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1218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742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 t="s">
        <v>1629</v>
      </c>
      <c r="B3562" s="27" t="s">
        <v>698</v>
      </c>
      <c r="C3562" s="27" t="s">
        <v>820</v>
      </c>
      <c r="E3562" s="21">
        <f>IF(D3562="?OLD","!!!","")</f>
        <v/>
      </c>
      <c r="F3562" s="22" t="str">
        <f>IF(OR(E3562="",E3562="!!!"),"",IF(NOT(ISNA(VLOOKUP(E3562,E$1:E3561,1,FALSE()))),"OLD",IF(AND(E3562&lt;&gt;"",E3562&lt;&gt;"!!!"),"NEW","")))</f>
        <v> </v>
      </c>
      <c r="G3562" s="23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4" t="str">
        <f>IF(J3562&lt;&gt;1,"",IF(I3562="SBJ","CB","?"))</f>
        <v> </v>
      </c>
      <c r="I3562" s="25" t="str">
        <f>IF(OR(E3562="",E3562="!!!",F3562="NEW"),"",INDEX(B3561:B$2,-1+SUMPRODUCT(MAX(ROW(E3561:E$2)*(E3562=E3561:E$2)))))</f>
        <v> </v>
      </c>
      <c r="J3562" s="25" t="str">
        <f>IF(OR(E3562="",E3562="!!!",F3562="NEW"),"",COUNTBLANK(OFFSET(A$1,,,SUMPRODUCT(MAX(ROW(E$2:E3562)*(E3562=E$2:E3562)))))-COUNTBLANK(OFFSET(A$1,,,SUMPRODUCT(MAX(ROW(E$1:E3561)*(E2=E$1:E3561))))))</f>
        <v> </v>
      </c>
      <c r="K3562" s="25" t="str">
        <f>IF(OR(E3562="",E3562="!!!",F3562="NEW"),"",INDEX(J$1:J3561,SUMPRODUCT(MAX(ROW(E$1:E3561)*(E3562=E$1:E3561)))))</f>
        <v> </v>
      </c>
      <c r="L3562" s="26"/>
    </row>
    <row r="3563" spans="1:12">
      <c r="A3563" s="20" t="s">
        <v>1630</v>
      </c>
      <c r="E3563" s="21">
        <f>IF(D3563="?OLD","!!!","")</f>
        <v/>
      </c>
      <c r="F3563" s="22" t="str">
        <f>IF(OR(E3563="",E3563="!!!"),"",IF(NOT(ISNA(VLOOKUP(E3563,E$1:E3562,1,FALSE()))),"OLD",IF(AND(E3563&lt;&gt;"",E3563&lt;&gt;"!!!"),"NEW","")))</f>
        <v> </v>
      </c>
      <c r="G3563" s="23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4" t="str">
        <f>IF(J3563&lt;&gt;1,"",IF(I3563="SBJ","CB","?"))</f>
        <v> </v>
      </c>
      <c r="I3563" s="25" t="str">
        <f>IF(OR(E3563="",E3563="!!!",F3563="NEW"),"",INDEX(B3562:B$2,-1+SUMPRODUCT(MAX(ROW(E3562:E$2)*(E3563=E3562:E$2)))))</f>
        <v> </v>
      </c>
      <c r="J3563" s="25" t="str">
        <f>IF(OR(E3563="",E3563="!!!",F3563="NEW"),"",COUNTBLANK(OFFSET(A$1,,,SUMPRODUCT(MAX(ROW(E$2:E3563)*(E3563=E$2:E3563)))))-COUNTBLANK(OFFSET(A$1,,,SUMPRODUCT(MAX(ROW(E$1:E3562)*(E2=E$1:E3562))))))</f>
        <v> </v>
      </c>
      <c r="K3563" s="25" t="str">
        <f>IF(OR(E3563="",E3563="!!!",F3563="NEW"),"",INDEX(J$1:J3562,SUMPRODUCT(MAX(ROW(E$1:E3562)*(E3563=E$1:E3562)))))</f>
        <v> </v>
      </c>
      <c r="L3563" s="26"/>
    </row>
    <row r="3564" spans="1:12">
      <c r="A3564" s="20" t="s">
        <v>1631</v>
      </c>
      <c r="E3564" s="21">
        <f>IF(D3564="?OLD","!!!","")</f>
        <v/>
      </c>
      <c r="F3564" s="22" t="str">
        <f>IF(OR(E3564="",E3564="!!!"),"",IF(NOT(ISNA(VLOOKUP(E3564,E$1:E3563,1,FALSE()))),"OLD",IF(AND(E3564&lt;&gt;"",E3564&lt;&gt;"!!!"),"NEW","")))</f>
        <v> </v>
      </c>
      <c r="G3564" s="23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4" t="str">
        <f>IF(J3564&lt;&gt;1,"",IF(I3564="SBJ","CB","?"))</f>
        <v> </v>
      </c>
      <c r="I3564" s="25" t="str">
        <f>IF(OR(E3564="",E3564="!!!",F3564="NEW"),"",INDEX(B3563:B$2,-1+SUMPRODUCT(MAX(ROW(E3563:E$2)*(E3564=E3563:E$2)))))</f>
        <v> </v>
      </c>
      <c r="J3564" s="25" t="str">
        <f>IF(OR(E3564="",E3564="!!!",F3564="NEW"),"",COUNTBLANK(OFFSET(A$1,,,SUMPRODUCT(MAX(ROW(E$2:E3564)*(E3564=E$2:E3564)))))-COUNTBLANK(OFFSET(A$1,,,SUMPRODUCT(MAX(ROW(E$1:E3563)*(E2=E$1:E3563))))))</f>
        <v> </v>
      </c>
      <c r="K3564" s="25" t="str">
        <f>IF(OR(E3564="",E3564="!!!",F3564="NEW"),"",INDEX(J$1:J3563,SUMPRODUCT(MAX(ROW(E$1:E3563)*(E3564=E$1:E3563)))))</f>
        <v> </v>
      </c>
      <c r="L3564" s="26"/>
    </row>
    <row r="3565" spans="1:12">
      <c r="A3565" s="20" t="s">
        <v>704</v>
      </c>
      <c r="E3565" s="21">
        <f>IF(D3565="?OLD","!!!","")</f>
        <v/>
      </c>
      <c r="F3565" s="22" t="str">
        <f>IF(OR(E3565="",E3565="!!!"),"",IF(NOT(ISNA(VLOOKUP(E3565,E$1:E3564,1,FALSE()))),"OLD",IF(AND(E3565&lt;&gt;"",E3565&lt;&gt;"!!!"),"NEW","")))</f>
        <v> </v>
      </c>
      <c r="G3565" s="23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4" t="str">
        <f>IF(J3565&lt;&gt;1,"",IF(I3565="SBJ","CB","?"))</f>
        <v> </v>
      </c>
      <c r="I3565" s="25" t="str">
        <f>IF(OR(E3565="",E3565="!!!",F3565="NEW"),"",INDEX(B3564:B$2,-1+SUMPRODUCT(MAX(ROW(E3564:E$2)*(E3565=E3564:E$2)))))</f>
        <v> </v>
      </c>
      <c r="J3565" s="25" t="str">
        <f>IF(OR(E3565="",E3565="!!!",F3565="NEW"),"",COUNTBLANK(OFFSET(A$1,,,SUMPRODUCT(MAX(ROW(E$2:E3565)*(E3565=E$2:E3565)))))-COUNTBLANK(OFFSET(A$1,,,SUMPRODUCT(MAX(ROW(E$1:E3564)*(E2=E$1:E3564))))))</f>
        <v> </v>
      </c>
      <c r="K3565" s="25" t="str">
        <f>IF(OR(E3565="",E3565="!!!",F3565="NEW"),"",INDEX(J$1:J3564,SUMPRODUCT(MAX(ROW(E$1:E3564)*(E3565=E$1:E3564)))))</f>
        <v> </v>
      </c>
      <c r="L3565" s="26"/>
    </row>
    <row r="3566" spans="1:12">
      <c r="A3566" s="20"/>
    </row>
    <row r="3567" spans="1:12">
      <c r="A3567" s="20" t="s">
        <v>1632</v>
      </c>
    </row>
    <row r="3568" spans="1:12">
      <c r="A3568" s="20" t="s">
        <v>894</v>
      </c>
      <c r="E3568" s="21">
        <f>IF(D3568="?OLD","!!!","")</f>
        <v/>
      </c>
      <c r="F3568" s="22" t="str">
        <f>IF(OR(E3568="",E3568="!!!"),"",IF(NOT(ISNA(VLOOKUP(E3568,E$1:E3567,1,FALSE()))),"OLD",IF(AND(E3568&lt;&gt;"",E3568&lt;&gt;"!!!"),"NEW","")))</f>
        <v> </v>
      </c>
      <c r="G3568" s="23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4" t="str">
        <f>IF(J3568&lt;&gt;1,"",IF(I3568="SBJ","CB","?"))</f>
        <v> </v>
      </c>
      <c r="I3568" s="25" t="str">
        <f>IF(OR(E3568="",E3568="!!!",F3568="NEW"),"",INDEX(B3567:B$2,-1+SUMPRODUCT(MAX(ROW(E3567:E$2)*(E3568=E3567:E$2)))))</f>
        <v> </v>
      </c>
      <c r="J3568" s="25" t="str">
        <f>IF(OR(E3568="",E3568="!!!",F3568="NEW"),"",COUNTBLANK(OFFSET(A$1,,,SUMPRODUCT(MAX(ROW(E$2:E3568)*(E3568=E$2:E3568)))))-COUNTBLANK(OFFSET(A$1,,,SUMPRODUCT(MAX(ROW(E$1:E3567)*(E2=E$1:E3567))))))</f>
        <v> </v>
      </c>
      <c r="K3568" s="25" t="str">
        <f>IF(OR(E3568="",E3568="!!!",F3568="NEW"),"",INDEX(J$1:J3567,SUMPRODUCT(MAX(ROW(E$1:E3567)*(E3568=E$1:E3567)))))</f>
        <v> </v>
      </c>
      <c r="L3568" s="26"/>
    </row>
    <row r="3569" spans="1:12">
      <c r="A3569" s="20" t="s">
        <v>91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 t="s">
        <v>722</v>
      </c>
      <c r="E3570" s="21">
        <f>IF(D3570="?OLD","!!!","")</f>
        <v/>
      </c>
      <c r="F3570" s="22" t="str">
        <f>IF(OR(E3570="",E3570="!!!"),"",IF(NOT(ISNA(VLOOKUP(E3570,E$1:E3569,1,FALSE()))),"OLD",IF(AND(E3570&lt;&gt;"",E3570&lt;&gt;"!!!"),"NEW","")))</f>
        <v> </v>
      </c>
      <c r="G3570" s="23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4" t="str">
        <f>IF(J3570&lt;&gt;1,"",IF(I3570="SBJ","CB","?"))</f>
        <v> </v>
      </c>
      <c r="I3570" s="25" t="str">
        <f>IF(OR(E3570="",E3570="!!!",F3570="NEW"),"",INDEX(B3569:B$2,-1+SUMPRODUCT(MAX(ROW(E3569:E$2)*(E3570=E3569:E$2)))))</f>
        <v> </v>
      </c>
      <c r="J3570" s="25" t="str">
        <f>IF(OR(E3570="",E3570="!!!",F3570="NEW"),"",COUNTBLANK(OFFSET(A$1,,,SUMPRODUCT(MAX(ROW(E$2:E3570)*(E3570=E$2:E3570)))))-COUNTBLANK(OFFSET(A$1,,,SUMPRODUCT(MAX(ROW(E$1:E3569)*(E2=E$1:E3569))))))</f>
        <v> </v>
      </c>
      <c r="K3570" s="25" t="str">
        <f>IF(OR(E3570="",E3570="!!!",F3570="NEW"),"",INDEX(J$1:J3569,SUMPRODUCT(MAX(ROW(E$1:E3569)*(E3570=E$1:E3569)))))</f>
        <v> </v>
      </c>
      <c r="L3570" s="26"/>
    </row>
    <row r="3571" spans="1:12">
      <c r="A3571" s="20" t="s">
        <v>1633</v>
      </c>
      <c r="E3571" s="21">
        <f>IF(D3571="?OLD","!!!","")</f>
        <v/>
      </c>
      <c r="F3571" s="22" t="str">
        <f>IF(OR(E3571="",E3571="!!!"),"",IF(NOT(ISNA(VLOOKUP(E3571,E$1:E3570,1,FALSE()))),"OLD",IF(AND(E3571&lt;&gt;"",E3571&lt;&gt;"!!!"),"NEW","")))</f>
        <v> </v>
      </c>
      <c r="G3571" s="23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4" t="str">
        <f>IF(J3571&lt;&gt;1,"",IF(I3571="SBJ","CB","?"))</f>
        <v> </v>
      </c>
      <c r="I3571" s="25" t="str">
        <f>IF(OR(E3571="",E3571="!!!",F3571="NEW"),"",INDEX(B3570:B$2,-1+SUMPRODUCT(MAX(ROW(E3570:E$2)*(E3571=E3570:E$2)))))</f>
        <v> </v>
      </c>
      <c r="J3571" s="25" t="str">
        <f>IF(OR(E3571="",E3571="!!!",F3571="NEW"),"",COUNTBLANK(OFFSET(A$1,,,SUMPRODUCT(MAX(ROW(E$2:E3571)*(E3571=E$2:E3571)))))-COUNTBLANK(OFFSET(A$1,,,SUMPRODUCT(MAX(ROW(E$1:E3570)*(E2=E$1:E3570))))))</f>
        <v> </v>
      </c>
      <c r="K3571" s="25" t="str">
        <f>IF(OR(E3571="",E3571="!!!",F3571="NEW"),"",INDEX(J$1:J3570,SUMPRODUCT(MAX(ROW(E$1:E3570)*(E3571=E$1:E3570)))))</f>
        <v> </v>
      </c>
      <c r="L3571" s="26"/>
    </row>
    <row r="3572" spans="1:12">
      <c r="A3572" s="20" t="s">
        <v>1634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 t="s">
        <v>1635</v>
      </c>
      <c r="B3573" s="27" t="s">
        <v>716</v>
      </c>
      <c r="C3573" s="27" t="s">
        <v>699</v>
      </c>
      <c r="E3573" s="21">
        <f>IF(D3573="?OLD","!!!","")</f>
        <v/>
      </c>
      <c r="F3573" s="22" t="str">
        <f>IF(OR(E3573="",E3573="!!!"),"",IF(NOT(ISNA(VLOOKUP(E3573,E$1:E3572,1,FALSE()))),"OLD",IF(AND(E3573&lt;&gt;"",E3573&lt;&gt;"!!!"),"NEW","")))</f>
        <v> </v>
      </c>
      <c r="G3573" s="23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4" t="str">
        <f>IF(J3573&lt;&gt;1,"",IF(I3573="SBJ","CB","?"))</f>
        <v> </v>
      </c>
      <c r="I3573" s="25" t="str">
        <f>IF(OR(E3573="",E3573="!!!",F3573="NEW"),"",INDEX(B3572:B$2,-1+SUMPRODUCT(MAX(ROW(E3572:E$2)*(E3573=E3572:E$2)))))</f>
        <v> </v>
      </c>
      <c r="J3573" s="25" t="str">
        <f>IF(OR(E3573="",E3573="!!!",F3573="NEW"),"",COUNTBLANK(OFFSET(A$1,,,SUMPRODUCT(MAX(ROW(E$2:E3573)*(E3573=E$2:E3573)))))-COUNTBLANK(OFFSET(A$1,,,SUMPRODUCT(MAX(ROW(E$1:E3572)*(E2=E$1:E3572))))))</f>
        <v> </v>
      </c>
      <c r="K3573" s="25" t="str">
        <f>IF(OR(E3573="",E3573="!!!",F3573="NEW"),"",INDEX(J$1:J3572,SUMPRODUCT(MAX(ROW(E$1:E3572)*(E3573=E$1:E3572)))))</f>
        <v> </v>
      </c>
      <c r="L3573" s="26"/>
    </row>
    <row r="3574" spans="1:12">
      <c r="A3574" s="20" t="s">
        <v>802</v>
      </c>
      <c r="E3574" s="21">
        <f>IF(D3574="?OLD","!!!","")</f>
        <v/>
      </c>
      <c r="F3574" s="22" t="str">
        <f>IF(OR(E3574="",E3574="!!!"),"",IF(NOT(ISNA(VLOOKUP(E3574,E$1:E3573,1,FALSE()))),"OLD",IF(AND(E3574&lt;&gt;"",E3574&lt;&gt;"!!!"),"NEW","")))</f>
        <v> </v>
      </c>
      <c r="G3574" s="23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4" t="str">
        <f>IF(J3574&lt;&gt;1,"",IF(I3574="SBJ","CB","?"))</f>
        <v> </v>
      </c>
      <c r="I3574" s="25" t="str">
        <f>IF(OR(E3574="",E3574="!!!",F3574="NEW"),"",INDEX(B3573:B$2,-1+SUMPRODUCT(MAX(ROW(E3573:E$2)*(E3574=E3573:E$2)))))</f>
        <v> </v>
      </c>
      <c r="J3574" s="25" t="str">
        <f>IF(OR(E3574="",E3574="!!!",F3574="NEW"),"",COUNTBLANK(OFFSET(A$1,,,SUMPRODUCT(MAX(ROW(E$2:E3574)*(E3574=E$2:E3574)))))-COUNTBLANK(OFFSET(A$1,,,SUMPRODUCT(MAX(ROW(E$1:E3573)*(E2=E$1:E3573))))))</f>
        <v> </v>
      </c>
      <c r="K3574" s="25" t="str">
        <f>IF(OR(E3574="",E3574="!!!",F3574="NEW"),"",INDEX(J$1:J3573,SUMPRODUCT(MAX(ROW(E$1:E3573)*(E3574=E$1:E3573)))))</f>
        <v> </v>
      </c>
      <c r="L3574" s="26"/>
    </row>
    <row r="3575" spans="1:12">
      <c r="A3575" s="20" t="s">
        <v>1636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704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/>
    </row>
    <row r="3578" spans="1:12">
      <c r="A3578" s="20" t="s">
        <v>1637</v>
      </c>
    </row>
    <row r="3579" spans="1:12">
      <c r="A3579" s="20" t="s">
        <v>1070</v>
      </c>
      <c r="E3579" s="21">
        <f>IF(D3579="?OLD","!!!","")</f>
        <v/>
      </c>
      <c r="F3579" s="22" t="str">
        <f>IF(OR(E3579="",E3579="!!!"),"",IF(NOT(ISNA(VLOOKUP(E3579,E$1:E3578,1,FALSE()))),"OLD",IF(AND(E3579&lt;&gt;"",E3579&lt;&gt;"!!!"),"NEW","")))</f>
        <v> </v>
      </c>
      <c r="G3579" s="23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4" t="str">
        <f>IF(J3579&lt;&gt;1,"",IF(I3579="SBJ","CB","?"))</f>
        <v> </v>
      </c>
      <c r="I3579" s="25" t="str">
        <f>IF(OR(E3579="",E3579="!!!",F3579="NEW"),"",INDEX(B3578:B$2,-1+SUMPRODUCT(MAX(ROW(E3578:E$2)*(E3579=E3578:E$2)))))</f>
        <v> </v>
      </c>
      <c r="J3579" s="25" t="str">
        <f>IF(OR(E3579="",E3579="!!!",F3579="NEW"),"",COUNTBLANK(OFFSET(A$1,,,SUMPRODUCT(MAX(ROW(E$2:E3579)*(E3579=E$2:E3579)))))-COUNTBLANK(OFFSET(A$1,,,SUMPRODUCT(MAX(ROW(E$1:E3578)*(E2=E$1:E3578))))))</f>
        <v> </v>
      </c>
      <c r="K3579" s="25" t="str">
        <f>IF(OR(E3579="",E3579="!!!",F3579="NEW"),"",INDEX(J$1:J3578,SUMPRODUCT(MAX(ROW(E$1:E3578)*(E3579=E$1:E3578)))))</f>
        <v> </v>
      </c>
      <c r="L3579" s="26"/>
    </row>
    <row r="3580" spans="1:12">
      <c r="A3580" s="20" t="s">
        <v>722</v>
      </c>
      <c r="E3580" s="21">
        <f>IF(D3580="?OLD","!!!","")</f>
        <v/>
      </c>
      <c r="F3580" s="22" t="str">
        <f>IF(OR(E3580="",E3580="!!!"),"",IF(NOT(ISNA(VLOOKUP(E3580,E$1:E3579,1,FALSE()))),"OLD",IF(AND(E3580&lt;&gt;"",E3580&lt;&gt;"!!!"),"NEW","")))</f>
        <v> </v>
      </c>
      <c r="G3580" s="23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4" t="str">
        <f>IF(J3580&lt;&gt;1,"",IF(I3580="SBJ","CB","?"))</f>
        <v> </v>
      </c>
      <c r="I3580" s="25" t="str">
        <f>IF(OR(E3580="",E3580="!!!",F3580="NEW"),"",INDEX(B3579:B$2,-1+SUMPRODUCT(MAX(ROW(E3579:E$2)*(E3580=E3579:E$2)))))</f>
        <v> </v>
      </c>
      <c r="J3580" s="25" t="str">
        <f>IF(OR(E3580="",E3580="!!!",F3580="NEW"),"",COUNTBLANK(OFFSET(A$1,,,SUMPRODUCT(MAX(ROW(E$2:E3580)*(E3580=E$2:E3580)))))-COUNTBLANK(OFFSET(A$1,,,SUMPRODUCT(MAX(ROW(E$1:E3579)*(E2=E$1:E3579))))))</f>
        <v> </v>
      </c>
      <c r="K3580" s="25" t="str">
        <f>IF(OR(E3580="",E3580="!!!",F3580="NEW"),"",INDEX(J$1:J3579,SUMPRODUCT(MAX(ROW(E$1:E3579)*(E3580=E$1:E3579)))))</f>
        <v> </v>
      </c>
      <c r="L3580" s="26"/>
    </row>
    <row r="3581" spans="1:12">
      <c r="A3581" s="20" t="s">
        <v>219</v>
      </c>
      <c r="B3581" s="27" t="s">
        <v>692</v>
      </c>
      <c r="C3581" s="27" t="s">
        <v>789</v>
      </c>
      <c r="D3581" s="27" t="s">
        <v>694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712</v>
      </c>
      <c r="B3582" s="27" t="s">
        <v>713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1188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810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712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 t="s">
        <v>219</v>
      </c>
      <c r="E3586" s="21">
        <f>IF(D3586="?OLD","!!!","")</f>
        <v/>
      </c>
      <c r="F3586" s="22" t="str">
        <f>IF(OR(E3586="",E3586="!!!"),"",IF(NOT(ISNA(VLOOKUP(E3586,E$1:E3585,1,FALSE()))),"OLD",IF(AND(E3586&lt;&gt;"",E3586&lt;&gt;"!!!"),"NEW","")))</f>
        <v> </v>
      </c>
      <c r="G3586" s="23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4" t="str">
        <f>IF(J3586&lt;&gt;1,"",IF(I3586="SBJ","CB","?"))</f>
        <v> </v>
      </c>
      <c r="I3586" s="25" t="str">
        <f>IF(OR(E3586="",E3586="!!!",F3586="NEW"),"",INDEX(B3585:B$2,-1+SUMPRODUCT(MAX(ROW(E3585:E$2)*(E3586=E3585:E$2)))))</f>
        <v> </v>
      </c>
      <c r="J3586" s="25" t="str">
        <f>IF(OR(E3586="",E3586="!!!",F3586="NEW"),"",COUNTBLANK(OFFSET(A$1,,,SUMPRODUCT(MAX(ROW(E$2:E3586)*(E3586=E$2:E3586)))))-COUNTBLANK(OFFSET(A$1,,,SUMPRODUCT(MAX(ROW(E$1:E3585)*(E2=E$1:E3585))))))</f>
        <v> </v>
      </c>
      <c r="K3586" s="25" t="str">
        <f>IF(OR(E3586="",E3586="!!!",F3586="NEW"),"",INDEX(J$1:J3585,SUMPRODUCT(MAX(ROW(E$1:E3585)*(E3586=E$1:E3585)))))</f>
        <v> </v>
      </c>
      <c r="L3586" s="26"/>
    </row>
    <row r="3587" spans="1:12">
      <c r="A3587" s="20" t="s">
        <v>1515</v>
      </c>
      <c r="B3587" s="27" t="s">
        <v>822</v>
      </c>
      <c r="C3587" s="27" t="s">
        <v>693</v>
      </c>
      <c r="D3587" s="27" t="s">
        <v>694</v>
      </c>
      <c r="E3587" s="21">
        <f>IF(D3587="?OLD","!!!","")</f>
        <v/>
      </c>
      <c r="F3587" s="22" t="str">
        <f>IF(OR(E3587="",E3587="!!!"),"",IF(NOT(ISNA(VLOOKUP(E3587,E$1:E3586,1,FALSE()))),"OLD",IF(AND(E3587&lt;&gt;"",E3587&lt;&gt;"!!!"),"NEW","")))</f>
        <v> </v>
      </c>
      <c r="G3587" s="23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4" t="str">
        <f>IF(J3587&lt;&gt;1,"",IF(I3587="SBJ","CB","?"))</f>
        <v> </v>
      </c>
      <c r="I3587" s="25" t="str">
        <f>IF(OR(E3587="",E3587="!!!",F3587="NEW"),"",INDEX(B3586:B$2,-1+SUMPRODUCT(MAX(ROW(E3586:E$2)*(E3587=E3586:E$2)))))</f>
        <v> </v>
      </c>
      <c r="J3587" s="25" t="str">
        <f>IF(OR(E3587="",E3587="!!!",F3587="NEW"),"",COUNTBLANK(OFFSET(A$1,,,SUMPRODUCT(MAX(ROW(E$2:E3587)*(E3587=E$2:E3587)))))-COUNTBLANK(OFFSET(A$1,,,SUMPRODUCT(MAX(ROW(E$1:E3586)*(E2=E$1:E3586))))))</f>
        <v> </v>
      </c>
      <c r="K3587" s="25" t="str">
        <f>IF(OR(E3587="",E3587="!!!",F3587="NEW"),"",INDEX(J$1:J3586,SUMPRODUCT(MAX(ROW(E$1:E3586)*(E3587=E$1:E3586)))))</f>
        <v> </v>
      </c>
      <c r="L3587" s="26"/>
    </row>
    <row r="3588" spans="1:12">
      <c r="A3588" s="20" t="s">
        <v>818</v>
      </c>
      <c r="E3588" s="21">
        <f>IF(D3588="?OLD","!!!","")</f>
        <v/>
      </c>
      <c r="F3588" s="22" t="str">
        <f>IF(OR(E3588="",E3588="!!!"),"",IF(NOT(ISNA(VLOOKUP(E3588,E$1:E3587,1,FALSE()))),"OLD",IF(AND(E3588&lt;&gt;"",E3588&lt;&gt;"!!!"),"NEW","")))</f>
        <v> </v>
      </c>
      <c r="G3588" s="23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4" t="str">
        <f>IF(J3588&lt;&gt;1,"",IF(I3588="SBJ","CB","?"))</f>
        <v> </v>
      </c>
      <c r="I3588" s="25" t="str">
        <f>IF(OR(E3588="",E3588="!!!",F3588="NEW"),"",INDEX(B3587:B$2,-1+SUMPRODUCT(MAX(ROW(E3587:E$2)*(E3588=E3587:E$2)))))</f>
        <v> </v>
      </c>
      <c r="J3588" s="25" t="str">
        <f>IF(OR(E3588="",E3588="!!!",F3588="NEW"),"",COUNTBLANK(OFFSET(A$1,,,SUMPRODUCT(MAX(ROW(E$2:E3588)*(E3588=E$2:E3588)))))-COUNTBLANK(OFFSET(A$1,,,SUMPRODUCT(MAX(ROW(E$1:E3587)*(E2=E$1:E3587))))))</f>
        <v> </v>
      </c>
      <c r="K3588" s="25" t="str">
        <f>IF(OR(E3588="",E3588="!!!",F3588="NEW"),"",INDEX(J$1:J3587,SUMPRODUCT(MAX(ROW(E$1:E3587)*(E3588=E$1:E3587)))))</f>
        <v> </v>
      </c>
      <c r="L3588" s="26"/>
    </row>
    <row r="3589" spans="1:12">
      <c r="A3589" s="20" t="s">
        <v>1638</v>
      </c>
      <c r="E3589" s="21">
        <f>IF(D3589="?OLD","!!!","")</f>
        <v/>
      </c>
      <c r="F3589" s="22" t="str">
        <f>IF(OR(E3589="",E3589="!!!"),"",IF(NOT(ISNA(VLOOKUP(E3589,E$1:E3588,1,FALSE()))),"OLD",IF(AND(E3589&lt;&gt;"",E3589&lt;&gt;"!!!"),"NEW","")))</f>
        <v> </v>
      </c>
      <c r="G3589" s="23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4" t="str">
        <f>IF(J3589&lt;&gt;1,"",IF(I3589="SBJ","CB","?"))</f>
        <v> </v>
      </c>
      <c r="I3589" s="25" t="str">
        <f>IF(OR(E3589="",E3589="!!!",F3589="NEW"),"",INDEX(B3588:B$2,-1+SUMPRODUCT(MAX(ROW(E3588:E$2)*(E3589=E3588:E$2)))))</f>
        <v> </v>
      </c>
      <c r="J3589" s="25" t="str">
        <f>IF(OR(E3589="",E3589="!!!",F3589="NEW"),"",COUNTBLANK(OFFSET(A$1,,,SUMPRODUCT(MAX(ROW(E$2:E3589)*(E3589=E$2:E3589)))))-COUNTBLANK(OFFSET(A$1,,,SUMPRODUCT(MAX(ROW(E$1:E3588)*(E2=E$1:E3588))))))</f>
        <v> </v>
      </c>
      <c r="K3589" s="25" t="str">
        <f>IF(OR(E3589="",E3589="!!!",F3589="NEW"),"",INDEX(J$1:J3588,SUMPRODUCT(MAX(ROW(E$1:E3588)*(E3589=E$1:E3588)))))</f>
        <v> </v>
      </c>
      <c r="L3589" s="26"/>
    </row>
    <row r="3590" spans="1:12">
      <c r="A3590" s="20" t="s">
        <v>690</v>
      </c>
      <c r="E3590" s="21">
        <f>IF(D3590="?OLD","!!!","")</f>
        <v/>
      </c>
      <c r="F3590" s="22" t="str">
        <f>IF(OR(E3590="",E3590="!!!"),"",IF(NOT(ISNA(VLOOKUP(E3590,E$1:E3589,1,FALSE()))),"OLD",IF(AND(E3590&lt;&gt;"",E3590&lt;&gt;"!!!"),"NEW","")))</f>
        <v> </v>
      </c>
      <c r="G3590" s="23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4" t="str">
        <f>IF(J3590&lt;&gt;1,"",IF(I3590="SBJ","CB","?"))</f>
        <v> </v>
      </c>
      <c r="I3590" s="25" t="str">
        <f>IF(OR(E3590="",E3590="!!!",F3590="NEW"),"",INDEX(B3589:B$2,-1+SUMPRODUCT(MAX(ROW(E3589:E$2)*(E3590=E3589:E$2)))))</f>
        <v> </v>
      </c>
      <c r="J3590" s="25" t="str">
        <f>IF(OR(E3590="",E3590="!!!",F3590="NEW"),"",COUNTBLANK(OFFSET(A$1,,,SUMPRODUCT(MAX(ROW(E$2:E3590)*(E3590=E$2:E3590)))))-COUNTBLANK(OFFSET(A$1,,,SUMPRODUCT(MAX(ROW(E$1:E3589)*(E2=E$1:E3589))))))</f>
        <v> </v>
      </c>
      <c r="K3590" s="25" t="str">
        <f>IF(OR(E3590="",E3590="!!!",F3590="NEW"),"",INDEX(J$1:J3589,SUMPRODUCT(MAX(ROW(E$1:E3589)*(E3590=E$1:E3589)))))</f>
        <v> </v>
      </c>
      <c r="L3590" s="26"/>
    </row>
    <row r="3591" spans="1:12">
      <c r="A3591" s="20" t="s">
        <v>697</v>
      </c>
      <c r="B3591" s="27" t="s">
        <v>758</v>
      </c>
      <c r="C3591" s="27" t="s">
        <v>693</v>
      </c>
      <c r="D3591" s="27" t="s">
        <v>694</v>
      </c>
      <c r="E3591" s="21">
        <f>IF(D3591="?OLD","!!!","")</f>
        <v/>
      </c>
      <c r="F3591" s="22" t="str">
        <f>IF(OR(E3591="",E3591="!!!"),"",IF(NOT(ISNA(VLOOKUP(E3591,E$1:E3590,1,FALSE()))),"OLD",IF(AND(E3591&lt;&gt;"",E3591&lt;&gt;"!!!"),"NEW","")))</f>
        <v> </v>
      </c>
      <c r="G3591" s="23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4" t="str">
        <f>IF(J3591&lt;&gt;1,"",IF(I3591="SBJ","CB","?"))</f>
        <v> </v>
      </c>
      <c r="I3591" s="25" t="str">
        <f>IF(OR(E3591="",E3591="!!!",F3591="NEW"),"",INDEX(B3590:B$2,-1+SUMPRODUCT(MAX(ROW(E3590:E$2)*(E3591=E3590:E$2)))))</f>
        <v> </v>
      </c>
      <c r="J3591" s="25" t="str">
        <f>IF(OR(E3591="",E3591="!!!",F3591="NEW"),"",COUNTBLANK(OFFSET(A$1,,,SUMPRODUCT(MAX(ROW(E$2:E3591)*(E3591=E$2:E3591)))))-COUNTBLANK(OFFSET(A$1,,,SUMPRODUCT(MAX(ROW(E$1:E3590)*(E2=E$1:E3590))))))</f>
        <v> </v>
      </c>
      <c r="K3591" s="25" t="str">
        <f>IF(OR(E3591="",E3591="!!!",F3591="NEW"),"",INDEX(J$1:J3590,SUMPRODUCT(MAX(ROW(E$1:E3590)*(E3591=E$1:E3590)))))</f>
        <v> </v>
      </c>
      <c r="L3591" s="26"/>
    </row>
    <row r="3592" spans="1:12">
      <c r="A3592" s="20" t="s">
        <v>712</v>
      </c>
      <c r="B3592" s="27" t="s">
        <v>797</v>
      </c>
      <c r="E3592" s="21">
        <f>IF(D3592="?OLD","!!!","")</f>
        <v/>
      </c>
      <c r="F3592" s="22" t="str">
        <f>IF(OR(E3592="",E3592="!!!"),"",IF(NOT(ISNA(VLOOKUP(E3592,E$1:E3591,1,FALSE()))),"OLD",IF(AND(E3592&lt;&gt;"",E3592&lt;&gt;"!!!"),"NEW","")))</f>
        <v> </v>
      </c>
      <c r="G3592" s="23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4" t="str">
        <f>IF(J3592&lt;&gt;1,"",IF(I3592="SBJ","CB","?"))</f>
        <v> </v>
      </c>
      <c r="I3592" s="25" t="str">
        <f>IF(OR(E3592="",E3592="!!!",F3592="NEW"),"",INDEX(B3591:B$2,-1+SUMPRODUCT(MAX(ROW(E3591:E$2)*(E3592=E3591:E$2)))))</f>
        <v> </v>
      </c>
      <c r="J3592" s="25" t="str">
        <f>IF(OR(E3592="",E3592="!!!",F3592="NEW"),"",COUNTBLANK(OFFSET(A$1,,,SUMPRODUCT(MAX(ROW(E$2:E3592)*(E3592=E$2:E3592)))))-COUNTBLANK(OFFSET(A$1,,,SUMPRODUCT(MAX(ROW(E$1:E3591)*(E2=E$1:E3591))))))</f>
        <v> </v>
      </c>
      <c r="K3592" s="25" t="str">
        <f>IF(OR(E3592="",E3592="!!!",F3592="NEW"),"",INDEX(J$1:J3591,SUMPRODUCT(MAX(ROW(E$1:E3591)*(E3592=E$1:E3591)))))</f>
        <v> </v>
      </c>
      <c r="L3592" s="26"/>
    </row>
    <row r="3593" spans="1:12">
      <c r="A3593" s="20" t="s">
        <v>791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966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 t="s">
        <v>722</v>
      </c>
      <c r="E3595" s="21">
        <f>IF(D3595="?OLD","!!!","")</f>
        <v/>
      </c>
      <c r="F3595" s="22" t="str">
        <f>IF(OR(E3595="",E3595="!!!"),"",IF(NOT(ISNA(VLOOKUP(E3595,E$1:E3594,1,FALSE()))),"OLD",IF(AND(E3595&lt;&gt;"",E3595&lt;&gt;"!!!"),"NEW","")))</f>
        <v> </v>
      </c>
      <c r="G3595" s="23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4" t="str">
        <f>IF(J3595&lt;&gt;1,"",IF(I3595="SBJ","CB","?"))</f>
        <v> </v>
      </c>
      <c r="I3595" s="25" t="str">
        <f>IF(OR(E3595="",E3595="!!!",F3595="NEW"),"",INDEX(B3594:B$2,-1+SUMPRODUCT(MAX(ROW(E3594:E$2)*(E3595=E3594:E$2)))))</f>
        <v> </v>
      </c>
      <c r="J3595" s="25" t="str">
        <f>IF(OR(E3595="",E3595="!!!",F3595="NEW"),"",COUNTBLANK(OFFSET(A$1,,,SUMPRODUCT(MAX(ROW(E$2:E3595)*(E3595=E$2:E3595)))))-COUNTBLANK(OFFSET(A$1,,,SUMPRODUCT(MAX(ROW(E$1:E3594)*(E2=E$1:E3594))))))</f>
        <v> </v>
      </c>
      <c r="K3595" s="25" t="str">
        <f>IF(OR(E3595="",E3595="!!!",F3595="NEW"),"",INDEX(J$1:J3594,SUMPRODUCT(MAX(ROW(E$1:E3594)*(E3595=E$1:E3594)))))</f>
        <v> </v>
      </c>
      <c r="L3595" s="26"/>
    </row>
    <row r="3596" spans="1:12">
      <c r="A3596" s="20" t="s">
        <v>836</v>
      </c>
      <c r="E3596" s="21">
        <f>IF(D3596="?OLD","!!!","")</f>
        <v/>
      </c>
      <c r="F3596" s="22" t="str">
        <f>IF(OR(E3596="",E3596="!!!"),"",IF(NOT(ISNA(VLOOKUP(E3596,E$1:E3595,1,FALSE()))),"OLD",IF(AND(E3596&lt;&gt;"",E3596&lt;&gt;"!!!"),"NEW","")))</f>
        <v> </v>
      </c>
      <c r="G3596" s="23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4" t="str">
        <f>IF(J3596&lt;&gt;1,"",IF(I3596="SBJ","CB","?"))</f>
        <v> </v>
      </c>
      <c r="I3596" s="25" t="str">
        <f>IF(OR(E3596="",E3596="!!!",F3596="NEW"),"",INDEX(B3595:B$2,-1+SUMPRODUCT(MAX(ROW(E3595:E$2)*(E3596=E3595:E$2)))))</f>
        <v> </v>
      </c>
      <c r="J3596" s="25" t="str">
        <f>IF(OR(E3596="",E3596="!!!",F3596="NEW"),"",COUNTBLANK(OFFSET(A$1,,,SUMPRODUCT(MAX(ROW(E$2:E3596)*(E3596=E$2:E3596)))))-COUNTBLANK(OFFSET(A$1,,,SUMPRODUCT(MAX(ROW(E$1:E3595)*(E2=E$1:E3595))))))</f>
        <v> </v>
      </c>
      <c r="K3596" s="25" t="str">
        <f>IF(OR(E3596="",E3596="!!!",F3596="NEW"),"",INDEX(J$1:J3595,SUMPRODUCT(MAX(ROW(E$1:E3595)*(E3596=E$1:E3595)))))</f>
        <v> </v>
      </c>
      <c r="L3596" s="26"/>
    </row>
    <row r="3597" spans="1:12">
      <c r="A3597" s="20" t="s">
        <v>690</v>
      </c>
      <c r="E3597" s="21">
        <f>IF(D3597="?OLD","!!!","")</f>
        <v/>
      </c>
      <c r="F3597" s="22" t="str">
        <f>IF(OR(E3597="",E3597="!!!"),"",IF(NOT(ISNA(VLOOKUP(E3597,E$1:E3596,1,FALSE()))),"OLD",IF(AND(E3597&lt;&gt;"",E3597&lt;&gt;"!!!"),"NEW","")))</f>
        <v> </v>
      </c>
      <c r="G3597" s="23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4" t="str">
        <f>IF(J3597&lt;&gt;1,"",IF(I3597="SBJ","CB","?"))</f>
        <v> </v>
      </c>
      <c r="I3597" s="25" t="str">
        <f>IF(OR(E3597="",E3597="!!!",F3597="NEW"),"",INDEX(B3596:B$2,-1+SUMPRODUCT(MAX(ROW(E3596:E$2)*(E3597=E3596:E$2)))))</f>
        <v> </v>
      </c>
      <c r="J3597" s="25" t="str">
        <f>IF(OR(E3597="",E3597="!!!",F3597="NEW"),"",COUNTBLANK(OFFSET(A$1,,,SUMPRODUCT(MAX(ROW(E$2:E3597)*(E3597=E$2:E3597)))))-COUNTBLANK(OFFSET(A$1,,,SUMPRODUCT(MAX(ROW(E$1:E3596)*(E2=E$1:E3596))))))</f>
        <v> </v>
      </c>
      <c r="K3597" s="25" t="str">
        <f>IF(OR(E3597="",E3597="!!!",F3597="NEW"),"",INDEX(J$1:J3596,SUMPRODUCT(MAX(ROW(E$1:E3596)*(E3597=E$1:E3596)))))</f>
        <v> </v>
      </c>
      <c r="L3597" s="26"/>
    </row>
    <row r="3598" spans="1:12">
      <c r="A3598" s="20" t="s">
        <v>1639</v>
      </c>
      <c r="B3598" s="27" t="s">
        <v>822</v>
      </c>
      <c r="C3598" s="27" t="s">
        <v>717</v>
      </c>
      <c r="D3598" s="27" t="s">
        <v>694</v>
      </c>
      <c r="E3598" s="21">
        <f>IF(D3598="?OLD","!!!","")</f>
        <v/>
      </c>
      <c r="F3598" s="22" t="str">
        <f>IF(OR(E3598="",E3598="!!!"),"",IF(NOT(ISNA(VLOOKUP(E3598,E$1:E3597,1,FALSE()))),"OLD",IF(AND(E3598&lt;&gt;"",E3598&lt;&gt;"!!!"),"NEW","")))</f>
        <v> </v>
      </c>
      <c r="G3598" s="23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4" t="str">
        <f>IF(J3598&lt;&gt;1,"",IF(I3598="SBJ","CB","?"))</f>
        <v> </v>
      </c>
      <c r="I3598" s="25" t="str">
        <f>IF(OR(E3598="",E3598="!!!",F3598="NEW"),"",INDEX(B3597:B$2,-1+SUMPRODUCT(MAX(ROW(E3597:E$2)*(E3598=E3597:E$2)))))</f>
        <v> </v>
      </c>
      <c r="J3598" s="25" t="str">
        <f>IF(OR(E3598="",E3598="!!!",F3598="NEW"),"",COUNTBLANK(OFFSET(A$1,,,SUMPRODUCT(MAX(ROW(E$2:E3598)*(E3598=E$2:E3598)))))-COUNTBLANK(OFFSET(A$1,,,SUMPRODUCT(MAX(ROW(E$1:E3597)*(E2=E$1:E3597))))))</f>
        <v> </v>
      </c>
      <c r="K3598" s="25" t="str">
        <f>IF(OR(E3598="",E3598="!!!",F3598="NEW"),"",INDEX(J$1:J3597,SUMPRODUCT(MAX(ROW(E$1:E3597)*(E3598=E$1:E3597)))))</f>
        <v> </v>
      </c>
      <c r="L3598" s="26"/>
    </row>
    <row r="3599" spans="1:12">
      <c r="A3599" s="20" t="s">
        <v>696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1515</v>
      </c>
      <c r="B3600" s="27" t="s">
        <v>749</v>
      </c>
      <c r="C3600" s="27" t="s">
        <v>699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1638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722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1640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 t="s">
        <v>722</v>
      </c>
      <c r="E3604" s="21">
        <f>IF(D3604="?OLD","!!!","")</f>
        <v/>
      </c>
      <c r="F3604" s="22" t="str">
        <f>IF(OR(E3604="",E3604="!!!"),"",IF(NOT(ISNA(VLOOKUP(E3604,E$1:E3603,1,FALSE()))),"OLD",IF(AND(E3604&lt;&gt;"",E3604&lt;&gt;"!!!"),"NEW","")))</f>
        <v> </v>
      </c>
      <c r="G3604" s="23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4" t="str">
        <f>IF(J3604&lt;&gt;1,"",IF(I3604="SBJ","CB","?"))</f>
        <v> </v>
      </c>
      <c r="I3604" s="25" t="str">
        <f>IF(OR(E3604="",E3604="!!!",F3604="NEW"),"",INDEX(B3603:B$2,-1+SUMPRODUCT(MAX(ROW(E3603:E$2)*(E3604=E3603:E$2)))))</f>
        <v> </v>
      </c>
      <c r="J3604" s="25" t="str">
        <f>IF(OR(E3604="",E3604="!!!",F3604="NEW"),"",COUNTBLANK(OFFSET(A$1,,,SUMPRODUCT(MAX(ROW(E$2:E3604)*(E3604=E$2:E3604)))))-COUNTBLANK(OFFSET(A$1,,,SUMPRODUCT(MAX(ROW(E$1:E3603)*(E2=E$1:E3603))))))</f>
        <v> </v>
      </c>
      <c r="K3604" s="25" t="str">
        <f>IF(OR(E3604="",E3604="!!!",F3604="NEW"),"",INDEX(J$1:J3603,SUMPRODUCT(MAX(ROW(E$1:E3603)*(E3604=E$1:E3603)))))</f>
        <v> </v>
      </c>
      <c r="L3604" s="26"/>
    </row>
    <row r="3605" spans="1:12">
      <c r="A3605" s="20" t="s">
        <v>690</v>
      </c>
      <c r="E3605" s="21">
        <f>IF(D3605="?OLD","!!!","")</f>
        <v/>
      </c>
      <c r="F3605" s="22" t="str">
        <f>IF(OR(E3605="",E3605="!!!"),"",IF(NOT(ISNA(VLOOKUP(E3605,E$1:E3604,1,FALSE()))),"OLD",IF(AND(E3605&lt;&gt;"",E3605&lt;&gt;"!!!"),"NEW","")))</f>
        <v> </v>
      </c>
      <c r="G3605" s="23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4" t="str">
        <f>IF(J3605&lt;&gt;1,"",IF(I3605="SBJ","CB","?"))</f>
        <v> </v>
      </c>
      <c r="I3605" s="25" t="str">
        <f>IF(OR(E3605="",E3605="!!!",F3605="NEW"),"",INDEX(B3604:B$2,-1+SUMPRODUCT(MAX(ROW(E3604:E$2)*(E3605=E3604:E$2)))))</f>
        <v> </v>
      </c>
      <c r="J3605" s="25" t="str">
        <f>IF(OR(E3605="",E3605="!!!",F3605="NEW"),"",COUNTBLANK(OFFSET(A$1,,,SUMPRODUCT(MAX(ROW(E$2:E3605)*(E3605=E$2:E3605)))))-COUNTBLANK(OFFSET(A$1,,,SUMPRODUCT(MAX(ROW(E$1:E3604)*(E2=E$1:E3604))))))</f>
        <v> </v>
      </c>
      <c r="K3605" s="25" t="str">
        <f>IF(OR(E3605="",E3605="!!!",F3605="NEW"),"",INDEX(J$1:J3604,SUMPRODUCT(MAX(ROW(E$1:E3604)*(E3605=E$1:E3604)))))</f>
        <v> </v>
      </c>
      <c r="L3605" s="26"/>
    </row>
    <row r="3606" spans="1:12">
      <c r="A3606" s="20" t="s">
        <v>1641</v>
      </c>
      <c r="B3606" s="27" t="s">
        <v>758</v>
      </c>
      <c r="C3606" s="27" t="s">
        <v>693</v>
      </c>
      <c r="D3606" s="27" t="s">
        <v>694</v>
      </c>
      <c r="E3606" s="21">
        <f>IF(D3606="?OLD","!!!","")</f>
        <v/>
      </c>
      <c r="F3606" s="22" t="str">
        <f>IF(OR(E3606="",E3606="!!!"),"",IF(NOT(ISNA(VLOOKUP(E3606,E$1:E3605,1,FALSE()))),"OLD",IF(AND(E3606&lt;&gt;"",E3606&lt;&gt;"!!!"),"NEW","")))</f>
        <v> </v>
      </c>
      <c r="G3606" s="23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4" t="str">
        <f>IF(J3606&lt;&gt;1,"",IF(I3606="SBJ","CB","?"))</f>
        <v> </v>
      </c>
      <c r="I3606" s="25" t="str">
        <f>IF(OR(E3606="",E3606="!!!",F3606="NEW"),"",INDEX(B3605:B$2,-1+SUMPRODUCT(MAX(ROW(E3605:E$2)*(E3606=E3605:E$2)))))</f>
        <v> </v>
      </c>
      <c r="J3606" s="25" t="str">
        <f>IF(OR(E3606="",E3606="!!!",F3606="NEW"),"",COUNTBLANK(OFFSET(A$1,,,SUMPRODUCT(MAX(ROW(E$2:E3606)*(E3606=E$2:E3606)))))-COUNTBLANK(OFFSET(A$1,,,SUMPRODUCT(MAX(ROW(E$1:E3605)*(E2=E$1:E3605))))))</f>
        <v> </v>
      </c>
      <c r="K3606" s="25" t="str">
        <f>IF(OR(E3606="",E3606="!!!",F3606="NEW"),"",INDEX(J$1:J3605,SUMPRODUCT(MAX(ROW(E$1:E3605)*(E3606=E$1:E3605)))))</f>
        <v> </v>
      </c>
      <c r="L3606" s="26"/>
    </row>
    <row r="3607" spans="1:12">
      <c r="A3607" s="20" t="s">
        <v>722</v>
      </c>
      <c r="E3607" s="21">
        <f>IF(D3607="?OLD","!!!","")</f>
        <v/>
      </c>
      <c r="F3607" s="22" t="str">
        <f>IF(OR(E3607="",E3607="!!!"),"",IF(NOT(ISNA(VLOOKUP(E3607,E$1:E3606,1,FALSE()))),"OLD",IF(AND(E3607&lt;&gt;"",E3607&lt;&gt;"!!!"),"NEW","")))</f>
        <v> </v>
      </c>
      <c r="G3607" s="23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4" t="str">
        <f>IF(J3607&lt;&gt;1,"",IF(I3607="SBJ","CB","?"))</f>
        <v> </v>
      </c>
      <c r="I3607" s="25" t="str">
        <f>IF(OR(E3607="",E3607="!!!",F3607="NEW"),"",INDEX(B3606:B$2,-1+SUMPRODUCT(MAX(ROW(E3606:E$2)*(E3607=E3606:E$2)))))</f>
        <v> </v>
      </c>
      <c r="J3607" s="25" t="str">
        <f>IF(OR(E3607="",E3607="!!!",F3607="NEW"),"",COUNTBLANK(OFFSET(A$1,,,SUMPRODUCT(MAX(ROW(E$2:E3607)*(E3607=E$2:E3607)))))-COUNTBLANK(OFFSET(A$1,,,SUMPRODUCT(MAX(ROW(E$1:E3606)*(E2=E$1:E3606))))))</f>
        <v> </v>
      </c>
      <c r="K3607" s="25" t="str">
        <f>IF(OR(E3607="",E3607="!!!",F3607="NEW"),"",INDEX(J$1:J3606,SUMPRODUCT(MAX(ROW(E$1:E3606)*(E3607=E$1:E3606)))))</f>
        <v> </v>
      </c>
      <c r="L3607" s="26"/>
    </row>
    <row r="3608" spans="1:12">
      <c r="A3608" s="20" t="s">
        <v>730</v>
      </c>
      <c r="E3608" s="21">
        <f>IF(D3608="?OLD","!!!","")</f>
        <v/>
      </c>
      <c r="F3608" s="22" t="str">
        <f>IF(OR(E3608="",E3608="!!!"),"",IF(NOT(ISNA(VLOOKUP(E3608,E$1:E3607,1,FALSE()))),"OLD",IF(AND(E3608&lt;&gt;"",E3608&lt;&gt;"!!!"),"NEW","")))</f>
        <v> </v>
      </c>
      <c r="G3608" s="23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4" t="str">
        <f>IF(J3608&lt;&gt;1,"",IF(I3608="SBJ","CB","?"))</f>
        <v> </v>
      </c>
      <c r="I3608" s="25" t="str">
        <f>IF(OR(E3608="",E3608="!!!",F3608="NEW"),"",INDEX(B3607:B$2,-1+SUMPRODUCT(MAX(ROW(E3607:E$2)*(E3608=E3607:E$2)))))</f>
        <v> </v>
      </c>
      <c r="J3608" s="25" t="str">
        <f>IF(OR(E3608="",E3608="!!!",F3608="NEW"),"",COUNTBLANK(OFFSET(A$1,,,SUMPRODUCT(MAX(ROW(E$2:E3608)*(E3608=E$2:E3608)))))-COUNTBLANK(OFFSET(A$1,,,SUMPRODUCT(MAX(ROW(E$1:E3607)*(E2=E$1:E3607))))))</f>
        <v> </v>
      </c>
      <c r="K3608" s="25" t="str">
        <f>IF(OR(E3608="",E3608="!!!",F3608="NEW"),"",INDEX(J$1:J3607,SUMPRODUCT(MAX(ROW(E$1:E3607)*(E3608=E$1:E3607)))))</f>
        <v> </v>
      </c>
      <c r="L3608" s="26"/>
    </row>
    <row r="3609" spans="1:12">
      <c r="A3609" s="20" t="s">
        <v>960</v>
      </c>
      <c r="B3609" s="27" t="s">
        <v>732</v>
      </c>
      <c r="C3609" s="27" t="s">
        <v>708</v>
      </c>
      <c r="D3609" s="27" t="s">
        <v>694</v>
      </c>
      <c r="E3609" s="21">
        <f>IF(D3609="?OLD","!!!","")</f>
        <v/>
      </c>
      <c r="F3609" s="22" t="str">
        <f>IF(OR(E3609="",E3609="!!!"),"",IF(NOT(ISNA(VLOOKUP(E3609,E$1:E3608,1,FALSE()))),"OLD",IF(AND(E3609&lt;&gt;"",E3609&lt;&gt;"!!!"),"NEW","")))</f>
        <v> </v>
      </c>
      <c r="G3609" s="23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4" t="str">
        <f>IF(J3609&lt;&gt;1,"",IF(I3609="SBJ","CB","?"))</f>
        <v> </v>
      </c>
      <c r="I3609" s="25" t="str">
        <f>IF(OR(E3609="",E3609="!!!",F3609="NEW"),"",INDEX(B3608:B$2,-1+SUMPRODUCT(MAX(ROW(E3608:E$2)*(E3609=E3608:E$2)))))</f>
        <v> </v>
      </c>
      <c r="J3609" s="25" t="str">
        <f>IF(OR(E3609="",E3609="!!!",F3609="NEW"),"",COUNTBLANK(OFFSET(A$1,,,SUMPRODUCT(MAX(ROW(E$2:E3609)*(E3609=E$2:E3609)))))-COUNTBLANK(OFFSET(A$1,,,SUMPRODUCT(MAX(ROW(E$1:E3608)*(E2=E$1:E3608))))))</f>
        <v> </v>
      </c>
      <c r="K3609" s="25" t="str">
        <f>IF(OR(E3609="",E3609="!!!",F3609="NEW"),"",INDEX(J$1:J3608,SUMPRODUCT(MAX(ROW(E$1:E3608)*(E3609=E$1:E3608)))))</f>
        <v> </v>
      </c>
      <c r="L3609" s="26"/>
    </row>
    <row r="3610" spans="1:12">
      <c r="A3610" s="20" t="s">
        <v>834</v>
      </c>
      <c r="E3610" s="21">
        <f>IF(D3610="?OLD","!!!","")</f>
        <v/>
      </c>
      <c r="F3610" s="22" t="str">
        <f>IF(OR(E3610="",E3610="!!!"),"",IF(NOT(ISNA(VLOOKUP(E3610,E$1:E3609,1,FALSE()))),"OLD",IF(AND(E3610&lt;&gt;"",E3610&lt;&gt;"!!!"),"NEW","")))</f>
        <v> </v>
      </c>
      <c r="G3610" s="23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4" t="str">
        <f>IF(J3610&lt;&gt;1,"",IF(I3610="SBJ","CB","?"))</f>
        <v> </v>
      </c>
      <c r="I3610" s="25" t="str">
        <f>IF(OR(E3610="",E3610="!!!",F3610="NEW"),"",INDEX(B3609:B$2,-1+SUMPRODUCT(MAX(ROW(E3609:E$2)*(E3610=E3609:E$2)))))</f>
        <v> </v>
      </c>
      <c r="J3610" s="25" t="str">
        <f>IF(OR(E3610="",E3610="!!!",F3610="NEW"),"",COUNTBLANK(OFFSET(A$1,,,SUMPRODUCT(MAX(ROW(E$2:E3610)*(E3610=E$2:E3610)))))-COUNTBLANK(OFFSET(A$1,,,SUMPRODUCT(MAX(ROW(E$1:E3609)*(E2=E$1:E3609))))))</f>
        <v> </v>
      </c>
      <c r="K3610" s="25" t="str">
        <f>IF(OR(E3610="",E3610="!!!",F3610="NEW"),"",INDEX(J$1:J3609,SUMPRODUCT(MAX(ROW(E$1:E3609)*(E3610=E$1:E3609)))))</f>
        <v> </v>
      </c>
      <c r="L3610" s="26"/>
    </row>
    <row r="3611" spans="1:12">
      <c r="A3611" s="20" t="s">
        <v>1458</v>
      </c>
      <c r="E3611" s="21">
        <f>IF(D3611="?OLD","!!!","")</f>
        <v/>
      </c>
      <c r="F3611" s="22" t="str">
        <f>IF(OR(E3611="",E3611="!!!"),"",IF(NOT(ISNA(VLOOKUP(E3611,E$1:E3610,1,FALSE()))),"OLD",IF(AND(E3611&lt;&gt;"",E3611&lt;&gt;"!!!"),"NEW","")))</f>
        <v> </v>
      </c>
      <c r="G3611" s="23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4" t="str">
        <f>IF(J3611&lt;&gt;1,"",IF(I3611="SBJ","CB","?"))</f>
        <v> </v>
      </c>
      <c r="I3611" s="25" t="str">
        <f>IF(OR(E3611="",E3611="!!!",F3611="NEW"),"",INDEX(B3610:B$2,-1+SUMPRODUCT(MAX(ROW(E3610:E$2)*(E3611=E3610:E$2)))))</f>
        <v> </v>
      </c>
      <c r="J3611" s="25" t="str">
        <f>IF(OR(E3611="",E3611="!!!",F3611="NEW"),"",COUNTBLANK(OFFSET(A$1,,,SUMPRODUCT(MAX(ROW(E$2:E3611)*(E3611=E$2:E3611)))))-COUNTBLANK(OFFSET(A$1,,,SUMPRODUCT(MAX(ROW(E$1:E3610)*(E2=E$1:E3610))))))</f>
        <v> </v>
      </c>
      <c r="K3611" s="25" t="str">
        <f>IF(OR(E3611="",E3611="!!!",F3611="NEW"),"",INDEX(J$1:J3610,SUMPRODUCT(MAX(ROW(E$1:E3610)*(E3611=E$1:E3610)))))</f>
        <v> </v>
      </c>
      <c r="L3611" s="26"/>
    </row>
    <row r="3612" spans="1:12">
      <c r="A3612" s="20" t="s">
        <v>1344</v>
      </c>
      <c r="E3612" s="21">
        <f>IF(D3612="?OLD","!!!","")</f>
        <v/>
      </c>
      <c r="F3612" s="22" t="str">
        <f>IF(OR(E3612="",E3612="!!!"),"",IF(NOT(ISNA(VLOOKUP(E3612,E$1:E3611,1,FALSE()))),"OLD",IF(AND(E3612&lt;&gt;"",E3612&lt;&gt;"!!!"),"NEW","")))</f>
        <v> </v>
      </c>
      <c r="G3612" s="23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4" t="str">
        <f>IF(J3612&lt;&gt;1,"",IF(I3612="SBJ","CB","?"))</f>
        <v> </v>
      </c>
      <c r="I3612" s="25" t="str">
        <f>IF(OR(E3612="",E3612="!!!",F3612="NEW"),"",INDEX(B3611:B$2,-1+SUMPRODUCT(MAX(ROW(E3611:E$2)*(E3612=E3611:E$2)))))</f>
        <v> </v>
      </c>
      <c r="J3612" s="25" t="str">
        <f>IF(OR(E3612="",E3612="!!!",F3612="NEW"),"",COUNTBLANK(OFFSET(A$1,,,SUMPRODUCT(MAX(ROW(E$2:E3612)*(E3612=E$2:E3612)))))-COUNTBLANK(OFFSET(A$1,,,SUMPRODUCT(MAX(ROW(E$1:E3611)*(E2=E$1:E3611))))))</f>
        <v> </v>
      </c>
      <c r="K3612" s="25" t="str">
        <f>IF(OR(E3612="",E3612="!!!",F3612="NEW"),"",INDEX(J$1:J3611,SUMPRODUCT(MAX(ROW(E$1:E3611)*(E3612=E$1:E3611)))))</f>
        <v> </v>
      </c>
      <c r="L3612" s="26"/>
    </row>
    <row r="3613" spans="1:12">
      <c r="A3613" s="20" t="s">
        <v>1641</v>
      </c>
      <c r="B3613" s="27" t="s">
        <v>738</v>
      </c>
      <c r="C3613" s="27" t="s">
        <v>766</v>
      </c>
      <c r="D3613" s="27" t="s">
        <v>694</v>
      </c>
      <c r="E3613" s="21">
        <f>IF(D3613="?OLD","!!!","")</f>
        <v/>
      </c>
      <c r="F3613" s="22" t="str">
        <f>IF(OR(E3613="",E3613="!!!"),"",IF(NOT(ISNA(VLOOKUP(E3613,E$1:E3612,1,FALSE()))),"OLD",IF(AND(E3613&lt;&gt;"",E3613&lt;&gt;"!!!"),"NEW","")))</f>
        <v> </v>
      </c>
      <c r="G3613" s="23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4" t="str">
        <f>IF(J3613&lt;&gt;1,"",IF(I3613="SBJ","CB","?"))</f>
        <v> </v>
      </c>
      <c r="I3613" s="25" t="str">
        <f>IF(OR(E3613="",E3613="!!!",F3613="NEW"),"",INDEX(B3612:B$2,-1+SUMPRODUCT(MAX(ROW(E3612:E$2)*(E3613=E3612:E$2)))))</f>
        <v> </v>
      </c>
      <c r="J3613" s="25" t="str">
        <f>IF(OR(E3613="",E3613="!!!",F3613="NEW"),"",COUNTBLANK(OFFSET(A$1,,,SUMPRODUCT(MAX(ROW(E$2:E3613)*(E3613=E$2:E3613)))))-COUNTBLANK(OFFSET(A$1,,,SUMPRODUCT(MAX(ROW(E$1:E3612)*(E2=E$1:E3612))))))</f>
        <v> </v>
      </c>
      <c r="K3613" s="25" t="str">
        <f>IF(OR(E3613="",E3613="!!!",F3613="NEW"),"",INDEX(J$1:J3612,SUMPRODUCT(MAX(ROW(E$1:E3612)*(E3613=E$1:E3612)))))</f>
        <v> </v>
      </c>
      <c r="L3613" s="26"/>
    </row>
    <row r="3614" spans="1:12">
      <c r="A3614" s="20" t="s">
        <v>877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 t="s">
        <v>722</v>
      </c>
      <c r="E3615" s="21">
        <f>IF(D3615="?OLD","!!!","")</f>
        <v/>
      </c>
      <c r="F3615" s="22" t="str">
        <f>IF(OR(E3615="",E3615="!!!"),"",IF(NOT(ISNA(VLOOKUP(E3615,E$1:E3614,1,FALSE()))),"OLD",IF(AND(E3615&lt;&gt;"",E3615&lt;&gt;"!!!"),"NEW","")))</f>
        <v> </v>
      </c>
      <c r="G3615" s="23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4" t="str">
        <f>IF(J3615&lt;&gt;1,"",IF(I3615="SBJ","CB","?"))</f>
        <v> </v>
      </c>
      <c r="I3615" s="25" t="str">
        <f>IF(OR(E3615="",E3615="!!!",F3615="NEW"),"",INDEX(B3614:B$2,-1+SUMPRODUCT(MAX(ROW(E3614:E$2)*(E3615=E3614:E$2)))))</f>
        <v> </v>
      </c>
      <c r="J3615" s="25" t="str">
        <f>IF(OR(E3615="",E3615="!!!",F3615="NEW"),"",COUNTBLANK(OFFSET(A$1,,,SUMPRODUCT(MAX(ROW(E$2:E3615)*(E3615=E$2:E3615)))))-COUNTBLANK(OFFSET(A$1,,,SUMPRODUCT(MAX(ROW(E$1:E3614)*(E2=E$1:E3614))))))</f>
        <v> </v>
      </c>
      <c r="K3615" s="25" t="str">
        <f>IF(OR(E3615="",E3615="!!!",F3615="NEW"),"",INDEX(J$1:J3614,SUMPRODUCT(MAX(ROW(E$1:E3614)*(E3615=E$1:E3614)))))</f>
        <v> </v>
      </c>
      <c r="L3615" s="26"/>
    </row>
    <row r="3616" spans="1:12">
      <c r="A3616" s="20" t="s">
        <v>877</v>
      </c>
      <c r="E3616" s="21">
        <f>IF(D3616="?OLD","!!!","")</f>
        <v/>
      </c>
      <c r="F3616" s="22" t="str">
        <f>IF(OR(E3616="",E3616="!!!"),"",IF(NOT(ISNA(VLOOKUP(E3616,E$1:E3615,1,FALSE()))),"OLD",IF(AND(E3616&lt;&gt;"",E3616&lt;&gt;"!!!"),"NEW","")))</f>
        <v> </v>
      </c>
      <c r="G3616" s="23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4" t="str">
        <f>IF(J3616&lt;&gt;1,"",IF(I3616="SBJ","CB","?"))</f>
        <v> </v>
      </c>
      <c r="I3616" s="25" t="str">
        <f>IF(OR(E3616="",E3616="!!!",F3616="NEW"),"",INDEX(B3615:B$2,-1+SUMPRODUCT(MAX(ROW(E3615:E$2)*(E3616=E3615:E$2)))))</f>
        <v> </v>
      </c>
      <c r="J3616" s="25" t="str">
        <f>IF(OR(E3616="",E3616="!!!",F3616="NEW"),"",COUNTBLANK(OFFSET(A$1,,,SUMPRODUCT(MAX(ROW(E$2:E3616)*(E3616=E$2:E3616)))))-COUNTBLANK(OFFSET(A$1,,,SUMPRODUCT(MAX(ROW(E$1:E3615)*(E2=E$1:E3615))))))</f>
        <v> </v>
      </c>
      <c r="K3616" s="25" t="str">
        <f>IF(OR(E3616="",E3616="!!!",F3616="NEW"),"",INDEX(J$1:J3615,SUMPRODUCT(MAX(ROW(E$1:E3615)*(E3616=E$1:E3615)))))</f>
        <v> </v>
      </c>
      <c r="L3616" s="26"/>
    </row>
    <row r="3617" spans="1:12">
      <c r="A3617" s="20" t="s">
        <v>1129</v>
      </c>
      <c r="E3617" s="21">
        <f>IF(D3617="?OLD","!!!","")</f>
        <v/>
      </c>
      <c r="F3617" s="22" t="str">
        <f>IF(OR(E3617="",E3617="!!!"),"",IF(NOT(ISNA(VLOOKUP(E3617,E$1:E3616,1,FALSE()))),"OLD",IF(AND(E3617&lt;&gt;"",E3617&lt;&gt;"!!!"),"NEW","")))</f>
        <v> </v>
      </c>
      <c r="G3617" s="23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4" t="str">
        <f>IF(J3617&lt;&gt;1,"",IF(I3617="SBJ","CB","?"))</f>
        <v> </v>
      </c>
      <c r="I3617" s="25" t="str">
        <f>IF(OR(E3617="",E3617="!!!",F3617="NEW"),"",INDEX(B3616:B$2,-1+SUMPRODUCT(MAX(ROW(E3616:E$2)*(E3617=E3616:E$2)))))</f>
        <v> </v>
      </c>
      <c r="J3617" s="25" t="str">
        <f>IF(OR(E3617="",E3617="!!!",F3617="NEW"),"",COUNTBLANK(OFFSET(A$1,,,SUMPRODUCT(MAX(ROW(E$2:E3617)*(E3617=E$2:E3617)))))-COUNTBLANK(OFFSET(A$1,,,SUMPRODUCT(MAX(ROW(E$1:E3616)*(E2=E$1:E3616))))))</f>
        <v> </v>
      </c>
      <c r="K3617" s="25" t="str">
        <f>IF(OR(E3617="",E3617="!!!",F3617="NEW"),"",INDEX(J$1:J3616,SUMPRODUCT(MAX(ROW(E$1:E3616)*(E3617=E$1:E3616)))))</f>
        <v> </v>
      </c>
      <c r="L3617" s="26"/>
    </row>
    <row r="3618" spans="1:12">
      <c r="A3618" s="20" t="s">
        <v>704</v>
      </c>
      <c r="E3618" s="21">
        <f>IF(D3618="?OLD","!!!","")</f>
        <v/>
      </c>
      <c r="F3618" s="22" t="str">
        <f>IF(OR(E3618="",E3618="!!!"),"",IF(NOT(ISNA(VLOOKUP(E3618,E$1:E3617,1,FALSE()))),"OLD",IF(AND(E3618&lt;&gt;"",E3618&lt;&gt;"!!!"),"NEW","")))</f>
        <v> </v>
      </c>
      <c r="G3618" s="23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4" t="str">
        <f>IF(J3618&lt;&gt;1,"",IF(I3618="SBJ","CB","?"))</f>
        <v> </v>
      </c>
      <c r="I3618" s="25" t="str">
        <f>IF(OR(E3618="",E3618="!!!",F3618="NEW"),"",INDEX(B3617:B$2,-1+SUMPRODUCT(MAX(ROW(E3617:E$2)*(E3618=E3617:E$2)))))</f>
        <v> </v>
      </c>
      <c r="J3618" s="25" t="str">
        <f>IF(OR(E3618="",E3618="!!!",F3618="NEW"),"",COUNTBLANK(OFFSET(A$1,,,SUMPRODUCT(MAX(ROW(E$2:E3618)*(E3618=E$2:E3618)))))-COUNTBLANK(OFFSET(A$1,,,SUMPRODUCT(MAX(ROW(E$1:E3617)*(E2=E$1:E3617))))))</f>
        <v> </v>
      </c>
      <c r="K3618" s="25" t="str">
        <f>IF(OR(E3618="",E3618="!!!",F3618="NEW"),"",INDEX(J$1:J3617,SUMPRODUCT(MAX(ROW(E$1:E3617)*(E3618=E$1:E3617)))))</f>
        <v> </v>
      </c>
      <c r="L3618" s="26"/>
    </row>
    <row r="3619" spans="1:12">
      <c r="A3619" s="20"/>
    </row>
    <row r="3620" spans="1:12">
      <c r="A3620" s="20" t="s">
        <v>1642</v>
      </c>
    </row>
    <row r="3621" spans="1:12">
      <c r="A3621" s="20" t="s">
        <v>1015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1374</v>
      </c>
      <c r="B3622" s="27" t="s">
        <v>703</v>
      </c>
      <c r="C3622" s="27" t="s">
        <v>699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 t="s">
        <v>690</v>
      </c>
      <c r="E3623" s="21">
        <f>IF(D3623="?OLD","!!!","")</f>
        <v/>
      </c>
      <c r="F3623" s="22" t="str">
        <f>IF(OR(E3623="",E3623="!!!"),"",IF(NOT(ISNA(VLOOKUP(E3623,E$1:E3622,1,FALSE()))),"OLD",IF(AND(E3623&lt;&gt;"",E3623&lt;&gt;"!!!"),"NEW","")))</f>
        <v> </v>
      </c>
      <c r="G3623" s="23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4" t="str">
        <f>IF(J3623&lt;&gt;1,"",IF(I3623="SBJ","CB","?"))</f>
        <v> </v>
      </c>
      <c r="I3623" s="25" t="str">
        <f>IF(OR(E3623="",E3623="!!!",F3623="NEW"),"",INDEX(B3622:B$2,-1+SUMPRODUCT(MAX(ROW(E3622:E$2)*(E3623=E3622:E$2)))))</f>
        <v> </v>
      </c>
      <c r="J3623" s="25" t="str">
        <f>IF(OR(E3623="",E3623="!!!",F3623="NEW"),"",COUNTBLANK(OFFSET(A$1,,,SUMPRODUCT(MAX(ROW(E$2:E3623)*(E3623=E$2:E3623)))))-COUNTBLANK(OFFSET(A$1,,,SUMPRODUCT(MAX(ROW(E$1:E3622)*(E2=E$1:E3622))))))</f>
        <v> </v>
      </c>
      <c r="K3623" s="25" t="str">
        <f>IF(OR(E3623="",E3623="!!!",F3623="NEW"),"",INDEX(J$1:J3622,SUMPRODUCT(MAX(ROW(E$1:E3622)*(E3623=E$1:E3622)))))</f>
        <v> </v>
      </c>
      <c r="L3623" s="26"/>
    </row>
    <row r="3624" spans="1:12">
      <c r="A3624" s="20" t="s">
        <v>219</v>
      </c>
      <c r="E3624" s="21">
        <f>IF(D3624="?OLD","!!!","")</f>
        <v/>
      </c>
      <c r="F3624" s="22" t="str">
        <f>IF(OR(E3624="",E3624="!!!"),"",IF(NOT(ISNA(VLOOKUP(E3624,E$1:E3623,1,FALSE()))),"OLD",IF(AND(E3624&lt;&gt;"",E3624&lt;&gt;"!!!"),"NEW","")))</f>
        <v> </v>
      </c>
      <c r="G3624" s="23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4" t="str">
        <f>IF(J3624&lt;&gt;1,"",IF(I3624="SBJ","CB","?"))</f>
        <v> </v>
      </c>
      <c r="I3624" s="25" t="str">
        <f>IF(OR(E3624="",E3624="!!!",F3624="NEW"),"",INDEX(B3623:B$2,-1+SUMPRODUCT(MAX(ROW(E3623:E$2)*(E3624=E3623:E$2)))))</f>
        <v> </v>
      </c>
      <c r="J3624" s="25" t="str">
        <f>IF(OR(E3624="",E3624="!!!",F3624="NEW"),"",COUNTBLANK(OFFSET(A$1,,,SUMPRODUCT(MAX(ROW(E$2:E3624)*(E3624=E$2:E3624)))))-COUNTBLANK(OFFSET(A$1,,,SUMPRODUCT(MAX(ROW(E$1:E3623)*(E2=E$1:E3623))))))</f>
        <v> </v>
      </c>
      <c r="K3624" s="25" t="str">
        <f>IF(OR(E3624="",E3624="!!!",F3624="NEW"),"",INDEX(J$1:J3623,SUMPRODUCT(MAX(ROW(E$1:E3623)*(E3624=E$1:E3623)))))</f>
        <v> </v>
      </c>
      <c r="L3624" s="26"/>
    </row>
    <row r="3625" spans="1:12">
      <c r="A3625" s="20" t="s">
        <v>1184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 t="s">
        <v>240</v>
      </c>
      <c r="B3626" s="27" t="s">
        <v>746</v>
      </c>
      <c r="C3626" s="27" t="s">
        <v>708</v>
      </c>
      <c r="D3626" s="27" t="s">
        <v>694</v>
      </c>
      <c r="E3626" s="21">
        <f>IF(D3626="?OLD","!!!","")</f>
        <v/>
      </c>
      <c r="F3626" s="22" t="str">
        <f>IF(OR(E3626="",E3626="!!!"),"",IF(NOT(ISNA(VLOOKUP(E3626,E$1:E3625,1,FALSE()))),"OLD",IF(AND(E3626&lt;&gt;"",E3626&lt;&gt;"!!!"),"NEW","")))</f>
        <v> </v>
      </c>
      <c r="G3626" s="23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4" t="str">
        <f>IF(J3626&lt;&gt;1,"",IF(I3626="SBJ","CB","?"))</f>
        <v> </v>
      </c>
      <c r="I3626" s="25" t="str">
        <f>IF(OR(E3626="",E3626="!!!",F3626="NEW"),"",INDEX(B3625:B$2,-1+SUMPRODUCT(MAX(ROW(E3625:E$2)*(E3626=E3625:E$2)))))</f>
        <v> </v>
      </c>
      <c r="J3626" s="25" t="str">
        <f>IF(OR(E3626="",E3626="!!!",F3626="NEW"),"",COUNTBLANK(OFFSET(A$1,,,SUMPRODUCT(MAX(ROW(E$2:E3626)*(E3626=E$2:E3626)))))-COUNTBLANK(OFFSET(A$1,,,SUMPRODUCT(MAX(ROW(E$1:E3625)*(E2=E$1:E3625))))))</f>
        <v> </v>
      </c>
      <c r="K3626" s="25" t="str">
        <f>IF(OR(E3626="",E3626="!!!",F3626="NEW"),"",INDEX(J$1:J3625,SUMPRODUCT(MAX(ROW(E$1:E3625)*(E3626=E$1:E3625)))))</f>
        <v> </v>
      </c>
      <c r="L3626" s="26"/>
    </row>
    <row r="3627" spans="1:12">
      <c r="A3627" s="20" t="s">
        <v>722</v>
      </c>
      <c r="E3627" s="21">
        <f>IF(D3627="?OLD","!!!","")</f>
        <v/>
      </c>
      <c r="F3627" s="22" t="str">
        <f>IF(OR(E3627="",E3627="!!!"),"",IF(NOT(ISNA(VLOOKUP(E3627,E$1:E3626,1,FALSE()))),"OLD",IF(AND(E3627&lt;&gt;"",E3627&lt;&gt;"!!!"),"NEW","")))</f>
        <v> </v>
      </c>
      <c r="G3627" s="23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4" t="str">
        <f>IF(J3627&lt;&gt;1,"",IF(I3627="SBJ","CB","?"))</f>
        <v> </v>
      </c>
      <c r="I3627" s="25" t="str">
        <f>IF(OR(E3627="",E3627="!!!",F3627="NEW"),"",INDEX(B3626:B$2,-1+SUMPRODUCT(MAX(ROW(E3626:E$2)*(E3627=E3626:E$2)))))</f>
        <v> </v>
      </c>
      <c r="J3627" s="25" t="str">
        <f>IF(OR(E3627="",E3627="!!!",F3627="NEW"),"",COUNTBLANK(OFFSET(A$1,,,SUMPRODUCT(MAX(ROW(E$2:E3627)*(E3627=E$2:E3627)))))-COUNTBLANK(OFFSET(A$1,,,SUMPRODUCT(MAX(ROW(E$1:E3626)*(E2=E$1:E3626))))))</f>
        <v> </v>
      </c>
      <c r="K3627" s="25" t="str">
        <f>IF(OR(E3627="",E3627="!!!",F3627="NEW"),"",INDEX(J$1:J3626,SUMPRODUCT(MAX(ROW(E$1:E3626)*(E3627=E$1:E3626)))))</f>
        <v> </v>
      </c>
      <c r="L3627" s="26"/>
    </row>
    <row r="3628" spans="1:12">
      <c r="A3628" s="20" t="s">
        <v>219</v>
      </c>
      <c r="E3628" s="21">
        <f>IF(D3628="?OLD","!!!","")</f>
        <v/>
      </c>
      <c r="F3628" s="22" t="str">
        <f>IF(OR(E3628="",E3628="!!!"),"",IF(NOT(ISNA(VLOOKUP(E3628,E$1:E3627,1,FALSE()))),"OLD",IF(AND(E3628&lt;&gt;"",E3628&lt;&gt;"!!!"),"NEW","")))</f>
        <v> </v>
      </c>
      <c r="G3628" s="23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4" t="str">
        <f>IF(J3628&lt;&gt;1,"",IF(I3628="SBJ","CB","?"))</f>
        <v> </v>
      </c>
      <c r="I3628" s="25" t="str">
        <f>IF(OR(E3628="",E3628="!!!",F3628="NEW"),"",INDEX(B3627:B$2,-1+SUMPRODUCT(MAX(ROW(E3627:E$2)*(E3628=E3627:E$2)))))</f>
        <v> </v>
      </c>
      <c r="J3628" s="25" t="str">
        <f>IF(OR(E3628="",E3628="!!!",F3628="NEW"),"",COUNTBLANK(OFFSET(A$1,,,SUMPRODUCT(MAX(ROW(E$2:E3628)*(E3628=E$2:E3628)))))-COUNTBLANK(OFFSET(A$1,,,SUMPRODUCT(MAX(ROW(E$1:E3627)*(E2=E$1:E3627))))))</f>
        <v> </v>
      </c>
      <c r="K3628" s="25" t="str">
        <f>IF(OR(E3628="",E3628="!!!",F3628="NEW"),"",INDEX(J$1:J3627,SUMPRODUCT(MAX(ROW(E$1:E3627)*(E3628=E$1:E3627)))))</f>
        <v> </v>
      </c>
      <c r="L3628" s="26"/>
    </row>
    <row r="3629" spans="1:12">
      <c r="A3629" s="20" t="s">
        <v>240</v>
      </c>
      <c r="B3629" s="27" t="s">
        <v>692</v>
      </c>
      <c r="C3629" s="27" t="s">
        <v>708</v>
      </c>
      <c r="D3629" s="27" t="s">
        <v>694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 t="s">
        <v>712</v>
      </c>
      <c r="B3630" s="27" t="s">
        <v>713</v>
      </c>
      <c r="E3630" s="21">
        <f>IF(D3630="?OLD","!!!","")</f>
        <v/>
      </c>
      <c r="F3630" s="22" t="str">
        <f>IF(OR(E3630="",E3630="!!!"),"",IF(NOT(ISNA(VLOOKUP(E3630,E$1:E3629,1,FALSE()))),"OLD",IF(AND(E3630&lt;&gt;"",E3630&lt;&gt;"!!!"),"NEW","")))</f>
        <v> </v>
      </c>
      <c r="G3630" s="23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4" t="str">
        <f>IF(J3630&lt;&gt;1,"",IF(I3630="SBJ","CB","?"))</f>
        <v> </v>
      </c>
      <c r="I3630" s="25" t="str">
        <f>IF(OR(E3630="",E3630="!!!",F3630="NEW"),"",INDEX(B3629:B$2,-1+SUMPRODUCT(MAX(ROW(E3629:E$2)*(E3630=E3629:E$2)))))</f>
        <v> </v>
      </c>
      <c r="J3630" s="25" t="str">
        <f>IF(OR(E3630="",E3630="!!!",F3630="NEW"),"",COUNTBLANK(OFFSET(A$1,,,SUMPRODUCT(MAX(ROW(E$2:E3630)*(E3630=E$2:E3630)))))-COUNTBLANK(OFFSET(A$1,,,SUMPRODUCT(MAX(ROW(E$1:E3629)*(E2=E$1:E3629))))))</f>
        <v> </v>
      </c>
      <c r="K3630" s="25" t="str">
        <f>IF(OR(E3630="",E3630="!!!",F3630="NEW"),"",INDEX(J$1:J3629,SUMPRODUCT(MAX(ROW(E$1:E3629)*(E3630=E$1:E3629)))))</f>
        <v> </v>
      </c>
      <c r="L3630" s="26"/>
    </row>
    <row r="3631" spans="1:12">
      <c r="A3631" s="20" t="s">
        <v>984</v>
      </c>
      <c r="E3631" s="21">
        <f>IF(D3631="?OLD","!!!","")</f>
        <v/>
      </c>
      <c r="F3631" s="22" t="str">
        <f>IF(OR(E3631="",E3631="!!!"),"",IF(NOT(ISNA(VLOOKUP(E3631,E$1:E3630,1,FALSE()))),"OLD",IF(AND(E3631&lt;&gt;"",E3631&lt;&gt;"!!!"),"NEW","")))</f>
        <v> </v>
      </c>
      <c r="G3631" s="23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4" t="str">
        <f>IF(J3631&lt;&gt;1,"",IF(I3631="SBJ","CB","?"))</f>
        <v> </v>
      </c>
      <c r="I3631" s="25" t="str">
        <f>IF(OR(E3631="",E3631="!!!",F3631="NEW"),"",INDEX(B3630:B$2,-1+SUMPRODUCT(MAX(ROW(E3630:E$2)*(E3631=E3630:E$2)))))</f>
        <v> </v>
      </c>
      <c r="J3631" s="25" t="str">
        <f>IF(OR(E3631="",E3631="!!!",F3631="NEW"),"",COUNTBLANK(OFFSET(A$1,,,SUMPRODUCT(MAX(ROW(E$2:E3631)*(E3631=E$2:E3631)))))-COUNTBLANK(OFFSET(A$1,,,SUMPRODUCT(MAX(ROW(E$1:E3630)*(E2=E$1:E3630))))))</f>
        <v> </v>
      </c>
      <c r="K3631" s="25" t="str">
        <f>IF(OR(E3631="",E3631="!!!",F3631="NEW"),"",INDEX(J$1:J3630,SUMPRODUCT(MAX(ROW(E$1:E3630)*(E3631=E$1:E3630)))))</f>
        <v> </v>
      </c>
      <c r="L3631" s="26"/>
    </row>
    <row r="3632" spans="1:12">
      <c r="A3632" s="20" t="s">
        <v>722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 t="s">
        <v>690</v>
      </c>
      <c r="E3633" s="21">
        <f>IF(D3633="?OLD","!!!","")</f>
        <v/>
      </c>
      <c r="F3633" s="22" t="str">
        <f>IF(OR(E3633="",E3633="!!!"),"",IF(NOT(ISNA(VLOOKUP(E3633,E$1:E3632,1,FALSE()))),"OLD",IF(AND(E3633&lt;&gt;"",E3633&lt;&gt;"!!!"),"NEW","")))</f>
        <v> </v>
      </c>
      <c r="G3633" s="23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4" t="str">
        <f>IF(J3633&lt;&gt;1,"",IF(I3633="SBJ","CB","?"))</f>
        <v> </v>
      </c>
      <c r="I3633" s="25" t="str">
        <f>IF(OR(E3633="",E3633="!!!",F3633="NEW"),"",INDEX(B3632:B$2,-1+SUMPRODUCT(MAX(ROW(E3632:E$2)*(E3633=E3632:E$2)))))</f>
        <v> </v>
      </c>
      <c r="J3633" s="25" t="str">
        <f>IF(OR(E3633="",E3633="!!!",F3633="NEW"),"",COUNTBLANK(OFFSET(A$1,,,SUMPRODUCT(MAX(ROW(E$2:E3633)*(E3633=E$2:E3633)))))-COUNTBLANK(OFFSET(A$1,,,SUMPRODUCT(MAX(ROW(E$1:E3632)*(E2=E$1:E3632))))))</f>
        <v> </v>
      </c>
      <c r="K3633" s="25" t="str">
        <f>IF(OR(E3633="",E3633="!!!",F3633="NEW"),"",INDEX(J$1:J3632,SUMPRODUCT(MAX(ROW(E$1:E3632)*(E3633=E$1:E3632)))))</f>
        <v> </v>
      </c>
      <c r="L3633" s="26"/>
    </row>
    <row r="3634" spans="1:12">
      <c r="A3634" s="20" t="s">
        <v>247</v>
      </c>
      <c r="B3634" s="27" t="s">
        <v>716</v>
      </c>
      <c r="C3634" s="27" t="s">
        <v>693</v>
      </c>
      <c r="D3634" s="27" t="s">
        <v>694</v>
      </c>
      <c r="E3634" s="21">
        <f>IF(D3634="?OLD","!!!","")</f>
        <v/>
      </c>
      <c r="F3634" s="22" t="str">
        <f>IF(OR(E3634="",E3634="!!!"),"",IF(NOT(ISNA(VLOOKUP(E3634,E$1:E3633,1,FALSE()))),"OLD",IF(AND(E3634&lt;&gt;"",E3634&lt;&gt;"!!!"),"NEW","")))</f>
        <v> </v>
      </c>
      <c r="G3634" s="23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4" t="str">
        <f>IF(J3634&lt;&gt;1,"",IF(I3634="SBJ","CB","?"))</f>
        <v> </v>
      </c>
      <c r="I3634" s="25" t="str">
        <f>IF(OR(E3634="",E3634="!!!",F3634="NEW"),"",INDEX(B3633:B$2,-1+SUMPRODUCT(MAX(ROW(E3633:E$2)*(E3634=E3633:E$2)))))</f>
        <v> </v>
      </c>
      <c r="J3634" s="25" t="str">
        <f>IF(OR(E3634="",E3634="!!!",F3634="NEW"),"",COUNTBLANK(OFFSET(A$1,,,SUMPRODUCT(MAX(ROW(E$2:E3634)*(E3634=E$2:E3634)))))-COUNTBLANK(OFFSET(A$1,,,SUMPRODUCT(MAX(ROW(E$1:E3633)*(E2=E$1:E3633))))))</f>
        <v> </v>
      </c>
      <c r="K3634" s="25" t="str">
        <f>IF(OR(E3634="",E3634="!!!",F3634="NEW"),"",INDEX(J$1:J3633,SUMPRODUCT(MAX(ROW(E$1:E3633)*(E3634=E$1:E3633)))))</f>
        <v> </v>
      </c>
      <c r="L3634" s="26"/>
    </row>
    <row r="3635" spans="1:12">
      <c r="A3635" s="20" t="s">
        <v>810</v>
      </c>
      <c r="E3635" s="21">
        <f>IF(D3635="?OLD","!!!","")</f>
        <v/>
      </c>
      <c r="F3635" s="22" t="str">
        <f>IF(OR(E3635="",E3635="!!!"),"",IF(NOT(ISNA(VLOOKUP(E3635,E$1:E3634,1,FALSE()))),"OLD",IF(AND(E3635&lt;&gt;"",E3635&lt;&gt;"!!!"),"NEW","")))</f>
        <v> </v>
      </c>
      <c r="G3635" s="23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4" t="str">
        <f>IF(J3635&lt;&gt;1,"",IF(I3635="SBJ","CB","?"))</f>
        <v> </v>
      </c>
      <c r="I3635" s="25" t="str">
        <f>IF(OR(E3635="",E3635="!!!",F3635="NEW"),"",INDEX(B3634:B$2,-1+SUMPRODUCT(MAX(ROW(E3634:E$2)*(E3635=E3634:E$2)))))</f>
        <v> </v>
      </c>
      <c r="J3635" s="25" t="str">
        <f>IF(OR(E3635="",E3635="!!!",F3635="NEW"),"",COUNTBLANK(OFFSET(A$1,,,SUMPRODUCT(MAX(ROW(E$2:E3635)*(E3635=E$2:E3635)))))-COUNTBLANK(OFFSET(A$1,,,SUMPRODUCT(MAX(ROW(E$1:E3634)*(E2=E$1:E3634))))))</f>
        <v> </v>
      </c>
      <c r="K3635" s="25" t="str">
        <f>IF(OR(E3635="",E3635="!!!",F3635="NEW"),"",INDEX(J$1:J3634,SUMPRODUCT(MAX(ROW(E$1:E3634)*(E3635=E$1:E3634)))))</f>
        <v> </v>
      </c>
      <c r="L3635" s="26"/>
    </row>
    <row r="3636" spans="1:12">
      <c r="A3636" s="20" t="s">
        <v>1434</v>
      </c>
      <c r="E3636" s="21">
        <f>IF(D3636="?OLD","!!!","")</f>
        <v/>
      </c>
      <c r="F3636" s="22" t="str">
        <f>IF(OR(E3636="",E3636="!!!"),"",IF(NOT(ISNA(VLOOKUP(E3636,E$1:E3635,1,FALSE()))),"OLD",IF(AND(E3636&lt;&gt;"",E3636&lt;&gt;"!!!"),"NEW","")))</f>
        <v> </v>
      </c>
      <c r="G3636" s="23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4" t="str">
        <f>IF(J3636&lt;&gt;1,"",IF(I3636="SBJ","CB","?"))</f>
        <v> </v>
      </c>
      <c r="I3636" s="25" t="str">
        <f>IF(OR(E3636="",E3636="!!!",F3636="NEW"),"",INDEX(B3635:B$2,-1+SUMPRODUCT(MAX(ROW(E3635:E$2)*(E3636=E3635:E$2)))))</f>
        <v> </v>
      </c>
      <c r="J3636" s="25" t="str">
        <f>IF(OR(E3636="",E3636="!!!",F3636="NEW"),"",COUNTBLANK(OFFSET(A$1,,,SUMPRODUCT(MAX(ROW(E$2:E3636)*(E3636=E$2:E3636)))))-COUNTBLANK(OFFSET(A$1,,,SUMPRODUCT(MAX(ROW(E$1:E3635)*(E2=E$1:E3635))))))</f>
        <v> </v>
      </c>
      <c r="K3636" s="25" t="str">
        <f>IF(OR(E3636="",E3636="!!!",F3636="NEW"),"",INDEX(J$1:J3635,SUMPRODUCT(MAX(ROW(E$1:E3635)*(E3636=E$1:E3635)))))</f>
        <v> </v>
      </c>
      <c r="L3636" s="26"/>
    </row>
    <row r="3637" spans="1:12">
      <c r="A3637" s="20" t="s">
        <v>704</v>
      </c>
      <c r="E3637" s="21">
        <f>IF(D3637="?OLD","!!!","")</f>
        <v/>
      </c>
      <c r="F3637" s="22" t="str">
        <f>IF(OR(E3637="",E3637="!!!"),"",IF(NOT(ISNA(VLOOKUP(E3637,E$1:E3636,1,FALSE()))),"OLD",IF(AND(E3637&lt;&gt;"",E3637&lt;&gt;"!!!"),"NEW","")))</f>
        <v> </v>
      </c>
      <c r="G3637" s="23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4" t="str">
        <f>IF(J3637&lt;&gt;1,"",IF(I3637="SBJ","CB","?"))</f>
        <v> </v>
      </c>
      <c r="I3637" s="25" t="str">
        <f>IF(OR(E3637="",E3637="!!!",F3637="NEW"),"",INDEX(B3636:B$2,-1+SUMPRODUCT(MAX(ROW(E3636:E$2)*(E3637=E3636:E$2)))))</f>
        <v> </v>
      </c>
      <c r="J3637" s="25" t="str">
        <f>IF(OR(E3637="",E3637="!!!",F3637="NEW"),"",COUNTBLANK(OFFSET(A$1,,,SUMPRODUCT(MAX(ROW(E$2:E3637)*(E3637=E$2:E3637)))))-COUNTBLANK(OFFSET(A$1,,,SUMPRODUCT(MAX(ROW(E$1:E3636)*(E2=E$1:E3636))))))</f>
        <v> </v>
      </c>
      <c r="K3637" s="25" t="str">
        <f>IF(OR(E3637="",E3637="!!!",F3637="NEW"),"",INDEX(J$1:J3636,SUMPRODUCT(MAX(ROW(E$1:E3636)*(E3637=E$1:E3636)))))</f>
        <v> </v>
      </c>
      <c r="L3637" s="26"/>
    </row>
    <row r="3638" spans="1:12">
      <c r="A3638" s="20"/>
    </row>
    <row r="3639" spans="1:12">
      <c r="A3639" s="20" t="s">
        <v>1643</v>
      </c>
    </row>
    <row r="3640" spans="1:12">
      <c r="A3640" s="20" t="s">
        <v>1085</v>
      </c>
      <c r="E3640" s="21">
        <f>IF(D3640="?OLD","!!!","")</f>
        <v/>
      </c>
      <c r="F3640" s="22" t="str">
        <f>IF(OR(E3640="",E3640="!!!"),"",IF(NOT(ISNA(VLOOKUP(E3640,E$1:E3639,1,FALSE()))),"OLD",IF(AND(E3640&lt;&gt;"",E3640&lt;&gt;"!!!"),"NEW","")))</f>
        <v> </v>
      </c>
      <c r="G3640" s="23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4" t="str">
        <f>IF(J3640&lt;&gt;1,"",IF(I3640="SBJ","CB","?"))</f>
        <v> </v>
      </c>
      <c r="I3640" s="25" t="str">
        <f>IF(OR(E3640="",E3640="!!!",F3640="NEW"),"",INDEX(B3639:B$2,-1+SUMPRODUCT(MAX(ROW(E3639:E$2)*(E3640=E3639:E$2)))))</f>
        <v> </v>
      </c>
      <c r="J3640" s="25" t="str">
        <f>IF(OR(E3640="",E3640="!!!",F3640="NEW"),"",COUNTBLANK(OFFSET(A$1,,,SUMPRODUCT(MAX(ROW(E$2:E3640)*(E3640=E$2:E3640)))))-COUNTBLANK(OFFSET(A$1,,,SUMPRODUCT(MAX(ROW(E$1:E3639)*(E2=E$1:E3639))))))</f>
        <v> </v>
      </c>
      <c r="K3640" s="25" t="str">
        <f>IF(OR(E3640="",E3640="!!!",F3640="NEW"),"",INDEX(J$1:J3639,SUMPRODUCT(MAX(ROW(E$1:E3639)*(E3640=E$1:E3639)))))</f>
        <v> </v>
      </c>
      <c r="L3640" s="26"/>
    </row>
    <row r="3641" spans="1:12">
      <c r="A3641" s="20" t="s">
        <v>739</v>
      </c>
      <c r="E3641" s="21">
        <f>IF(D3641="?OLD","!!!","")</f>
        <v/>
      </c>
      <c r="F3641" s="22" t="str">
        <f>IF(OR(E3641="",E3641="!!!"),"",IF(NOT(ISNA(VLOOKUP(E3641,E$1:E3640,1,FALSE()))),"OLD",IF(AND(E3641&lt;&gt;"",E3641&lt;&gt;"!!!"),"NEW","")))</f>
        <v> </v>
      </c>
      <c r="G3641" s="23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4" t="str">
        <f>IF(J3641&lt;&gt;1,"",IF(I3641="SBJ","CB","?"))</f>
        <v> </v>
      </c>
      <c r="I3641" s="25" t="str">
        <f>IF(OR(E3641="",E3641="!!!",F3641="NEW"),"",INDEX(B3640:B$2,-1+SUMPRODUCT(MAX(ROW(E3640:E$2)*(E3641=E3640:E$2)))))</f>
        <v> </v>
      </c>
      <c r="J3641" s="25" t="str">
        <f>IF(OR(E3641="",E3641="!!!",F3641="NEW"),"",COUNTBLANK(OFFSET(A$1,,,SUMPRODUCT(MAX(ROW(E$2:E3641)*(E3641=E$2:E3641)))))-COUNTBLANK(OFFSET(A$1,,,SUMPRODUCT(MAX(ROW(E$1:E3640)*(E2=E$1:E3640))))))</f>
        <v> </v>
      </c>
      <c r="K3641" s="25" t="str">
        <f>IF(OR(E3641="",E3641="!!!",F3641="NEW"),"",INDEX(J$1:J3640,SUMPRODUCT(MAX(ROW(E$1:E3640)*(E3641=E$1:E3640)))))</f>
        <v> </v>
      </c>
      <c r="L3641" s="26"/>
    </row>
    <row r="3642" spans="1:12">
      <c r="A3642" s="20" t="s">
        <v>1515</v>
      </c>
      <c r="B3642" s="27" t="s">
        <v>692</v>
      </c>
      <c r="C3642" s="27" t="s">
        <v>771</v>
      </c>
      <c r="E3642" s="21">
        <f>IF(D3642="?OLD","!!!","")</f>
        <v/>
      </c>
      <c r="F3642" s="22" t="str">
        <f>IF(OR(E3642="",E3642="!!!"),"",IF(NOT(ISNA(VLOOKUP(E3642,E$1:E3641,1,FALSE()))),"OLD",IF(AND(E3642&lt;&gt;"",E3642&lt;&gt;"!!!"),"NEW","")))</f>
        <v> </v>
      </c>
      <c r="G3642" s="23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4" t="str">
        <f>IF(J3642&lt;&gt;1,"",IF(I3642="SBJ","CB","?"))</f>
        <v> </v>
      </c>
      <c r="I3642" s="25" t="str">
        <f>IF(OR(E3642="",E3642="!!!",F3642="NEW"),"",INDEX(B3641:B$2,-1+SUMPRODUCT(MAX(ROW(E3641:E$2)*(E3642=E3641:E$2)))))</f>
        <v> </v>
      </c>
      <c r="J3642" s="25" t="str">
        <f>IF(OR(E3642="",E3642="!!!",F3642="NEW"),"",COUNTBLANK(OFFSET(A$1,,,SUMPRODUCT(MAX(ROW(E$2:E3642)*(E3642=E$2:E3642)))))-COUNTBLANK(OFFSET(A$1,,,SUMPRODUCT(MAX(ROW(E$1:E3641)*(E2=E$1:E3641))))))</f>
        <v> </v>
      </c>
      <c r="K3642" s="25" t="str">
        <f>IF(OR(E3642="",E3642="!!!",F3642="NEW"),"",INDEX(J$1:J3641,SUMPRODUCT(MAX(ROW(E$1:E3641)*(E3642=E$1:E3641)))))</f>
        <v> </v>
      </c>
      <c r="L3642" s="26"/>
    </row>
    <row r="3643" spans="1:12">
      <c r="A3643" s="20" t="s">
        <v>1644</v>
      </c>
      <c r="E3643" s="21">
        <f>IF(D3643="?OLD","!!!","")</f>
        <v/>
      </c>
      <c r="F3643" s="22" t="str">
        <f>IF(OR(E3643="",E3643="!!!"),"",IF(NOT(ISNA(VLOOKUP(E3643,E$1:E3642,1,FALSE()))),"OLD",IF(AND(E3643&lt;&gt;"",E3643&lt;&gt;"!!!"),"NEW","")))</f>
        <v> </v>
      </c>
      <c r="G3643" s="23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4" t="str">
        <f>IF(J3643&lt;&gt;1,"",IF(I3643="SBJ","CB","?"))</f>
        <v> </v>
      </c>
      <c r="I3643" s="25" t="str">
        <f>IF(OR(E3643="",E3643="!!!",F3643="NEW"),"",INDEX(B3642:B$2,-1+SUMPRODUCT(MAX(ROW(E3642:E$2)*(E3643=E3642:E$2)))))</f>
        <v> </v>
      </c>
      <c r="J3643" s="25" t="str">
        <f>IF(OR(E3643="",E3643="!!!",F3643="NEW"),"",COUNTBLANK(OFFSET(A$1,,,SUMPRODUCT(MAX(ROW(E$2:E3643)*(E3643=E$2:E3643)))))-COUNTBLANK(OFFSET(A$1,,,SUMPRODUCT(MAX(ROW(E$1:E3642)*(E2=E$1:E3642))))))</f>
        <v> </v>
      </c>
      <c r="K3643" s="25" t="str">
        <f>IF(OR(E3643="",E3643="!!!",F3643="NEW"),"",INDEX(J$1:J3642,SUMPRODUCT(MAX(ROW(E$1:E3642)*(E3643=E$1:E3642)))))</f>
        <v> </v>
      </c>
      <c r="L3643" s="26"/>
    </row>
    <row r="3644" spans="1:12">
      <c r="A3644" s="20" t="s">
        <v>722</v>
      </c>
      <c r="E3644" s="21">
        <f>IF(D3644="?OLD","!!!","")</f>
        <v/>
      </c>
      <c r="F3644" s="22" t="str">
        <f>IF(OR(E3644="",E3644="!!!"),"",IF(NOT(ISNA(VLOOKUP(E3644,E$1:E3643,1,FALSE()))),"OLD",IF(AND(E3644&lt;&gt;"",E3644&lt;&gt;"!!!"),"NEW","")))</f>
        <v> </v>
      </c>
      <c r="G3644" s="23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4" t="str">
        <f>IF(J3644&lt;&gt;1,"",IF(I3644="SBJ","CB","?"))</f>
        <v> </v>
      </c>
      <c r="I3644" s="25" t="str">
        <f>IF(OR(E3644="",E3644="!!!",F3644="NEW"),"",INDEX(B3643:B$2,-1+SUMPRODUCT(MAX(ROW(E3643:E$2)*(E3644=E3643:E$2)))))</f>
        <v> </v>
      </c>
      <c r="J3644" s="25" t="str">
        <f>IF(OR(E3644="",E3644="!!!",F3644="NEW"),"",COUNTBLANK(OFFSET(A$1,,,SUMPRODUCT(MAX(ROW(E$2:E3644)*(E3644=E$2:E3644)))))-COUNTBLANK(OFFSET(A$1,,,SUMPRODUCT(MAX(ROW(E$1:E3643)*(E2=E$1:E3643))))))</f>
        <v> </v>
      </c>
      <c r="K3644" s="25" t="str">
        <f>IF(OR(E3644="",E3644="!!!",F3644="NEW"),"",INDEX(J$1:J3643,SUMPRODUCT(MAX(ROW(E$1:E3643)*(E3644=E$1:E3643)))))</f>
        <v> </v>
      </c>
      <c r="L3644" s="26"/>
    </row>
    <row r="3645" spans="1:12">
      <c r="A3645" s="20" t="s">
        <v>739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1645</v>
      </c>
      <c r="B3646" s="27" t="s">
        <v>698</v>
      </c>
      <c r="C3646" s="27" t="s">
        <v>771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878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704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/>
    </row>
    <row r="3650" spans="1:12">
      <c r="A3650" s="20" t="s">
        <v>1646</v>
      </c>
    </row>
    <row r="3651" spans="1:12">
      <c r="A3651" s="20" t="s">
        <v>1491</v>
      </c>
      <c r="B3651" s="27" t="s">
        <v>692</v>
      </c>
      <c r="C3651" s="27" t="s">
        <v>789</v>
      </c>
      <c r="D3651" s="27" t="s">
        <v>694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 t="s">
        <v>818</v>
      </c>
      <c r="E3652" s="21">
        <f>IF(D3652="?OLD","!!!","")</f>
        <v/>
      </c>
      <c r="F3652" s="22" t="str">
        <f>IF(OR(E3652="",E3652="!!!"),"",IF(NOT(ISNA(VLOOKUP(E3652,E$1:E3651,1,FALSE()))),"OLD",IF(AND(E3652&lt;&gt;"",E3652&lt;&gt;"!!!"),"NEW","")))</f>
        <v> </v>
      </c>
      <c r="G3652" s="23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4" t="str">
        <f>IF(J3652&lt;&gt;1,"",IF(I3652="SBJ","CB","?"))</f>
        <v> </v>
      </c>
      <c r="I3652" s="25" t="str">
        <f>IF(OR(E3652="",E3652="!!!",F3652="NEW"),"",INDEX(B3651:B$2,-1+SUMPRODUCT(MAX(ROW(E3651:E$2)*(E3652=E3651:E$2)))))</f>
        <v> </v>
      </c>
      <c r="J3652" s="25" t="str">
        <f>IF(OR(E3652="",E3652="!!!",F3652="NEW"),"",COUNTBLANK(OFFSET(A$1,,,SUMPRODUCT(MAX(ROW(E$2:E3652)*(E3652=E$2:E3652)))))-COUNTBLANK(OFFSET(A$1,,,SUMPRODUCT(MAX(ROW(E$1:E3651)*(E2=E$1:E3651))))))</f>
        <v> </v>
      </c>
      <c r="K3652" s="25" t="str">
        <f>IF(OR(E3652="",E3652="!!!",F3652="NEW"),"",INDEX(J$1:J3651,SUMPRODUCT(MAX(ROW(E$1:E3651)*(E3652=E$1:E3651)))))</f>
        <v> </v>
      </c>
      <c r="L3652" s="26"/>
    </row>
    <row r="3653" spans="1:12">
      <c r="A3653" s="20" t="s">
        <v>791</v>
      </c>
      <c r="E3653" s="21">
        <f>IF(D3653="?OLD","!!!","")</f>
        <v/>
      </c>
      <c r="F3653" s="22" t="str">
        <f>IF(OR(E3653="",E3653="!!!"),"",IF(NOT(ISNA(VLOOKUP(E3653,E$1:E3652,1,FALSE()))),"OLD",IF(AND(E3653&lt;&gt;"",E3653&lt;&gt;"!!!"),"NEW","")))</f>
        <v> </v>
      </c>
      <c r="G3653" s="23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4" t="str">
        <f>IF(J3653&lt;&gt;1,"",IF(I3653="SBJ","CB","?"))</f>
        <v> </v>
      </c>
      <c r="I3653" s="25" t="str">
        <f>IF(OR(E3653="",E3653="!!!",F3653="NEW"),"",INDEX(B3652:B$2,-1+SUMPRODUCT(MAX(ROW(E3652:E$2)*(E3653=E3652:E$2)))))</f>
        <v> </v>
      </c>
      <c r="J3653" s="25" t="str">
        <f>IF(OR(E3653="",E3653="!!!",F3653="NEW"),"",COUNTBLANK(OFFSET(A$1,,,SUMPRODUCT(MAX(ROW(E$2:E3653)*(E3653=E$2:E3653)))))-COUNTBLANK(OFFSET(A$1,,,SUMPRODUCT(MAX(ROW(E$1:E3652)*(E2=E$1:E3652))))))</f>
        <v> </v>
      </c>
      <c r="K3653" s="25" t="str">
        <f>IF(OR(E3653="",E3653="!!!",F3653="NEW"),"",INDEX(J$1:J3652,SUMPRODUCT(MAX(ROW(E$1:E3652)*(E3653=E$1:E3652)))))</f>
        <v> </v>
      </c>
      <c r="L3653" s="26"/>
    </row>
    <row r="3654" spans="1:12">
      <c r="A3654" s="20" t="s">
        <v>1647</v>
      </c>
      <c r="E3654" s="21">
        <f>IF(D3654="?OLD","!!!","")</f>
        <v/>
      </c>
      <c r="F3654" s="22" t="str">
        <f>IF(OR(E3654="",E3654="!!!"),"",IF(NOT(ISNA(VLOOKUP(E3654,E$1:E3653,1,FALSE()))),"OLD",IF(AND(E3654&lt;&gt;"",E3654&lt;&gt;"!!!"),"NEW","")))</f>
        <v> </v>
      </c>
      <c r="G3654" s="23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4" t="str">
        <f>IF(J3654&lt;&gt;1,"",IF(I3654="SBJ","CB","?"))</f>
        <v> </v>
      </c>
      <c r="I3654" s="25" t="str">
        <f>IF(OR(E3654="",E3654="!!!",F3654="NEW"),"",INDEX(B3653:B$2,-1+SUMPRODUCT(MAX(ROW(E3653:E$2)*(E3654=E3653:E$2)))))</f>
        <v> </v>
      </c>
      <c r="J3654" s="25" t="str">
        <f>IF(OR(E3654="",E3654="!!!",F3654="NEW"),"",COUNTBLANK(OFFSET(A$1,,,SUMPRODUCT(MAX(ROW(E$2:E3654)*(E3654=E$2:E3654)))))-COUNTBLANK(OFFSET(A$1,,,SUMPRODUCT(MAX(ROW(E$1:E3653)*(E2=E$1:E3653))))))</f>
        <v> </v>
      </c>
      <c r="K3654" s="25" t="str">
        <f>IF(OR(E3654="",E3654="!!!",F3654="NEW"),"",INDEX(J$1:J3653,SUMPRODUCT(MAX(ROW(E$1:E3653)*(E3654=E$1:E3653)))))</f>
        <v> </v>
      </c>
      <c r="L3654" s="26"/>
    </row>
    <row r="3655" spans="1:12">
      <c r="A3655" s="20" t="s">
        <v>752</v>
      </c>
      <c r="E3655" s="21">
        <f>IF(D3655="?OLD","!!!","")</f>
        <v/>
      </c>
      <c r="F3655" s="22" t="str">
        <f>IF(OR(E3655="",E3655="!!!"),"",IF(NOT(ISNA(VLOOKUP(E3655,E$1:E3654,1,FALSE()))),"OLD",IF(AND(E3655&lt;&gt;"",E3655&lt;&gt;"!!!"),"NEW","")))</f>
        <v> </v>
      </c>
      <c r="G3655" s="23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4" t="str">
        <f>IF(J3655&lt;&gt;1,"",IF(I3655="SBJ","CB","?"))</f>
        <v> </v>
      </c>
      <c r="I3655" s="25" t="str">
        <f>IF(OR(E3655="",E3655="!!!",F3655="NEW"),"",INDEX(B3654:B$2,-1+SUMPRODUCT(MAX(ROW(E3654:E$2)*(E3655=E3654:E$2)))))</f>
        <v> </v>
      </c>
      <c r="J3655" s="25" t="str">
        <f>IF(OR(E3655="",E3655="!!!",F3655="NEW"),"",COUNTBLANK(OFFSET(A$1,,,SUMPRODUCT(MAX(ROW(E$2:E3655)*(E3655=E$2:E3655)))))-COUNTBLANK(OFFSET(A$1,,,SUMPRODUCT(MAX(ROW(E$1:E3654)*(E2=E$1:E3654))))))</f>
        <v> </v>
      </c>
      <c r="K3655" s="25" t="str">
        <f>IF(OR(E3655="",E3655="!!!",F3655="NEW"),"",INDEX(J$1:J3654,SUMPRODUCT(MAX(ROW(E$1:E3654)*(E3655=E$1:E3654)))))</f>
        <v> </v>
      </c>
      <c r="L3655" s="26"/>
    </row>
    <row r="3656" spans="1:12">
      <c r="A3656" s="20" t="s">
        <v>756</v>
      </c>
      <c r="E3656" s="21">
        <f>IF(D3656="?OLD","!!!","")</f>
        <v/>
      </c>
      <c r="F3656" s="22" t="str">
        <f>IF(OR(E3656="",E3656="!!!"),"",IF(NOT(ISNA(VLOOKUP(E3656,E$1:E3655,1,FALSE()))),"OLD",IF(AND(E3656&lt;&gt;"",E3656&lt;&gt;"!!!"),"NEW","")))</f>
        <v> </v>
      </c>
      <c r="G3656" s="23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4" t="str">
        <f>IF(J3656&lt;&gt;1,"",IF(I3656="SBJ","CB","?"))</f>
        <v> </v>
      </c>
      <c r="I3656" s="25" t="str">
        <f>IF(OR(E3656="",E3656="!!!",F3656="NEW"),"",INDEX(B3655:B$2,-1+SUMPRODUCT(MAX(ROW(E3655:E$2)*(E3656=E3655:E$2)))))</f>
        <v> </v>
      </c>
      <c r="J3656" s="25" t="str">
        <f>IF(OR(E3656="",E3656="!!!",F3656="NEW"),"",COUNTBLANK(OFFSET(A$1,,,SUMPRODUCT(MAX(ROW(E$2:E3656)*(E3656=E$2:E3656)))))-COUNTBLANK(OFFSET(A$1,,,SUMPRODUCT(MAX(ROW(E$1:E3655)*(E2=E$1:E3655))))))</f>
        <v> </v>
      </c>
      <c r="K3656" s="25" t="str">
        <f>IF(OR(E3656="",E3656="!!!",F3656="NEW"),"",INDEX(J$1:J3655,SUMPRODUCT(MAX(ROW(E$1:E3655)*(E3656=E$1:E3655)))))</f>
        <v> </v>
      </c>
      <c r="L3656" s="26"/>
    </row>
    <row r="3657" spans="1:12">
      <c r="A3657" s="20" t="s">
        <v>1424</v>
      </c>
      <c r="B3657" s="27" t="s">
        <v>703</v>
      </c>
      <c r="C3657" s="27" t="s">
        <v>693</v>
      </c>
      <c r="D3657" s="27" t="s">
        <v>694</v>
      </c>
      <c r="E3657" s="21">
        <f>IF(D3657="?OLD","!!!","")</f>
        <v/>
      </c>
      <c r="F3657" s="22" t="str">
        <f>IF(OR(E3657="",E3657="!!!"),"",IF(NOT(ISNA(VLOOKUP(E3657,E$1:E3656,1,FALSE()))),"OLD",IF(AND(E3657&lt;&gt;"",E3657&lt;&gt;"!!!"),"NEW","")))</f>
        <v> </v>
      </c>
      <c r="G3657" s="23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4" t="str">
        <f>IF(J3657&lt;&gt;1,"",IF(I3657="SBJ","CB","?"))</f>
        <v> </v>
      </c>
      <c r="I3657" s="25" t="str">
        <f>IF(OR(E3657="",E3657="!!!",F3657="NEW"),"",INDEX(B3656:B$2,-1+SUMPRODUCT(MAX(ROW(E3656:E$2)*(E3657=E3656:E$2)))))</f>
        <v> </v>
      </c>
      <c r="J3657" s="25" t="str">
        <f>IF(OR(E3657="",E3657="!!!",F3657="NEW"),"",COUNTBLANK(OFFSET(A$1,,,SUMPRODUCT(MAX(ROW(E$2:E3657)*(E3657=E$2:E3657)))))-COUNTBLANK(OFFSET(A$1,,,SUMPRODUCT(MAX(ROW(E$1:E3656)*(E2=E$1:E3656))))))</f>
        <v> </v>
      </c>
      <c r="K3657" s="25" t="str">
        <f>IF(OR(E3657="",E3657="!!!",F3657="NEW"),"",INDEX(J$1:J3656,SUMPRODUCT(MAX(ROW(E$1:E3656)*(E3657=E$1:E3656)))))</f>
        <v> </v>
      </c>
      <c r="L3657" s="26"/>
    </row>
    <row r="3658" spans="1:12">
      <c r="A3658" s="20" t="s">
        <v>704</v>
      </c>
      <c r="E3658" s="21">
        <f>IF(D3658="?OLD","!!!","")</f>
        <v/>
      </c>
      <c r="F3658" s="22" t="str">
        <f>IF(OR(E3658="",E3658="!!!"),"",IF(NOT(ISNA(VLOOKUP(E3658,E$1:E3657,1,FALSE()))),"OLD",IF(AND(E3658&lt;&gt;"",E3658&lt;&gt;"!!!"),"NEW","")))</f>
        <v> </v>
      </c>
      <c r="G3658" s="23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4" t="str">
        <f>IF(J3658&lt;&gt;1,"",IF(I3658="SBJ","CB","?"))</f>
        <v> </v>
      </c>
      <c r="I3658" s="25" t="str">
        <f>IF(OR(E3658="",E3658="!!!",F3658="NEW"),"",INDEX(B3657:B$2,-1+SUMPRODUCT(MAX(ROW(E3657:E$2)*(E3658=E3657:E$2)))))</f>
        <v> </v>
      </c>
      <c r="J3658" s="25" t="str">
        <f>IF(OR(E3658="",E3658="!!!",F3658="NEW"),"",COUNTBLANK(OFFSET(A$1,,,SUMPRODUCT(MAX(ROW(E$2:E3658)*(E3658=E$2:E3658)))))-COUNTBLANK(OFFSET(A$1,,,SUMPRODUCT(MAX(ROW(E$1:E3657)*(E2=E$1:E3657))))))</f>
        <v> </v>
      </c>
      <c r="K3658" s="25" t="str">
        <f>IF(OR(E3658="",E3658="!!!",F3658="NEW"),"",INDEX(J$1:J3657,SUMPRODUCT(MAX(ROW(E$1:E3657)*(E3658=E$1:E3657)))))</f>
        <v> </v>
      </c>
      <c r="L3658" s="26"/>
    </row>
    <row r="3659" spans="1:12">
      <c r="A3659" s="20"/>
    </row>
    <row r="3660" spans="1:12">
      <c r="A3660" s="20" t="s">
        <v>1648</v>
      </c>
    </row>
    <row r="3661" spans="1:12">
      <c r="A3661" s="20" t="s">
        <v>628</v>
      </c>
      <c r="B3661" s="27" t="s">
        <v>703</v>
      </c>
      <c r="C3661" s="27" t="s">
        <v>699</v>
      </c>
      <c r="E3661" s="21">
        <f>IF(D3661="?OLD","!!!","")</f>
        <v/>
      </c>
      <c r="F3661" s="22" t="str">
        <f>IF(OR(E3661="",E3661="!!!"),"",IF(NOT(ISNA(VLOOKUP(E3661,E$1:E3660,1,FALSE()))),"OLD",IF(AND(E3661&lt;&gt;"",E3661&lt;&gt;"!!!"),"NEW","")))</f>
        <v> </v>
      </c>
      <c r="G3661" s="23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4" t="str">
        <f>IF(J3661&lt;&gt;1,"",IF(I3661="SBJ","CB","?"))</f>
        <v> </v>
      </c>
      <c r="I3661" s="25" t="str">
        <f>IF(OR(E3661="",E3661="!!!",F3661="NEW"),"",INDEX(B3660:B$2,-1+SUMPRODUCT(MAX(ROW(E3660:E$2)*(E3661=E3660:E$2)))))</f>
        <v> </v>
      </c>
      <c r="J3661" s="25" t="str">
        <f>IF(OR(E3661="",E3661="!!!",F3661="NEW"),"",COUNTBLANK(OFFSET(A$1,,,SUMPRODUCT(MAX(ROW(E$2:E3661)*(E3661=E$2:E3661)))))-COUNTBLANK(OFFSET(A$1,,,SUMPRODUCT(MAX(ROW(E$1:E3660)*(E2=E$1:E3660))))))</f>
        <v> </v>
      </c>
      <c r="K3661" s="25" t="str">
        <f>IF(OR(E3661="",E3661="!!!",F3661="NEW"),"",INDEX(J$1:J3660,SUMPRODUCT(MAX(ROW(E$1:E3660)*(E3661=E$1:E3660)))))</f>
        <v> </v>
      </c>
      <c r="L3661" s="26"/>
    </row>
    <row r="3662" spans="1:12">
      <c r="A3662" s="20" t="s">
        <v>861</v>
      </c>
      <c r="E3662" s="21">
        <f>IF(D3662="?OLD","!!!","")</f>
        <v/>
      </c>
      <c r="F3662" s="22" t="str">
        <f>IF(OR(E3662="",E3662="!!!"),"",IF(NOT(ISNA(VLOOKUP(E3662,E$1:E3661,1,FALSE()))),"OLD",IF(AND(E3662&lt;&gt;"",E3662&lt;&gt;"!!!"),"NEW","")))</f>
        <v> </v>
      </c>
      <c r="G3662" s="23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4" t="str">
        <f>IF(J3662&lt;&gt;1,"",IF(I3662="SBJ","CB","?"))</f>
        <v> </v>
      </c>
      <c r="I3662" s="25" t="str">
        <f>IF(OR(E3662="",E3662="!!!",F3662="NEW"),"",INDEX(B3661:B$2,-1+SUMPRODUCT(MAX(ROW(E3661:E$2)*(E3662=E3661:E$2)))))</f>
        <v> </v>
      </c>
      <c r="J3662" s="25" t="str">
        <f>IF(OR(E3662="",E3662="!!!",F3662="NEW"),"",COUNTBLANK(OFFSET(A$1,,,SUMPRODUCT(MAX(ROW(E$2:E3662)*(E3662=E$2:E3662)))))-COUNTBLANK(OFFSET(A$1,,,SUMPRODUCT(MAX(ROW(E$1:E3661)*(E2=E$1:E3661))))))</f>
        <v> </v>
      </c>
      <c r="K3662" s="25" t="str">
        <f>IF(OR(E3662="",E3662="!!!",F3662="NEW"),"",INDEX(J$1:J3661,SUMPRODUCT(MAX(ROW(E$1:E3661)*(E3662=E$1:E3661)))))</f>
        <v> </v>
      </c>
      <c r="L3662" s="26"/>
    </row>
    <row r="3663" spans="1:12">
      <c r="A3663" s="20" t="s">
        <v>761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1649</v>
      </c>
      <c r="B3664" s="27" t="s">
        <v>703</v>
      </c>
      <c r="C3664" s="27" t="s">
        <v>996</v>
      </c>
      <c r="D3664" s="27" t="s">
        <v>694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 t="s">
        <v>722</v>
      </c>
      <c r="E3665" s="21">
        <f>IF(D3665="?OLD","!!!","")</f>
        <v/>
      </c>
      <c r="F3665" s="22" t="str">
        <f>IF(OR(E3665="",E3665="!!!"),"",IF(NOT(ISNA(VLOOKUP(E3665,E$1:E3664,1,FALSE()))),"OLD",IF(AND(E3665&lt;&gt;"",E3665&lt;&gt;"!!!"),"NEW","")))</f>
        <v> </v>
      </c>
      <c r="G3665" s="23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4" t="str">
        <f>IF(J3665&lt;&gt;1,"",IF(I3665="SBJ","CB","?"))</f>
        <v> </v>
      </c>
      <c r="I3665" s="25" t="str">
        <f>IF(OR(E3665="",E3665="!!!",F3665="NEW"),"",INDEX(B3664:B$2,-1+SUMPRODUCT(MAX(ROW(E3664:E$2)*(E3665=E3664:E$2)))))</f>
        <v> </v>
      </c>
      <c r="J3665" s="25" t="str">
        <f>IF(OR(E3665="",E3665="!!!",F3665="NEW"),"",COUNTBLANK(OFFSET(A$1,,,SUMPRODUCT(MAX(ROW(E$2:E3665)*(E3665=E$2:E3665)))))-COUNTBLANK(OFFSET(A$1,,,SUMPRODUCT(MAX(ROW(E$1:E3664)*(E2=E$1:E3664))))))</f>
        <v> </v>
      </c>
      <c r="K3665" s="25" t="str">
        <f>IF(OR(E3665="",E3665="!!!",F3665="NEW"),"",INDEX(J$1:J3664,SUMPRODUCT(MAX(ROW(E$1:E3664)*(E3665=E$1:E3664)))))</f>
        <v> </v>
      </c>
      <c r="L3665" s="26"/>
    </row>
    <row r="3666" spans="1:12">
      <c r="A3666" s="20" t="s">
        <v>1119</v>
      </c>
      <c r="E3666" s="21">
        <f>IF(D3666="?OLD","!!!","")</f>
        <v/>
      </c>
      <c r="F3666" s="22" t="str">
        <f>IF(OR(E3666="",E3666="!!!"),"",IF(NOT(ISNA(VLOOKUP(E3666,E$1:E3665,1,FALSE()))),"OLD",IF(AND(E3666&lt;&gt;"",E3666&lt;&gt;"!!!"),"NEW","")))</f>
        <v> </v>
      </c>
      <c r="G3666" s="23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4" t="str">
        <f>IF(J3666&lt;&gt;1,"",IF(I3666="SBJ","CB","?"))</f>
        <v> </v>
      </c>
      <c r="I3666" s="25" t="str">
        <f>IF(OR(E3666="",E3666="!!!",F3666="NEW"),"",INDEX(B3665:B$2,-1+SUMPRODUCT(MAX(ROW(E3665:E$2)*(E3666=E3665:E$2)))))</f>
        <v> </v>
      </c>
      <c r="J3666" s="25" t="str">
        <f>IF(OR(E3666="",E3666="!!!",F3666="NEW"),"",COUNTBLANK(OFFSET(A$1,,,SUMPRODUCT(MAX(ROW(E$2:E3666)*(E3666=E$2:E3666)))))-COUNTBLANK(OFFSET(A$1,,,SUMPRODUCT(MAX(ROW(E$1:E3665)*(E2=E$1:E3665))))))</f>
        <v> </v>
      </c>
      <c r="K3666" s="25" t="str">
        <f>IF(OR(E3666="",E3666="!!!",F3666="NEW"),"",INDEX(J$1:J3665,SUMPRODUCT(MAX(ROW(E$1:E3665)*(E3666=E$1:E3665)))))</f>
        <v> </v>
      </c>
      <c r="L3666" s="26"/>
    </row>
    <row r="3667" spans="1:12">
      <c r="A3667" s="20" t="s">
        <v>219</v>
      </c>
      <c r="E3667" s="21">
        <f>IF(D3667="?OLD","!!!","")</f>
        <v/>
      </c>
      <c r="F3667" s="22" t="str">
        <f>IF(OR(E3667="",E3667="!!!"),"",IF(NOT(ISNA(VLOOKUP(E3667,E$1:E3666,1,FALSE()))),"OLD",IF(AND(E3667&lt;&gt;"",E3667&lt;&gt;"!!!"),"NEW","")))</f>
        <v> </v>
      </c>
      <c r="G3667" s="23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4" t="str">
        <f>IF(J3667&lt;&gt;1,"",IF(I3667="SBJ","CB","?"))</f>
        <v> </v>
      </c>
      <c r="I3667" s="25" t="str">
        <f>IF(OR(E3667="",E3667="!!!",F3667="NEW"),"",INDEX(B3666:B$2,-1+SUMPRODUCT(MAX(ROW(E3666:E$2)*(E3667=E3666:E$2)))))</f>
        <v> </v>
      </c>
      <c r="J3667" s="25" t="str">
        <f>IF(OR(E3667="",E3667="!!!",F3667="NEW"),"",COUNTBLANK(OFFSET(A$1,,,SUMPRODUCT(MAX(ROW(E$2:E3667)*(E3667=E$2:E3667)))))-COUNTBLANK(OFFSET(A$1,,,SUMPRODUCT(MAX(ROW(E$1:E3666)*(E2=E$1:E3666))))))</f>
        <v> </v>
      </c>
      <c r="K3667" s="25" t="str">
        <f>IF(OR(E3667="",E3667="!!!",F3667="NEW"),"",INDEX(J$1:J3666,SUMPRODUCT(MAX(ROW(E$1:E3666)*(E3667=E$1:E3666)))))</f>
        <v> </v>
      </c>
      <c r="L3667" s="26"/>
    </row>
    <row r="3668" spans="1:12">
      <c r="A3668" s="20" t="s">
        <v>1650</v>
      </c>
      <c r="B3668" s="27" t="s">
        <v>713</v>
      </c>
      <c r="C3668" s="27" t="s">
        <v>693</v>
      </c>
      <c r="D3668" s="27" t="s">
        <v>694</v>
      </c>
      <c r="E3668" s="21">
        <f>IF(D3668="?OLD","!!!","")</f>
        <v/>
      </c>
      <c r="F3668" s="22" t="str">
        <f>IF(OR(E3668="",E3668="!!!"),"",IF(NOT(ISNA(VLOOKUP(E3668,E$1:E3667,1,FALSE()))),"OLD",IF(AND(E3668&lt;&gt;"",E3668&lt;&gt;"!!!"),"NEW","")))</f>
        <v> </v>
      </c>
      <c r="G3668" s="23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4" t="str">
        <f>IF(J3668&lt;&gt;1,"",IF(I3668="SBJ","CB","?"))</f>
        <v> </v>
      </c>
      <c r="I3668" s="25" t="str">
        <f>IF(OR(E3668="",E3668="!!!",F3668="NEW"),"",INDEX(B3667:B$2,-1+SUMPRODUCT(MAX(ROW(E3667:E$2)*(E3668=E3667:E$2)))))</f>
        <v> </v>
      </c>
      <c r="J3668" s="25" t="str">
        <f>IF(OR(E3668="",E3668="!!!",F3668="NEW"),"",COUNTBLANK(OFFSET(A$1,,,SUMPRODUCT(MAX(ROW(E$2:E3668)*(E3668=E$2:E3668)))))-COUNTBLANK(OFFSET(A$1,,,SUMPRODUCT(MAX(ROW(E$1:E3667)*(E2=E$1:E3667))))))</f>
        <v> </v>
      </c>
      <c r="K3668" s="25" t="str">
        <f>IF(OR(E3668="",E3668="!!!",F3668="NEW"),"",INDEX(J$1:J3667,SUMPRODUCT(MAX(ROW(E$1:E3667)*(E3668=E$1:E3667)))))</f>
        <v> </v>
      </c>
      <c r="L3668" s="26"/>
    </row>
    <row r="3669" spans="1:12">
      <c r="A3669" s="20" t="s">
        <v>1651</v>
      </c>
      <c r="E3669" s="21">
        <f>IF(D3669="?OLD","!!!","")</f>
        <v/>
      </c>
      <c r="F3669" s="22" t="str">
        <f>IF(OR(E3669="",E3669="!!!"),"",IF(NOT(ISNA(VLOOKUP(E3669,E$1:E3668,1,FALSE()))),"OLD",IF(AND(E3669&lt;&gt;"",E3669&lt;&gt;"!!!"),"NEW","")))</f>
        <v> </v>
      </c>
      <c r="G3669" s="23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4" t="str">
        <f>IF(J3669&lt;&gt;1,"",IF(I3669="SBJ","CB","?"))</f>
        <v> </v>
      </c>
      <c r="I3669" s="25" t="str">
        <f>IF(OR(E3669="",E3669="!!!",F3669="NEW"),"",INDEX(B3668:B$2,-1+SUMPRODUCT(MAX(ROW(E3668:E$2)*(E3669=E3668:E$2)))))</f>
        <v> </v>
      </c>
      <c r="J3669" s="25" t="str">
        <f>IF(OR(E3669="",E3669="!!!",F3669="NEW"),"",COUNTBLANK(OFFSET(A$1,,,SUMPRODUCT(MAX(ROW(E$2:E3669)*(E3669=E$2:E3669)))))-COUNTBLANK(OFFSET(A$1,,,SUMPRODUCT(MAX(ROW(E$1:E3668)*(E2=E$1:E3668))))))</f>
        <v> </v>
      </c>
      <c r="K3669" s="25" t="str">
        <f>IF(OR(E3669="",E3669="!!!",F3669="NEW"),"",INDEX(J$1:J3668,SUMPRODUCT(MAX(ROW(E$1:E3668)*(E3669=E$1:E3668)))))</f>
        <v> </v>
      </c>
      <c r="L3669" s="26"/>
    </row>
    <row r="3670" spans="1:12">
      <c r="A3670" s="20" t="s">
        <v>810</v>
      </c>
      <c r="E3670" s="21">
        <f>IF(D3670="?OLD","!!!","")</f>
        <v/>
      </c>
      <c r="F3670" s="22" t="str">
        <f>IF(OR(E3670="",E3670="!!!"),"",IF(NOT(ISNA(VLOOKUP(E3670,E$1:E3669,1,FALSE()))),"OLD",IF(AND(E3670&lt;&gt;"",E3670&lt;&gt;"!!!"),"NEW","")))</f>
        <v> </v>
      </c>
      <c r="G3670" s="23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4" t="str">
        <f>IF(J3670&lt;&gt;1,"",IF(I3670="SBJ","CB","?"))</f>
        <v> </v>
      </c>
      <c r="I3670" s="25" t="str">
        <f>IF(OR(E3670="",E3670="!!!",F3670="NEW"),"",INDEX(B3669:B$2,-1+SUMPRODUCT(MAX(ROW(E3669:E$2)*(E3670=E3669:E$2)))))</f>
        <v> </v>
      </c>
      <c r="J3670" s="25" t="str">
        <f>IF(OR(E3670="",E3670="!!!",F3670="NEW"),"",COUNTBLANK(OFFSET(A$1,,,SUMPRODUCT(MAX(ROW(E$2:E3670)*(E3670=E$2:E3670)))))-COUNTBLANK(OFFSET(A$1,,,SUMPRODUCT(MAX(ROW(E$1:E3669)*(E2=E$1:E3669))))))</f>
        <v> </v>
      </c>
      <c r="K3670" s="25" t="str">
        <f>IF(OR(E3670="",E3670="!!!",F3670="NEW"),"",INDEX(J$1:J3669,SUMPRODUCT(MAX(ROW(E$1:E3669)*(E3670=E$1:E3669)))))</f>
        <v> </v>
      </c>
      <c r="L3670" s="26"/>
    </row>
    <row r="3671" spans="1:12">
      <c r="A3671" s="20" t="s">
        <v>745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690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866</v>
      </c>
      <c r="B3673" s="27" t="s">
        <v>746</v>
      </c>
      <c r="C3673" s="27" t="s">
        <v>693</v>
      </c>
      <c r="D3673" s="27" t="s">
        <v>694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 t="s">
        <v>722</v>
      </c>
      <c r="E3674" s="21">
        <f>IF(D3674="?OLD","!!!","")</f>
        <v/>
      </c>
      <c r="F3674" s="22" t="str">
        <f>IF(OR(E3674="",E3674="!!!"),"",IF(NOT(ISNA(VLOOKUP(E3674,E$1:E3673,1,FALSE()))),"OLD",IF(AND(E3674&lt;&gt;"",E3674&lt;&gt;"!!!"),"NEW","")))</f>
        <v> </v>
      </c>
      <c r="G3674" s="23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4" t="str">
        <f>IF(J3674&lt;&gt;1,"",IF(I3674="SBJ","CB","?"))</f>
        <v> </v>
      </c>
      <c r="I3674" s="25" t="str">
        <f>IF(OR(E3674="",E3674="!!!",F3674="NEW"),"",INDEX(B3673:B$2,-1+SUMPRODUCT(MAX(ROW(E3673:E$2)*(E3674=E3673:E$2)))))</f>
        <v> </v>
      </c>
      <c r="J3674" s="25" t="str">
        <f>IF(OR(E3674="",E3674="!!!",F3674="NEW"),"",COUNTBLANK(OFFSET(A$1,,,SUMPRODUCT(MAX(ROW(E$2:E3674)*(E3674=E$2:E3674)))))-COUNTBLANK(OFFSET(A$1,,,SUMPRODUCT(MAX(ROW(E$1:E3673)*(E2=E$1:E3673))))))</f>
        <v> </v>
      </c>
      <c r="K3674" s="25" t="str">
        <f>IF(OR(E3674="",E3674="!!!",F3674="NEW"),"",INDEX(J$1:J3673,SUMPRODUCT(MAX(ROW(E$1:E3673)*(E3674=E$1:E3673)))))</f>
        <v> </v>
      </c>
      <c r="L3674" s="26"/>
    </row>
    <row r="3675" spans="1:12">
      <c r="A3675" s="20" t="s">
        <v>690</v>
      </c>
      <c r="E3675" s="21">
        <f>IF(D3675="?OLD","!!!","")</f>
        <v/>
      </c>
      <c r="F3675" s="22" t="str">
        <f>IF(OR(E3675="",E3675="!!!"),"",IF(NOT(ISNA(VLOOKUP(E3675,E$1:E3674,1,FALSE()))),"OLD",IF(AND(E3675&lt;&gt;"",E3675&lt;&gt;"!!!"),"NEW","")))</f>
        <v> </v>
      </c>
      <c r="G3675" s="23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4" t="str">
        <f>IF(J3675&lt;&gt;1,"",IF(I3675="SBJ","CB","?"))</f>
        <v> </v>
      </c>
      <c r="I3675" s="25" t="str">
        <f>IF(OR(E3675="",E3675="!!!",F3675="NEW"),"",INDEX(B3674:B$2,-1+SUMPRODUCT(MAX(ROW(E3674:E$2)*(E3675=E3674:E$2)))))</f>
        <v> </v>
      </c>
      <c r="J3675" s="25" t="str">
        <f>IF(OR(E3675="",E3675="!!!",F3675="NEW"),"",COUNTBLANK(OFFSET(A$1,,,SUMPRODUCT(MAX(ROW(E$2:E3675)*(E3675=E$2:E3675)))))-COUNTBLANK(OFFSET(A$1,,,SUMPRODUCT(MAX(ROW(E$1:E3674)*(E2=E$1:E3674))))))</f>
        <v> </v>
      </c>
      <c r="K3675" s="25" t="str">
        <f>IF(OR(E3675="",E3675="!!!",F3675="NEW"),"",INDEX(J$1:J3674,SUMPRODUCT(MAX(ROW(E$1:E3674)*(E3675=E$1:E3674)))))</f>
        <v> </v>
      </c>
      <c r="L3675" s="26"/>
    </row>
    <row r="3676" spans="1:12">
      <c r="A3676" s="20" t="s">
        <v>1652</v>
      </c>
      <c r="B3676" s="27" t="s">
        <v>746</v>
      </c>
      <c r="C3676" s="27" t="s">
        <v>693</v>
      </c>
      <c r="D3676" s="27" t="s">
        <v>694</v>
      </c>
      <c r="E3676" s="21">
        <f>IF(D3676="?OLD","!!!","")</f>
        <v/>
      </c>
      <c r="F3676" s="22" t="str">
        <f>IF(OR(E3676="",E3676="!!!"),"",IF(NOT(ISNA(VLOOKUP(E3676,E$1:E3675,1,FALSE()))),"OLD",IF(AND(E3676&lt;&gt;"",E3676&lt;&gt;"!!!"),"NEW","")))</f>
        <v> </v>
      </c>
      <c r="G3676" s="23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4" t="str">
        <f>IF(J3676&lt;&gt;1,"",IF(I3676="SBJ","CB","?"))</f>
        <v> </v>
      </c>
      <c r="I3676" s="25" t="str">
        <f>IF(OR(E3676="",E3676="!!!",F3676="NEW"),"",INDEX(B3675:B$2,-1+SUMPRODUCT(MAX(ROW(E3675:E$2)*(E3676=E3675:E$2)))))</f>
        <v> </v>
      </c>
      <c r="J3676" s="25" t="str">
        <f>IF(OR(E3676="",E3676="!!!",F3676="NEW"),"",COUNTBLANK(OFFSET(A$1,,,SUMPRODUCT(MAX(ROW(E$2:E3676)*(E3676=E$2:E3676)))))-COUNTBLANK(OFFSET(A$1,,,SUMPRODUCT(MAX(ROW(E$1:E3675)*(E2=E$1:E3675))))))</f>
        <v> </v>
      </c>
      <c r="K3676" s="25" t="str">
        <f>IF(OR(E3676="",E3676="!!!",F3676="NEW"),"",INDEX(J$1:J3675,SUMPRODUCT(MAX(ROW(E$1:E3675)*(E3676=E$1:E3675)))))</f>
        <v> </v>
      </c>
      <c r="L3676" s="26"/>
    </row>
    <row r="3677" spans="1:12">
      <c r="A3677" s="20" t="s">
        <v>722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 t="s">
        <v>690</v>
      </c>
      <c r="E3678" s="21">
        <f>IF(D3678="?OLD","!!!","")</f>
        <v/>
      </c>
      <c r="F3678" s="22" t="str">
        <f>IF(OR(E3678="",E3678="!!!"),"",IF(NOT(ISNA(VLOOKUP(E3678,E$1:E3677,1,FALSE()))),"OLD",IF(AND(E3678&lt;&gt;"",E3678&lt;&gt;"!!!"),"NEW","")))</f>
        <v> </v>
      </c>
      <c r="G3678" s="23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4" t="str">
        <f>IF(J3678&lt;&gt;1,"",IF(I3678="SBJ","CB","?"))</f>
        <v> </v>
      </c>
      <c r="I3678" s="25" t="str">
        <f>IF(OR(E3678="",E3678="!!!",F3678="NEW"),"",INDEX(B3677:B$2,-1+SUMPRODUCT(MAX(ROW(E3677:E$2)*(E3678=E3677:E$2)))))</f>
        <v> </v>
      </c>
      <c r="J3678" s="25" t="str">
        <f>IF(OR(E3678="",E3678="!!!",F3678="NEW"),"",COUNTBLANK(OFFSET(A$1,,,SUMPRODUCT(MAX(ROW(E$2:E3678)*(E3678=E$2:E3678)))))-COUNTBLANK(OFFSET(A$1,,,SUMPRODUCT(MAX(ROW(E$1:E3677)*(E2=E$1:E3677))))))</f>
        <v> </v>
      </c>
      <c r="K3678" s="25" t="str">
        <f>IF(OR(E3678="",E3678="!!!",F3678="NEW"),"",INDEX(J$1:J3677,SUMPRODUCT(MAX(ROW(E$1:E3677)*(E3678=E$1:E3677)))))</f>
        <v> </v>
      </c>
      <c r="L3678" s="26"/>
    </row>
    <row r="3679" spans="1:12">
      <c r="A3679" s="20" t="s">
        <v>1653</v>
      </c>
      <c r="B3679" s="27" t="s">
        <v>749</v>
      </c>
      <c r="C3679" s="27" t="s">
        <v>717</v>
      </c>
      <c r="D3679" s="27" t="s">
        <v>694</v>
      </c>
      <c r="E3679" s="21">
        <f>IF(D3679="?OLD","!!!","")</f>
        <v/>
      </c>
      <c r="F3679" s="22" t="str">
        <f>IF(OR(E3679="",E3679="!!!"),"",IF(NOT(ISNA(VLOOKUP(E3679,E$1:E3678,1,FALSE()))),"OLD",IF(AND(E3679&lt;&gt;"",E3679&lt;&gt;"!!!"),"NEW","")))</f>
        <v> </v>
      </c>
      <c r="G3679" s="23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4" t="str">
        <f>IF(J3679&lt;&gt;1,"",IF(I3679="SBJ","CB","?"))</f>
        <v> </v>
      </c>
      <c r="I3679" s="25" t="str">
        <f>IF(OR(E3679="",E3679="!!!",F3679="NEW"),"",INDEX(B3678:B$2,-1+SUMPRODUCT(MAX(ROW(E3678:E$2)*(E3679=E3678:E$2)))))</f>
        <v> </v>
      </c>
      <c r="J3679" s="25" t="str">
        <f>IF(OR(E3679="",E3679="!!!",F3679="NEW"),"",COUNTBLANK(OFFSET(A$1,,,SUMPRODUCT(MAX(ROW(E$2:E3679)*(E3679=E$2:E3679)))))-COUNTBLANK(OFFSET(A$1,,,SUMPRODUCT(MAX(ROW(E$1:E3678)*(E2=E$1:E3678))))))</f>
        <v> </v>
      </c>
      <c r="K3679" s="25" t="str">
        <f>IF(OR(E3679="",E3679="!!!",F3679="NEW"),"",INDEX(J$1:J3678,SUMPRODUCT(MAX(ROW(E$1:E3678)*(E3679=E$1:E3678)))))</f>
        <v> </v>
      </c>
      <c r="L3679" s="26"/>
    </row>
    <row r="3680" spans="1:12">
      <c r="A3680" s="20" t="s">
        <v>696</v>
      </c>
      <c r="E3680" s="21">
        <f>IF(D3680="?OLD","!!!","")</f>
        <v/>
      </c>
      <c r="F3680" s="22" t="str">
        <f>IF(OR(E3680="",E3680="!!!"),"",IF(NOT(ISNA(VLOOKUP(E3680,E$1:E3679,1,FALSE()))),"OLD",IF(AND(E3680&lt;&gt;"",E3680&lt;&gt;"!!!"),"NEW","")))</f>
        <v> </v>
      </c>
      <c r="G3680" s="23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4" t="str">
        <f>IF(J3680&lt;&gt;1,"",IF(I3680="SBJ","CB","?"))</f>
        <v> </v>
      </c>
      <c r="I3680" s="25" t="str">
        <f>IF(OR(E3680="",E3680="!!!",F3680="NEW"),"",INDEX(B3679:B$2,-1+SUMPRODUCT(MAX(ROW(E3679:E$2)*(E3680=E3679:E$2)))))</f>
        <v> </v>
      </c>
      <c r="J3680" s="25" t="str">
        <f>IF(OR(E3680="",E3680="!!!",F3680="NEW"),"",COUNTBLANK(OFFSET(A$1,,,SUMPRODUCT(MAX(ROW(E$2:E3680)*(E3680=E$2:E3680)))))-COUNTBLANK(OFFSET(A$1,,,SUMPRODUCT(MAX(ROW(E$1:E3679)*(E2=E$1:E3679))))))</f>
        <v> </v>
      </c>
      <c r="K3680" s="25" t="str">
        <f>IF(OR(E3680="",E3680="!!!",F3680="NEW"),"",INDEX(J$1:J3679,SUMPRODUCT(MAX(ROW(E$1:E3679)*(E3680=E$1:E3679)))))</f>
        <v> </v>
      </c>
      <c r="L3680" s="26"/>
    </row>
    <row r="3681" spans="1:12">
      <c r="A3681" s="20" t="s">
        <v>690</v>
      </c>
      <c r="E3681" s="21">
        <f>IF(D3681="?OLD","!!!","")</f>
        <v/>
      </c>
      <c r="F3681" s="22" t="str">
        <f>IF(OR(E3681="",E3681="!!!"),"",IF(NOT(ISNA(VLOOKUP(E3681,E$1:E3680,1,FALSE()))),"OLD",IF(AND(E3681&lt;&gt;"",E3681&lt;&gt;"!!!"),"NEW","")))</f>
        <v> </v>
      </c>
      <c r="G3681" s="23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4" t="str">
        <f>IF(J3681&lt;&gt;1,"",IF(I3681="SBJ","CB","?"))</f>
        <v> </v>
      </c>
      <c r="I3681" s="25" t="str">
        <f>IF(OR(E3681="",E3681="!!!",F3681="NEW"),"",INDEX(B3680:B$2,-1+SUMPRODUCT(MAX(ROW(E3680:E$2)*(E3681=E3680:E$2)))))</f>
        <v> </v>
      </c>
      <c r="J3681" s="25" t="str">
        <f>IF(OR(E3681="",E3681="!!!",F3681="NEW"),"",COUNTBLANK(OFFSET(A$1,,,SUMPRODUCT(MAX(ROW(E$2:E3681)*(E3681=E$2:E3681)))))-COUNTBLANK(OFFSET(A$1,,,SUMPRODUCT(MAX(ROW(E$1:E3680)*(E2=E$1:E3680))))))</f>
        <v> </v>
      </c>
      <c r="K3681" s="25" t="str">
        <f>IF(OR(E3681="",E3681="!!!",F3681="NEW"),"",INDEX(J$1:J3680,SUMPRODUCT(MAX(ROW(E$1:E3680)*(E3681=E$1:E3680)))))</f>
        <v> </v>
      </c>
      <c r="L3681" s="26"/>
    </row>
    <row r="3682" spans="1:12">
      <c r="A3682" s="20" t="s">
        <v>697</v>
      </c>
      <c r="B3682" s="27" t="s">
        <v>719</v>
      </c>
      <c r="C3682" s="27" t="s">
        <v>693</v>
      </c>
      <c r="D3682" s="27" t="s">
        <v>694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704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/>
    </row>
    <row r="3685" spans="1:12">
      <c r="A3685" s="20" t="s">
        <v>1654</v>
      </c>
    </row>
    <row r="3686" spans="1:12">
      <c r="A3686" s="20" t="s">
        <v>1150</v>
      </c>
      <c r="E3686" s="21">
        <f>IF(D3686="?OLD","!!!","")</f>
        <v/>
      </c>
      <c r="F3686" s="22" t="str">
        <f>IF(OR(E3686="",E3686="!!!"),"",IF(NOT(ISNA(VLOOKUP(E3686,E$1:E3685,1,FALSE()))),"OLD",IF(AND(E3686&lt;&gt;"",E3686&lt;&gt;"!!!"),"NEW","")))</f>
        <v> </v>
      </c>
      <c r="G3686" s="23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4" t="str">
        <f>IF(J3686&lt;&gt;1,"",IF(I3686="SBJ","CB","?"))</f>
        <v> </v>
      </c>
      <c r="I3686" s="25" t="str">
        <f>IF(OR(E3686="",E3686="!!!",F3686="NEW"),"",INDEX(B3685:B$2,-1+SUMPRODUCT(MAX(ROW(E3685:E$2)*(E3686=E3685:E$2)))))</f>
        <v> </v>
      </c>
      <c r="J3686" s="25" t="str">
        <f>IF(OR(E3686="",E3686="!!!",F3686="NEW"),"",COUNTBLANK(OFFSET(A$1,,,SUMPRODUCT(MAX(ROW(E$2:E3686)*(E3686=E$2:E3686)))))-COUNTBLANK(OFFSET(A$1,,,SUMPRODUCT(MAX(ROW(E$1:E3685)*(E2=E$1:E3685))))))</f>
        <v> </v>
      </c>
      <c r="K3686" s="25" t="str">
        <f>IF(OR(E3686="",E3686="!!!",F3686="NEW"),"",INDEX(J$1:J3685,SUMPRODUCT(MAX(ROW(E$1:E3685)*(E3686=E$1:E3685)))))</f>
        <v> </v>
      </c>
      <c r="L3686" s="26"/>
    </row>
    <row r="3687" spans="1:12">
      <c r="A3687" s="20" t="s">
        <v>756</v>
      </c>
      <c r="E3687" s="21">
        <f>IF(D3687="?OLD","!!!","")</f>
        <v/>
      </c>
      <c r="F3687" s="22" t="str">
        <f>IF(OR(E3687="",E3687="!!!"),"",IF(NOT(ISNA(VLOOKUP(E3687,E$1:E3686,1,FALSE()))),"OLD",IF(AND(E3687&lt;&gt;"",E3687&lt;&gt;"!!!"),"NEW","")))</f>
        <v> </v>
      </c>
      <c r="G3687" s="23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4" t="str">
        <f>IF(J3687&lt;&gt;1,"",IF(I3687="SBJ","CB","?"))</f>
        <v> </v>
      </c>
      <c r="I3687" s="25" t="str">
        <f>IF(OR(E3687="",E3687="!!!",F3687="NEW"),"",INDEX(B3686:B$2,-1+SUMPRODUCT(MAX(ROW(E3686:E$2)*(E3687=E3686:E$2)))))</f>
        <v> </v>
      </c>
      <c r="J3687" s="25" t="str">
        <f>IF(OR(E3687="",E3687="!!!",F3687="NEW"),"",COUNTBLANK(OFFSET(A$1,,,SUMPRODUCT(MAX(ROW(E$2:E3687)*(E3687=E$2:E3687)))))-COUNTBLANK(OFFSET(A$1,,,SUMPRODUCT(MAX(ROW(E$1:E3686)*(E2=E$1:E3686))))))</f>
        <v> </v>
      </c>
      <c r="K3687" s="25" t="str">
        <f>IF(OR(E3687="",E3687="!!!",F3687="NEW"),"",INDEX(J$1:J3686,SUMPRODUCT(MAX(ROW(E$1:E3686)*(E3687=E$1:E3686)))))</f>
        <v> </v>
      </c>
      <c r="L3687" s="26"/>
    </row>
    <row r="3688" spans="1:12">
      <c r="A3688" s="20" t="s">
        <v>757</v>
      </c>
      <c r="B3688" s="27" t="s">
        <v>822</v>
      </c>
      <c r="C3688" s="27" t="s">
        <v>693</v>
      </c>
      <c r="D3688" s="27" t="s">
        <v>694</v>
      </c>
      <c r="E3688" s="21">
        <f>IF(D3688="?OLD","!!!","")</f>
        <v/>
      </c>
      <c r="F3688" s="22" t="str">
        <f>IF(OR(E3688="",E3688="!!!"),"",IF(NOT(ISNA(VLOOKUP(E3688,E$1:E3687,1,FALSE()))),"OLD",IF(AND(E3688&lt;&gt;"",E3688&lt;&gt;"!!!"),"NEW","")))</f>
        <v> </v>
      </c>
      <c r="G3688" s="23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4" t="str">
        <f>IF(J3688&lt;&gt;1,"",IF(I3688="SBJ","CB","?"))</f>
        <v> </v>
      </c>
      <c r="I3688" s="25" t="str">
        <f>IF(OR(E3688="",E3688="!!!",F3688="NEW"),"",INDEX(B3687:B$2,-1+SUMPRODUCT(MAX(ROW(E3687:E$2)*(E3688=E3687:E$2)))))</f>
        <v> </v>
      </c>
      <c r="J3688" s="25" t="str">
        <f>IF(OR(E3688="",E3688="!!!",F3688="NEW"),"",COUNTBLANK(OFFSET(A$1,,,SUMPRODUCT(MAX(ROW(E$2:E3688)*(E3688=E$2:E3688)))))-COUNTBLANK(OFFSET(A$1,,,SUMPRODUCT(MAX(ROW(E$1:E3687)*(E2=E$1:E3687))))))</f>
        <v> </v>
      </c>
      <c r="K3688" s="25" t="str">
        <f>IF(OR(E3688="",E3688="!!!",F3688="NEW"),"",INDEX(J$1:J3687,SUMPRODUCT(MAX(ROW(E$1:E3687)*(E3688=E$1:E3687)))))</f>
        <v> </v>
      </c>
      <c r="L3688" s="26"/>
    </row>
    <row r="3689" spans="1:12">
      <c r="A3689" s="20" t="s">
        <v>1655</v>
      </c>
      <c r="E3689" s="21">
        <f>IF(D3689="?OLD","!!!","")</f>
        <v/>
      </c>
      <c r="F3689" s="22" t="str">
        <f>IF(OR(E3689="",E3689="!!!"),"",IF(NOT(ISNA(VLOOKUP(E3689,E$1:E3688,1,FALSE()))),"OLD",IF(AND(E3689&lt;&gt;"",E3689&lt;&gt;"!!!"),"NEW","")))</f>
        <v> </v>
      </c>
      <c r="G3689" s="23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4" t="str">
        <f>IF(J3689&lt;&gt;1,"",IF(I3689="SBJ","CB","?"))</f>
        <v> </v>
      </c>
      <c r="I3689" s="25" t="str">
        <f>IF(OR(E3689="",E3689="!!!",F3689="NEW"),"",INDEX(B3688:B$2,-1+SUMPRODUCT(MAX(ROW(E3688:E$2)*(E3689=E3688:E$2)))))</f>
        <v> </v>
      </c>
      <c r="J3689" s="25" t="str">
        <f>IF(OR(E3689="",E3689="!!!",F3689="NEW"),"",COUNTBLANK(OFFSET(A$1,,,SUMPRODUCT(MAX(ROW(E$2:E3689)*(E3689=E$2:E3689)))))-COUNTBLANK(OFFSET(A$1,,,SUMPRODUCT(MAX(ROW(E$1:E3688)*(E2=E$1:E3688))))))</f>
        <v> </v>
      </c>
      <c r="K3689" s="25" t="str">
        <f>IF(OR(E3689="",E3689="!!!",F3689="NEW"),"",INDEX(J$1:J3688,SUMPRODUCT(MAX(ROW(E$1:E3688)*(E3689=E$1:E3688)))))</f>
        <v> </v>
      </c>
      <c r="L3689" s="26"/>
    </row>
    <row r="3690" spans="1:12">
      <c r="A3690" s="20" t="s">
        <v>998</v>
      </c>
      <c r="E3690" s="21">
        <f>IF(D3690="?OLD","!!!","")</f>
        <v/>
      </c>
      <c r="F3690" s="22" t="str">
        <f>IF(OR(E3690="",E3690="!!!"),"",IF(NOT(ISNA(VLOOKUP(E3690,E$1:E3689,1,FALSE()))),"OLD",IF(AND(E3690&lt;&gt;"",E3690&lt;&gt;"!!!"),"NEW","")))</f>
        <v> </v>
      </c>
      <c r="G3690" s="23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4" t="str">
        <f>IF(J3690&lt;&gt;1,"",IF(I3690="SBJ","CB","?"))</f>
        <v> </v>
      </c>
      <c r="I3690" s="25" t="str">
        <f>IF(OR(E3690="",E3690="!!!",F3690="NEW"),"",INDEX(B3689:B$2,-1+SUMPRODUCT(MAX(ROW(E3689:E$2)*(E3690=E3689:E$2)))))</f>
        <v> </v>
      </c>
      <c r="J3690" s="25" t="str">
        <f>IF(OR(E3690="",E3690="!!!",F3690="NEW"),"",COUNTBLANK(OFFSET(A$1,,,SUMPRODUCT(MAX(ROW(E$2:E3690)*(E3690=E$2:E3690)))))-COUNTBLANK(OFFSET(A$1,,,SUMPRODUCT(MAX(ROW(E$1:E3689)*(E2=E$1:E3689))))))</f>
        <v> </v>
      </c>
      <c r="K3690" s="25" t="str">
        <f>IF(OR(E3690="",E3690="!!!",F3690="NEW"),"",INDEX(J$1:J3689,SUMPRODUCT(MAX(ROW(E$1:E3689)*(E3690=E$1:E3689)))))</f>
        <v> </v>
      </c>
      <c r="L3690" s="26"/>
    </row>
    <row r="3691" spans="1:12">
      <c r="A3691" s="20" t="s">
        <v>1590</v>
      </c>
      <c r="B3691" s="27" t="s">
        <v>758</v>
      </c>
      <c r="C3691" s="27" t="s">
        <v>766</v>
      </c>
      <c r="D3691" s="27" t="s">
        <v>694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690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1656</v>
      </c>
      <c r="B3693" s="27" t="s">
        <v>746</v>
      </c>
      <c r="C3693" s="27" t="s">
        <v>699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722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1202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 t="s">
        <v>91</v>
      </c>
      <c r="B3696" s="27" t="s">
        <v>746</v>
      </c>
      <c r="C3696" s="27" t="s">
        <v>699</v>
      </c>
      <c r="E3696" s="21">
        <f>IF(D3696="?OLD","!!!","")</f>
        <v/>
      </c>
      <c r="F3696" s="22" t="str">
        <f>IF(OR(E3696="",E3696="!!!"),"",IF(NOT(ISNA(VLOOKUP(E3696,E$1:E3695,1,FALSE()))),"OLD",IF(AND(E3696&lt;&gt;"",E3696&lt;&gt;"!!!"),"NEW","")))</f>
        <v> </v>
      </c>
      <c r="G3696" s="23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4" t="str">
        <f>IF(J3696&lt;&gt;1,"",IF(I3696="SBJ","CB","?"))</f>
        <v> </v>
      </c>
      <c r="I3696" s="25" t="str">
        <f>IF(OR(E3696="",E3696="!!!",F3696="NEW"),"",INDEX(B3695:B$2,-1+SUMPRODUCT(MAX(ROW(E3695:E$2)*(E3696=E3695:E$2)))))</f>
        <v> </v>
      </c>
      <c r="J3696" s="25" t="str">
        <f>IF(OR(E3696="",E3696="!!!",F3696="NEW"),"",COUNTBLANK(OFFSET(A$1,,,SUMPRODUCT(MAX(ROW(E$2:E3696)*(E3696=E$2:E3696)))))-COUNTBLANK(OFFSET(A$1,,,SUMPRODUCT(MAX(ROW(E$1:E3695)*(E2=E$1:E3695))))))</f>
        <v> </v>
      </c>
      <c r="K3696" s="25" t="str">
        <f>IF(OR(E3696="",E3696="!!!",F3696="NEW"),"",INDEX(J$1:J3695,SUMPRODUCT(MAX(ROW(E$1:E3695)*(E3696=E$1:E3695)))))</f>
        <v> </v>
      </c>
      <c r="L3696" s="26"/>
    </row>
    <row r="3697" spans="1:12">
      <c r="A3697" s="20" t="s">
        <v>722</v>
      </c>
      <c r="E3697" s="21">
        <f>IF(D3697="?OLD","!!!","")</f>
        <v/>
      </c>
      <c r="F3697" s="22" t="str">
        <f>IF(OR(E3697="",E3697="!!!"),"",IF(NOT(ISNA(VLOOKUP(E3697,E$1:E3696,1,FALSE()))),"OLD",IF(AND(E3697&lt;&gt;"",E3697&lt;&gt;"!!!"),"NEW","")))</f>
        <v> </v>
      </c>
      <c r="G3697" s="23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4" t="str">
        <f>IF(J3697&lt;&gt;1,"",IF(I3697="SBJ","CB","?"))</f>
        <v> </v>
      </c>
      <c r="I3697" s="25" t="str">
        <f>IF(OR(E3697="",E3697="!!!",F3697="NEW"),"",INDEX(B3696:B$2,-1+SUMPRODUCT(MAX(ROW(E3696:E$2)*(E3697=E3696:E$2)))))</f>
        <v> </v>
      </c>
      <c r="J3697" s="25" t="str">
        <f>IF(OR(E3697="",E3697="!!!",F3697="NEW"),"",COUNTBLANK(OFFSET(A$1,,,SUMPRODUCT(MAX(ROW(E$2:E3697)*(E3697=E$2:E3697)))))-COUNTBLANK(OFFSET(A$1,,,SUMPRODUCT(MAX(ROW(E$1:E3696)*(E2=E$1:E3696))))))</f>
        <v> </v>
      </c>
      <c r="K3697" s="25" t="str">
        <f>IF(OR(E3697="",E3697="!!!",F3697="NEW"),"",INDEX(J$1:J3696,SUMPRODUCT(MAX(ROW(E$1:E3696)*(E3697=E$1:E3696)))))</f>
        <v> </v>
      </c>
      <c r="L3697" s="26"/>
    </row>
    <row r="3698" spans="1:12">
      <c r="A3698" s="20" t="s">
        <v>1657</v>
      </c>
      <c r="E3698" s="21">
        <f>IF(D3698="?OLD","!!!","")</f>
        <v/>
      </c>
      <c r="F3698" s="22" t="str">
        <f>IF(OR(E3698="",E3698="!!!"),"",IF(NOT(ISNA(VLOOKUP(E3698,E$1:E3697,1,FALSE()))),"OLD",IF(AND(E3698&lt;&gt;"",E3698&lt;&gt;"!!!"),"NEW","")))</f>
        <v> </v>
      </c>
      <c r="G3698" s="23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4" t="str">
        <f>IF(J3698&lt;&gt;1,"",IF(I3698="SBJ","CB","?"))</f>
        <v> </v>
      </c>
      <c r="I3698" s="25" t="str">
        <f>IF(OR(E3698="",E3698="!!!",F3698="NEW"),"",INDEX(B3697:B$2,-1+SUMPRODUCT(MAX(ROW(E3697:E$2)*(E3698=E3697:E$2)))))</f>
        <v> </v>
      </c>
      <c r="J3698" s="25" t="str">
        <f>IF(OR(E3698="",E3698="!!!",F3698="NEW"),"",COUNTBLANK(OFFSET(A$1,,,SUMPRODUCT(MAX(ROW(E$2:E3698)*(E3698=E$2:E3698)))))-COUNTBLANK(OFFSET(A$1,,,SUMPRODUCT(MAX(ROW(E$1:E3697)*(E2=E$1:E3697))))))</f>
        <v> </v>
      </c>
      <c r="K3698" s="25" t="str">
        <f>IF(OR(E3698="",E3698="!!!",F3698="NEW"),"",INDEX(J$1:J3697,SUMPRODUCT(MAX(ROW(E$1:E3697)*(E3698=E$1:E3697)))))</f>
        <v> </v>
      </c>
      <c r="L3698" s="26"/>
    </row>
    <row r="3699" spans="1:12">
      <c r="A3699" s="20" t="s">
        <v>712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1658</v>
      </c>
      <c r="B3700" s="27" t="s">
        <v>703</v>
      </c>
      <c r="C3700" s="27" t="s">
        <v>717</v>
      </c>
      <c r="D3700" s="27" t="s">
        <v>694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 t="s">
        <v>696</v>
      </c>
      <c r="E3701" s="21">
        <f>IF(D3701="?OLD","!!!","")</f>
        <v/>
      </c>
      <c r="F3701" s="22" t="str">
        <f>IF(OR(E3701="",E3701="!!!"),"",IF(NOT(ISNA(VLOOKUP(E3701,E$1:E3700,1,FALSE()))),"OLD",IF(AND(E3701&lt;&gt;"",E3701&lt;&gt;"!!!"),"NEW","")))</f>
        <v> </v>
      </c>
      <c r="G3701" s="23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4" t="str">
        <f>IF(J3701&lt;&gt;1,"",IF(I3701="SBJ","CB","?"))</f>
        <v> </v>
      </c>
      <c r="I3701" s="25" t="str">
        <f>IF(OR(E3701="",E3701="!!!",F3701="NEW"),"",INDEX(B3700:B$2,-1+SUMPRODUCT(MAX(ROW(E3700:E$2)*(E3701=E3700:E$2)))))</f>
        <v> </v>
      </c>
      <c r="J3701" s="25" t="str">
        <f>IF(OR(E3701="",E3701="!!!",F3701="NEW"),"",COUNTBLANK(OFFSET(A$1,,,SUMPRODUCT(MAX(ROW(E$2:E3701)*(E3701=E$2:E3701)))))-COUNTBLANK(OFFSET(A$1,,,SUMPRODUCT(MAX(ROW(E$1:E3700)*(E2=E$1:E3700))))))</f>
        <v> </v>
      </c>
      <c r="K3701" s="25" t="str">
        <f>IF(OR(E3701="",E3701="!!!",F3701="NEW"),"",INDEX(J$1:J3700,SUMPRODUCT(MAX(ROW(E$1:E3700)*(E3701=E$1:E3700)))))</f>
        <v> </v>
      </c>
      <c r="L3701" s="26"/>
    </row>
    <row r="3702" spans="1:12">
      <c r="A3702" s="20" t="s">
        <v>219</v>
      </c>
      <c r="E3702" s="21">
        <f>IF(D3702="?OLD","!!!","")</f>
        <v/>
      </c>
      <c r="F3702" s="22" t="str">
        <f>IF(OR(E3702="",E3702="!!!"),"",IF(NOT(ISNA(VLOOKUP(E3702,E$1:E3701,1,FALSE()))),"OLD",IF(AND(E3702&lt;&gt;"",E3702&lt;&gt;"!!!"),"NEW","")))</f>
        <v> </v>
      </c>
      <c r="G3702" s="23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4" t="str">
        <f>IF(J3702&lt;&gt;1,"",IF(I3702="SBJ","CB","?"))</f>
        <v> </v>
      </c>
      <c r="I3702" s="25" t="str">
        <f>IF(OR(E3702="",E3702="!!!",F3702="NEW"),"",INDEX(B3701:B$2,-1+SUMPRODUCT(MAX(ROW(E3701:E$2)*(E3702=E3701:E$2)))))</f>
        <v> </v>
      </c>
      <c r="J3702" s="25" t="str">
        <f>IF(OR(E3702="",E3702="!!!",F3702="NEW"),"",COUNTBLANK(OFFSET(A$1,,,SUMPRODUCT(MAX(ROW(E$2:E3702)*(E3702=E$2:E3702)))))-COUNTBLANK(OFFSET(A$1,,,SUMPRODUCT(MAX(ROW(E$1:E3701)*(E2=E$1:E3701))))))</f>
        <v> </v>
      </c>
      <c r="K3702" s="25" t="str">
        <f>IF(OR(E3702="",E3702="!!!",F3702="NEW"),"",INDEX(J$1:J3701,SUMPRODUCT(MAX(ROW(E$1:E3701)*(E3702=E$1:E3701)))))</f>
        <v> </v>
      </c>
      <c r="L3702" s="26"/>
    </row>
    <row r="3703" spans="1:12">
      <c r="A3703" s="20" t="s">
        <v>1659</v>
      </c>
      <c r="B3703" s="27" t="s">
        <v>746</v>
      </c>
      <c r="C3703" s="27" t="s">
        <v>693</v>
      </c>
      <c r="D3703" s="27" t="s">
        <v>694</v>
      </c>
      <c r="E3703" s="21">
        <f>IF(D3703="?OLD","!!!","")</f>
        <v/>
      </c>
      <c r="F3703" s="22" t="str">
        <f>IF(OR(E3703="",E3703="!!!"),"",IF(NOT(ISNA(VLOOKUP(E3703,E$1:E3702,1,FALSE()))),"OLD",IF(AND(E3703&lt;&gt;"",E3703&lt;&gt;"!!!"),"NEW","")))</f>
        <v> </v>
      </c>
      <c r="G3703" s="23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4" t="str">
        <f>IF(J3703&lt;&gt;1,"",IF(I3703="SBJ","CB","?"))</f>
        <v> </v>
      </c>
      <c r="I3703" s="25" t="str">
        <f>IF(OR(E3703="",E3703="!!!",F3703="NEW"),"",INDEX(B3702:B$2,-1+SUMPRODUCT(MAX(ROW(E3702:E$2)*(E3703=E3702:E$2)))))</f>
        <v> </v>
      </c>
      <c r="J3703" s="25" t="str">
        <f>IF(OR(E3703="",E3703="!!!",F3703="NEW"),"",COUNTBLANK(OFFSET(A$1,,,SUMPRODUCT(MAX(ROW(E$2:E3703)*(E3703=E$2:E3703)))))-COUNTBLANK(OFFSET(A$1,,,SUMPRODUCT(MAX(ROW(E$1:E3702)*(E2=E$1:E3702))))))</f>
        <v> </v>
      </c>
      <c r="K3703" s="25" t="str">
        <f>IF(OR(E3703="",E3703="!!!",F3703="NEW"),"",INDEX(J$1:J3702,SUMPRODUCT(MAX(ROW(E$1:E3702)*(E3703=E$1:E3702)))))</f>
        <v> </v>
      </c>
      <c r="L3703" s="26"/>
    </row>
    <row r="3704" spans="1:12">
      <c r="A3704" s="20" t="s">
        <v>954</v>
      </c>
      <c r="B3704" s="27" t="s">
        <v>797</v>
      </c>
      <c r="E3704" s="21">
        <f>IF(D3704="?OLD","!!!","")</f>
        <v/>
      </c>
      <c r="F3704" s="22" t="str">
        <f>IF(OR(E3704="",E3704="!!!"),"",IF(NOT(ISNA(VLOOKUP(E3704,E$1:E3703,1,FALSE()))),"OLD",IF(AND(E3704&lt;&gt;"",E3704&lt;&gt;"!!!"),"NEW","")))</f>
        <v> </v>
      </c>
      <c r="G3704" s="23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4" t="str">
        <f>IF(J3704&lt;&gt;1,"",IF(I3704="SBJ","CB","?"))</f>
        <v> </v>
      </c>
      <c r="I3704" s="25" t="str">
        <f>IF(OR(E3704="",E3704="!!!",F3704="NEW"),"",INDEX(B3703:B$2,-1+SUMPRODUCT(MAX(ROW(E3703:E$2)*(E3704=E3703:E$2)))))</f>
        <v> </v>
      </c>
      <c r="J3704" s="25" t="str">
        <f>IF(OR(E3704="",E3704="!!!",F3704="NEW"),"",COUNTBLANK(OFFSET(A$1,,,SUMPRODUCT(MAX(ROW(E$2:E3704)*(E3704=E$2:E3704)))))-COUNTBLANK(OFFSET(A$1,,,SUMPRODUCT(MAX(ROW(E$1:E3703)*(E2=E$1:E3703))))))</f>
        <v> </v>
      </c>
      <c r="K3704" s="25" t="str">
        <f>IF(OR(E3704="",E3704="!!!",F3704="NEW"),"",INDEX(J$1:J3703,SUMPRODUCT(MAX(ROW(E$1:E3703)*(E3704=E$1:E3703)))))</f>
        <v> </v>
      </c>
      <c r="L3704" s="26"/>
    </row>
    <row r="3705" spans="1:12">
      <c r="A3705" s="20" t="s">
        <v>1660</v>
      </c>
      <c r="B3705" s="27" t="s">
        <v>749</v>
      </c>
      <c r="C3705" s="27" t="s">
        <v>789</v>
      </c>
      <c r="D3705" s="27" t="s">
        <v>694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701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 t="s">
        <v>712</v>
      </c>
      <c r="E3707" s="21">
        <f>IF(D3707="?OLD","!!!","")</f>
        <v/>
      </c>
      <c r="F3707" s="22" t="str">
        <f>IF(OR(E3707="",E3707="!!!"),"",IF(NOT(ISNA(VLOOKUP(E3707,E$1:E3706,1,FALSE()))),"OLD",IF(AND(E3707&lt;&gt;"",E3707&lt;&gt;"!!!"),"NEW","")))</f>
        <v> </v>
      </c>
      <c r="G3707" s="23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4" t="str">
        <f>IF(J3707&lt;&gt;1,"",IF(I3707="SBJ","CB","?"))</f>
        <v> </v>
      </c>
      <c r="I3707" s="25" t="str">
        <f>IF(OR(E3707="",E3707="!!!",F3707="NEW"),"",INDEX(B3706:B$2,-1+SUMPRODUCT(MAX(ROW(E3706:E$2)*(E3707=E3706:E$2)))))</f>
        <v> </v>
      </c>
      <c r="J3707" s="25" t="str">
        <f>IF(OR(E3707="",E3707="!!!",F3707="NEW"),"",COUNTBLANK(OFFSET(A$1,,,SUMPRODUCT(MAX(ROW(E$2:E3707)*(E3707=E$2:E3707)))))-COUNTBLANK(OFFSET(A$1,,,SUMPRODUCT(MAX(ROW(E$1:E3706)*(E2=E$1:E3706))))))</f>
        <v> </v>
      </c>
      <c r="K3707" s="25" t="str">
        <f>IF(OR(E3707="",E3707="!!!",F3707="NEW"),"",INDEX(J$1:J3706,SUMPRODUCT(MAX(ROW(E$1:E3706)*(E3707=E$1:E3706)))))</f>
        <v> </v>
      </c>
      <c r="L3707" s="26"/>
    </row>
    <row r="3708" spans="1:12">
      <c r="A3708" s="20" t="s">
        <v>1661</v>
      </c>
      <c r="E3708" s="21">
        <f>IF(D3708="?OLD","!!!","")</f>
        <v/>
      </c>
      <c r="F3708" s="22" t="str">
        <f>IF(OR(E3708="",E3708="!!!"),"",IF(NOT(ISNA(VLOOKUP(E3708,E$1:E3707,1,FALSE()))),"OLD",IF(AND(E3708&lt;&gt;"",E3708&lt;&gt;"!!!"),"NEW","")))</f>
        <v> </v>
      </c>
      <c r="G3708" s="23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4" t="str">
        <f>IF(J3708&lt;&gt;1,"",IF(I3708="SBJ","CB","?"))</f>
        <v> </v>
      </c>
      <c r="I3708" s="25" t="str">
        <f>IF(OR(E3708="",E3708="!!!",F3708="NEW"),"",INDEX(B3707:B$2,-1+SUMPRODUCT(MAX(ROW(E3707:E$2)*(E3708=E3707:E$2)))))</f>
        <v> </v>
      </c>
      <c r="J3708" s="25" t="str">
        <f>IF(OR(E3708="",E3708="!!!",F3708="NEW"),"",COUNTBLANK(OFFSET(A$1,,,SUMPRODUCT(MAX(ROW(E$2:E3708)*(E3708=E$2:E3708)))))-COUNTBLANK(OFFSET(A$1,,,SUMPRODUCT(MAX(ROW(E$1:E3707)*(E2=E$1:E3707))))))</f>
        <v> </v>
      </c>
      <c r="K3708" s="25" t="str">
        <f>IF(OR(E3708="",E3708="!!!",F3708="NEW"),"",INDEX(J$1:J3707,SUMPRODUCT(MAX(ROW(E$1:E3707)*(E3708=E$1:E3707)))))</f>
        <v> </v>
      </c>
      <c r="L3708" s="26"/>
    </row>
    <row r="3709" spans="1:12">
      <c r="A3709" s="20" t="s">
        <v>722</v>
      </c>
      <c r="E3709" s="21">
        <f>IF(D3709="?OLD","!!!","")</f>
        <v/>
      </c>
      <c r="F3709" s="22" t="str">
        <f>IF(OR(E3709="",E3709="!!!"),"",IF(NOT(ISNA(VLOOKUP(E3709,E$1:E3708,1,FALSE()))),"OLD",IF(AND(E3709&lt;&gt;"",E3709&lt;&gt;"!!!"),"NEW","")))</f>
        <v> </v>
      </c>
      <c r="G3709" s="23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4" t="str">
        <f>IF(J3709&lt;&gt;1,"",IF(I3709="SBJ","CB","?"))</f>
        <v> </v>
      </c>
      <c r="I3709" s="25" t="str">
        <f>IF(OR(E3709="",E3709="!!!",F3709="NEW"),"",INDEX(B3708:B$2,-1+SUMPRODUCT(MAX(ROW(E3708:E$2)*(E3709=E3708:E$2)))))</f>
        <v> </v>
      </c>
      <c r="J3709" s="25" t="str">
        <f>IF(OR(E3709="",E3709="!!!",F3709="NEW"),"",COUNTBLANK(OFFSET(A$1,,,SUMPRODUCT(MAX(ROW(E$2:E3709)*(E3709=E$2:E3709)))))-COUNTBLANK(OFFSET(A$1,,,SUMPRODUCT(MAX(ROW(E$1:E3708)*(E2=E$1:E3708))))))</f>
        <v> </v>
      </c>
      <c r="K3709" s="25" t="str">
        <f>IF(OR(E3709="",E3709="!!!",F3709="NEW"),"",INDEX(J$1:J3708,SUMPRODUCT(MAX(ROW(E$1:E3708)*(E3709=E$1:E3708)))))</f>
        <v> </v>
      </c>
      <c r="L3709" s="26"/>
    </row>
    <row r="3710" spans="1:12">
      <c r="A3710" s="20" t="s">
        <v>1215</v>
      </c>
      <c r="E3710" s="21">
        <f>IF(D3710="?OLD","!!!","")</f>
        <v/>
      </c>
      <c r="F3710" s="22" t="str">
        <f>IF(OR(E3710="",E3710="!!!"),"",IF(NOT(ISNA(VLOOKUP(E3710,E$1:E3709,1,FALSE()))),"OLD",IF(AND(E3710&lt;&gt;"",E3710&lt;&gt;"!!!"),"NEW","")))</f>
        <v> </v>
      </c>
      <c r="G3710" s="23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4" t="str">
        <f>IF(J3710&lt;&gt;1,"",IF(I3710="SBJ","CB","?"))</f>
        <v> </v>
      </c>
      <c r="I3710" s="25" t="str">
        <f>IF(OR(E3710="",E3710="!!!",F3710="NEW"),"",INDEX(B3709:B$2,-1+SUMPRODUCT(MAX(ROW(E3709:E$2)*(E3710=E3709:E$2)))))</f>
        <v> </v>
      </c>
      <c r="J3710" s="25" t="str">
        <f>IF(OR(E3710="",E3710="!!!",F3710="NEW"),"",COUNTBLANK(OFFSET(A$1,,,SUMPRODUCT(MAX(ROW(E$2:E3710)*(E3710=E$2:E3710)))))-COUNTBLANK(OFFSET(A$1,,,SUMPRODUCT(MAX(ROW(E$1:E3709)*(E2=E$1:E3709))))))</f>
        <v> </v>
      </c>
      <c r="K3710" s="25" t="str">
        <f>IF(OR(E3710="",E3710="!!!",F3710="NEW"),"",INDEX(J$1:J3709,SUMPRODUCT(MAX(ROW(E$1:E3709)*(E3710=E$1:E3709)))))</f>
        <v> </v>
      </c>
      <c r="L3710" s="26"/>
    </row>
    <row r="3711" spans="1:12">
      <c r="A3711" s="20" t="s">
        <v>905</v>
      </c>
      <c r="B3711" s="27" t="s">
        <v>728</v>
      </c>
      <c r="C3711" s="27" t="s">
        <v>699</v>
      </c>
      <c r="E3711" s="21">
        <f>IF(D3711="?OLD","!!!","")</f>
        <v/>
      </c>
      <c r="F3711" s="22" t="str">
        <f>IF(OR(E3711="",E3711="!!!"),"",IF(NOT(ISNA(VLOOKUP(E3711,E$1:E3710,1,FALSE()))),"OLD",IF(AND(E3711&lt;&gt;"",E3711&lt;&gt;"!!!"),"NEW","")))</f>
        <v> </v>
      </c>
      <c r="G3711" s="23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4" t="str">
        <f>IF(J3711&lt;&gt;1,"",IF(I3711="SBJ","CB","?"))</f>
        <v> </v>
      </c>
      <c r="I3711" s="25" t="str">
        <f>IF(OR(E3711="",E3711="!!!",F3711="NEW"),"",INDEX(B3710:B$2,-1+SUMPRODUCT(MAX(ROW(E3710:E$2)*(E3711=E3710:E$2)))))</f>
        <v> </v>
      </c>
      <c r="J3711" s="25" t="str">
        <f>IF(OR(E3711="",E3711="!!!",F3711="NEW"),"",COUNTBLANK(OFFSET(A$1,,,SUMPRODUCT(MAX(ROW(E$2:E3711)*(E3711=E$2:E3711)))))-COUNTBLANK(OFFSET(A$1,,,SUMPRODUCT(MAX(ROW(E$1:E3710)*(E2=E$1:E3710))))))</f>
        <v> </v>
      </c>
      <c r="K3711" s="25" t="str">
        <f>IF(OR(E3711="",E3711="!!!",F3711="NEW"),"",INDEX(J$1:J3710,SUMPRODUCT(MAX(ROW(E$1:E3710)*(E3711=E$1:E3710)))))</f>
        <v> </v>
      </c>
      <c r="L3711" s="26"/>
    </row>
    <row r="3712" spans="1:12">
      <c r="A3712" s="20" t="s">
        <v>722</v>
      </c>
      <c r="E3712" s="21">
        <f>IF(D3712="?OLD","!!!","")</f>
        <v/>
      </c>
      <c r="F3712" s="22" t="str">
        <f>IF(OR(E3712="",E3712="!!!"),"",IF(NOT(ISNA(VLOOKUP(E3712,E$1:E3711,1,FALSE()))),"OLD",IF(AND(E3712&lt;&gt;"",E3712&lt;&gt;"!!!"),"NEW","")))</f>
        <v> </v>
      </c>
      <c r="G3712" s="23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4" t="str">
        <f>IF(J3712&lt;&gt;1,"",IF(I3712="SBJ","CB","?"))</f>
        <v> </v>
      </c>
      <c r="I3712" s="25" t="str">
        <f>IF(OR(E3712="",E3712="!!!",F3712="NEW"),"",INDEX(B3711:B$2,-1+SUMPRODUCT(MAX(ROW(E3711:E$2)*(E3712=E3711:E$2)))))</f>
        <v> </v>
      </c>
      <c r="J3712" s="25" t="str">
        <f>IF(OR(E3712="",E3712="!!!",F3712="NEW"),"",COUNTBLANK(OFFSET(A$1,,,SUMPRODUCT(MAX(ROW(E$2:E3712)*(E3712=E$2:E3712)))))-COUNTBLANK(OFFSET(A$1,,,SUMPRODUCT(MAX(ROW(E$1:E3711)*(E2=E$1:E3711))))))</f>
        <v> </v>
      </c>
      <c r="K3712" s="25" t="str">
        <f>IF(OR(E3712="",E3712="!!!",F3712="NEW"),"",INDEX(J$1:J3711,SUMPRODUCT(MAX(ROW(E$1:E3711)*(E3712=E$1:E3711)))))</f>
        <v> </v>
      </c>
      <c r="L3712" s="26"/>
    </row>
    <row r="3713" spans="1:12">
      <c r="A3713" s="20" t="s">
        <v>756</v>
      </c>
      <c r="E3713" s="21">
        <f>IF(D3713="?OLD","!!!","")</f>
        <v/>
      </c>
      <c r="F3713" s="22" t="str">
        <f>IF(OR(E3713="",E3713="!!!"),"",IF(NOT(ISNA(VLOOKUP(E3713,E$1:E3712,1,FALSE()))),"OLD",IF(AND(E3713&lt;&gt;"",E3713&lt;&gt;"!!!"),"NEW","")))</f>
        <v> </v>
      </c>
      <c r="G3713" s="23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4" t="str">
        <f>IF(J3713&lt;&gt;1,"",IF(I3713="SBJ","CB","?"))</f>
        <v> </v>
      </c>
      <c r="I3713" s="25" t="str">
        <f>IF(OR(E3713="",E3713="!!!",F3713="NEW"),"",INDEX(B3712:B$2,-1+SUMPRODUCT(MAX(ROW(E3712:E$2)*(E3713=E3712:E$2)))))</f>
        <v> </v>
      </c>
      <c r="J3713" s="25" t="str">
        <f>IF(OR(E3713="",E3713="!!!",F3713="NEW"),"",COUNTBLANK(OFFSET(A$1,,,SUMPRODUCT(MAX(ROW(E$2:E3713)*(E3713=E$2:E3713)))))-COUNTBLANK(OFFSET(A$1,,,SUMPRODUCT(MAX(ROW(E$1:E3712)*(E2=E$1:E3712))))))</f>
        <v> </v>
      </c>
      <c r="K3713" s="25" t="str">
        <f>IF(OR(E3713="",E3713="!!!",F3713="NEW"),"",INDEX(J$1:J3712,SUMPRODUCT(MAX(ROW(E$1:E3712)*(E3713=E$1:E3712)))))</f>
        <v> </v>
      </c>
      <c r="L3713" s="26"/>
    </row>
    <row r="3714" spans="1:12">
      <c r="A3714" s="20" t="s">
        <v>1662</v>
      </c>
      <c r="B3714" s="27" t="s">
        <v>738</v>
      </c>
      <c r="C3714" s="27" t="s">
        <v>717</v>
      </c>
      <c r="D3714" s="27" t="s">
        <v>694</v>
      </c>
      <c r="E3714" s="21">
        <f>IF(D3714="?OLD","!!!","")</f>
        <v/>
      </c>
      <c r="F3714" s="22" t="str">
        <f>IF(OR(E3714="",E3714="!!!"),"",IF(NOT(ISNA(VLOOKUP(E3714,E$1:E3713,1,FALSE()))),"OLD",IF(AND(E3714&lt;&gt;"",E3714&lt;&gt;"!!!"),"NEW","")))</f>
        <v> </v>
      </c>
      <c r="G3714" s="23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4" t="str">
        <f>IF(J3714&lt;&gt;1,"",IF(I3714="SBJ","CB","?"))</f>
        <v> </v>
      </c>
      <c r="I3714" s="25" t="str">
        <f>IF(OR(E3714="",E3714="!!!",F3714="NEW"),"",INDEX(B3713:B$2,-1+SUMPRODUCT(MAX(ROW(E3713:E$2)*(E3714=E3713:E$2)))))</f>
        <v> </v>
      </c>
      <c r="J3714" s="25" t="str">
        <f>IF(OR(E3714="",E3714="!!!",F3714="NEW"),"",COUNTBLANK(OFFSET(A$1,,,SUMPRODUCT(MAX(ROW(E$2:E3714)*(E3714=E$2:E3714)))))-COUNTBLANK(OFFSET(A$1,,,SUMPRODUCT(MAX(ROW(E$1:E3713)*(E2=E$1:E3713))))))</f>
        <v> </v>
      </c>
      <c r="K3714" s="25" t="str">
        <f>IF(OR(E3714="",E3714="!!!",F3714="NEW"),"",INDEX(J$1:J3713,SUMPRODUCT(MAX(ROW(E$1:E3713)*(E3714=E$1:E3713)))))</f>
        <v> </v>
      </c>
      <c r="L3714" s="26"/>
    </row>
    <row r="3715" spans="1:12">
      <c r="A3715" s="20" t="s">
        <v>696</v>
      </c>
      <c r="E3715" s="21">
        <f>IF(D3715="?OLD","!!!","")</f>
        <v/>
      </c>
      <c r="F3715" s="22" t="str">
        <f>IF(OR(E3715="",E3715="!!!"),"",IF(NOT(ISNA(VLOOKUP(E3715,E$1:E3714,1,FALSE()))),"OLD",IF(AND(E3715&lt;&gt;"",E3715&lt;&gt;"!!!"),"NEW","")))</f>
        <v> </v>
      </c>
      <c r="G3715" s="23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4" t="str">
        <f>IF(J3715&lt;&gt;1,"",IF(I3715="SBJ","CB","?"))</f>
        <v> </v>
      </c>
      <c r="I3715" s="25" t="str">
        <f>IF(OR(E3715="",E3715="!!!",F3715="NEW"),"",INDEX(B3714:B$2,-1+SUMPRODUCT(MAX(ROW(E3714:E$2)*(E3715=E3714:E$2)))))</f>
        <v> </v>
      </c>
      <c r="J3715" s="25" t="str">
        <f>IF(OR(E3715="",E3715="!!!",F3715="NEW"),"",COUNTBLANK(OFFSET(A$1,,,SUMPRODUCT(MAX(ROW(E$2:E3715)*(E3715=E$2:E3715)))))-COUNTBLANK(OFFSET(A$1,,,SUMPRODUCT(MAX(ROW(E$1:E3714)*(E2=E$1:E3714))))))</f>
        <v> </v>
      </c>
      <c r="K3715" s="25" t="str">
        <f>IF(OR(E3715="",E3715="!!!",F3715="NEW"),"",INDEX(J$1:J3714,SUMPRODUCT(MAX(ROW(E$1:E3714)*(E3715=E$1:E3714)))))</f>
        <v> </v>
      </c>
      <c r="L3715" s="26"/>
    </row>
    <row r="3716" spans="1:12">
      <c r="A3716" s="20" t="s">
        <v>1663</v>
      </c>
      <c r="B3716" s="27" t="s">
        <v>728</v>
      </c>
      <c r="C3716" s="27" t="s">
        <v>699</v>
      </c>
      <c r="E3716" s="21">
        <f>IF(D3716="?OLD","!!!","")</f>
        <v/>
      </c>
      <c r="F3716" s="22" t="str">
        <f>IF(OR(E3716="",E3716="!!!"),"",IF(NOT(ISNA(VLOOKUP(E3716,E$1:E3715,1,FALSE()))),"OLD",IF(AND(E3716&lt;&gt;"",E3716&lt;&gt;"!!!"),"NEW","")))</f>
        <v> </v>
      </c>
      <c r="G3716" s="23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4" t="str">
        <f>IF(J3716&lt;&gt;1,"",IF(I3716="SBJ","CB","?"))</f>
        <v> </v>
      </c>
      <c r="I3716" s="25" t="str">
        <f>IF(OR(E3716="",E3716="!!!",F3716="NEW"),"",INDEX(B3715:B$2,-1+SUMPRODUCT(MAX(ROW(E3715:E$2)*(E3716=E3715:E$2)))))</f>
        <v> </v>
      </c>
      <c r="J3716" s="25" t="str">
        <f>IF(OR(E3716="",E3716="!!!",F3716="NEW"),"",COUNTBLANK(OFFSET(A$1,,,SUMPRODUCT(MAX(ROW(E$2:E3716)*(E3716=E$2:E3716)))))-COUNTBLANK(OFFSET(A$1,,,SUMPRODUCT(MAX(ROW(E$1:E3715)*(E2=E$1:E3715))))))</f>
        <v> </v>
      </c>
      <c r="K3716" s="25" t="str">
        <f>IF(OR(E3716="",E3716="!!!",F3716="NEW"),"",INDEX(J$1:J3715,SUMPRODUCT(MAX(ROW(E$1:E3715)*(E3716=E$1:E3715)))))</f>
        <v> </v>
      </c>
      <c r="L3716" s="26"/>
    </row>
    <row r="3717" spans="1:12">
      <c r="A3717" s="20" t="s">
        <v>722</v>
      </c>
      <c r="E3717" s="21">
        <f>IF(D3717="?OLD","!!!","")</f>
        <v/>
      </c>
      <c r="F3717" s="22" t="str">
        <f>IF(OR(E3717="",E3717="!!!"),"",IF(NOT(ISNA(VLOOKUP(E3717,E$1:E3716,1,FALSE()))),"OLD",IF(AND(E3717&lt;&gt;"",E3717&lt;&gt;"!!!"),"NEW","")))</f>
        <v> </v>
      </c>
      <c r="G3717" s="23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4" t="str">
        <f>IF(J3717&lt;&gt;1,"",IF(I3717="SBJ","CB","?"))</f>
        <v> </v>
      </c>
      <c r="I3717" s="25" t="str">
        <f>IF(OR(E3717="",E3717="!!!",F3717="NEW"),"",INDEX(B3716:B$2,-1+SUMPRODUCT(MAX(ROW(E3716:E$2)*(E3717=E3716:E$2)))))</f>
        <v> </v>
      </c>
      <c r="J3717" s="25" t="str">
        <f>IF(OR(E3717="",E3717="!!!",F3717="NEW"),"",COUNTBLANK(OFFSET(A$1,,,SUMPRODUCT(MAX(ROW(E$2:E3717)*(E3717=E$2:E3717)))))-COUNTBLANK(OFFSET(A$1,,,SUMPRODUCT(MAX(ROW(E$1:E3716)*(E2=E$1:E3716))))))</f>
        <v> </v>
      </c>
      <c r="K3717" s="25" t="str">
        <f>IF(OR(E3717="",E3717="!!!",F3717="NEW"),"",INDEX(J$1:J3716,SUMPRODUCT(MAX(ROW(E$1:E3716)*(E3717=E$1:E3716)))))</f>
        <v> </v>
      </c>
      <c r="L3717" s="26"/>
    </row>
    <row r="3718" spans="1:12">
      <c r="A3718" s="20" t="s">
        <v>1664</v>
      </c>
      <c r="E3718" s="21">
        <f>IF(D3718="?OLD","!!!","")</f>
        <v/>
      </c>
      <c r="F3718" s="22" t="str">
        <f>IF(OR(E3718="",E3718="!!!"),"",IF(NOT(ISNA(VLOOKUP(E3718,E$1:E3717,1,FALSE()))),"OLD",IF(AND(E3718&lt;&gt;"",E3718&lt;&gt;"!!!"),"NEW","")))</f>
        <v> </v>
      </c>
      <c r="G3718" s="23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4" t="str">
        <f>IF(J3718&lt;&gt;1,"",IF(I3718="SBJ","CB","?"))</f>
        <v> </v>
      </c>
      <c r="I3718" s="25" t="str">
        <f>IF(OR(E3718="",E3718="!!!",F3718="NEW"),"",INDEX(B3717:B$2,-1+SUMPRODUCT(MAX(ROW(E3717:E$2)*(E3718=E3717:E$2)))))</f>
        <v> </v>
      </c>
      <c r="J3718" s="25" t="str">
        <f>IF(OR(E3718="",E3718="!!!",F3718="NEW"),"",COUNTBLANK(OFFSET(A$1,,,SUMPRODUCT(MAX(ROW(E$2:E3718)*(E3718=E$2:E3718)))))-COUNTBLANK(OFFSET(A$1,,,SUMPRODUCT(MAX(ROW(E$1:E3717)*(E2=E$1:E3717))))))</f>
        <v> </v>
      </c>
      <c r="K3718" s="25" t="str">
        <f>IF(OR(E3718="",E3718="!!!",F3718="NEW"),"",INDEX(J$1:J3717,SUMPRODUCT(MAX(ROW(E$1:E3717)*(E3718=E$1:E3717)))))</f>
        <v> </v>
      </c>
      <c r="L3718" s="26"/>
    </row>
    <row r="3719" spans="1:12">
      <c r="A3719" s="20"/>
    </row>
    <row r="3720" spans="1:12">
      <c r="A3720" s="20" t="s">
        <v>1665</v>
      </c>
    </row>
    <row r="3721" spans="1:12">
      <c r="A3721" s="20" t="s">
        <v>741</v>
      </c>
      <c r="E3721" s="21">
        <f>IF(D3721="?OLD","!!!","")</f>
        <v/>
      </c>
      <c r="F3721" s="22" t="str">
        <f>IF(OR(E3721="",E3721="!!!"),"",IF(NOT(ISNA(VLOOKUP(E3721,E$1:E3720,1,FALSE()))),"OLD",IF(AND(E3721&lt;&gt;"",E3721&lt;&gt;"!!!"),"NEW","")))</f>
        <v> </v>
      </c>
      <c r="G3721" s="23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4" t="str">
        <f>IF(J3721&lt;&gt;1,"",IF(I3721="SBJ","CB","?"))</f>
        <v> </v>
      </c>
      <c r="I3721" s="25" t="str">
        <f>IF(OR(E3721="",E3721="!!!",F3721="NEW"),"",INDEX(B3720:B$2,-1+SUMPRODUCT(MAX(ROW(E3720:E$2)*(E3721=E3720:E$2)))))</f>
        <v> </v>
      </c>
      <c r="J3721" s="25" t="str">
        <f>IF(OR(E3721="",E3721="!!!",F3721="NEW"),"",COUNTBLANK(OFFSET(A$1,,,SUMPRODUCT(MAX(ROW(E$2:E3721)*(E3721=E$2:E3721)))))-COUNTBLANK(OFFSET(A$1,,,SUMPRODUCT(MAX(ROW(E$1:E3720)*(E2=E$1:E3720))))))</f>
        <v> </v>
      </c>
      <c r="K3721" s="25" t="str">
        <f>IF(OR(E3721="",E3721="!!!",F3721="NEW"),"",INDEX(J$1:J3720,SUMPRODUCT(MAX(ROW(E$1:E3720)*(E3721=E$1:E3720)))))</f>
        <v> </v>
      </c>
      <c r="L3721" s="26"/>
    </row>
    <row r="3722" spans="1:12">
      <c r="A3722" s="20" t="s">
        <v>1335</v>
      </c>
      <c r="E3722" s="21">
        <f>IF(D3722="?OLD","!!!","")</f>
        <v/>
      </c>
      <c r="F3722" s="22" t="str">
        <f>IF(OR(E3722="",E3722="!!!"),"",IF(NOT(ISNA(VLOOKUP(E3722,E$1:E3721,1,FALSE()))),"OLD",IF(AND(E3722&lt;&gt;"",E3722&lt;&gt;"!!!"),"NEW","")))</f>
        <v> </v>
      </c>
      <c r="G3722" s="23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4" t="str">
        <f>IF(J3722&lt;&gt;1,"",IF(I3722="SBJ","CB","?"))</f>
        <v> </v>
      </c>
      <c r="I3722" s="25" t="str">
        <f>IF(OR(E3722="",E3722="!!!",F3722="NEW"),"",INDEX(B3721:B$2,-1+SUMPRODUCT(MAX(ROW(E3721:E$2)*(E3722=E3721:E$2)))))</f>
        <v> </v>
      </c>
      <c r="J3722" s="25" t="str">
        <f>IF(OR(E3722="",E3722="!!!",F3722="NEW"),"",COUNTBLANK(OFFSET(A$1,,,SUMPRODUCT(MAX(ROW(E$2:E3722)*(E3722=E$2:E3722)))))-COUNTBLANK(OFFSET(A$1,,,SUMPRODUCT(MAX(ROW(E$1:E3721)*(E2=E$1:E3721))))))</f>
        <v> </v>
      </c>
      <c r="K3722" s="25" t="str">
        <f>IF(OR(E3722="",E3722="!!!",F3722="NEW"),"",INDEX(J$1:J3721,SUMPRODUCT(MAX(ROW(E$1:E3721)*(E3722=E$1:E3721)))))</f>
        <v> </v>
      </c>
      <c r="L3722" s="26"/>
    </row>
    <row r="3723" spans="1:12">
      <c r="A3723" s="20" t="s">
        <v>1666</v>
      </c>
      <c r="B3723" s="27" t="s">
        <v>698</v>
      </c>
      <c r="C3723" s="27" t="s">
        <v>771</v>
      </c>
      <c r="E3723" s="21">
        <f>IF(D3723="?OLD","!!!","")</f>
        <v/>
      </c>
      <c r="F3723" s="22" t="str">
        <f>IF(OR(E3723="",E3723="!!!"),"",IF(NOT(ISNA(VLOOKUP(E3723,E$1:E3722,1,FALSE()))),"OLD",IF(AND(E3723&lt;&gt;"",E3723&lt;&gt;"!!!"),"NEW","")))</f>
        <v> </v>
      </c>
      <c r="G3723" s="23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4" t="str">
        <f>IF(J3723&lt;&gt;1,"",IF(I3723="SBJ","CB","?"))</f>
        <v> </v>
      </c>
      <c r="I3723" s="25" t="str">
        <f>IF(OR(E3723="",E3723="!!!",F3723="NEW"),"",INDEX(B3722:B$2,-1+SUMPRODUCT(MAX(ROW(E3722:E$2)*(E3723=E3722:E$2)))))</f>
        <v> </v>
      </c>
      <c r="J3723" s="25" t="str">
        <f>IF(OR(E3723="",E3723="!!!",F3723="NEW"),"",COUNTBLANK(OFFSET(A$1,,,SUMPRODUCT(MAX(ROW(E$2:E3723)*(E3723=E$2:E3723)))))-COUNTBLANK(OFFSET(A$1,,,SUMPRODUCT(MAX(ROW(E$1:E3722)*(E2=E$1:E3722))))))</f>
        <v> </v>
      </c>
      <c r="K3723" s="25" t="str">
        <f>IF(OR(E3723="",E3723="!!!",F3723="NEW"),"",INDEX(J$1:J3722,SUMPRODUCT(MAX(ROW(E$1:E3722)*(E3723=E$1:E3722)))))</f>
        <v> </v>
      </c>
      <c r="L3723" s="26"/>
    </row>
    <row r="3724" spans="1:12">
      <c r="A3724" s="20" t="s">
        <v>712</v>
      </c>
      <c r="E3724" s="21">
        <f>IF(D3724="?OLD","!!!","")</f>
        <v/>
      </c>
      <c r="F3724" s="22" t="str">
        <f>IF(OR(E3724="",E3724="!!!"),"",IF(NOT(ISNA(VLOOKUP(E3724,E$1:E3723,1,FALSE()))),"OLD",IF(AND(E3724&lt;&gt;"",E3724&lt;&gt;"!!!"),"NEW","")))</f>
        <v> </v>
      </c>
      <c r="G3724" s="23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4" t="str">
        <f>IF(J3724&lt;&gt;1,"",IF(I3724="SBJ","CB","?"))</f>
        <v> </v>
      </c>
      <c r="I3724" s="25" t="str">
        <f>IF(OR(E3724="",E3724="!!!",F3724="NEW"),"",INDEX(B3723:B$2,-1+SUMPRODUCT(MAX(ROW(E3723:E$2)*(E3724=E3723:E$2)))))</f>
        <v> </v>
      </c>
      <c r="J3724" s="25" t="str">
        <f>IF(OR(E3724="",E3724="!!!",F3724="NEW"),"",COUNTBLANK(OFFSET(A$1,,,SUMPRODUCT(MAX(ROW(E$2:E3724)*(E3724=E$2:E3724)))))-COUNTBLANK(OFFSET(A$1,,,SUMPRODUCT(MAX(ROW(E$1:E3723)*(E2=E$1:E3723))))))</f>
        <v> </v>
      </c>
      <c r="K3724" s="25" t="str">
        <f>IF(OR(E3724="",E3724="!!!",F3724="NEW"),"",INDEX(J$1:J3723,SUMPRODUCT(MAX(ROW(E$1:E3723)*(E3724=E$1:E3723)))))</f>
        <v> </v>
      </c>
      <c r="L3724" s="26"/>
    </row>
    <row r="3725" spans="1:12">
      <c r="A3725" s="20" t="s">
        <v>724</v>
      </c>
      <c r="E3725" s="21">
        <f>IF(D3725="?OLD","!!!","")</f>
        <v/>
      </c>
      <c r="F3725" s="22" t="str">
        <f>IF(OR(E3725="",E3725="!!!"),"",IF(NOT(ISNA(VLOOKUP(E3725,E$1:E3724,1,FALSE()))),"OLD",IF(AND(E3725&lt;&gt;"",E3725&lt;&gt;"!!!"),"NEW","")))</f>
        <v> </v>
      </c>
      <c r="G3725" s="23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4" t="str">
        <f>IF(J3725&lt;&gt;1,"",IF(I3725="SBJ","CB","?"))</f>
        <v> </v>
      </c>
      <c r="I3725" s="25" t="str">
        <f>IF(OR(E3725="",E3725="!!!",F3725="NEW"),"",INDEX(B3724:B$2,-1+SUMPRODUCT(MAX(ROW(E3724:E$2)*(E3725=E3724:E$2)))))</f>
        <v> </v>
      </c>
      <c r="J3725" s="25" t="str">
        <f>IF(OR(E3725="",E3725="!!!",F3725="NEW"),"",COUNTBLANK(OFFSET(A$1,,,SUMPRODUCT(MAX(ROW(E$2:E3725)*(E3725=E$2:E3725)))))-COUNTBLANK(OFFSET(A$1,,,SUMPRODUCT(MAX(ROW(E$1:E3724)*(E2=E$1:E3724))))))</f>
        <v> </v>
      </c>
      <c r="K3725" s="25" t="str">
        <f>IF(OR(E3725="",E3725="!!!",F3725="NEW"),"",INDEX(J$1:J3724,SUMPRODUCT(MAX(ROW(E$1:E3724)*(E3725=E$1:E3724)))))</f>
        <v> </v>
      </c>
      <c r="L3725" s="26"/>
    </row>
    <row r="3726" spans="1:12">
      <c r="A3726" s="20" t="s">
        <v>1667</v>
      </c>
      <c r="B3726" s="27" t="s">
        <v>703</v>
      </c>
      <c r="C3726" s="27" t="s">
        <v>693</v>
      </c>
      <c r="D3726" s="27" t="s">
        <v>694</v>
      </c>
      <c r="E3726" s="21">
        <f>IF(D3726="?OLD","!!!","")</f>
        <v/>
      </c>
      <c r="F3726" s="22" t="str">
        <f>IF(OR(E3726="",E3726="!!!"),"",IF(NOT(ISNA(VLOOKUP(E3726,E$1:E3725,1,FALSE()))),"OLD",IF(AND(E3726&lt;&gt;"",E3726&lt;&gt;"!!!"),"NEW","")))</f>
        <v> </v>
      </c>
      <c r="G3726" s="23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4" t="str">
        <f>IF(J3726&lt;&gt;1,"",IF(I3726="SBJ","CB","?"))</f>
        <v> </v>
      </c>
      <c r="I3726" s="25" t="str">
        <f>IF(OR(E3726="",E3726="!!!",F3726="NEW"),"",INDEX(B3725:B$2,-1+SUMPRODUCT(MAX(ROW(E3725:E$2)*(E3726=E3725:E$2)))))</f>
        <v> </v>
      </c>
      <c r="J3726" s="25" t="str">
        <f>IF(OR(E3726="",E3726="!!!",F3726="NEW"),"",COUNTBLANK(OFFSET(A$1,,,SUMPRODUCT(MAX(ROW(E$2:E3726)*(E3726=E$2:E3726)))))-COUNTBLANK(OFFSET(A$1,,,SUMPRODUCT(MAX(ROW(E$1:E3725)*(E2=E$1:E3725))))))</f>
        <v> </v>
      </c>
      <c r="K3726" s="25" t="str">
        <f>IF(OR(E3726="",E3726="!!!",F3726="NEW"),"",INDEX(J$1:J3725,SUMPRODUCT(MAX(ROW(E$1:E3725)*(E3726=E$1:E3725)))))</f>
        <v> </v>
      </c>
      <c r="L3726" s="26"/>
    </row>
    <row r="3727" spans="1:12">
      <c r="A3727" s="20" t="s">
        <v>722</v>
      </c>
      <c r="E3727" s="21">
        <f>IF(D3727="?OLD","!!!","")</f>
        <v/>
      </c>
      <c r="F3727" s="22" t="str">
        <f>IF(OR(E3727="",E3727="!!!"),"",IF(NOT(ISNA(VLOOKUP(E3727,E$1:E3726,1,FALSE()))),"OLD",IF(AND(E3727&lt;&gt;"",E3727&lt;&gt;"!!!"),"NEW","")))</f>
        <v> </v>
      </c>
      <c r="G3727" s="23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4" t="str">
        <f>IF(J3727&lt;&gt;1,"",IF(I3727="SBJ","CB","?"))</f>
        <v> </v>
      </c>
      <c r="I3727" s="25" t="str">
        <f>IF(OR(E3727="",E3727="!!!",F3727="NEW"),"",INDEX(B3726:B$2,-1+SUMPRODUCT(MAX(ROW(E3726:E$2)*(E3727=E3726:E$2)))))</f>
        <v> </v>
      </c>
      <c r="J3727" s="25" t="str">
        <f>IF(OR(E3727="",E3727="!!!",F3727="NEW"),"",COUNTBLANK(OFFSET(A$1,,,SUMPRODUCT(MAX(ROW(E$2:E3727)*(E3727=E$2:E3727)))))-COUNTBLANK(OFFSET(A$1,,,SUMPRODUCT(MAX(ROW(E$1:E3726)*(E2=E$1:E3726))))))</f>
        <v> </v>
      </c>
      <c r="K3727" s="25" t="str">
        <f>IF(OR(E3727="",E3727="!!!",F3727="NEW"),"",INDEX(J$1:J3726,SUMPRODUCT(MAX(ROW(E$1:E3726)*(E3727=E$1:E3726)))))</f>
        <v> </v>
      </c>
      <c r="L3727" s="26"/>
    </row>
    <row r="3728" spans="1:12">
      <c r="A3728" s="20" t="s">
        <v>712</v>
      </c>
      <c r="E3728" s="21">
        <f>IF(D3728="?OLD","!!!","")</f>
        <v/>
      </c>
      <c r="F3728" s="22" t="str">
        <f>IF(OR(E3728="",E3728="!!!"),"",IF(NOT(ISNA(VLOOKUP(E3728,E$1:E3727,1,FALSE()))),"OLD",IF(AND(E3728&lt;&gt;"",E3728&lt;&gt;"!!!"),"NEW","")))</f>
        <v> </v>
      </c>
      <c r="G3728" s="23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4" t="str">
        <f>IF(J3728&lt;&gt;1,"",IF(I3728="SBJ","CB","?"))</f>
        <v> </v>
      </c>
      <c r="I3728" s="25" t="str">
        <f>IF(OR(E3728="",E3728="!!!",F3728="NEW"),"",INDEX(B3727:B$2,-1+SUMPRODUCT(MAX(ROW(E3727:E$2)*(E3728=E3727:E$2)))))</f>
        <v> </v>
      </c>
      <c r="J3728" s="25" t="str">
        <f>IF(OR(E3728="",E3728="!!!",F3728="NEW"),"",COUNTBLANK(OFFSET(A$1,,,SUMPRODUCT(MAX(ROW(E$2:E3728)*(E3728=E$2:E3728)))))-COUNTBLANK(OFFSET(A$1,,,SUMPRODUCT(MAX(ROW(E$1:E3727)*(E2=E$1:E3727))))))</f>
        <v> </v>
      </c>
      <c r="K3728" s="25" t="str">
        <f>IF(OR(E3728="",E3728="!!!",F3728="NEW"),"",INDEX(J$1:J3727,SUMPRODUCT(MAX(ROW(E$1:E3727)*(E3728=E$1:E3727)))))</f>
        <v> </v>
      </c>
      <c r="L3728" s="26"/>
    </row>
    <row r="3729" spans="1:12">
      <c r="A3729" s="20" t="s">
        <v>219</v>
      </c>
      <c r="E3729" s="21">
        <f>IF(D3729="?OLD","!!!","")</f>
        <v/>
      </c>
      <c r="F3729" s="22" t="str">
        <f>IF(OR(E3729="",E3729="!!!"),"",IF(NOT(ISNA(VLOOKUP(E3729,E$1:E3728,1,FALSE()))),"OLD",IF(AND(E3729&lt;&gt;"",E3729&lt;&gt;"!!!"),"NEW","")))</f>
        <v> </v>
      </c>
      <c r="G3729" s="23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4" t="str">
        <f>IF(J3729&lt;&gt;1,"",IF(I3729="SBJ","CB","?"))</f>
        <v> </v>
      </c>
      <c r="I3729" s="25" t="str">
        <f>IF(OR(E3729="",E3729="!!!",F3729="NEW"),"",INDEX(B3728:B$2,-1+SUMPRODUCT(MAX(ROW(E3728:E$2)*(E3729=E3728:E$2)))))</f>
        <v> </v>
      </c>
      <c r="J3729" s="25" t="str">
        <f>IF(OR(E3729="",E3729="!!!",F3729="NEW"),"",COUNTBLANK(OFFSET(A$1,,,SUMPRODUCT(MAX(ROW(E$2:E3729)*(E3729=E$2:E3729)))))-COUNTBLANK(OFFSET(A$1,,,SUMPRODUCT(MAX(ROW(E$1:E3728)*(E2=E$1:E3728))))))</f>
        <v> </v>
      </c>
      <c r="K3729" s="25" t="str">
        <f>IF(OR(E3729="",E3729="!!!",F3729="NEW"),"",INDEX(J$1:J3728,SUMPRODUCT(MAX(ROW(E$1:E3728)*(E3729=E$1:E3728)))))</f>
        <v> </v>
      </c>
      <c r="L3729" s="26"/>
    </row>
    <row r="3730" spans="1:12">
      <c r="A3730" s="20" t="s">
        <v>1668</v>
      </c>
      <c r="B3730" s="27" t="s">
        <v>713</v>
      </c>
      <c r="C3730" s="27" t="s">
        <v>717</v>
      </c>
      <c r="D3730" s="27" t="s">
        <v>694</v>
      </c>
      <c r="E3730" s="21">
        <f>IF(D3730="?OLD","!!!","")</f>
        <v/>
      </c>
      <c r="F3730" s="22" t="str">
        <f>IF(OR(E3730="",E3730="!!!"),"",IF(NOT(ISNA(VLOOKUP(E3730,E$1:E3729,1,FALSE()))),"OLD",IF(AND(E3730&lt;&gt;"",E3730&lt;&gt;"!!!"),"NEW","")))</f>
        <v> </v>
      </c>
      <c r="G3730" s="23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4" t="str">
        <f>IF(J3730&lt;&gt;1,"",IF(I3730="SBJ","CB","?"))</f>
        <v> </v>
      </c>
      <c r="I3730" s="25" t="str">
        <f>IF(OR(E3730="",E3730="!!!",F3730="NEW"),"",INDEX(B3729:B$2,-1+SUMPRODUCT(MAX(ROW(E3729:E$2)*(E3730=E3729:E$2)))))</f>
        <v> </v>
      </c>
      <c r="J3730" s="25" t="str">
        <f>IF(OR(E3730="",E3730="!!!",F3730="NEW"),"",COUNTBLANK(OFFSET(A$1,,,SUMPRODUCT(MAX(ROW(E$2:E3730)*(E3730=E$2:E3730)))))-COUNTBLANK(OFFSET(A$1,,,SUMPRODUCT(MAX(ROW(E$1:E3729)*(E2=E$1:E3729))))))</f>
        <v> </v>
      </c>
      <c r="K3730" s="25" t="str">
        <f>IF(OR(E3730="",E3730="!!!",F3730="NEW"),"",INDEX(J$1:J3729,SUMPRODUCT(MAX(ROW(E$1:E3729)*(E3730=E$1:E3729)))))</f>
        <v> </v>
      </c>
      <c r="L3730" s="26"/>
    </row>
    <row r="3731" spans="1:12">
      <c r="A3731" s="20" t="s">
        <v>701</v>
      </c>
      <c r="E3731" s="21">
        <f>IF(D3731="?OLD","!!!","")</f>
        <v/>
      </c>
      <c r="F3731" s="22" t="str">
        <f>IF(OR(E3731="",E3731="!!!"),"",IF(NOT(ISNA(VLOOKUP(E3731,E$1:E3730,1,FALSE()))),"OLD",IF(AND(E3731&lt;&gt;"",E3731&lt;&gt;"!!!"),"NEW","")))</f>
        <v> </v>
      </c>
      <c r="G3731" s="23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4" t="str">
        <f>IF(J3731&lt;&gt;1,"",IF(I3731="SBJ","CB","?"))</f>
        <v> </v>
      </c>
      <c r="I3731" s="25" t="str">
        <f>IF(OR(E3731="",E3731="!!!",F3731="NEW"),"",INDEX(B3730:B$2,-1+SUMPRODUCT(MAX(ROW(E3730:E$2)*(E3731=E3730:E$2)))))</f>
        <v> </v>
      </c>
      <c r="J3731" s="25" t="str">
        <f>IF(OR(E3731="",E3731="!!!",F3731="NEW"),"",COUNTBLANK(OFFSET(A$1,,,SUMPRODUCT(MAX(ROW(E$2:E3731)*(E3731=E$2:E3731)))))-COUNTBLANK(OFFSET(A$1,,,SUMPRODUCT(MAX(ROW(E$1:E3730)*(E2=E$1:E3730))))))</f>
        <v> </v>
      </c>
      <c r="K3731" s="25" t="str">
        <f>IF(OR(E3731="",E3731="!!!",F3731="NEW"),"",INDEX(J$1:J3730,SUMPRODUCT(MAX(ROW(E$1:E3730)*(E3731=E$1:E3730)))))</f>
        <v> </v>
      </c>
      <c r="L3731" s="26"/>
    </row>
    <row r="3732" spans="1:12">
      <c r="A3732" s="20" t="s">
        <v>1120</v>
      </c>
      <c r="E3732" s="21">
        <f>IF(D3732="?OLD","!!!","")</f>
        <v/>
      </c>
      <c r="F3732" s="22" t="str">
        <f>IF(OR(E3732="",E3732="!!!"),"",IF(NOT(ISNA(VLOOKUP(E3732,E$1:E3731,1,FALSE()))),"OLD",IF(AND(E3732&lt;&gt;"",E3732&lt;&gt;"!!!"),"NEW","")))</f>
        <v> </v>
      </c>
      <c r="G3732" s="23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4" t="str">
        <f>IF(J3732&lt;&gt;1,"",IF(I3732="SBJ","CB","?"))</f>
        <v> </v>
      </c>
      <c r="I3732" s="25" t="str">
        <f>IF(OR(E3732="",E3732="!!!",F3732="NEW"),"",INDEX(B3731:B$2,-1+SUMPRODUCT(MAX(ROW(E3731:E$2)*(E3732=E3731:E$2)))))</f>
        <v> </v>
      </c>
      <c r="J3732" s="25" t="str">
        <f>IF(OR(E3732="",E3732="!!!",F3732="NEW"),"",COUNTBLANK(OFFSET(A$1,,,SUMPRODUCT(MAX(ROW(E$2:E3732)*(E3732=E$2:E3732)))))-COUNTBLANK(OFFSET(A$1,,,SUMPRODUCT(MAX(ROW(E$1:E3731)*(E2=E$1:E3731))))))</f>
        <v> </v>
      </c>
      <c r="K3732" s="25" t="str">
        <f>IF(OR(E3732="",E3732="!!!",F3732="NEW"),"",INDEX(J$1:J3731,SUMPRODUCT(MAX(ROW(E$1:E3731)*(E3732=E$1:E3731)))))</f>
        <v> </v>
      </c>
      <c r="L3732" s="26"/>
    </row>
    <row r="3733" spans="1:12">
      <c r="A3733" s="20" t="s">
        <v>722</v>
      </c>
      <c r="E3733" s="21">
        <f>IF(D3733="?OLD","!!!","")</f>
        <v/>
      </c>
      <c r="F3733" s="22" t="str">
        <f>IF(OR(E3733="",E3733="!!!"),"",IF(NOT(ISNA(VLOOKUP(E3733,E$1:E3732,1,FALSE()))),"OLD",IF(AND(E3733&lt;&gt;"",E3733&lt;&gt;"!!!"),"NEW","")))</f>
        <v> </v>
      </c>
      <c r="G3733" s="23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4" t="str">
        <f>IF(J3733&lt;&gt;1,"",IF(I3733="SBJ","CB","?"))</f>
        <v> </v>
      </c>
      <c r="I3733" s="25" t="str">
        <f>IF(OR(E3733="",E3733="!!!",F3733="NEW"),"",INDEX(B3732:B$2,-1+SUMPRODUCT(MAX(ROW(E3732:E$2)*(E3733=E3732:E$2)))))</f>
        <v> </v>
      </c>
      <c r="J3733" s="25" t="str">
        <f>IF(OR(E3733="",E3733="!!!",F3733="NEW"),"",COUNTBLANK(OFFSET(A$1,,,SUMPRODUCT(MAX(ROW(E$2:E3733)*(E3733=E$2:E3733)))))-COUNTBLANK(OFFSET(A$1,,,SUMPRODUCT(MAX(ROW(E$1:E3732)*(E2=E$1:E3732))))))</f>
        <v> </v>
      </c>
      <c r="K3733" s="25" t="str">
        <f>IF(OR(E3733="",E3733="!!!",F3733="NEW"),"",INDEX(J$1:J3732,SUMPRODUCT(MAX(ROW(E$1:E3732)*(E3733=E$1:E3732)))))</f>
        <v> </v>
      </c>
      <c r="L3733" s="26"/>
    </row>
    <row r="3734" spans="1:12">
      <c r="A3734" s="20" t="s">
        <v>1669</v>
      </c>
      <c r="E3734" s="21">
        <f>IF(D3734="?OLD","!!!","")</f>
        <v/>
      </c>
      <c r="F3734" s="22" t="str">
        <f>IF(OR(E3734="",E3734="!!!"),"",IF(NOT(ISNA(VLOOKUP(E3734,E$1:E3733,1,FALSE()))),"OLD",IF(AND(E3734&lt;&gt;"",E3734&lt;&gt;"!!!"),"NEW","")))</f>
        <v> </v>
      </c>
      <c r="G3734" s="23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4" t="str">
        <f>IF(J3734&lt;&gt;1,"",IF(I3734="SBJ","CB","?"))</f>
        <v> </v>
      </c>
      <c r="I3734" s="25" t="str">
        <f>IF(OR(E3734="",E3734="!!!",F3734="NEW"),"",INDEX(B3733:B$2,-1+SUMPRODUCT(MAX(ROW(E3733:E$2)*(E3734=E3733:E$2)))))</f>
        <v> </v>
      </c>
      <c r="J3734" s="25" t="str">
        <f>IF(OR(E3734="",E3734="!!!",F3734="NEW"),"",COUNTBLANK(OFFSET(A$1,,,SUMPRODUCT(MAX(ROW(E$2:E3734)*(E3734=E$2:E3734)))))-COUNTBLANK(OFFSET(A$1,,,SUMPRODUCT(MAX(ROW(E$1:E3733)*(E2=E$1:E3733))))))</f>
        <v> </v>
      </c>
      <c r="K3734" s="25" t="str">
        <f>IF(OR(E3734="",E3734="!!!",F3734="NEW"),"",INDEX(J$1:J3733,SUMPRODUCT(MAX(ROW(E$1:E3733)*(E3734=E$1:E3733)))))</f>
        <v> </v>
      </c>
      <c r="L3734" s="26"/>
    </row>
    <row r="3735" spans="1:12">
      <c r="A3735" s="20" t="s">
        <v>742</v>
      </c>
      <c r="E3735" s="21">
        <f>IF(D3735="?OLD","!!!","")</f>
        <v/>
      </c>
      <c r="F3735" s="22" t="str">
        <f>IF(OR(E3735="",E3735="!!!"),"",IF(NOT(ISNA(VLOOKUP(E3735,E$1:E3734,1,FALSE()))),"OLD",IF(AND(E3735&lt;&gt;"",E3735&lt;&gt;"!!!"),"NEW","")))</f>
        <v> </v>
      </c>
      <c r="G3735" s="23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4" t="str">
        <f>IF(J3735&lt;&gt;1,"",IF(I3735="SBJ","CB","?"))</f>
        <v> </v>
      </c>
      <c r="I3735" s="25" t="str">
        <f>IF(OR(E3735="",E3735="!!!",F3735="NEW"),"",INDEX(B3734:B$2,-1+SUMPRODUCT(MAX(ROW(E3734:E$2)*(E3735=E3734:E$2)))))</f>
        <v> </v>
      </c>
      <c r="J3735" s="25" t="str">
        <f>IF(OR(E3735="",E3735="!!!",F3735="NEW"),"",COUNTBLANK(OFFSET(A$1,,,SUMPRODUCT(MAX(ROW(E$2:E3735)*(E3735=E$2:E3735)))))-COUNTBLANK(OFFSET(A$1,,,SUMPRODUCT(MAX(ROW(E$1:E3734)*(E2=E$1:E3734))))))</f>
        <v> </v>
      </c>
      <c r="K3735" s="25" t="str">
        <f>IF(OR(E3735="",E3735="!!!",F3735="NEW"),"",INDEX(J$1:J3734,SUMPRODUCT(MAX(ROW(E$1:E3734)*(E3735=E$1:E3734)))))</f>
        <v> </v>
      </c>
      <c r="L3735" s="26"/>
    </row>
    <row r="3736" spans="1:12">
      <c r="A3736" s="20" t="s">
        <v>1590</v>
      </c>
      <c r="B3736" s="27" t="s">
        <v>716</v>
      </c>
      <c r="C3736" s="27" t="s">
        <v>820</v>
      </c>
      <c r="E3736" s="21">
        <f>IF(D3736="?OLD","!!!","")</f>
        <v/>
      </c>
      <c r="F3736" s="22" t="str">
        <f>IF(OR(E3736="",E3736="!!!"),"",IF(NOT(ISNA(VLOOKUP(E3736,E$1:E3735,1,FALSE()))),"OLD",IF(AND(E3736&lt;&gt;"",E3736&lt;&gt;"!!!"),"NEW","")))</f>
        <v> </v>
      </c>
      <c r="G3736" s="23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4" t="str">
        <f>IF(J3736&lt;&gt;1,"",IF(I3736="SBJ","CB","?"))</f>
        <v> </v>
      </c>
      <c r="I3736" s="25" t="str">
        <f>IF(OR(E3736="",E3736="!!!",F3736="NEW"),"",INDEX(B3735:B$2,-1+SUMPRODUCT(MAX(ROW(E3735:E$2)*(E3736=E3735:E$2)))))</f>
        <v> </v>
      </c>
      <c r="J3736" s="25" t="str">
        <f>IF(OR(E3736="",E3736="!!!",F3736="NEW"),"",COUNTBLANK(OFFSET(A$1,,,SUMPRODUCT(MAX(ROW(E$2:E3736)*(E3736=E$2:E3736)))))-COUNTBLANK(OFFSET(A$1,,,SUMPRODUCT(MAX(ROW(E$1:E3735)*(E2=E$1:E3735))))))</f>
        <v> </v>
      </c>
      <c r="K3736" s="25" t="str">
        <f>IF(OR(E3736="",E3736="!!!",F3736="NEW"),"",INDEX(J$1:J3735,SUMPRODUCT(MAX(ROW(E$1:E3735)*(E3736=E$1:E3735)))))</f>
        <v> </v>
      </c>
      <c r="L3736" s="26"/>
    </row>
    <row r="3737" spans="1:12">
      <c r="A3737" s="20" t="s">
        <v>804</v>
      </c>
      <c r="E3737" s="21">
        <f>IF(D3737="?OLD","!!!","")</f>
        <v/>
      </c>
      <c r="F3737" s="22" t="str">
        <f>IF(OR(E3737="",E3737="!!!"),"",IF(NOT(ISNA(VLOOKUP(E3737,E$1:E3736,1,FALSE()))),"OLD",IF(AND(E3737&lt;&gt;"",E3737&lt;&gt;"!!!"),"NEW","")))</f>
        <v> </v>
      </c>
      <c r="G3737" s="23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4" t="str">
        <f>IF(J3737&lt;&gt;1,"",IF(I3737="SBJ","CB","?"))</f>
        <v> </v>
      </c>
      <c r="I3737" s="25" t="str">
        <f>IF(OR(E3737="",E3737="!!!",F3737="NEW"),"",INDEX(B3736:B$2,-1+SUMPRODUCT(MAX(ROW(E3736:E$2)*(E3737=E3736:E$2)))))</f>
        <v> </v>
      </c>
      <c r="J3737" s="25" t="str">
        <f>IF(OR(E3737="",E3737="!!!",F3737="NEW"),"",COUNTBLANK(OFFSET(A$1,,,SUMPRODUCT(MAX(ROW(E$2:E3737)*(E3737=E$2:E3737)))))-COUNTBLANK(OFFSET(A$1,,,SUMPRODUCT(MAX(ROW(E$1:E3736)*(E2=E$1:E3736))))))</f>
        <v> </v>
      </c>
      <c r="K3737" s="25" t="str">
        <f>IF(OR(E3737="",E3737="!!!",F3737="NEW"),"",INDEX(J$1:J3736,SUMPRODUCT(MAX(ROW(E$1:E3736)*(E3737=E$1:E3736)))))</f>
        <v> </v>
      </c>
      <c r="L3737" s="26"/>
    </row>
    <row r="3738" spans="1:12">
      <c r="A3738" s="20" t="s">
        <v>998</v>
      </c>
      <c r="E3738" s="21">
        <f>IF(D3738="?OLD","!!!","")</f>
        <v/>
      </c>
      <c r="F3738" s="22" t="str">
        <f>IF(OR(E3738="",E3738="!!!"),"",IF(NOT(ISNA(VLOOKUP(E3738,E$1:E3737,1,FALSE()))),"OLD",IF(AND(E3738&lt;&gt;"",E3738&lt;&gt;"!!!"),"NEW","")))</f>
        <v> </v>
      </c>
      <c r="G3738" s="23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4" t="str">
        <f>IF(J3738&lt;&gt;1,"",IF(I3738="SBJ","CB","?"))</f>
        <v> </v>
      </c>
      <c r="I3738" s="25" t="str">
        <f>IF(OR(E3738="",E3738="!!!",F3738="NEW"),"",INDEX(B3737:B$2,-1+SUMPRODUCT(MAX(ROW(E3737:E$2)*(E3738=E3737:E$2)))))</f>
        <v> </v>
      </c>
      <c r="J3738" s="25" t="str">
        <f>IF(OR(E3738="",E3738="!!!",F3738="NEW"),"",COUNTBLANK(OFFSET(A$1,,,SUMPRODUCT(MAX(ROW(E$2:E3738)*(E3738=E$2:E3738)))))-COUNTBLANK(OFFSET(A$1,,,SUMPRODUCT(MAX(ROW(E$1:E3737)*(E2=E$1:E3737))))))</f>
        <v> </v>
      </c>
      <c r="K3738" s="25" t="str">
        <f>IF(OR(E3738="",E3738="!!!",F3738="NEW"),"",INDEX(J$1:J3737,SUMPRODUCT(MAX(ROW(E$1:E3737)*(E3738=E$1:E3737)))))</f>
        <v> </v>
      </c>
      <c r="L3738" s="26"/>
    </row>
    <row r="3739" spans="1:12">
      <c r="A3739" s="20" t="s">
        <v>690</v>
      </c>
      <c r="E3739" s="21">
        <f>IF(D3739="?OLD","!!!","")</f>
        <v/>
      </c>
      <c r="F3739" s="22" t="str">
        <f>IF(OR(E3739="",E3739="!!!"),"",IF(NOT(ISNA(VLOOKUP(E3739,E$1:E3738,1,FALSE()))),"OLD",IF(AND(E3739&lt;&gt;"",E3739&lt;&gt;"!!!"),"NEW","")))</f>
        <v> </v>
      </c>
      <c r="G3739" s="23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4" t="str">
        <f>IF(J3739&lt;&gt;1,"",IF(I3739="SBJ","CB","?"))</f>
        <v> </v>
      </c>
      <c r="I3739" s="25" t="str">
        <f>IF(OR(E3739="",E3739="!!!",F3739="NEW"),"",INDEX(B3738:B$2,-1+SUMPRODUCT(MAX(ROW(E3738:E$2)*(E3739=E3738:E$2)))))</f>
        <v> </v>
      </c>
      <c r="J3739" s="25" t="str">
        <f>IF(OR(E3739="",E3739="!!!",F3739="NEW"),"",COUNTBLANK(OFFSET(A$1,,,SUMPRODUCT(MAX(ROW(E$2:E3739)*(E3739=E$2:E3739)))))-COUNTBLANK(OFFSET(A$1,,,SUMPRODUCT(MAX(ROW(E$1:E3738)*(E2=E$1:E3738))))))</f>
        <v> </v>
      </c>
      <c r="K3739" s="25" t="str">
        <f>IF(OR(E3739="",E3739="!!!",F3739="NEW"),"",INDEX(J$1:J3738,SUMPRODUCT(MAX(ROW(E$1:E3738)*(E3739=E$1:E3738)))))</f>
        <v> </v>
      </c>
      <c r="L3739" s="26"/>
    </row>
    <row r="3740" spans="1:12">
      <c r="A3740" s="20" t="s">
        <v>1656</v>
      </c>
      <c r="B3740" s="27" t="s">
        <v>719</v>
      </c>
      <c r="C3740" s="27" t="s">
        <v>699</v>
      </c>
      <c r="E3740" s="21">
        <f>IF(D3740="?OLD","!!!","")</f>
        <v/>
      </c>
      <c r="F3740" s="22" t="str">
        <f>IF(OR(E3740="",E3740="!!!"),"",IF(NOT(ISNA(VLOOKUP(E3740,E$1:E3739,1,FALSE()))),"OLD",IF(AND(E3740&lt;&gt;"",E3740&lt;&gt;"!!!"),"NEW","")))</f>
        <v> </v>
      </c>
      <c r="G3740" s="23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4" t="str">
        <f>IF(J3740&lt;&gt;1,"",IF(I3740="SBJ","CB","?"))</f>
        <v> </v>
      </c>
      <c r="I3740" s="25" t="str">
        <f>IF(OR(E3740="",E3740="!!!",F3740="NEW"),"",INDEX(B3739:B$2,-1+SUMPRODUCT(MAX(ROW(E3739:E$2)*(E3740=E3739:E$2)))))</f>
        <v> </v>
      </c>
      <c r="J3740" s="25" t="str">
        <f>IF(OR(E3740="",E3740="!!!",F3740="NEW"),"",COUNTBLANK(OFFSET(A$1,,,SUMPRODUCT(MAX(ROW(E$2:E3740)*(E3740=E$2:E3740)))))-COUNTBLANK(OFFSET(A$1,,,SUMPRODUCT(MAX(ROW(E$1:E3739)*(E2=E$1:E3739))))))</f>
        <v> </v>
      </c>
      <c r="K3740" s="25" t="str">
        <f>IF(OR(E3740="",E3740="!!!",F3740="NEW"),"",INDEX(J$1:J3739,SUMPRODUCT(MAX(ROW(E$1:E3739)*(E3740=E$1:E3739)))))</f>
        <v> </v>
      </c>
      <c r="L3740" s="26"/>
    </row>
    <row r="3741" spans="1:12">
      <c r="A3741" s="20" t="s">
        <v>730</v>
      </c>
      <c r="E3741" s="21">
        <f>IF(D3741="?OLD","!!!","")</f>
        <v/>
      </c>
      <c r="F3741" s="22" t="str">
        <f>IF(OR(E3741="",E3741="!!!"),"",IF(NOT(ISNA(VLOOKUP(E3741,E$1:E3740,1,FALSE()))),"OLD",IF(AND(E3741&lt;&gt;"",E3741&lt;&gt;"!!!"),"NEW","")))</f>
        <v> </v>
      </c>
      <c r="G3741" s="23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4" t="str">
        <f>IF(J3741&lt;&gt;1,"",IF(I3741="SBJ","CB","?"))</f>
        <v> </v>
      </c>
      <c r="I3741" s="25" t="str">
        <f>IF(OR(E3741="",E3741="!!!",F3741="NEW"),"",INDEX(B3740:B$2,-1+SUMPRODUCT(MAX(ROW(E3740:E$2)*(E3741=E3740:E$2)))))</f>
        <v> </v>
      </c>
      <c r="J3741" s="25" t="str">
        <f>IF(OR(E3741="",E3741="!!!",F3741="NEW"),"",COUNTBLANK(OFFSET(A$1,,,SUMPRODUCT(MAX(ROW(E$2:E3741)*(E3741=E$2:E3741)))))-COUNTBLANK(OFFSET(A$1,,,SUMPRODUCT(MAX(ROW(E$1:E3740)*(E2=E$1:E3740))))))</f>
        <v> </v>
      </c>
      <c r="K3741" s="25" t="str">
        <f>IF(OR(E3741="",E3741="!!!",F3741="NEW"),"",INDEX(J$1:J3740,SUMPRODUCT(MAX(ROW(E$1:E3740)*(E3741=E$1:E3740)))))</f>
        <v> </v>
      </c>
      <c r="L3741" s="26"/>
    </row>
    <row r="3742" spans="1:12">
      <c r="A3742" s="20" t="s">
        <v>1670</v>
      </c>
      <c r="E3742" s="21">
        <f>IF(D3742="?OLD","!!!","")</f>
        <v/>
      </c>
      <c r="F3742" s="22" t="str">
        <f>IF(OR(E3742="",E3742="!!!"),"",IF(NOT(ISNA(VLOOKUP(E3742,E$1:E3741,1,FALSE()))),"OLD",IF(AND(E3742&lt;&gt;"",E3742&lt;&gt;"!!!"),"NEW","")))</f>
        <v> </v>
      </c>
      <c r="G3742" s="23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4" t="str">
        <f>IF(J3742&lt;&gt;1,"",IF(I3742="SBJ","CB","?"))</f>
        <v> </v>
      </c>
      <c r="I3742" s="25" t="str">
        <f>IF(OR(E3742="",E3742="!!!",F3742="NEW"),"",INDEX(B3741:B$2,-1+SUMPRODUCT(MAX(ROW(E3741:E$2)*(E3742=E3741:E$2)))))</f>
        <v> </v>
      </c>
      <c r="J3742" s="25" t="str">
        <f>IF(OR(E3742="",E3742="!!!",F3742="NEW"),"",COUNTBLANK(OFFSET(A$1,,,SUMPRODUCT(MAX(ROW(E$2:E3742)*(E3742=E$2:E3742)))))-COUNTBLANK(OFFSET(A$1,,,SUMPRODUCT(MAX(ROW(E$1:E3741)*(E2=E$1:E3741))))))</f>
        <v> </v>
      </c>
      <c r="K3742" s="25" t="str">
        <f>IF(OR(E3742="",E3742="!!!",F3742="NEW"),"",INDEX(J$1:J3741,SUMPRODUCT(MAX(ROW(E$1:E3741)*(E3742=E$1:E3741)))))</f>
        <v> </v>
      </c>
      <c r="L3742" s="26"/>
    </row>
    <row r="3743" spans="1:12">
      <c r="A3743" s="20" t="s">
        <v>1662</v>
      </c>
      <c r="B3743" s="27" t="s">
        <v>716</v>
      </c>
      <c r="C3743" s="27" t="s">
        <v>699</v>
      </c>
      <c r="E3743" s="21">
        <f>IF(D3743="?OLD","!!!","")</f>
        <v/>
      </c>
      <c r="F3743" s="22" t="str">
        <f>IF(OR(E3743="",E3743="!!!"),"",IF(NOT(ISNA(VLOOKUP(E3743,E$1:E3742,1,FALSE()))),"OLD",IF(AND(E3743&lt;&gt;"",E3743&lt;&gt;"!!!"),"NEW","")))</f>
        <v> </v>
      </c>
      <c r="G3743" s="23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4" t="str">
        <f>IF(J3743&lt;&gt;1,"",IF(I3743="SBJ","CB","?"))</f>
        <v> </v>
      </c>
      <c r="I3743" s="25" t="str">
        <f>IF(OR(E3743="",E3743="!!!",F3743="NEW"),"",INDEX(B3742:B$2,-1+SUMPRODUCT(MAX(ROW(E3742:E$2)*(E3743=E3742:E$2)))))</f>
        <v> </v>
      </c>
      <c r="J3743" s="25" t="str">
        <f>IF(OR(E3743="",E3743="!!!",F3743="NEW"),"",COUNTBLANK(OFFSET(A$1,,,SUMPRODUCT(MAX(ROW(E$2:E3743)*(E3743=E$2:E3743)))))-COUNTBLANK(OFFSET(A$1,,,SUMPRODUCT(MAX(ROW(E$1:E3742)*(E2=E$1:E3742))))))</f>
        <v> </v>
      </c>
      <c r="K3743" s="25" t="str">
        <f>IF(OR(E3743="",E3743="!!!",F3743="NEW"),"",INDEX(J$1:J3742,SUMPRODUCT(MAX(ROW(E$1:E3742)*(E3743=E$1:E3742)))))</f>
        <v> </v>
      </c>
      <c r="L3743" s="26"/>
    </row>
    <row r="3744" spans="1:12">
      <c r="A3744" s="20" t="s">
        <v>1671</v>
      </c>
      <c r="E3744" s="21">
        <f>IF(D3744="?OLD","!!!","")</f>
        <v/>
      </c>
      <c r="F3744" s="22" t="str">
        <f>IF(OR(E3744="",E3744="!!!"),"",IF(NOT(ISNA(VLOOKUP(E3744,E$1:E3743,1,FALSE()))),"OLD",IF(AND(E3744&lt;&gt;"",E3744&lt;&gt;"!!!"),"NEW","")))</f>
        <v> </v>
      </c>
      <c r="G3744" s="23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4" t="str">
        <f>IF(J3744&lt;&gt;1,"",IF(I3744="SBJ","CB","?"))</f>
        <v> </v>
      </c>
      <c r="I3744" s="25" t="str">
        <f>IF(OR(E3744="",E3744="!!!",F3744="NEW"),"",INDEX(B3743:B$2,-1+SUMPRODUCT(MAX(ROW(E3743:E$2)*(E3744=E3743:E$2)))))</f>
        <v> </v>
      </c>
      <c r="J3744" s="25" t="str">
        <f>IF(OR(E3744="",E3744="!!!",F3744="NEW"),"",COUNTBLANK(OFFSET(A$1,,,SUMPRODUCT(MAX(ROW(E$2:E3744)*(E3744=E$2:E3744)))))-COUNTBLANK(OFFSET(A$1,,,SUMPRODUCT(MAX(ROW(E$1:E3743)*(E2=E$1:E3743))))))</f>
        <v> </v>
      </c>
      <c r="K3744" s="25" t="str">
        <f>IF(OR(E3744="",E3744="!!!",F3744="NEW"),"",INDEX(J$1:J3743,SUMPRODUCT(MAX(ROW(E$1:E3743)*(E3744=E$1:E3743)))))</f>
        <v> </v>
      </c>
      <c r="L3744" s="26"/>
    </row>
    <row r="3745" spans="1:12">
      <c r="A3745" s="20" t="s">
        <v>1672</v>
      </c>
      <c r="E3745" s="21">
        <f>IF(D3745="?OLD","!!!","")</f>
        <v/>
      </c>
      <c r="F3745" s="22" t="str">
        <f>IF(OR(E3745="",E3745="!!!"),"",IF(NOT(ISNA(VLOOKUP(E3745,E$1:E3744,1,FALSE()))),"OLD",IF(AND(E3745&lt;&gt;"",E3745&lt;&gt;"!!!"),"NEW","")))</f>
        <v> </v>
      </c>
      <c r="G3745" s="23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4" t="str">
        <f>IF(J3745&lt;&gt;1,"",IF(I3745="SBJ","CB","?"))</f>
        <v> </v>
      </c>
      <c r="I3745" s="25" t="str">
        <f>IF(OR(E3745="",E3745="!!!",F3745="NEW"),"",INDEX(B3744:B$2,-1+SUMPRODUCT(MAX(ROW(E3744:E$2)*(E3745=E3744:E$2)))))</f>
        <v> </v>
      </c>
      <c r="J3745" s="25" t="str">
        <f>IF(OR(E3745="",E3745="!!!",F3745="NEW"),"",COUNTBLANK(OFFSET(A$1,,,SUMPRODUCT(MAX(ROW(E$2:E3745)*(E3745=E$2:E3745)))))-COUNTBLANK(OFFSET(A$1,,,SUMPRODUCT(MAX(ROW(E$1:E3744)*(E2=E$1:E3744))))))</f>
        <v> </v>
      </c>
      <c r="K3745" s="25" t="str">
        <f>IF(OR(E3745="",E3745="!!!",F3745="NEW"),"",INDEX(J$1:J3744,SUMPRODUCT(MAX(ROW(E$1:E3744)*(E3745=E$1:E3744)))))</f>
        <v> </v>
      </c>
      <c r="L3745" s="26"/>
    </row>
    <row r="3746" spans="1:12">
      <c r="A3746" s="20" t="s">
        <v>701</v>
      </c>
      <c r="E3746" s="21">
        <f>IF(D3746="?OLD","!!!","")</f>
        <v/>
      </c>
      <c r="F3746" s="22" t="str">
        <f>IF(OR(E3746="",E3746="!!!"),"",IF(NOT(ISNA(VLOOKUP(E3746,E$1:E3745,1,FALSE()))),"OLD",IF(AND(E3746&lt;&gt;"",E3746&lt;&gt;"!!!"),"NEW","")))</f>
        <v> </v>
      </c>
      <c r="G3746" s="23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4" t="str">
        <f>IF(J3746&lt;&gt;1,"",IF(I3746="SBJ","CB","?"))</f>
        <v> </v>
      </c>
      <c r="I3746" s="25" t="str">
        <f>IF(OR(E3746="",E3746="!!!",F3746="NEW"),"",INDEX(B3745:B$2,-1+SUMPRODUCT(MAX(ROW(E3745:E$2)*(E3746=E3745:E$2)))))</f>
        <v> </v>
      </c>
      <c r="J3746" s="25" t="str">
        <f>IF(OR(E3746="",E3746="!!!",F3746="NEW"),"",COUNTBLANK(OFFSET(A$1,,,SUMPRODUCT(MAX(ROW(E$2:E3746)*(E3746=E$2:E3746)))))-COUNTBLANK(OFFSET(A$1,,,SUMPRODUCT(MAX(ROW(E$1:E3745)*(E2=E$1:E3745))))))</f>
        <v> </v>
      </c>
      <c r="K3746" s="25" t="str">
        <f>IF(OR(E3746="",E3746="!!!",F3746="NEW"),"",INDEX(J$1:J3745,SUMPRODUCT(MAX(ROW(E$1:E3745)*(E3746=E$1:E3745)))))</f>
        <v> </v>
      </c>
      <c r="L3746" s="26"/>
    </row>
    <row r="3747" spans="1:12">
      <c r="A3747" s="20" t="s">
        <v>904</v>
      </c>
      <c r="B3747" s="27" t="s">
        <v>867</v>
      </c>
      <c r="C3747" s="27" t="s">
        <v>789</v>
      </c>
      <c r="D3747" s="27" t="s">
        <v>694</v>
      </c>
      <c r="E3747" s="21">
        <f>IF(D3747="?OLD","!!!","")</f>
        <v/>
      </c>
      <c r="F3747" s="22" t="str">
        <f>IF(OR(E3747="",E3747="!!!"),"",IF(NOT(ISNA(VLOOKUP(E3747,E$1:E3746,1,FALSE()))),"OLD",IF(AND(E3747&lt;&gt;"",E3747&lt;&gt;"!!!"),"NEW","")))</f>
        <v> </v>
      </c>
      <c r="G3747" s="23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4" t="str">
        <f>IF(J3747&lt;&gt;1,"",IF(I3747="SBJ","CB","?"))</f>
        <v> </v>
      </c>
      <c r="I3747" s="25" t="str">
        <f>IF(OR(E3747="",E3747="!!!",F3747="NEW"),"",INDEX(B3746:B$2,-1+SUMPRODUCT(MAX(ROW(E3746:E$2)*(E3747=E3746:E$2)))))</f>
        <v> </v>
      </c>
      <c r="J3747" s="25" t="str">
        <f>IF(OR(E3747="",E3747="!!!",F3747="NEW"),"",COUNTBLANK(OFFSET(A$1,,,SUMPRODUCT(MAX(ROW(E$2:E3747)*(E3747=E$2:E3747)))))-COUNTBLANK(OFFSET(A$1,,,SUMPRODUCT(MAX(ROW(E$1:E3746)*(E2=E$1:E3746))))))</f>
        <v> </v>
      </c>
      <c r="K3747" s="25" t="str">
        <f>IF(OR(E3747="",E3747="!!!",F3747="NEW"),"",INDEX(J$1:J3746,SUMPRODUCT(MAX(ROW(E$1:E3746)*(E3747=E$1:E3746)))))</f>
        <v> </v>
      </c>
      <c r="L3747" s="26"/>
    </row>
    <row r="3748" spans="1:12">
      <c r="A3748" s="20" t="s">
        <v>983</v>
      </c>
      <c r="E3748" s="21">
        <f>IF(D3748="?OLD","!!!","")</f>
        <v/>
      </c>
      <c r="F3748" s="22" t="str">
        <f>IF(OR(E3748="",E3748="!!!"),"",IF(NOT(ISNA(VLOOKUP(E3748,E$1:E3747,1,FALSE()))),"OLD",IF(AND(E3748&lt;&gt;"",E3748&lt;&gt;"!!!"),"NEW","")))</f>
        <v> </v>
      </c>
      <c r="G3748" s="23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4" t="str">
        <f>IF(J3748&lt;&gt;1,"",IF(I3748="SBJ","CB","?"))</f>
        <v> </v>
      </c>
      <c r="I3748" s="25" t="str">
        <f>IF(OR(E3748="",E3748="!!!",F3748="NEW"),"",INDEX(B3747:B$2,-1+SUMPRODUCT(MAX(ROW(E3747:E$2)*(E3748=E3747:E$2)))))</f>
        <v> </v>
      </c>
      <c r="J3748" s="25" t="str">
        <f>IF(OR(E3748="",E3748="!!!",F3748="NEW"),"",COUNTBLANK(OFFSET(A$1,,,SUMPRODUCT(MAX(ROW(E$2:E3748)*(E3748=E$2:E3748)))))-COUNTBLANK(OFFSET(A$1,,,SUMPRODUCT(MAX(ROW(E$1:E3747)*(E2=E$1:E3747))))))</f>
        <v> </v>
      </c>
      <c r="K3748" s="25" t="str">
        <f>IF(OR(E3748="",E3748="!!!",F3748="NEW"),"",INDEX(J$1:J3747,SUMPRODUCT(MAX(ROW(E$1:E3747)*(E3748=E$1:E3747)))))</f>
        <v> </v>
      </c>
      <c r="L3748" s="26"/>
    </row>
    <row r="3749" spans="1:12">
      <c r="A3749" s="20"/>
    </row>
    <row r="3750" spans="1:12">
      <c r="A3750" s="20" t="s">
        <v>1673</v>
      </c>
    </row>
    <row r="3751" spans="1:12">
      <c r="A3751" s="20" t="s">
        <v>1621</v>
      </c>
      <c r="B3751" s="27" t="s">
        <v>703</v>
      </c>
      <c r="C3751" s="27" t="s">
        <v>699</v>
      </c>
      <c r="E3751" s="21">
        <f>IF(D3751="?OLD","!!!","")</f>
        <v/>
      </c>
      <c r="F3751" s="22" t="str">
        <f>IF(OR(E3751="",E3751="!!!"),"",IF(NOT(ISNA(VLOOKUP(E3751,E$1:E3750,1,FALSE()))),"OLD",IF(AND(E3751&lt;&gt;"",E3751&lt;&gt;"!!!"),"NEW","")))</f>
        <v> </v>
      </c>
      <c r="G3751" s="23" t="str">
        <f>IF(OR(E3751="",E3751="!!!"),"",IF(OR(J3751=0,AND(J3751=1,K3751=1),AND(J3751=1,I3751="SBJ"),AND(J3751=1,I3751=0)),"?IN_FOCUS",IF(J3751&lt;=2,"?ACTIVATED",IF(J3751&lt;&gt;"","?FAMILIAR",IF(F3751="NEW",IF(ISNA(VLOOKUP(E3751,#REF!,1,FALSE())),"?TYPE_IDENTIFIABLE","?REFERENTIAL"),"_")))))</f>
        <v> </v>
      </c>
      <c r="H3751" s="24" t="str">
        <f>IF(J3751&lt;&gt;1,"",IF(I3751="SBJ","CB","?"))</f>
        <v> </v>
      </c>
      <c r="I3751" s="25" t="str">
        <f>IF(OR(E3751="",E3751="!!!",F3751="NEW"),"",INDEX(B3750:B$2,-1+SUMPRODUCT(MAX(ROW(E3750:E$2)*(E3751=E3750:E$2)))))</f>
        <v> </v>
      </c>
      <c r="J3751" s="25" t="str">
        <f>IF(OR(E3751="",E3751="!!!",F3751="NEW"),"",COUNTBLANK(OFFSET(A$1,,,SUMPRODUCT(MAX(ROW(E$2:E3751)*(E3751=E$2:E3751)))))-COUNTBLANK(OFFSET(A$1,,,SUMPRODUCT(MAX(ROW(E$1:E3750)*(E2=E$1:E3750))))))</f>
        <v> </v>
      </c>
      <c r="K3751" s="25" t="str">
        <f>IF(OR(E3751="",E3751="!!!",F3751="NEW"),"",INDEX(J$1:J3750,SUMPRODUCT(MAX(ROW(E$1:E3750)*(E3751=E$1:E3750)))))</f>
        <v> </v>
      </c>
      <c r="L3751" s="26"/>
    </row>
    <row r="3752" spans="1:12">
      <c r="A3752" s="20" t="s">
        <v>861</v>
      </c>
      <c r="E3752" s="21">
        <f>IF(D3752="?OLD","!!!","")</f>
        <v/>
      </c>
      <c r="F3752" s="22" t="str">
        <f>IF(OR(E3752="",E3752="!!!"),"",IF(NOT(ISNA(VLOOKUP(E3752,E$1:E3751,1,FALSE()))),"OLD",IF(AND(E3752&lt;&gt;"",E3752&lt;&gt;"!!!"),"NEW","")))</f>
        <v> </v>
      </c>
      <c r="G3752" s="23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4" t="str">
        <f>IF(J3752&lt;&gt;1,"",IF(I3752="SBJ","CB","?"))</f>
        <v> </v>
      </c>
      <c r="I3752" s="25" t="str">
        <f>IF(OR(E3752="",E3752="!!!",F3752="NEW"),"",INDEX(B3751:B$2,-1+SUMPRODUCT(MAX(ROW(E3751:E$2)*(E3752=E3751:E$2)))))</f>
        <v> </v>
      </c>
      <c r="J3752" s="25" t="str">
        <f>IF(OR(E3752="",E3752="!!!",F3752="NEW"),"",COUNTBLANK(OFFSET(A$1,,,SUMPRODUCT(MAX(ROW(E$2:E3752)*(E3752=E$2:E3752)))))-COUNTBLANK(OFFSET(A$1,,,SUMPRODUCT(MAX(ROW(E$1:E3751)*(E2=E$1:E3751))))))</f>
        <v> </v>
      </c>
      <c r="K3752" s="25" t="str">
        <f>IF(OR(E3752="",E3752="!!!",F3752="NEW"),"",INDEX(J$1:J3751,SUMPRODUCT(MAX(ROW(E$1:E3751)*(E3752=E$1:E3751)))))</f>
        <v> </v>
      </c>
      <c r="L3752" s="26"/>
    </row>
    <row r="3753" spans="1:12">
      <c r="A3753" s="20" t="s">
        <v>1674</v>
      </c>
      <c r="B3753" s="27" t="s">
        <v>703</v>
      </c>
      <c r="C3753" s="27" t="s">
        <v>996</v>
      </c>
      <c r="D3753" s="27" t="s">
        <v>694</v>
      </c>
      <c r="E3753" s="21">
        <f>IF(D3753="?OLD","!!!","")</f>
        <v/>
      </c>
      <c r="F3753" s="22" t="str">
        <f>IF(OR(E3753="",E3753="!!!"),"",IF(NOT(ISNA(VLOOKUP(E3753,E$1:E3752,1,FALSE()))),"OLD",IF(AND(E3753&lt;&gt;"",E3753&lt;&gt;"!!!"),"NEW","")))</f>
        <v> </v>
      </c>
      <c r="G3753" s="23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4" t="str">
        <f>IF(J3753&lt;&gt;1,"",IF(I3753="SBJ","CB","?"))</f>
        <v> </v>
      </c>
      <c r="I3753" s="25" t="str">
        <f>IF(OR(E3753="",E3753="!!!",F3753="NEW"),"",INDEX(B3752:B$2,-1+SUMPRODUCT(MAX(ROW(E3752:E$2)*(E3753=E3752:E$2)))))</f>
        <v> </v>
      </c>
      <c r="J3753" s="25" t="str">
        <f>IF(OR(E3753="",E3753="!!!",F3753="NEW"),"",COUNTBLANK(OFFSET(A$1,,,SUMPRODUCT(MAX(ROW(E$2:E3753)*(E3753=E$2:E3753)))))-COUNTBLANK(OFFSET(A$1,,,SUMPRODUCT(MAX(ROW(E$1:E3752)*(E2=E$1:E3752))))))</f>
        <v> </v>
      </c>
      <c r="K3753" s="25" t="str">
        <f>IF(OR(E3753="",E3753="!!!",F3753="NEW"),"",INDEX(J$1:J3752,SUMPRODUCT(MAX(ROW(E$1:E3752)*(E3753=E$1:E3752)))))</f>
        <v> </v>
      </c>
      <c r="L3753" s="26"/>
    </row>
    <row r="3754" spans="1:12">
      <c r="A3754" s="20" t="s">
        <v>722</v>
      </c>
      <c r="E3754" s="21">
        <f>IF(D3754="?OLD","!!!","")</f>
        <v/>
      </c>
      <c r="F3754" s="22" t="str">
        <f>IF(OR(E3754="",E3754="!!!"),"",IF(NOT(ISNA(VLOOKUP(E3754,E$1:E3753,1,FALSE()))),"OLD",IF(AND(E3754&lt;&gt;"",E3754&lt;&gt;"!!!"),"NEW","")))</f>
        <v> </v>
      </c>
      <c r="G3754" s="23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4" t="str">
        <f>IF(J3754&lt;&gt;1,"",IF(I3754="SBJ","CB","?"))</f>
        <v> </v>
      </c>
      <c r="I3754" s="25" t="str">
        <f>IF(OR(E3754="",E3754="!!!",F3754="NEW"),"",INDEX(B3753:B$2,-1+SUMPRODUCT(MAX(ROW(E3753:E$2)*(E3754=E3753:E$2)))))</f>
        <v> </v>
      </c>
      <c r="J3754" s="25" t="str">
        <f>IF(OR(E3754="",E3754="!!!",F3754="NEW"),"",COUNTBLANK(OFFSET(A$1,,,SUMPRODUCT(MAX(ROW(E$2:E3754)*(E3754=E$2:E3754)))))-COUNTBLANK(OFFSET(A$1,,,SUMPRODUCT(MAX(ROW(E$1:E3753)*(E2=E$1:E3753))))))</f>
        <v> </v>
      </c>
      <c r="K3754" s="25" t="str">
        <f>IF(OR(E3754="",E3754="!!!",F3754="NEW"),"",INDEX(J$1:J3753,SUMPRODUCT(MAX(ROW(E$1:E3753)*(E3754=E$1:E3753)))))</f>
        <v> </v>
      </c>
      <c r="L3754" s="26"/>
    </row>
    <row r="3755" spans="1:12">
      <c r="A3755" s="20" t="s">
        <v>240</v>
      </c>
      <c r="B3755" s="27" t="s">
        <v>713</v>
      </c>
      <c r="C3755" s="27" t="s">
        <v>708</v>
      </c>
      <c r="D3755" s="27" t="s">
        <v>694</v>
      </c>
      <c r="E3755" s="21">
        <f>IF(D3755="?OLD","!!!","")</f>
        <v/>
      </c>
      <c r="F3755" s="22" t="str">
        <f>IF(OR(E3755="",E3755="!!!"),"",IF(NOT(ISNA(VLOOKUP(E3755,E$1:E3754,1,FALSE()))),"OLD",IF(AND(E3755&lt;&gt;"",E3755&lt;&gt;"!!!"),"NEW","")))</f>
        <v> </v>
      </c>
      <c r="G3755" s="23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4" t="str">
        <f>IF(J3755&lt;&gt;1,"",IF(I3755="SBJ","CB","?"))</f>
        <v> </v>
      </c>
      <c r="I3755" s="25" t="str">
        <f>IF(OR(E3755="",E3755="!!!",F3755="NEW"),"",INDEX(B3754:B$2,-1+SUMPRODUCT(MAX(ROW(E3754:E$2)*(E3755=E3754:E$2)))))</f>
        <v> </v>
      </c>
      <c r="J3755" s="25" t="str">
        <f>IF(OR(E3755="",E3755="!!!",F3755="NEW"),"",COUNTBLANK(OFFSET(A$1,,,SUMPRODUCT(MAX(ROW(E$2:E3755)*(E3755=E$2:E3755)))))-COUNTBLANK(OFFSET(A$1,,,SUMPRODUCT(MAX(ROW(E$1:E3754)*(E2=E$1:E3754))))))</f>
        <v> </v>
      </c>
      <c r="K3755" s="25" t="str">
        <f>IF(OR(E3755="",E3755="!!!",F3755="NEW"),"",INDEX(J$1:J3754,SUMPRODUCT(MAX(ROW(E$1:E3754)*(E3755=E$1:E3754)))))</f>
        <v> </v>
      </c>
      <c r="L3755" s="26"/>
    </row>
    <row r="3756" spans="1:12">
      <c r="A3756" s="20" t="s">
        <v>1331</v>
      </c>
      <c r="E3756" s="21">
        <f>IF(D3756="?OLD","!!!","")</f>
        <v/>
      </c>
      <c r="F3756" s="22" t="str">
        <f>IF(OR(E3756="",E3756="!!!"),"",IF(NOT(ISNA(VLOOKUP(E3756,E$1:E3755,1,FALSE()))),"OLD",IF(AND(E3756&lt;&gt;"",E3756&lt;&gt;"!!!"),"NEW","")))</f>
        <v> </v>
      </c>
      <c r="G3756" s="23" t="str">
        <f>IF(OR(E3756="",E3756="!!!"),"",IF(OR(J3756=0,AND(J3756=1,K3756=1),AND(J3756=1,I3756="SBJ"),AND(J3756=1,I3756=0)),"?IN_FOCUS",IF(J3756&lt;=2,"?ACTIVATED",IF(J3756&lt;&gt;"","?FAMILIAR",IF(F3756="NEW",IF(ISNA(VLOOKUP(E3756,#REF!,1,FALSE())),"?TYPE_IDENTIFIABLE","?REFERENTIAL"),"_")))))</f>
        <v> </v>
      </c>
      <c r="H3756" s="24" t="str">
        <f>IF(J3756&lt;&gt;1,"",IF(I3756="SBJ","CB","?"))</f>
        <v> </v>
      </c>
      <c r="I3756" s="25" t="str">
        <f>IF(OR(E3756="",E3756="!!!",F3756="NEW"),"",INDEX(B3755:B$2,-1+SUMPRODUCT(MAX(ROW(E3755:E$2)*(E3756=E3755:E$2)))))</f>
        <v> </v>
      </c>
      <c r="J3756" s="25" t="str">
        <f>IF(OR(E3756="",E3756="!!!",F3756="NEW"),"",COUNTBLANK(OFFSET(A$1,,,SUMPRODUCT(MAX(ROW(E$2:E3756)*(E3756=E$2:E3756)))))-COUNTBLANK(OFFSET(A$1,,,SUMPRODUCT(MAX(ROW(E$1:E3755)*(E2=E$1:E3755))))))</f>
        <v> </v>
      </c>
      <c r="K3756" s="25" t="str">
        <f>IF(OR(E3756="",E3756="!!!",F3756="NEW"),"",INDEX(J$1:J3755,SUMPRODUCT(MAX(ROW(E$1:E3755)*(E3756=E$1:E3755)))))</f>
        <v> </v>
      </c>
      <c r="L3756" s="26"/>
    </row>
    <row r="3757" spans="1:12">
      <c r="A3757" s="20" t="s">
        <v>712</v>
      </c>
      <c r="E3757" s="21">
        <f>IF(D3757="?OLD","!!!","")</f>
        <v/>
      </c>
      <c r="F3757" s="22" t="str">
        <f>IF(OR(E3757="",E3757="!!!"),"",IF(NOT(ISNA(VLOOKUP(E3757,E$1:E3756,1,FALSE()))),"OLD",IF(AND(E3757&lt;&gt;"",E3757&lt;&gt;"!!!"),"NEW","")))</f>
        <v> </v>
      </c>
      <c r="G3757" s="23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4" t="str">
        <f>IF(J3757&lt;&gt;1,"",IF(I3757="SBJ","CB","?"))</f>
        <v> </v>
      </c>
      <c r="I3757" s="25" t="str">
        <f>IF(OR(E3757="",E3757="!!!",F3757="NEW"),"",INDEX(B3756:B$2,-1+SUMPRODUCT(MAX(ROW(E3756:E$2)*(E3757=E3756:E$2)))))</f>
        <v> </v>
      </c>
      <c r="J3757" s="25" t="str">
        <f>IF(OR(E3757="",E3757="!!!",F3757="NEW"),"",COUNTBLANK(OFFSET(A$1,,,SUMPRODUCT(MAX(ROW(E$2:E3757)*(E3757=E$2:E3757)))))-COUNTBLANK(OFFSET(A$1,,,SUMPRODUCT(MAX(ROW(E$1:E3756)*(E2=E$1:E3756))))))</f>
        <v> </v>
      </c>
      <c r="K3757" s="25" t="str">
        <f>IF(OR(E3757="",E3757="!!!",F3757="NEW"),"",INDEX(J$1:J3756,SUMPRODUCT(MAX(ROW(E$1:E3756)*(E3757=E$1:E3756)))))</f>
        <v> </v>
      </c>
      <c r="L3757" s="26"/>
    </row>
    <row r="3758" spans="1:12">
      <c r="A3758" s="20" t="s">
        <v>791</v>
      </c>
      <c r="B3758" s="27" t="s">
        <v>797</v>
      </c>
      <c r="C3758" s="27" t="s">
        <v>708</v>
      </c>
      <c r="D3758" s="27" t="s">
        <v>694</v>
      </c>
      <c r="E3758" s="21">
        <f>IF(D3758="?OLD","!!!","")</f>
        <v/>
      </c>
      <c r="F3758" s="22" t="str">
        <f>IF(OR(E3758="",E3758="!!!"),"",IF(NOT(ISNA(VLOOKUP(E3758,E$1:E3757,1,FALSE()))),"OLD",IF(AND(E3758&lt;&gt;"",E3758&lt;&gt;"!!!"),"NEW","")))</f>
        <v> </v>
      </c>
      <c r="G3758" s="23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4" t="str">
        <f>IF(J3758&lt;&gt;1,"",IF(I3758="SBJ","CB","?"))</f>
        <v> </v>
      </c>
      <c r="I3758" s="25" t="str">
        <f>IF(OR(E3758="",E3758="!!!",F3758="NEW"),"",INDEX(B3757:B$2,-1+SUMPRODUCT(MAX(ROW(E3757:E$2)*(E3758=E3757:E$2)))))</f>
        <v> </v>
      </c>
      <c r="J3758" s="25" t="str">
        <f>IF(OR(E3758="",E3758="!!!",F3758="NEW"),"",COUNTBLANK(OFFSET(A$1,,,SUMPRODUCT(MAX(ROW(E$2:E3758)*(E3758=E$2:E3758)))))-COUNTBLANK(OFFSET(A$1,,,SUMPRODUCT(MAX(ROW(E$1:E3757)*(E2=E$1:E3757))))))</f>
        <v> </v>
      </c>
      <c r="K3758" s="25" t="str">
        <f>IF(OR(E3758="",E3758="!!!",F3758="NEW"),"",INDEX(J$1:J3757,SUMPRODUCT(MAX(ROW(E$1:E3757)*(E3758=E$1:E3757)))))</f>
        <v> </v>
      </c>
      <c r="L3758" s="26"/>
    </row>
    <row r="3759" spans="1:12">
      <c r="A3759" s="20" t="s">
        <v>1675</v>
      </c>
      <c r="E3759" s="21">
        <f>IF(D3759="?OLD","!!!","")</f>
        <v/>
      </c>
      <c r="F3759" s="22" t="str">
        <f>IF(OR(E3759="",E3759="!!!"),"",IF(NOT(ISNA(VLOOKUP(E3759,E$1:E3758,1,FALSE()))),"OLD",IF(AND(E3759&lt;&gt;"",E3759&lt;&gt;"!!!"),"NEW","")))</f>
        <v> </v>
      </c>
      <c r="G3759" s="23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4" t="str">
        <f>IF(J3759&lt;&gt;1,"",IF(I3759="SBJ","CB","?"))</f>
        <v> </v>
      </c>
      <c r="I3759" s="25" t="str">
        <f>IF(OR(E3759="",E3759="!!!",F3759="NEW"),"",INDEX(B3758:B$2,-1+SUMPRODUCT(MAX(ROW(E3758:E$2)*(E3759=E3758:E$2)))))</f>
        <v> </v>
      </c>
      <c r="J3759" s="25" t="str">
        <f>IF(OR(E3759="",E3759="!!!",F3759="NEW"),"",COUNTBLANK(OFFSET(A$1,,,SUMPRODUCT(MAX(ROW(E$2:E3759)*(E3759=E$2:E3759)))))-COUNTBLANK(OFFSET(A$1,,,SUMPRODUCT(MAX(ROW(E$1:E3758)*(E2=E$1:E3758))))))</f>
        <v> </v>
      </c>
      <c r="K3759" s="25" t="str">
        <f>IF(OR(E3759="",E3759="!!!",F3759="NEW"),"",INDEX(J$1:J3758,SUMPRODUCT(MAX(ROW(E$1:E3758)*(E3759=E$1:E3758)))))</f>
        <v> </v>
      </c>
      <c r="L3759" s="26"/>
    </row>
    <row r="3760" spans="1:12">
      <c r="A3760" s="20" t="s">
        <v>219</v>
      </c>
      <c r="E3760" s="21">
        <f>IF(D3760="?OLD","!!!","")</f>
        <v/>
      </c>
      <c r="F3760" s="22" t="str">
        <f>IF(OR(E3760="",E3760="!!!"),"",IF(NOT(ISNA(VLOOKUP(E3760,E$1:E3759,1,FALSE()))),"OLD",IF(AND(E3760&lt;&gt;"",E3760&lt;&gt;"!!!"),"NEW","")))</f>
        <v> </v>
      </c>
      <c r="G3760" s="23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4" t="str">
        <f>IF(J3760&lt;&gt;1,"",IF(I3760="SBJ","CB","?"))</f>
        <v> </v>
      </c>
      <c r="I3760" s="25" t="str">
        <f>IF(OR(E3760="",E3760="!!!",F3760="NEW"),"",INDEX(B3759:B$2,-1+SUMPRODUCT(MAX(ROW(E3759:E$2)*(E3760=E3759:E$2)))))</f>
        <v> </v>
      </c>
      <c r="J3760" s="25" t="str">
        <f>IF(OR(E3760="",E3760="!!!",F3760="NEW"),"",COUNTBLANK(OFFSET(A$1,,,SUMPRODUCT(MAX(ROW(E$2:E3760)*(E3760=E$2:E3760)))))-COUNTBLANK(OFFSET(A$1,,,SUMPRODUCT(MAX(ROW(E$1:E3759)*(E2=E$1:E3759))))))</f>
        <v> </v>
      </c>
      <c r="K3760" s="25" t="str">
        <f>IF(OR(E3760="",E3760="!!!",F3760="NEW"),"",INDEX(J$1:J3759,SUMPRODUCT(MAX(ROW(E$1:E3759)*(E3760=E$1:E3759)))))</f>
        <v> </v>
      </c>
      <c r="L3760" s="26"/>
    </row>
    <row r="3761" spans="1:12">
      <c r="A3761" s="20" t="s">
        <v>1676</v>
      </c>
      <c r="B3761" s="27" t="s">
        <v>798</v>
      </c>
      <c r="C3761" s="27" t="s">
        <v>717</v>
      </c>
      <c r="D3761" s="27" t="s">
        <v>694</v>
      </c>
      <c r="E3761" s="21">
        <f>IF(D3761="?OLD","!!!","")</f>
        <v/>
      </c>
      <c r="F3761" s="22" t="str">
        <f>IF(OR(E3761="",E3761="!!!"),"",IF(NOT(ISNA(VLOOKUP(E3761,E$1:E3760,1,FALSE()))),"OLD",IF(AND(E3761&lt;&gt;"",E3761&lt;&gt;"!!!"),"NEW","")))</f>
        <v> </v>
      </c>
      <c r="G3761" s="23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4" t="str">
        <f>IF(J3761&lt;&gt;1,"",IF(I3761="SBJ","CB","?"))</f>
        <v> </v>
      </c>
      <c r="I3761" s="25" t="str">
        <f>IF(OR(E3761="",E3761="!!!",F3761="NEW"),"",INDEX(B3760:B$2,-1+SUMPRODUCT(MAX(ROW(E3760:E$2)*(E3761=E3760:E$2)))))</f>
        <v> </v>
      </c>
      <c r="J3761" s="25" t="str">
        <f>IF(OR(E3761="",E3761="!!!",F3761="NEW"),"",COUNTBLANK(OFFSET(A$1,,,SUMPRODUCT(MAX(ROW(E$2:E3761)*(E3761=E$2:E3761)))))-COUNTBLANK(OFFSET(A$1,,,SUMPRODUCT(MAX(ROW(E$1:E3760)*(E2=E$1:E3760))))))</f>
        <v> </v>
      </c>
      <c r="K3761" s="25" t="str">
        <f>IF(OR(E3761="",E3761="!!!",F3761="NEW"),"",INDEX(J$1:J3760,SUMPRODUCT(MAX(ROW(E$1:E3760)*(E3761=E$1:E3760)))))</f>
        <v> </v>
      </c>
      <c r="L3761" s="26"/>
    </row>
    <row r="3762" spans="1:12">
      <c r="A3762" s="20" t="s">
        <v>696</v>
      </c>
      <c r="E3762" s="21">
        <f>IF(D3762="?OLD","!!!","")</f>
        <v/>
      </c>
      <c r="F3762" s="22" t="str">
        <f>IF(OR(E3762="",E3762="!!!"),"",IF(NOT(ISNA(VLOOKUP(E3762,E$1:E3761,1,FALSE()))),"OLD",IF(AND(E3762&lt;&gt;"",E3762&lt;&gt;"!!!"),"NEW","")))</f>
        <v> </v>
      </c>
      <c r="G3762" s="23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4" t="str">
        <f>IF(J3762&lt;&gt;1,"",IF(I3762="SBJ","CB","?"))</f>
        <v> </v>
      </c>
      <c r="I3762" s="25" t="str">
        <f>IF(OR(E3762="",E3762="!!!",F3762="NEW"),"",INDEX(B3761:B$2,-1+SUMPRODUCT(MAX(ROW(E3761:E$2)*(E3762=E3761:E$2)))))</f>
        <v> </v>
      </c>
      <c r="J3762" s="25" t="str">
        <f>IF(OR(E3762="",E3762="!!!",F3762="NEW"),"",COUNTBLANK(OFFSET(A$1,,,SUMPRODUCT(MAX(ROW(E$2:E3762)*(E3762=E$2:E3762)))))-COUNTBLANK(OFFSET(A$1,,,SUMPRODUCT(MAX(ROW(E$1:E3761)*(E2=E$1:E3761))))))</f>
        <v> </v>
      </c>
      <c r="K3762" s="25" t="str">
        <f>IF(OR(E3762="",E3762="!!!",F3762="NEW"),"",INDEX(J$1:J3761,SUMPRODUCT(MAX(ROW(E$1:E3761)*(E3762=E$1:E3761)))))</f>
        <v> </v>
      </c>
      <c r="L3762" s="26"/>
    </row>
    <row r="3763" spans="1:12">
      <c r="A3763" s="20" t="s">
        <v>690</v>
      </c>
      <c r="E3763" s="21">
        <f>IF(D3763="?OLD","!!!","")</f>
        <v/>
      </c>
      <c r="F3763" s="22" t="str">
        <f>IF(OR(E3763="",E3763="!!!"),"",IF(NOT(ISNA(VLOOKUP(E3763,E$1:E3762,1,FALSE()))),"OLD",IF(AND(E3763&lt;&gt;"",E3763&lt;&gt;"!!!"),"NEW","")))</f>
        <v> </v>
      </c>
      <c r="G3763" s="23" t="str">
        <f>IF(OR(E3763="",E3763="!!!"),"",IF(OR(J3763=0,AND(J3763=1,K3763=1),AND(J3763=1,I3763="SBJ"),AND(J3763=1,I3763=0)),"?IN_FOCUS",IF(J3763&lt;=2,"?ACTIVATED",IF(J3763&lt;&gt;"","?FAMILIAR",IF(F3763="NEW",IF(ISNA(VLOOKUP(E3763,#REF!,1,FALSE())),"?TYPE_IDENTIFIABLE","?REFERENTIAL"),"_")))))</f>
        <v> </v>
      </c>
      <c r="H3763" s="24" t="str">
        <f>IF(J3763&lt;&gt;1,"",IF(I3763="SBJ","CB","?"))</f>
        <v> </v>
      </c>
      <c r="I3763" s="25" t="str">
        <f>IF(OR(E3763="",E3763="!!!",F3763="NEW"),"",INDEX(B3762:B$2,-1+SUMPRODUCT(MAX(ROW(E3762:E$2)*(E3763=E3762:E$2)))))</f>
        <v> </v>
      </c>
      <c r="J3763" s="25" t="str">
        <f>IF(OR(E3763="",E3763="!!!",F3763="NEW"),"",COUNTBLANK(OFFSET(A$1,,,SUMPRODUCT(MAX(ROW(E$2:E3763)*(E3763=E$2:E3763)))))-COUNTBLANK(OFFSET(A$1,,,SUMPRODUCT(MAX(ROW(E$1:E3762)*(E2=E$1:E3762))))))</f>
        <v> </v>
      </c>
      <c r="K3763" s="25" t="str">
        <f>IF(OR(E3763="",E3763="!!!",F3763="NEW"),"",INDEX(J$1:J3762,SUMPRODUCT(MAX(ROW(E$1:E3762)*(E3763=E$1:E3762)))))</f>
        <v> </v>
      </c>
      <c r="L3763" s="26"/>
    </row>
    <row r="3764" spans="1:12">
      <c r="A3764" s="20" t="s">
        <v>1677</v>
      </c>
      <c r="B3764" s="27" t="s">
        <v>867</v>
      </c>
      <c r="C3764" s="27" t="s">
        <v>717</v>
      </c>
      <c r="D3764" s="27" t="s">
        <v>694</v>
      </c>
      <c r="E3764" s="21">
        <f>IF(D3764="?OLD","!!!","")</f>
        <v/>
      </c>
      <c r="F3764" s="22" t="str">
        <f>IF(OR(E3764="",E3764="!!!"),"",IF(NOT(ISNA(VLOOKUP(E3764,E$1:E3763,1,FALSE()))),"OLD",IF(AND(E3764&lt;&gt;"",E3764&lt;&gt;"!!!"),"NEW","")))</f>
        <v> </v>
      </c>
      <c r="G3764" s="23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4" t="str">
        <f>IF(J3764&lt;&gt;1,"",IF(I3764="SBJ","CB","?"))</f>
        <v> </v>
      </c>
      <c r="I3764" s="25" t="str">
        <f>IF(OR(E3764="",E3764="!!!",F3764="NEW"),"",INDEX(B3763:B$2,-1+SUMPRODUCT(MAX(ROW(E3763:E$2)*(E3764=E3763:E$2)))))</f>
        <v> </v>
      </c>
      <c r="J3764" s="25" t="str">
        <f>IF(OR(E3764="",E3764="!!!",F3764="NEW"),"",COUNTBLANK(OFFSET(A$1,,,SUMPRODUCT(MAX(ROW(E$2:E3764)*(E3764=E$2:E3764)))))-COUNTBLANK(OFFSET(A$1,,,SUMPRODUCT(MAX(ROW(E$1:E3763)*(E2=E$1:E3763))))))</f>
        <v> </v>
      </c>
      <c r="K3764" s="25" t="str">
        <f>IF(OR(E3764="",E3764="!!!",F3764="NEW"),"",INDEX(J$1:J3763,SUMPRODUCT(MAX(ROW(E$1:E3763)*(E3764=E$1:E3763)))))</f>
        <v> </v>
      </c>
      <c r="L3764" s="26"/>
    </row>
    <row r="3765" spans="1:12">
      <c r="A3765" s="20" t="s">
        <v>701</v>
      </c>
      <c r="E3765" s="21">
        <f>IF(D3765="?OLD","!!!","")</f>
        <v/>
      </c>
      <c r="F3765" s="22" t="str">
        <f>IF(OR(E3765="",E3765="!!!"),"",IF(NOT(ISNA(VLOOKUP(E3765,E$1:E3764,1,FALSE()))),"OLD",IF(AND(E3765&lt;&gt;"",E3765&lt;&gt;"!!!"),"NEW","")))</f>
        <v> </v>
      </c>
      <c r="G3765" s="23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4" t="str">
        <f>IF(J3765&lt;&gt;1,"",IF(I3765="SBJ","CB","?"))</f>
        <v> </v>
      </c>
      <c r="I3765" s="25" t="str">
        <f>IF(OR(E3765="",E3765="!!!",F3765="NEW"),"",INDEX(B3764:B$2,-1+SUMPRODUCT(MAX(ROW(E3764:E$2)*(E3765=E3764:E$2)))))</f>
        <v> </v>
      </c>
      <c r="J3765" s="25" t="str">
        <f>IF(OR(E3765="",E3765="!!!",F3765="NEW"),"",COUNTBLANK(OFFSET(A$1,,,SUMPRODUCT(MAX(ROW(E$2:E3765)*(E3765=E$2:E3765)))))-COUNTBLANK(OFFSET(A$1,,,SUMPRODUCT(MAX(ROW(E$1:E3764)*(E2=E$1:E3764))))))</f>
        <v> </v>
      </c>
      <c r="K3765" s="25" t="str">
        <f>IF(OR(E3765="",E3765="!!!",F3765="NEW"),"",INDEX(J$1:J3764,SUMPRODUCT(MAX(ROW(E$1:E3764)*(E3765=E$1:E3764)))))</f>
        <v> </v>
      </c>
      <c r="L3765" s="26"/>
    </row>
    <row r="3766" spans="1:12">
      <c r="A3766" s="20" t="s">
        <v>697</v>
      </c>
      <c r="B3766" s="27" t="s">
        <v>728</v>
      </c>
      <c r="C3766" s="27" t="s">
        <v>699</v>
      </c>
      <c r="E3766" s="21">
        <f>IF(D3766="?OLD","!!!","")</f>
        <v/>
      </c>
      <c r="F3766" s="22" t="str">
        <f>IF(OR(E3766="",E3766="!!!"),"",IF(NOT(ISNA(VLOOKUP(E3766,E$1:E3765,1,FALSE()))),"OLD",IF(AND(E3766&lt;&gt;"",E3766&lt;&gt;"!!!"),"NEW","")))</f>
        <v> </v>
      </c>
      <c r="G3766" s="23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4" t="str">
        <f>IF(J3766&lt;&gt;1,"",IF(I3766="SBJ","CB","?"))</f>
        <v> </v>
      </c>
      <c r="I3766" s="25" t="str">
        <f>IF(OR(E3766="",E3766="!!!",F3766="NEW"),"",INDEX(B3765:B$2,-1+SUMPRODUCT(MAX(ROW(E3765:E$2)*(E3766=E3765:E$2)))))</f>
        <v> </v>
      </c>
      <c r="J3766" s="25" t="str">
        <f>IF(OR(E3766="",E3766="!!!",F3766="NEW"),"",COUNTBLANK(OFFSET(A$1,,,SUMPRODUCT(MAX(ROW(E$2:E3766)*(E3766=E$2:E3766)))))-COUNTBLANK(OFFSET(A$1,,,SUMPRODUCT(MAX(ROW(E$1:E3765)*(E2=E$1:E3765))))))</f>
        <v> </v>
      </c>
      <c r="K3766" s="25" t="str">
        <f>IF(OR(E3766="",E3766="!!!",F3766="NEW"),"",INDEX(J$1:J3765,SUMPRODUCT(MAX(ROW(E$1:E3765)*(E3766=E$1:E3765)))))</f>
        <v> </v>
      </c>
      <c r="L3766" s="26"/>
    </row>
    <row r="3767" spans="1:12">
      <c r="A3767" s="20" t="s">
        <v>701</v>
      </c>
      <c r="E3767" s="21">
        <f>IF(D3767="?OLD","!!!","")</f>
        <v/>
      </c>
      <c r="F3767" s="22" t="str">
        <f>IF(OR(E3767="",E3767="!!!"),"",IF(NOT(ISNA(VLOOKUP(E3767,E$1:E3766,1,FALSE()))),"OLD",IF(AND(E3767&lt;&gt;"",E3767&lt;&gt;"!!!"),"NEW","")))</f>
        <v> </v>
      </c>
      <c r="G3767" s="23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4" t="str">
        <f>IF(J3767&lt;&gt;1,"",IF(I3767="SBJ","CB","?"))</f>
        <v> </v>
      </c>
      <c r="I3767" s="25" t="str">
        <f>IF(OR(E3767="",E3767="!!!",F3767="NEW"),"",INDEX(B3766:B$2,-1+SUMPRODUCT(MAX(ROW(E3766:E$2)*(E3767=E3766:E$2)))))</f>
        <v> </v>
      </c>
      <c r="J3767" s="25" t="str">
        <f>IF(OR(E3767="",E3767="!!!",F3767="NEW"),"",COUNTBLANK(OFFSET(A$1,,,SUMPRODUCT(MAX(ROW(E$2:E3767)*(E3767=E$2:E3767)))))-COUNTBLANK(OFFSET(A$1,,,SUMPRODUCT(MAX(ROW(E$1:E3766)*(E2=E$1:E3766))))))</f>
        <v> </v>
      </c>
      <c r="K3767" s="25" t="str">
        <f>IF(OR(E3767="",E3767="!!!",F3767="NEW"),"",INDEX(J$1:J3766,SUMPRODUCT(MAX(ROW(E$1:E3766)*(E3767=E$1:E3766)))))</f>
        <v> </v>
      </c>
      <c r="L3767" s="26"/>
    </row>
    <row r="3768" spans="1:12">
      <c r="A3768" s="20" t="s">
        <v>756</v>
      </c>
      <c r="E3768" s="21">
        <f>IF(D3768="?OLD","!!!","")</f>
        <v/>
      </c>
      <c r="F3768" s="22" t="str">
        <f>IF(OR(E3768="",E3768="!!!"),"",IF(NOT(ISNA(VLOOKUP(E3768,E$1:E3767,1,FALSE()))),"OLD",IF(AND(E3768&lt;&gt;"",E3768&lt;&gt;"!!!"),"NEW","")))</f>
        <v> </v>
      </c>
      <c r="G3768" s="23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4" t="str">
        <f>IF(J3768&lt;&gt;1,"",IF(I3768="SBJ","CB","?"))</f>
        <v> </v>
      </c>
      <c r="I3768" s="25" t="str">
        <f>IF(OR(E3768="",E3768="!!!",F3768="NEW"),"",INDEX(B3767:B$2,-1+SUMPRODUCT(MAX(ROW(E3767:E$2)*(E3768=E3767:E$2)))))</f>
        <v> </v>
      </c>
      <c r="J3768" s="25" t="str">
        <f>IF(OR(E3768="",E3768="!!!",F3768="NEW"),"",COUNTBLANK(OFFSET(A$1,,,SUMPRODUCT(MAX(ROW(E$2:E3768)*(E3768=E$2:E3768)))))-COUNTBLANK(OFFSET(A$1,,,SUMPRODUCT(MAX(ROW(E$1:E3767)*(E2=E$1:E3767))))))</f>
        <v> </v>
      </c>
      <c r="K3768" s="25" t="str">
        <f>IF(OR(E3768="",E3768="!!!",F3768="NEW"),"",INDEX(J$1:J3767,SUMPRODUCT(MAX(ROW(E$1:E3767)*(E3768=E$1:E3767)))))</f>
        <v> </v>
      </c>
      <c r="L3768" s="26"/>
    </row>
    <row r="3769" spans="1:12">
      <c r="A3769" s="20" t="s">
        <v>1662</v>
      </c>
      <c r="B3769" s="27" t="s">
        <v>719</v>
      </c>
      <c r="C3769" s="27" t="s">
        <v>693</v>
      </c>
      <c r="D3769" s="27" t="s">
        <v>694</v>
      </c>
      <c r="E3769" s="21">
        <f>IF(D3769="?OLD","!!!","")</f>
        <v/>
      </c>
      <c r="F3769" s="22" t="str">
        <f>IF(OR(E3769="",E3769="!!!"),"",IF(NOT(ISNA(VLOOKUP(E3769,E$1:E3768,1,FALSE()))),"OLD",IF(AND(E3769&lt;&gt;"",E3769&lt;&gt;"!!!"),"NEW","")))</f>
        <v> </v>
      </c>
      <c r="G3769" s="23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4" t="str">
        <f>IF(J3769&lt;&gt;1,"",IF(I3769="SBJ","CB","?"))</f>
        <v> </v>
      </c>
      <c r="I3769" s="25" t="str">
        <f>IF(OR(E3769="",E3769="!!!",F3769="NEW"),"",INDEX(B3768:B$2,-1+SUMPRODUCT(MAX(ROW(E3768:E$2)*(E3769=E3768:E$2)))))</f>
        <v> </v>
      </c>
      <c r="J3769" s="25" t="str">
        <f>IF(OR(E3769="",E3769="!!!",F3769="NEW"),"",COUNTBLANK(OFFSET(A$1,,,SUMPRODUCT(MAX(ROW(E$2:E3769)*(E3769=E$2:E3769)))))-COUNTBLANK(OFFSET(A$1,,,SUMPRODUCT(MAX(ROW(E$1:E3768)*(E2=E$1:E3768))))))</f>
        <v> </v>
      </c>
      <c r="K3769" s="25" t="str">
        <f>IF(OR(E3769="",E3769="!!!",F3769="NEW"),"",INDEX(J$1:J3768,SUMPRODUCT(MAX(ROW(E$1:E3768)*(E3769=E$1:E3768)))))</f>
        <v> </v>
      </c>
      <c r="L3769" s="26"/>
    </row>
    <row r="3770" spans="1:12">
      <c r="A3770" s="20" t="s">
        <v>1671</v>
      </c>
      <c r="E3770" s="21">
        <f>IF(D3770="?OLD","!!!","")</f>
        <v/>
      </c>
      <c r="F3770" s="22" t="str">
        <f>IF(OR(E3770="",E3770="!!!"),"",IF(NOT(ISNA(VLOOKUP(E3770,E$1:E3769,1,FALSE()))),"OLD",IF(AND(E3770&lt;&gt;"",E3770&lt;&gt;"!!!"),"NEW","")))</f>
        <v> </v>
      </c>
      <c r="G3770" s="23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4" t="str">
        <f>IF(J3770&lt;&gt;1,"",IF(I3770="SBJ","CB","?"))</f>
        <v> </v>
      </c>
      <c r="I3770" s="25" t="str">
        <f>IF(OR(E3770="",E3770="!!!",F3770="NEW"),"",INDEX(B3769:B$2,-1+SUMPRODUCT(MAX(ROW(E3769:E$2)*(E3770=E3769:E$2)))))</f>
        <v> </v>
      </c>
      <c r="J3770" s="25" t="str">
        <f>IF(OR(E3770="",E3770="!!!",F3770="NEW"),"",COUNTBLANK(OFFSET(A$1,,,SUMPRODUCT(MAX(ROW(E$2:E3770)*(E3770=E$2:E3770)))))-COUNTBLANK(OFFSET(A$1,,,SUMPRODUCT(MAX(ROW(E$1:E3769)*(E2=E$1:E3769))))))</f>
        <v> </v>
      </c>
      <c r="K3770" s="25" t="str">
        <f>IF(OR(E3770="",E3770="!!!",F3770="NEW"),"",INDEX(J$1:J3769,SUMPRODUCT(MAX(ROW(E$1:E3769)*(E3770=E$1:E3769)))))</f>
        <v> </v>
      </c>
      <c r="L3770" s="26"/>
    </row>
    <row r="3771" spans="1:12">
      <c r="A3771" s="20" t="s">
        <v>704</v>
      </c>
      <c r="E3771" s="21">
        <f>IF(D3771="?OLD","!!!","")</f>
        <v/>
      </c>
      <c r="F3771" s="22" t="str">
        <f>IF(OR(E3771="",E3771="!!!"),"",IF(NOT(ISNA(VLOOKUP(E3771,E$1:E3770,1,FALSE()))),"OLD",IF(AND(E3771&lt;&gt;"",E3771&lt;&gt;"!!!"),"NEW","")))</f>
        <v> </v>
      </c>
      <c r="G3771" s="23" t="str">
        <f>IF(OR(E3771="",E3771="!!!"),"",IF(OR(J3771=0,AND(J3771=1,K3771=1),AND(J3771=1,I3771="SBJ"),AND(J3771=1,I3771=0)),"?IN_FOCUS",IF(J3771&lt;=2,"?ACTIVATED",IF(J3771&lt;&gt;"","?FAMILIAR",IF(F3771="NEW",IF(ISNA(VLOOKUP(E3771,#REF!,1,FALSE())),"?TYPE_IDENTIFIABLE","?REFERENTIAL"),"_")))))</f>
        <v> </v>
      </c>
      <c r="H3771" s="24" t="str">
        <f>IF(J3771&lt;&gt;1,"",IF(I3771="SBJ","CB","?"))</f>
        <v> </v>
      </c>
      <c r="I3771" s="25" t="str">
        <f>IF(OR(E3771="",E3771="!!!",F3771="NEW"),"",INDEX(B3770:B$2,-1+SUMPRODUCT(MAX(ROW(E3770:E$2)*(E3771=E3770:E$2)))))</f>
        <v> </v>
      </c>
      <c r="J3771" s="25" t="str">
        <f>IF(OR(E3771="",E3771="!!!",F3771="NEW"),"",COUNTBLANK(OFFSET(A$1,,,SUMPRODUCT(MAX(ROW(E$2:E3771)*(E3771=E$2:E3771)))))-COUNTBLANK(OFFSET(A$1,,,SUMPRODUCT(MAX(ROW(E$1:E3770)*(E2=E$1:E3770))))))</f>
        <v> </v>
      </c>
      <c r="K3771" s="25" t="str">
        <f>IF(OR(E3771="",E3771="!!!",F3771="NEW"),"",INDEX(J$1:J3770,SUMPRODUCT(MAX(ROW(E$1:E3770)*(E3771=E$1:E3770)))))</f>
        <v> </v>
      </c>
      <c r="L3771" s="26"/>
    </row>
    <row r="3772" spans="1:12">
      <c r="A3772" s="20"/>
    </row>
    <row r="3773" spans="1:12">
      <c r="A3773" s="20" t="s">
        <v>1678</v>
      </c>
    </row>
    <row r="3774" spans="1:12">
      <c r="A3774" s="20" t="s">
        <v>12</v>
      </c>
      <c r="E3774" s="21">
        <f>IF(D3774="?OLD","!!!","")</f>
        <v/>
      </c>
      <c r="F3774" s="22" t="str">
        <f>IF(OR(E3774="",E3774="!!!"),"",IF(NOT(ISNA(VLOOKUP(E3774,E$1:E3773,1,FALSE()))),"OLD",IF(AND(E3774&lt;&gt;"",E3774&lt;&gt;"!!!"),"NEW","")))</f>
        <v> </v>
      </c>
      <c r="G3774" s="23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4" t="str">
        <f>IF(J3774&lt;&gt;1,"",IF(I3774="SBJ","CB","?"))</f>
        <v> </v>
      </c>
      <c r="I3774" s="25" t="str">
        <f>IF(OR(E3774="",E3774="!!!",F3774="NEW"),"",INDEX(B3773:B$2,-1+SUMPRODUCT(MAX(ROW(E3773:E$2)*(E3774=E3773:E$2)))))</f>
        <v> </v>
      </c>
      <c r="J3774" s="25" t="str">
        <f>IF(OR(E3774="",E3774="!!!",F3774="NEW"),"",COUNTBLANK(OFFSET(A$1,,,SUMPRODUCT(MAX(ROW(E$2:E3774)*(E3774=E$2:E3774)))))-COUNTBLANK(OFFSET(A$1,,,SUMPRODUCT(MAX(ROW(E$1:E3773)*(E2=E$1:E3773))))))</f>
        <v> </v>
      </c>
      <c r="K3774" s="25" t="str">
        <f>IF(OR(E3774="",E3774="!!!",F3774="NEW"),"",INDEX(J$1:J3773,SUMPRODUCT(MAX(ROW(E$1:E3773)*(E3774=E$1:E3773)))))</f>
        <v> </v>
      </c>
      <c r="L3774" s="26"/>
    </row>
    <row r="3775" spans="1:12">
      <c r="A3775" s="20" t="s">
        <v>1679</v>
      </c>
      <c r="B3775" s="27" t="s">
        <v>692</v>
      </c>
      <c r="C3775" s="27" t="s">
        <v>693</v>
      </c>
      <c r="D3775" s="27" t="s">
        <v>694</v>
      </c>
      <c r="E3775" s="21">
        <f>IF(D3775="?OLD","!!!","")</f>
        <v/>
      </c>
      <c r="F3775" s="22" t="str">
        <f>IF(OR(E3775="",E3775="!!!"),"",IF(NOT(ISNA(VLOOKUP(E3775,E$1:E3774,1,FALSE()))),"OLD",IF(AND(E3775&lt;&gt;"",E3775&lt;&gt;"!!!"),"NEW","")))</f>
        <v> </v>
      </c>
      <c r="G3775" s="23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4" t="str">
        <f>IF(J3775&lt;&gt;1,"",IF(I3775="SBJ","CB","?"))</f>
        <v> </v>
      </c>
      <c r="I3775" s="25" t="str">
        <f>IF(OR(E3775="",E3775="!!!",F3775="NEW"),"",INDEX(B3774:B$2,-1+SUMPRODUCT(MAX(ROW(E3774:E$2)*(E3775=E3774:E$2)))))</f>
        <v> </v>
      </c>
      <c r="J3775" s="25" t="str">
        <f>IF(OR(E3775="",E3775="!!!",F3775="NEW"),"",COUNTBLANK(OFFSET(A$1,,,SUMPRODUCT(MAX(ROW(E$2:E3775)*(E3775=E$2:E3775)))))-COUNTBLANK(OFFSET(A$1,,,SUMPRODUCT(MAX(ROW(E$1:E3774)*(E2=E$1:E3774))))))</f>
        <v> </v>
      </c>
      <c r="K3775" s="25" t="str">
        <f>IF(OR(E3775="",E3775="!!!",F3775="NEW"),"",INDEX(J$1:J3774,SUMPRODUCT(MAX(ROW(E$1:E3774)*(E3775=E$1:E3774)))))</f>
        <v> </v>
      </c>
      <c r="L3775" s="26"/>
    </row>
    <row r="3776" spans="1:12">
      <c r="A3776" s="20" t="s">
        <v>784</v>
      </c>
      <c r="E3776" s="21">
        <f>IF(D3776="?OLD","!!!","")</f>
        <v/>
      </c>
      <c r="F3776" s="22" t="str">
        <f>IF(OR(E3776="",E3776="!!!"),"",IF(NOT(ISNA(VLOOKUP(E3776,E$1:E3775,1,FALSE()))),"OLD",IF(AND(E3776&lt;&gt;"",E3776&lt;&gt;"!!!"),"NEW","")))</f>
        <v> </v>
      </c>
      <c r="G3776" s="23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4" t="str">
        <f>IF(J3776&lt;&gt;1,"",IF(I3776="SBJ","CB","?"))</f>
        <v> </v>
      </c>
      <c r="I3776" s="25" t="str">
        <f>IF(OR(E3776="",E3776="!!!",F3776="NEW"),"",INDEX(B3775:B$2,-1+SUMPRODUCT(MAX(ROW(E3775:E$2)*(E3776=E3775:E$2)))))</f>
        <v> </v>
      </c>
      <c r="J3776" s="25" t="str">
        <f>IF(OR(E3776="",E3776="!!!",F3776="NEW"),"",COUNTBLANK(OFFSET(A$1,,,SUMPRODUCT(MAX(ROW(E$2:E3776)*(E3776=E$2:E3776)))))-COUNTBLANK(OFFSET(A$1,,,SUMPRODUCT(MAX(ROW(E$1:E3775)*(E2=E$1:E3775))))))</f>
        <v> </v>
      </c>
      <c r="K3776" s="25" t="str">
        <f>IF(OR(E3776="",E3776="!!!",F3776="NEW"),"",INDEX(J$1:J3775,SUMPRODUCT(MAX(ROW(E$1:E3775)*(E3776=E$1:E3775)))))</f>
        <v> </v>
      </c>
      <c r="L3776" s="26"/>
    </row>
    <row r="3777" spans="1:12">
      <c r="A3777" s="20" t="s">
        <v>200</v>
      </c>
      <c r="E3777" s="21">
        <f>IF(D3777="?OLD","!!!","")</f>
        <v/>
      </c>
      <c r="F3777" s="22" t="str">
        <f>IF(OR(E3777="",E3777="!!!"),"",IF(NOT(ISNA(VLOOKUP(E3777,E$1:E3776,1,FALSE()))),"OLD",IF(AND(E3777&lt;&gt;"",E3777&lt;&gt;"!!!"),"NEW","")))</f>
        <v> </v>
      </c>
      <c r="G3777" s="23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4" t="str">
        <f>IF(J3777&lt;&gt;1,"",IF(I3777="SBJ","CB","?"))</f>
        <v> </v>
      </c>
      <c r="I3777" s="25" t="str">
        <f>IF(OR(E3777="",E3777="!!!",F3777="NEW"),"",INDEX(B3776:B$2,-1+SUMPRODUCT(MAX(ROW(E3776:E$2)*(E3777=E3776:E$2)))))</f>
        <v> </v>
      </c>
      <c r="J3777" s="25" t="str">
        <f>IF(OR(E3777="",E3777="!!!",F3777="NEW"),"",COUNTBLANK(OFFSET(A$1,,,SUMPRODUCT(MAX(ROW(E$2:E3777)*(E3777=E$2:E3777)))))-COUNTBLANK(OFFSET(A$1,,,SUMPRODUCT(MAX(ROW(E$1:E3776)*(E2=E$1:E3776))))))</f>
        <v> </v>
      </c>
      <c r="K3777" s="25" t="str">
        <f>IF(OR(E3777="",E3777="!!!",F3777="NEW"),"",INDEX(J$1:J3776,SUMPRODUCT(MAX(ROW(E$1:E3776)*(E3777=E$1:E3776)))))</f>
        <v> </v>
      </c>
      <c r="L3777" s="26"/>
    </row>
    <row r="3778" spans="1:12">
      <c r="A3778" s="20" t="s">
        <v>1680</v>
      </c>
      <c r="B3778" s="27" t="s">
        <v>703</v>
      </c>
      <c r="C3778" s="27" t="s">
        <v>717</v>
      </c>
      <c r="D3778" s="27" t="s">
        <v>694</v>
      </c>
      <c r="E3778" s="21">
        <f>IF(D3778="?OLD","!!!","")</f>
        <v/>
      </c>
      <c r="F3778" s="22" t="str">
        <f>IF(OR(E3778="",E3778="!!!"),"",IF(NOT(ISNA(VLOOKUP(E3778,E$1:E3777,1,FALSE()))),"OLD",IF(AND(E3778&lt;&gt;"",E3778&lt;&gt;"!!!"),"NEW","")))</f>
        <v> </v>
      </c>
      <c r="G3778" s="23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4" t="str">
        <f>IF(J3778&lt;&gt;1,"",IF(I3778="SBJ","CB","?"))</f>
        <v> </v>
      </c>
      <c r="I3778" s="25" t="str">
        <f>IF(OR(E3778="",E3778="!!!",F3778="NEW"),"",INDEX(B3777:B$2,-1+SUMPRODUCT(MAX(ROW(E3777:E$2)*(E3778=E3777:E$2)))))</f>
        <v> </v>
      </c>
      <c r="J3778" s="25" t="str">
        <f>IF(OR(E3778="",E3778="!!!",F3778="NEW"),"",COUNTBLANK(OFFSET(A$1,,,SUMPRODUCT(MAX(ROW(E$2:E3778)*(E3778=E$2:E3778)))))-COUNTBLANK(OFFSET(A$1,,,SUMPRODUCT(MAX(ROW(E$1:E3777)*(E2=E$1:E3777))))))</f>
        <v> </v>
      </c>
      <c r="K3778" s="25" t="str">
        <f>IF(OR(E3778="",E3778="!!!",F3778="NEW"),"",INDEX(J$1:J3777,SUMPRODUCT(MAX(ROW(E$1:E3777)*(E3778=E$1:E3777)))))</f>
        <v> </v>
      </c>
      <c r="L3778" s="26"/>
    </row>
    <row r="3779" spans="1:12">
      <c r="A3779" s="20" t="s">
        <v>701</v>
      </c>
      <c r="E3779" s="21">
        <f>IF(D3779="?OLD","!!!","")</f>
        <v/>
      </c>
      <c r="F3779" s="22" t="str">
        <f>IF(OR(E3779="",E3779="!!!"),"",IF(NOT(ISNA(VLOOKUP(E3779,E$1:E3778,1,FALSE()))),"OLD",IF(AND(E3779&lt;&gt;"",E3779&lt;&gt;"!!!"),"NEW","")))</f>
        <v> </v>
      </c>
      <c r="G3779" s="23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4" t="str">
        <f>IF(J3779&lt;&gt;1,"",IF(I3779="SBJ","CB","?"))</f>
        <v> </v>
      </c>
      <c r="I3779" s="25" t="str">
        <f>IF(OR(E3779="",E3779="!!!",F3779="NEW"),"",INDEX(B3778:B$2,-1+SUMPRODUCT(MAX(ROW(E3778:E$2)*(E3779=E3778:E$2)))))</f>
        <v> </v>
      </c>
      <c r="J3779" s="25" t="str">
        <f>IF(OR(E3779="",E3779="!!!",F3779="NEW"),"",COUNTBLANK(OFFSET(A$1,,,SUMPRODUCT(MAX(ROW(E$2:E3779)*(E3779=E$2:E3779)))))-COUNTBLANK(OFFSET(A$1,,,SUMPRODUCT(MAX(ROW(E$1:E3778)*(E2=E$1:E3778))))))</f>
        <v> </v>
      </c>
      <c r="K3779" s="25" t="str">
        <f>IF(OR(E3779="",E3779="!!!",F3779="NEW"),"",INDEX(J$1:J3778,SUMPRODUCT(MAX(ROW(E$1:E3778)*(E3779=E$1:E3778)))))</f>
        <v> </v>
      </c>
      <c r="L3779" s="26"/>
    </row>
    <row r="3780" spans="1:12">
      <c r="A3780" s="20" t="s">
        <v>724</v>
      </c>
      <c r="E3780" s="21">
        <f>IF(D3780="?OLD","!!!","")</f>
        <v/>
      </c>
      <c r="F3780" s="22" t="str">
        <f>IF(OR(E3780="",E3780="!!!"),"",IF(NOT(ISNA(VLOOKUP(E3780,E$1:E3779,1,FALSE()))),"OLD",IF(AND(E3780&lt;&gt;"",E3780&lt;&gt;"!!!"),"NEW","")))</f>
        <v> </v>
      </c>
      <c r="G3780" s="23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4" t="str">
        <f>IF(J3780&lt;&gt;1,"",IF(I3780="SBJ","CB","?"))</f>
        <v> </v>
      </c>
      <c r="I3780" s="25" t="str">
        <f>IF(OR(E3780="",E3780="!!!",F3780="NEW"),"",INDEX(B3779:B$2,-1+SUMPRODUCT(MAX(ROW(E3779:E$2)*(E3780=E3779:E$2)))))</f>
        <v> </v>
      </c>
      <c r="J3780" s="25" t="str">
        <f>IF(OR(E3780="",E3780="!!!",F3780="NEW"),"",COUNTBLANK(OFFSET(A$1,,,SUMPRODUCT(MAX(ROW(E$2:E3780)*(E3780=E$2:E3780)))))-COUNTBLANK(OFFSET(A$1,,,SUMPRODUCT(MAX(ROW(E$1:E3779)*(E2=E$1:E3779))))))</f>
        <v> </v>
      </c>
      <c r="K3780" s="25" t="str">
        <f>IF(OR(E3780="",E3780="!!!",F3780="NEW"),"",INDEX(J$1:J3779,SUMPRODUCT(MAX(ROW(E$1:E3779)*(E3780=E$1:E3779)))))</f>
        <v> </v>
      </c>
      <c r="L3780" s="26"/>
    </row>
    <row r="3781" spans="1:12">
      <c r="A3781" s="20" t="s">
        <v>1681</v>
      </c>
      <c r="B3781" s="27" t="s">
        <v>703</v>
      </c>
      <c r="C3781" s="27" t="s">
        <v>996</v>
      </c>
      <c r="D3781" s="27" t="s">
        <v>694</v>
      </c>
      <c r="E3781" s="21">
        <f>IF(D3781="?OLD","!!!","")</f>
        <v/>
      </c>
      <c r="F3781" s="22" t="str">
        <f>IF(OR(E3781="",E3781="!!!"),"",IF(NOT(ISNA(VLOOKUP(E3781,E$1:E3780,1,FALSE()))),"OLD",IF(AND(E3781&lt;&gt;"",E3781&lt;&gt;"!!!"),"NEW","")))</f>
        <v> </v>
      </c>
      <c r="G3781" s="23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4" t="str">
        <f>IF(J3781&lt;&gt;1,"",IF(I3781="SBJ","CB","?"))</f>
        <v> </v>
      </c>
      <c r="I3781" s="25" t="str">
        <f>IF(OR(E3781="",E3781="!!!",F3781="NEW"),"",INDEX(B3780:B$2,-1+SUMPRODUCT(MAX(ROW(E3780:E$2)*(E3781=E3780:E$2)))))</f>
        <v> </v>
      </c>
      <c r="J3781" s="25" t="str">
        <f>IF(OR(E3781="",E3781="!!!",F3781="NEW"),"",COUNTBLANK(OFFSET(A$1,,,SUMPRODUCT(MAX(ROW(E$2:E3781)*(E3781=E$2:E3781)))))-COUNTBLANK(OFFSET(A$1,,,SUMPRODUCT(MAX(ROW(E$1:E3780)*(E2=E$1:E3780))))))</f>
        <v> </v>
      </c>
      <c r="K3781" s="25" t="str">
        <f>IF(OR(E3781="",E3781="!!!",F3781="NEW"),"",INDEX(J$1:J3780,SUMPRODUCT(MAX(ROW(E$1:E3780)*(E3781=E$1:E3780)))))</f>
        <v> </v>
      </c>
      <c r="L3781" s="26"/>
    </row>
    <row r="3782" spans="1:12">
      <c r="A3782" s="20" t="s">
        <v>722</v>
      </c>
      <c r="E3782" s="21">
        <f>IF(D3782="?OLD","!!!","")</f>
        <v/>
      </c>
      <c r="F3782" s="22" t="str">
        <f>IF(OR(E3782="",E3782="!!!"),"",IF(NOT(ISNA(VLOOKUP(E3782,E$1:E3781,1,FALSE()))),"OLD",IF(AND(E3782&lt;&gt;"",E3782&lt;&gt;"!!!"),"NEW","")))</f>
        <v> </v>
      </c>
      <c r="G3782" s="23" t="str">
        <f>IF(OR(E3782="",E3782="!!!"),"",IF(OR(J3782=0,AND(J3782=1,K3782=1),AND(J3782=1,I3782="SBJ"),AND(J3782=1,I3782=0)),"?IN_FOCUS",IF(J3782&lt;=2,"?ACTIVATED",IF(J3782&lt;&gt;"","?FAMILIAR",IF(F3782="NEW",IF(ISNA(VLOOKUP(E3782,#REF!,1,FALSE())),"?TYPE_IDENTIFIABLE","?REFERENTIAL"),"_")))))</f>
        <v> </v>
      </c>
      <c r="H3782" s="24" t="str">
        <f>IF(J3782&lt;&gt;1,"",IF(I3782="SBJ","CB","?"))</f>
        <v> </v>
      </c>
      <c r="I3782" s="25" t="str">
        <f>IF(OR(E3782="",E3782="!!!",F3782="NEW"),"",INDEX(B3781:B$2,-1+SUMPRODUCT(MAX(ROW(E3781:E$2)*(E3782=E3781:E$2)))))</f>
        <v> </v>
      </c>
      <c r="J3782" s="25" t="str">
        <f>IF(OR(E3782="",E3782="!!!",F3782="NEW"),"",COUNTBLANK(OFFSET(A$1,,,SUMPRODUCT(MAX(ROW(E$2:E3782)*(E3782=E$2:E3782)))))-COUNTBLANK(OFFSET(A$1,,,SUMPRODUCT(MAX(ROW(E$1:E3781)*(E2=E$1:E3781))))))</f>
        <v> </v>
      </c>
      <c r="K3782" s="25" t="str">
        <f>IF(OR(E3782="",E3782="!!!",F3782="NEW"),"",INDEX(J$1:J3781,SUMPRODUCT(MAX(ROW(E$1:E3781)*(E3782=E$1:E3781)))))</f>
        <v> </v>
      </c>
      <c r="L3782" s="26"/>
    </row>
    <row r="3783" spans="1:12">
      <c r="A3783" s="20" t="s">
        <v>818</v>
      </c>
      <c r="E3783" s="21">
        <f>IF(D3783="?OLD","!!!","")</f>
        <v/>
      </c>
      <c r="F3783" s="22" t="str">
        <f>IF(OR(E3783="",E3783="!!!"),"",IF(NOT(ISNA(VLOOKUP(E3783,E$1:E3782,1,FALSE()))),"OLD",IF(AND(E3783&lt;&gt;"",E3783&lt;&gt;"!!!"),"NEW","")))</f>
        <v> </v>
      </c>
      <c r="G3783" s="23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4" t="str">
        <f>IF(J3783&lt;&gt;1,"",IF(I3783="SBJ","CB","?"))</f>
        <v> </v>
      </c>
      <c r="I3783" s="25" t="str">
        <f>IF(OR(E3783="",E3783="!!!",F3783="NEW"),"",INDEX(B3782:B$2,-1+SUMPRODUCT(MAX(ROW(E3782:E$2)*(E3783=E3782:E$2)))))</f>
        <v> </v>
      </c>
      <c r="J3783" s="25" t="str">
        <f>IF(OR(E3783="",E3783="!!!",F3783="NEW"),"",COUNTBLANK(OFFSET(A$1,,,SUMPRODUCT(MAX(ROW(E$2:E3783)*(E3783=E$2:E3783)))))-COUNTBLANK(OFFSET(A$1,,,SUMPRODUCT(MAX(ROW(E$1:E3782)*(E2=E$1:E3782))))))</f>
        <v> </v>
      </c>
      <c r="K3783" s="25" t="str">
        <f>IF(OR(E3783="",E3783="!!!",F3783="NEW"),"",INDEX(J$1:J3782,SUMPRODUCT(MAX(ROW(E$1:E3782)*(E3783=E$1:E3782)))))</f>
        <v> </v>
      </c>
      <c r="L3783" s="26"/>
    </row>
    <row r="3784" spans="1:12">
      <c r="A3784" s="20" t="s">
        <v>768</v>
      </c>
      <c r="E3784" s="21">
        <f>IF(D3784="?OLD","!!!","")</f>
        <v/>
      </c>
      <c r="F3784" s="22" t="str">
        <f>IF(OR(E3784="",E3784="!!!"),"",IF(NOT(ISNA(VLOOKUP(E3784,E$1:E3783,1,FALSE()))),"OLD",IF(AND(E3784&lt;&gt;"",E3784&lt;&gt;"!!!"),"NEW","")))</f>
        <v> </v>
      </c>
      <c r="G3784" s="23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4" t="str">
        <f>IF(J3784&lt;&gt;1,"",IF(I3784="SBJ","CB","?"))</f>
        <v> </v>
      </c>
      <c r="I3784" s="25" t="str">
        <f>IF(OR(E3784="",E3784="!!!",F3784="NEW"),"",INDEX(B3783:B$2,-1+SUMPRODUCT(MAX(ROW(E3783:E$2)*(E3784=E3783:E$2)))))</f>
        <v> </v>
      </c>
      <c r="J3784" s="25" t="str">
        <f>IF(OR(E3784="",E3784="!!!",F3784="NEW"),"",COUNTBLANK(OFFSET(A$1,,,SUMPRODUCT(MAX(ROW(E$2:E3784)*(E3784=E$2:E3784)))))-COUNTBLANK(OFFSET(A$1,,,SUMPRODUCT(MAX(ROW(E$1:E3783)*(E2=E$1:E3783))))))</f>
        <v> </v>
      </c>
      <c r="K3784" s="25" t="str">
        <f>IF(OR(E3784="",E3784="!!!",F3784="NEW"),"",INDEX(J$1:J3783,SUMPRODUCT(MAX(ROW(E$1:E3783)*(E3784=E$1:E3783)))))</f>
        <v> </v>
      </c>
      <c r="L3784" s="26"/>
    </row>
    <row r="3785" spans="1:12">
      <c r="A3785" s="20" t="s">
        <v>1682</v>
      </c>
      <c r="B3785" s="27" t="s">
        <v>758</v>
      </c>
      <c r="C3785" s="27" t="s">
        <v>699</v>
      </c>
      <c r="E3785" s="21">
        <f>IF(D3785="?OLD","!!!","")</f>
        <v/>
      </c>
      <c r="F3785" s="22" t="str">
        <f>IF(OR(E3785="",E3785="!!!"),"",IF(NOT(ISNA(VLOOKUP(E3785,E$1:E3784,1,FALSE()))),"OLD",IF(AND(E3785&lt;&gt;"",E3785&lt;&gt;"!!!"),"NEW","")))</f>
        <v> </v>
      </c>
      <c r="G3785" s="23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4" t="str">
        <f>IF(J3785&lt;&gt;1,"",IF(I3785="SBJ","CB","?"))</f>
        <v> </v>
      </c>
      <c r="I3785" s="25" t="str">
        <f>IF(OR(E3785="",E3785="!!!",F3785="NEW"),"",INDEX(B3784:B$2,-1+SUMPRODUCT(MAX(ROW(E3784:E$2)*(E3785=E3784:E$2)))))</f>
        <v> </v>
      </c>
      <c r="J3785" s="25" t="str">
        <f>IF(OR(E3785="",E3785="!!!",F3785="NEW"),"",COUNTBLANK(OFFSET(A$1,,,SUMPRODUCT(MAX(ROW(E$2:E3785)*(E3785=E$2:E3785)))))-COUNTBLANK(OFFSET(A$1,,,SUMPRODUCT(MAX(ROW(E$1:E3784)*(E2=E$1:E3784))))))</f>
        <v> </v>
      </c>
      <c r="K3785" s="25" t="str">
        <f>IF(OR(E3785="",E3785="!!!",F3785="NEW"),"",INDEX(J$1:J3784,SUMPRODUCT(MAX(ROW(E$1:E3784)*(E3785=E$1:E3784)))))</f>
        <v> </v>
      </c>
      <c r="L3785" s="26"/>
    </row>
    <row r="3786" spans="1:12">
      <c r="A3786" s="20" t="s">
        <v>722</v>
      </c>
      <c r="E3786" s="21">
        <f>IF(D3786="?OLD","!!!","")</f>
        <v/>
      </c>
      <c r="F3786" s="22" t="str">
        <f>IF(OR(E3786="",E3786="!!!"),"",IF(NOT(ISNA(VLOOKUP(E3786,E$1:E3785,1,FALSE()))),"OLD",IF(AND(E3786&lt;&gt;"",E3786&lt;&gt;"!!!"),"NEW","")))</f>
        <v> </v>
      </c>
      <c r="G3786" s="23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4" t="str">
        <f>IF(J3786&lt;&gt;1,"",IF(I3786="SBJ","CB","?"))</f>
        <v> </v>
      </c>
      <c r="I3786" s="25" t="str">
        <f>IF(OR(E3786="",E3786="!!!",F3786="NEW"),"",INDEX(B3785:B$2,-1+SUMPRODUCT(MAX(ROW(E3785:E$2)*(E3786=E3785:E$2)))))</f>
        <v> </v>
      </c>
      <c r="J3786" s="25" t="str">
        <f>IF(OR(E3786="",E3786="!!!",F3786="NEW"),"",COUNTBLANK(OFFSET(A$1,,,SUMPRODUCT(MAX(ROW(E$2:E3786)*(E3786=E$2:E3786)))))-COUNTBLANK(OFFSET(A$1,,,SUMPRODUCT(MAX(ROW(E$1:E3785)*(E2=E$1:E3785))))))</f>
        <v> </v>
      </c>
      <c r="K3786" s="25" t="str">
        <f>IF(OR(E3786="",E3786="!!!",F3786="NEW"),"",INDEX(J$1:J3785,SUMPRODUCT(MAX(ROW(E$1:E3785)*(E3786=E$1:E3785)))))</f>
        <v> </v>
      </c>
      <c r="L3786" s="26"/>
    </row>
    <row r="3787" spans="1:12">
      <c r="A3787" s="20" t="s">
        <v>836</v>
      </c>
      <c r="E3787" s="21">
        <f>IF(D3787="?OLD","!!!","")</f>
        <v/>
      </c>
      <c r="F3787" s="22" t="str">
        <f>IF(OR(E3787="",E3787="!!!"),"",IF(NOT(ISNA(VLOOKUP(E3787,E$1:E3786,1,FALSE()))),"OLD",IF(AND(E3787&lt;&gt;"",E3787&lt;&gt;"!!!"),"NEW","")))</f>
        <v> </v>
      </c>
      <c r="G3787" s="23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4" t="str">
        <f>IF(J3787&lt;&gt;1,"",IF(I3787="SBJ","CB","?"))</f>
        <v> </v>
      </c>
      <c r="I3787" s="25" t="str">
        <f>IF(OR(E3787="",E3787="!!!",F3787="NEW"),"",INDEX(B3786:B$2,-1+SUMPRODUCT(MAX(ROW(E3786:E$2)*(E3787=E3786:E$2)))))</f>
        <v> </v>
      </c>
      <c r="J3787" s="25" t="str">
        <f>IF(OR(E3787="",E3787="!!!",F3787="NEW"),"",COUNTBLANK(OFFSET(A$1,,,SUMPRODUCT(MAX(ROW(E$2:E3787)*(E3787=E$2:E3787)))))-COUNTBLANK(OFFSET(A$1,,,SUMPRODUCT(MAX(ROW(E$1:E3786)*(E2=E$1:E3786))))))</f>
        <v> </v>
      </c>
      <c r="K3787" s="25" t="str">
        <f>IF(OR(E3787="",E3787="!!!",F3787="NEW"),"",INDEX(J$1:J3786,SUMPRODUCT(MAX(ROW(E$1:E3786)*(E3787=E$1:E3786)))))</f>
        <v> </v>
      </c>
      <c r="L3787" s="26"/>
    </row>
    <row r="3788" spans="1:12">
      <c r="A3788" s="20" t="s">
        <v>701</v>
      </c>
      <c r="E3788" s="21">
        <f>IF(D3788="?OLD","!!!","")</f>
        <v/>
      </c>
      <c r="F3788" s="22" t="str">
        <f>IF(OR(E3788="",E3788="!!!"),"",IF(NOT(ISNA(VLOOKUP(E3788,E$1:E3787,1,FALSE()))),"OLD",IF(AND(E3788&lt;&gt;"",E3788&lt;&gt;"!!!"),"NEW","")))</f>
        <v> </v>
      </c>
      <c r="G3788" s="23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4" t="str">
        <f>IF(J3788&lt;&gt;1,"",IF(I3788="SBJ","CB","?"))</f>
        <v> </v>
      </c>
      <c r="I3788" s="25" t="str">
        <f>IF(OR(E3788="",E3788="!!!",F3788="NEW"),"",INDEX(B3787:B$2,-1+SUMPRODUCT(MAX(ROW(E3787:E$2)*(E3788=E3787:E$2)))))</f>
        <v> </v>
      </c>
      <c r="J3788" s="25" t="str">
        <f>IF(OR(E3788="",E3788="!!!",F3788="NEW"),"",COUNTBLANK(OFFSET(A$1,,,SUMPRODUCT(MAX(ROW(E$2:E3788)*(E3788=E$2:E3788)))))-COUNTBLANK(OFFSET(A$1,,,SUMPRODUCT(MAX(ROW(E$1:E3787)*(E2=E$1:E3787))))))</f>
        <v> </v>
      </c>
      <c r="K3788" s="25" t="str">
        <f>IF(OR(E3788="",E3788="!!!",F3788="NEW"),"",INDEX(J$1:J3787,SUMPRODUCT(MAX(ROW(E$1:E3787)*(E3788=E$1:E3787)))))</f>
        <v> </v>
      </c>
      <c r="L3788" s="26"/>
    </row>
    <row r="3789" spans="1:12">
      <c r="A3789" s="20" t="s">
        <v>219</v>
      </c>
      <c r="E3789" s="21">
        <f>IF(D3789="?OLD","!!!","")</f>
        <v/>
      </c>
      <c r="F3789" s="22" t="str">
        <f>IF(OR(E3789="",E3789="!!!"),"",IF(NOT(ISNA(VLOOKUP(E3789,E$1:E3788,1,FALSE()))),"OLD",IF(AND(E3789&lt;&gt;"",E3789&lt;&gt;"!!!"),"NEW","")))</f>
        <v> </v>
      </c>
      <c r="G3789" s="23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4" t="str">
        <f>IF(J3789&lt;&gt;1,"",IF(I3789="SBJ","CB","?"))</f>
        <v> </v>
      </c>
      <c r="I3789" s="25" t="str">
        <f>IF(OR(E3789="",E3789="!!!",F3789="NEW"),"",INDEX(B3788:B$2,-1+SUMPRODUCT(MAX(ROW(E3788:E$2)*(E3789=E3788:E$2)))))</f>
        <v> </v>
      </c>
      <c r="J3789" s="25" t="str">
        <f>IF(OR(E3789="",E3789="!!!",F3789="NEW"),"",COUNTBLANK(OFFSET(A$1,,,SUMPRODUCT(MAX(ROW(E$2:E3789)*(E3789=E$2:E3789)))))-COUNTBLANK(OFFSET(A$1,,,SUMPRODUCT(MAX(ROW(E$1:E3788)*(E2=E$1:E3788))))))</f>
        <v> </v>
      </c>
      <c r="K3789" s="25" t="str">
        <f>IF(OR(E3789="",E3789="!!!",F3789="NEW"),"",INDEX(J$1:J3788,SUMPRODUCT(MAX(ROW(E$1:E3788)*(E3789=E$1:E3788)))))</f>
        <v> </v>
      </c>
      <c r="L3789" s="26"/>
    </row>
    <row r="3790" spans="1:12">
      <c r="A3790" s="20" t="s">
        <v>1683</v>
      </c>
      <c r="B3790" s="27" t="s">
        <v>797</v>
      </c>
      <c r="C3790" s="27" t="s">
        <v>996</v>
      </c>
      <c r="D3790" s="27" t="s">
        <v>694</v>
      </c>
      <c r="E3790" s="21">
        <f>IF(D3790="?OLD","!!!","")</f>
        <v/>
      </c>
      <c r="F3790" s="22" t="str">
        <f>IF(OR(E3790="",E3790="!!!"),"",IF(NOT(ISNA(VLOOKUP(E3790,E$1:E3789,1,FALSE()))),"OLD",IF(AND(E3790&lt;&gt;"",E3790&lt;&gt;"!!!"),"NEW","")))</f>
        <v> </v>
      </c>
      <c r="G3790" s="23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4" t="str">
        <f>IF(J3790&lt;&gt;1,"",IF(I3790="SBJ","CB","?"))</f>
        <v> </v>
      </c>
      <c r="I3790" s="25" t="str">
        <f>IF(OR(E3790="",E3790="!!!",F3790="NEW"),"",INDEX(B3789:B$2,-1+SUMPRODUCT(MAX(ROW(E3789:E$2)*(E3790=E3789:E$2)))))</f>
        <v> </v>
      </c>
      <c r="J3790" s="25" t="str">
        <f>IF(OR(E3790="",E3790="!!!",F3790="NEW"),"",COUNTBLANK(OFFSET(A$1,,,SUMPRODUCT(MAX(ROW(E$2:E3790)*(E3790=E$2:E3790)))))-COUNTBLANK(OFFSET(A$1,,,SUMPRODUCT(MAX(ROW(E$1:E3789)*(E2=E$1:E3789))))))</f>
        <v> </v>
      </c>
      <c r="K3790" s="25" t="str">
        <f>IF(OR(E3790="",E3790="!!!",F3790="NEW"),"",INDEX(J$1:J3789,SUMPRODUCT(MAX(ROW(E$1:E3789)*(E3790=E$1:E3789)))))</f>
        <v> </v>
      </c>
      <c r="L3790" s="26"/>
    </row>
    <row r="3791" spans="1:12">
      <c r="A3791" s="20" t="s">
        <v>1684</v>
      </c>
      <c r="B3791" s="27" t="s">
        <v>867</v>
      </c>
      <c r="C3791" s="27" t="s">
        <v>996</v>
      </c>
      <c r="D3791" s="27" t="s">
        <v>694</v>
      </c>
      <c r="E3791" s="21">
        <f>IF(D3791="?OLD","!!!","")</f>
        <v/>
      </c>
      <c r="F3791" s="22" t="str">
        <f>IF(OR(E3791="",E3791="!!!"),"",IF(NOT(ISNA(VLOOKUP(E3791,E$1:E3790,1,FALSE()))),"OLD",IF(AND(E3791&lt;&gt;"",E3791&lt;&gt;"!!!"),"NEW","")))</f>
        <v> </v>
      </c>
      <c r="G3791" s="23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4" t="str">
        <f>IF(J3791&lt;&gt;1,"",IF(I3791="SBJ","CB","?"))</f>
        <v> </v>
      </c>
      <c r="I3791" s="25" t="str">
        <f>IF(OR(E3791="",E3791="!!!",F3791="NEW"),"",INDEX(B3790:B$2,-1+SUMPRODUCT(MAX(ROW(E3790:E$2)*(E3791=E3790:E$2)))))</f>
        <v> </v>
      </c>
      <c r="J3791" s="25" t="str">
        <f>IF(OR(E3791="",E3791="!!!",F3791="NEW"),"",COUNTBLANK(OFFSET(A$1,,,SUMPRODUCT(MAX(ROW(E$2:E3791)*(E3791=E$2:E3791)))))-COUNTBLANK(OFFSET(A$1,,,SUMPRODUCT(MAX(ROW(E$1:E3790)*(E2=E$1:E3790))))))</f>
        <v> </v>
      </c>
      <c r="K3791" s="25" t="str">
        <f>IF(OR(E3791="",E3791="!!!",F3791="NEW"),"",INDEX(J$1:J3790,SUMPRODUCT(MAX(ROW(E$1:E3790)*(E3791=E$1:E3790)))))</f>
        <v> </v>
      </c>
      <c r="L3791" s="26"/>
    </row>
    <row r="3792" spans="1:12">
      <c r="A3792" s="20" t="s">
        <v>722</v>
      </c>
      <c r="E3792" s="21">
        <f>IF(D3792="?OLD","!!!","")</f>
        <v/>
      </c>
      <c r="F3792" s="22" t="str">
        <f>IF(OR(E3792="",E3792="!!!"),"",IF(NOT(ISNA(VLOOKUP(E3792,E$1:E3791,1,FALSE()))),"OLD",IF(AND(E3792&lt;&gt;"",E3792&lt;&gt;"!!!"),"NEW","")))</f>
        <v> </v>
      </c>
      <c r="G3792" s="23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4" t="str">
        <f>IF(J3792&lt;&gt;1,"",IF(I3792="SBJ","CB","?"))</f>
        <v> </v>
      </c>
      <c r="I3792" s="25" t="str">
        <f>IF(OR(E3792="",E3792="!!!",F3792="NEW"),"",INDEX(B3791:B$2,-1+SUMPRODUCT(MAX(ROW(E3791:E$2)*(E3792=E3791:E$2)))))</f>
        <v> </v>
      </c>
      <c r="J3792" s="25" t="str">
        <f>IF(OR(E3792="",E3792="!!!",F3792="NEW"),"",COUNTBLANK(OFFSET(A$1,,,SUMPRODUCT(MAX(ROW(E$2:E3792)*(E3792=E$2:E3792)))))-COUNTBLANK(OFFSET(A$1,,,SUMPRODUCT(MAX(ROW(E$1:E3791)*(E2=E$1:E3791))))))</f>
        <v> </v>
      </c>
      <c r="K3792" s="25" t="str">
        <f>IF(OR(E3792="",E3792="!!!",F3792="NEW"),"",INDEX(J$1:J3791,SUMPRODUCT(MAX(ROW(E$1:E3791)*(E3792=E$1:E3791)))))</f>
        <v> </v>
      </c>
      <c r="L3792" s="26"/>
    </row>
    <row r="3793" spans="1:12">
      <c r="A3793" s="20" t="s">
        <v>904</v>
      </c>
      <c r="B3793" s="27" t="s">
        <v>797</v>
      </c>
      <c r="C3793" s="27" t="s">
        <v>789</v>
      </c>
      <c r="D3793" s="27" t="s">
        <v>694</v>
      </c>
      <c r="E3793" s="21">
        <f>IF(D3793="?OLD","!!!","")</f>
        <v/>
      </c>
      <c r="F3793" s="22" t="str">
        <f>IF(OR(E3793="",E3793="!!!"),"",IF(NOT(ISNA(VLOOKUP(E3793,E$1:E3792,1,FALSE()))),"OLD",IF(AND(E3793&lt;&gt;"",E3793&lt;&gt;"!!!"),"NEW","")))</f>
        <v> </v>
      </c>
      <c r="G3793" s="23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4" t="str">
        <f>IF(J3793&lt;&gt;1,"",IF(I3793="SBJ","CB","?"))</f>
        <v> </v>
      </c>
      <c r="I3793" s="25" t="str">
        <f>IF(OR(E3793="",E3793="!!!",F3793="NEW"),"",INDEX(B3792:B$2,-1+SUMPRODUCT(MAX(ROW(E3792:E$2)*(E3793=E3792:E$2)))))</f>
        <v> </v>
      </c>
      <c r="J3793" s="25" t="str">
        <f>IF(OR(E3793="",E3793="!!!",F3793="NEW"),"",COUNTBLANK(OFFSET(A$1,,,SUMPRODUCT(MAX(ROW(E$2:E3793)*(E3793=E$2:E3793)))))-COUNTBLANK(OFFSET(A$1,,,SUMPRODUCT(MAX(ROW(E$1:E3792)*(E2=E$1:E3792))))))</f>
        <v> </v>
      </c>
      <c r="K3793" s="25" t="str">
        <f>IF(OR(E3793="",E3793="!!!",F3793="NEW"),"",INDEX(J$1:J3792,SUMPRODUCT(MAX(ROW(E$1:E3792)*(E3793=E$1:E3792)))))</f>
        <v> </v>
      </c>
      <c r="L3793" s="26"/>
    </row>
    <row r="3794" spans="1:12">
      <c r="A3794" s="20" t="s">
        <v>1089</v>
      </c>
      <c r="E3794" s="21">
        <f>IF(D3794="?OLD","!!!","")</f>
        <v/>
      </c>
      <c r="F3794" s="22" t="str">
        <f>IF(OR(E3794="",E3794="!!!"),"",IF(NOT(ISNA(VLOOKUP(E3794,E$1:E3793,1,FALSE()))),"OLD",IF(AND(E3794&lt;&gt;"",E3794&lt;&gt;"!!!"),"NEW","")))</f>
        <v> </v>
      </c>
      <c r="G3794" s="23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4" t="str">
        <f>IF(J3794&lt;&gt;1,"",IF(I3794="SBJ","CB","?"))</f>
        <v> </v>
      </c>
      <c r="I3794" s="25" t="str">
        <f>IF(OR(E3794="",E3794="!!!",F3794="NEW"),"",INDEX(B3793:B$2,-1+SUMPRODUCT(MAX(ROW(E3793:E$2)*(E3794=E3793:E$2)))))</f>
        <v> </v>
      </c>
      <c r="J3794" s="25" t="str">
        <f>IF(OR(E3794="",E3794="!!!",F3794="NEW"),"",COUNTBLANK(OFFSET(A$1,,,SUMPRODUCT(MAX(ROW(E$2:E3794)*(E3794=E$2:E3794)))))-COUNTBLANK(OFFSET(A$1,,,SUMPRODUCT(MAX(ROW(E$1:E3793)*(E2=E$1:E3793))))))</f>
        <v> </v>
      </c>
      <c r="K3794" s="25" t="str">
        <f>IF(OR(E3794="",E3794="!!!",F3794="NEW"),"",INDEX(J$1:J3793,SUMPRODUCT(MAX(ROW(E$1:E3793)*(E3794=E$1:E3793)))))</f>
        <v> </v>
      </c>
      <c r="L3794" s="26"/>
    </row>
    <row r="3795" spans="1:12">
      <c r="A3795" s="20" t="s">
        <v>690</v>
      </c>
      <c r="E3795" s="21">
        <f>IF(D3795="?OLD","!!!","")</f>
        <v/>
      </c>
      <c r="F3795" s="22" t="str">
        <f>IF(OR(E3795="",E3795="!!!"),"",IF(NOT(ISNA(VLOOKUP(E3795,E$1:E3794,1,FALSE()))),"OLD",IF(AND(E3795&lt;&gt;"",E3795&lt;&gt;"!!!"),"NEW","")))</f>
        <v> </v>
      </c>
      <c r="G3795" s="23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4" t="str">
        <f>IF(J3795&lt;&gt;1,"",IF(I3795="SBJ","CB","?"))</f>
        <v> </v>
      </c>
      <c r="I3795" s="25" t="str">
        <f>IF(OR(E3795="",E3795="!!!",F3795="NEW"),"",INDEX(B3794:B$2,-1+SUMPRODUCT(MAX(ROW(E3794:E$2)*(E3795=E3794:E$2)))))</f>
        <v> </v>
      </c>
      <c r="J3795" s="25" t="str">
        <f>IF(OR(E3795="",E3795="!!!",F3795="NEW"),"",COUNTBLANK(OFFSET(A$1,,,SUMPRODUCT(MAX(ROW(E$2:E3795)*(E3795=E$2:E3795)))))-COUNTBLANK(OFFSET(A$1,,,SUMPRODUCT(MAX(ROW(E$1:E3794)*(E2=E$1:E3794))))))</f>
        <v> </v>
      </c>
      <c r="K3795" s="25" t="str">
        <f>IF(OR(E3795="",E3795="!!!",F3795="NEW"),"",INDEX(J$1:J3794,SUMPRODUCT(MAX(ROW(E$1:E3794)*(E3795=E$1:E3794)))))</f>
        <v> </v>
      </c>
      <c r="L3795" s="26"/>
    </row>
    <row r="3796" spans="1:12">
      <c r="A3796" s="20" t="s">
        <v>566</v>
      </c>
      <c r="E3796" s="21">
        <f>IF(D3796="?OLD","!!!","")</f>
        <v/>
      </c>
      <c r="F3796" s="22" t="str">
        <f>IF(OR(E3796="",E3796="!!!"),"",IF(NOT(ISNA(VLOOKUP(E3796,E$1:E3795,1,FALSE()))),"OLD",IF(AND(E3796&lt;&gt;"",E3796&lt;&gt;"!!!"),"NEW","")))</f>
        <v> </v>
      </c>
      <c r="G3796" s="23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4" t="str">
        <f>IF(J3796&lt;&gt;1,"",IF(I3796="SBJ","CB","?"))</f>
        <v> </v>
      </c>
      <c r="I3796" s="25" t="str">
        <f>IF(OR(E3796="",E3796="!!!",F3796="NEW"),"",INDEX(B3795:B$2,-1+SUMPRODUCT(MAX(ROW(E3795:E$2)*(E3796=E3795:E$2)))))</f>
        <v> </v>
      </c>
      <c r="J3796" s="25" t="str">
        <f>IF(OR(E3796="",E3796="!!!",F3796="NEW"),"",COUNTBLANK(OFFSET(A$1,,,SUMPRODUCT(MAX(ROW(E$2:E3796)*(E3796=E$2:E3796)))))-COUNTBLANK(OFFSET(A$1,,,SUMPRODUCT(MAX(ROW(E$1:E3795)*(E2=E$1:E3795))))))</f>
        <v> </v>
      </c>
      <c r="K3796" s="25" t="str">
        <f>IF(OR(E3796="",E3796="!!!",F3796="NEW"),"",INDEX(J$1:J3795,SUMPRODUCT(MAX(ROW(E$1:E3795)*(E3796=E$1:E3795)))))</f>
        <v> </v>
      </c>
      <c r="L3796" s="26"/>
    </row>
    <row r="3797" spans="1:12">
      <c r="A3797" s="20" t="s">
        <v>722</v>
      </c>
      <c r="E3797" s="21">
        <f>IF(D3797="?OLD","!!!","")</f>
        <v/>
      </c>
      <c r="F3797" s="22" t="str">
        <f>IF(OR(E3797="",E3797="!!!"),"",IF(NOT(ISNA(VLOOKUP(E3797,E$1:E3796,1,FALSE()))),"OLD",IF(AND(E3797&lt;&gt;"",E3797&lt;&gt;"!!!"),"NEW","")))</f>
        <v> </v>
      </c>
      <c r="G3797" s="23" t="str">
        <f>IF(OR(E3797="",E3797="!!!"),"",IF(OR(J3797=0,AND(J3797=1,K3797=1),AND(J3797=1,I3797="SBJ"),AND(J3797=1,I3797=0)),"?IN_FOCUS",IF(J3797&lt;=2,"?ACTIVATED",IF(J3797&lt;&gt;"","?FAMILIAR",IF(F3797="NEW",IF(ISNA(VLOOKUP(E3797,#REF!,1,FALSE())),"?TYPE_IDENTIFIABLE","?REFERENTIAL"),"_")))))</f>
        <v> </v>
      </c>
      <c r="H3797" s="24" t="str">
        <f>IF(J3797&lt;&gt;1,"",IF(I3797="SBJ","CB","?"))</f>
        <v> </v>
      </c>
      <c r="I3797" s="25" t="str">
        <f>IF(OR(E3797="",E3797="!!!",F3797="NEW"),"",INDEX(B3796:B$2,-1+SUMPRODUCT(MAX(ROW(E3796:E$2)*(E3797=E3796:E$2)))))</f>
        <v> </v>
      </c>
      <c r="J3797" s="25" t="str">
        <f>IF(OR(E3797="",E3797="!!!",F3797="NEW"),"",COUNTBLANK(OFFSET(A$1,,,SUMPRODUCT(MAX(ROW(E$2:E3797)*(E3797=E$2:E3797)))))-COUNTBLANK(OFFSET(A$1,,,SUMPRODUCT(MAX(ROW(E$1:E3796)*(E2=E$1:E3796))))))</f>
        <v> </v>
      </c>
      <c r="K3797" s="25" t="str">
        <f>IF(OR(E3797="",E3797="!!!",F3797="NEW"),"",INDEX(J$1:J3796,SUMPRODUCT(MAX(ROW(E$1:E3796)*(E3797=E$1:E3796)))))</f>
        <v> </v>
      </c>
      <c r="L3797" s="26"/>
    </row>
    <row r="3798" spans="1:12">
      <c r="A3798" s="20" t="s">
        <v>1165</v>
      </c>
      <c r="E3798" s="21">
        <f>IF(D3798="?OLD","!!!","")</f>
        <v/>
      </c>
      <c r="F3798" s="22" t="str">
        <f>IF(OR(E3798="",E3798="!!!"),"",IF(NOT(ISNA(VLOOKUP(E3798,E$1:E3797,1,FALSE()))),"OLD",IF(AND(E3798&lt;&gt;"",E3798&lt;&gt;"!!!"),"NEW","")))</f>
        <v> </v>
      </c>
      <c r="G3798" s="23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4" t="str">
        <f>IF(J3798&lt;&gt;1,"",IF(I3798="SBJ","CB","?"))</f>
        <v> </v>
      </c>
      <c r="I3798" s="25" t="str">
        <f>IF(OR(E3798="",E3798="!!!",F3798="NEW"),"",INDEX(B3797:B$2,-1+SUMPRODUCT(MAX(ROW(E3797:E$2)*(E3798=E3797:E$2)))))</f>
        <v> </v>
      </c>
      <c r="J3798" s="25" t="str">
        <f>IF(OR(E3798="",E3798="!!!",F3798="NEW"),"",COUNTBLANK(OFFSET(A$1,,,SUMPRODUCT(MAX(ROW(E$2:E3798)*(E3798=E$2:E3798)))))-COUNTBLANK(OFFSET(A$1,,,SUMPRODUCT(MAX(ROW(E$1:E3797)*(E2=E$1:E3797))))))</f>
        <v> </v>
      </c>
      <c r="K3798" s="25" t="str">
        <f>IF(OR(E3798="",E3798="!!!",F3798="NEW"),"",INDEX(J$1:J3797,SUMPRODUCT(MAX(ROW(E$1:E3797)*(E3798=E$1:E3797)))))</f>
        <v> </v>
      </c>
      <c r="L3798" s="26"/>
    </row>
    <row r="3799" spans="1:12">
      <c r="A3799" s="20" t="s">
        <v>804</v>
      </c>
      <c r="E3799" s="21">
        <f>IF(D3799="?OLD","!!!","")</f>
        <v/>
      </c>
      <c r="F3799" s="22" t="str">
        <f>IF(OR(E3799="",E3799="!!!"),"",IF(NOT(ISNA(VLOOKUP(E3799,E$1:E3798,1,FALSE()))),"OLD",IF(AND(E3799&lt;&gt;"",E3799&lt;&gt;"!!!"),"NEW","")))</f>
        <v> </v>
      </c>
      <c r="G3799" s="23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4" t="str">
        <f>IF(J3799&lt;&gt;1,"",IF(I3799="SBJ","CB","?"))</f>
        <v> </v>
      </c>
      <c r="I3799" s="25" t="str">
        <f>IF(OR(E3799="",E3799="!!!",F3799="NEW"),"",INDEX(B3798:B$2,-1+SUMPRODUCT(MAX(ROW(E3798:E$2)*(E3799=E3798:E$2)))))</f>
        <v> </v>
      </c>
      <c r="J3799" s="25" t="str">
        <f>IF(OR(E3799="",E3799="!!!",F3799="NEW"),"",COUNTBLANK(OFFSET(A$1,,,SUMPRODUCT(MAX(ROW(E$2:E3799)*(E3799=E$2:E3799)))))-COUNTBLANK(OFFSET(A$1,,,SUMPRODUCT(MAX(ROW(E$1:E3798)*(E2=E$1:E3798))))))</f>
        <v> </v>
      </c>
      <c r="K3799" s="25" t="str">
        <f>IF(OR(E3799="",E3799="!!!",F3799="NEW"),"",INDEX(J$1:J3798,SUMPRODUCT(MAX(ROW(E$1:E3798)*(E3799=E$1:E3798)))))</f>
        <v> </v>
      </c>
      <c r="L3799" s="26"/>
    </row>
    <row r="3800" spans="1:12">
      <c r="A3800" s="20" t="s">
        <v>701</v>
      </c>
      <c r="E3800" s="21">
        <f>IF(D3800="?OLD","!!!","")</f>
        <v/>
      </c>
      <c r="F3800" s="22" t="str">
        <f>IF(OR(E3800="",E3800="!!!"),"",IF(NOT(ISNA(VLOOKUP(E3800,E$1:E3799,1,FALSE()))),"OLD",IF(AND(E3800&lt;&gt;"",E3800&lt;&gt;"!!!"),"NEW","")))</f>
        <v> </v>
      </c>
      <c r="G3800" s="23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4" t="str">
        <f>IF(J3800&lt;&gt;1,"",IF(I3800="SBJ","CB","?"))</f>
        <v> </v>
      </c>
      <c r="I3800" s="25" t="str">
        <f>IF(OR(E3800="",E3800="!!!",F3800="NEW"),"",INDEX(B3799:B$2,-1+SUMPRODUCT(MAX(ROW(E3799:E$2)*(E3800=E3799:E$2)))))</f>
        <v> </v>
      </c>
      <c r="J3800" s="25" t="str">
        <f>IF(OR(E3800="",E3800="!!!",F3800="NEW"),"",COUNTBLANK(OFFSET(A$1,,,SUMPRODUCT(MAX(ROW(E$2:E3800)*(E3800=E$2:E3800)))))-COUNTBLANK(OFFSET(A$1,,,SUMPRODUCT(MAX(ROW(E$1:E3799)*(E2=E$1:E3799))))))</f>
        <v> </v>
      </c>
      <c r="K3800" s="25" t="str">
        <f>IF(OR(E3800="",E3800="!!!",F3800="NEW"),"",INDEX(J$1:J3799,SUMPRODUCT(MAX(ROW(E$1:E3799)*(E3800=E$1:E3799)))))</f>
        <v> </v>
      </c>
      <c r="L3800" s="26"/>
    </row>
    <row r="3801" spans="1:12">
      <c r="A3801" s="20" t="s">
        <v>1471</v>
      </c>
      <c r="E3801" s="21">
        <f>IF(D3801="?OLD","!!!","")</f>
        <v/>
      </c>
      <c r="F3801" s="22" t="str">
        <f>IF(OR(E3801="",E3801="!!!"),"",IF(NOT(ISNA(VLOOKUP(E3801,E$1:E3800,1,FALSE()))),"OLD",IF(AND(E3801&lt;&gt;"",E3801&lt;&gt;"!!!"),"NEW","")))</f>
        <v> </v>
      </c>
      <c r="G3801" s="23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4" t="str">
        <f>IF(J3801&lt;&gt;1,"",IF(I3801="SBJ","CB","?"))</f>
        <v> </v>
      </c>
      <c r="I3801" s="25" t="str">
        <f>IF(OR(E3801="",E3801="!!!",F3801="NEW"),"",INDEX(B3800:B$2,-1+SUMPRODUCT(MAX(ROW(E3800:E$2)*(E3801=E3800:E$2)))))</f>
        <v> </v>
      </c>
      <c r="J3801" s="25" t="str">
        <f>IF(OR(E3801="",E3801="!!!",F3801="NEW"),"",COUNTBLANK(OFFSET(A$1,,,SUMPRODUCT(MAX(ROW(E$2:E3801)*(E3801=E$2:E3801)))))-COUNTBLANK(OFFSET(A$1,,,SUMPRODUCT(MAX(ROW(E$1:E3800)*(E2=E$1:E3800))))))</f>
        <v> </v>
      </c>
      <c r="K3801" s="25" t="str">
        <f>IF(OR(E3801="",E3801="!!!",F3801="NEW"),"",INDEX(J$1:J3800,SUMPRODUCT(MAX(ROW(E$1:E3800)*(E3801=E$1:E3800)))))</f>
        <v> </v>
      </c>
      <c r="L3801" s="26"/>
    </row>
    <row r="3802" spans="1:12">
      <c r="A3802" s="20" t="s">
        <v>1685</v>
      </c>
      <c r="B3802" s="27" t="s">
        <v>719</v>
      </c>
      <c r="C3802" s="27" t="s">
        <v>771</v>
      </c>
      <c r="E3802" s="21">
        <f>IF(D3802="?OLD","!!!","")</f>
        <v/>
      </c>
      <c r="F3802" s="22" t="str">
        <f>IF(OR(E3802="",E3802="!!!"),"",IF(NOT(ISNA(VLOOKUP(E3802,E$1:E3801,1,FALSE()))),"OLD",IF(AND(E3802&lt;&gt;"",E3802&lt;&gt;"!!!"),"NEW","")))</f>
        <v> </v>
      </c>
      <c r="G3802" s="23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4" t="str">
        <f>IF(J3802&lt;&gt;1,"",IF(I3802="SBJ","CB","?"))</f>
        <v> </v>
      </c>
      <c r="I3802" s="25" t="str">
        <f>IF(OR(E3802="",E3802="!!!",F3802="NEW"),"",INDEX(B3801:B$2,-1+SUMPRODUCT(MAX(ROW(E3801:E$2)*(E3802=E3801:E$2)))))</f>
        <v> </v>
      </c>
      <c r="J3802" s="25" t="str">
        <f>IF(OR(E3802="",E3802="!!!",F3802="NEW"),"",COUNTBLANK(OFFSET(A$1,,,SUMPRODUCT(MAX(ROW(E$2:E3802)*(E3802=E$2:E3802)))))-COUNTBLANK(OFFSET(A$1,,,SUMPRODUCT(MAX(ROW(E$1:E3801)*(E2=E$1:E3801))))))</f>
        <v> </v>
      </c>
      <c r="K3802" s="25" t="str">
        <f>IF(OR(E3802="",E3802="!!!",F3802="NEW"),"",INDEX(J$1:J3801,SUMPRODUCT(MAX(ROW(E$1:E3801)*(E3802=E$1:E3801)))))</f>
        <v> </v>
      </c>
      <c r="L3802" s="26"/>
    </row>
    <row r="3803" spans="1:12">
      <c r="A3803" s="20" t="s">
        <v>704</v>
      </c>
      <c r="E3803" s="21">
        <f>IF(D3803="?OLD","!!!","")</f>
        <v/>
      </c>
      <c r="F3803" s="22" t="str">
        <f>IF(OR(E3803="",E3803="!!!"),"",IF(NOT(ISNA(VLOOKUP(E3803,E$1:E3802,1,FALSE()))),"OLD",IF(AND(E3803&lt;&gt;"",E3803&lt;&gt;"!!!"),"NEW","")))</f>
        <v> </v>
      </c>
      <c r="G3803" s="23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4" t="str">
        <f>IF(J3803&lt;&gt;1,"",IF(I3803="SBJ","CB","?"))</f>
        <v> </v>
      </c>
      <c r="I3803" s="25" t="str">
        <f>IF(OR(E3803="",E3803="!!!",F3803="NEW"),"",INDEX(B3802:B$2,-1+SUMPRODUCT(MAX(ROW(E3802:E$2)*(E3803=E3802:E$2)))))</f>
        <v> </v>
      </c>
      <c r="J3803" s="25" t="str">
        <f>IF(OR(E3803="",E3803="!!!",F3803="NEW"),"",COUNTBLANK(OFFSET(A$1,,,SUMPRODUCT(MAX(ROW(E$2:E3803)*(E3803=E$2:E3803)))))-COUNTBLANK(OFFSET(A$1,,,SUMPRODUCT(MAX(ROW(E$1:E3802)*(E2=E$1:E3802))))))</f>
        <v> </v>
      </c>
      <c r="K3803" s="25" t="str">
        <f>IF(OR(E3803="",E3803="!!!",F3803="NEW"),"",INDEX(J$1:J3802,SUMPRODUCT(MAX(ROW(E$1:E3802)*(E3803=E$1:E3802)))))</f>
        <v> </v>
      </c>
      <c r="L3803" s="26"/>
    </row>
    <row r="3804" spans="1:12">
      <c r="A3804" s="20"/>
    </row>
    <row r="3805" spans="1:12">
      <c r="A3805" s="20" t="s">
        <v>1686</v>
      </c>
    </row>
    <row r="3806" spans="1:12">
      <c r="A3806" s="20" t="s">
        <v>1094</v>
      </c>
      <c r="E3806" s="21">
        <f>IF(D3806="?OLD","!!!","")</f>
        <v/>
      </c>
      <c r="F3806" s="22" t="str">
        <f>IF(OR(E3806="",E3806="!!!"),"",IF(NOT(ISNA(VLOOKUP(E3806,E$1:E3805,1,FALSE()))),"OLD",IF(AND(E3806&lt;&gt;"",E3806&lt;&gt;"!!!"),"NEW","")))</f>
        <v> </v>
      </c>
      <c r="G3806" s="23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4" t="str">
        <f>IF(J3806&lt;&gt;1,"",IF(I3806="SBJ","CB","?"))</f>
        <v> </v>
      </c>
      <c r="I3806" s="25" t="str">
        <f>IF(OR(E3806="",E3806="!!!",F3806="NEW"),"",INDEX(B3805:B$2,-1+SUMPRODUCT(MAX(ROW(E3805:E$2)*(E3806=E3805:E$2)))))</f>
        <v> </v>
      </c>
      <c r="J3806" s="25" t="str">
        <f>IF(OR(E3806="",E3806="!!!",F3806="NEW"),"",COUNTBLANK(OFFSET(A$1,,,SUMPRODUCT(MAX(ROW(E$2:E3806)*(E3806=E$2:E3806)))))-COUNTBLANK(OFFSET(A$1,,,SUMPRODUCT(MAX(ROW(E$1:E3805)*(E2=E$1:E3805))))))</f>
        <v> </v>
      </c>
      <c r="K3806" s="25" t="str">
        <f>IF(OR(E3806="",E3806="!!!",F3806="NEW"),"",INDEX(J$1:J3805,SUMPRODUCT(MAX(ROW(E$1:E3805)*(E3806=E$1:E3805)))))</f>
        <v> </v>
      </c>
      <c r="L3806" s="26"/>
    </row>
    <row r="3807" spans="1:12">
      <c r="A3807" s="20" t="s">
        <v>757</v>
      </c>
      <c r="B3807" s="27" t="s">
        <v>822</v>
      </c>
      <c r="C3807" s="27" t="s">
        <v>693</v>
      </c>
      <c r="D3807" s="27" t="s">
        <v>694</v>
      </c>
      <c r="E3807" s="21">
        <f>IF(D3807="?OLD","!!!","")</f>
        <v/>
      </c>
      <c r="F3807" s="22" t="str">
        <f>IF(OR(E3807="",E3807="!!!"),"",IF(NOT(ISNA(VLOOKUP(E3807,E$1:E3806,1,FALSE()))),"OLD",IF(AND(E3807&lt;&gt;"",E3807&lt;&gt;"!!!"),"NEW","")))</f>
        <v> </v>
      </c>
      <c r="G3807" s="23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4" t="str">
        <f>IF(J3807&lt;&gt;1,"",IF(I3807="SBJ","CB","?"))</f>
        <v> </v>
      </c>
      <c r="I3807" s="25" t="str">
        <f>IF(OR(E3807="",E3807="!!!",F3807="NEW"),"",INDEX(B3806:B$2,-1+SUMPRODUCT(MAX(ROW(E3806:E$2)*(E3807=E3806:E$2)))))</f>
        <v> </v>
      </c>
      <c r="J3807" s="25" t="str">
        <f>IF(OR(E3807="",E3807="!!!",F3807="NEW"),"",COUNTBLANK(OFFSET(A$1,,,SUMPRODUCT(MAX(ROW(E$2:E3807)*(E3807=E$2:E3807)))))-COUNTBLANK(OFFSET(A$1,,,SUMPRODUCT(MAX(ROW(E$1:E3806)*(E2=E$1:E3806))))))</f>
        <v> </v>
      </c>
      <c r="K3807" s="25" t="str">
        <f>IF(OR(E3807="",E3807="!!!",F3807="NEW"),"",INDEX(J$1:J3806,SUMPRODUCT(MAX(ROW(E$1:E3806)*(E3807=E$1:E3806)))))</f>
        <v> </v>
      </c>
      <c r="L3807" s="26"/>
    </row>
    <row r="3808" spans="1:12">
      <c r="A3808" s="20" t="s">
        <v>878</v>
      </c>
      <c r="E3808" s="21">
        <f>IF(D3808="?OLD","!!!","")</f>
        <v/>
      </c>
      <c r="F3808" s="22" t="str">
        <f>IF(OR(E3808="",E3808="!!!"),"",IF(NOT(ISNA(VLOOKUP(E3808,E$1:E3807,1,FALSE()))),"OLD",IF(AND(E3808&lt;&gt;"",E3808&lt;&gt;"!!!"),"NEW","")))</f>
        <v> </v>
      </c>
      <c r="G3808" s="23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4" t="str">
        <f>IF(J3808&lt;&gt;1,"",IF(I3808="SBJ","CB","?"))</f>
        <v> </v>
      </c>
      <c r="I3808" s="25" t="str">
        <f>IF(OR(E3808="",E3808="!!!",F3808="NEW"),"",INDEX(B3807:B$2,-1+SUMPRODUCT(MAX(ROW(E3807:E$2)*(E3808=E3807:E$2)))))</f>
        <v> </v>
      </c>
      <c r="J3808" s="25" t="str">
        <f>IF(OR(E3808="",E3808="!!!",F3808="NEW"),"",COUNTBLANK(OFFSET(A$1,,,SUMPRODUCT(MAX(ROW(E$2:E3808)*(E3808=E$2:E3808)))))-COUNTBLANK(OFFSET(A$1,,,SUMPRODUCT(MAX(ROW(E$1:E3807)*(E2=E$1:E3807))))))</f>
        <v> </v>
      </c>
      <c r="K3808" s="25" t="str">
        <f>IF(OR(E3808="",E3808="!!!",F3808="NEW"),"",INDEX(J$1:J3807,SUMPRODUCT(MAX(ROW(E$1:E3807)*(E3808=E$1:E3807)))))</f>
        <v> </v>
      </c>
      <c r="L3808" s="26"/>
    </row>
    <row r="3809" spans="1:12">
      <c r="A3809" s="20" t="s">
        <v>690</v>
      </c>
      <c r="E3809" s="21">
        <f>IF(D3809="?OLD","!!!","")</f>
        <v/>
      </c>
      <c r="F3809" s="22" t="str">
        <f>IF(OR(E3809="",E3809="!!!"),"",IF(NOT(ISNA(VLOOKUP(E3809,E$1:E3808,1,FALSE()))),"OLD",IF(AND(E3809&lt;&gt;"",E3809&lt;&gt;"!!!"),"NEW","")))</f>
        <v> </v>
      </c>
      <c r="G3809" s="23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4" t="str">
        <f>IF(J3809&lt;&gt;1,"",IF(I3809="SBJ","CB","?"))</f>
        <v> </v>
      </c>
      <c r="I3809" s="25" t="str">
        <f>IF(OR(E3809="",E3809="!!!",F3809="NEW"),"",INDEX(B3808:B$2,-1+SUMPRODUCT(MAX(ROW(E3808:E$2)*(E3809=E3808:E$2)))))</f>
        <v> </v>
      </c>
      <c r="J3809" s="25" t="str">
        <f>IF(OR(E3809="",E3809="!!!",F3809="NEW"),"",COUNTBLANK(OFFSET(A$1,,,SUMPRODUCT(MAX(ROW(E$2:E3809)*(E3809=E$2:E3809)))))-COUNTBLANK(OFFSET(A$1,,,SUMPRODUCT(MAX(ROW(E$1:E3808)*(E2=E$1:E3808))))))</f>
        <v> </v>
      </c>
      <c r="K3809" s="25" t="str">
        <f>IF(OR(E3809="",E3809="!!!",F3809="NEW"),"",INDEX(J$1:J3808,SUMPRODUCT(MAX(ROW(E$1:E3808)*(E3809=E$1:E3808)))))</f>
        <v> </v>
      </c>
      <c r="L3809" s="26"/>
    </row>
    <row r="3810" spans="1:12">
      <c r="A3810" s="20" t="s">
        <v>473</v>
      </c>
      <c r="E3810" s="21">
        <f>IF(D3810="?OLD","!!!","")</f>
        <v/>
      </c>
      <c r="F3810" s="22" t="str">
        <f>IF(OR(E3810="",E3810="!!!"),"",IF(NOT(ISNA(VLOOKUP(E3810,E$1:E3809,1,FALSE()))),"OLD",IF(AND(E3810&lt;&gt;"",E3810&lt;&gt;"!!!"),"NEW","")))</f>
        <v> </v>
      </c>
      <c r="G3810" s="23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4" t="str">
        <f>IF(J3810&lt;&gt;1,"",IF(I3810="SBJ","CB","?"))</f>
        <v> </v>
      </c>
      <c r="I3810" s="25" t="str">
        <f>IF(OR(E3810="",E3810="!!!",F3810="NEW"),"",INDEX(B3809:B$2,-1+SUMPRODUCT(MAX(ROW(E3809:E$2)*(E3810=E3809:E$2)))))</f>
        <v> </v>
      </c>
      <c r="J3810" s="25" t="str">
        <f>IF(OR(E3810="",E3810="!!!",F3810="NEW"),"",COUNTBLANK(OFFSET(A$1,,,SUMPRODUCT(MAX(ROW(E$2:E3810)*(E3810=E$2:E3810)))))-COUNTBLANK(OFFSET(A$1,,,SUMPRODUCT(MAX(ROW(E$1:E3809)*(E2=E$1:E3809))))))</f>
        <v> </v>
      </c>
      <c r="K3810" s="25" t="str">
        <f>IF(OR(E3810="",E3810="!!!",F3810="NEW"),"",INDEX(J$1:J3809,SUMPRODUCT(MAX(ROW(E$1:E3809)*(E3810=E$1:E3809)))))</f>
        <v> </v>
      </c>
      <c r="L3810" s="26"/>
    </row>
    <row r="3811" spans="1:12">
      <c r="A3811" s="20" t="s">
        <v>712</v>
      </c>
      <c r="E3811" s="21">
        <f>IF(D3811="?OLD","!!!","")</f>
        <v/>
      </c>
      <c r="F3811" s="22" t="str">
        <f>IF(OR(E3811="",E3811="!!!"),"",IF(NOT(ISNA(VLOOKUP(E3811,E$1:E3810,1,FALSE()))),"OLD",IF(AND(E3811&lt;&gt;"",E3811&lt;&gt;"!!!"),"NEW","")))</f>
        <v> </v>
      </c>
      <c r="G3811" s="23" t="str">
        <f>IF(OR(E3811="",E3811="!!!"),"",IF(OR(J3811=0,AND(J3811=1,K3811=1),AND(J3811=1,I3811="SBJ"),AND(J3811=1,I3811=0)),"?IN_FOCUS",IF(J3811&lt;=2,"?ACTIVATED",IF(J3811&lt;&gt;"","?FAMILIAR",IF(F3811="NEW",IF(ISNA(VLOOKUP(E3811,#REF!,1,FALSE())),"?TYPE_IDENTIFIABLE","?REFERENTIAL"),"_")))))</f>
        <v> </v>
      </c>
      <c r="H3811" s="24" t="str">
        <f>IF(J3811&lt;&gt;1,"",IF(I3811="SBJ","CB","?"))</f>
        <v> </v>
      </c>
      <c r="I3811" s="25" t="str">
        <f>IF(OR(E3811="",E3811="!!!",F3811="NEW"),"",INDEX(B3810:B$2,-1+SUMPRODUCT(MAX(ROW(E3810:E$2)*(E3811=E3810:E$2)))))</f>
        <v> </v>
      </c>
      <c r="J3811" s="25" t="str">
        <f>IF(OR(E3811="",E3811="!!!",F3811="NEW"),"",COUNTBLANK(OFFSET(A$1,,,SUMPRODUCT(MAX(ROW(E$2:E3811)*(E3811=E$2:E3811)))))-COUNTBLANK(OFFSET(A$1,,,SUMPRODUCT(MAX(ROW(E$1:E3810)*(E2=E$1:E3810))))))</f>
        <v> </v>
      </c>
      <c r="K3811" s="25" t="str">
        <f>IF(OR(E3811="",E3811="!!!",F3811="NEW"),"",INDEX(J$1:J3810,SUMPRODUCT(MAX(ROW(E$1:E3810)*(E3811=E$1:E3810)))))</f>
        <v> </v>
      </c>
      <c r="L3811" s="26"/>
    </row>
    <row r="3812" spans="1:12">
      <c r="A3812" s="20" t="s">
        <v>1687</v>
      </c>
      <c r="E3812" s="21">
        <f>IF(D3812="?OLD","!!!","")</f>
        <v/>
      </c>
      <c r="F3812" s="22" t="str">
        <f>IF(OR(E3812="",E3812="!!!"),"",IF(NOT(ISNA(VLOOKUP(E3812,E$1:E3811,1,FALSE()))),"OLD",IF(AND(E3812&lt;&gt;"",E3812&lt;&gt;"!!!"),"NEW","")))</f>
        <v> </v>
      </c>
      <c r="G3812" s="23" t="str">
        <f>IF(OR(E3812="",E3812="!!!"),"",IF(OR(J3812=0,AND(J3812=1,K3812=1),AND(J3812=1,I3812="SBJ"),AND(J3812=1,I3812=0)),"?IN_FOCUS",IF(J3812&lt;=2,"?ACTIVATED",IF(J3812&lt;&gt;"","?FAMILIAR",IF(F3812="NEW",IF(ISNA(VLOOKUP(E3812,#REF!,1,FALSE())),"?TYPE_IDENTIFIABLE","?REFERENTIAL"),"_")))))</f>
        <v> </v>
      </c>
      <c r="H3812" s="24" t="str">
        <f>IF(J3812&lt;&gt;1,"",IF(I3812="SBJ","CB","?"))</f>
        <v> </v>
      </c>
      <c r="I3812" s="25" t="str">
        <f>IF(OR(E3812="",E3812="!!!",F3812="NEW"),"",INDEX(B3811:B$2,-1+SUMPRODUCT(MAX(ROW(E3811:E$2)*(E3812=E3811:E$2)))))</f>
        <v> </v>
      </c>
      <c r="J3812" s="25" t="str">
        <f>IF(OR(E3812="",E3812="!!!",F3812="NEW"),"",COUNTBLANK(OFFSET(A$1,,,SUMPRODUCT(MAX(ROW(E$2:E3812)*(E3812=E$2:E3812)))))-COUNTBLANK(OFFSET(A$1,,,SUMPRODUCT(MAX(ROW(E$1:E3811)*(E2=E$1:E3811))))))</f>
        <v> </v>
      </c>
      <c r="K3812" s="25" t="str">
        <f>IF(OR(E3812="",E3812="!!!",F3812="NEW"),"",INDEX(J$1:J3811,SUMPRODUCT(MAX(ROW(E$1:E3811)*(E3812=E$1:E3811)))))</f>
        <v> </v>
      </c>
      <c r="L3812" s="26"/>
    </row>
    <row r="3813" spans="1:12">
      <c r="A3813" s="20" t="s">
        <v>50</v>
      </c>
      <c r="E3813" s="21">
        <f>IF(D3813="?OLD","!!!","")</f>
        <v/>
      </c>
      <c r="F3813" s="22" t="str">
        <f>IF(OR(E3813="",E3813="!!!"),"",IF(NOT(ISNA(VLOOKUP(E3813,E$1:E3812,1,FALSE()))),"OLD",IF(AND(E3813&lt;&gt;"",E3813&lt;&gt;"!!!"),"NEW","")))</f>
        <v> </v>
      </c>
      <c r="G3813" s="23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4" t="str">
        <f>IF(J3813&lt;&gt;1,"",IF(I3813="SBJ","CB","?"))</f>
        <v> </v>
      </c>
      <c r="I3813" s="25" t="str">
        <f>IF(OR(E3813="",E3813="!!!",F3813="NEW"),"",INDEX(B3812:B$2,-1+SUMPRODUCT(MAX(ROW(E3812:E$2)*(E3813=E3812:E$2)))))</f>
        <v> </v>
      </c>
      <c r="J3813" s="25" t="str">
        <f>IF(OR(E3813="",E3813="!!!",F3813="NEW"),"",COUNTBLANK(OFFSET(A$1,,,SUMPRODUCT(MAX(ROW(E$2:E3813)*(E3813=E$2:E3813)))))-COUNTBLANK(OFFSET(A$1,,,SUMPRODUCT(MAX(ROW(E$1:E3812)*(E2=E$1:E3812))))))</f>
        <v> </v>
      </c>
      <c r="K3813" s="25" t="str">
        <f>IF(OR(E3813="",E3813="!!!",F3813="NEW"),"",INDEX(J$1:J3812,SUMPRODUCT(MAX(ROW(E$1:E3812)*(E3813=E$1:E3812)))))</f>
        <v> </v>
      </c>
      <c r="L3813" s="26"/>
    </row>
    <row r="3814" spans="1:12">
      <c r="A3814" s="20" t="s">
        <v>701</v>
      </c>
      <c r="E3814" s="21">
        <f>IF(D3814="?OLD","!!!","")</f>
        <v/>
      </c>
      <c r="F3814" s="22" t="str">
        <f>IF(OR(E3814="",E3814="!!!"),"",IF(NOT(ISNA(VLOOKUP(E3814,E$1:E3813,1,FALSE()))),"OLD",IF(AND(E3814&lt;&gt;"",E3814&lt;&gt;"!!!"),"NEW","")))</f>
        <v> </v>
      </c>
      <c r="G3814" s="23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4" t="str">
        <f>IF(J3814&lt;&gt;1,"",IF(I3814="SBJ","CB","?"))</f>
        <v> </v>
      </c>
      <c r="I3814" s="25" t="str">
        <f>IF(OR(E3814="",E3814="!!!",F3814="NEW"),"",INDEX(B3813:B$2,-1+SUMPRODUCT(MAX(ROW(E3813:E$2)*(E3814=E3813:E$2)))))</f>
        <v> </v>
      </c>
      <c r="J3814" s="25" t="str">
        <f>IF(OR(E3814="",E3814="!!!",F3814="NEW"),"",COUNTBLANK(OFFSET(A$1,,,SUMPRODUCT(MAX(ROW(E$2:E3814)*(E3814=E$2:E3814)))))-COUNTBLANK(OFFSET(A$1,,,SUMPRODUCT(MAX(ROW(E$1:E3813)*(E2=E$1:E3813))))))</f>
        <v> </v>
      </c>
      <c r="K3814" s="25" t="str">
        <f>IF(OR(E3814="",E3814="!!!",F3814="NEW"),"",INDEX(J$1:J3813,SUMPRODUCT(MAX(ROW(E$1:E3813)*(E3814=E$1:E3813)))))</f>
        <v> </v>
      </c>
      <c r="L3814" s="26"/>
    </row>
    <row r="3815" spans="1:12">
      <c r="A3815" s="20" t="s">
        <v>690</v>
      </c>
      <c r="E3815" s="21">
        <f>IF(D3815="?OLD","!!!","")</f>
        <v/>
      </c>
      <c r="F3815" s="22" t="str">
        <f>IF(OR(E3815="",E3815="!!!"),"",IF(NOT(ISNA(VLOOKUP(E3815,E$1:E3814,1,FALSE()))),"OLD",IF(AND(E3815&lt;&gt;"",E3815&lt;&gt;"!!!"),"NEW","")))</f>
        <v> </v>
      </c>
      <c r="G3815" s="23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4" t="str">
        <f>IF(J3815&lt;&gt;1,"",IF(I3815="SBJ","CB","?"))</f>
        <v> </v>
      </c>
      <c r="I3815" s="25" t="str">
        <f>IF(OR(E3815="",E3815="!!!",F3815="NEW"),"",INDEX(B3814:B$2,-1+SUMPRODUCT(MAX(ROW(E3814:E$2)*(E3815=E3814:E$2)))))</f>
        <v> </v>
      </c>
      <c r="J3815" s="25" t="str">
        <f>IF(OR(E3815="",E3815="!!!",F3815="NEW"),"",COUNTBLANK(OFFSET(A$1,,,SUMPRODUCT(MAX(ROW(E$2:E3815)*(E3815=E$2:E3815)))))-COUNTBLANK(OFFSET(A$1,,,SUMPRODUCT(MAX(ROW(E$1:E3814)*(E2=E$1:E3814))))))</f>
        <v> </v>
      </c>
      <c r="K3815" s="25" t="str">
        <f>IF(OR(E3815="",E3815="!!!",F3815="NEW"),"",INDEX(J$1:J3814,SUMPRODUCT(MAX(ROW(E$1:E3814)*(E3815=E$1:E3814)))))</f>
        <v> </v>
      </c>
      <c r="L3815" s="26"/>
    </row>
    <row r="3816" spans="1:12">
      <c r="A3816" s="20" t="s">
        <v>697</v>
      </c>
      <c r="B3816" s="27" t="s">
        <v>798</v>
      </c>
      <c r="C3816" s="27" t="s">
        <v>693</v>
      </c>
      <c r="D3816" s="27" t="s">
        <v>694</v>
      </c>
      <c r="E3816" s="21">
        <f>IF(D3816="?OLD","!!!","")</f>
        <v/>
      </c>
      <c r="F3816" s="22" t="str">
        <f>IF(OR(E3816="",E3816="!!!"),"",IF(NOT(ISNA(VLOOKUP(E3816,E$1:E3815,1,FALSE()))),"OLD",IF(AND(E3816&lt;&gt;"",E3816&lt;&gt;"!!!"),"NEW","")))</f>
        <v> </v>
      </c>
      <c r="G3816" s="23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4" t="str">
        <f>IF(J3816&lt;&gt;1,"",IF(I3816="SBJ","CB","?"))</f>
        <v> </v>
      </c>
      <c r="I3816" s="25" t="str">
        <f>IF(OR(E3816="",E3816="!!!",F3816="NEW"),"",INDEX(B3815:B$2,-1+SUMPRODUCT(MAX(ROW(E3815:E$2)*(E3816=E3815:E$2)))))</f>
        <v> </v>
      </c>
      <c r="J3816" s="25" t="str">
        <f>IF(OR(E3816="",E3816="!!!",F3816="NEW"),"",COUNTBLANK(OFFSET(A$1,,,SUMPRODUCT(MAX(ROW(E$2:E3816)*(E3816=E$2:E3816)))))-COUNTBLANK(OFFSET(A$1,,,SUMPRODUCT(MAX(ROW(E$1:E3815)*(E2=E$1:E3815))))))</f>
        <v> </v>
      </c>
      <c r="K3816" s="25" t="str">
        <f>IF(OR(E3816="",E3816="!!!",F3816="NEW"),"",INDEX(J$1:J3815,SUMPRODUCT(MAX(ROW(E$1:E3815)*(E3816=E$1:E3815)))))</f>
        <v> </v>
      </c>
      <c r="L3816" s="26"/>
    </row>
    <row r="3817" spans="1:12">
      <c r="A3817" s="20" t="s">
        <v>978</v>
      </c>
      <c r="E3817" s="21">
        <f>IF(D3817="?OLD","!!!","")</f>
        <v/>
      </c>
      <c r="F3817" s="22" t="str">
        <f>IF(OR(E3817="",E3817="!!!"),"",IF(NOT(ISNA(VLOOKUP(E3817,E$1:E3816,1,FALSE()))),"OLD",IF(AND(E3817&lt;&gt;"",E3817&lt;&gt;"!!!"),"NEW","")))</f>
        <v> </v>
      </c>
      <c r="G3817" s="23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4" t="str">
        <f>IF(J3817&lt;&gt;1,"",IF(I3817="SBJ","CB","?"))</f>
        <v> </v>
      </c>
      <c r="I3817" s="25" t="str">
        <f>IF(OR(E3817="",E3817="!!!",F3817="NEW"),"",INDEX(B3816:B$2,-1+SUMPRODUCT(MAX(ROW(E3816:E$2)*(E3817=E3816:E$2)))))</f>
        <v> </v>
      </c>
      <c r="J3817" s="25" t="str">
        <f>IF(OR(E3817="",E3817="!!!",F3817="NEW"),"",COUNTBLANK(OFFSET(A$1,,,SUMPRODUCT(MAX(ROW(E$2:E3817)*(E3817=E$2:E3817)))))-COUNTBLANK(OFFSET(A$1,,,SUMPRODUCT(MAX(ROW(E$1:E3816)*(E2=E$1:E3816))))))</f>
        <v> </v>
      </c>
      <c r="K3817" s="25" t="str">
        <f>IF(OR(E3817="",E3817="!!!",F3817="NEW"),"",INDEX(J$1:J3816,SUMPRODUCT(MAX(ROW(E$1:E3816)*(E3817=E$1:E3816)))))</f>
        <v> </v>
      </c>
      <c r="L3817" s="26"/>
    </row>
    <row r="3818" spans="1:12">
      <c r="A3818" s="20" t="s">
        <v>793</v>
      </c>
      <c r="E3818" s="21">
        <f>IF(D3818="?OLD","!!!","")</f>
        <v/>
      </c>
      <c r="F3818" s="22" t="str">
        <f>IF(OR(E3818="",E3818="!!!"),"",IF(NOT(ISNA(VLOOKUP(E3818,E$1:E3817,1,FALSE()))),"OLD",IF(AND(E3818&lt;&gt;"",E3818&lt;&gt;"!!!"),"NEW","")))</f>
        <v> </v>
      </c>
      <c r="G3818" s="23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4" t="str">
        <f>IF(J3818&lt;&gt;1,"",IF(I3818="SBJ","CB","?"))</f>
        <v> </v>
      </c>
      <c r="I3818" s="25" t="str">
        <f>IF(OR(E3818="",E3818="!!!",F3818="NEW"),"",INDEX(B3817:B$2,-1+SUMPRODUCT(MAX(ROW(E3817:E$2)*(E3818=E3817:E$2)))))</f>
        <v> </v>
      </c>
      <c r="J3818" s="25" t="str">
        <f>IF(OR(E3818="",E3818="!!!",F3818="NEW"),"",COUNTBLANK(OFFSET(A$1,,,SUMPRODUCT(MAX(ROW(E$2:E3818)*(E3818=E$2:E3818)))))-COUNTBLANK(OFFSET(A$1,,,SUMPRODUCT(MAX(ROW(E$1:E3817)*(E2=E$1:E3817))))))</f>
        <v> </v>
      </c>
      <c r="K3818" s="25" t="str">
        <f>IF(OR(E3818="",E3818="!!!",F3818="NEW"),"",INDEX(J$1:J3817,SUMPRODUCT(MAX(ROW(E$1:E3817)*(E3818=E$1:E3817)))))</f>
        <v> </v>
      </c>
      <c r="L3818" s="26"/>
    </row>
    <row r="3819" spans="1:12">
      <c r="A3819" s="20" t="s">
        <v>701</v>
      </c>
      <c r="E3819" s="21">
        <f>IF(D3819="?OLD","!!!","")</f>
        <v/>
      </c>
      <c r="F3819" s="22" t="str">
        <f>IF(OR(E3819="",E3819="!!!"),"",IF(NOT(ISNA(VLOOKUP(E3819,E$1:E3818,1,FALSE()))),"OLD",IF(AND(E3819&lt;&gt;"",E3819&lt;&gt;"!!!"),"NEW","")))</f>
        <v> </v>
      </c>
      <c r="G3819" s="23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4" t="str">
        <f>IF(J3819&lt;&gt;1,"",IF(I3819="SBJ","CB","?"))</f>
        <v> </v>
      </c>
      <c r="I3819" s="25" t="str">
        <f>IF(OR(E3819="",E3819="!!!",F3819="NEW"),"",INDEX(B3818:B$2,-1+SUMPRODUCT(MAX(ROW(E3818:E$2)*(E3819=E3818:E$2)))))</f>
        <v> </v>
      </c>
      <c r="J3819" s="25" t="str">
        <f>IF(OR(E3819="",E3819="!!!",F3819="NEW"),"",COUNTBLANK(OFFSET(A$1,,,SUMPRODUCT(MAX(ROW(E$2:E3819)*(E3819=E$2:E3819)))))-COUNTBLANK(OFFSET(A$1,,,SUMPRODUCT(MAX(ROW(E$1:E3818)*(E2=E$1:E3818))))))</f>
        <v> </v>
      </c>
      <c r="K3819" s="25" t="str">
        <f>IF(OR(E3819="",E3819="!!!",F3819="NEW"),"",INDEX(J$1:J3818,SUMPRODUCT(MAX(ROW(E$1:E3818)*(E3819=E$1:E3818)))))</f>
        <v> </v>
      </c>
      <c r="L3819" s="26"/>
    </row>
    <row r="3820" spans="1:12">
      <c r="A3820" s="20" t="s">
        <v>1662</v>
      </c>
      <c r="B3820" s="27" t="s">
        <v>738</v>
      </c>
      <c r="C3820" s="27" t="s">
        <v>699</v>
      </c>
      <c r="E3820" s="21">
        <f>IF(D3820="?OLD","!!!","")</f>
        <v/>
      </c>
      <c r="F3820" s="22" t="str">
        <f>IF(OR(E3820="",E3820="!!!"),"",IF(NOT(ISNA(VLOOKUP(E3820,E$1:E3819,1,FALSE()))),"OLD",IF(AND(E3820&lt;&gt;"",E3820&lt;&gt;"!!!"),"NEW","")))</f>
        <v> </v>
      </c>
      <c r="G3820" s="23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4" t="str">
        <f>IF(J3820&lt;&gt;1,"",IF(I3820="SBJ","CB","?"))</f>
        <v> </v>
      </c>
      <c r="I3820" s="25" t="str">
        <f>IF(OR(E3820="",E3820="!!!",F3820="NEW"),"",INDEX(B3819:B$2,-1+SUMPRODUCT(MAX(ROW(E3819:E$2)*(E3820=E3819:E$2)))))</f>
        <v> </v>
      </c>
      <c r="J3820" s="25" t="str">
        <f>IF(OR(E3820="",E3820="!!!",F3820="NEW"),"",COUNTBLANK(OFFSET(A$1,,,SUMPRODUCT(MAX(ROW(E$2:E3820)*(E3820=E$2:E3820)))))-COUNTBLANK(OFFSET(A$1,,,SUMPRODUCT(MAX(ROW(E$1:E3819)*(E2=E$1:E3819))))))</f>
        <v> </v>
      </c>
      <c r="K3820" s="25" t="str">
        <f>IF(OR(E3820="",E3820="!!!",F3820="NEW"),"",INDEX(J$1:J3819,SUMPRODUCT(MAX(ROW(E$1:E3819)*(E3820=E$1:E3819)))))</f>
        <v> </v>
      </c>
      <c r="L3820" s="26"/>
    </row>
    <row r="3821" spans="1:12">
      <c r="A3821" s="20" t="s">
        <v>1671</v>
      </c>
      <c r="E3821" s="21">
        <f>IF(D3821="?OLD","!!!","")</f>
        <v/>
      </c>
      <c r="F3821" s="22" t="str">
        <f>IF(OR(E3821="",E3821="!!!"),"",IF(NOT(ISNA(VLOOKUP(E3821,E$1:E3820,1,FALSE()))),"OLD",IF(AND(E3821&lt;&gt;"",E3821&lt;&gt;"!!!"),"NEW","")))</f>
        <v> </v>
      </c>
      <c r="G3821" s="23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4" t="str">
        <f>IF(J3821&lt;&gt;1,"",IF(I3821="SBJ","CB","?"))</f>
        <v> </v>
      </c>
      <c r="I3821" s="25" t="str">
        <f>IF(OR(E3821="",E3821="!!!",F3821="NEW"),"",INDEX(B3820:B$2,-1+SUMPRODUCT(MAX(ROW(E3820:E$2)*(E3821=E3820:E$2)))))</f>
        <v> </v>
      </c>
      <c r="J3821" s="25" t="str">
        <f>IF(OR(E3821="",E3821="!!!",F3821="NEW"),"",COUNTBLANK(OFFSET(A$1,,,SUMPRODUCT(MAX(ROW(E$2:E3821)*(E3821=E$2:E3821)))))-COUNTBLANK(OFFSET(A$1,,,SUMPRODUCT(MAX(ROW(E$1:E3820)*(E2=E$1:E3820))))))</f>
        <v> </v>
      </c>
      <c r="K3821" s="25" t="str">
        <f>IF(OR(E3821="",E3821="!!!",F3821="NEW"),"",INDEX(J$1:J3820,SUMPRODUCT(MAX(ROW(E$1:E3820)*(E3821=E$1:E3820)))))</f>
        <v> </v>
      </c>
      <c r="L3821" s="26"/>
    </row>
    <row r="3822" spans="1:12">
      <c r="A3822" s="20" t="s">
        <v>704</v>
      </c>
      <c r="E3822" s="21">
        <f>IF(D3822="?OLD","!!!","")</f>
        <v/>
      </c>
      <c r="F3822" s="22" t="str">
        <f>IF(OR(E3822="",E3822="!!!"),"",IF(NOT(ISNA(VLOOKUP(E3822,E$1:E3821,1,FALSE()))),"OLD",IF(AND(E3822&lt;&gt;"",E3822&lt;&gt;"!!!"),"NEW","")))</f>
        <v> </v>
      </c>
      <c r="G3822" s="23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4" t="str">
        <f>IF(J3822&lt;&gt;1,"",IF(I3822="SBJ","CB","?"))</f>
        <v> </v>
      </c>
      <c r="I3822" s="25" t="str">
        <f>IF(OR(E3822="",E3822="!!!",F3822="NEW"),"",INDEX(B3821:B$2,-1+SUMPRODUCT(MAX(ROW(E3821:E$2)*(E3822=E3821:E$2)))))</f>
        <v> </v>
      </c>
      <c r="J3822" s="25" t="str">
        <f>IF(OR(E3822="",E3822="!!!",F3822="NEW"),"",COUNTBLANK(OFFSET(A$1,,,SUMPRODUCT(MAX(ROW(E$2:E3822)*(E3822=E$2:E3822)))))-COUNTBLANK(OFFSET(A$1,,,SUMPRODUCT(MAX(ROW(E$1:E3821)*(E2=E$1:E3821))))))</f>
        <v> </v>
      </c>
      <c r="K3822" s="25" t="str">
        <f>IF(OR(E3822="",E3822="!!!",F3822="NEW"),"",INDEX(J$1:J3821,SUMPRODUCT(MAX(ROW(E$1:E3821)*(E3822=E$1:E3821)))))</f>
        <v> </v>
      </c>
      <c r="L3822" s="26"/>
    </row>
    <row r="3823" spans="1:12">
      <c r="A3823" s="20"/>
    </row>
    <row r="3824" spans="1:12">
      <c r="A3824" s="20" t="s">
        <v>1688</v>
      </c>
    </row>
    <row r="3825" spans="1:12">
      <c r="A3825" s="20" t="s">
        <v>1689</v>
      </c>
      <c r="E3825" s="21">
        <f>IF(D3825="?OLD","!!!","")</f>
        <v/>
      </c>
      <c r="F3825" s="22" t="str">
        <f>IF(OR(E3825="",E3825="!!!"),"",IF(NOT(ISNA(VLOOKUP(E3825,E$1:E3824,1,FALSE()))),"OLD",IF(AND(E3825&lt;&gt;"",E3825&lt;&gt;"!!!"),"NEW","")))</f>
        <v> </v>
      </c>
      <c r="G3825" s="23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4" t="str">
        <f>IF(J3825&lt;&gt;1,"",IF(I3825="SBJ","CB","?"))</f>
        <v> </v>
      </c>
      <c r="I3825" s="25" t="str">
        <f>IF(OR(E3825="",E3825="!!!",F3825="NEW"),"",INDEX(B3824:B$2,-1+SUMPRODUCT(MAX(ROW(E3824:E$2)*(E3825=E3824:E$2)))))</f>
        <v> </v>
      </c>
      <c r="J3825" s="25" t="str">
        <f>IF(OR(E3825="",E3825="!!!",F3825="NEW"),"",COUNTBLANK(OFFSET(A$1,,,SUMPRODUCT(MAX(ROW(E$2:E3825)*(E3825=E$2:E3825)))))-COUNTBLANK(OFFSET(A$1,,,SUMPRODUCT(MAX(ROW(E$1:E3824)*(E2=E$1:E3824))))))</f>
        <v> </v>
      </c>
      <c r="K3825" s="25" t="str">
        <f>IF(OR(E3825="",E3825="!!!",F3825="NEW"),"",INDEX(J$1:J3824,SUMPRODUCT(MAX(ROW(E$1:E3824)*(E3825=E$1:E3824)))))</f>
        <v> </v>
      </c>
      <c r="L3825" s="26"/>
    </row>
    <row r="3826" spans="1:12">
      <c r="A3826" s="20" t="s">
        <v>649</v>
      </c>
      <c r="E3826" s="21">
        <f>IF(D3826="?OLD","!!!","")</f>
        <v/>
      </c>
      <c r="F3826" s="22" t="str">
        <f>IF(OR(E3826="",E3826="!!!"),"",IF(NOT(ISNA(VLOOKUP(E3826,E$1:E3825,1,FALSE()))),"OLD",IF(AND(E3826&lt;&gt;"",E3826&lt;&gt;"!!!"),"NEW","")))</f>
        <v> </v>
      </c>
      <c r="G3826" s="23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4" t="str">
        <f>IF(J3826&lt;&gt;1,"",IF(I3826="SBJ","CB","?"))</f>
        <v> </v>
      </c>
      <c r="I3826" s="25" t="str">
        <f>IF(OR(E3826="",E3826="!!!",F3826="NEW"),"",INDEX(B3825:B$2,-1+SUMPRODUCT(MAX(ROW(E3825:E$2)*(E3826=E3825:E$2)))))</f>
        <v> </v>
      </c>
      <c r="J3826" s="25" t="str">
        <f>IF(OR(E3826="",E3826="!!!",F3826="NEW"),"",COUNTBLANK(OFFSET(A$1,,,SUMPRODUCT(MAX(ROW(E$2:E3826)*(E3826=E$2:E3826)))))-COUNTBLANK(OFFSET(A$1,,,SUMPRODUCT(MAX(ROW(E$1:E3825)*(E2=E$1:E3825))))))</f>
        <v> </v>
      </c>
      <c r="K3826" s="25" t="str">
        <f>IF(OR(E3826="",E3826="!!!",F3826="NEW"),"",INDEX(J$1:J3825,SUMPRODUCT(MAX(ROW(E$1:E3825)*(E3826=E$1:E3825)))))</f>
        <v> </v>
      </c>
      <c r="L3826" s="26"/>
    </row>
    <row r="3827" spans="1:12">
      <c r="A3827" s="20" t="s">
        <v>1690</v>
      </c>
      <c r="E3827" s="21">
        <f>IF(D3827="?OLD","!!!","")</f>
        <v/>
      </c>
      <c r="F3827" s="22" t="str">
        <f>IF(OR(E3827="",E3827="!!!"),"",IF(NOT(ISNA(VLOOKUP(E3827,E$1:E3826,1,FALSE()))),"OLD",IF(AND(E3827&lt;&gt;"",E3827&lt;&gt;"!!!"),"NEW","")))</f>
        <v> </v>
      </c>
      <c r="G3827" s="23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4" t="str">
        <f>IF(J3827&lt;&gt;1,"",IF(I3827="SBJ","CB","?"))</f>
        <v> </v>
      </c>
      <c r="I3827" s="25" t="str">
        <f>IF(OR(E3827="",E3827="!!!",F3827="NEW"),"",INDEX(B3826:B$2,-1+SUMPRODUCT(MAX(ROW(E3826:E$2)*(E3827=E3826:E$2)))))</f>
        <v> </v>
      </c>
      <c r="J3827" s="25" t="str">
        <f>IF(OR(E3827="",E3827="!!!",F3827="NEW"),"",COUNTBLANK(OFFSET(A$1,,,SUMPRODUCT(MAX(ROW(E$2:E3827)*(E3827=E$2:E3827)))))-COUNTBLANK(OFFSET(A$1,,,SUMPRODUCT(MAX(ROW(E$1:E3826)*(E2=E$1:E3826))))))</f>
        <v> </v>
      </c>
      <c r="K3827" s="25" t="str">
        <f>IF(OR(E3827="",E3827="!!!",F3827="NEW"),"",INDEX(J$1:J3826,SUMPRODUCT(MAX(ROW(E$1:E3826)*(E3827=E$1:E3826)))))</f>
        <v> </v>
      </c>
      <c r="L3827" s="26"/>
    </row>
    <row r="3828" spans="1:12">
      <c r="A3828" s="20" t="s">
        <v>1076</v>
      </c>
      <c r="B3828" s="27" t="s">
        <v>698</v>
      </c>
      <c r="C3828" s="27" t="s">
        <v>771</v>
      </c>
      <c r="E3828" s="21">
        <f>IF(D3828="?OLD","!!!","")</f>
        <v/>
      </c>
      <c r="F3828" s="22" t="str">
        <f>IF(OR(E3828="",E3828="!!!"),"",IF(NOT(ISNA(VLOOKUP(E3828,E$1:E3827,1,FALSE()))),"OLD",IF(AND(E3828&lt;&gt;"",E3828&lt;&gt;"!!!"),"NEW","")))</f>
        <v> </v>
      </c>
      <c r="G3828" s="23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4" t="str">
        <f>IF(J3828&lt;&gt;1,"",IF(I3828="SBJ","CB","?"))</f>
        <v> </v>
      </c>
      <c r="I3828" s="25" t="str">
        <f>IF(OR(E3828="",E3828="!!!",F3828="NEW"),"",INDEX(B3827:B$2,-1+SUMPRODUCT(MAX(ROW(E3827:E$2)*(E3828=E3827:E$2)))))</f>
        <v> </v>
      </c>
      <c r="J3828" s="25" t="str">
        <f>IF(OR(E3828="",E3828="!!!",F3828="NEW"),"",COUNTBLANK(OFFSET(A$1,,,SUMPRODUCT(MAX(ROW(E$2:E3828)*(E3828=E$2:E3828)))))-COUNTBLANK(OFFSET(A$1,,,SUMPRODUCT(MAX(ROW(E$1:E3827)*(E2=E$1:E3827))))))</f>
        <v> </v>
      </c>
      <c r="K3828" s="25" t="str">
        <f>IF(OR(E3828="",E3828="!!!",F3828="NEW"),"",INDEX(J$1:J3827,SUMPRODUCT(MAX(ROW(E$1:E3827)*(E3828=E$1:E3827)))))</f>
        <v> </v>
      </c>
      <c r="L3828" s="26"/>
    </row>
    <row r="3829" spans="1:12">
      <c r="A3829" s="20" t="s">
        <v>722</v>
      </c>
      <c r="E3829" s="21">
        <f>IF(D3829="?OLD","!!!","")</f>
        <v/>
      </c>
      <c r="F3829" s="22" t="str">
        <f>IF(OR(E3829="",E3829="!!!"),"",IF(NOT(ISNA(VLOOKUP(E3829,E$1:E3828,1,FALSE()))),"OLD",IF(AND(E3829&lt;&gt;"",E3829&lt;&gt;"!!!"),"NEW","")))</f>
        <v> </v>
      </c>
      <c r="G3829" s="23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4" t="str">
        <f>IF(J3829&lt;&gt;1,"",IF(I3829="SBJ","CB","?"))</f>
        <v> </v>
      </c>
      <c r="I3829" s="25" t="str">
        <f>IF(OR(E3829="",E3829="!!!",F3829="NEW"),"",INDEX(B3828:B$2,-1+SUMPRODUCT(MAX(ROW(E3828:E$2)*(E3829=E3828:E$2)))))</f>
        <v> </v>
      </c>
      <c r="J3829" s="25" t="str">
        <f>IF(OR(E3829="",E3829="!!!",F3829="NEW"),"",COUNTBLANK(OFFSET(A$1,,,SUMPRODUCT(MAX(ROW(E$2:E3829)*(E3829=E$2:E3829)))))-COUNTBLANK(OFFSET(A$1,,,SUMPRODUCT(MAX(ROW(E$1:E3828)*(E2=E$1:E3828))))))</f>
        <v> </v>
      </c>
      <c r="K3829" s="25" t="str">
        <f>IF(OR(E3829="",E3829="!!!",F3829="NEW"),"",INDEX(J$1:J3828,SUMPRODUCT(MAX(ROW(E$1:E3828)*(E3829=E$1:E3828)))))</f>
        <v> </v>
      </c>
      <c r="L3829" s="26"/>
    </row>
    <row r="3830" spans="1:12">
      <c r="A3830" s="20" t="s">
        <v>730</v>
      </c>
      <c r="E3830" s="21">
        <f>IF(D3830="?OLD","!!!","")</f>
        <v/>
      </c>
      <c r="F3830" s="22" t="str">
        <f>IF(OR(E3830="",E3830="!!!"),"",IF(NOT(ISNA(VLOOKUP(E3830,E$1:E3829,1,FALSE()))),"OLD",IF(AND(E3830&lt;&gt;"",E3830&lt;&gt;"!!!"),"NEW","")))</f>
        <v> </v>
      </c>
      <c r="G3830" s="23" t="str">
        <f>IF(OR(E3830="",E3830="!!!"),"",IF(OR(J3830=0,AND(J3830=1,K3830=1),AND(J3830=1,I3830="SBJ"),AND(J3830=1,I3830=0)),"?IN_FOCUS",IF(J3830&lt;=2,"?ACTIVATED",IF(J3830&lt;&gt;"","?FAMILIAR",IF(F3830="NEW",IF(ISNA(VLOOKUP(E3830,#REF!,1,FALSE())),"?TYPE_IDENTIFIABLE","?REFERENTIAL"),"_")))))</f>
        <v> </v>
      </c>
      <c r="H3830" s="24" t="str">
        <f>IF(J3830&lt;&gt;1,"",IF(I3830="SBJ","CB","?"))</f>
        <v> </v>
      </c>
      <c r="I3830" s="25" t="str">
        <f>IF(OR(E3830="",E3830="!!!",F3830="NEW"),"",INDEX(B3829:B$2,-1+SUMPRODUCT(MAX(ROW(E3829:E$2)*(E3830=E3829:E$2)))))</f>
        <v> </v>
      </c>
      <c r="J3830" s="25" t="str">
        <f>IF(OR(E3830="",E3830="!!!",F3830="NEW"),"",COUNTBLANK(OFFSET(A$1,,,SUMPRODUCT(MAX(ROW(E$2:E3830)*(E3830=E$2:E3830)))))-COUNTBLANK(OFFSET(A$1,,,SUMPRODUCT(MAX(ROW(E$1:E3829)*(E2=E$1:E3829))))))</f>
        <v> </v>
      </c>
      <c r="K3830" s="25" t="str">
        <f>IF(OR(E3830="",E3830="!!!",F3830="NEW"),"",INDEX(J$1:J3829,SUMPRODUCT(MAX(ROW(E$1:E3829)*(E3830=E$1:E3829)))))</f>
        <v> </v>
      </c>
      <c r="L3830" s="26"/>
    </row>
    <row r="3831" spans="1:12">
      <c r="A3831" s="20" t="s">
        <v>756</v>
      </c>
      <c r="E3831" s="21">
        <f>IF(D3831="?OLD","!!!","")</f>
        <v/>
      </c>
      <c r="F3831" s="22" t="str">
        <f>IF(OR(E3831="",E3831="!!!"),"",IF(NOT(ISNA(VLOOKUP(E3831,E$1:E3830,1,FALSE()))),"OLD",IF(AND(E3831&lt;&gt;"",E3831&lt;&gt;"!!!"),"NEW","")))</f>
        <v> </v>
      </c>
      <c r="G3831" s="23" t="str">
        <f>IF(OR(E3831="",E3831="!!!"),"",IF(OR(J3831=0,AND(J3831=1,K3831=1),AND(J3831=1,I3831="SBJ"),AND(J3831=1,I3831=0)),"?IN_FOCUS",IF(J3831&lt;=2,"?ACTIVATED",IF(J3831&lt;&gt;"","?FAMILIAR",IF(F3831="NEW",IF(ISNA(VLOOKUP(E3831,#REF!,1,FALSE())),"?TYPE_IDENTIFIABLE","?REFERENTIAL"),"_")))))</f>
        <v> </v>
      </c>
      <c r="H3831" s="24" t="str">
        <f>IF(J3831&lt;&gt;1,"",IF(I3831="SBJ","CB","?"))</f>
        <v> </v>
      </c>
      <c r="I3831" s="25" t="str">
        <f>IF(OR(E3831="",E3831="!!!",F3831="NEW"),"",INDEX(B3830:B$2,-1+SUMPRODUCT(MAX(ROW(E3830:E$2)*(E3831=E3830:E$2)))))</f>
        <v> </v>
      </c>
      <c r="J3831" s="25" t="str">
        <f>IF(OR(E3831="",E3831="!!!",F3831="NEW"),"",COUNTBLANK(OFFSET(A$1,,,SUMPRODUCT(MAX(ROW(E$2:E3831)*(E3831=E$2:E3831)))))-COUNTBLANK(OFFSET(A$1,,,SUMPRODUCT(MAX(ROW(E$1:E3830)*(E2=E$1:E3830))))))</f>
        <v> </v>
      </c>
      <c r="K3831" s="25" t="str">
        <f>IF(OR(E3831="",E3831="!!!",F3831="NEW"),"",INDEX(J$1:J3830,SUMPRODUCT(MAX(ROW(E$1:E3830)*(E3831=E$1:E3830)))))</f>
        <v> </v>
      </c>
      <c r="L3831" s="26"/>
    </row>
    <row r="3832" spans="1:12">
      <c r="A3832" s="20" t="s">
        <v>757</v>
      </c>
      <c r="B3832" s="27" t="s">
        <v>822</v>
      </c>
      <c r="C3832" s="27" t="s">
        <v>693</v>
      </c>
      <c r="D3832" s="27" t="s">
        <v>694</v>
      </c>
      <c r="E3832" s="21">
        <f>IF(D3832="?OLD","!!!","")</f>
        <v/>
      </c>
      <c r="F3832" s="22" t="str">
        <f>IF(OR(E3832="",E3832="!!!"),"",IF(NOT(ISNA(VLOOKUP(E3832,E$1:E3831,1,FALSE()))),"OLD",IF(AND(E3832&lt;&gt;"",E3832&lt;&gt;"!!!"),"NEW","")))</f>
        <v> </v>
      </c>
      <c r="G3832" s="23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4" t="str">
        <f>IF(J3832&lt;&gt;1,"",IF(I3832="SBJ","CB","?"))</f>
        <v> </v>
      </c>
      <c r="I3832" s="25" t="str">
        <f>IF(OR(E3832="",E3832="!!!",F3832="NEW"),"",INDEX(B3831:B$2,-1+SUMPRODUCT(MAX(ROW(E3831:E$2)*(E3832=E3831:E$2)))))</f>
        <v> </v>
      </c>
      <c r="J3832" s="25" t="str">
        <f>IF(OR(E3832="",E3832="!!!",F3832="NEW"),"",COUNTBLANK(OFFSET(A$1,,,SUMPRODUCT(MAX(ROW(E$2:E3832)*(E3832=E$2:E3832)))))-COUNTBLANK(OFFSET(A$1,,,SUMPRODUCT(MAX(ROW(E$1:E3831)*(E2=E$1:E3831))))))</f>
        <v> </v>
      </c>
      <c r="K3832" s="25" t="str">
        <f>IF(OR(E3832="",E3832="!!!",F3832="NEW"),"",INDEX(J$1:J3831,SUMPRODUCT(MAX(ROW(E$1:E3831)*(E3832=E$1:E3831)))))</f>
        <v> </v>
      </c>
      <c r="L3832" s="26"/>
    </row>
    <row r="3833" spans="1:12">
      <c r="A3833" s="20" t="s">
        <v>1384</v>
      </c>
      <c r="E3833" s="21">
        <f>IF(D3833="?OLD","!!!","")</f>
        <v/>
      </c>
      <c r="F3833" s="22" t="str">
        <f>IF(OR(E3833="",E3833="!!!"),"",IF(NOT(ISNA(VLOOKUP(E3833,E$1:E3832,1,FALSE()))),"OLD",IF(AND(E3833&lt;&gt;"",E3833&lt;&gt;"!!!"),"NEW","")))</f>
        <v> </v>
      </c>
      <c r="G3833" s="23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4" t="str">
        <f>IF(J3833&lt;&gt;1,"",IF(I3833="SBJ","CB","?"))</f>
        <v> </v>
      </c>
      <c r="I3833" s="25" t="str">
        <f>IF(OR(E3833="",E3833="!!!",F3833="NEW"),"",INDEX(B3832:B$2,-1+SUMPRODUCT(MAX(ROW(E3832:E$2)*(E3833=E3832:E$2)))))</f>
        <v> </v>
      </c>
      <c r="J3833" s="25" t="str">
        <f>IF(OR(E3833="",E3833="!!!",F3833="NEW"),"",COUNTBLANK(OFFSET(A$1,,,SUMPRODUCT(MAX(ROW(E$2:E3833)*(E3833=E$2:E3833)))))-COUNTBLANK(OFFSET(A$1,,,SUMPRODUCT(MAX(ROW(E$1:E3832)*(E2=E$1:E3832))))))</f>
        <v> </v>
      </c>
      <c r="K3833" s="25" t="str">
        <f>IF(OR(E3833="",E3833="!!!",F3833="NEW"),"",INDEX(J$1:J3832,SUMPRODUCT(MAX(ROW(E$1:E3832)*(E3833=E$1:E3832)))))</f>
        <v> </v>
      </c>
      <c r="L3833" s="26"/>
    </row>
    <row r="3834" spans="1:12">
      <c r="A3834" s="20" t="s">
        <v>1691</v>
      </c>
      <c r="E3834" s="21">
        <f>IF(D3834="?OLD","!!!","")</f>
        <v/>
      </c>
      <c r="F3834" s="22" t="str">
        <f>IF(OR(E3834="",E3834="!!!"),"",IF(NOT(ISNA(VLOOKUP(E3834,E$1:E3833,1,FALSE()))),"OLD",IF(AND(E3834&lt;&gt;"",E3834&lt;&gt;"!!!"),"NEW","")))</f>
        <v> </v>
      </c>
      <c r="G3834" s="23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4" t="str">
        <f>IF(J3834&lt;&gt;1,"",IF(I3834="SBJ","CB","?"))</f>
        <v> </v>
      </c>
      <c r="I3834" s="25" t="str">
        <f>IF(OR(E3834="",E3834="!!!",F3834="NEW"),"",INDEX(B3833:B$2,-1+SUMPRODUCT(MAX(ROW(E3833:E$2)*(E3834=E3833:E$2)))))</f>
        <v> </v>
      </c>
      <c r="J3834" s="25" t="str">
        <f>IF(OR(E3834="",E3834="!!!",F3834="NEW"),"",COUNTBLANK(OFFSET(A$1,,,SUMPRODUCT(MAX(ROW(E$2:E3834)*(E3834=E$2:E3834)))))-COUNTBLANK(OFFSET(A$1,,,SUMPRODUCT(MAX(ROW(E$1:E3833)*(E2=E$1:E3833))))))</f>
        <v> </v>
      </c>
      <c r="K3834" s="25" t="str">
        <f>IF(OR(E3834="",E3834="!!!",F3834="NEW"),"",INDEX(J$1:J3833,SUMPRODUCT(MAX(ROW(E$1:E3833)*(E3834=E$1:E3833)))))</f>
        <v> </v>
      </c>
      <c r="L3834" s="26"/>
    </row>
    <row r="3835" spans="1:12">
      <c r="A3835" s="20" t="s">
        <v>791</v>
      </c>
      <c r="E3835" s="21">
        <f>IF(D3835="?OLD","!!!","")</f>
        <v/>
      </c>
      <c r="F3835" s="22" t="str">
        <f>IF(OR(E3835="",E3835="!!!"),"",IF(NOT(ISNA(VLOOKUP(E3835,E$1:E3834,1,FALSE()))),"OLD",IF(AND(E3835&lt;&gt;"",E3835&lt;&gt;"!!!"),"NEW","")))</f>
        <v> </v>
      </c>
      <c r="G3835" s="23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4" t="str">
        <f>IF(J3835&lt;&gt;1,"",IF(I3835="SBJ","CB","?"))</f>
        <v> </v>
      </c>
      <c r="I3835" s="25" t="str">
        <f>IF(OR(E3835="",E3835="!!!",F3835="NEW"),"",INDEX(B3834:B$2,-1+SUMPRODUCT(MAX(ROW(E3834:E$2)*(E3835=E3834:E$2)))))</f>
        <v> </v>
      </c>
      <c r="J3835" s="25" t="str">
        <f>IF(OR(E3835="",E3835="!!!",F3835="NEW"),"",COUNTBLANK(OFFSET(A$1,,,SUMPRODUCT(MAX(ROW(E$2:E3835)*(E3835=E$2:E3835)))))-COUNTBLANK(OFFSET(A$1,,,SUMPRODUCT(MAX(ROW(E$1:E3834)*(E2=E$1:E3834))))))</f>
        <v> </v>
      </c>
      <c r="K3835" s="25" t="str">
        <f>IF(OR(E3835="",E3835="!!!",F3835="NEW"),"",INDEX(J$1:J3834,SUMPRODUCT(MAX(ROW(E$1:E3834)*(E3835=E$1:E3834)))))</f>
        <v> </v>
      </c>
      <c r="L3835" s="26"/>
    </row>
    <row r="3836" spans="1:12">
      <c r="A3836" s="20" t="s">
        <v>1692</v>
      </c>
      <c r="E3836" s="21">
        <f>IF(D3836="?OLD","!!!","")</f>
        <v/>
      </c>
      <c r="F3836" s="22" t="str">
        <f>IF(OR(E3836="",E3836="!!!"),"",IF(NOT(ISNA(VLOOKUP(E3836,E$1:E3835,1,FALSE()))),"OLD",IF(AND(E3836&lt;&gt;"",E3836&lt;&gt;"!!!"),"NEW","")))</f>
        <v> </v>
      </c>
      <c r="G3836" s="23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4" t="str">
        <f>IF(J3836&lt;&gt;1,"",IF(I3836="SBJ","CB","?"))</f>
        <v> </v>
      </c>
      <c r="I3836" s="25" t="str">
        <f>IF(OR(E3836="",E3836="!!!",F3836="NEW"),"",INDEX(B3835:B$2,-1+SUMPRODUCT(MAX(ROW(E3835:E$2)*(E3836=E3835:E$2)))))</f>
        <v> </v>
      </c>
      <c r="J3836" s="25" t="str">
        <f>IF(OR(E3836="",E3836="!!!",F3836="NEW"),"",COUNTBLANK(OFFSET(A$1,,,SUMPRODUCT(MAX(ROW(E$2:E3836)*(E3836=E$2:E3836)))))-COUNTBLANK(OFFSET(A$1,,,SUMPRODUCT(MAX(ROW(E$1:E3835)*(E2=E$1:E3835))))))</f>
        <v> </v>
      </c>
      <c r="K3836" s="25" t="str">
        <f>IF(OR(E3836="",E3836="!!!",F3836="NEW"),"",INDEX(J$1:J3835,SUMPRODUCT(MAX(ROW(E$1:E3835)*(E3836=E$1:E3835)))))</f>
        <v> </v>
      </c>
      <c r="L3836" s="26"/>
    </row>
    <row r="3837" spans="1:12">
      <c r="A3837" s="20" t="s">
        <v>1693</v>
      </c>
      <c r="E3837" s="21">
        <f>IF(D3837="?OLD","!!!","")</f>
        <v/>
      </c>
      <c r="F3837" s="22" t="str">
        <f>IF(OR(E3837="",E3837="!!!"),"",IF(NOT(ISNA(VLOOKUP(E3837,E$1:E3836,1,FALSE()))),"OLD",IF(AND(E3837&lt;&gt;"",E3837&lt;&gt;"!!!"),"NEW","")))</f>
        <v> </v>
      </c>
      <c r="G3837" s="23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4" t="str">
        <f>IF(J3837&lt;&gt;1,"",IF(I3837="SBJ","CB","?"))</f>
        <v> </v>
      </c>
      <c r="I3837" s="25" t="str">
        <f>IF(OR(E3837="",E3837="!!!",F3837="NEW"),"",INDEX(B3836:B$2,-1+SUMPRODUCT(MAX(ROW(E3836:E$2)*(E3837=E3836:E$2)))))</f>
        <v> </v>
      </c>
      <c r="J3837" s="25" t="str">
        <f>IF(OR(E3837="",E3837="!!!",F3837="NEW"),"",COUNTBLANK(OFFSET(A$1,,,SUMPRODUCT(MAX(ROW(E$2:E3837)*(E3837=E$2:E3837)))))-COUNTBLANK(OFFSET(A$1,,,SUMPRODUCT(MAX(ROW(E$1:E3836)*(E2=E$1:E3836))))))</f>
        <v> </v>
      </c>
      <c r="K3837" s="25" t="str">
        <f>IF(OR(E3837="",E3837="!!!",F3837="NEW"),"",INDEX(J$1:J3836,SUMPRODUCT(MAX(ROW(E$1:E3836)*(E3837=E$1:E3836)))))</f>
        <v> </v>
      </c>
      <c r="L3837" s="26"/>
    </row>
    <row r="3838" spans="1:12">
      <c r="A3838" s="20" t="s">
        <v>690</v>
      </c>
      <c r="E3838" s="21">
        <f>IF(D3838="?OLD","!!!","")</f>
        <v/>
      </c>
      <c r="F3838" s="22" t="str">
        <f>IF(OR(E3838="",E3838="!!!"),"",IF(NOT(ISNA(VLOOKUP(E3838,E$1:E3837,1,FALSE()))),"OLD",IF(AND(E3838&lt;&gt;"",E3838&lt;&gt;"!!!"),"NEW","")))</f>
        <v> </v>
      </c>
      <c r="G3838" s="23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4" t="str">
        <f>IF(J3838&lt;&gt;1,"",IF(I3838="SBJ","CB","?"))</f>
        <v> </v>
      </c>
      <c r="I3838" s="25" t="str">
        <f>IF(OR(E3838="",E3838="!!!",F3838="NEW"),"",INDEX(B3837:B$2,-1+SUMPRODUCT(MAX(ROW(E3837:E$2)*(E3838=E3837:E$2)))))</f>
        <v> </v>
      </c>
      <c r="J3838" s="25" t="str">
        <f>IF(OR(E3838="",E3838="!!!",F3838="NEW"),"",COUNTBLANK(OFFSET(A$1,,,SUMPRODUCT(MAX(ROW(E$2:E3838)*(E3838=E$2:E3838)))))-COUNTBLANK(OFFSET(A$1,,,SUMPRODUCT(MAX(ROW(E$1:E3837)*(E2=E$1:E3837))))))</f>
        <v> </v>
      </c>
      <c r="K3838" s="25" t="str">
        <f>IF(OR(E3838="",E3838="!!!",F3838="NEW"),"",INDEX(J$1:J3837,SUMPRODUCT(MAX(ROW(E$1:E3837)*(E3838=E$1:E3837)))))</f>
        <v> </v>
      </c>
      <c r="L3838" s="26"/>
    </row>
    <row r="3839" spans="1:12">
      <c r="A3839" s="20" t="s">
        <v>859</v>
      </c>
      <c r="B3839" s="27" t="s">
        <v>798</v>
      </c>
      <c r="C3839" s="27" t="s">
        <v>717</v>
      </c>
      <c r="D3839" s="27" t="s">
        <v>694</v>
      </c>
      <c r="E3839" s="21">
        <f>IF(D3839="?OLD","!!!","")</f>
        <v/>
      </c>
      <c r="F3839" s="22" t="str">
        <f>IF(OR(E3839="",E3839="!!!"),"",IF(NOT(ISNA(VLOOKUP(E3839,E$1:E3838,1,FALSE()))),"OLD",IF(AND(E3839&lt;&gt;"",E3839&lt;&gt;"!!!"),"NEW","")))</f>
        <v> </v>
      </c>
      <c r="G3839" s="23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4" t="str">
        <f>IF(J3839&lt;&gt;1,"",IF(I3839="SBJ","CB","?"))</f>
        <v> </v>
      </c>
      <c r="I3839" s="25" t="str">
        <f>IF(OR(E3839="",E3839="!!!",F3839="NEW"),"",INDEX(B3838:B$2,-1+SUMPRODUCT(MAX(ROW(E3838:E$2)*(E3839=E3838:E$2)))))</f>
        <v> </v>
      </c>
      <c r="J3839" s="25" t="str">
        <f>IF(OR(E3839="",E3839="!!!",F3839="NEW"),"",COUNTBLANK(OFFSET(A$1,,,SUMPRODUCT(MAX(ROW(E$2:E3839)*(E3839=E$2:E3839)))))-COUNTBLANK(OFFSET(A$1,,,SUMPRODUCT(MAX(ROW(E$1:E3838)*(E2=E$1:E3838))))))</f>
        <v> </v>
      </c>
      <c r="K3839" s="25" t="str">
        <f>IF(OR(E3839="",E3839="!!!",F3839="NEW"),"",INDEX(J$1:J3838,SUMPRODUCT(MAX(ROW(E$1:E3838)*(E3839=E$1:E3838)))))</f>
        <v> </v>
      </c>
      <c r="L3839" s="26"/>
    </row>
    <row r="3840" spans="1:12">
      <c r="A3840" s="20" t="s">
        <v>696</v>
      </c>
      <c r="E3840" s="21">
        <f>IF(D3840="?OLD","!!!","")</f>
        <v/>
      </c>
      <c r="F3840" s="22" t="str">
        <f>IF(OR(E3840="",E3840="!!!"),"",IF(NOT(ISNA(VLOOKUP(E3840,E$1:E3839,1,FALSE()))),"OLD",IF(AND(E3840&lt;&gt;"",E3840&lt;&gt;"!!!"),"NEW","")))</f>
        <v> </v>
      </c>
      <c r="G3840" s="23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4" t="str">
        <f>IF(J3840&lt;&gt;1,"",IF(I3840="SBJ","CB","?"))</f>
        <v> </v>
      </c>
      <c r="I3840" s="25" t="str">
        <f>IF(OR(E3840="",E3840="!!!",F3840="NEW"),"",INDEX(B3839:B$2,-1+SUMPRODUCT(MAX(ROW(E3839:E$2)*(E3840=E3839:E$2)))))</f>
        <v> </v>
      </c>
      <c r="J3840" s="25" t="str">
        <f>IF(OR(E3840="",E3840="!!!",F3840="NEW"),"",COUNTBLANK(OFFSET(A$1,,,SUMPRODUCT(MAX(ROW(E$2:E3840)*(E3840=E$2:E3840)))))-COUNTBLANK(OFFSET(A$1,,,SUMPRODUCT(MAX(ROW(E$1:E3839)*(E2=E$1:E3839))))))</f>
        <v> </v>
      </c>
      <c r="K3840" s="25" t="str">
        <f>IF(OR(E3840="",E3840="!!!",F3840="NEW"),"",INDEX(J$1:J3839,SUMPRODUCT(MAX(ROW(E$1:E3839)*(E3840=E$1:E3839)))))</f>
        <v> </v>
      </c>
      <c r="L3840" s="26"/>
    </row>
    <row r="3841" spans="1:12">
      <c r="A3841" s="20" t="s">
        <v>697</v>
      </c>
      <c r="B3841" s="27" t="s">
        <v>867</v>
      </c>
      <c r="C3841" s="27" t="s">
        <v>699</v>
      </c>
      <c r="E3841" s="21">
        <f>IF(D3841="?OLD","!!!","")</f>
        <v/>
      </c>
      <c r="F3841" s="22" t="str">
        <f>IF(OR(E3841="",E3841="!!!"),"",IF(NOT(ISNA(VLOOKUP(E3841,E$1:E3840,1,FALSE()))),"OLD",IF(AND(E3841&lt;&gt;"",E3841&lt;&gt;"!!!"),"NEW","")))</f>
        <v> </v>
      </c>
      <c r="G3841" s="23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4" t="str">
        <f>IF(J3841&lt;&gt;1,"",IF(I3841="SBJ","CB","?"))</f>
        <v> </v>
      </c>
      <c r="I3841" s="25" t="str">
        <f>IF(OR(E3841="",E3841="!!!",F3841="NEW"),"",INDEX(B3840:B$2,-1+SUMPRODUCT(MAX(ROW(E3840:E$2)*(E3841=E3840:E$2)))))</f>
        <v> </v>
      </c>
      <c r="J3841" s="25" t="str">
        <f>IF(OR(E3841="",E3841="!!!",F3841="NEW"),"",COUNTBLANK(OFFSET(A$1,,,SUMPRODUCT(MAX(ROW(E$2:E3841)*(E3841=E$2:E3841)))))-COUNTBLANK(OFFSET(A$1,,,SUMPRODUCT(MAX(ROW(E$1:E3840)*(E2=E$1:E3840))))))</f>
        <v> </v>
      </c>
      <c r="K3841" s="25" t="str">
        <f>IF(OR(E3841="",E3841="!!!",F3841="NEW"),"",INDEX(J$1:J3840,SUMPRODUCT(MAX(ROW(E$1:E3840)*(E3841=E$1:E3840)))))</f>
        <v> </v>
      </c>
      <c r="L3841" s="26"/>
    </row>
    <row r="3842" spans="1:12">
      <c r="A3842" s="20" t="s">
        <v>722</v>
      </c>
      <c r="E3842" s="21">
        <f>IF(D3842="?OLD","!!!","")</f>
        <v/>
      </c>
      <c r="F3842" s="22" t="str">
        <f>IF(OR(E3842="",E3842="!!!"),"",IF(NOT(ISNA(VLOOKUP(E3842,E$1:E3841,1,FALSE()))),"OLD",IF(AND(E3842&lt;&gt;"",E3842&lt;&gt;"!!!"),"NEW","")))</f>
        <v> </v>
      </c>
      <c r="G3842" s="23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4" t="str">
        <f>IF(J3842&lt;&gt;1,"",IF(I3842="SBJ","CB","?"))</f>
        <v> </v>
      </c>
      <c r="I3842" s="25" t="str">
        <f>IF(OR(E3842="",E3842="!!!",F3842="NEW"),"",INDEX(B3841:B$2,-1+SUMPRODUCT(MAX(ROW(E3841:E$2)*(E3842=E3841:E$2)))))</f>
        <v> </v>
      </c>
      <c r="J3842" s="25" t="str">
        <f>IF(OR(E3842="",E3842="!!!",F3842="NEW"),"",COUNTBLANK(OFFSET(A$1,,,SUMPRODUCT(MAX(ROW(E$2:E3842)*(E3842=E$2:E3842)))))-COUNTBLANK(OFFSET(A$1,,,SUMPRODUCT(MAX(ROW(E$1:E3841)*(E2=E$1:E3841))))))</f>
        <v> </v>
      </c>
      <c r="K3842" s="25" t="str">
        <f>IF(OR(E3842="",E3842="!!!",F3842="NEW"),"",INDEX(J$1:J3841,SUMPRODUCT(MAX(ROW(E$1:E3841)*(E3842=E$1:E3841)))))</f>
        <v> </v>
      </c>
      <c r="L3842" s="26"/>
    </row>
    <row r="3843" spans="1:12">
      <c r="A3843" s="20" t="s">
        <v>868</v>
      </c>
      <c r="E3843" s="21">
        <f>IF(D3843="?OLD","!!!","")</f>
        <v/>
      </c>
      <c r="F3843" s="22" t="str">
        <f>IF(OR(E3843="",E3843="!!!"),"",IF(NOT(ISNA(VLOOKUP(E3843,E$1:E3842,1,FALSE()))),"OLD",IF(AND(E3843&lt;&gt;"",E3843&lt;&gt;"!!!"),"NEW","")))</f>
        <v> </v>
      </c>
      <c r="G3843" s="23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4" t="str">
        <f>IF(J3843&lt;&gt;1,"",IF(I3843="SBJ","CB","?"))</f>
        <v> </v>
      </c>
      <c r="I3843" s="25" t="str">
        <f>IF(OR(E3843="",E3843="!!!",F3843="NEW"),"",INDEX(B3842:B$2,-1+SUMPRODUCT(MAX(ROW(E3842:E$2)*(E3843=E3842:E$2)))))</f>
        <v> </v>
      </c>
      <c r="J3843" s="25" t="str">
        <f>IF(OR(E3843="",E3843="!!!",F3843="NEW"),"",COUNTBLANK(OFFSET(A$1,,,SUMPRODUCT(MAX(ROW(E$2:E3843)*(E3843=E$2:E3843)))))-COUNTBLANK(OFFSET(A$1,,,SUMPRODUCT(MAX(ROW(E$1:E3842)*(E2=E$1:E3842))))))</f>
        <v> </v>
      </c>
      <c r="K3843" s="25" t="str">
        <f>IF(OR(E3843="",E3843="!!!",F3843="NEW"),"",INDEX(J$1:J3842,SUMPRODUCT(MAX(ROW(E$1:E3842)*(E3843=E$1:E3842)))))</f>
        <v> </v>
      </c>
      <c r="L3843" s="26"/>
    </row>
    <row r="3844" spans="1:12">
      <c r="A3844" s="20" t="s">
        <v>791</v>
      </c>
      <c r="E3844" s="21">
        <f>IF(D3844="?OLD","!!!","")</f>
        <v/>
      </c>
      <c r="F3844" s="22" t="str">
        <f>IF(OR(E3844="",E3844="!!!"),"",IF(NOT(ISNA(VLOOKUP(E3844,E$1:E3843,1,FALSE()))),"OLD",IF(AND(E3844&lt;&gt;"",E3844&lt;&gt;"!!!"),"NEW","")))</f>
        <v> </v>
      </c>
      <c r="G3844" s="23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4" t="str">
        <f>IF(J3844&lt;&gt;1,"",IF(I3844="SBJ","CB","?"))</f>
        <v> </v>
      </c>
      <c r="I3844" s="25" t="str">
        <f>IF(OR(E3844="",E3844="!!!",F3844="NEW"),"",INDEX(B3843:B$2,-1+SUMPRODUCT(MAX(ROW(E3843:E$2)*(E3844=E3843:E$2)))))</f>
        <v> </v>
      </c>
      <c r="J3844" s="25" t="str">
        <f>IF(OR(E3844="",E3844="!!!",F3844="NEW"),"",COUNTBLANK(OFFSET(A$1,,,SUMPRODUCT(MAX(ROW(E$2:E3844)*(E3844=E$2:E3844)))))-COUNTBLANK(OFFSET(A$1,,,SUMPRODUCT(MAX(ROW(E$1:E3843)*(E2=E$1:E3843))))))</f>
        <v> </v>
      </c>
      <c r="K3844" s="25" t="str">
        <f>IF(OR(E3844="",E3844="!!!",F3844="NEW"),"",INDEX(J$1:J3843,SUMPRODUCT(MAX(ROW(E$1:E3843)*(E3844=E$1:E3843)))))</f>
        <v> </v>
      </c>
      <c r="L3844" s="26"/>
    </row>
    <row r="3845" spans="1:12">
      <c r="A3845" s="20" t="s">
        <v>1692</v>
      </c>
      <c r="E3845" s="21">
        <f>IF(D3845="?OLD","!!!","")</f>
        <v/>
      </c>
      <c r="F3845" s="22" t="str">
        <f>IF(OR(E3845="",E3845="!!!"),"",IF(NOT(ISNA(VLOOKUP(E3845,E$1:E3844,1,FALSE()))),"OLD",IF(AND(E3845&lt;&gt;"",E3845&lt;&gt;"!!!"),"NEW","")))</f>
        <v> </v>
      </c>
      <c r="G3845" s="23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4" t="str">
        <f>IF(J3845&lt;&gt;1,"",IF(I3845="SBJ","CB","?"))</f>
        <v> </v>
      </c>
      <c r="I3845" s="25" t="str">
        <f>IF(OR(E3845="",E3845="!!!",F3845="NEW"),"",INDEX(B3844:B$2,-1+SUMPRODUCT(MAX(ROW(E3844:E$2)*(E3845=E3844:E$2)))))</f>
        <v> </v>
      </c>
      <c r="J3845" s="25" t="str">
        <f>IF(OR(E3845="",E3845="!!!",F3845="NEW"),"",COUNTBLANK(OFFSET(A$1,,,SUMPRODUCT(MAX(ROW(E$2:E3845)*(E3845=E$2:E3845)))))-COUNTBLANK(OFFSET(A$1,,,SUMPRODUCT(MAX(ROW(E$1:E3844)*(E2=E$1:E3844))))))</f>
        <v> </v>
      </c>
      <c r="K3845" s="25" t="str">
        <f>IF(OR(E3845="",E3845="!!!",F3845="NEW"),"",INDEX(J$1:J3844,SUMPRODUCT(MAX(ROW(E$1:E3844)*(E3845=E$1:E3844)))))</f>
        <v> </v>
      </c>
      <c r="L3845" s="26"/>
    </row>
    <row r="3846" spans="1:12">
      <c r="A3846" s="20" t="s">
        <v>1693</v>
      </c>
      <c r="E3846" s="21">
        <f>IF(D3846="?OLD","!!!","")</f>
        <v/>
      </c>
      <c r="F3846" s="22" t="str">
        <f>IF(OR(E3846="",E3846="!!!"),"",IF(NOT(ISNA(VLOOKUP(E3846,E$1:E3845,1,FALSE()))),"OLD",IF(AND(E3846&lt;&gt;"",E3846&lt;&gt;"!!!"),"NEW","")))</f>
        <v> </v>
      </c>
      <c r="G3846" s="23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4" t="str">
        <f>IF(J3846&lt;&gt;1,"",IF(I3846="SBJ","CB","?"))</f>
        <v> </v>
      </c>
      <c r="I3846" s="25" t="str">
        <f>IF(OR(E3846="",E3846="!!!",F3846="NEW"),"",INDEX(B3845:B$2,-1+SUMPRODUCT(MAX(ROW(E3845:E$2)*(E3846=E3845:E$2)))))</f>
        <v> </v>
      </c>
      <c r="J3846" s="25" t="str">
        <f>IF(OR(E3846="",E3846="!!!",F3846="NEW"),"",COUNTBLANK(OFFSET(A$1,,,SUMPRODUCT(MAX(ROW(E$2:E3846)*(E3846=E$2:E3846)))))-COUNTBLANK(OFFSET(A$1,,,SUMPRODUCT(MAX(ROW(E$1:E3845)*(E2=E$1:E3845))))))</f>
        <v> </v>
      </c>
      <c r="K3846" s="25" t="str">
        <f>IF(OR(E3846="",E3846="!!!",F3846="NEW"),"",INDEX(J$1:J3845,SUMPRODUCT(MAX(ROW(E$1:E3845)*(E3846=E$1:E3845)))))</f>
        <v> </v>
      </c>
      <c r="L3846" s="26"/>
    </row>
    <row r="3847" spans="1:12">
      <c r="A3847" s="20" t="s">
        <v>690</v>
      </c>
      <c r="E3847" s="21">
        <f>IF(D3847="?OLD","!!!","")</f>
        <v/>
      </c>
      <c r="F3847" s="22" t="str">
        <f>IF(OR(E3847="",E3847="!!!"),"",IF(NOT(ISNA(VLOOKUP(E3847,E$1:E3846,1,FALSE()))),"OLD",IF(AND(E3847&lt;&gt;"",E3847&lt;&gt;"!!!"),"NEW","")))</f>
        <v> </v>
      </c>
      <c r="G3847" s="23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4" t="str">
        <f>IF(J3847&lt;&gt;1,"",IF(I3847="SBJ","CB","?"))</f>
        <v> </v>
      </c>
      <c r="I3847" s="25" t="str">
        <f>IF(OR(E3847="",E3847="!!!",F3847="NEW"),"",INDEX(B3846:B$2,-1+SUMPRODUCT(MAX(ROW(E3846:E$2)*(E3847=E3846:E$2)))))</f>
        <v> </v>
      </c>
      <c r="J3847" s="25" t="str">
        <f>IF(OR(E3847="",E3847="!!!",F3847="NEW"),"",COUNTBLANK(OFFSET(A$1,,,SUMPRODUCT(MAX(ROW(E$2:E3847)*(E3847=E$2:E3847)))))-COUNTBLANK(OFFSET(A$1,,,SUMPRODUCT(MAX(ROW(E$1:E3846)*(E2=E$1:E3846))))))</f>
        <v> </v>
      </c>
      <c r="K3847" s="25" t="str">
        <f>IF(OR(E3847="",E3847="!!!",F3847="NEW"),"",INDEX(J$1:J3846,SUMPRODUCT(MAX(ROW(E$1:E3846)*(E3847=E$1:E3846)))))</f>
        <v> </v>
      </c>
      <c r="L3847" s="26"/>
    </row>
    <row r="3848" spans="1:12">
      <c r="A3848" s="20" t="s">
        <v>1694</v>
      </c>
      <c r="B3848" s="27" t="s">
        <v>716</v>
      </c>
      <c r="C3848" s="27" t="s">
        <v>717</v>
      </c>
      <c r="D3848" s="27" t="s">
        <v>694</v>
      </c>
      <c r="E3848" s="21">
        <f>IF(D3848="?OLD","!!!","")</f>
        <v/>
      </c>
      <c r="F3848" s="22" t="str">
        <f>IF(OR(E3848="",E3848="!!!"),"",IF(NOT(ISNA(VLOOKUP(E3848,E$1:E3847,1,FALSE()))),"OLD",IF(AND(E3848&lt;&gt;"",E3848&lt;&gt;"!!!"),"NEW","")))</f>
        <v> </v>
      </c>
      <c r="G3848" s="23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4" t="str">
        <f>IF(J3848&lt;&gt;1,"",IF(I3848="SBJ","CB","?"))</f>
        <v> </v>
      </c>
      <c r="I3848" s="25" t="str">
        <f>IF(OR(E3848="",E3848="!!!",F3848="NEW"),"",INDEX(B3847:B$2,-1+SUMPRODUCT(MAX(ROW(E3847:E$2)*(E3848=E3847:E$2)))))</f>
        <v> </v>
      </c>
      <c r="J3848" s="25" t="str">
        <f>IF(OR(E3848="",E3848="!!!",F3848="NEW"),"",COUNTBLANK(OFFSET(A$1,,,SUMPRODUCT(MAX(ROW(E$2:E3848)*(E3848=E$2:E3848)))))-COUNTBLANK(OFFSET(A$1,,,SUMPRODUCT(MAX(ROW(E$1:E3847)*(E2=E$1:E3847))))))</f>
        <v> </v>
      </c>
      <c r="K3848" s="25" t="str">
        <f>IF(OR(E3848="",E3848="!!!",F3848="NEW"),"",INDEX(J$1:J3847,SUMPRODUCT(MAX(ROW(E$1:E3847)*(E3848=E$1:E3847)))))</f>
        <v> </v>
      </c>
      <c r="L3848" s="26"/>
    </row>
    <row r="3849" spans="1:12">
      <c r="A3849" s="20" t="s">
        <v>696</v>
      </c>
      <c r="E3849" s="21">
        <f>IF(D3849="?OLD","!!!","")</f>
        <v/>
      </c>
      <c r="F3849" s="22" t="str">
        <f>IF(OR(E3849="",E3849="!!!"),"",IF(NOT(ISNA(VLOOKUP(E3849,E$1:E3848,1,FALSE()))),"OLD",IF(AND(E3849&lt;&gt;"",E3849&lt;&gt;"!!!"),"NEW","")))</f>
        <v> </v>
      </c>
      <c r="G3849" s="23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4" t="str">
        <f>IF(J3849&lt;&gt;1,"",IF(I3849="SBJ","CB","?"))</f>
        <v> </v>
      </c>
      <c r="I3849" s="25" t="str">
        <f>IF(OR(E3849="",E3849="!!!",F3849="NEW"),"",INDEX(B3848:B$2,-1+SUMPRODUCT(MAX(ROW(E3848:E$2)*(E3849=E3848:E$2)))))</f>
        <v> </v>
      </c>
      <c r="J3849" s="25" t="str">
        <f>IF(OR(E3849="",E3849="!!!",F3849="NEW"),"",COUNTBLANK(OFFSET(A$1,,,SUMPRODUCT(MAX(ROW(E$2:E3849)*(E3849=E$2:E3849)))))-COUNTBLANK(OFFSET(A$1,,,SUMPRODUCT(MAX(ROW(E$1:E3848)*(E2=E$1:E3848))))))</f>
        <v> </v>
      </c>
      <c r="K3849" s="25" t="str">
        <f>IF(OR(E3849="",E3849="!!!",F3849="NEW"),"",INDEX(J$1:J3848,SUMPRODUCT(MAX(ROW(E$1:E3848)*(E3849=E$1:E3848)))))</f>
        <v> </v>
      </c>
      <c r="L3849" s="26"/>
    </row>
    <row r="3850" spans="1:12">
      <c r="A3850" s="20" t="s">
        <v>690</v>
      </c>
      <c r="E3850" s="21">
        <f>IF(D3850="?OLD","!!!","")</f>
        <v/>
      </c>
      <c r="F3850" s="22" t="str">
        <f>IF(OR(E3850="",E3850="!!!"),"",IF(NOT(ISNA(VLOOKUP(E3850,E$1:E3849,1,FALSE()))),"OLD",IF(AND(E3850&lt;&gt;"",E3850&lt;&gt;"!!!"),"NEW","")))</f>
        <v> </v>
      </c>
      <c r="G3850" s="23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4" t="str">
        <f>IF(J3850&lt;&gt;1,"",IF(I3850="SBJ","CB","?"))</f>
        <v> </v>
      </c>
      <c r="I3850" s="25" t="str">
        <f>IF(OR(E3850="",E3850="!!!",F3850="NEW"),"",INDEX(B3849:B$2,-1+SUMPRODUCT(MAX(ROW(E3849:E$2)*(E3850=E3849:E$2)))))</f>
        <v> </v>
      </c>
      <c r="J3850" s="25" t="str">
        <f>IF(OR(E3850="",E3850="!!!",F3850="NEW"),"",COUNTBLANK(OFFSET(A$1,,,SUMPRODUCT(MAX(ROW(E$2:E3850)*(E3850=E$2:E3850)))))-COUNTBLANK(OFFSET(A$1,,,SUMPRODUCT(MAX(ROW(E$1:E3849)*(E2=E$1:E3849))))))</f>
        <v> </v>
      </c>
      <c r="K3850" s="25" t="str">
        <f>IF(OR(E3850="",E3850="!!!",F3850="NEW"),"",INDEX(J$1:J3849,SUMPRODUCT(MAX(ROW(E$1:E3849)*(E3850=E$1:E3849)))))</f>
        <v> </v>
      </c>
      <c r="L3850" s="26"/>
    </row>
    <row r="3851" spans="1:12">
      <c r="A3851" s="20" t="s">
        <v>866</v>
      </c>
      <c r="B3851" s="27" t="s">
        <v>719</v>
      </c>
      <c r="C3851" s="27" t="s">
        <v>693</v>
      </c>
      <c r="D3851" s="27" t="s">
        <v>694</v>
      </c>
      <c r="E3851" s="21">
        <f>IF(D3851="?OLD","!!!","")</f>
        <v/>
      </c>
      <c r="F3851" s="22" t="str">
        <f>IF(OR(E3851="",E3851="!!!"),"",IF(NOT(ISNA(VLOOKUP(E3851,E$1:E3850,1,FALSE()))),"OLD",IF(AND(E3851&lt;&gt;"",E3851&lt;&gt;"!!!"),"NEW","")))</f>
        <v> </v>
      </c>
      <c r="G3851" s="23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4" t="str">
        <f>IF(J3851&lt;&gt;1,"",IF(I3851="SBJ","CB","?"))</f>
        <v> </v>
      </c>
      <c r="I3851" s="25" t="str">
        <f>IF(OR(E3851="",E3851="!!!",F3851="NEW"),"",INDEX(B3850:B$2,-1+SUMPRODUCT(MAX(ROW(E3850:E$2)*(E3851=E3850:E$2)))))</f>
        <v> </v>
      </c>
      <c r="J3851" s="25" t="str">
        <f>IF(OR(E3851="",E3851="!!!",F3851="NEW"),"",COUNTBLANK(OFFSET(A$1,,,SUMPRODUCT(MAX(ROW(E$2:E3851)*(E3851=E$2:E3851)))))-COUNTBLANK(OFFSET(A$1,,,SUMPRODUCT(MAX(ROW(E$1:E3850)*(E2=E$1:E3850))))))</f>
        <v> </v>
      </c>
      <c r="K3851" s="25" t="str">
        <f>IF(OR(E3851="",E3851="!!!",F3851="NEW"),"",INDEX(J$1:J3850,SUMPRODUCT(MAX(ROW(E$1:E3850)*(E3851=E$1:E3850)))))</f>
        <v> </v>
      </c>
      <c r="L3851" s="26"/>
    </row>
    <row r="3852" spans="1:12">
      <c r="A3852" s="20" t="s">
        <v>704</v>
      </c>
      <c r="E3852" s="21">
        <f>IF(D3852="?OLD","!!!","")</f>
        <v/>
      </c>
      <c r="F3852" s="22" t="str">
        <f>IF(OR(E3852="",E3852="!!!"),"",IF(NOT(ISNA(VLOOKUP(E3852,E$1:E3851,1,FALSE()))),"OLD",IF(AND(E3852&lt;&gt;"",E3852&lt;&gt;"!!!"),"NEW","")))</f>
        <v> </v>
      </c>
      <c r="G3852" s="23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4" t="str">
        <f>IF(J3852&lt;&gt;1,"",IF(I3852="SBJ","CB","?"))</f>
        <v> </v>
      </c>
      <c r="I3852" s="25" t="str">
        <f>IF(OR(E3852="",E3852="!!!",F3852="NEW"),"",INDEX(B3851:B$2,-1+SUMPRODUCT(MAX(ROW(E3851:E$2)*(E3852=E3851:E$2)))))</f>
        <v> </v>
      </c>
      <c r="J3852" s="25" t="str">
        <f>IF(OR(E3852="",E3852="!!!",F3852="NEW"),"",COUNTBLANK(OFFSET(A$1,,,SUMPRODUCT(MAX(ROW(E$2:E3852)*(E3852=E$2:E3852)))))-COUNTBLANK(OFFSET(A$1,,,SUMPRODUCT(MAX(ROW(E$1:E3851)*(E2=E$1:E3851))))))</f>
        <v> </v>
      </c>
      <c r="K3852" s="25" t="str">
        <f>IF(OR(E3852="",E3852="!!!",F3852="NEW"),"",INDEX(J$1:J3851,SUMPRODUCT(MAX(ROW(E$1:E3851)*(E3852=E$1:E3851)))))</f>
        <v> </v>
      </c>
      <c r="L3852" s="26"/>
    </row>
    <row r="3853" spans="1:12">
      <c r="A3853" s="20"/>
    </row>
    <row r="3854" spans="1:12">
      <c r="A3854" s="20" t="s">
        <v>1695</v>
      </c>
    </row>
    <row r="3855" spans="1:12">
      <c r="A3855" s="20" t="s">
        <v>1416</v>
      </c>
      <c r="E3855" s="21">
        <f>IF(D3855="?OLD","!!!","")</f>
        <v/>
      </c>
      <c r="F3855" s="22" t="str">
        <f>IF(OR(E3855="",E3855="!!!"),"",IF(NOT(ISNA(VLOOKUP(E3855,E$1:E3854,1,FALSE()))),"OLD",IF(AND(E3855&lt;&gt;"",E3855&lt;&gt;"!!!"),"NEW","")))</f>
        <v> </v>
      </c>
      <c r="G3855" s="23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4" t="str">
        <f>IF(J3855&lt;&gt;1,"",IF(I3855="SBJ","CB","?"))</f>
        <v> </v>
      </c>
      <c r="I3855" s="25" t="str">
        <f>IF(OR(E3855="",E3855="!!!",F3855="NEW"),"",INDEX(B3854:B$2,-1+SUMPRODUCT(MAX(ROW(E3854:E$2)*(E3855=E3854:E$2)))))</f>
        <v> </v>
      </c>
      <c r="J3855" s="25" t="str">
        <f>IF(OR(E3855="",E3855="!!!",F3855="NEW"),"",COUNTBLANK(OFFSET(A$1,,,SUMPRODUCT(MAX(ROW(E$2:E3855)*(E3855=E$2:E3855)))))-COUNTBLANK(OFFSET(A$1,,,SUMPRODUCT(MAX(ROW(E$1:E3854)*(E2=E$1:E3854))))))</f>
        <v> </v>
      </c>
      <c r="K3855" s="25" t="str">
        <f>IF(OR(E3855="",E3855="!!!",F3855="NEW"),"",INDEX(J$1:J3854,SUMPRODUCT(MAX(ROW(E$1:E3854)*(E3855=E$1:E3854)))))</f>
        <v> </v>
      </c>
      <c r="L3855" s="26"/>
    </row>
    <row r="3856" spans="1:12">
      <c r="A3856" s="20" t="s">
        <v>722</v>
      </c>
      <c r="E3856" s="21">
        <f>IF(D3856="?OLD","!!!","")</f>
        <v/>
      </c>
      <c r="F3856" s="22" t="str">
        <f>IF(OR(E3856="",E3856="!!!"),"",IF(NOT(ISNA(VLOOKUP(E3856,E$1:E3855,1,FALSE()))),"OLD",IF(AND(E3856&lt;&gt;"",E3856&lt;&gt;"!!!"),"NEW","")))</f>
        <v> </v>
      </c>
      <c r="G3856" s="23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4" t="str">
        <f>IF(J3856&lt;&gt;1,"",IF(I3856="SBJ","CB","?"))</f>
        <v> </v>
      </c>
      <c r="I3856" s="25" t="str">
        <f>IF(OR(E3856="",E3856="!!!",F3856="NEW"),"",INDEX(B3855:B$2,-1+SUMPRODUCT(MAX(ROW(E3855:E$2)*(E3856=E3855:E$2)))))</f>
        <v> </v>
      </c>
      <c r="J3856" s="25" t="str">
        <f>IF(OR(E3856="",E3856="!!!",F3856="NEW"),"",COUNTBLANK(OFFSET(A$1,,,SUMPRODUCT(MAX(ROW(E$2:E3856)*(E3856=E$2:E3856)))))-COUNTBLANK(OFFSET(A$1,,,SUMPRODUCT(MAX(ROW(E$1:E3855)*(E2=E$1:E3855))))))</f>
        <v> </v>
      </c>
      <c r="K3856" s="25" t="str">
        <f>IF(OR(E3856="",E3856="!!!",F3856="NEW"),"",INDEX(J$1:J3855,SUMPRODUCT(MAX(ROW(E$1:E3855)*(E3856=E$1:E3855)))))</f>
        <v> </v>
      </c>
      <c r="L3856" s="26"/>
    </row>
    <row r="3857" spans="1:12">
      <c r="A3857" s="20" t="s">
        <v>1696</v>
      </c>
      <c r="E3857" s="21">
        <f>IF(D3857="?OLD","!!!","")</f>
        <v/>
      </c>
      <c r="F3857" s="22" t="str">
        <f>IF(OR(E3857="",E3857="!!!"),"",IF(NOT(ISNA(VLOOKUP(E3857,E$1:E3856,1,FALSE()))),"OLD",IF(AND(E3857&lt;&gt;"",E3857&lt;&gt;"!!!"),"NEW","")))</f>
        <v> </v>
      </c>
      <c r="G3857" s="23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4" t="str">
        <f>IF(J3857&lt;&gt;1,"",IF(I3857="SBJ","CB","?"))</f>
        <v> </v>
      </c>
      <c r="I3857" s="25" t="str">
        <f>IF(OR(E3857="",E3857="!!!",F3857="NEW"),"",INDEX(B3856:B$2,-1+SUMPRODUCT(MAX(ROW(E3856:E$2)*(E3857=E3856:E$2)))))</f>
        <v> </v>
      </c>
      <c r="J3857" s="25" t="str">
        <f>IF(OR(E3857="",E3857="!!!",F3857="NEW"),"",COUNTBLANK(OFFSET(A$1,,,SUMPRODUCT(MAX(ROW(E$2:E3857)*(E3857=E$2:E3857)))))-COUNTBLANK(OFFSET(A$1,,,SUMPRODUCT(MAX(ROW(E$1:E3856)*(E2=E$1:E3856))))))</f>
        <v> </v>
      </c>
      <c r="K3857" s="25" t="str">
        <f>IF(OR(E3857="",E3857="!!!",F3857="NEW"),"",INDEX(J$1:J3856,SUMPRODUCT(MAX(ROW(E$1:E3856)*(E3857=E$1:E3856)))))</f>
        <v> </v>
      </c>
      <c r="L3857" s="26"/>
    </row>
    <row r="3858" spans="1:12">
      <c r="A3858" s="20" t="s">
        <v>696</v>
      </c>
      <c r="E3858" s="21">
        <f>IF(D3858="?OLD","!!!","")</f>
        <v/>
      </c>
      <c r="F3858" s="22" t="str">
        <f>IF(OR(E3858="",E3858="!!!"),"",IF(NOT(ISNA(VLOOKUP(E3858,E$1:E3857,1,FALSE()))),"OLD",IF(AND(E3858&lt;&gt;"",E3858&lt;&gt;"!!!"),"NEW","")))</f>
        <v> </v>
      </c>
      <c r="G3858" s="23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4" t="str">
        <f>IF(J3858&lt;&gt;1,"",IF(I3858="SBJ","CB","?"))</f>
        <v> </v>
      </c>
      <c r="I3858" s="25" t="str">
        <f>IF(OR(E3858="",E3858="!!!",F3858="NEW"),"",INDEX(B3857:B$2,-1+SUMPRODUCT(MAX(ROW(E3857:E$2)*(E3858=E3857:E$2)))))</f>
        <v> </v>
      </c>
      <c r="J3858" s="25" t="str">
        <f>IF(OR(E3858="",E3858="!!!",F3858="NEW"),"",COUNTBLANK(OFFSET(A$1,,,SUMPRODUCT(MAX(ROW(E$2:E3858)*(E3858=E$2:E3858)))))-COUNTBLANK(OFFSET(A$1,,,SUMPRODUCT(MAX(ROW(E$1:E3857)*(E2=E$1:E3857))))))</f>
        <v> </v>
      </c>
      <c r="K3858" s="25" t="str">
        <f>IF(OR(E3858="",E3858="!!!",F3858="NEW"),"",INDEX(J$1:J3857,SUMPRODUCT(MAX(ROW(E$1:E3857)*(E3858=E$1:E3857)))))</f>
        <v> </v>
      </c>
      <c r="L3858" s="26"/>
    </row>
    <row r="3859" spans="1:12">
      <c r="A3859" s="20" t="s">
        <v>95</v>
      </c>
      <c r="E3859" s="21">
        <f>IF(D3859="?OLD","!!!","")</f>
        <v/>
      </c>
      <c r="F3859" s="22" t="str">
        <f>IF(OR(E3859="",E3859="!!!"),"",IF(NOT(ISNA(VLOOKUP(E3859,E$1:E3858,1,FALSE()))),"OLD",IF(AND(E3859&lt;&gt;"",E3859&lt;&gt;"!!!"),"NEW","")))</f>
        <v> </v>
      </c>
      <c r="G3859" s="23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4" t="str">
        <f>IF(J3859&lt;&gt;1,"",IF(I3859="SBJ","CB","?"))</f>
        <v> </v>
      </c>
      <c r="I3859" s="25" t="str">
        <f>IF(OR(E3859="",E3859="!!!",F3859="NEW"),"",INDEX(B3858:B$2,-1+SUMPRODUCT(MAX(ROW(E3858:E$2)*(E3859=E3858:E$2)))))</f>
        <v> </v>
      </c>
      <c r="J3859" s="25" t="str">
        <f>IF(OR(E3859="",E3859="!!!",F3859="NEW"),"",COUNTBLANK(OFFSET(A$1,,,SUMPRODUCT(MAX(ROW(E$2:E3859)*(E3859=E$2:E3859)))))-COUNTBLANK(OFFSET(A$1,,,SUMPRODUCT(MAX(ROW(E$1:E3858)*(E2=E$1:E3858))))))</f>
        <v> </v>
      </c>
      <c r="K3859" s="25" t="str">
        <f>IF(OR(E3859="",E3859="!!!",F3859="NEW"),"",INDEX(J$1:J3858,SUMPRODUCT(MAX(ROW(E$1:E3858)*(E3859=E$1:E3858)))))</f>
        <v> </v>
      </c>
      <c r="L3859" s="26"/>
    </row>
    <row r="3860" spans="1:12">
      <c r="A3860" s="20" t="s">
        <v>998</v>
      </c>
      <c r="E3860" s="21">
        <f>IF(D3860="?OLD","!!!","")</f>
        <v/>
      </c>
      <c r="F3860" s="22" t="str">
        <f>IF(OR(E3860="",E3860="!!!"),"",IF(NOT(ISNA(VLOOKUP(E3860,E$1:E3859,1,FALSE()))),"OLD",IF(AND(E3860&lt;&gt;"",E3860&lt;&gt;"!!!"),"NEW","")))</f>
        <v> </v>
      </c>
      <c r="G3860" s="23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4" t="str">
        <f>IF(J3860&lt;&gt;1,"",IF(I3860="SBJ","CB","?"))</f>
        <v> </v>
      </c>
      <c r="I3860" s="25" t="str">
        <f>IF(OR(E3860="",E3860="!!!",F3860="NEW"),"",INDEX(B3859:B$2,-1+SUMPRODUCT(MAX(ROW(E3859:E$2)*(E3860=E3859:E$2)))))</f>
        <v> </v>
      </c>
      <c r="J3860" s="25" t="str">
        <f>IF(OR(E3860="",E3860="!!!",F3860="NEW"),"",COUNTBLANK(OFFSET(A$1,,,SUMPRODUCT(MAX(ROW(E$2:E3860)*(E3860=E$2:E3860)))))-COUNTBLANK(OFFSET(A$1,,,SUMPRODUCT(MAX(ROW(E$1:E3859)*(E2=E$1:E3859))))))</f>
        <v> </v>
      </c>
      <c r="K3860" s="25" t="str">
        <f>IF(OR(E3860="",E3860="!!!",F3860="NEW"),"",INDEX(J$1:J3859,SUMPRODUCT(MAX(ROW(E$1:E3859)*(E3860=E$1:E3859)))))</f>
        <v> </v>
      </c>
      <c r="L3860" s="26"/>
    </row>
    <row r="3861" spans="1:12">
      <c r="A3861" s="20" t="s">
        <v>1697</v>
      </c>
      <c r="B3861" s="27" t="s">
        <v>758</v>
      </c>
      <c r="C3861" s="27" t="s">
        <v>766</v>
      </c>
      <c r="D3861" s="27" t="s">
        <v>694</v>
      </c>
      <c r="E3861" s="21">
        <f>IF(D3861="?OLD","!!!","")</f>
        <v/>
      </c>
      <c r="F3861" s="22" t="str">
        <f>IF(OR(E3861="",E3861="!!!"),"",IF(NOT(ISNA(VLOOKUP(E3861,E$1:E3860,1,FALSE()))),"OLD",IF(AND(E3861&lt;&gt;"",E3861&lt;&gt;"!!!"),"NEW","")))</f>
        <v> </v>
      </c>
      <c r="G3861" s="23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4" t="str">
        <f>IF(J3861&lt;&gt;1,"",IF(I3861="SBJ","CB","?"))</f>
        <v> </v>
      </c>
      <c r="I3861" s="25" t="str">
        <f>IF(OR(E3861="",E3861="!!!",F3861="NEW"),"",INDEX(B3860:B$2,-1+SUMPRODUCT(MAX(ROW(E3860:E$2)*(E3861=E3860:E$2)))))</f>
        <v> </v>
      </c>
      <c r="J3861" s="25" t="str">
        <f>IF(OR(E3861="",E3861="!!!",F3861="NEW"),"",COUNTBLANK(OFFSET(A$1,,,SUMPRODUCT(MAX(ROW(E$2:E3861)*(E3861=E$2:E3861)))))-COUNTBLANK(OFFSET(A$1,,,SUMPRODUCT(MAX(ROW(E$1:E3860)*(E2=E$1:E3860))))))</f>
        <v> </v>
      </c>
      <c r="K3861" s="25" t="str">
        <f>IF(OR(E3861="",E3861="!!!",F3861="NEW"),"",INDEX(J$1:J3860,SUMPRODUCT(MAX(ROW(E$1:E3860)*(E3861=E$1:E3860)))))</f>
        <v> </v>
      </c>
      <c r="L3861" s="26"/>
    </row>
    <row r="3862" spans="1:12">
      <c r="A3862" s="20" t="s">
        <v>701</v>
      </c>
      <c r="E3862" s="21">
        <f>IF(D3862="?OLD","!!!","")</f>
        <v/>
      </c>
      <c r="F3862" s="22" t="str">
        <f>IF(OR(E3862="",E3862="!!!"),"",IF(NOT(ISNA(VLOOKUP(E3862,E$1:E3861,1,FALSE()))),"OLD",IF(AND(E3862&lt;&gt;"",E3862&lt;&gt;"!!!"),"NEW","")))</f>
        <v> </v>
      </c>
      <c r="G3862" s="23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4" t="str">
        <f>IF(J3862&lt;&gt;1,"",IF(I3862="SBJ","CB","?"))</f>
        <v> </v>
      </c>
      <c r="I3862" s="25" t="str">
        <f>IF(OR(E3862="",E3862="!!!",F3862="NEW"),"",INDEX(B3861:B$2,-1+SUMPRODUCT(MAX(ROW(E3861:E$2)*(E3862=E3861:E$2)))))</f>
        <v> </v>
      </c>
      <c r="J3862" s="25" t="str">
        <f>IF(OR(E3862="",E3862="!!!",F3862="NEW"),"",COUNTBLANK(OFFSET(A$1,,,SUMPRODUCT(MAX(ROW(E$2:E3862)*(E3862=E$2:E3862)))))-COUNTBLANK(OFFSET(A$1,,,SUMPRODUCT(MAX(ROW(E$1:E3861)*(E2=E$1:E3861))))))</f>
        <v> </v>
      </c>
      <c r="K3862" s="25" t="str">
        <f>IF(OR(E3862="",E3862="!!!",F3862="NEW"),"",INDEX(J$1:J3861,SUMPRODUCT(MAX(ROW(E$1:E3861)*(E3862=E$1:E3861)))))</f>
        <v> </v>
      </c>
      <c r="L3862" s="26"/>
    </row>
    <row r="3863" spans="1:12">
      <c r="A3863" s="20" t="s">
        <v>1698</v>
      </c>
      <c r="B3863" s="27" t="s">
        <v>749</v>
      </c>
      <c r="C3863" s="27" t="s">
        <v>699</v>
      </c>
      <c r="E3863" s="21">
        <f>IF(D3863="?OLD","!!!","")</f>
        <v/>
      </c>
      <c r="F3863" s="22" t="str">
        <f>IF(OR(E3863="",E3863="!!!"),"",IF(NOT(ISNA(VLOOKUP(E3863,E$1:E3862,1,FALSE()))),"OLD",IF(AND(E3863&lt;&gt;"",E3863&lt;&gt;"!!!"),"NEW","")))</f>
        <v> </v>
      </c>
      <c r="G3863" s="23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4" t="str">
        <f>IF(J3863&lt;&gt;1,"",IF(I3863="SBJ","CB","?"))</f>
        <v> </v>
      </c>
      <c r="I3863" s="25" t="str">
        <f>IF(OR(E3863="",E3863="!!!",F3863="NEW"),"",INDEX(B3862:B$2,-1+SUMPRODUCT(MAX(ROW(E3862:E$2)*(E3863=E3862:E$2)))))</f>
        <v> </v>
      </c>
      <c r="J3863" s="25" t="str">
        <f>IF(OR(E3863="",E3863="!!!",F3863="NEW"),"",COUNTBLANK(OFFSET(A$1,,,SUMPRODUCT(MAX(ROW(E$2:E3863)*(E3863=E$2:E3863)))))-COUNTBLANK(OFFSET(A$1,,,SUMPRODUCT(MAX(ROW(E$1:E3862)*(E2=E$1:E3862))))))</f>
        <v> </v>
      </c>
      <c r="K3863" s="25" t="str">
        <f>IF(OR(E3863="",E3863="!!!",F3863="NEW"),"",INDEX(J$1:J3862,SUMPRODUCT(MAX(ROW(E$1:E3862)*(E3863=E$1:E3862)))))</f>
        <v> </v>
      </c>
      <c r="L3863" s="26"/>
    </row>
    <row r="3864" spans="1:12">
      <c r="A3864" s="20" t="s">
        <v>704</v>
      </c>
      <c r="E3864" s="21">
        <f>IF(D3864="?OLD","!!!","")</f>
        <v/>
      </c>
      <c r="F3864" s="22" t="str">
        <f>IF(OR(E3864="",E3864="!!!"),"",IF(NOT(ISNA(VLOOKUP(E3864,E$1:E3863,1,FALSE()))),"OLD",IF(AND(E3864&lt;&gt;"",E3864&lt;&gt;"!!!"),"NEW","")))</f>
        <v> </v>
      </c>
      <c r="G3864" s="23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4" t="str">
        <f>IF(J3864&lt;&gt;1,"",IF(I3864="SBJ","CB","?"))</f>
        <v> </v>
      </c>
      <c r="I3864" s="25" t="str">
        <f>IF(OR(E3864="",E3864="!!!",F3864="NEW"),"",INDEX(B3863:B$2,-1+SUMPRODUCT(MAX(ROW(E3863:E$2)*(E3864=E3863:E$2)))))</f>
        <v> </v>
      </c>
      <c r="J3864" s="25" t="str">
        <f>IF(OR(E3864="",E3864="!!!",F3864="NEW"),"",COUNTBLANK(OFFSET(A$1,,,SUMPRODUCT(MAX(ROW(E$2:E3864)*(E3864=E$2:E3864)))))-COUNTBLANK(OFFSET(A$1,,,SUMPRODUCT(MAX(ROW(E$1:E3863)*(E2=E$1:E3863))))))</f>
        <v> </v>
      </c>
      <c r="K3864" s="25" t="str">
        <f>IF(OR(E3864="",E3864="!!!",F3864="NEW"),"",INDEX(J$1:J3863,SUMPRODUCT(MAX(ROW(E$1:E3863)*(E3864=E$1:E3863)))))</f>
        <v> </v>
      </c>
      <c r="L3864" s="26"/>
    </row>
    <row r="3865" spans="1:12">
      <c r="A3865" s="20"/>
    </row>
    <row r="3866" spans="1:12">
      <c r="A3866" s="20" t="s">
        <v>1699</v>
      </c>
    </row>
    <row r="3867" spans="1:12">
      <c r="A3867" s="20" t="s">
        <v>990</v>
      </c>
      <c r="E3867" s="21">
        <f>IF(D3867="?OLD","!!!","")</f>
        <v/>
      </c>
      <c r="F3867" s="22" t="str">
        <f>IF(OR(E3867="",E3867="!!!"),"",IF(NOT(ISNA(VLOOKUP(E3867,E$1:E3866,1,FALSE()))),"OLD",IF(AND(E3867&lt;&gt;"",E3867&lt;&gt;"!!!"),"NEW","")))</f>
        <v> </v>
      </c>
      <c r="G3867" s="23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4" t="str">
        <f>IF(J3867&lt;&gt;1,"",IF(I3867="SBJ","CB","?"))</f>
        <v> </v>
      </c>
      <c r="I3867" s="25" t="str">
        <f>IF(OR(E3867="",E3867="!!!",F3867="NEW"),"",INDEX(B3866:B$2,-1+SUMPRODUCT(MAX(ROW(E3866:E$2)*(E3867=E3866:E$2)))))</f>
        <v> </v>
      </c>
      <c r="J3867" s="25" t="str">
        <f>IF(OR(E3867="",E3867="!!!",F3867="NEW"),"",COUNTBLANK(OFFSET(A$1,,,SUMPRODUCT(MAX(ROW(E$2:E3867)*(E3867=E$2:E3867)))))-COUNTBLANK(OFFSET(A$1,,,SUMPRODUCT(MAX(ROW(E$1:E3866)*(E2=E$1:E3866))))))</f>
        <v> </v>
      </c>
      <c r="K3867" s="25" t="str">
        <f>IF(OR(E3867="",E3867="!!!",F3867="NEW"),"",INDEX(J$1:J3866,SUMPRODUCT(MAX(ROW(E$1:E3866)*(E3867=E$1:E3866)))))</f>
        <v> </v>
      </c>
      <c r="L3867" s="26"/>
    </row>
    <row r="3868" spans="1:12">
      <c r="A3868" s="20" t="s">
        <v>1700</v>
      </c>
      <c r="E3868" s="21">
        <f>IF(D3868="?OLD","!!!","")</f>
        <v/>
      </c>
      <c r="F3868" s="22" t="str">
        <f>IF(OR(E3868="",E3868="!!!"),"",IF(NOT(ISNA(VLOOKUP(E3868,E$1:E3867,1,FALSE()))),"OLD",IF(AND(E3868&lt;&gt;"",E3868&lt;&gt;"!!!"),"NEW","")))</f>
        <v> </v>
      </c>
      <c r="G3868" s="23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4" t="str">
        <f>IF(J3868&lt;&gt;1,"",IF(I3868="SBJ","CB","?"))</f>
        <v> </v>
      </c>
      <c r="I3868" s="25" t="str">
        <f>IF(OR(E3868="",E3868="!!!",F3868="NEW"),"",INDEX(B3867:B$2,-1+SUMPRODUCT(MAX(ROW(E3867:E$2)*(E3868=E3867:E$2)))))</f>
        <v> </v>
      </c>
      <c r="J3868" s="25" t="str">
        <f>IF(OR(E3868="",E3868="!!!",F3868="NEW"),"",COUNTBLANK(OFFSET(A$1,,,SUMPRODUCT(MAX(ROW(E$2:E3868)*(E3868=E$2:E3868)))))-COUNTBLANK(OFFSET(A$1,,,SUMPRODUCT(MAX(ROW(E$1:E3867)*(E2=E$1:E3867))))))</f>
        <v> </v>
      </c>
      <c r="K3868" s="25" t="str">
        <f>IF(OR(E3868="",E3868="!!!",F3868="NEW"),"",INDEX(J$1:J3867,SUMPRODUCT(MAX(ROW(E$1:E3867)*(E3868=E$1:E3867)))))</f>
        <v> </v>
      </c>
      <c r="L3868" s="26"/>
    </row>
    <row r="3869" spans="1:12">
      <c r="A3869" s="20" t="s">
        <v>690</v>
      </c>
      <c r="E3869" s="21">
        <f>IF(D3869="?OLD","!!!","")</f>
        <v/>
      </c>
      <c r="F3869" s="22" t="str">
        <f>IF(OR(E3869="",E3869="!!!"),"",IF(NOT(ISNA(VLOOKUP(E3869,E$1:E3868,1,FALSE()))),"OLD",IF(AND(E3869&lt;&gt;"",E3869&lt;&gt;"!!!"),"NEW","")))</f>
        <v> </v>
      </c>
      <c r="G3869" s="23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4" t="str">
        <f>IF(J3869&lt;&gt;1,"",IF(I3869="SBJ","CB","?"))</f>
        <v> </v>
      </c>
      <c r="I3869" s="25" t="str">
        <f>IF(OR(E3869="",E3869="!!!",F3869="NEW"),"",INDEX(B3868:B$2,-1+SUMPRODUCT(MAX(ROW(E3868:E$2)*(E3869=E3868:E$2)))))</f>
        <v> </v>
      </c>
      <c r="J3869" s="25" t="str">
        <f>IF(OR(E3869="",E3869="!!!",F3869="NEW"),"",COUNTBLANK(OFFSET(A$1,,,SUMPRODUCT(MAX(ROW(E$2:E3869)*(E3869=E$2:E3869)))))-COUNTBLANK(OFFSET(A$1,,,SUMPRODUCT(MAX(ROW(E$1:E3868)*(E2=E$1:E3868))))))</f>
        <v> </v>
      </c>
      <c r="K3869" s="25" t="str">
        <f>IF(OR(E3869="",E3869="!!!",F3869="NEW"),"",INDEX(J$1:J3868,SUMPRODUCT(MAX(ROW(E$1:E3868)*(E3869=E$1:E3868)))))</f>
        <v> </v>
      </c>
      <c r="L3869" s="26"/>
    </row>
    <row r="3870" spans="1:12">
      <c r="A3870" s="20" t="s">
        <v>697</v>
      </c>
      <c r="B3870" s="27" t="s">
        <v>692</v>
      </c>
      <c r="C3870" s="27" t="s">
        <v>693</v>
      </c>
      <c r="D3870" s="27" t="s">
        <v>694</v>
      </c>
      <c r="E3870" s="21">
        <f>IF(D3870="?OLD","!!!","")</f>
        <v/>
      </c>
      <c r="F3870" s="22" t="str">
        <f>IF(OR(E3870="",E3870="!!!"),"",IF(NOT(ISNA(VLOOKUP(E3870,E$1:E3869,1,FALSE()))),"OLD",IF(AND(E3870&lt;&gt;"",E3870&lt;&gt;"!!!"),"NEW","")))</f>
        <v> </v>
      </c>
      <c r="G3870" s="23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4" t="str">
        <f>IF(J3870&lt;&gt;1,"",IF(I3870="SBJ","CB","?"))</f>
        <v> </v>
      </c>
      <c r="I3870" s="25" t="str">
        <f>IF(OR(E3870="",E3870="!!!",F3870="NEW"),"",INDEX(B3869:B$2,-1+SUMPRODUCT(MAX(ROW(E3869:E$2)*(E3870=E3869:E$2)))))</f>
        <v> </v>
      </c>
      <c r="J3870" s="25" t="str">
        <f>IF(OR(E3870="",E3870="!!!",F3870="NEW"),"",COUNTBLANK(OFFSET(A$1,,,SUMPRODUCT(MAX(ROW(E$2:E3870)*(E3870=E$2:E3870)))))-COUNTBLANK(OFFSET(A$1,,,SUMPRODUCT(MAX(ROW(E$1:E3869)*(E2=E$1:E3869))))))</f>
        <v> </v>
      </c>
      <c r="K3870" s="25" t="str">
        <f>IF(OR(E3870="",E3870="!!!",F3870="NEW"),"",INDEX(J$1:J3869,SUMPRODUCT(MAX(ROW(E$1:E3869)*(E3870=E$1:E3869)))))</f>
        <v> </v>
      </c>
      <c r="L3870" s="26"/>
    </row>
    <row r="3871" spans="1:12">
      <c r="A3871" s="20" t="s">
        <v>1265</v>
      </c>
      <c r="E3871" s="21">
        <f>IF(D3871="?OLD","!!!","")</f>
        <v/>
      </c>
      <c r="F3871" s="22" t="str">
        <f>IF(OR(E3871="",E3871="!!!"),"",IF(NOT(ISNA(VLOOKUP(E3871,E$1:E3870,1,FALSE()))),"OLD",IF(AND(E3871&lt;&gt;"",E3871&lt;&gt;"!!!"),"NEW","")))</f>
        <v> </v>
      </c>
      <c r="G3871" s="23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4" t="str">
        <f>IF(J3871&lt;&gt;1,"",IF(I3871="SBJ","CB","?"))</f>
        <v> </v>
      </c>
      <c r="I3871" s="25" t="str">
        <f>IF(OR(E3871="",E3871="!!!",F3871="NEW"),"",INDEX(B3870:B$2,-1+SUMPRODUCT(MAX(ROW(E3870:E$2)*(E3871=E3870:E$2)))))</f>
        <v> </v>
      </c>
      <c r="J3871" s="25" t="str">
        <f>IF(OR(E3871="",E3871="!!!",F3871="NEW"),"",COUNTBLANK(OFFSET(A$1,,,SUMPRODUCT(MAX(ROW(E$2:E3871)*(E3871=E$2:E3871)))))-COUNTBLANK(OFFSET(A$1,,,SUMPRODUCT(MAX(ROW(E$1:E3870)*(E2=E$1:E3870))))))</f>
        <v> </v>
      </c>
      <c r="K3871" s="25" t="str">
        <f>IF(OR(E3871="",E3871="!!!",F3871="NEW"),"",INDEX(J$1:J3870,SUMPRODUCT(MAX(ROW(E$1:E3870)*(E3871=E$1:E3870)))))</f>
        <v> </v>
      </c>
      <c r="L3871" s="26"/>
    </row>
    <row r="3872" spans="1:12">
      <c r="A3872" s="20" t="s">
        <v>1701</v>
      </c>
      <c r="B3872" s="27" t="s">
        <v>698</v>
      </c>
      <c r="C3872" s="27" t="s">
        <v>699</v>
      </c>
      <c r="E3872" s="21">
        <f>IF(D3872="?OLD","!!!","")</f>
        <v/>
      </c>
      <c r="F3872" s="22" t="str">
        <f>IF(OR(E3872="",E3872="!!!"),"",IF(NOT(ISNA(VLOOKUP(E3872,E$1:E3871,1,FALSE()))),"OLD",IF(AND(E3872&lt;&gt;"",E3872&lt;&gt;"!!!"),"NEW","")))</f>
        <v> </v>
      </c>
      <c r="G3872" s="23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4" t="str">
        <f>IF(J3872&lt;&gt;1,"",IF(I3872="SBJ","CB","?"))</f>
        <v> </v>
      </c>
      <c r="I3872" s="25" t="str">
        <f>IF(OR(E3872="",E3872="!!!",F3872="NEW"),"",INDEX(B3871:B$2,-1+SUMPRODUCT(MAX(ROW(E3871:E$2)*(E3872=E3871:E$2)))))</f>
        <v> </v>
      </c>
      <c r="J3872" s="25" t="str">
        <f>IF(OR(E3872="",E3872="!!!",F3872="NEW"),"",COUNTBLANK(OFFSET(A$1,,,SUMPRODUCT(MAX(ROW(E$2:E3872)*(E3872=E$2:E3872)))))-COUNTBLANK(OFFSET(A$1,,,SUMPRODUCT(MAX(ROW(E$1:E3871)*(E2=E$1:E3871))))))</f>
        <v> </v>
      </c>
      <c r="K3872" s="25" t="str">
        <f>IF(OR(E3872="",E3872="!!!",F3872="NEW"),"",INDEX(J$1:J3871,SUMPRODUCT(MAX(ROW(E$1:E3871)*(E3872=E$1:E3871)))))</f>
        <v> </v>
      </c>
      <c r="L3872" s="26"/>
    </row>
    <row r="3873" spans="1:12">
      <c r="A3873" s="20" t="s">
        <v>877</v>
      </c>
      <c r="E3873" s="21">
        <f>IF(D3873="?OLD","!!!","")</f>
        <v/>
      </c>
      <c r="F3873" s="22" t="str">
        <f>IF(OR(E3873="",E3873="!!!"),"",IF(NOT(ISNA(VLOOKUP(E3873,E$1:E3872,1,FALSE()))),"OLD",IF(AND(E3873&lt;&gt;"",E3873&lt;&gt;"!!!"),"NEW","")))</f>
        <v> </v>
      </c>
      <c r="G3873" s="23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4" t="str">
        <f>IF(J3873&lt;&gt;1,"",IF(I3873="SBJ","CB","?"))</f>
        <v> </v>
      </c>
      <c r="I3873" s="25" t="str">
        <f>IF(OR(E3873="",E3873="!!!",F3873="NEW"),"",INDEX(B3872:B$2,-1+SUMPRODUCT(MAX(ROW(E3872:E$2)*(E3873=E3872:E$2)))))</f>
        <v> </v>
      </c>
      <c r="J3873" s="25" t="str">
        <f>IF(OR(E3873="",E3873="!!!",F3873="NEW"),"",COUNTBLANK(OFFSET(A$1,,,SUMPRODUCT(MAX(ROW(E$2:E3873)*(E3873=E$2:E3873)))))-COUNTBLANK(OFFSET(A$1,,,SUMPRODUCT(MAX(ROW(E$1:E3872)*(E2=E$1:E3872))))))</f>
        <v> </v>
      </c>
      <c r="K3873" s="25" t="str">
        <f>IF(OR(E3873="",E3873="!!!",F3873="NEW"),"",INDEX(J$1:J3872,SUMPRODUCT(MAX(ROW(E$1:E3872)*(E3873=E$1:E3872)))))</f>
        <v> </v>
      </c>
      <c r="L3873" s="26"/>
    </row>
    <row r="3874" spans="1:12">
      <c r="A3874" s="20" t="s">
        <v>826</v>
      </c>
      <c r="E3874" s="21">
        <f>IF(D3874="?OLD","!!!","")</f>
        <v/>
      </c>
      <c r="F3874" s="22" t="str">
        <f>IF(OR(E3874="",E3874="!!!"),"",IF(NOT(ISNA(VLOOKUP(E3874,E$1:E3873,1,FALSE()))),"OLD",IF(AND(E3874&lt;&gt;"",E3874&lt;&gt;"!!!"),"NEW","")))</f>
        <v> </v>
      </c>
      <c r="G3874" s="23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4" t="str">
        <f>IF(J3874&lt;&gt;1,"",IF(I3874="SBJ","CB","?"))</f>
        <v> </v>
      </c>
      <c r="I3874" s="25" t="str">
        <f>IF(OR(E3874="",E3874="!!!",F3874="NEW"),"",INDEX(B3873:B$2,-1+SUMPRODUCT(MAX(ROW(E3873:E$2)*(E3874=E3873:E$2)))))</f>
        <v> </v>
      </c>
      <c r="J3874" s="25" t="str">
        <f>IF(OR(E3874="",E3874="!!!",F3874="NEW"),"",COUNTBLANK(OFFSET(A$1,,,SUMPRODUCT(MAX(ROW(E$2:E3874)*(E3874=E$2:E3874)))))-COUNTBLANK(OFFSET(A$1,,,SUMPRODUCT(MAX(ROW(E$1:E3873)*(E2=E$1:E3873))))))</f>
        <v> </v>
      </c>
      <c r="K3874" s="25" t="str">
        <f>IF(OR(E3874="",E3874="!!!",F3874="NEW"),"",INDEX(J$1:J3873,SUMPRODUCT(MAX(ROW(E$1:E3873)*(E3874=E$1:E3873)))))</f>
        <v> </v>
      </c>
      <c r="L3874" s="26"/>
    </row>
    <row r="3875" spans="1:12">
      <c r="A3875" s="20" t="s">
        <v>722</v>
      </c>
      <c r="E3875" s="21">
        <f>IF(D3875="?OLD","!!!","")</f>
        <v/>
      </c>
      <c r="F3875" s="22" t="str">
        <f>IF(OR(E3875="",E3875="!!!"),"",IF(NOT(ISNA(VLOOKUP(E3875,E$1:E3874,1,FALSE()))),"OLD",IF(AND(E3875&lt;&gt;"",E3875&lt;&gt;"!!!"),"NEW","")))</f>
        <v> </v>
      </c>
      <c r="G3875" s="23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4" t="str">
        <f>IF(J3875&lt;&gt;1,"",IF(I3875="SBJ","CB","?"))</f>
        <v> </v>
      </c>
      <c r="I3875" s="25" t="str">
        <f>IF(OR(E3875="",E3875="!!!",F3875="NEW"),"",INDEX(B3874:B$2,-1+SUMPRODUCT(MAX(ROW(E3874:E$2)*(E3875=E3874:E$2)))))</f>
        <v> </v>
      </c>
      <c r="J3875" s="25" t="str">
        <f>IF(OR(E3875="",E3875="!!!",F3875="NEW"),"",COUNTBLANK(OFFSET(A$1,,,SUMPRODUCT(MAX(ROW(E$2:E3875)*(E3875=E$2:E3875)))))-COUNTBLANK(OFFSET(A$1,,,SUMPRODUCT(MAX(ROW(E$1:E3874)*(E2=E$1:E3874))))))</f>
        <v> </v>
      </c>
      <c r="K3875" s="25" t="str">
        <f>IF(OR(E3875="",E3875="!!!",F3875="NEW"),"",INDEX(J$1:J3874,SUMPRODUCT(MAX(ROW(E$1:E3874)*(E3875=E$1:E3874)))))</f>
        <v> </v>
      </c>
      <c r="L3875" s="26"/>
    </row>
    <row r="3876" spans="1:12">
      <c r="A3876" s="20" t="s">
        <v>1702</v>
      </c>
      <c r="E3876" s="21">
        <f>IF(D3876="?OLD","!!!","")</f>
        <v/>
      </c>
      <c r="F3876" s="22" t="str">
        <f>IF(OR(E3876="",E3876="!!!"),"",IF(NOT(ISNA(VLOOKUP(E3876,E$1:E3875,1,FALSE()))),"OLD",IF(AND(E3876&lt;&gt;"",E3876&lt;&gt;"!!!"),"NEW","")))</f>
        <v> </v>
      </c>
      <c r="G3876" s="23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4" t="str">
        <f>IF(J3876&lt;&gt;1,"",IF(I3876="SBJ","CB","?"))</f>
        <v> </v>
      </c>
      <c r="I3876" s="25" t="str">
        <f>IF(OR(E3876="",E3876="!!!",F3876="NEW"),"",INDEX(B3875:B$2,-1+SUMPRODUCT(MAX(ROW(E3875:E$2)*(E3876=E3875:E$2)))))</f>
        <v> </v>
      </c>
      <c r="J3876" s="25" t="str">
        <f>IF(OR(E3876="",E3876="!!!",F3876="NEW"),"",COUNTBLANK(OFFSET(A$1,,,SUMPRODUCT(MAX(ROW(E$2:E3876)*(E3876=E$2:E3876)))))-COUNTBLANK(OFFSET(A$1,,,SUMPRODUCT(MAX(ROW(E$1:E3875)*(E2=E$1:E3875))))))</f>
        <v> </v>
      </c>
      <c r="K3876" s="25" t="str">
        <f>IF(OR(E3876="",E3876="!!!",F3876="NEW"),"",INDEX(J$1:J3875,SUMPRODUCT(MAX(ROW(E$1:E3875)*(E3876=E$1:E3875)))))</f>
        <v> </v>
      </c>
      <c r="L3876" s="26"/>
    </row>
    <row r="3877" spans="1:12">
      <c r="A3877" s="20" t="s">
        <v>696</v>
      </c>
      <c r="E3877" s="21">
        <f>IF(D3877="?OLD","!!!","")</f>
        <v/>
      </c>
      <c r="F3877" s="22" t="str">
        <f>IF(OR(E3877="",E3877="!!!"),"",IF(NOT(ISNA(VLOOKUP(E3877,E$1:E3876,1,FALSE()))),"OLD",IF(AND(E3877&lt;&gt;"",E3877&lt;&gt;"!!!"),"NEW","")))</f>
        <v> </v>
      </c>
      <c r="G3877" s="23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4" t="str">
        <f>IF(J3877&lt;&gt;1,"",IF(I3877="SBJ","CB","?"))</f>
        <v> </v>
      </c>
      <c r="I3877" s="25" t="str">
        <f>IF(OR(E3877="",E3877="!!!",F3877="NEW"),"",INDEX(B3876:B$2,-1+SUMPRODUCT(MAX(ROW(E3876:E$2)*(E3877=E3876:E$2)))))</f>
        <v> </v>
      </c>
      <c r="J3877" s="25" t="str">
        <f>IF(OR(E3877="",E3877="!!!",F3877="NEW"),"",COUNTBLANK(OFFSET(A$1,,,SUMPRODUCT(MAX(ROW(E$2:E3877)*(E3877=E$2:E3877)))))-COUNTBLANK(OFFSET(A$1,,,SUMPRODUCT(MAX(ROW(E$1:E3876)*(E2=E$1:E3876))))))</f>
        <v> </v>
      </c>
      <c r="K3877" s="25" t="str">
        <f>IF(OR(E3877="",E3877="!!!",F3877="NEW"),"",INDEX(J$1:J3876,SUMPRODUCT(MAX(ROW(E$1:E3876)*(E3877=E$1:E3876)))))</f>
        <v> </v>
      </c>
      <c r="L3877" s="26"/>
    </row>
    <row r="3878" spans="1:12">
      <c r="A3878" s="20" t="s">
        <v>804</v>
      </c>
      <c r="E3878" s="21">
        <f>IF(D3878="?OLD","!!!","")</f>
        <v/>
      </c>
      <c r="F3878" s="22" t="str">
        <f>IF(OR(E3878="",E3878="!!!"),"",IF(NOT(ISNA(VLOOKUP(E3878,E$1:E3877,1,FALSE()))),"OLD",IF(AND(E3878&lt;&gt;"",E3878&lt;&gt;"!!!"),"NEW","")))</f>
        <v> </v>
      </c>
      <c r="G3878" s="23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4" t="str">
        <f>IF(J3878&lt;&gt;1,"",IF(I3878="SBJ","CB","?"))</f>
        <v> </v>
      </c>
      <c r="I3878" s="25" t="str">
        <f>IF(OR(E3878="",E3878="!!!",F3878="NEW"),"",INDEX(B3877:B$2,-1+SUMPRODUCT(MAX(ROW(E3877:E$2)*(E3878=E3877:E$2)))))</f>
        <v> </v>
      </c>
      <c r="J3878" s="25" t="str">
        <f>IF(OR(E3878="",E3878="!!!",F3878="NEW"),"",COUNTBLANK(OFFSET(A$1,,,SUMPRODUCT(MAX(ROW(E$2:E3878)*(E3878=E$2:E3878)))))-COUNTBLANK(OFFSET(A$1,,,SUMPRODUCT(MAX(ROW(E$1:E3877)*(E2=E$1:E3877))))))</f>
        <v> </v>
      </c>
      <c r="K3878" s="25" t="str">
        <f>IF(OR(E3878="",E3878="!!!",F3878="NEW"),"",INDEX(J$1:J3877,SUMPRODUCT(MAX(ROW(E$1:E3877)*(E3878=E$1:E3877)))))</f>
        <v> </v>
      </c>
      <c r="L3878" s="26"/>
    </row>
    <row r="3879" spans="1:12">
      <c r="A3879" s="20" t="s">
        <v>1703</v>
      </c>
      <c r="E3879" s="21">
        <f>IF(D3879="?OLD","!!!","")</f>
        <v/>
      </c>
      <c r="F3879" s="22" t="str">
        <f>IF(OR(E3879="",E3879="!!!"),"",IF(NOT(ISNA(VLOOKUP(E3879,E$1:E3878,1,FALSE()))),"OLD",IF(AND(E3879&lt;&gt;"",E3879&lt;&gt;"!!!"),"NEW","")))</f>
        <v> </v>
      </c>
      <c r="G3879" s="23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4" t="str">
        <f>IF(J3879&lt;&gt;1,"",IF(I3879="SBJ","CB","?"))</f>
        <v> </v>
      </c>
      <c r="I3879" s="25" t="str">
        <f>IF(OR(E3879="",E3879="!!!",F3879="NEW"),"",INDEX(B3878:B$2,-1+SUMPRODUCT(MAX(ROW(E3878:E$2)*(E3879=E3878:E$2)))))</f>
        <v> </v>
      </c>
      <c r="J3879" s="25" t="str">
        <f>IF(OR(E3879="",E3879="!!!",F3879="NEW"),"",COUNTBLANK(OFFSET(A$1,,,SUMPRODUCT(MAX(ROW(E$2:E3879)*(E3879=E$2:E3879)))))-COUNTBLANK(OFFSET(A$1,,,SUMPRODUCT(MAX(ROW(E$1:E3878)*(E2=E$1:E3878))))))</f>
        <v> </v>
      </c>
      <c r="K3879" s="25" t="str">
        <f>IF(OR(E3879="",E3879="!!!",F3879="NEW"),"",INDEX(J$1:J3878,SUMPRODUCT(MAX(ROW(E$1:E3878)*(E3879=E$1:E3878)))))</f>
        <v> </v>
      </c>
      <c r="L3879" s="26"/>
    </row>
    <row r="3880" spans="1:12">
      <c r="A3880" s="20" t="s">
        <v>730</v>
      </c>
      <c r="E3880" s="21">
        <f>IF(D3880="?OLD","!!!","")</f>
        <v/>
      </c>
      <c r="F3880" s="22" t="str">
        <f>IF(OR(E3880="",E3880="!!!"),"",IF(NOT(ISNA(VLOOKUP(E3880,E$1:E3879,1,FALSE()))),"OLD",IF(AND(E3880&lt;&gt;"",E3880&lt;&gt;"!!!"),"NEW","")))</f>
        <v> </v>
      </c>
      <c r="G3880" s="23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4" t="str">
        <f>IF(J3880&lt;&gt;1,"",IF(I3880="SBJ","CB","?"))</f>
        <v> </v>
      </c>
      <c r="I3880" s="25" t="str">
        <f>IF(OR(E3880="",E3880="!!!",F3880="NEW"),"",INDEX(B3879:B$2,-1+SUMPRODUCT(MAX(ROW(E3879:E$2)*(E3880=E3879:E$2)))))</f>
        <v> </v>
      </c>
      <c r="J3880" s="25" t="str">
        <f>IF(OR(E3880="",E3880="!!!",F3880="NEW"),"",COUNTBLANK(OFFSET(A$1,,,SUMPRODUCT(MAX(ROW(E$2:E3880)*(E3880=E$2:E3880)))))-COUNTBLANK(OFFSET(A$1,,,SUMPRODUCT(MAX(ROW(E$1:E3879)*(E2=E$1:E3879))))))</f>
        <v> </v>
      </c>
      <c r="K3880" s="25" t="str">
        <f>IF(OR(E3880="",E3880="!!!",F3880="NEW"),"",INDEX(J$1:J3879,SUMPRODUCT(MAX(ROW(E$1:E3879)*(E3880=E$1:E3879)))))</f>
        <v> </v>
      </c>
      <c r="L3880" s="26"/>
    </row>
    <row r="3881" spans="1:12">
      <c r="A3881" s="20" t="s">
        <v>791</v>
      </c>
      <c r="E3881" s="21">
        <f>IF(D3881="?OLD","!!!","")</f>
        <v/>
      </c>
      <c r="F3881" s="22" t="str">
        <f>IF(OR(E3881="",E3881="!!!"),"",IF(NOT(ISNA(VLOOKUP(E3881,E$1:E3880,1,FALSE()))),"OLD",IF(AND(E3881&lt;&gt;"",E3881&lt;&gt;"!!!"),"NEW","")))</f>
        <v> </v>
      </c>
      <c r="G3881" s="23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4" t="str">
        <f>IF(J3881&lt;&gt;1,"",IF(I3881="SBJ","CB","?"))</f>
        <v> </v>
      </c>
      <c r="I3881" s="25" t="str">
        <f>IF(OR(E3881="",E3881="!!!",F3881="NEW"),"",INDEX(B3880:B$2,-1+SUMPRODUCT(MAX(ROW(E3880:E$2)*(E3881=E3880:E$2)))))</f>
        <v> </v>
      </c>
      <c r="J3881" s="25" t="str">
        <f>IF(OR(E3881="",E3881="!!!",F3881="NEW"),"",COUNTBLANK(OFFSET(A$1,,,SUMPRODUCT(MAX(ROW(E$2:E3881)*(E3881=E$2:E3881)))))-COUNTBLANK(OFFSET(A$1,,,SUMPRODUCT(MAX(ROW(E$1:E3880)*(E2=E$1:E3880))))))</f>
        <v> </v>
      </c>
      <c r="K3881" s="25" t="str">
        <f>IF(OR(E3881="",E3881="!!!",F3881="NEW"),"",INDEX(J$1:J3880,SUMPRODUCT(MAX(ROW(E$1:E3880)*(E3881=E$1:E3880)))))</f>
        <v> </v>
      </c>
      <c r="L3881" s="26"/>
    </row>
    <row r="3882" spans="1:12">
      <c r="A3882" s="20" t="s">
        <v>1703</v>
      </c>
      <c r="E3882" s="21">
        <f>IF(D3882="?OLD","!!!","")</f>
        <v/>
      </c>
      <c r="F3882" s="22" t="str">
        <f>IF(OR(E3882="",E3882="!!!"),"",IF(NOT(ISNA(VLOOKUP(E3882,E$1:E3881,1,FALSE()))),"OLD",IF(AND(E3882&lt;&gt;"",E3882&lt;&gt;"!!!"),"NEW","")))</f>
        <v> </v>
      </c>
      <c r="G3882" s="23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4" t="str">
        <f>IF(J3882&lt;&gt;1,"",IF(I3882="SBJ","CB","?"))</f>
        <v> </v>
      </c>
      <c r="I3882" s="25" t="str">
        <f>IF(OR(E3882="",E3882="!!!",F3882="NEW"),"",INDEX(B3881:B$2,-1+SUMPRODUCT(MAX(ROW(E3881:E$2)*(E3882=E3881:E$2)))))</f>
        <v> </v>
      </c>
      <c r="J3882" s="25" t="str">
        <f>IF(OR(E3882="",E3882="!!!",F3882="NEW"),"",COUNTBLANK(OFFSET(A$1,,,SUMPRODUCT(MAX(ROW(E$2:E3882)*(E3882=E$2:E3882)))))-COUNTBLANK(OFFSET(A$1,,,SUMPRODUCT(MAX(ROW(E$1:E3881)*(E2=E$1:E3881))))))</f>
        <v> </v>
      </c>
      <c r="K3882" s="25" t="str">
        <f>IF(OR(E3882="",E3882="!!!",F3882="NEW"),"",INDEX(J$1:J3881,SUMPRODUCT(MAX(ROW(E$1:E3881)*(E3882=E$1:E3881)))))</f>
        <v> </v>
      </c>
      <c r="L3882" s="26"/>
    </row>
    <row r="3883" spans="1:12">
      <c r="A3883" s="20" t="s">
        <v>701</v>
      </c>
      <c r="E3883" s="21">
        <f>IF(D3883="?OLD","!!!","")</f>
        <v/>
      </c>
      <c r="F3883" s="22" t="str">
        <f>IF(OR(E3883="",E3883="!!!"),"",IF(NOT(ISNA(VLOOKUP(E3883,E$1:E3882,1,FALSE()))),"OLD",IF(AND(E3883&lt;&gt;"",E3883&lt;&gt;"!!!"),"NEW","")))</f>
        <v> </v>
      </c>
      <c r="G3883" s="23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4" t="str">
        <f>IF(J3883&lt;&gt;1,"",IF(I3883="SBJ","CB","?"))</f>
        <v> </v>
      </c>
      <c r="I3883" s="25" t="str">
        <f>IF(OR(E3883="",E3883="!!!",F3883="NEW"),"",INDEX(B3882:B$2,-1+SUMPRODUCT(MAX(ROW(E3882:E$2)*(E3883=E3882:E$2)))))</f>
        <v> </v>
      </c>
      <c r="J3883" s="25" t="str">
        <f>IF(OR(E3883="",E3883="!!!",F3883="NEW"),"",COUNTBLANK(OFFSET(A$1,,,SUMPRODUCT(MAX(ROW(E$2:E3883)*(E3883=E$2:E3883)))))-COUNTBLANK(OFFSET(A$1,,,SUMPRODUCT(MAX(ROW(E$1:E3882)*(E2=E$1:E3882))))))</f>
        <v> </v>
      </c>
      <c r="K3883" s="25" t="str">
        <f>IF(OR(E3883="",E3883="!!!",F3883="NEW"),"",INDEX(J$1:J3882,SUMPRODUCT(MAX(ROW(E$1:E3882)*(E3883=E$1:E3882)))))</f>
        <v> </v>
      </c>
      <c r="L3883" s="26"/>
    </row>
    <row r="3884" spans="1:12">
      <c r="A3884" s="20" t="s">
        <v>219</v>
      </c>
      <c r="E3884" s="21">
        <f>IF(D3884="?OLD","!!!","")</f>
        <v/>
      </c>
      <c r="F3884" s="22" t="str">
        <f>IF(OR(E3884="",E3884="!!!"),"",IF(NOT(ISNA(VLOOKUP(E3884,E$1:E3883,1,FALSE()))),"OLD",IF(AND(E3884&lt;&gt;"",E3884&lt;&gt;"!!!"),"NEW","")))</f>
        <v> </v>
      </c>
      <c r="G3884" s="23" t="str">
        <f>IF(OR(E3884="",E3884="!!!"),"",IF(OR(J3884=0,AND(J3884=1,K3884=1),AND(J3884=1,I3884="SBJ"),AND(J3884=1,I3884=0)),"?IN_FOCUS",IF(J3884&lt;=2,"?ACTIVATED",IF(J3884&lt;&gt;"","?FAMILIAR",IF(F3884="NEW",IF(ISNA(VLOOKUP(E3884,#REF!,1,FALSE())),"?TYPE_IDENTIFIABLE","?REFERENTIAL"),"_")))))</f>
        <v> </v>
      </c>
      <c r="H3884" s="24" t="str">
        <f>IF(J3884&lt;&gt;1,"",IF(I3884="SBJ","CB","?"))</f>
        <v> </v>
      </c>
      <c r="I3884" s="25" t="str">
        <f>IF(OR(E3884="",E3884="!!!",F3884="NEW"),"",INDEX(B3883:B$2,-1+SUMPRODUCT(MAX(ROW(E3883:E$2)*(E3884=E3883:E$2)))))</f>
        <v> </v>
      </c>
      <c r="J3884" s="25" t="str">
        <f>IF(OR(E3884="",E3884="!!!",F3884="NEW"),"",COUNTBLANK(OFFSET(A$1,,,SUMPRODUCT(MAX(ROW(E$2:E3884)*(E3884=E$2:E3884)))))-COUNTBLANK(OFFSET(A$1,,,SUMPRODUCT(MAX(ROW(E$1:E3883)*(E2=E$1:E3883))))))</f>
        <v> </v>
      </c>
      <c r="K3884" s="25" t="str">
        <f>IF(OR(E3884="",E3884="!!!",F3884="NEW"),"",INDEX(J$1:J3883,SUMPRODUCT(MAX(ROW(E$1:E3883)*(E3884=E$1:E3883)))))</f>
        <v> </v>
      </c>
      <c r="L3884" s="26"/>
    </row>
    <row r="3885" spans="1:12">
      <c r="A3885" s="20" t="s">
        <v>240</v>
      </c>
      <c r="B3885" s="27" t="s">
        <v>758</v>
      </c>
      <c r="C3885" s="27" t="s">
        <v>693</v>
      </c>
      <c r="D3885" s="27" t="s">
        <v>694</v>
      </c>
      <c r="E3885" s="21">
        <f>IF(D3885="?OLD","!!!","")</f>
        <v/>
      </c>
      <c r="F3885" s="22" t="str">
        <f>IF(OR(E3885="",E3885="!!!"),"",IF(NOT(ISNA(VLOOKUP(E3885,E$1:E3884,1,FALSE()))),"OLD",IF(AND(E3885&lt;&gt;"",E3885&lt;&gt;"!!!"),"NEW","")))</f>
        <v> </v>
      </c>
      <c r="G3885" s="23" t="str">
        <f>IF(OR(E3885="",E3885="!!!"),"",IF(OR(J3885=0,AND(J3885=1,K3885=1),AND(J3885=1,I3885="SBJ"),AND(J3885=1,I3885=0)),"?IN_FOCUS",IF(J3885&lt;=2,"?ACTIVATED",IF(J3885&lt;&gt;"","?FAMILIAR",IF(F3885="NEW",IF(ISNA(VLOOKUP(E3885,#REF!,1,FALSE())),"?TYPE_IDENTIFIABLE","?REFERENTIAL"),"_")))))</f>
        <v> </v>
      </c>
      <c r="H3885" s="24" t="str">
        <f>IF(J3885&lt;&gt;1,"",IF(I3885="SBJ","CB","?"))</f>
        <v> </v>
      </c>
      <c r="I3885" s="25" t="str">
        <f>IF(OR(E3885="",E3885="!!!",F3885="NEW"),"",INDEX(B3884:B$2,-1+SUMPRODUCT(MAX(ROW(E3884:E$2)*(E3885=E3884:E$2)))))</f>
        <v> </v>
      </c>
      <c r="J3885" s="25" t="str">
        <f>IF(OR(E3885="",E3885="!!!",F3885="NEW"),"",COUNTBLANK(OFFSET(A$1,,,SUMPRODUCT(MAX(ROW(E$2:E3885)*(E3885=E$2:E3885)))))-COUNTBLANK(OFFSET(A$1,,,SUMPRODUCT(MAX(ROW(E$1:E3884)*(E2=E$1:E3884))))))</f>
        <v> </v>
      </c>
      <c r="K3885" s="25" t="str">
        <f>IF(OR(E3885="",E3885="!!!",F3885="NEW"),"",INDEX(J$1:J3884,SUMPRODUCT(MAX(ROW(E$1:E3884)*(E3885=E$1:E3884)))))</f>
        <v> </v>
      </c>
      <c r="L3885" s="26"/>
    </row>
    <row r="3886" spans="1:12">
      <c r="A3886" s="20" t="s">
        <v>712</v>
      </c>
      <c r="B3886" s="27" t="s">
        <v>797</v>
      </c>
      <c r="E3886" s="21">
        <f>IF(D3886="?OLD","!!!","")</f>
        <v/>
      </c>
      <c r="F3886" s="22" t="str">
        <f>IF(OR(E3886="",E3886="!!!"),"",IF(NOT(ISNA(VLOOKUP(E3886,E$1:E3885,1,FALSE()))),"OLD",IF(AND(E3886&lt;&gt;"",E3886&lt;&gt;"!!!"),"NEW","")))</f>
        <v> </v>
      </c>
      <c r="G3886" s="23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4" t="str">
        <f>IF(J3886&lt;&gt;1,"",IF(I3886="SBJ","CB","?"))</f>
        <v> </v>
      </c>
      <c r="I3886" s="25" t="str">
        <f>IF(OR(E3886="",E3886="!!!",F3886="NEW"),"",INDEX(B3885:B$2,-1+SUMPRODUCT(MAX(ROW(E3885:E$2)*(E3886=E3885:E$2)))))</f>
        <v> </v>
      </c>
      <c r="J3886" s="25" t="str">
        <f>IF(OR(E3886="",E3886="!!!",F3886="NEW"),"",COUNTBLANK(OFFSET(A$1,,,SUMPRODUCT(MAX(ROW(E$2:E3886)*(E3886=E$2:E3886)))))-COUNTBLANK(OFFSET(A$1,,,SUMPRODUCT(MAX(ROW(E$1:E3885)*(E2=E$1:E3885))))))</f>
        <v> </v>
      </c>
      <c r="K3886" s="25" t="str">
        <f>IF(OR(E3886="",E3886="!!!",F3886="NEW"),"",INDEX(J$1:J3885,SUMPRODUCT(MAX(ROW(E$1:E3885)*(E3886=E$1:E3885)))))</f>
        <v> </v>
      </c>
      <c r="L3886" s="26"/>
    </row>
    <row r="3887" spans="1:12">
      <c r="A3887" s="20" t="s">
        <v>984</v>
      </c>
      <c r="E3887" s="21">
        <f>IF(D3887="?OLD","!!!","")</f>
        <v/>
      </c>
      <c r="F3887" s="22" t="str">
        <f>IF(OR(E3887="",E3887="!!!"),"",IF(NOT(ISNA(VLOOKUP(E3887,E$1:E3886,1,FALSE()))),"OLD",IF(AND(E3887&lt;&gt;"",E3887&lt;&gt;"!!!"),"NEW","")))</f>
        <v> </v>
      </c>
      <c r="G3887" s="23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4" t="str">
        <f>IF(J3887&lt;&gt;1,"",IF(I3887="SBJ","CB","?"))</f>
        <v> </v>
      </c>
      <c r="I3887" s="25" t="str">
        <f>IF(OR(E3887="",E3887="!!!",F3887="NEW"),"",INDEX(B3886:B$2,-1+SUMPRODUCT(MAX(ROW(E3886:E$2)*(E3887=E3886:E$2)))))</f>
        <v> </v>
      </c>
      <c r="J3887" s="25" t="str">
        <f>IF(OR(E3887="",E3887="!!!",F3887="NEW"),"",COUNTBLANK(OFFSET(A$1,,,SUMPRODUCT(MAX(ROW(E$2:E3887)*(E3887=E$2:E3887)))))-COUNTBLANK(OFFSET(A$1,,,SUMPRODUCT(MAX(ROW(E$1:E3886)*(E2=E$1:E3886))))))</f>
        <v> </v>
      </c>
      <c r="K3887" s="25" t="str">
        <f>IF(OR(E3887="",E3887="!!!",F3887="NEW"),"",INDEX(J$1:J3886,SUMPRODUCT(MAX(ROW(E$1:E3886)*(E3887=E$1:E3886)))))</f>
        <v> </v>
      </c>
      <c r="L3887" s="26"/>
    </row>
    <row r="3888" spans="1:12">
      <c r="A3888" s="20" t="s">
        <v>868</v>
      </c>
      <c r="E3888" s="21">
        <f>IF(D3888="?OLD","!!!","")</f>
        <v/>
      </c>
      <c r="F3888" s="22" t="str">
        <f>IF(OR(E3888="",E3888="!!!"),"",IF(NOT(ISNA(VLOOKUP(E3888,E$1:E3887,1,FALSE()))),"OLD",IF(AND(E3888&lt;&gt;"",E3888&lt;&gt;"!!!"),"NEW","")))</f>
        <v> </v>
      </c>
      <c r="G3888" s="23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4" t="str">
        <f>IF(J3888&lt;&gt;1,"",IF(I3888="SBJ","CB","?"))</f>
        <v> </v>
      </c>
      <c r="I3888" s="25" t="str">
        <f>IF(OR(E3888="",E3888="!!!",F3888="NEW"),"",INDEX(B3887:B$2,-1+SUMPRODUCT(MAX(ROW(E3887:E$2)*(E3888=E3887:E$2)))))</f>
        <v> </v>
      </c>
      <c r="J3888" s="25" t="str">
        <f>IF(OR(E3888="",E3888="!!!",F3888="NEW"),"",COUNTBLANK(OFFSET(A$1,,,SUMPRODUCT(MAX(ROW(E$2:E3888)*(E3888=E$2:E3888)))))-COUNTBLANK(OFFSET(A$1,,,SUMPRODUCT(MAX(ROW(E$1:E3887)*(E2=E$1:E3887))))))</f>
        <v> </v>
      </c>
      <c r="K3888" s="25" t="str">
        <f>IF(OR(E3888="",E3888="!!!",F3888="NEW"),"",INDEX(J$1:J3887,SUMPRODUCT(MAX(ROW(E$1:E3887)*(E3888=E$1:E3887)))))</f>
        <v> </v>
      </c>
      <c r="L3888" s="26"/>
    </row>
    <row r="3889" spans="1:12">
      <c r="A3889" s="20" t="s">
        <v>701</v>
      </c>
      <c r="E3889" s="21">
        <f>IF(D3889="?OLD","!!!","")</f>
        <v/>
      </c>
      <c r="F3889" s="22" t="str">
        <f>IF(OR(E3889="",E3889="!!!"),"",IF(NOT(ISNA(VLOOKUP(E3889,E$1:E3888,1,FALSE()))),"OLD",IF(AND(E3889&lt;&gt;"",E3889&lt;&gt;"!!!"),"NEW","")))</f>
        <v> </v>
      </c>
      <c r="G3889" s="23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4" t="str">
        <f>IF(J3889&lt;&gt;1,"",IF(I3889="SBJ","CB","?"))</f>
        <v> </v>
      </c>
      <c r="I3889" s="25" t="str">
        <f>IF(OR(E3889="",E3889="!!!",F3889="NEW"),"",INDEX(B3888:B$2,-1+SUMPRODUCT(MAX(ROW(E3888:E$2)*(E3889=E3888:E$2)))))</f>
        <v> </v>
      </c>
      <c r="J3889" s="25" t="str">
        <f>IF(OR(E3889="",E3889="!!!",F3889="NEW"),"",COUNTBLANK(OFFSET(A$1,,,SUMPRODUCT(MAX(ROW(E$2:E3889)*(E3889=E$2:E3889)))))-COUNTBLANK(OFFSET(A$1,,,SUMPRODUCT(MAX(ROW(E$1:E3888)*(E2=E$1:E3888))))))</f>
        <v> </v>
      </c>
      <c r="K3889" s="25" t="str">
        <f>IF(OR(E3889="",E3889="!!!",F3889="NEW"),"",INDEX(J$1:J3888,SUMPRODUCT(MAX(ROW(E$1:E3888)*(E3889=E$1:E3888)))))</f>
        <v> </v>
      </c>
      <c r="L3889" s="26"/>
    </row>
    <row r="3890" spans="1:12">
      <c r="A3890" s="20" t="s">
        <v>219</v>
      </c>
      <c r="E3890" s="21">
        <f>IF(D3890="?OLD","!!!","")</f>
        <v/>
      </c>
      <c r="F3890" s="22" t="str">
        <f>IF(OR(E3890="",E3890="!!!"),"",IF(NOT(ISNA(VLOOKUP(E3890,E$1:E3889,1,FALSE()))),"OLD",IF(AND(E3890&lt;&gt;"",E3890&lt;&gt;"!!!"),"NEW","")))</f>
        <v> </v>
      </c>
      <c r="G3890" s="23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4" t="str">
        <f>IF(J3890&lt;&gt;1,"",IF(I3890="SBJ","CB","?"))</f>
        <v> </v>
      </c>
      <c r="I3890" s="25" t="str">
        <f>IF(OR(E3890="",E3890="!!!",F3890="NEW"),"",INDEX(B3889:B$2,-1+SUMPRODUCT(MAX(ROW(E3889:E$2)*(E3890=E3889:E$2)))))</f>
        <v> </v>
      </c>
      <c r="J3890" s="25" t="str">
        <f>IF(OR(E3890="",E3890="!!!",F3890="NEW"),"",COUNTBLANK(OFFSET(A$1,,,SUMPRODUCT(MAX(ROW(E$2:E3890)*(E3890=E$2:E3890)))))-COUNTBLANK(OFFSET(A$1,,,SUMPRODUCT(MAX(ROW(E$1:E3889)*(E2=E$1:E3889))))))</f>
        <v> </v>
      </c>
      <c r="K3890" s="25" t="str">
        <f>IF(OR(E3890="",E3890="!!!",F3890="NEW"),"",INDEX(J$1:J3889,SUMPRODUCT(MAX(ROW(E$1:E3889)*(E3890=E$1:E3889)))))</f>
        <v> </v>
      </c>
      <c r="L3890" s="26"/>
    </row>
    <row r="3891" spans="1:12">
      <c r="A3891" s="20" t="s">
        <v>240</v>
      </c>
      <c r="B3891" s="27" t="s">
        <v>798</v>
      </c>
      <c r="C3891" s="27" t="s">
        <v>693</v>
      </c>
      <c r="D3891" s="27" t="s">
        <v>694</v>
      </c>
      <c r="E3891" s="21">
        <f>IF(D3891="?OLD","!!!","")</f>
        <v/>
      </c>
      <c r="F3891" s="22" t="str">
        <f>IF(OR(E3891="",E3891="!!!"),"",IF(NOT(ISNA(VLOOKUP(E3891,E$1:E3890,1,FALSE()))),"OLD",IF(AND(E3891&lt;&gt;"",E3891&lt;&gt;"!!!"),"NEW","")))</f>
        <v> </v>
      </c>
      <c r="G3891" s="23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4" t="str">
        <f>IF(J3891&lt;&gt;1,"",IF(I3891="SBJ","CB","?"))</f>
        <v> </v>
      </c>
      <c r="I3891" s="25" t="str">
        <f>IF(OR(E3891="",E3891="!!!",F3891="NEW"),"",INDEX(B3890:B$2,-1+SUMPRODUCT(MAX(ROW(E3890:E$2)*(E3891=E3890:E$2)))))</f>
        <v> </v>
      </c>
      <c r="J3891" s="25" t="str">
        <f>IF(OR(E3891="",E3891="!!!",F3891="NEW"),"",COUNTBLANK(OFFSET(A$1,,,SUMPRODUCT(MAX(ROW(E$2:E3891)*(E3891=E$2:E3891)))))-COUNTBLANK(OFFSET(A$1,,,SUMPRODUCT(MAX(ROW(E$1:E3890)*(E2=E$1:E3890))))))</f>
        <v> </v>
      </c>
      <c r="K3891" s="25" t="str">
        <f>IF(OR(E3891="",E3891="!!!",F3891="NEW"),"",INDEX(J$1:J3890,SUMPRODUCT(MAX(ROW(E$1:E3890)*(E3891=E$1:E3890)))))</f>
        <v> </v>
      </c>
      <c r="L3891" s="26"/>
    </row>
    <row r="3892" spans="1:12">
      <c r="A3892" s="20" t="s">
        <v>712</v>
      </c>
      <c r="B3892" s="27" t="s">
        <v>1004</v>
      </c>
      <c r="E3892" s="21">
        <f>IF(D3892="?OLD","!!!","")</f>
        <v/>
      </c>
      <c r="F3892" s="22" t="str">
        <f>IF(OR(E3892="",E3892="!!!"),"",IF(NOT(ISNA(VLOOKUP(E3892,E$1:E3891,1,FALSE()))),"OLD",IF(AND(E3892&lt;&gt;"",E3892&lt;&gt;"!!!"),"NEW","")))</f>
        <v> </v>
      </c>
      <c r="G3892" s="23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4" t="str">
        <f>IF(J3892&lt;&gt;1,"",IF(I3892="SBJ","CB","?"))</f>
        <v> </v>
      </c>
      <c r="I3892" s="25" t="str">
        <f>IF(OR(E3892="",E3892="!!!",F3892="NEW"),"",INDEX(B3891:B$2,-1+SUMPRODUCT(MAX(ROW(E3891:E$2)*(E3892=E3891:E$2)))))</f>
        <v> </v>
      </c>
      <c r="J3892" s="25" t="str">
        <f>IF(OR(E3892="",E3892="!!!",F3892="NEW"),"",COUNTBLANK(OFFSET(A$1,,,SUMPRODUCT(MAX(ROW(E$2:E3892)*(E3892=E$2:E3892)))))-COUNTBLANK(OFFSET(A$1,,,SUMPRODUCT(MAX(ROW(E$1:E3891)*(E2=E$1:E3891))))))</f>
        <v> </v>
      </c>
      <c r="K3892" s="25" t="str">
        <f>IF(OR(E3892="",E3892="!!!",F3892="NEW"),"",INDEX(J$1:J3891,SUMPRODUCT(MAX(ROW(E$1:E3891)*(E3892=E$1:E3891)))))</f>
        <v> </v>
      </c>
      <c r="L3892" s="26"/>
    </row>
    <row r="3893" spans="1:12">
      <c r="A3893" s="20" t="s">
        <v>966</v>
      </c>
      <c r="E3893" s="21">
        <f>IF(D3893="?OLD","!!!","")</f>
        <v/>
      </c>
      <c r="F3893" s="22" t="str">
        <f>IF(OR(E3893="",E3893="!!!"),"",IF(NOT(ISNA(VLOOKUP(E3893,E$1:E3892,1,FALSE()))),"OLD",IF(AND(E3893&lt;&gt;"",E3893&lt;&gt;"!!!"),"NEW","")))</f>
        <v> </v>
      </c>
      <c r="G3893" s="23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4" t="str">
        <f>IF(J3893&lt;&gt;1,"",IF(I3893="SBJ","CB","?"))</f>
        <v> </v>
      </c>
      <c r="I3893" s="25" t="str">
        <f>IF(OR(E3893="",E3893="!!!",F3893="NEW"),"",INDEX(B3892:B$2,-1+SUMPRODUCT(MAX(ROW(E3892:E$2)*(E3893=E3892:E$2)))))</f>
        <v> </v>
      </c>
      <c r="J3893" s="25" t="str">
        <f>IF(OR(E3893="",E3893="!!!",F3893="NEW"),"",COUNTBLANK(OFFSET(A$1,,,SUMPRODUCT(MAX(ROW(E$2:E3893)*(E3893=E$2:E3893)))))-COUNTBLANK(OFFSET(A$1,,,SUMPRODUCT(MAX(ROW(E$1:E3892)*(E2=E$1:E3892))))))</f>
        <v> </v>
      </c>
      <c r="K3893" s="25" t="str">
        <f>IF(OR(E3893="",E3893="!!!",F3893="NEW"),"",INDEX(J$1:J3892,SUMPRODUCT(MAX(ROW(E$1:E3892)*(E3893=E$1:E3892)))))</f>
        <v> </v>
      </c>
      <c r="L3893" s="26"/>
    </row>
    <row r="3894" spans="1:12">
      <c r="A3894" s="20" t="s">
        <v>690</v>
      </c>
      <c r="E3894" s="21">
        <f>IF(D3894="?OLD","!!!","")</f>
        <v/>
      </c>
      <c r="F3894" s="22" t="str">
        <f>IF(OR(E3894="",E3894="!!!"),"",IF(NOT(ISNA(VLOOKUP(E3894,E$1:E3893,1,FALSE()))),"OLD",IF(AND(E3894&lt;&gt;"",E3894&lt;&gt;"!!!"),"NEW","")))</f>
        <v> </v>
      </c>
      <c r="G3894" s="23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4" t="str">
        <f>IF(J3894&lt;&gt;1,"",IF(I3894="SBJ","CB","?"))</f>
        <v> </v>
      </c>
      <c r="I3894" s="25" t="str">
        <f>IF(OR(E3894="",E3894="!!!",F3894="NEW"),"",INDEX(B3893:B$2,-1+SUMPRODUCT(MAX(ROW(E3893:E$2)*(E3894=E3893:E$2)))))</f>
        <v> </v>
      </c>
      <c r="J3894" s="25" t="str">
        <f>IF(OR(E3894="",E3894="!!!",F3894="NEW"),"",COUNTBLANK(OFFSET(A$1,,,SUMPRODUCT(MAX(ROW(E$2:E3894)*(E3894=E$2:E3894)))))-COUNTBLANK(OFFSET(A$1,,,SUMPRODUCT(MAX(ROW(E$1:E3893)*(E2=E$1:E3893))))))</f>
        <v> </v>
      </c>
      <c r="K3894" s="25" t="str">
        <f>IF(OR(E3894="",E3894="!!!",F3894="NEW"),"",INDEX(J$1:J3893,SUMPRODUCT(MAX(ROW(E$1:E3893)*(E3894=E$1:E3893)))))</f>
        <v> </v>
      </c>
      <c r="L3894" s="26"/>
    </row>
    <row r="3895" spans="1:12">
      <c r="A3895" s="20" t="s">
        <v>859</v>
      </c>
      <c r="B3895" s="27" t="s">
        <v>833</v>
      </c>
      <c r="C3895" s="27" t="s">
        <v>693</v>
      </c>
      <c r="D3895" s="27" t="s">
        <v>694</v>
      </c>
      <c r="E3895" s="21">
        <f>IF(D3895="?OLD","!!!","")</f>
        <v/>
      </c>
      <c r="F3895" s="22" t="str">
        <f>IF(OR(E3895="",E3895="!!!"),"",IF(NOT(ISNA(VLOOKUP(E3895,E$1:E3894,1,FALSE()))),"OLD",IF(AND(E3895&lt;&gt;"",E3895&lt;&gt;"!!!"),"NEW","")))</f>
        <v> </v>
      </c>
      <c r="G3895" s="23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4" t="str">
        <f>IF(J3895&lt;&gt;1,"",IF(I3895="SBJ","CB","?"))</f>
        <v> </v>
      </c>
      <c r="I3895" s="25" t="str">
        <f>IF(OR(E3895="",E3895="!!!",F3895="NEW"),"",INDEX(B3894:B$2,-1+SUMPRODUCT(MAX(ROW(E3894:E$2)*(E3895=E3894:E$2)))))</f>
        <v> </v>
      </c>
      <c r="J3895" s="25" t="str">
        <f>IF(OR(E3895="",E3895="!!!",F3895="NEW"),"",COUNTBLANK(OFFSET(A$1,,,SUMPRODUCT(MAX(ROW(E$2:E3895)*(E3895=E$2:E3895)))))-COUNTBLANK(OFFSET(A$1,,,SUMPRODUCT(MAX(ROW(E$1:E3894)*(E2=E$1:E3894))))))</f>
        <v> </v>
      </c>
      <c r="K3895" s="25" t="str">
        <f>IF(OR(E3895="",E3895="!!!",F3895="NEW"),"",INDEX(J$1:J3894,SUMPRODUCT(MAX(ROW(E$1:E3894)*(E3895=E$1:E3894)))))</f>
        <v> </v>
      </c>
      <c r="L3895" s="26"/>
    </row>
    <row r="3896" spans="1:12">
      <c r="A3896" s="20" t="s">
        <v>704</v>
      </c>
      <c r="E3896" s="21">
        <f>IF(D3896="?OLD","!!!","")</f>
        <v/>
      </c>
      <c r="F3896" s="22" t="str">
        <f>IF(OR(E3896="",E3896="!!!"),"",IF(NOT(ISNA(VLOOKUP(E3896,E$1:E3895,1,FALSE()))),"OLD",IF(AND(E3896&lt;&gt;"",E3896&lt;&gt;"!!!"),"NEW","")))</f>
        <v> </v>
      </c>
      <c r="G3896" s="23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4" t="str">
        <f>IF(J3896&lt;&gt;1,"",IF(I3896="SBJ","CB","?"))</f>
        <v> </v>
      </c>
      <c r="I3896" s="25" t="str">
        <f>IF(OR(E3896="",E3896="!!!",F3896="NEW"),"",INDEX(B3895:B$2,-1+SUMPRODUCT(MAX(ROW(E3895:E$2)*(E3896=E3895:E$2)))))</f>
        <v> </v>
      </c>
      <c r="J3896" s="25" t="str">
        <f>IF(OR(E3896="",E3896="!!!",F3896="NEW"),"",COUNTBLANK(OFFSET(A$1,,,SUMPRODUCT(MAX(ROW(E$2:E3896)*(E3896=E$2:E3896)))))-COUNTBLANK(OFFSET(A$1,,,SUMPRODUCT(MAX(ROW(E$1:E3895)*(E2=E$1:E3895))))))</f>
        <v> </v>
      </c>
      <c r="K3896" s="25" t="str">
        <f>IF(OR(E3896="",E3896="!!!",F3896="NEW"),"",INDEX(J$1:J3895,SUMPRODUCT(MAX(ROW(E$1:E3895)*(E3896=E$1:E3895)))))</f>
        <v> </v>
      </c>
      <c r="L3896" s="26"/>
    </row>
    <row r="3897" spans="1:12">
      <c r="A3897" s="20"/>
    </row>
    <row r="3898" spans="1:12">
      <c r="A3898" s="20" t="s">
        <v>1704</v>
      </c>
    </row>
    <row r="3899" spans="1:12">
      <c r="A3899" s="20" t="s">
        <v>828</v>
      </c>
      <c r="E3899" s="21">
        <f>IF(D3899="?OLD","!!!","")</f>
        <v/>
      </c>
      <c r="F3899" s="22" t="str">
        <f>IF(OR(E3899="",E3899="!!!"),"",IF(NOT(ISNA(VLOOKUP(E3899,E$1:E3898,1,FALSE()))),"OLD",IF(AND(E3899&lt;&gt;"",E3899&lt;&gt;"!!!"),"NEW","")))</f>
        <v> </v>
      </c>
      <c r="G3899" s="23" t="str">
        <f>IF(OR(E3899="",E3899="!!!"),"",IF(OR(J3899=0,AND(J3899=1,K3899=1),AND(J3899=1,I3899="SBJ"),AND(J3899=1,I3899=0)),"?IN_FOCUS",IF(J3899&lt;=2,"?ACTIVATED",IF(J3899&lt;&gt;"","?FAMILIAR",IF(F3899="NEW",IF(ISNA(VLOOKUP(E3899,#REF!,1,FALSE())),"?TYPE_IDENTIFIABLE","?REFERENTIAL"),"_")))))</f>
        <v> </v>
      </c>
      <c r="H3899" s="24" t="str">
        <f>IF(J3899&lt;&gt;1,"",IF(I3899="SBJ","CB","?"))</f>
        <v> </v>
      </c>
      <c r="I3899" s="25" t="str">
        <f>IF(OR(E3899="",E3899="!!!",F3899="NEW"),"",INDEX(B3898:B$2,-1+SUMPRODUCT(MAX(ROW(E3898:E$2)*(E3899=E3898:E$2)))))</f>
        <v> </v>
      </c>
      <c r="J3899" s="25" t="str">
        <f>IF(OR(E3899="",E3899="!!!",F3899="NEW"),"",COUNTBLANK(OFFSET(A$1,,,SUMPRODUCT(MAX(ROW(E$2:E3899)*(E3899=E$2:E3899)))))-COUNTBLANK(OFFSET(A$1,,,SUMPRODUCT(MAX(ROW(E$1:E3898)*(E2=E$1:E3898))))))</f>
        <v> </v>
      </c>
      <c r="K3899" s="25" t="str">
        <f>IF(OR(E3899="",E3899="!!!",F3899="NEW"),"",INDEX(J$1:J3898,SUMPRODUCT(MAX(ROW(E$1:E3898)*(E3899=E$1:E3898)))))</f>
        <v> </v>
      </c>
      <c r="L3899" s="26"/>
    </row>
    <row r="3900" spans="1:12">
      <c r="A3900" s="20" t="s">
        <v>712</v>
      </c>
      <c r="E3900" s="21">
        <f>IF(D3900="?OLD","!!!","")</f>
        <v/>
      </c>
      <c r="F3900" s="22" t="str">
        <f>IF(OR(E3900="",E3900="!!!"),"",IF(NOT(ISNA(VLOOKUP(E3900,E$1:E3899,1,FALSE()))),"OLD",IF(AND(E3900&lt;&gt;"",E3900&lt;&gt;"!!!"),"NEW","")))</f>
        <v> </v>
      </c>
      <c r="G3900" s="23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4" t="str">
        <f>IF(J3900&lt;&gt;1,"",IF(I3900="SBJ","CB","?"))</f>
        <v> </v>
      </c>
      <c r="I3900" s="25" t="str">
        <f>IF(OR(E3900="",E3900="!!!",F3900="NEW"),"",INDEX(B3899:B$2,-1+SUMPRODUCT(MAX(ROW(E3899:E$2)*(E3900=E3899:E$2)))))</f>
        <v> </v>
      </c>
      <c r="J3900" s="25" t="str">
        <f>IF(OR(E3900="",E3900="!!!",F3900="NEW"),"",COUNTBLANK(OFFSET(A$1,,,SUMPRODUCT(MAX(ROW(E$2:E3900)*(E3900=E$2:E3900)))))-COUNTBLANK(OFFSET(A$1,,,SUMPRODUCT(MAX(ROW(E$1:E3899)*(E2=E$1:E3899))))))</f>
        <v> </v>
      </c>
      <c r="K3900" s="25" t="str">
        <f>IF(OR(E3900="",E3900="!!!",F3900="NEW"),"",INDEX(J$1:J3899,SUMPRODUCT(MAX(ROW(E$1:E3899)*(E3900=E$1:E3899)))))</f>
        <v> </v>
      </c>
      <c r="L3900" s="26"/>
    </row>
    <row r="3901" spans="1:12">
      <c r="A3901" s="20" t="s">
        <v>895</v>
      </c>
      <c r="B3901" s="27" t="s">
        <v>822</v>
      </c>
      <c r="C3901" s="27" t="s">
        <v>789</v>
      </c>
      <c r="D3901" s="27" t="s">
        <v>694</v>
      </c>
      <c r="E3901" s="21">
        <f>IF(D3901="?OLD","!!!","")</f>
        <v/>
      </c>
      <c r="F3901" s="22" t="str">
        <f>IF(OR(E3901="",E3901="!!!"),"",IF(NOT(ISNA(VLOOKUP(E3901,E$1:E3900,1,FALSE()))),"OLD",IF(AND(E3901&lt;&gt;"",E3901&lt;&gt;"!!!"),"NEW","")))</f>
        <v> </v>
      </c>
      <c r="G3901" s="23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4" t="str">
        <f>IF(J3901&lt;&gt;1,"",IF(I3901="SBJ","CB","?"))</f>
        <v> </v>
      </c>
      <c r="I3901" s="25" t="str">
        <f>IF(OR(E3901="",E3901="!!!",F3901="NEW"),"",INDEX(B3900:B$2,-1+SUMPRODUCT(MAX(ROW(E3900:E$2)*(E3901=E3900:E$2)))))</f>
        <v> </v>
      </c>
      <c r="J3901" s="25" t="str">
        <f>IF(OR(E3901="",E3901="!!!",F3901="NEW"),"",COUNTBLANK(OFFSET(A$1,,,SUMPRODUCT(MAX(ROW(E$2:E3901)*(E3901=E$2:E3901)))))-COUNTBLANK(OFFSET(A$1,,,SUMPRODUCT(MAX(ROW(E$1:E3900)*(E2=E$1:E3900))))))</f>
        <v> </v>
      </c>
      <c r="K3901" s="25" t="str">
        <f>IF(OR(E3901="",E3901="!!!",F3901="NEW"),"",INDEX(J$1:J3900,SUMPRODUCT(MAX(ROW(E$1:E3900)*(E3901=E$1:E3900)))))</f>
        <v> </v>
      </c>
      <c r="L3901" s="26"/>
    </row>
    <row r="3902" spans="1:12">
      <c r="A3902" s="20" t="s">
        <v>784</v>
      </c>
      <c r="E3902" s="21">
        <f>IF(D3902="?OLD","!!!","")</f>
        <v/>
      </c>
      <c r="F3902" s="22" t="str">
        <f>IF(OR(E3902="",E3902="!!!"),"",IF(NOT(ISNA(VLOOKUP(E3902,E$1:E3901,1,FALSE()))),"OLD",IF(AND(E3902&lt;&gt;"",E3902&lt;&gt;"!!!"),"NEW","")))</f>
        <v> </v>
      </c>
      <c r="G3902" s="23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4" t="str">
        <f>IF(J3902&lt;&gt;1,"",IF(I3902="SBJ","CB","?"))</f>
        <v> </v>
      </c>
      <c r="I3902" s="25" t="str">
        <f>IF(OR(E3902="",E3902="!!!",F3902="NEW"),"",INDEX(B3901:B$2,-1+SUMPRODUCT(MAX(ROW(E3901:E$2)*(E3902=E3901:E$2)))))</f>
        <v> </v>
      </c>
      <c r="J3902" s="25" t="str">
        <f>IF(OR(E3902="",E3902="!!!",F3902="NEW"),"",COUNTBLANK(OFFSET(A$1,,,SUMPRODUCT(MAX(ROW(E$2:E3902)*(E3902=E$2:E3902)))))-COUNTBLANK(OFFSET(A$1,,,SUMPRODUCT(MAX(ROW(E$1:E3901)*(E2=E$1:E3901))))))</f>
        <v> </v>
      </c>
      <c r="K3902" s="25" t="str">
        <f>IF(OR(E3902="",E3902="!!!",F3902="NEW"),"",INDEX(J$1:J3901,SUMPRODUCT(MAX(ROW(E$1:E3901)*(E3902=E$1:E3901)))))</f>
        <v> </v>
      </c>
      <c r="L3902" s="26"/>
    </row>
    <row r="3903" spans="1:12">
      <c r="A3903" s="20" t="s">
        <v>1705</v>
      </c>
      <c r="E3903" s="21">
        <f>IF(D3903="?OLD","!!!","")</f>
        <v/>
      </c>
      <c r="F3903" s="22" t="str">
        <f>IF(OR(E3903="",E3903="!!!"),"",IF(NOT(ISNA(VLOOKUP(E3903,E$1:E3902,1,FALSE()))),"OLD",IF(AND(E3903&lt;&gt;"",E3903&lt;&gt;"!!!"),"NEW","")))</f>
        <v> </v>
      </c>
      <c r="G3903" s="23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4" t="str">
        <f>IF(J3903&lt;&gt;1,"",IF(I3903="SBJ","CB","?"))</f>
        <v> </v>
      </c>
      <c r="I3903" s="25" t="str">
        <f>IF(OR(E3903="",E3903="!!!",F3903="NEW"),"",INDEX(B3902:B$2,-1+SUMPRODUCT(MAX(ROW(E3902:E$2)*(E3903=E3902:E$2)))))</f>
        <v> </v>
      </c>
      <c r="J3903" s="25" t="str">
        <f>IF(OR(E3903="",E3903="!!!",F3903="NEW"),"",COUNTBLANK(OFFSET(A$1,,,SUMPRODUCT(MAX(ROW(E$2:E3903)*(E3903=E$2:E3903)))))-COUNTBLANK(OFFSET(A$1,,,SUMPRODUCT(MAX(ROW(E$1:E3902)*(E2=E$1:E3902))))))</f>
        <v> </v>
      </c>
      <c r="K3903" s="25" t="str">
        <f>IF(OR(E3903="",E3903="!!!",F3903="NEW"),"",INDEX(J$1:J3902,SUMPRODUCT(MAX(ROW(E$1:E3902)*(E3903=E$1:E3902)))))</f>
        <v> </v>
      </c>
      <c r="L3903" s="26"/>
    </row>
    <row r="3904" spans="1:12">
      <c r="A3904" s="20" t="s">
        <v>756</v>
      </c>
      <c r="E3904" s="21">
        <f>IF(D3904="?OLD","!!!","")</f>
        <v/>
      </c>
      <c r="F3904" s="22" t="str">
        <f>IF(OR(E3904="",E3904="!!!"),"",IF(NOT(ISNA(VLOOKUP(E3904,E$1:E3903,1,FALSE()))),"OLD",IF(AND(E3904&lt;&gt;"",E3904&lt;&gt;"!!!"),"NEW","")))</f>
        <v> </v>
      </c>
      <c r="G3904" s="23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4" t="str">
        <f>IF(J3904&lt;&gt;1,"",IF(I3904="SBJ","CB","?"))</f>
        <v> </v>
      </c>
      <c r="I3904" s="25" t="str">
        <f>IF(OR(E3904="",E3904="!!!",F3904="NEW"),"",INDEX(B3903:B$2,-1+SUMPRODUCT(MAX(ROW(E3903:E$2)*(E3904=E3903:E$2)))))</f>
        <v> </v>
      </c>
      <c r="J3904" s="25" t="str">
        <f>IF(OR(E3904="",E3904="!!!",F3904="NEW"),"",COUNTBLANK(OFFSET(A$1,,,SUMPRODUCT(MAX(ROW(E$2:E3904)*(E3904=E$2:E3904)))))-COUNTBLANK(OFFSET(A$1,,,SUMPRODUCT(MAX(ROW(E$1:E3903)*(E2=E$1:E3903))))))</f>
        <v> </v>
      </c>
      <c r="K3904" s="25" t="str">
        <f>IF(OR(E3904="",E3904="!!!",F3904="NEW"),"",INDEX(J$1:J3903,SUMPRODUCT(MAX(ROW(E$1:E3903)*(E3904=E$1:E3903)))))</f>
        <v> </v>
      </c>
      <c r="L3904" s="26"/>
    </row>
    <row r="3905" spans="1:12">
      <c r="A3905" s="20" t="s">
        <v>1662</v>
      </c>
      <c r="B3905" s="27" t="s">
        <v>758</v>
      </c>
      <c r="C3905" s="27" t="s">
        <v>693</v>
      </c>
      <c r="D3905" s="27" t="s">
        <v>694</v>
      </c>
      <c r="E3905" s="21">
        <f>IF(D3905="?OLD","!!!","")</f>
        <v/>
      </c>
      <c r="F3905" s="22" t="str">
        <f>IF(OR(E3905="",E3905="!!!"),"",IF(NOT(ISNA(VLOOKUP(E3905,E$1:E3904,1,FALSE()))),"OLD",IF(AND(E3905&lt;&gt;"",E3905&lt;&gt;"!!!"),"NEW","")))</f>
        <v> </v>
      </c>
      <c r="G3905" s="23" t="str">
        <f>IF(OR(E3905="",E3905="!!!"),"",IF(OR(J3905=0,AND(J3905=1,K3905=1),AND(J3905=1,I3905="SBJ"),AND(J3905=1,I3905=0)),"?IN_FOCUS",IF(J3905&lt;=2,"?ACTIVATED",IF(J3905&lt;&gt;"","?FAMILIAR",IF(F3905="NEW",IF(ISNA(VLOOKUP(E3905,#REF!,1,FALSE())),"?TYPE_IDENTIFIABLE","?REFERENTIAL"),"_")))))</f>
        <v> </v>
      </c>
      <c r="H3905" s="24" t="str">
        <f>IF(J3905&lt;&gt;1,"",IF(I3905="SBJ","CB","?"))</f>
        <v> </v>
      </c>
      <c r="I3905" s="25" t="str">
        <f>IF(OR(E3905="",E3905="!!!",F3905="NEW"),"",INDEX(B3904:B$2,-1+SUMPRODUCT(MAX(ROW(E3904:E$2)*(E3905=E3904:E$2)))))</f>
        <v> </v>
      </c>
      <c r="J3905" s="25" t="str">
        <f>IF(OR(E3905="",E3905="!!!",F3905="NEW"),"",COUNTBLANK(OFFSET(A$1,,,SUMPRODUCT(MAX(ROW(E$2:E3905)*(E3905=E$2:E3905)))))-COUNTBLANK(OFFSET(A$1,,,SUMPRODUCT(MAX(ROW(E$1:E3904)*(E2=E$1:E3904))))))</f>
        <v> </v>
      </c>
      <c r="K3905" s="25" t="str">
        <f>IF(OR(E3905="",E3905="!!!",F3905="NEW"),"",INDEX(J$1:J3904,SUMPRODUCT(MAX(ROW(E$1:E3904)*(E3905=E$1:E3904)))))</f>
        <v> </v>
      </c>
      <c r="L3905" s="26"/>
    </row>
    <row r="3906" spans="1:12">
      <c r="A3906" s="20" t="s">
        <v>701</v>
      </c>
      <c r="E3906" s="21">
        <f>IF(D3906="?OLD","!!!","")</f>
        <v/>
      </c>
      <c r="F3906" s="22" t="str">
        <f>IF(OR(E3906="",E3906="!!!"),"",IF(NOT(ISNA(VLOOKUP(E3906,E$1:E3905,1,FALSE()))),"OLD",IF(AND(E3906&lt;&gt;"",E3906&lt;&gt;"!!!"),"NEW","")))</f>
        <v> </v>
      </c>
      <c r="G3906" s="23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4" t="str">
        <f>IF(J3906&lt;&gt;1,"",IF(I3906="SBJ","CB","?"))</f>
        <v> </v>
      </c>
      <c r="I3906" s="25" t="str">
        <f>IF(OR(E3906="",E3906="!!!",F3906="NEW"),"",INDEX(B3905:B$2,-1+SUMPRODUCT(MAX(ROW(E3905:E$2)*(E3906=E3905:E$2)))))</f>
        <v> </v>
      </c>
      <c r="J3906" s="25" t="str">
        <f>IF(OR(E3906="",E3906="!!!",F3906="NEW"),"",COUNTBLANK(OFFSET(A$1,,,SUMPRODUCT(MAX(ROW(E$2:E3906)*(E3906=E$2:E3906)))))-COUNTBLANK(OFFSET(A$1,,,SUMPRODUCT(MAX(ROW(E$1:E3905)*(E2=E$1:E3905))))))</f>
        <v> </v>
      </c>
      <c r="K3906" s="25" t="str">
        <f>IF(OR(E3906="",E3906="!!!",F3906="NEW"),"",INDEX(J$1:J3905,SUMPRODUCT(MAX(ROW(E$1:E3905)*(E3906=E$1:E3905)))))</f>
        <v> </v>
      </c>
      <c r="L3906" s="26"/>
    </row>
    <row r="3907" spans="1:12">
      <c r="A3907" s="20" t="s">
        <v>724</v>
      </c>
      <c r="E3907" s="21">
        <f>IF(D3907="?OLD","!!!","")</f>
        <v/>
      </c>
      <c r="F3907" s="22" t="str">
        <f>IF(OR(E3907="",E3907="!!!"),"",IF(NOT(ISNA(VLOOKUP(E3907,E$1:E3906,1,FALSE()))),"OLD",IF(AND(E3907&lt;&gt;"",E3907&lt;&gt;"!!!"),"NEW","")))</f>
        <v> </v>
      </c>
      <c r="G3907" s="23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4" t="str">
        <f>IF(J3907&lt;&gt;1,"",IF(I3907="SBJ","CB","?"))</f>
        <v> </v>
      </c>
      <c r="I3907" s="25" t="str">
        <f>IF(OR(E3907="",E3907="!!!",F3907="NEW"),"",INDEX(B3906:B$2,-1+SUMPRODUCT(MAX(ROW(E3906:E$2)*(E3907=E3906:E$2)))))</f>
        <v> </v>
      </c>
      <c r="J3907" s="25" t="str">
        <f>IF(OR(E3907="",E3907="!!!",F3907="NEW"),"",COUNTBLANK(OFFSET(A$1,,,SUMPRODUCT(MAX(ROW(E$2:E3907)*(E3907=E$2:E3907)))))-COUNTBLANK(OFFSET(A$1,,,SUMPRODUCT(MAX(ROW(E$1:E3906)*(E2=E$1:E3906))))))</f>
        <v> </v>
      </c>
      <c r="K3907" s="25" t="str">
        <f>IF(OR(E3907="",E3907="!!!",F3907="NEW"),"",INDEX(J$1:J3906,SUMPRODUCT(MAX(ROW(E$1:E3906)*(E3907=E$1:E3906)))))</f>
        <v> </v>
      </c>
      <c r="L3907" s="26"/>
    </row>
    <row r="3908" spans="1:12">
      <c r="A3908" s="20" t="s">
        <v>1706</v>
      </c>
      <c r="E3908" s="21">
        <f>IF(D3908="?OLD","!!!","")</f>
        <v/>
      </c>
      <c r="F3908" s="22" t="str">
        <f>IF(OR(E3908="",E3908="!!!"),"",IF(NOT(ISNA(VLOOKUP(E3908,E$1:E3907,1,FALSE()))),"OLD",IF(AND(E3908&lt;&gt;"",E3908&lt;&gt;"!!!"),"NEW","")))</f>
        <v> </v>
      </c>
      <c r="G3908" s="23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4" t="str">
        <f>IF(J3908&lt;&gt;1,"",IF(I3908="SBJ","CB","?"))</f>
        <v> </v>
      </c>
      <c r="I3908" s="25" t="str">
        <f>IF(OR(E3908="",E3908="!!!",F3908="NEW"),"",INDEX(B3907:B$2,-1+SUMPRODUCT(MAX(ROW(E3907:E$2)*(E3908=E3907:E$2)))))</f>
        <v> </v>
      </c>
      <c r="J3908" s="25" t="str">
        <f>IF(OR(E3908="",E3908="!!!",F3908="NEW"),"",COUNTBLANK(OFFSET(A$1,,,SUMPRODUCT(MAX(ROW(E$2:E3908)*(E3908=E$2:E3908)))))-COUNTBLANK(OFFSET(A$1,,,SUMPRODUCT(MAX(ROW(E$1:E3907)*(E2=E$1:E3907))))))</f>
        <v> </v>
      </c>
      <c r="K3908" s="25" t="str">
        <f>IF(OR(E3908="",E3908="!!!",F3908="NEW"),"",INDEX(J$1:J3907,SUMPRODUCT(MAX(ROW(E$1:E3907)*(E3908=E$1:E3907)))))</f>
        <v> </v>
      </c>
      <c r="L3908" s="26"/>
    </row>
    <row r="3909" spans="1:12">
      <c r="A3909" s="20" t="s">
        <v>727</v>
      </c>
      <c r="B3909" s="27" t="s">
        <v>746</v>
      </c>
      <c r="C3909" s="27" t="s">
        <v>693</v>
      </c>
      <c r="D3909" s="27" t="s">
        <v>694</v>
      </c>
      <c r="E3909" s="21">
        <f>IF(D3909="?OLD","!!!","")</f>
        <v/>
      </c>
      <c r="F3909" s="22" t="str">
        <f>IF(OR(E3909="",E3909="!!!"),"",IF(NOT(ISNA(VLOOKUP(E3909,E$1:E3908,1,FALSE()))),"OLD",IF(AND(E3909&lt;&gt;"",E3909&lt;&gt;"!!!"),"NEW","")))</f>
        <v> </v>
      </c>
      <c r="G3909" s="23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4" t="str">
        <f>IF(J3909&lt;&gt;1,"",IF(I3909="SBJ","CB","?"))</f>
        <v> </v>
      </c>
      <c r="I3909" s="25" t="str">
        <f>IF(OR(E3909="",E3909="!!!",F3909="NEW"),"",INDEX(B3908:B$2,-1+SUMPRODUCT(MAX(ROW(E3908:E$2)*(E3909=E3908:E$2)))))</f>
        <v> </v>
      </c>
      <c r="J3909" s="25" t="str">
        <f>IF(OR(E3909="",E3909="!!!",F3909="NEW"),"",COUNTBLANK(OFFSET(A$1,,,SUMPRODUCT(MAX(ROW(E$2:E3909)*(E3909=E$2:E3909)))))-COUNTBLANK(OFFSET(A$1,,,SUMPRODUCT(MAX(ROW(E$1:E3908)*(E2=E$1:E3908))))))</f>
        <v> </v>
      </c>
      <c r="K3909" s="25" t="str">
        <f>IF(OR(E3909="",E3909="!!!",F3909="NEW"),"",INDEX(J$1:J3908,SUMPRODUCT(MAX(ROW(E$1:E3908)*(E3909=E$1:E3908)))))</f>
        <v> </v>
      </c>
      <c r="L3909" s="26"/>
    </row>
    <row r="3910" spans="1:12">
      <c r="A3910" s="20" t="s">
        <v>704</v>
      </c>
      <c r="E3910" s="21">
        <f>IF(D3910="?OLD","!!!","")</f>
        <v/>
      </c>
      <c r="F3910" s="22" t="str">
        <f>IF(OR(E3910="",E3910="!!!"),"",IF(NOT(ISNA(VLOOKUP(E3910,E$1:E3909,1,FALSE()))),"OLD",IF(AND(E3910&lt;&gt;"",E3910&lt;&gt;"!!!"),"NEW","")))</f>
        <v> </v>
      </c>
      <c r="G3910" s="23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4" t="str">
        <f>IF(J3910&lt;&gt;1,"",IF(I3910="SBJ","CB","?"))</f>
        <v> </v>
      </c>
      <c r="I3910" s="25" t="str">
        <f>IF(OR(E3910="",E3910="!!!",F3910="NEW"),"",INDEX(B3909:B$2,-1+SUMPRODUCT(MAX(ROW(E3909:E$2)*(E3910=E3909:E$2)))))</f>
        <v> </v>
      </c>
      <c r="J3910" s="25" t="str">
        <f>IF(OR(E3910="",E3910="!!!",F3910="NEW"),"",COUNTBLANK(OFFSET(A$1,,,SUMPRODUCT(MAX(ROW(E$2:E3910)*(E3910=E$2:E3910)))))-COUNTBLANK(OFFSET(A$1,,,SUMPRODUCT(MAX(ROW(E$1:E3909)*(E2=E$1:E3909))))))</f>
        <v> </v>
      </c>
      <c r="K3910" s="25" t="str">
        <f>IF(OR(E3910="",E3910="!!!",F3910="NEW"),"",INDEX(J$1:J3909,SUMPRODUCT(MAX(ROW(E$1:E3909)*(E3910=E$1:E3909)))))</f>
        <v> </v>
      </c>
      <c r="L3910" s="26"/>
    </row>
    <row r="3911" spans="1:12">
      <c r="A3911" s="20"/>
    </row>
    <row r="3912" spans="1:12">
      <c r="A3912" s="20" t="s">
        <v>1707</v>
      </c>
    </row>
    <row r="3913" spans="1:12">
      <c r="A3913" s="20" t="s">
        <v>1015</v>
      </c>
      <c r="E3913" s="21">
        <f>IF(D3913="?OLD","!!!","")</f>
        <v/>
      </c>
      <c r="F3913" s="22" t="str">
        <f>IF(OR(E3913="",E3913="!!!"),"",IF(NOT(ISNA(VLOOKUP(E3913,E$1:E3912,1,FALSE()))),"OLD",IF(AND(E3913&lt;&gt;"",E3913&lt;&gt;"!!!"),"NEW","")))</f>
        <v> </v>
      </c>
      <c r="G3913" s="23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4" t="str">
        <f>IF(J3913&lt;&gt;1,"",IF(I3913="SBJ","CB","?"))</f>
        <v> </v>
      </c>
      <c r="I3913" s="25" t="str">
        <f>IF(OR(E3913="",E3913="!!!",F3913="NEW"),"",INDEX(B3912:B$2,-1+SUMPRODUCT(MAX(ROW(E3912:E$2)*(E3913=E3912:E$2)))))</f>
        <v> </v>
      </c>
      <c r="J3913" s="25" t="str">
        <f>IF(OR(E3913="",E3913="!!!",F3913="NEW"),"",COUNTBLANK(OFFSET(A$1,,,SUMPRODUCT(MAX(ROW(E$2:E3913)*(E3913=E$2:E3913)))))-COUNTBLANK(OFFSET(A$1,,,SUMPRODUCT(MAX(ROW(E$1:E3912)*(E2=E$1:E3912))))))</f>
        <v> </v>
      </c>
      <c r="K3913" s="25" t="str">
        <f>IF(OR(E3913="",E3913="!!!",F3913="NEW"),"",INDEX(J$1:J3912,SUMPRODUCT(MAX(ROW(E$1:E3912)*(E3913=E$1:E3912)))))</f>
        <v> </v>
      </c>
      <c r="L3913" s="26"/>
    </row>
    <row r="3914" spans="1:12">
      <c r="A3914" s="20" t="s">
        <v>724</v>
      </c>
      <c r="E3914" s="21">
        <f>IF(D3914="?OLD","!!!","")</f>
        <v/>
      </c>
      <c r="F3914" s="22" t="str">
        <f>IF(OR(E3914="",E3914="!!!"),"",IF(NOT(ISNA(VLOOKUP(E3914,E$1:E3913,1,FALSE()))),"OLD",IF(AND(E3914&lt;&gt;"",E3914&lt;&gt;"!!!"),"NEW","")))</f>
        <v> </v>
      </c>
      <c r="G3914" s="23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4" t="str">
        <f>IF(J3914&lt;&gt;1,"",IF(I3914="SBJ","CB","?"))</f>
        <v> </v>
      </c>
      <c r="I3914" s="25" t="str">
        <f>IF(OR(E3914="",E3914="!!!",F3914="NEW"),"",INDEX(B3913:B$2,-1+SUMPRODUCT(MAX(ROW(E3913:E$2)*(E3914=E3913:E$2)))))</f>
        <v> </v>
      </c>
      <c r="J3914" s="25" t="str">
        <f>IF(OR(E3914="",E3914="!!!",F3914="NEW"),"",COUNTBLANK(OFFSET(A$1,,,SUMPRODUCT(MAX(ROW(E$2:E3914)*(E3914=E$2:E3914)))))-COUNTBLANK(OFFSET(A$1,,,SUMPRODUCT(MAX(ROW(E$1:E3913)*(E2=E$1:E3913))))))</f>
        <v> </v>
      </c>
      <c r="K3914" s="25" t="str">
        <f>IF(OR(E3914="",E3914="!!!",F3914="NEW"),"",INDEX(J$1:J3913,SUMPRODUCT(MAX(ROW(E$1:E3913)*(E3914=E$1:E3913)))))</f>
        <v> </v>
      </c>
      <c r="L3914" s="26"/>
    </row>
    <row r="3915" spans="1:12">
      <c r="A3915" s="20" t="s">
        <v>1681</v>
      </c>
      <c r="B3915" s="27" t="s">
        <v>822</v>
      </c>
      <c r="C3915" s="27" t="s">
        <v>996</v>
      </c>
      <c r="D3915" s="27" t="s">
        <v>694</v>
      </c>
      <c r="E3915" s="21">
        <f>IF(D3915="?OLD","!!!","")</f>
        <v/>
      </c>
      <c r="F3915" s="22" t="str">
        <f>IF(OR(E3915="",E3915="!!!"),"",IF(NOT(ISNA(VLOOKUP(E3915,E$1:E3914,1,FALSE()))),"OLD",IF(AND(E3915&lt;&gt;"",E3915&lt;&gt;"!!!"),"NEW","")))</f>
        <v> </v>
      </c>
      <c r="G3915" s="23" t="str">
        <f>IF(OR(E3915="",E3915="!!!"),"",IF(OR(J3915=0,AND(J3915=1,K3915=1),AND(J3915=1,I3915="SBJ"),AND(J3915=1,I3915=0)),"?IN_FOCUS",IF(J3915&lt;=2,"?ACTIVATED",IF(J3915&lt;&gt;"","?FAMILIAR",IF(F3915="NEW",IF(ISNA(VLOOKUP(E3915,#REF!,1,FALSE())),"?TYPE_IDENTIFIABLE","?REFERENTIAL"),"_")))))</f>
        <v> </v>
      </c>
      <c r="H3915" s="24" t="str">
        <f>IF(J3915&lt;&gt;1,"",IF(I3915="SBJ","CB","?"))</f>
        <v> </v>
      </c>
      <c r="I3915" s="25" t="str">
        <f>IF(OR(E3915="",E3915="!!!",F3915="NEW"),"",INDEX(B3914:B$2,-1+SUMPRODUCT(MAX(ROW(E3914:E$2)*(E3915=E3914:E$2)))))</f>
        <v> </v>
      </c>
      <c r="J3915" s="25" t="str">
        <f>IF(OR(E3915="",E3915="!!!",F3915="NEW"),"",COUNTBLANK(OFFSET(A$1,,,SUMPRODUCT(MAX(ROW(E$2:E3915)*(E3915=E$2:E3915)))))-COUNTBLANK(OFFSET(A$1,,,SUMPRODUCT(MAX(ROW(E$1:E3914)*(E2=E$1:E3914))))))</f>
        <v> </v>
      </c>
      <c r="K3915" s="25" t="str">
        <f>IF(OR(E3915="",E3915="!!!",F3915="NEW"),"",INDEX(J$1:J3914,SUMPRODUCT(MAX(ROW(E$1:E3914)*(E3915=E$1:E3914)))))</f>
        <v> </v>
      </c>
      <c r="L3915" s="26"/>
    </row>
    <row r="3916" spans="1:12">
      <c r="A3916" s="20" t="s">
        <v>722</v>
      </c>
      <c r="E3916" s="21">
        <f>IF(D3916="?OLD","!!!","")</f>
        <v/>
      </c>
      <c r="F3916" s="22" t="str">
        <f>IF(OR(E3916="",E3916="!!!"),"",IF(NOT(ISNA(VLOOKUP(E3916,E$1:E3915,1,FALSE()))),"OLD",IF(AND(E3916&lt;&gt;"",E3916&lt;&gt;"!!!"),"NEW","")))</f>
        <v> </v>
      </c>
      <c r="G3916" s="23" t="str">
        <f>IF(OR(E3916="",E3916="!!!"),"",IF(OR(J3916=0,AND(J3916=1,K3916=1),AND(J3916=1,I3916="SBJ"),AND(J3916=1,I3916=0)),"?IN_FOCUS",IF(J3916&lt;=2,"?ACTIVATED",IF(J3916&lt;&gt;"","?FAMILIAR",IF(F3916="NEW",IF(ISNA(VLOOKUP(E3916,#REF!,1,FALSE())),"?TYPE_IDENTIFIABLE","?REFERENTIAL"),"_")))))</f>
        <v> </v>
      </c>
      <c r="H3916" s="24" t="str">
        <f>IF(J3916&lt;&gt;1,"",IF(I3916="SBJ","CB","?"))</f>
        <v> </v>
      </c>
      <c r="I3916" s="25" t="str">
        <f>IF(OR(E3916="",E3916="!!!",F3916="NEW"),"",INDEX(B3915:B$2,-1+SUMPRODUCT(MAX(ROW(E3915:E$2)*(E3916=E3915:E$2)))))</f>
        <v> </v>
      </c>
      <c r="J3916" s="25" t="str">
        <f>IF(OR(E3916="",E3916="!!!",F3916="NEW"),"",COUNTBLANK(OFFSET(A$1,,,SUMPRODUCT(MAX(ROW(E$2:E3916)*(E3916=E$2:E3916)))))-COUNTBLANK(OFFSET(A$1,,,SUMPRODUCT(MAX(ROW(E$1:E3915)*(E2=E$1:E3915))))))</f>
        <v> </v>
      </c>
      <c r="K3916" s="25" t="str">
        <f>IF(OR(E3916="",E3916="!!!",F3916="NEW"),"",INDEX(J$1:J3915,SUMPRODUCT(MAX(ROW(E$1:E3915)*(E3916=E$1:E3915)))))</f>
        <v> </v>
      </c>
      <c r="L3916" s="26"/>
    </row>
    <row r="3917" spans="1:12">
      <c r="A3917" s="20" t="s">
        <v>878</v>
      </c>
      <c r="E3917" s="21">
        <f>IF(D3917="?OLD","!!!","")</f>
        <v/>
      </c>
      <c r="F3917" s="22" t="str">
        <f>IF(OR(E3917="",E3917="!!!"),"",IF(NOT(ISNA(VLOOKUP(E3917,E$1:E3916,1,FALSE()))),"OLD",IF(AND(E3917&lt;&gt;"",E3917&lt;&gt;"!!!"),"NEW","")))</f>
        <v> </v>
      </c>
      <c r="G3917" s="23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4" t="str">
        <f>IF(J3917&lt;&gt;1,"",IF(I3917="SBJ","CB","?"))</f>
        <v> </v>
      </c>
      <c r="I3917" s="25" t="str">
        <f>IF(OR(E3917="",E3917="!!!",F3917="NEW"),"",INDEX(B3916:B$2,-1+SUMPRODUCT(MAX(ROW(E3916:E$2)*(E3917=E3916:E$2)))))</f>
        <v> </v>
      </c>
      <c r="J3917" s="25" t="str">
        <f>IF(OR(E3917="",E3917="!!!",F3917="NEW"),"",COUNTBLANK(OFFSET(A$1,,,SUMPRODUCT(MAX(ROW(E$2:E3917)*(E3917=E$2:E3917)))))-COUNTBLANK(OFFSET(A$1,,,SUMPRODUCT(MAX(ROW(E$1:E3916)*(E2=E$1:E3916))))))</f>
        <v> </v>
      </c>
      <c r="K3917" s="25" t="str">
        <f>IF(OR(E3917="",E3917="!!!",F3917="NEW"),"",INDEX(J$1:J3916,SUMPRODUCT(MAX(ROW(E$1:E3916)*(E3917=E$1:E3916)))))</f>
        <v> </v>
      </c>
      <c r="L3917" s="26"/>
    </row>
    <row r="3918" spans="1:12">
      <c r="A3918" s="20" t="s">
        <v>690</v>
      </c>
      <c r="E3918" s="21">
        <f>IF(D3918="?OLD","!!!","")</f>
        <v/>
      </c>
      <c r="F3918" s="22" t="str">
        <f>IF(OR(E3918="",E3918="!!!"),"",IF(NOT(ISNA(VLOOKUP(E3918,E$1:E3917,1,FALSE()))),"OLD",IF(AND(E3918&lt;&gt;"",E3918&lt;&gt;"!!!"),"NEW","")))</f>
        <v> </v>
      </c>
      <c r="G3918" s="23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4" t="str">
        <f>IF(J3918&lt;&gt;1,"",IF(I3918="SBJ","CB","?"))</f>
        <v> </v>
      </c>
      <c r="I3918" s="25" t="str">
        <f>IF(OR(E3918="",E3918="!!!",F3918="NEW"),"",INDEX(B3917:B$2,-1+SUMPRODUCT(MAX(ROW(E3917:E$2)*(E3918=E3917:E$2)))))</f>
        <v> </v>
      </c>
      <c r="J3918" s="25" t="str">
        <f>IF(OR(E3918="",E3918="!!!",F3918="NEW"),"",COUNTBLANK(OFFSET(A$1,,,SUMPRODUCT(MAX(ROW(E$2:E3918)*(E3918=E$2:E3918)))))-COUNTBLANK(OFFSET(A$1,,,SUMPRODUCT(MAX(ROW(E$1:E3917)*(E2=E$1:E3917))))))</f>
        <v> </v>
      </c>
      <c r="K3918" s="25" t="str">
        <f>IF(OR(E3918="",E3918="!!!",F3918="NEW"),"",INDEX(J$1:J3917,SUMPRODUCT(MAX(ROW(E$1:E3917)*(E3918=E$1:E3917)))))</f>
        <v> </v>
      </c>
      <c r="L3918" s="26"/>
    </row>
    <row r="3919" spans="1:12">
      <c r="A3919" s="20" t="s">
        <v>132</v>
      </c>
      <c r="E3919" s="21">
        <f>IF(D3919="?OLD","!!!","")</f>
        <v/>
      </c>
      <c r="F3919" s="22" t="str">
        <f>IF(OR(E3919="",E3919="!!!"),"",IF(NOT(ISNA(VLOOKUP(E3919,E$1:E3918,1,FALSE()))),"OLD",IF(AND(E3919&lt;&gt;"",E3919&lt;&gt;"!!!"),"NEW","")))</f>
        <v> </v>
      </c>
      <c r="G3919" s="23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4" t="str">
        <f>IF(J3919&lt;&gt;1,"",IF(I3919="SBJ","CB","?"))</f>
        <v> </v>
      </c>
      <c r="I3919" s="25" t="str">
        <f>IF(OR(E3919="",E3919="!!!",F3919="NEW"),"",INDEX(B3918:B$2,-1+SUMPRODUCT(MAX(ROW(E3918:E$2)*(E3919=E3918:E$2)))))</f>
        <v> </v>
      </c>
      <c r="J3919" s="25" t="str">
        <f>IF(OR(E3919="",E3919="!!!",F3919="NEW"),"",COUNTBLANK(OFFSET(A$1,,,SUMPRODUCT(MAX(ROW(E$2:E3919)*(E3919=E$2:E3919)))))-COUNTBLANK(OFFSET(A$1,,,SUMPRODUCT(MAX(ROW(E$1:E3918)*(E2=E$1:E3918))))))</f>
        <v> </v>
      </c>
      <c r="K3919" s="25" t="str">
        <f>IF(OR(E3919="",E3919="!!!",F3919="NEW"),"",INDEX(J$1:J3918,SUMPRODUCT(MAX(ROW(E$1:E3918)*(E3919=E$1:E3918)))))</f>
        <v> </v>
      </c>
      <c r="L3919" s="26"/>
    </row>
    <row r="3920" spans="1:12">
      <c r="A3920" s="20" t="s">
        <v>791</v>
      </c>
      <c r="B3920" s="27" t="s">
        <v>758</v>
      </c>
      <c r="C3920" s="27" t="s">
        <v>708</v>
      </c>
      <c r="D3920" s="27" t="s">
        <v>694</v>
      </c>
      <c r="E3920" s="21">
        <f>IF(D3920="?OLD","!!!","")</f>
        <v/>
      </c>
      <c r="F3920" s="22" t="str">
        <f>IF(OR(E3920="",E3920="!!!"),"",IF(NOT(ISNA(VLOOKUP(E3920,E$1:E3919,1,FALSE()))),"OLD",IF(AND(E3920&lt;&gt;"",E3920&lt;&gt;"!!!"),"NEW","")))</f>
        <v> </v>
      </c>
      <c r="G3920" s="23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4" t="str">
        <f>IF(J3920&lt;&gt;1,"",IF(I3920="SBJ","CB","?"))</f>
        <v> </v>
      </c>
      <c r="I3920" s="25" t="str">
        <f>IF(OR(E3920="",E3920="!!!",F3920="NEW"),"",INDEX(B3919:B$2,-1+SUMPRODUCT(MAX(ROW(E3919:E$2)*(E3920=E3919:E$2)))))</f>
        <v> </v>
      </c>
      <c r="J3920" s="25" t="str">
        <f>IF(OR(E3920="",E3920="!!!",F3920="NEW"),"",COUNTBLANK(OFFSET(A$1,,,SUMPRODUCT(MAX(ROW(E$2:E3920)*(E3920=E$2:E3920)))))-COUNTBLANK(OFFSET(A$1,,,SUMPRODUCT(MAX(ROW(E$1:E3919)*(E2=E$1:E3919))))))</f>
        <v> </v>
      </c>
      <c r="K3920" s="25" t="str">
        <f>IF(OR(E3920="",E3920="!!!",F3920="NEW"),"",INDEX(J$1:J3919,SUMPRODUCT(MAX(ROW(E$1:E3919)*(E3920=E$1:E3919)))))</f>
        <v> </v>
      </c>
      <c r="L3920" s="26"/>
    </row>
    <row r="3921" spans="1:12">
      <c r="A3921" s="20" t="s">
        <v>1457</v>
      </c>
      <c r="B3921" s="27" t="s">
        <v>746</v>
      </c>
      <c r="C3921" s="27" t="s">
        <v>699</v>
      </c>
      <c r="E3921" s="21">
        <f>IF(D3921="?OLD","!!!","")</f>
        <v/>
      </c>
      <c r="F3921" s="22" t="str">
        <f>IF(OR(E3921="",E3921="!!!"),"",IF(NOT(ISNA(VLOOKUP(E3921,E$1:E3920,1,FALSE()))),"OLD",IF(AND(E3921&lt;&gt;"",E3921&lt;&gt;"!!!"),"NEW","")))</f>
        <v> </v>
      </c>
      <c r="G3921" s="23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4" t="str">
        <f>IF(J3921&lt;&gt;1,"",IF(I3921="SBJ","CB","?"))</f>
        <v> </v>
      </c>
      <c r="I3921" s="25" t="str">
        <f>IF(OR(E3921="",E3921="!!!",F3921="NEW"),"",INDEX(B3920:B$2,-1+SUMPRODUCT(MAX(ROW(E3920:E$2)*(E3921=E3920:E$2)))))</f>
        <v> </v>
      </c>
      <c r="J3921" s="25" t="str">
        <f>IF(OR(E3921="",E3921="!!!",F3921="NEW"),"",COUNTBLANK(OFFSET(A$1,,,SUMPRODUCT(MAX(ROW(E$2:E3921)*(E3921=E$2:E3921)))))-COUNTBLANK(OFFSET(A$1,,,SUMPRODUCT(MAX(ROW(E$1:E3920)*(E2=E$1:E3920))))))</f>
        <v> </v>
      </c>
      <c r="K3921" s="25" t="str">
        <f>IF(OR(E3921="",E3921="!!!",F3921="NEW"),"",INDEX(J$1:J3920,SUMPRODUCT(MAX(ROW(E$1:E3920)*(E3921=E$1:E3920)))))</f>
        <v> </v>
      </c>
      <c r="L3921" s="26"/>
    </row>
    <row r="3922" spans="1:12">
      <c r="A3922" s="20" t="s">
        <v>752</v>
      </c>
      <c r="E3922" s="21">
        <f>IF(D3922="?OLD","!!!","")</f>
        <v/>
      </c>
      <c r="F3922" s="22" t="str">
        <f>IF(OR(E3922="",E3922="!!!"),"",IF(NOT(ISNA(VLOOKUP(E3922,E$1:E3921,1,FALSE()))),"OLD",IF(AND(E3922&lt;&gt;"",E3922&lt;&gt;"!!!"),"NEW","")))</f>
        <v> </v>
      </c>
      <c r="G3922" s="23" t="str">
        <f>IF(OR(E3922="",E3922="!!!"),"",IF(OR(J3922=0,AND(J3922=1,K3922=1),AND(J3922=1,I3922="SBJ"),AND(J3922=1,I3922=0)),"?IN_FOCUS",IF(J3922&lt;=2,"?ACTIVATED",IF(J3922&lt;&gt;"","?FAMILIAR",IF(F3922="NEW",IF(ISNA(VLOOKUP(E3922,#REF!,1,FALSE())),"?TYPE_IDENTIFIABLE","?REFERENTIAL"),"_")))))</f>
        <v> </v>
      </c>
      <c r="H3922" s="24" t="str">
        <f>IF(J3922&lt;&gt;1,"",IF(I3922="SBJ","CB","?"))</f>
        <v> </v>
      </c>
      <c r="I3922" s="25" t="str">
        <f>IF(OR(E3922="",E3922="!!!",F3922="NEW"),"",INDEX(B3921:B$2,-1+SUMPRODUCT(MAX(ROW(E3921:E$2)*(E3922=E3921:E$2)))))</f>
        <v> </v>
      </c>
      <c r="J3922" s="25" t="str">
        <f>IF(OR(E3922="",E3922="!!!",F3922="NEW"),"",COUNTBLANK(OFFSET(A$1,,,SUMPRODUCT(MAX(ROW(E$2:E3922)*(E3922=E$2:E3922)))))-COUNTBLANK(OFFSET(A$1,,,SUMPRODUCT(MAX(ROW(E$1:E3921)*(E2=E$1:E3921))))))</f>
        <v> </v>
      </c>
      <c r="K3922" s="25" t="str">
        <f>IF(OR(E3922="",E3922="!!!",F3922="NEW"),"",INDEX(J$1:J3921,SUMPRODUCT(MAX(ROW(E$1:E3921)*(E3922=E$1:E3921)))))</f>
        <v> </v>
      </c>
      <c r="L3922" s="26"/>
    </row>
    <row r="3923" spans="1:12">
      <c r="A3923" s="20" t="s">
        <v>1458</v>
      </c>
      <c r="E3923" s="21">
        <f>IF(D3923="?OLD","!!!","")</f>
        <v/>
      </c>
      <c r="F3923" s="22" t="str">
        <f>IF(OR(E3923="",E3923="!!!"),"",IF(NOT(ISNA(VLOOKUP(E3923,E$1:E3922,1,FALSE()))),"OLD",IF(AND(E3923&lt;&gt;"",E3923&lt;&gt;"!!!"),"NEW","")))</f>
        <v> </v>
      </c>
      <c r="G3923" s="23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4" t="str">
        <f>IF(J3923&lt;&gt;1,"",IF(I3923="SBJ","CB","?"))</f>
        <v> </v>
      </c>
      <c r="I3923" s="25" t="str">
        <f>IF(OR(E3923="",E3923="!!!",F3923="NEW"),"",INDEX(B3922:B$2,-1+SUMPRODUCT(MAX(ROW(E3922:E$2)*(E3923=E3922:E$2)))))</f>
        <v> </v>
      </c>
      <c r="J3923" s="25" t="str">
        <f>IF(OR(E3923="",E3923="!!!",F3923="NEW"),"",COUNTBLANK(OFFSET(A$1,,,SUMPRODUCT(MAX(ROW(E$2:E3923)*(E3923=E$2:E3923)))))-COUNTBLANK(OFFSET(A$1,,,SUMPRODUCT(MAX(ROW(E$1:E3922)*(E2=E$1:E3922))))))</f>
        <v> </v>
      </c>
      <c r="K3923" s="25" t="str">
        <f>IF(OR(E3923="",E3923="!!!",F3923="NEW"),"",INDEX(J$1:J3922,SUMPRODUCT(MAX(ROW(E$1:E3922)*(E3923=E$1:E3922)))))</f>
        <v> </v>
      </c>
      <c r="L3923" s="26"/>
    </row>
    <row r="3924" spans="1:12">
      <c r="A3924" s="20" t="s">
        <v>690</v>
      </c>
      <c r="E3924" s="21">
        <f>IF(D3924="?OLD","!!!","")</f>
        <v/>
      </c>
      <c r="F3924" s="22" t="str">
        <f>IF(OR(E3924="",E3924="!!!"),"",IF(NOT(ISNA(VLOOKUP(E3924,E$1:E3923,1,FALSE()))),"OLD",IF(AND(E3924&lt;&gt;"",E3924&lt;&gt;"!!!"),"NEW","")))</f>
        <v> </v>
      </c>
      <c r="G3924" s="23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4" t="str">
        <f>IF(J3924&lt;&gt;1,"",IF(I3924="SBJ","CB","?"))</f>
        <v> </v>
      </c>
      <c r="I3924" s="25" t="str">
        <f>IF(OR(E3924="",E3924="!!!",F3924="NEW"),"",INDEX(B3923:B$2,-1+SUMPRODUCT(MAX(ROW(E3923:E$2)*(E3924=E3923:E$2)))))</f>
        <v> </v>
      </c>
      <c r="J3924" s="25" t="str">
        <f>IF(OR(E3924="",E3924="!!!",F3924="NEW"),"",COUNTBLANK(OFFSET(A$1,,,SUMPRODUCT(MAX(ROW(E$2:E3924)*(E3924=E$2:E3924)))))-COUNTBLANK(OFFSET(A$1,,,SUMPRODUCT(MAX(ROW(E$1:E3923)*(E2=E$1:E3923))))))</f>
        <v> </v>
      </c>
      <c r="K3924" s="25" t="str">
        <f>IF(OR(E3924="",E3924="!!!",F3924="NEW"),"",INDEX(J$1:J3923,SUMPRODUCT(MAX(ROW(E$1:E3923)*(E3924=E$1:E3923)))))</f>
        <v> </v>
      </c>
      <c r="L3924" s="26"/>
    </row>
    <row r="3925" spans="1:12">
      <c r="A3925" s="20" t="s">
        <v>859</v>
      </c>
      <c r="B3925" s="27" t="s">
        <v>798</v>
      </c>
      <c r="C3925" s="27" t="s">
        <v>717</v>
      </c>
      <c r="D3925" s="27" t="s">
        <v>694</v>
      </c>
      <c r="E3925" s="21">
        <f>IF(D3925="?OLD","!!!","")</f>
        <v/>
      </c>
      <c r="F3925" s="22" t="str">
        <f>IF(OR(E3925="",E3925="!!!"),"",IF(NOT(ISNA(VLOOKUP(E3925,E$1:E3924,1,FALSE()))),"OLD",IF(AND(E3925&lt;&gt;"",E3925&lt;&gt;"!!!"),"NEW","")))</f>
        <v> </v>
      </c>
      <c r="G3925" s="23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4" t="str">
        <f>IF(J3925&lt;&gt;1,"",IF(I3925="SBJ","CB","?"))</f>
        <v> </v>
      </c>
      <c r="I3925" s="25" t="str">
        <f>IF(OR(E3925="",E3925="!!!",F3925="NEW"),"",INDEX(B3924:B$2,-1+SUMPRODUCT(MAX(ROW(E3924:E$2)*(E3925=E3924:E$2)))))</f>
        <v> </v>
      </c>
      <c r="J3925" s="25" t="str">
        <f>IF(OR(E3925="",E3925="!!!",F3925="NEW"),"",COUNTBLANK(OFFSET(A$1,,,SUMPRODUCT(MAX(ROW(E$2:E3925)*(E3925=E$2:E3925)))))-COUNTBLANK(OFFSET(A$1,,,SUMPRODUCT(MAX(ROW(E$1:E3924)*(E2=E$1:E3924))))))</f>
        <v> </v>
      </c>
      <c r="K3925" s="25" t="str">
        <f>IF(OR(E3925="",E3925="!!!",F3925="NEW"),"",INDEX(J$1:J3924,SUMPRODUCT(MAX(ROW(E$1:E3924)*(E3925=E$1:E3924)))))</f>
        <v> </v>
      </c>
      <c r="L3925" s="26"/>
    </row>
    <row r="3926" spans="1:12">
      <c r="A3926" s="20" t="s">
        <v>696</v>
      </c>
      <c r="E3926" s="21">
        <f>IF(D3926="?OLD","!!!","")</f>
        <v/>
      </c>
      <c r="F3926" s="22" t="str">
        <f>IF(OR(E3926="",E3926="!!!"),"",IF(NOT(ISNA(VLOOKUP(E3926,E$1:E3925,1,FALSE()))),"OLD",IF(AND(E3926&lt;&gt;"",E3926&lt;&gt;"!!!"),"NEW","")))</f>
        <v> </v>
      </c>
      <c r="G3926" s="23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4" t="str">
        <f>IF(J3926&lt;&gt;1,"",IF(I3926="SBJ","CB","?"))</f>
        <v> </v>
      </c>
      <c r="I3926" s="25" t="str">
        <f>IF(OR(E3926="",E3926="!!!",F3926="NEW"),"",INDEX(B3925:B$2,-1+SUMPRODUCT(MAX(ROW(E3925:E$2)*(E3926=E3925:E$2)))))</f>
        <v> </v>
      </c>
      <c r="J3926" s="25" t="str">
        <f>IF(OR(E3926="",E3926="!!!",F3926="NEW"),"",COUNTBLANK(OFFSET(A$1,,,SUMPRODUCT(MAX(ROW(E$2:E3926)*(E3926=E$2:E3926)))))-COUNTBLANK(OFFSET(A$1,,,SUMPRODUCT(MAX(ROW(E$1:E3925)*(E2=E$1:E3925))))))</f>
        <v> </v>
      </c>
      <c r="K3926" s="25" t="str">
        <f>IF(OR(E3926="",E3926="!!!",F3926="NEW"),"",INDEX(J$1:J3925,SUMPRODUCT(MAX(ROW(E$1:E3925)*(E3926=E$1:E3925)))))</f>
        <v> </v>
      </c>
      <c r="L3926" s="26"/>
    </row>
    <row r="3927" spans="1:12">
      <c r="A3927" s="20" t="s">
        <v>697</v>
      </c>
      <c r="B3927" s="27" t="s">
        <v>867</v>
      </c>
      <c r="C3927" s="27" t="s">
        <v>717</v>
      </c>
      <c r="D3927" s="27" t="s">
        <v>694</v>
      </c>
      <c r="E3927" s="21">
        <f>IF(D3927="?OLD","!!!","")</f>
        <v/>
      </c>
      <c r="F3927" s="22" t="str">
        <f>IF(OR(E3927="",E3927="!!!"),"",IF(NOT(ISNA(VLOOKUP(E3927,E$1:E3926,1,FALSE()))),"OLD",IF(AND(E3927&lt;&gt;"",E3927&lt;&gt;"!!!"),"NEW","")))</f>
        <v> </v>
      </c>
      <c r="G3927" s="23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4" t="str">
        <f>IF(J3927&lt;&gt;1,"",IF(I3927="SBJ","CB","?"))</f>
        <v> </v>
      </c>
      <c r="I3927" s="25" t="str">
        <f>IF(OR(E3927="",E3927="!!!",F3927="NEW"),"",INDEX(B3926:B$2,-1+SUMPRODUCT(MAX(ROW(E3926:E$2)*(E3927=E3926:E$2)))))</f>
        <v> </v>
      </c>
      <c r="J3927" s="25" t="str">
        <f>IF(OR(E3927="",E3927="!!!",F3927="NEW"),"",COUNTBLANK(OFFSET(A$1,,,SUMPRODUCT(MAX(ROW(E$2:E3927)*(E3927=E$2:E3927)))))-COUNTBLANK(OFFSET(A$1,,,SUMPRODUCT(MAX(ROW(E$1:E3926)*(E2=E$1:E3926))))))</f>
        <v> </v>
      </c>
      <c r="K3927" s="25" t="str">
        <f>IF(OR(E3927="",E3927="!!!",F3927="NEW"),"",INDEX(J$1:J3926,SUMPRODUCT(MAX(ROW(E$1:E3926)*(E3927=E$1:E3926)))))</f>
        <v> </v>
      </c>
      <c r="L3927" s="26"/>
    </row>
    <row r="3928" spans="1:12">
      <c r="A3928" s="20" t="s">
        <v>701</v>
      </c>
      <c r="E3928" s="21">
        <f>IF(D3928="?OLD","!!!","")</f>
        <v/>
      </c>
      <c r="F3928" s="22" t="str">
        <f>IF(OR(E3928="",E3928="!!!"),"",IF(NOT(ISNA(VLOOKUP(E3928,E$1:E3927,1,FALSE()))),"OLD",IF(AND(E3928&lt;&gt;"",E3928&lt;&gt;"!!!"),"NEW","")))</f>
        <v> </v>
      </c>
      <c r="G3928" s="23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4" t="str">
        <f>IF(J3928&lt;&gt;1,"",IF(I3928="SBJ","CB","?"))</f>
        <v> </v>
      </c>
      <c r="I3928" s="25" t="str">
        <f>IF(OR(E3928="",E3928="!!!",F3928="NEW"),"",INDEX(B3927:B$2,-1+SUMPRODUCT(MAX(ROW(E3927:E$2)*(E3928=E3927:E$2)))))</f>
        <v> </v>
      </c>
      <c r="J3928" s="25" t="str">
        <f>IF(OR(E3928="",E3928="!!!",F3928="NEW"),"",COUNTBLANK(OFFSET(A$1,,,SUMPRODUCT(MAX(ROW(E$2:E3928)*(E3928=E$2:E3928)))))-COUNTBLANK(OFFSET(A$1,,,SUMPRODUCT(MAX(ROW(E$1:E3927)*(E2=E$1:E3927))))))</f>
        <v> </v>
      </c>
      <c r="K3928" s="25" t="str">
        <f>IF(OR(E3928="",E3928="!!!",F3928="NEW"),"",INDEX(J$1:J3927,SUMPRODUCT(MAX(ROW(E$1:E3927)*(E3928=E$1:E3927)))))</f>
        <v> </v>
      </c>
      <c r="L3928" s="26"/>
    </row>
    <row r="3929" spans="1:12">
      <c r="A3929" s="20" t="s">
        <v>690</v>
      </c>
      <c r="E3929" s="21">
        <f>IF(D3929="?OLD","!!!","")</f>
        <v/>
      </c>
      <c r="F3929" s="22" t="str">
        <f>IF(OR(E3929="",E3929="!!!"),"",IF(NOT(ISNA(VLOOKUP(E3929,E$1:E3928,1,FALSE()))),"OLD",IF(AND(E3929&lt;&gt;"",E3929&lt;&gt;"!!!"),"NEW","")))</f>
        <v> </v>
      </c>
      <c r="G3929" s="23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4" t="str">
        <f>IF(J3929&lt;&gt;1,"",IF(I3929="SBJ","CB","?"))</f>
        <v> </v>
      </c>
      <c r="I3929" s="25" t="str">
        <f>IF(OR(E3929="",E3929="!!!",F3929="NEW"),"",INDEX(B3928:B$2,-1+SUMPRODUCT(MAX(ROW(E3928:E$2)*(E3929=E3928:E$2)))))</f>
        <v> </v>
      </c>
      <c r="J3929" s="25" t="str">
        <f>IF(OR(E3929="",E3929="!!!",F3929="NEW"),"",COUNTBLANK(OFFSET(A$1,,,SUMPRODUCT(MAX(ROW(E$2:E3929)*(E3929=E$2:E3929)))))-COUNTBLANK(OFFSET(A$1,,,SUMPRODUCT(MAX(ROW(E$1:E3928)*(E2=E$1:E3928))))))</f>
        <v> </v>
      </c>
      <c r="K3929" s="25" t="str">
        <f>IF(OR(E3929="",E3929="!!!",F3929="NEW"),"",INDEX(J$1:J3928,SUMPRODUCT(MAX(ROW(E$1:E3928)*(E3929=E$1:E3928)))))</f>
        <v> </v>
      </c>
      <c r="L3929" s="26"/>
    </row>
    <row r="3930" spans="1:12">
      <c r="A3930" s="20" t="s">
        <v>1708</v>
      </c>
      <c r="B3930" s="27" t="s">
        <v>728</v>
      </c>
      <c r="C3930" s="27" t="s">
        <v>693</v>
      </c>
      <c r="D3930" s="27" t="s">
        <v>694</v>
      </c>
      <c r="E3930" s="21">
        <f>IF(D3930="?OLD","!!!","")</f>
        <v/>
      </c>
      <c r="F3930" s="22" t="str">
        <f>IF(OR(E3930="",E3930="!!!"),"",IF(NOT(ISNA(VLOOKUP(E3930,E$1:E3929,1,FALSE()))),"OLD",IF(AND(E3930&lt;&gt;"",E3930&lt;&gt;"!!!"),"NEW","")))</f>
        <v> </v>
      </c>
      <c r="G3930" s="23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4" t="str">
        <f>IF(J3930&lt;&gt;1,"",IF(I3930="SBJ","CB","?"))</f>
        <v> </v>
      </c>
      <c r="I3930" s="25" t="str">
        <f>IF(OR(E3930="",E3930="!!!",F3930="NEW"),"",INDEX(B3929:B$2,-1+SUMPRODUCT(MAX(ROW(E3929:E$2)*(E3930=E3929:E$2)))))</f>
        <v> </v>
      </c>
      <c r="J3930" s="25" t="str">
        <f>IF(OR(E3930="",E3930="!!!",F3930="NEW"),"",COUNTBLANK(OFFSET(A$1,,,SUMPRODUCT(MAX(ROW(E$2:E3930)*(E3930=E$2:E3930)))))-COUNTBLANK(OFFSET(A$1,,,SUMPRODUCT(MAX(ROW(E$1:E3929)*(E2=E$1:E3929))))))</f>
        <v> </v>
      </c>
      <c r="K3930" s="25" t="str">
        <f>IF(OR(E3930="",E3930="!!!",F3930="NEW"),"",INDEX(J$1:J3929,SUMPRODUCT(MAX(ROW(E$1:E3929)*(E3930=E$1:E3929)))))</f>
        <v> </v>
      </c>
      <c r="L3930" s="26"/>
    </row>
    <row r="3931" spans="1:12">
      <c r="A3931" s="20" t="s">
        <v>704</v>
      </c>
      <c r="E3931" s="21">
        <f>IF(D3931="?OLD","!!!","")</f>
        <v/>
      </c>
      <c r="F3931" s="22" t="str">
        <f>IF(OR(E3931="",E3931="!!!"),"",IF(NOT(ISNA(VLOOKUP(E3931,E$1:E3930,1,FALSE()))),"OLD",IF(AND(E3931&lt;&gt;"",E3931&lt;&gt;"!!!"),"NEW","")))</f>
        <v> </v>
      </c>
      <c r="G3931" s="23" t="str">
        <f>IF(OR(E3931="",E3931="!!!"),"",IF(OR(J3931=0,AND(J3931=1,K3931=1),AND(J3931=1,I3931="SBJ"),AND(J3931=1,I3931=0)),"?IN_FOCUS",IF(J3931&lt;=2,"?ACTIVATED",IF(J3931&lt;&gt;"","?FAMILIAR",IF(F3931="NEW",IF(ISNA(VLOOKUP(E3931,#REF!,1,FALSE())),"?TYPE_IDENTIFIABLE","?REFERENTIAL"),"_")))))</f>
        <v> </v>
      </c>
      <c r="H3931" s="24" t="str">
        <f>IF(J3931&lt;&gt;1,"",IF(I3931="SBJ","CB","?"))</f>
        <v> </v>
      </c>
      <c r="I3931" s="25" t="str">
        <f>IF(OR(E3931="",E3931="!!!",F3931="NEW"),"",INDEX(B3930:B$2,-1+SUMPRODUCT(MAX(ROW(E3930:E$2)*(E3931=E3930:E$2)))))</f>
        <v> </v>
      </c>
      <c r="J3931" s="25" t="str">
        <f>IF(OR(E3931="",E3931="!!!",F3931="NEW"),"",COUNTBLANK(OFFSET(A$1,,,SUMPRODUCT(MAX(ROW(E$2:E3931)*(E3931=E$2:E3931)))))-COUNTBLANK(OFFSET(A$1,,,SUMPRODUCT(MAX(ROW(E$1:E3930)*(E2=E$1:E3930))))))</f>
        <v> </v>
      </c>
      <c r="K3931" s="25" t="str">
        <f>IF(OR(E3931="",E3931="!!!",F3931="NEW"),"",INDEX(J$1:J3930,SUMPRODUCT(MAX(ROW(E$1:E3930)*(E3931=E$1:E3930)))))</f>
        <v> </v>
      </c>
      <c r="L3931" s="26"/>
    </row>
    <row r="3932" spans="1:12">
      <c r="A3932" s="20"/>
    </row>
    <row r="3933" spans="1:12">
      <c r="A3933" s="20" t="s">
        <v>1709</v>
      </c>
    </row>
    <row r="3934" spans="1:12">
      <c r="A3934" s="20" t="s">
        <v>828</v>
      </c>
      <c r="E3934" s="21">
        <f>IF(D3934="?OLD","!!!","")</f>
        <v/>
      </c>
      <c r="F3934" s="22" t="str">
        <f>IF(OR(E3934="",E3934="!!!"),"",IF(NOT(ISNA(VLOOKUP(E3934,E$1:E3933,1,FALSE()))),"OLD",IF(AND(E3934&lt;&gt;"",E3934&lt;&gt;"!!!"),"NEW","")))</f>
        <v> </v>
      </c>
      <c r="G3934" s="23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4" t="str">
        <f>IF(J3934&lt;&gt;1,"",IF(I3934="SBJ","CB","?"))</f>
        <v> </v>
      </c>
      <c r="I3934" s="25" t="str">
        <f>IF(OR(E3934="",E3934="!!!",F3934="NEW"),"",INDEX(B3933:B$2,-1+SUMPRODUCT(MAX(ROW(E3933:E$2)*(E3934=E3933:E$2)))))</f>
        <v> </v>
      </c>
      <c r="J3934" s="25" t="str">
        <f>IF(OR(E3934="",E3934="!!!",F3934="NEW"),"",COUNTBLANK(OFFSET(A$1,,,SUMPRODUCT(MAX(ROW(E$2:E3934)*(E3934=E$2:E3934)))))-COUNTBLANK(OFFSET(A$1,,,SUMPRODUCT(MAX(ROW(E$1:E3933)*(E2=E$1:E3933))))))</f>
        <v> </v>
      </c>
      <c r="K3934" s="25" t="str">
        <f>IF(OR(E3934="",E3934="!!!",F3934="NEW"),"",INDEX(J$1:J3933,SUMPRODUCT(MAX(ROW(E$1:E3933)*(E3934=E$1:E3933)))))</f>
        <v> </v>
      </c>
      <c r="L3934" s="26"/>
    </row>
    <row r="3935" spans="1:12">
      <c r="A3935" s="20" t="s">
        <v>712</v>
      </c>
      <c r="E3935" s="21">
        <f>IF(D3935="?OLD","!!!","")</f>
        <v/>
      </c>
      <c r="F3935" s="22" t="str">
        <f>IF(OR(E3935="",E3935="!!!"),"",IF(NOT(ISNA(VLOOKUP(E3935,E$1:E3934,1,FALSE()))),"OLD",IF(AND(E3935&lt;&gt;"",E3935&lt;&gt;"!!!"),"NEW","")))</f>
        <v> </v>
      </c>
      <c r="G3935" s="23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4" t="str">
        <f>IF(J3935&lt;&gt;1,"",IF(I3935="SBJ","CB","?"))</f>
        <v> </v>
      </c>
      <c r="I3935" s="25" t="str">
        <f>IF(OR(E3935="",E3935="!!!",F3935="NEW"),"",INDEX(B3934:B$2,-1+SUMPRODUCT(MAX(ROW(E3934:E$2)*(E3935=E3934:E$2)))))</f>
        <v> </v>
      </c>
      <c r="J3935" s="25" t="str">
        <f>IF(OR(E3935="",E3935="!!!",F3935="NEW"),"",COUNTBLANK(OFFSET(A$1,,,SUMPRODUCT(MAX(ROW(E$2:E3935)*(E3935=E$2:E3935)))))-COUNTBLANK(OFFSET(A$1,,,SUMPRODUCT(MAX(ROW(E$1:E3934)*(E2=E$1:E3934))))))</f>
        <v> </v>
      </c>
      <c r="K3935" s="25" t="str">
        <f>IF(OR(E3935="",E3935="!!!",F3935="NEW"),"",INDEX(J$1:J3934,SUMPRODUCT(MAX(ROW(E$1:E3934)*(E3935=E$1:E3934)))))</f>
        <v> </v>
      </c>
      <c r="L3935" s="26"/>
    </row>
    <row r="3936" spans="1:12">
      <c r="A3936" s="20" t="s">
        <v>722</v>
      </c>
      <c r="E3936" s="21">
        <f>IF(D3936="?OLD","!!!","")</f>
        <v/>
      </c>
      <c r="F3936" s="22" t="str">
        <f>IF(OR(E3936="",E3936="!!!"),"",IF(NOT(ISNA(VLOOKUP(E3936,E$1:E3935,1,FALSE()))),"OLD",IF(AND(E3936&lt;&gt;"",E3936&lt;&gt;"!!!"),"NEW","")))</f>
        <v> </v>
      </c>
      <c r="G3936" s="23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4" t="str">
        <f>IF(J3936&lt;&gt;1,"",IF(I3936="SBJ","CB","?"))</f>
        <v> </v>
      </c>
      <c r="I3936" s="25" t="str">
        <f>IF(OR(E3936="",E3936="!!!",F3936="NEW"),"",INDEX(B3935:B$2,-1+SUMPRODUCT(MAX(ROW(E3935:E$2)*(E3936=E3935:E$2)))))</f>
        <v> </v>
      </c>
      <c r="J3936" s="25" t="str">
        <f>IF(OR(E3936="",E3936="!!!",F3936="NEW"),"",COUNTBLANK(OFFSET(A$1,,,SUMPRODUCT(MAX(ROW(E$2:E3936)*(E3936=E$2:E3936)))))-COUNTBLANK(OFFSET(A$1,,,SUMPRODUCT(MAX(ROW(E$1:E3935)*(E2=E$1:E3935))))))</f>
        <v> </v>
      </c>
      <c r="K3936" s="25" t="str">
        <f>IF(OR(E3936="",E3936="!!!",F3936="NEW"),"",INDEX(J$1:J3935,SUMPRODUCT(MAX(ROW(E$1:E3935)*(E3936=E$1:E3935)))))</f>
        <v> </v>
      </c>
      <c r="L3936" s="26"/>
    </row>
    <row r="3937" spans="1:12">
      <c r="A3937" s="20" t="s">
        <v>701</v>
      </c>
      <c r="E3937" s="21">
        <f>IF(D3937="?OLD","!!!","")</f>
        <v/>
      </c>
      <c r="F3937" s="22" t="str">
        <f>IF(OR(E3937="",E3937="!!!"),"",IF(NOT(ISNA(VLOOKUP(E3937,E$1:E3936,1,FALSE()))),"OLD",IF(AND(E3937&lt;&gt;"",E3937&lt;&gt;"!!!"),"NEW","")))</f>
        <v> </v>
      </c>
      <c r="G3937" s="23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4" t="str">
        <f>IF(J3937&lt;&gt;1,"",IF(I3937="SBJ","CB","?"))</f>
        <v> </v>
      </c>
      <c r="I3937" s="25" t="str">
        <f>IF(OR(E3937="",E3937="!!!",F3937="NEW"),"",INDEX(B3936:B$2,-1+SUMPRODUCT(MAX(ROW(E3936:E$2)*(E3937=E3936:E$2)))))</f>
        <v> </v>
      </c>
      <c r="J3937" s="25" t="str">
        <f>IF(OR(E3937="",E3937="!!!",F3937="NEW"),"",COUNTBLANK(OFFSET(A$1,,,SUMPRODUCT(MAX(ROW(E$2:E3937)*(E3937=E$2:E3937)))))-COUNTBLANK(OFFSET(A$1,,,SUMPRODUCT(MAX(ROW(E$1:E3936)*(E2=E$1:E3936))))))</f>
        <v> </v>
      </c>
      <c r="K3937" s="25" t="str">
        <f>IF(OR(E3937="",E3937="!!!",F3937="NEW"),"",INDEX(J$1:J3936,SUMPRODUCT(MAX(ROW(E$1:E3936)*(E3937=E$1:E3936)))))</f>
        <v> </v>
      </c>
      <c r="L3937" s="26"/>
    </row>
    <row r="3938" spans="1:12">
      <c r="A3938" s="20" t="s">
        <v>756</v>
      </c>
      <c r="E3938" s="21">
        <f>IF(D3938="?OLD","!!!","")</f>
        <v/>
      </c>
      <c r="F3938" s="22" t="str">
        <f>IF(OR(E3938="",E3938="!!!"),"",IF(NOT(ISNA(VLOOKUP(E3938,E$1:E3937,1,FALSE()))),"OLD",IF(AND(E3938&lt;&gt;"",E3938&lt;&gt;"!!!"),"NEW","")))</f>
        <v> </v>
      </c>
      <c r="G3938" s="23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4" t="str">
        <f>IF(J3938&lt;&gt;1,"",IF(I3938="SBJ","CB","?"))</f>
        <v> </v>
      </c>
      <c r="I3938" s="25" t="str">
        <f>IF(OR(E3938="",E3938="!!!",F3938="NEW"),"",INDEX(B3937:B$2,-1+SUMPRODUCT(MAX(ROW(E3937:E$2)*(E3938=E3937:E$2)))))</f>
        <v> </v>
      </c>
      <c r="J3938" s="25" t="str">
        <f>IF(OR(E3938="",E3938="!!!",F3938="NEW"),"",COUNTBLANK(OFFSET(A$1,,,SUMPRODUCT(MAX(ROW(E$2:E3938)*(E3938=E$2:E3938)))))-COUNTBLANK(OFFSET(A$1,,,SUMPRODUCT(MAX(ROW(E$1:E3937)*(E2=E$1:E3937))))))</f>
        <v> </v>
      </c>
      <c r="K3938" s="25" t="str">
        <f>IF(OR(E3938="",E3938="!!!",F3938="NEW"),"",INDEX(J$1:J3937,SUMPRODUCT(MAX(ROW(E$1:E3937)*(E3938=E$1:E3937)))))</f>
        <v> </v>
      </c>
      <c r="L3938" s="26"/>
    </row>
    <row r="3939" spans="1:12">
      <c r="A3939" s="20" t="s">
        <v>1381</v>
      </c>
      <c r="E3939" s="21">
        <f>IF(D3939="?OLD","!!!","")</f>
        <v/>
      </c>
      <c r="F3939" s="22" t="str">
        <f>IF(OR(E3939="",E3939="!!!"),"",IF(NOT(ISNA(VLOOKUP(E3939,E$1:E3938,1,FALSE()))),"OLD",IF(AND(E3939&lt;&gt;"",E3939&lt;&gt;"!!!"),"NEW","")))</f>
        <v> </v>
      </c>
      <c r="G3939" s="23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4" t="str">
        <f>IF(J3939&lt;&gt;1,"",IF(I3939="SBJ","CB","?"))</f>
        <v> </v>
      </c>
      <c r="I3939" s="25" t="str">
        <f>IF(OR(E3939="",E3939="!!!",F3939="NEW"),"",INDEX(B3938:B$2,-1+SUMPRODUCT(MAX(ROW(E3938:E$2)*(E3939=E3938:E$2)))))</f>
        <v> </v>
      </c>
      <c r="J3939" s="25" t="str">
        <f>IF(OR(E3939="",E3939="!!!",F3939="NEW"),"",COUNTBLANK(OFFSET(A$1,,,SUMPRODUCT(MAX(ROW(E$2:E3939)*(E3939=E$2:E3939)))))-COUNTBLANK(OFFSET(A$1,,,SUMPRODUCT(MAX(ROW(E$1:E3938)*(E2=E$1:E3938))))))</f>
        <v> </v>
      </c>
      <c r="K3939" s="25" t="str">
        <f>IF(OR(E3939="",E3939="!!!",F3939="NEW"),"",INDEX(J$1:J3938,SUMPRODUCT(MAX(ROW(E$1:E3938)*(E3939=E$1:E3938)))))</f>
        <v> </v>
      </c>
      <c r="L3939" s="26"/>
    </row>
    <row r="3940" spans="1:12">
      <c r="A3940" s="20" t="s">
        <v>1710</v>
      </c>
      <c r="B3940" s="27" t="s">
        <v>746</v>
      </c>
      <c r="C3940" s="27" t="s">
        <v>693</v>
      </c>
      <c r="D3940" s="27" t="s">
        <v>694</v>
      </c>
      <c r="E3940" s="21">
        <f>IF(D3940="?OLD","!!!","")</f>
        <v/>
      </c>
      <c r="F3940" s="22" t="str">
        <f>IF(OR(E3940="",E3940="!!!"),"",IF(NOT(ISNA(VLOOKUP(E3940,E$1:E3939,1,FALSE()))),"OLD",IF(AND(E3940&lt;&gt;"",E3940&lt;&gt;"!!!"),"NEW","")))</f>
        <v> </v>
      </c>
      <c r="G3940" s="23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4" t="str">
        <f>IF(J3940&lt;&gt;1,"",IF(I3940="SBJ","CB","?"))</f>
        <v> </v>
      </c>
      <c r="I3940" s="25" t="str">
        <f>IF(OR(E3940="",E3940="!!!",F3940="NEW"),"",INDEX(B3939:B$2,-1+SUMPRODUCT(MAX(ROW(E3939:E$2)*(E3940=E3939:E$2)))))</f>
        <v> </v>
      </c>
      <c r="J3940" s="25" t="str">
        <f>IF(OR(E3940="",E3940="!!!",F3940="NEW"),"",COUNTBLANK(OFFSET(A$1,,,SUMPRODUCT(MAX(ROW(E$2:E3940)*(E3940=E$2:E3940)))))-COUNTBLANK(OFFSET(A$1,,,SUMPRODUCT(MAX(ROW(E$1:E3939)*(E2=E$1:E3939))))))</f>
        <v> </v>
      </c>
      <c r="K3940" s="25" t="str">
        <f>IF(OR(E3940="",E3940="!!!",F3940="NEW"),"",INDEX(J$1:J3939,SUMPRODUCT(MAX(ROW(E$1:E3939)*(E3940=E$1:E3939)))))</f>
        <v> </v>
      </c>
      <c r="L3940" s="26"/>
    </row>
    <row r="3941" spans="1:12">
      <c r="A3941" s="20" t="s">
        <v>722</v>
      </c>
      <c r="E3941" s="21">
        <f>IF(D3941="?OLD","!!!","")</f>
        <v/>
      </c>
      <c r="F3941" s="22" t="str">
        <f>IF(OR(E3941="",E3941="!!!"),"",IF(NOT(ISNA(VLOOKUP(E3941,E$1:E3940,1,FALSE()))),"OLD",IF(AND(E3941&lt;&gt;"",E3941&lt;&gt;"!!!"),"NEW","")))</f>
        <v> </v>
      </c>
      <c r="G3941" s="23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4" t="str">
        <f>IF(J3941&lt;&gt;1,"",IF(I3941="SBJ","CB","?"))</f>
        <v> </v>
      </c>
      <c r="I3941" s="25" t="str">
        <f>IF(OR(E3941="",E3941="!!!",F3941="NEW"),"",INDEX(B3940:B$2,-1+SUMPRODUCT(MAX(ROW(E3940:E$2)*(E3941=E3940:E$2)))))</f>
        <v> </v>
      </c>
      <c r="J3941" s="25" t="str">
        <f>IF(OR(E3941="",E3941="!!!",F3941="NEW"),"",COUNTBLANK(OFFSET(A$1,,,SUMPRODUCT(MAX(ROW(E$2:E3941)*(E3941=E$2:E3941)))))-COUNTBLANK(OFFSET(A$1,,,SUMPRODUCT(MAX(ROW(E$1:E3940)*(E2=E$1:E3940))))))</f>
        <v> </v>
      </c>
      <c r="K3941" s="25" t="str">
        <f>IF(OR(E3941="",E3941="!!!",F3941="NEW"),"",INDEX(J$1:J3940,SUMPRODUCT(MAX(ROW(E$1:E3940)*(E3941=E$1:E3940)))))</f>
        <v> </v>
      </c>
      <c r="L3941" s="26"/>
    </row>
    <row r="3942" spans="1:12">
      <c r="A3942" s="20" t="s">
        <v>895</v>
      </c>
      <c r="B3942" s="27" t="s">
        <v>822</v>
      </c>
      <c r="C3942" s="27" t="s">
        <v>789</v>
      </c>
      <c r="D3942" s="27" t="s">
        <v>694</v>
      </c>
      <c r="E3942" s="21">
        <f>IF(D3942="?OLD","!!!","")</f>
        <v/>
      </c>
      <c r="F3942" s="22" t="str">
        <f>IF(OR(E3942="",E3942="!!!"),"",IF(NOT(ISNA(VLOOKUP(E3942,E$1:E3941,1,FALSE()))),"OLD",IF(AND(E3942&lt;&gt;"",E3942&lt;&gt;"!!!"),"NEW","")))</f>
        <v> </v>
      </c>
      <c r="G3942" s="23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4" t="str">
        <f>IF(J3942&lt;&gt;1,"",IF(I3942="SBJ","CB","?"))</f>
        <v> </v>
      </c>
      <c r="I3942" s="25" t="str">
        <f>IF(OR(E3942="",E3942="!!!",F3942="NEW"),"",INDEX(B3941:B$2,-1+SUMPRODUCT(MAX(ROW(E3941:E$2)*(E3942=E3941:E$2)))))</f>
        <v> </v>
      </c>
      <c r="J3942" s="25" t="str">
        <f>IF(OR(E3942="",E3942="!!!",F3942="NEW"),"",COUNTBLANK(OFFSET(A$1,,,SUMPRODUCT(MAX(ROW(E$2:E3942)*(E3942=E$2:E3942)))))-COUNTBLANK(OFFSET(A$1,,,SUMPRODUCT(MAX(ROW(E$1:E3941)*(E2=E$1:E3941))))))</f>
        <v> </v>
      </c>
      <c r="K3942" s="25" t="str">
        <f>IF(OR(E3942="",E3942="!!!",F3942="NEW"),"",INDEX(J$1:J3941,SUMPRODUCT(MAX(ROW(E$1:E3941)*(E3942=E$1:E3941)))))</f>
        <v> </v>
      </c>
      <c r="L3942" s="26"/>
    </row>
    <row r="3943" spans="1:12">
      <c r="A3943" s="20" t="s">
        <v>1711</v>
      </c>
      <c r="E3943" s="21">
        <f>IF(D3943="?OLD","!!!","")</f>
        <v/>
      </c>
      <c r="F3943" s="22" t="str">
        <f>IF(OR(E3943="",E3943="!!!"),"",IF(NOT(ISNA(VLOOKUP(E3943,E$1:E3942,1,FALSE()))),"OLD",IF(AND(E3943&lt;&gt;"",E3943&lt;&gt;"!!!"),"NEW","")))</f>
        <v> </v>
      </c>
      <c r="G3943" s="23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4" t="str">
        <f>IF(J3943&lt;&gt;1,"",IF(I3943="SBJ","CB","?"))</f>
        <v> </v>
      </c>
      <c r="I3943" s="25" t="str">
        <f>IF(OR(E3943="",E3943="!!!",F3943="NEW"),"",INDEX(B3942:B$2,-1+SUMPRODUCT(MAX(ROW(E3942:E$2)*(E3943=E3942:E$2)))))</f>
        <v> </v>
      </c>
      <c r="J3943" s="25" t="str">
        <f>IF(OR(E3943="",E3943="!!!",F3943="NEW"),"",COUNTBLANK(OFFSET(A$1,,,SUMPRODUCT(MAX(ROW(E$2:E3943)*(E3943=E$2:E3943)))))-COUNTBLANK(OFFSET(A$1,,,SUMPRODUCT(MAX(ROW(E$1:E3942)*(E2=E$1:E3942))))))</f>
        <v> </v>
      </c>
      <c r="K3943" s="25" t="str">
        <f>IF(OR(E3943="",E3943="!!!",F3943="NEW"),"",INDEX(J$1:J3942,SUMPRODUCT(MAX(ROW(E$1:E3942)*(E3943=E$1:E3942)))))</f>
        <v> </v>
      </c>
      <c r="L3943" s="26"/>
    </row>
    <row r="3944" spans="1:12">
      <c r="A3944" s="20" t="s">
        <v>1009</v>
      </c>
      <c r="B3944" s="27" t="s">
        <v>758</v>
      </c>
      <c r="C3944" s="27" t="s">
        <v>717</v>
      </c>
      <c r="D3944" s="27" t="s">
        <v>694</v>
      </c>
      <c r="E3944" s="21">
        <f>IF(D3944="?OLD","!!!","")</f>
        <v/>
      </c>
      <c r="F3944" s="22" t="str">
        <f>IF(OR(E3944="",E3944="!!!"),"",IF(NOT(ISNA(VLOOKUP(E3944,E$1:E3943,1,FALSE()))),"OLD",IF(AND(E3944&lt;&gt;"",E3944&lt;&gt;"!!!"),"NEW","")))</f>
        <v> </v>
      </c>
      <c r="G3944" s="23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4" t="str">
        <f>IF(J3944&lt;&gt;1,"",IF(I3944="SBJ","CB","?"))</f>
        <v> </v>
      </c>
      <c r="I3944" s="25" t="str">
        <f>IF(OR(E3944="",E3944="!!!",F3944="NEW"),"",INDEX(B3943:B$2,-1+SUMPRODUCT(MAX(ROW(E3943:E$2)*(E3944=E3943:E$2)))))</f>
        <v> </v>
      </c>
      <c r="J3944" s="25" t="str">
        <f>IF(OR(E3944="",E3944="!!!",F3944="NEW"),"",COUNTBLANK(OFFSET(A$1,,,SUMPRODUCT(MAX(ROW(E$2:E3944)*(E3944=E$2:E3944)))))-COUNTBLANK(OFFSET(A$1,,,SUMPRODUCT(MAX(ROW(E$1:E3943)*(E2=E$1:E3943))))))</f>
        <v> </v>
      </c>
      <c r="K3944" s="25" t="str">
        <f>IF(OR(E3944="",E3944="!!!",F3944="NEW"),"",INDEX(J$1:J3943,SUMPRODUCT(MAX(ROW(E$1:E3943)*(E3944=E$1:E3943)))))</f>
        <v> </v>
      </c>
      <c r="L3944" s="26"/>
    </row>
    <row r="3945" spans="1:12">
      <c r="A3945" s="20" t="s">
        <v>696</v>
      </c>
      <c r="E3945" s="21">
        <f>IF(D3945="?OLD","!!!","")</f>
        <v/>
      </c>
      <c r="F3945" s="22" t="str">
        <f>IF(OR(E3945="",E3945="!!!"),"",IF(NOT(ISNA(VLOOKUP(E3945,E$1:E3944,1,FALSE()))),"OLD",IF(AND(E3945&lt;&gt;"",E3945&lt;&gt;"!!!"),"NEW","")))</f>
        <v> </v>
      </c>
      <c r="G3945" s="23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4" t="str">
        <f>IF(J3945&lt;&gt;1,"",IF(I3945="SBJ","CB","?"))</f>
        <v> </v>
      </c>
      <c r="I3945" s="25" t="str">
        <f>IF(OR(E3945="",E3945="!!!",F3945="NEW"),"",INDEX(B3944:B$2,-1+SUMPRODUCT(MAX(ROW(E3944:E$2)*(E3945=E3944:E$2)))))</f>
        <v> </v>
      </c>
      <c r="J3945" s="25" t="str">
        <f>IF(OR(E3945="",E3945="!!!",F3945="NEW"),"",COUNTBLANK(OFFSET(A$1,,,SUMPRODUCT(MAX(ROW(E$2:E3945)*(E3945=E$2:E3945)))))-COUNTBLANK(OFFSET(A$1,,,SUMPRODUCT(MAX(ROW(E$1:E3944)*(E2=E$1:E3944))))))</f>
        <v> </v>
      </c>
      <c r="K3945" s="25" t="str">
        <f>IF(OR(E3945="",E3945="!!!",F3945="NEW"),"",INDEX(J$1:J3944,SUMPRODUCT(MAX(ROW(E$1:E3944)*(E3945=E$1:E3944)))))</f>
        <v> </v>
      </c>
      <c r="L3945" s="26"/>
    </row>
    <row r="3946" spans="1:12">
      <c r="A3946" s="20" t="s">
        <v>756</v>
      </c>
      <c r="E3946" s="21">
        <f>IF(D3946="?OLD","!!!","")</f>
        <v/>
      </c>
      <c r="F3946" s="22" t="str">
        <f>IF(OR(E3946="",E3946="!!!"),"",IF(NOT(ISNA(VLOOKUP(E3946,E$1:E3945,1,FALSE()))),"OLD",IF(AND(E3946&lt;&gt;"",E3946&lt;&gt;"!!!"),"NEW","")))</f>
        <v> </v>
      </c>
      <c r="G3946" s="23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4" t="str">
        <f>IF(J3946&lt;&gt;1,"",IF(I3946="SBJ","CB","?"))</f>
        <v> </v>
      </c>
      <c r="I3946" s="25" t="str">
        <f>IF(OR(E3946="",E3946="!!!",F3946="NEW"),"",INDEX(B3945:B$2,-1+SUMPRODUCT(MAX(ROW(E3945:E$2)*(E3946=E3945:E$2)))))</f>
        <v> </v>
      </c>
      <c r="J3946" s="25" t="str">
        <f>IF(OR(E3946="",E3946="!!!",F3946="NEW"),"",COUNTBLANK(OFFSET(A$1,,,SUMPRODUCT(MAX(ROW(E$2:E3946)*(E3946=E$2:E3946)))))-COUNTBLANK(OFFSET(A$1,,,SUMPRODUCT(MAX(ROW(E$1:E3945)*(E2=E$1:E3945))))))</f>
        <v> </v>
      </c>
      <c r="K3946" s="25" t="str">
        <f>IF(OR(E3946="",E3946="!!!",F3946="NEW"),"",INDEX(J$1:J3945,SUMPRODUCT(MAX(ROW(E$1:E3945)*(E3946=E$1:E3945)))))</f>
        <v> </v>
      </c>
      <c r="L3946" s="26"/>
    </row>
    <row r="3947" spans="1:12">
      <c r="A3947" s="20" t="s">
        <v>1712</v>
      </c>
      <c r="B3947" s="27" t="s">
        <v>749</v>
      </c>
      <c r="C3947" s="27" t="s">
        <v>693</v>
      </c>
      <c r="D3947" s="27" t="s">
        <v>694</v>
      </c>
      <c r="E3947" s="21">
        <f>IF(D3947="?OLD","!!!","")</f>
        <v/>
      </c>
      <c r="F3947" s="22" t="str">
        <f>IF(OR(E3947="",E3947="!!!"),"",IF(NOT(ISNA(VLOOKUP(E3947,E$1:E3946,1,FALSE()))),"OLD",IF(AND(E3947&lt;&gt;"",E3947&lt;&gt;"!!!"),"NEW","")))</f>
        <v> </v>
      </c>
      <c r="G3947" s="23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4" t="str">
        <f>IF(J3947&lt;&gt;1,"",IF(I3947="SBJ","CB","?"))</f>
        <v> </v>
      </c>
      <c r="I3947" s="25" t="str">
        <f>IF(OR(E3947="",E3947="!!!",F3947="NEW"),"",INDEX(B3946:B$2,-1+SUMPRODUCT(MAX(ROW(E3946:E$2)*(E3947=E3946:E$2)))))</f>
        <v> </v>
      </c>
      <c r="J3947" s="25" t="str">
        <f>IF(OR(E3947="",E3947="!!!",F3947="NEW"),"",COUNTBLANK(OFFSET(A$1,,,SUMPRODUCT(MAX(ROW(E$2:E3947)*(E3947=E$2:E3947)))))-COUNTBLANK(OFFSET(A$1,,,SUMPRODUCT(MAX(ROW(E$1:E3946)*(E2=E$1:E3946))))))</f>
        <v> </v>
      </c>
      <c r="K3947" s="25" t="str">
        <f>IF(OR(E3947="",E3947="!!!",F3947="NEW"),"",INDEX(J$1:J3946,SUMPRODUCT(MAX(ROW(E$1:E3946)*(E3947=E$1:E3946)))))</f>
        <v> </v>
      </c>
      <c r="L3947" s="26"/>
    </row>
    <row r="3948" spans="1:12">
      <c r="A3948" s="20" t="s">
        <v>1713</v>
      </c>
      <c r="E3948" s="21">
        <f>IF(D3948="?OLD","!!!","")</f>
        <v/>
      </c>
      <c r="F3948" s="22" t="str">
        <f>IF(OR(E3948="",E3948="!!!"),"",IF(NOT(ISNA(VLOOKUP(E3948,E$1:E3947,1,FALSE()))),"OLD",IF(AND(E3948&lt;&gt;"",E3948&lt;&gt;"!!!"),"NEW","")))</f>
        <v> </v>
      </c>
      <c r="G3948" s="23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4" t="str">
        <f>IF(J3948&lt;&gt;1,"",IF(I3948="SBJ","CB","?"))</f>
        <v> </v>
      </c>
      <c r="I3948" s="25" t="str">
        <f>IF(OR(E3948="",E3948="!!!",F3948="NEW"),"",INDEX(B3947:B$2,-1+SUMPRODUCT(MAX(ROW(E3947:E$2)*(E3948=E3947:E$2)))))</f>
        <v> </v>
      </c>
      <c r="J3948" s="25" t="str">
        <f>IF(OR(E3948="",E3948="!!!",F3948="NEW"),"",COUNTBLANK(OFFSET(A$1,,,SUMPRODUCT(MAX(ROW(E$2:E3948)*(E3948=E$2:E3948)))))-COUNTBLANK(OFFSET(A$1,,,SUMPRODUCT(MAX(ROW(E$1:E3947)*(E2=E$1:E3947))))))</f>
        <v> </v>
      </c>
      <c r="K3948" s="25" t="str">
        <f>IF(OR(E3948="",E3948="!!!",F3948="NEW"),"",INDEX(J$1:J3947,SUMPRODUCT(MAX(ROW(E$1:E3947)*(E3948=E$1:E3947)))))</f>
        <v> </v>
      </c>
      <c r="L3948" s="26"/>
    </row>
    <row r="3949" spans="1:12">
      <c r="A3949" s="20" t="s">
        <v>704</v>
      </c>
      <c r="E3949" s="21">
        <f>IF(D3949="?OLD","!!!","")</f>
        <v/>
      </c>
      <c r="F3949" s="22" t="str">
        <f>IF(OR(E3949="",E3949="!!!"),"",IF(NOT(ISNA(VLOOKUP(E3949,E$1:E3948,1,FALSE()))),"OLD",IF(AND(E3949&lt;&gt;"",E3949&lt;&gt;"!!!"),"NEW","")))</f>
        <v> </v>
      </c>
      <c r="G3949" s="23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4" t="str">
        <f>IF(J3949&lt;&gt;1,"",IF(I3949="SBJ","CB","?"))</f>
        <v> </v>
      </c>
      <c r="I3949" s="25" t="str">
        <f>IF(OR(E3949="",E3949="!!!",F3949="NEW"),"",INDEX(B3948:B$2,-1+SUMPRODUCT(MAX(ROW(E3948:E$2)*(E3949=E3948:E$2)))))</f>
        <v> </v>
      </c>
      <c r="J3949" s="25" t="str">
        <f>IF(OR(E3949="",E3949="!!!",F3949="NEW"),"",COUNTBLANK(OFFSET(A$1,,,SUMPRODUCT(MAX(ROW(E$2:E3949)*(E3949=E$2:E3949)))))-COUNTBLANK(OFFSET(A$1,,,SUMPRODUCT(MAX(ROW(E$1:E3948)*(E2=E$1:E3948))))))</f>
        <v> </v>
      </c>
      <c r="K3949" s="25" t="str">
        <f>IF(OR(E3949="",E3949="!!!",F3949="NEW"),"",INDEX(J$1:J3948,SUMPRODUCT(MAX(ROW(E$1:E3948)*(E3949=E$1:E3948)))))</f>
        <v> </v>
      </c>
      <c r="L3949" s="26"/>
    </row>
    <row r="3950" spans="1:12">
      <c r="A3950" s="20"/>
    </row>
    <row r="3951" spans="1:12">
      <c r="A3951" s="20" t="s">
        <v>1714</v>
      </c>
    </row>
    <row r="3952" spans="1:12">
      <c r="A3952" s="20" t="s">
        <v>628</v>
      </c>
      <c r="E3952" s="21">
        <f>IF(D3952="?OLD","!!!","")</f>
        <v/>
      </c>
      <c r="F3952" s="22" t="str">
        <f>IF(OR(E3952="",E3952="!!!"),"",IF(NOT(ISNA(VLOOKUP(E3952,E$1:E3951,1,FALSE()))),"OLD",IF(AND(E3952&lt;&gt;"",E3952&lt;&gt;"!!!"),"NEW","")))</f>
        <v> </v>
      </c>
      <c r="G3952" s="23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4" t="str">
        <f>IF(J3952&lt;&gt;1,"",IF(I3952="SBJ","CB","?"))</f>
        <v> </v>
      </c>
      <c r="I3952" s="25" t="str">
        <f>IF(OR(E3952="",E3952="!!!",F3952="NEW"),"",INDEX(B3951:B$2,-1+SUMPRODUCT(MAX(ROW(E3951:E$2)*(E3952=E3951:E$2)))))</f>
        <v> </v>
      </c>
      <c r="J3952" s="25" t="str">
        <f>IF(OR(E3952="",E3952="!!!",F3952="NEW"),"",COUNTBLANK(OFFSET(A$1,,,SUMPRODUCT(MAX(ROW(E$2:E3952)*(E3952=E$2:E3952)))))-COUNTBLANK(OFFSET(A$1,,,SUMPRODUCT(MAX(ROW(E$1:E3951)*(E2=E$1:E3951))))))</f>
        <v> </v>
      </c>
      <c r="K3952" s="25" t="str">
        <f>IF(OR(E3952="",E3952="!!!",F3952="NEW"),"",INDEX(J$1:J3951,SUMPRODUCT(MAX(ROW(E$1:E3951)*(E3952=E$1:E3951)))))</f>
        <v> </v>
      </c>
      <c r="L3952" s="26"/>
    </row>
    <row r="3953" spans="1:12">
      <c r="A3953" s="20" t="s">
        <v>861</v>
      </c>
      <c r="E3953" s="21">
        <f>IF(D3953="?OLD","!!!","")</f>
        <v/>
      </c>
      <c r="F3953" s="22" t="str">
        <f>IF(OR(E3953="",E3953="!!!"),"",IF(NOT(ISNA(VLOOKUP(E3953,E$1:E3952,1,FALSE()))),"OLD",IF(AND(E3953&lt;&gt;"",E3953&lt;&gt;"!!!"),"NEW","")))</f>
        <v> </v>
      </c>
      <c r="G3953" s="23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4" t="str">
        <f>IF(J3953&lt;&gt;1,"",IF(I3953="SBJ","CB","?"))</f>
        <v> </v>
      </c>
      <c r="I3953" s="25" t="str">
        <f>IF(OR(E3953="",E3953="!!!",F3953="NEW"),"",INDEX(B3952:B$2,-1+SUMPRODUCT(MAX(ROW(E3952:E$2)*(E3953=E3952:E$2)))))</f>
        <v> </v>
      </c>
      <c r="J3953" s="25" t="str">
        <f>IF(OR(E3953="",E3953="!!!",F3953="NEW"),"",COUNTBLANK(OFFSET(A$1,,,SUMPRODUCT(MAX(ROW(E$2:E3953)*(E3953=E$2:E3953)))))-COUNTBLANK(OFFSET(A$1,,,SUMPRODUCT(MAX(ROW(E$1:E3952)*(E2=E$1:E3952))))))</f>
        <v> </v>
      </c>
      <c r="K3953" s="25" t="str">
        <f>IF(OR(E3953="",E3953="!!!",F3953="NEW"),"",INDEX(J$1:J3952,SUMPRODUCT(MAX(ROW(E$1:E3952)*(E3953=E$1:E3952)))))</f>
        <v> </v>
      </c>
      <c r="L3953" s="26"/>
    </row>
    <row r="3954" spans="1:12">
      <c r="A3954" s="20" t="s">
        <v>1715</v>
      </c>
      <c r="E3954" s="21">
        <f>IF(D3954="?OLD","!!!","")</f>
        <v/>
      </c>
      <c r="F3954" s="22" t="str">
        <f>IF(OR(E3954="",E3954="!!!"),"",IF(NOT(ISNA(VLOOKUP(E3954,E$1:E3953,1,FALSE()))),"OLD",IF(AND(E3954&lt;&gt;"",E3954&lt;&gt;"!!!"),"NEW","")))</f>
        <v> </v>
      </c>
      <c r="G3954" s="23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4" t="str">
        <f>IF(J3954&lt;&gt;1,"",IF(I3954="SBJ","CB","?"))</f>
        <v> </v>
      </c>
      <c r="I3954" s="25" t="str">
        <f>IF(OR(E3954="",E3954="!!!",F3954="NEW"),"",INDEX(B3953:B$2,-1+SUMPRODUCT(MAX(ROW(E3953:E$2)*(E3954=E3953:E$2)))))</f>
        <v> </v>
      </c>
      <c r="J3954" s="25" t="str">
        <f>IF(OR(E3954="",E3954="!!!",F3954="NEW"),"",COUNTBLANK(OFFSET(A$1,,,SUMPRODUCT(MAX(ROW(E$2:E3954)*(E3954=E$2:E3954)))))-COUNTBLANK(OFFSET(A$1,,,SUMPRODUCT(MAX(ROW(E$1:E3953)*(E2=E$1:E3953))))))</f>
        <v> </v>
      </c>
      <c r="K3954" s="25" t="str">
        <f>IF(OR(E3954="",E3954="!!!",F3954="NEW"),"",INDEX(J$1:J3953,SUMPRODUCT(MAX(ROW(E$1:E3953)*(E3954=E$1:E3953)))))</f>
        <v> </v>
      </c>
      <c r="L3954" s="26"/>
    </row>
    <row r="3955" spans="1:12">
      <c r="A3955" s="20" t="s">
        <v>722</v>
      </c>
      <c r="E3955" s="21">
        <f>IF(D3955="?OLD","!!!","")</f>
        <v/>
      </c>
      <c r="F3955" s="22" t="str">
        <f>IF(OR(E3955="",E3955="!!!"),"",IF(NOT(ISNA(VLOOKUP(E3955,E$1:E3954,1,FALSE()))),"OLD",IF(AND(E3955&lt;&gt;"",E3955&lt;&gt;"!!!"),"NEW","")))</f>
        <v> </v>
      </c>
      <c r="G3955" s="23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4" t="str">
        <f>IF(J3955&lt;&gt;1,"",IF(I3955="SBJ","CB","?"))</f>
        <v> </v>
      </c>
      <c r="I3955" s="25" t="str">
        <f>IF(OR(E3955="",E3955="!!!",F3955="NEW"),"",INDEX(B3954:B$2,-1+SUMPRODUCT(MAX(ROW(E3954:E$2)*(E3955=E3954:E$2)))))</f>
        <v> </v>
      </c>
      <c r="J3955" s="25" t="str">
        <f>IF(OR(E3955="",E3955="!!!",F3955="NEW"),"",COUNTBLANK(OFFSET(A$1,,,SUMPRODUCT(MAX(ROW(E$2:E3955)*(E3955=E$2:E3955)))))-COUNTBLANK(OFFSET(A$1,,,SUMPRODUCT(MAX(ROW(E$1:E3954)*(E2=E$1:E3954))))))</f>
        <v> </v>
      </c>
      <c r="K3955" s="25" t="str">
        <f>IF(OR(E3955="",E3955="!!!",F3955="NEW"),"",INDEX(J$1:J3954,SUMPRODUCT(MAX(ROW(E$1:E3954)*(E3955=E$1:E3954)))))</f>
        <v> </v>
      </c>
      <c r="L3955" s="26"/>
    </row>
    <row r="3956" spans="1:12">
      <c r="A3956" s="20" t="s">
        <v>1657</v>
      </c>
      <c r="E3956" s="21">
        <f>IF(D3956="?OLD","!!!","")</f>
        <v/>
      </c>
      <c r="F3956" s="22" t="str">
        <f>IF(OR(E3956="",E3956="!!!"),"",IF(NOT(ISNA(VLOOKUP(E3956,E$1:E3955,1,FALSE()))),"OLD",IF(AND(E3956&lt;&gt;"",E3956&lt;&gt;"!!!"),"NEW","")))</f>
        <v> </v>
      </c>
      <c r="G3956" s="23" t="str">
        <f>IF(OR(E3956="",E3956="!!!"),"",IF(OR(J3956=0,AND(J3956=1,K3956=1),AND(J3956=1,I3956="SBJ"),AND(J3956=1,I3956=0)),"?IN_FOCUS",IF(J3956&lt;=2,"?ACTIVATED",IF(J3956&lt;&gt;"","?FAMILIAR",IF(F3956="NEW",IF(ISNA(VLOOKUP(E3956,#REF!,1,FALSE())),"?TYPE_IDENTIFIABLE","?REFERENTIAL"),"_")))))</f>
        <v> </v>
      </c>
      <c r="H3956" s="24" t="str">
        <f>IF(J3956&lt;&gt;1,"",IF(I3956="SBJ","CB","?"))</f>
        <v> </v>
      </c>
      <c r="I3956" s="25" t="str">
        <f>IF(OR(E3956="",E3956="!!!",F3956="NEW"),"",INDEX(B3955:B$2,-1+SUMPRODUCT(MAX(ROW(E3955:E$2)*(E3956=E3955:E$2)))))</f>
        <v> </v>
      </c>
      <c r="J3956" s="25" t="str">
        <f>IF(OR(E3956="",E3956="!!!",F3956="NEW"),"",COUNTBLANK(OFFSET(A$1,,,SUMPRODUCT(MAX(ROW(E$2:E3956)*(E3956=E$2:E3956)))))-COUNTBLANK(OFFSET(A$1,,,SUMPRODUCT(MAX(ROW(E$1:E3955)*(E2=E$1:E3955))))))</f>
        <v> </v>
      </c>
      <c r="K3956" s="25" t="str">
        <f>IF(OR(E3956="",E3956="!!!",F3956="NEW"),"",INDEX(J$1:J3955,SUMPRODUCT(MAX(ROW(E$1:E3955)*(E3956=E$1:E3955)))))</f>
        <v> </v>
      </c>
      <c r="L3956" s="26"/>
    </row>
    <row r="3957" spans="1:12">
      <c r="A3957" s="20" t="s">
        <v>912</v>
      </c>
      <c r="B3957" s="27" t="s">
        <v>698</v>
      </c>
      <c r="C3957" s="27" t="s">
        <v>708</v>
      </c>
      <c r="D3957" s="27" t="s">
        <v>694</v>
      </c>
      <c r="E3957" s="21">
        <f>IF(D3957="?OLD","!!!","")</f>
        <v/>
      </c>
      <c r="F3957" s="22" t="str">
        <f>IF(OR(E3957="",E3957="!!!"),"",IF(NOT(ISNA(VLOOKUP(E3957,E$1:E3956,1,FALSE()))),"OLD",IF(AND(E3957&lt;&gt;"",E3957&lt;&gt;"!!!"),"NEW","")))</f>
        <v> </v>
      </c>
      <c r="G3957" s="23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4" t="str">
        <f>IF(J3957&lt;&gt;1,"",IF(I3957="SBJ","CB","?"))</f>
        <v> </v>
      </c>
      <c r="I3957" s="25" t="str">
        <f>IF(OR(E3957="",E3957="!!!",F3957="NEW"),"",INDEX(B3956:B$2,-1+SUMPRODUCT(MAX(ROW(E3956:E$2)*(E3957=E3956:E$2)))))</f>
        <v> </v>
      </c>
      <c r="J3957" s="25" t="str">
        <f>IF(OR(E3957="",E3957="!!!",F3957="NEW"),"",COUNTBLANK(OFFSET(A$1,,,SUMPRODUCT(MAX(ROW(E$2:E3957)*(E3957=E$2:E3957)))))-COUNTBLANK(OFFSET(A$1,,,SUMPRODUCT(MAX(ROW(E$1:E3956)*(E2=E$1:E3956))))))</f>
        <v> </v>
      </c>
      <c r="K3957" s="25" t="str">
        <f>IF(OR(E3957="",E3957="!!!",F3957="NEW"),"",INDEX(J$1:J3956,SUMPRODUCT(MAX(ROW(E$1:E3956)*(E3957=E$1:E3956)))))</f>
        <v> </v>
      </c>
      <c r="L3957" s="26"/>
    </row>
    <row r="3958" spans="1:12">
      <c r="A3958" s="20" t="s">
        <v>712</v>
      </c>
      <c r="E3958" s="21">
        <f>IF(D3958="?OLD","!!!","")</f>
        <v/>
      </c>
      <c r="F3958" s="22" t="str">
        <f>IF(OR(E3958="",E3958="!!!"),"",IF(NOT(ISNA(VLOOKUP(E3958,E$1:E3957,1,FALSE()))),"OLD",IF(AND(E3958&lt;&gt;"",E3958&lt;&gt;"!!!"),"NEW","")))</f>
        <v> </v>
      </c>
      <c r="G3958" s="23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4" t="str">
        <f>IF(J3958&lt;&gt;1,"",IF(I3958="SBJ","CB","?"))</f>
        <v> </v>
      </c>
      <c r="I3958" s="25" t="str">
        <f>IF(OR(E3958="",E3958="!!!",F3958="NEW"),"",INDEX(B3957:B$2,-1+SUMPRODUCT(MAX(ROW(E3957:E$2)*(E3958=E3957:E$2)))))</f>
        <v> </v>
      </c>
      <c r="J3958" s="25" t="str">
        <f>IF(OR(E3958="",E3958="!!!",F3958="NEW"),"",COUNTBLANK(OFFSET(A$1,,,SUMPRODUCT(MAX(ROW(E$2:E3958)*(E3958=E$2:E3958)))))-COUNTBLANK(OFFSET(A$1,,,SUMPRODUCT(MAX(ROW(E$1:E3957)*(E2=E$1:E3957))))))</f>
        <v> </v>
      </c>
      <c r="K3958" s="25" t="str">
        <f>IF(OR(E3958="",E3958="!!!",F3958="NEW"),"",INDEX(J$1:J3957,SUMPRODUCT(MAX(ROW(E$1:E3957)*(E3958=E$1:E3957)))))</f>
        <v> </v>
      </c>
      <c r="L3958" s="26"/>
    </row>
    <row r="3959" spans="1:12">
      <c r="A3959" s="20" t="s">
        <v>843</v>
      </c>
      <c r="E3959" s="21">
        <f>IF(D3959="?OLD","!!!","")</f>
        <v/>
      </c>
      <c r="F3959" s="22" t="str">
        <f>IF(OR(E3959="",E3959="!!!"),"",IF(NOT(ISNA(VLOOKUP(E3959,E$1:E3958,1,FALSE()))),"OLD",IF(AND(E3959&lt;&gt;"",E3959&lt;&gt;"!!!"),"NEW","")))</f>
        <v> </v>
      </c>
      <c r="G3959" s="23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4" t="str">
        <f>IF(J3959&lt;&gt;1,"",IF(I3959="SBJ","CB","?"))</f>
        <v> </v>
      </c>
      <c r="I3959" s="25" t="str">
        <f>IF(OR(E3959="",E3959="!!!",F3959="NEW"),"",INDEX(B3958:B$2,-1+SUMPRODUCT(MAX(ROW(E3958:E$2)*(E3959=E3958:E$2)))))</f>
        <v> </v>
      </c>
      <c r="J3959" s="25" t="str">
        <f>IF(OR(E3959="",E3959="!!!",F3959="NEW"),"",COUNTBLANK(OFFSET(A$1,,,SUMPRODUCT(MAX(ROW(E$2:E3959)*(E3959=E$2:E3959)))))-COUNTBLANK(OFFSET(A$1,,,SUMPRODUCT(MAX(ROW(E$1:E3958)*(E2=E$1:E3958))))))</f>
        <v> </v>
      </c>
      <c r="K3959" s="25" t="str">
        <f>IF(OR(E3959="",E3959="!!!",F3959="NEW"),"",INDEX(J$1:J3958,SUMPRODUCT(MAX(ROW(E$1:E3958)*(E3959=E$1:E3958)))))</f>
        <v> </v>
      </c>
      <c r="L3959" s="26"/>
    </row>
    <row r="3960" spans="1:12">
      <c r="A3960" s="20" t="s">
        <v>1570</v>
      </c>
      <c r="B3960" s="27" t="s">
        <v>822</v>
      </c>
      <c r="C3960" s="27" t="s">
        <v>766</v>
      </c>
      <c r="D3960" s="27" t="s">
        <v>694</v>
      </c>
      <c r="E3960" s="21">
        <f>IF(D3960="?OLD","!!!","")</f>
        <v/>
      </c>
      <c r="F3960" s="22" t="str">
        <f>IF(OR(E3960="",E3960="!!!"),"",IF(NOT(ISNA(VLOOKUP(E3960,E$1:E3959,1,FALSE()))),"OLD",IF(AND(E3960&lt;&gt;"",E3960&lt;&gt;"!!!"),"NEW","")))</f>
        <v> </v>
      </c>
      <c r="G3960" s="23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4" t="str">
        <f>IF(J3960&lt;&gt;1,"",IF(I3960="SBJ","CB","?"))</f>
        <v> </v>
      </c>
      <c r="I3960" s="25" t="str">
        <f>IF(OR(E3960="",E3960="!!!",F3960="NEW"),"",INDEX(B3959:B$2,-1+SUMPRODUCT(MAX(ROW(E3959:E$2)*(E3960=E3959:E$2)))))</f>
        <v> </v>
      </c>
      <c r="J3960" s="25" t="str">
        <f>IF(OR(E3960="",E3960="!!!",F3960="NEW"),"",COUNTBLANK(OFFSET(A$1,,,SUMPRODUCT(MAX(ROW(E$2:E3960)*(E3960=E$2:E3960)))))-COUNTBLANK(OFFSET(A$1,,,SUMPRODUCT(MAX(ROW(E$1:E3959)*(E2=E$1:E3959))))))</f>
        <v> </v>
      </c>
      <c r="K3960" s="25" t="str">
        <f>IF(OR(E3960="",E3960="!!!",F3960="NEW"),"",INDEX(J$1:J3959,SUMPRODUCT(MAX(ROW(E$1:E3959)*(E3960=E$1:E3959)))))</f>
        <v> </v>
      </c>
      <c r="L3960" s="26"/>
    </row>
    <row r="3961" spans="1:12">
      <c r="A3961" s="20" t="s">
        <v>1280</v>
      </c>
      <c r="E3961" s="21">
        <f>IF(D3961="?OLD","!!!","")</f>
        <v/>
      </c>
      <c r="F3961" s="22" t="str">
        <f>IF(OR(E3961="",E3961="!!!"),"",IF(NOT(ISNA(VLOOKUP(E3961,E$1:E3960,1,FALSE()))),"OLD",IF(AND(E3961&lt;&gt;"",E3961&lt;&gt;"!!!"),"NEW","")))</f>
        <v> </v>
      </c>
      <c r="G3961" s="23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4" t="str">
        <f>IF(J3961&lt;&gt;1,"",IF(I3961="SBJ","CB","?"))</f>
        <v> </v>
      </c>
      <c r="I3961" s="25" t="str">
        <f>IF(OR(E3961="",E3961="!!!",F3961="NEW"),"",INDEX(B3960:B$2,-1+SUMPRODUCT(MAX(ROW(E3960:E$2)*(E3961=E3960:E$2)))))</f>
        <v> </v>
      </c>
      <c r="J3961" s="25" t="str">
        <f>IF(OR(E3961="",E3961="!!!",F3961="NEW"),"",COUNTBLANK(OFFSET(A$1,,,SUMPRODUCT(MAX(ROW(E$2:E3961)*(E3961=E$2:E3961)))))-COUNTBLANK(OFFSET(A$1,,,SUMPRODUCT(MAX(ROW(E$1:E3960)*(E2=E$1:E3960))))))</f>
        <v> </v>
      </c>
      <c r="K3961" s="25" t="str">
        <f>IF(OR(E3961="",E3961="!!!",F3961="NEW"),"",INDEX(J$1:J3960,SUMPRODUCT(MAX(ROW(E$1:E3960)*(E3961=E$1:E3960)))))</f>
        <v> </v>
      </c>
      <c r="L3961" s="26"/>
    </row>
    <row r="3962" spans="1:12">
      <c r="A3962" s="20" t="s">
        <v>722</v>
      </c>
      <c r="E3962" s="21">
        <f>IF(D3962="?OLD","!!!","")</f>
        <v/>
      </c>
      <c r="F3962" s="22" t="str">
        <f>IF(OR(E3962="",E3962="!!!"),"",IF(NOT(ISNA(VLOOKUP(E3962,E$1:E3961,1,FALSE()))),"OLD",IF(AND(E3962&lt;&gt;"",E3962&lt;&gt;"!!!"),"NEW","")))</f>
        <v> </v>
      </c>
      <c r="G3962" s="23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4" t="str">
        <f>IF(J3962&lt;&gt;1,"",IF(I3962="SBJ","CB","?"))</f>
        <v> </v>
      </c>
      <c r="I3962" s="25" t="str">
        <f>IF(OR(E3962="",E3962="!!!",F3962="NEW"),"",INDEX(B3961:B$2,-1+SUMPRODUCT(MAX(ROW(E3961:E$2)*(E3962=E3961:E$2)))))</f>
        <v> </v>
      </c>
      <c r="J3962" s="25" t="str">
        <f>IF(OR(E3962="",E3962="!!!",F3962="NEW"),"",COUNTBLANK(OFFSET(A$1,,,SUMPRODUCT(MAX(ROW(E$2:E3962)*(E3962=E$2:E3962)))))-COUNTBLANK(OFFSET(A$1,,,SUMPRODUCT(MAX(ROW(E$1:E3961)*(E2=E$1:E3961))))))</f>
        <v> </v>
      </c>
      <c r="K3962" s="25" t="str">
        <f>IF(OR(E3962="",E3962="!!!",F3962="NEW"),"",INDEX(J$1:J3961,SUMPRODUCT(MAX(ROW(E$1:E3961)*(E3962=E$1:E3961)))))</f>
        <v> </v>
      </c>
      <c r="L3962" s="26"/>
    </row>
    <row r="3963" spans="1:12">
      <c r="A3963" s="20" t="s">
        <v>868</v>
      </c>
      <c r="E3963" s="21">
        <f>IF(D3963="?OLD","!!!","")</f>
        <v/>
      </c>
      <c r="F3963" s="22" t="str">
        <f>IF(OR(E3963="",E3963="!!!"),"",IF(NOT(ISNA(VLOOKUP(E3963,E$1:E3962,1,FALSE()))),"OLD",IF(AND(E3963&lt;&gt;"",E3963&lt;&gt;"!!!"),"NEW","")))</f>
        <v> </v>
      </c>
      <c r="G3963" s="23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4" t="str">
        <f>IF(J3963&lt;&gt;1,"",IF(I3963="SBJ","CB","?"))</f>
        <v> </v>
      </c>
      <c r="I3963" s="25" t="str">
        <f>IF(OR(E3963="",E3963="!!!",F3963="NEW"),"",INDEX(B3962:B$2,-1+SUMPRODUCT(MAX(ROW(E3962:E$2)*(E3963=E3962:E$2)))))</f>
        <v> </v>
      </c>
      <c r="J3963" s="25" t="str">
        <f>IF(OR(E3963="",E3963="!!!",F3963="NEW"),"",COUNTBLANK(OFFSET(A$1,,,SUMPRODUCT(MAX(ROW(E$2:E3963)*(E3963=E$2:E3963)))))-COUNTBLANK(OFFSET(A$1,,,SUMPRODUCT(MAX(ROW(E$1:E3962)*(E2=E$1:E3962))))))</f>
        <v> </v>
      </c>
      <c r="K3963" s="25" t="str">
        <f>IF(OR(E3963="",E3963="!!!",F3963="NEW"),"",INDEX(J$1:J3962,SUMPRODUCT(MAX(ROW(E$1:E3962)*(E3963=E$1:E3962)))))</f>
        <v> </v>
      </c>
      <c r="L3963" s="26"/>
    </row>
    <row r="3964" spans="1:12">
      <c r="A3964" s="20" t="s">
        <v>1215</v>
      </c>
      <c r="E3964" s="21">
        <f>IF(D3964="?OLD","!!!","")</f>
        <v/>
      </c>
      <c r="F3964" s="22" t="str">
        <f>IF(OR(E3964="",E3964="!!!"),"",IF(NOT(ISNA(VLOOKUP(E3964,E$1:E3963,1,FALSE()))),"OLD",IF(AND(E3964&lt;&gt;"",E3964&lt;&gt;"!!!"),"NEW","")))</f>
        <v> </v>
      </c>
      <c r="G3964" s="23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4" t="str">
        <f>IF(J3964&lt;&gt;1,"",IF(I3964="SBJ","CB","?"))</f>
        <v> </v>
      </c>
      <c r="I3964" s="25" t="str">
        <f>IF(OR(E3964="",E3964="!!!",F3964="NEW"),"",INDEX(B3963:B$2,-1+SUMPRODUCT(MAX(ROW(E3963:E$2)*(E3964=E3963:E$2)))))</f>
        <v> </v>
      </c>
      <c r="J3964" s="25" t="str">
        <f>IF(OR(E3964="",E3964="!!!",F3964="NEW"),"",COUNTBLANK(OFFSET(A$1,,,SUMPRODUCT(MAX(ROW(E$2:E3964)*(E3964=E$2:E3964)))))-COUNTBLANK(OFFSET(A$1,,,SUMPRODUCT(MAX(ROW(E$1:E3963)*(E2=E$1:E3963))))))</f>
        <v> </v>
      </c>
      <c r="K3964" s="25" t="str">
        <f>IF(OR(E3964="",E3964="!!!",F3964="NEW"),"",INDEX(J$1:J3963,SUMPRODUCT(MAX(ROW(E$1:E3963)*(E3964=E$1:E3963)))))</f>
        <v> </v>
      </c>
      <c r="L3964" s="26"/>
    </row>
    <row r="3965" spans="1:12">
      <c r="A3965" s="20" t="s">
        <v>219</v>
      </c>
      <c r="E3965" s="21">
        <f>IF(D3965="?OLD","!!!","")</f>
        <v/>
      </c>
      <c r="F3965" s="22" t="str">
        <f>IF(OR(E3965="",E3965="!!!"),"",IF(NOT(ISNA(VLOOKUP(E3965,E$1:E3964,1,FALSE()))),"OLD",IF(AND(E3965&lt;&gt;"",E3965&lt;&gt;"!!!"),"NEW","")))</f>
        <v> </v>
      </c>
      <c r="G3965" s="23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4" t="str">
        <f>IF(J3965&lt;&gt;1,"",IF(I3965="SBJ","CB","?"))</f>
        <v> </v>
      </c>
      <c r="I3965" s="25" t="str">
        <f>IF(OR(E3965="",E3965="!!!",F3965="NEW"),"",INDEX(B3964:B$2,-1+SUMPRODUCT(MAX(ROW(E3964:E$2)*(E3965=E3964:E$2)))))</f>
        <v> </v>
      </c>
      <c r="J3965" s="25" t="str">
        <f>IF(OR(E3965="",E3965="!!!",F3965="NEW"),"",COUNTBLANK(OFFSET(A$1,,,SUMPRODUCT(MAX(ROW(E$2:E3965)*(E3965=E$2:E3965)))))-COUNTBLANK(OFFSET(A$1,,,SUMPRODUCT(MAX(ROW(E$1:E3964)*(E2=E$1:E3964))))))</f>
        <v> </v>
      </c>
      <c r="K3965" s="25" t="str">
        <f>IF(OR(E3965="",E3965="!!!",F3965="NEW"),"",INDEX(J$1:J3964,SUMPRODUCT(MAX(ROW(E$1:E3964)*(E3965=E$1:E3964)))))</f>
        <v> </v>
      </c>
      <c r="L3965" s="26"/>
    </row>
    <row r="3966" spans="1:12">
      <c r="A3966" s="20" t="s">
        <v>1147</v>
      </c>
      <c r="B3966" s="27" t="s">
        <v>746</v>
      </c>
      <c r="C3966" s="27" t="s">
        <v>693</v>
      </c>
      <c r="D3966" s="27" t="s">
        <v>694</v>
      </c>
      <c r="E3966" s="21">
        <f>IF(D3966="?OLD","!!!","")</f>
        <v/>
      </c>
      <c r="F3966" s="22" t="str">
        <f>IF(OR(E3966="",E3966="!!!"),"",IF(NOT(ISNA(VLOOKUP(E3966,E$1:E3965,1,FALSE()))),"OLD",IF(AND(E3966&lt;&gt;"",E3966&lt;&gt;"!!!"),"NEW","")))</f>
        <v> </v>
      </c>
      <c r="G3966" s="23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4" t="str">
        <f>IF(J3966&lt;&gt;1,"",IF(I3966="SBJ","CB","?"))</f>
        <v> </v>
      </c>
      <c r="I3966" s="25" t="str">
        <f>IF(OR(E3966="",E3966="!!!",F3966="NEW"),"",INDEX(B3965:B$2,-1+SUMPRODUCT(MAX(ROW(E3965:E$2)*(E3966=E3965:E$2)))))</f>
        <v> </v>
      </c>
      <c r="J3966" s="25" t="str">
        <f>IF(OR(E3966="",E3966="!!!",F3966="NEW"),"",COUNTBLANK(OFFSET(A$1,,,SUMPRODUCT(MAX(ROW(E$2:E3966)*(E3966=E$2:E3966)))))-COUNTBLANK(OFFSET(A$1,,,SUMPRODUCT(MAX(ROW(E$1:E3965)*(E2=E$1:E3965))))))</f>
        <v> </v>
      </c>
      <c r="K3966" s="25" t="str">
        <f>IF(OR(E3966="",E3966="!!!",F3966="NEW"),"",INDEX(J$1:J3965,SUMPRODUCT(MAX(ROW(E$1:E3965)*(E3966=E$1:E3965)))))</f>
        <v> </v>
      </c>
      <c r="L3966" s="26"/>
    </row>
    <row r="3967" spans="1:12">
      <c r="A3967" s="20" t="s">
        <v>1228</v>
      </c>
      <c r="E3967" s="21">
        <f>IF(D3967="?OLD","!!!","")</f>
        <v/>
      </c>
      <c r="F3967" s="22" t="str">
        <f>IF(OR(E3967="",E3967="!!!"),"",IF(NOT(ISNA(VLOOKUP(E3967,E$1:E3966,1,FALSE()))),"OLD",IF(AND(E3967&lt;&gt;"",E3967&lt;&gt;"!!!"),"NEW","")))</f>
        <v> </v>
      </c>
      <c r="G3967" s="23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4" t="str">
        <f>IF(J3967&lt;&gt;1,"",IF(I3967="SBJ","CB","?"))</f>
        <v> </v>
      </c>
      <c r="I3967" s="25" t="str">
        <f>IF(OR(E3967="",E3967="!!!",F3967="NEW"),"",INDEX(B3966:B$2,-1+SUMPRODUCT(MAX(ROW(E3966:E$2)*(E3967=E3966:E$2)))))</f>
        <v> </v>
      </c>
      <c r="J3967" s="25" t="str">
        <f>IF(OR(E3967="",E3967="!!!",F3967="NEW"),"",COUNTBLANK(OFFSET(A$1,,,SUMPRODUCT(MAX(ROW(E$2:E3967)*(E3967=E$2:E3967)))))-COUNTBLANK(OFFSET(A$1,,,SUMPRODUCT(MAX(ROW(E$1:E3966)*(E2=E$1:E3966))))))</f>
        <v> </v>
      </c>
      <c r="K3967" s="25" t="str">
        <f>IF(OR(E3967="",E3967="!!!",F3967="NEW"),"",INDEX(J$1:J3966,SUMPRODUCT(MAX(ROW(E$1:E3966)*(E3967=E$1:E3966)))))</f>
        <v> </v>
      </c>
      <c r="L3967" s="26"/>
    </row>
    <row r="3968" spans="1:12">
      <c r="A3968" s="20" t="s">
        <v>200</v>
      </c>
      <c r="E3968" s="21">
        <f>IF(D3968="?OLD","!!!","")</f>
        <v/>
      </c>
      <c r="F3968" s="22" t="str">
        <f>IF(OR(E3968="",E3968="!!!"),"",IF(NOT(ISNA(VLOOKUP(E3968,E$1:E3967,1,FALSE()))),"OLD",IF(AND(E3968&lt;&gt;"",E3968&lt;&gt;"!!!"),"NEW","")))</f>
        <v> </v>
      </c>
      <c r="G3968" s="23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4" t="str">
        <f>IF(J3968&lt;&gt;1,"",IF(I3968="SBJ","CB","?"))</f>
        <v> </v>
      </c>
      <c r="I3968" s="25" t="str">
        <f>IF(OR(E3968="",E3968="!!!",F3968="NEW"),"",INDEX(B3967:B$2,-1+SUMPRODUCT(MAX(ROW(E3967:E$2)*(E3968=E3967:E$2)))))</f>
        <v> </v>
      </c>
      <c r="J3968" s="25" t="str">
        <f>IF(OR(E3968="",E3968="!!!",F3968="NEW"),"",COUNTBLANK(OFFSET(A$1,,,SUMPRODUCT(MAX(ROW(E$2:E3968)*(E3968=E$2:E3968)))))-COUNTBLANK(OFFSET(A$1,,,SUMPRODUCT(MAX(ROW(E$1:E3967)*(E2=E$1:E3967))))))</f>
        <v> </v>
      </c>
      <c r="K3968" s="25" t="str">
        <f>IF(OR(E3968="",E3968="!!!",F3968="NEW"),"",INDEX(J$1:J3967,SUMPRODUCT(MAX(ROW(E$1:E3967)*(E3968=E$1:E3967)))))</f>
        <v> </v>
      </c>
      <c r="L3968" s="26"/>
    </row>
    <row r="3969" spans="1:12">
      <c r="A3969" s="20" t="s">
        <v>722</v>
      </c>
      <c r="E3969" s="21">
        <f>IF(D3969="?OLD","!!!","")</f>
        <v/>
      </c>
      <c r="F3969" s="22" t="str">
        <f>IF(OR(E3969="",E3969="!!!"),"",IF(NOT(ISNA(VLOOKUP(E3969,E$1:E3968,1,FALSE()))),"OLD",IF(AND(E3969&lt;&gt;"",E3969&lt;&gt;"!!!"),"NEW","")))</f>
        <v> </v>
      </c>
      <c r="G3969" s="23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4" t="str">
        <f>IF(J3969&lt;&gt;1,"",IF(I3969="SBJ","CB","?"))</f>
        <v> </v>
      </c>
      <c r="I3969" s="25" t="str">
        <f>IF(OR(E3969="",E3969="!!!",F3969="NEW"),"",INDEX(B3968:B$2,-1+SUMPRODUCT(MAX(ROW(E3968:E$2)*(E3969=E3968:E$2)))))</f>
        <v> </v>
      </c>
      <c r="J3969" s="25" t="str">
        <f>IF(OR(E3969="",E3969="!!!",F3969="NEW"),"",COUNTBLANK(OFFSET(A$1,,,SUMPRODUCT(MAX(ROW(E$2:E3969)*(E3969=E$2:E3969)))))-COUNTBLANK(OFFSET(A$1,,,SUMPRODUCT(MAX(ROW(E$1:E3968)*(E2=E$1:E3968))))))</f>
        <v> </v>
      </c>
      <c r="K3969" s="25" t="str">
        <f>IF(OR(E3969="",E3969="!!!",F3969="NEW"),"",INDEX(J$1:J3968,SUMPRODUCT(MAX(ROW(E$1:E3968)*(E3969=E$1:E3968)))))</f>
        <v> </v>
      </c>
      <c r="L3969" s="26"/>
    </row>
    <row r="3970" spans="1:12">
      <c r="A3970" s="20" t="s">
        <v>690</v>
      </c>
      <c r="E3970" s="21">
        <f>IF(D3970="?OLD","!!!","")</f>
        <v/>
      </c>
      <c r="F3970" s="22" t="str">
        <f>IF(OR(E3970="",E3970="!!!"),"",IF(NOT(ISNA(VLOOKUP(E3970,E$1:E3969,1,FALSE()))),"OLD",IF(AND(E3970&lt;&gt;"",E3970&lt;&gt;"!!!"),"NEW","")))</f>
        <v> </v>
      </c>
      <c r="G3970" s="23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4" t="str">
        <f>IF(J3970&lt;&gt;1,"",IF(I3970="SBJ","CB","?"))</f>
        <v> </v>
      </c>
      <c r="I3970" s="25" t="str">
        <f>IF(OR(E3970="",E3970="!!!",F3970="NEW"),"",INDEX(B3969:B$2,-1+SUMPRODUCT(MAX(ROW(E3969:E$2)*(E3970=E3969:E$2)))))</f>
        <v> </v>
      </c>
      <c r="J3970" s="25" t="str">
        <f>IF(OR(E3970="",E3970="!!!",F3970="NEW"),"",COUNTBLANK(OFFSET(A$1,,,SUMPRODUCT(MAX(ROW(E$2:E3970)*(E3970=E$2:E3970)))))-COUNTBLANK(OFFSET(A$1,,,SUMPRODUCT(MAX(ROW(E$1:E3969)*(E2=E$1:E3969))))))</f>
        <v> </v>
      </c>
      <c r="K3970" s="25" t="str">
        <f>IF(OR(E3970="",E3970="!!!",F3970="NEW"),"",INDEX(J$1:J3969,SUMPRODUCT(MAX(ROW(E$1:E3969)*(E3970=E$1:E3969)))))</f>
        <v> </v>
      </c>
      <c r="L3970" s="26"/>
    </row>
    <row r="3971" spans="1:12">
      <c r="A3971" s="20" t="s">
        <v>1716</v>
      </c>
      <c r="B3971" s="27" t="s">
        <v>746</v>
      </c>
      <c r="C3971" s="27" t="s">
        <v>693</v>
      </c>
      <c r="D3971" s="27" t="s">
        <v>694</v>
      </c>
      <c r="E3971" s="21">
        <f>IF(D3971="?OLD","!!!","")</f>
        <v/>
      </c>
      <c r="F3971" s="22" t="str">
        <f>IF(OR(E3971="",E3971="!!!"),"",IF(NOT(ISNA(VLOOKUP(E3971,E$1:E3970,1,FALSE()))),"OLD",IF(AND(E3971&lt;&gt;"",E3971&lt;&gt;"!!!"),"NEW","")))</f>
        <v> </v>
      </c>
      <c r="G3971" s="23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4" t="str">
        <f>IF(J3971&lt;&gt;1,"",IF(I3971="SBJ","CB","?"))</f>
        <v> </v>
      </c>
      <c r="I3971" s="25" t="str">
        <f>IF(OR(E3971="",E3971="!!!",F3971="NEW"),"",INDEX(B3970:B$2,-1+SUMPRODUCT(MAX(ROW(E3970:E$2)*(E3971=E3970:E$2)))))</f>
        <v> </v>
      </c>
      <c r="J3971" s="25" t="str">
        <f>IF(OR(E3971="",E3971="!!!",F3971="NEW"),"",COUNTBLANK(OFFSET(A$1,,,SUMPRODUCT(MAX(ROW(E$2:E3971)*(E3971=E$2:E3971)))))-COUNTBLANK(OFFSET(A$1,,,SUMPRODUCT(MAX(ROW(E$1:E3970)*(E2=E$1:E3970))))))</f>
        <v> </v>
      </c>
      <c r="K3971" s="25" t="str">
        <f>IF(OR(E3971="",E3971="!!!",F3971="NEW"),"",INDEX(J$1:J3970,SUMPRODUCT(MAX(ROW(E$1:E3970)*(E3971=E$1:E3970)))))</f>
        <v> </v>
      </c>
      <c r="L3971" s="26"/>
    </row>
    <row r="3972" spans="1:12">
      <c r="A3972" s="20" t="s">
        <v>1717</v>
      </c>
      <c r="E3972" s="21">
        <f>IF(D3972="?OLD","!!!","")</f>
        <v/>
      </c>
      <c r="F3972" s="22" t="str">
        <f>IF(OR(E3972="",E3972="!!!"),"",IF(NOT(ISNA(VLOOKUP(E3972,E$1:E3971,1,FALSE()))),"OLD",IF(AND(E3972&lt;&gt;"",E3972&lt;&gt;"!!!"),"NEW","")))</f>
        <v> </v>
      </c>
      <c r="G3972" s="23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4" t="str">
        <f>IF(J3972&lt;&gt;1,"",IF(I3972="SBJ","CB","?"))</f>
        <v> </v>
      </c>
      <c r="I3972" s="25" t="str">
        <f>IF(OR(E3972="",E3972="!!!",F3972="NEW"),"",INDEX(B3971:B$2,-1+SUMPRODUCT(MAX(ROW(E3971:E$2)*(E3972=E3971:E$2)))))</f>
        <v> </v>
      </c>
      <c r="J3972" s="25" t="str">
        <f>IF(OR(E3972="",E3972="!!!",F3972="NEW"),"",COUNTBLANK(OFFSET(A$1,,,SUMPRODUCT(MAX(ROW(E$2:E3972)*(E3972=E$2:E3972)))))-COUNTBLANK(OFFSET(A$1,,,SUMPRODUCT(MAX(ROW(E$1:E3971)*(E2=E$1:E3971))))))</f>
        <v> </v>
      </c>
      <c r="K3972" s="25" t="str">
        <f>IF(OR(E3972="",E3972="!!!",F3972="NEW"),"",INDEX(J$1:J3971,SUMPRODUCT(MAX(ROW(E$1:E3971)*(E3972=E$1:E3971)))))</f>
        <v> </v>
      </c>
      <c r="L3972" s="26"/>
    </row>
    <row r="3973" spans="1:12">
      <c r="A3973" s="20" t="s">
        <v>739</v>
      </c>
      <c r="E3973" s="21">
        <f>IF(D3973="?OLD","!!!","")</f>
        <v/>
      </c>
      <c r="F3973" s="22" t="str">
        <f>IF(OR(E3973="",E3973="!!!"),"",IF(NOT(ISNA(VLOOKUP(E3973,E$1:E3972,1,FALSE()))),"OLD",IF(AND(E3973&lt;&gt;"",E3973&lt;&gt;"!!!"),"NEW","")))</f>
        <v> </v>
      </c>
      <c r="G3973" s="23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4" t="str">
        <f>IF(J3973&lt;&gt;1,"",IF(I3973="SBJ","CB","?"))</f>
        <v> </v>
      </c>
      <c r="I3973" s="25" t="str">
        <f>IF(OR(E3973="",E3973="!!!",F3973="NEW"),"",INDEX(B3972:B$2,-1+SUMPRODUCT(MAX(ROW(E3972:E$2)*(E3973=E3972:E$2)))))</f>
        <v> </v>
      </c>
      <c r="J3973" s="25" t="str">
        <f>IF(OR(E3973="",E3973="!!!",F3973="NEW"),"",COUNTBLANK(OFFSET(A$1,,,SUMPRODUCT(MAX(ROW(E$2:E3973)*(E3973=E$2:E3973)))))-COUNTBLANK(OFFSET(A$1,,,SUMPRODUCT(MAX(ROW(E$1:E3972)*(E2=E$1:E3972))))))</f>
        <v> </v>
      </c>
      <c r="K3973" s="25" t="str">
        <f>IF(OR(E3973="",E3973="!!!",F3973="NEW"),"",INDEX(J$1:J3972,SUMPRODUCT(MAX(ROW(E$1:E3972)*(E3973=E$1:E3972)))))</f>
        <v> </v>
      </c>
      <c r="L3973" s="26"/>
    </row>
    <row r="3974" spans="1:12">
      <c r="A3974" s="20" t="s">
        <v>1516</v>
      </c>
      <c r="E3974" s="21">
        <f>IF(D3974="?OLD","!!!","")</f>
        <v/>
      </c>
      <c r="F3974" s="22" t="str">
        <f>IF(OR(E3974="",E3974="!!!"),"",IF(NOT(ISNA(VLOOKUP(E3974,E$1:E3973,1,FALSE()))),"OLD",IF(AND(E3974&lt;&gt;"",E3974&lt;&gt;"!!!"),"NEW","")))</f>
        <v> </v>
      </c>
      <c r="G3974" s="23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4" t="str">
        <f>IF(J3974&lt;&gt;1,"",IF(I3974="SBJ","CB","?"))</f>
        <v> </v>
      </c>
      <c r="I3974" s="25" t="str">
        <f>IF(OR(E3974="",E3974="!!!",F3974="NEW"),"",INDEX(B3973:B$2,-1+SUMPRODUCT(MAX(ROW(E3973:E$2)*(E3974=E3973:E$2)))))</f>
        <v> </v>
      </c>
      <c r="J3974" s="25" t="str">
        <f>IF(OR(E3974="",E3974="!!!",F3974="NEW"),"",COUNTBLANK(OFFSET(A$1,,,SUMPRODUCT(MAX(ROW(E$2:E3974)*(E3974=E$2:E3974)))))-COUNTBLANK(OFFSET(A$1,,,SUMPRODUCT(MAX(ROW(E$1:E3973)*(E2=E$1:E3973))))))</f>
        <v> </v>
      </c>
      <c r="K3974" s="25" t="str">
        <f>IF(OR(E3974="",E3974="!!!",F3974="NEW"),"",INDEX(J$1:J3973,SUMPRODUCT(MAX(ROW(E$1:E3973)*(E3974=E$1:E3973)))))</f>
        <v> </v>
      </c>
      <c r="L3974" s="26"/>
    </row>
    <row r="3975" spans="1:12">
      <c r="A3975" s="20" t="s">
        <v>752</v>
      </c>
      <c r="E3975" s="21">
        <f>IF(D3975="?OLD","!!!","")</f>
        <v/>
      </c>
      <c r="F3975" s="22" t="str">
        <f>IF(OR(E3975="",E3975="!!!"),"",IF(NOT(ISNA(VLOOKUP(E3975,E$1:E3974,1,FALSE()))),"OLD",IF(AND(E3975&lt;&gt;"",E3975&lt;&gt;"!!!"),"NEW","")))</f>
        <v> </v>
      </c>
      <c r="G3975" s="23" t="str">
        <f>IF(OR(E3975="",E3975="!!!"),"",IF(OR(J3975=0,AND(J3975=1,K3975=1),AND(J3975=1,I3975="SBJ"),AND(J3975=1,I3975=0)),"?IN_FOCUS",IF(J3975&lt;=2,"?ACTIVATED",IF(J3975&lt;&gt;"","?FAMILIAR",IF(F3975="NEW",IF(ISNA(VLOOKUP(E3975,#REF!,1,FALSE())),"?TYPE_IDENTIFIABLE","?REFERENTIAL"),"_")))))</f>
        <v> </v>
      </c>
      <c r="H3975" s="24" t="str">
        <f>IF(J3975&lt;&gt;1,"",IF(I3975="SBJ","CB","?"))</f>
        <v> </v>
      </c>
      <c r="I3975" s="25" t="str">
        <f>IF(OR(E3975="",E3975="!!!",F3975="NEW"),"",INDEX(B3974:B$2,-1+SUMPRODUCT(MAX(ROW(E3974:E$2)*(E3975=E3974:E$2)))))</f>
        <v> </v>
      </c>
      <c r="J3975" s="25" t="str">
        <f>IF(OR(E3975="",E3975="!!!",F3975="NEW"),"",COUNTBLANK(OFFSET(A$1,,,SUMPRODUCT(MAX(ROW(E$2:E3975)*(E3975=E$2:E3975)))))-COUNTBLANK(OFFSET(A$1,,,SUMPRODUCT(MAX(ROW(E$1:E3974)*(E2=E$1:E3974))))))</f>
        <v> </v>
      </c>
      <c r="K3975" s="25" t="str">
        <f>IF(OR(E3975="",E3975="!!!",F3975="NEW"),"",INDEX(J$1:J3974,SUMPRODUCT(MAX(ROW(E$1:E3974)*(E3975=E$1:E3974)))))</f>
        <v> </v>
      </c>
      <c r="L3975" s="26"/>
    </row>
    <row r="3976" spans="1:12">
      <c r="A3976" s="20" t="s">
        <v>1718</v>
      </c>
      <c r="E3976" s="21">
        <f>IF(D3976="?OLD","!!!","")</f>
        <v/>
      </c>
      <c r="F3976" s="22" t="str">
        <f>IF(OR(E3976="",E3976="!!!"),"",IF(NOT(ISNA(VLOOKUP(E3976,E$1:E3975,1,FALSE()))),"OLD",IF(AND(E3976&lt;&gt;"",E3976&lt;&gt;"!!!"),"NEW","")))</f>
        <v> </v>
      </c>
      <c r="G3976" s="23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4" t="str">
        <f>IF(J3976&lt;&gt;1,"",IF(I3976="SBJ","CB","?"))</f>
        <v> </v>
      </c>
      <c r="I3976" s="25" t="str">
        <f>IF(OR(E3976="",E3976="!!!",F3976="NEW"),"",INDEX(B3975:B$2,-1+SUMPRODUCT(MAX(ROW(E3975:E$2)*(E3976=E3975:E$2)))))</f>
        <v> </v>
      </c>
      <c r="J3976" s="25" t="str">
        <f>IF(OR(E3976="",E3976="!!!",F3976="NEW"),"",COUNTBLANK(OFFSET(A$1,,,SUMPRODUCT(MAX(ROW(E$2:E3976)*(E3976=E$2:E3976)))))-COUNTBLANK(OFFSET(A$1,,,SUMPRODUCT(MAX(ROW(E$1:E3975)*(E2=E$1:E3975))))))</f>
        <v> </v>
      </c>
      <c r="K3976" s="25" t="str">
        <f>IF(OR(E3976="",E3976="!!!",F3976="NEW"),"",INDEX(J$1:J3975,SUMPRODUCT(MAX(ROW(E$1:E3975)*(E3976=E$1:E3975)))))</f>
        <v> </v>
      </c>
      <c r="L3976" s="26"/>
    </row>
    <row r="3977" spans="1:12">
      <c r="A3977" s="20" t="s">
        <v>701</v>
      </c>
      <c r="E3977" s="21">
        <f>IF(D3977="?OLD","!!!","")</f>
        <v/>
      </c>
      <c r="F3977" s="22" t="str">
        <f>IF(OR(E3977="",E3977="!!!"),"",IF(NOT(ISNA(VLOOKUP(E3977,E$1:E3976,1,FALSE()))),"OLD",IF(AND(E3977&lt;&gt;"",E3977&lt;&gt;"!!!"),"NEW","")))</f>
        <v> </v>
      </c>
      <c r="G3977" s="23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4" t="str">
        <f>IF(J3977&lt;&gt;1,"",IF(I3977="SBJ","CB","?"))</f>
        <v> </v>
      </c>
      <c r="I3977" s="25" t="str">
        <f>IF(OR(E3977="",E3977="!!!",F3977="NEW"),"",INDEX(B3976:B$2,-1+SUMPRODUCT(MAX(ROW(E3976:E$2)*(E3977=E3976:E$2)))))</f>
        <v> </v>
      </c>
      <c r="J3977" s="25" t="str">
        <f>IF(OR(E3977="",E3977="!!!",F3977="NEW"),"",COUNTBLANK(OFFSET(A$1,,,SUMPRODUCT(MAX(ROW(E$2:E3977)*(E3977=E$2:E3977)))))-COUNTBLANK(OFFSET(A$1,,,SUMPRODUCT(MAX(ROW(E$1:E3976)*(E2=E$1:E3976))))))</f>
        <v> </v>
      </c>
      <c r="K3977" s="25" t="str">
        <f>IF(OR(E3977="",E3977="!!!",F3977="NEW"),"",INDEX(J$1:J3976,SUMPRODUCT(MAX(ROW(E$1:E3976)*(E3977=E$1:E3976)))))</f>
        <v> </v>
      </c>
      <c r="L3977" s="26"/>
    </row>
    <row r="3978" spans="1:12">
      <c r="A3978" s="20" t="s">
        <v>724</v>
      </c>
      <c r="E3978" s="21">
        <f>IF(D3978="?OLD","!!!","")</f>
        <v/>
      </c>
      <c r="F3978" s="22" t="str">
        <f>IF(OR(E3978="",E3978="!!!"),"",IF(NOT(ISNA(VLOOKUP(E3978,E$1:E3977,1,FALSE()))),"OLD",IF(AND(E3978&lt;&gt;"",E3978&lt;&gt;"!!!"),"NEW","")))</f>
        <v> </v>
      </c>
      <c r="G3978" s="23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4" t="str">
        <f>IF(J3978&lt;&gt;1,"",IF(I3978="SBJ","CB","?"))</f>
        <v> </v>
      </c>
      <c r="I3978" s="25" t="str">
        <f>IF(OR(E3978="",E3978="!!!",F3978="NEW"),"",INDEX(B3977:B$2,-1+SUMPRODUCT(MAX(ROW(E3977:E$2)*(E3978=E3977:E$2)))))</f>
        <v> </v>
      </c>
      <c r="J3978" s="25" t="str">
        <f>IF(OR(E3978="",E3978="!!!",F3978="NEW"),"",COUNTBLANK(OFFSET(A$1,,,SUMPRODUCT(MAX(ROW(E$2:E3978)*(E3978=E$2:E3978)))))-COUNTBLANK(OFFSET(A$1,,,SUMPRODUCT(MAX(ROW(E$1:E3977)*(E2=E$1:E3977))))))</f>
        <v> </v>
      </c>
      <c r="K3978" s="25" t="str">
        <f>IF(OR(E3978="",E3978="!!!",F3978="NEW"),"",INDEX(J$1:J3977,SUMPRODUCT(MAX(ROW(E$1:E3977)*(E3978=E$1:E3977)))))</f>
        <v> </v>
      </c>
      <c r="L3978" s="26"/>
    </row>
    <row r="3979" spans="1:12">
      <c r="A3979" s="20" t="s">
        <v>1706</v>
      </c>
      <c r="E3979" s="21">
        <f>IF(D3979="?OLD","!!!","")</f>
        <v/>
      </c>
      <c r="F3979" s="22" t="str">
        <f>IF(OR(E3979="",E3979="!!!"),"",IF(NOT(ISNA(VLOOKUP(E3979,E$1:E3978,1,FALSE()))),"OLD",IF(AND(E3979&lt;&gt;"",E3979&lt;&gt;"!!!"),"NEW","")))</f>
        <v> </v>
      </c>
      <c r="G3979" s="23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4" t="str">
        <f>IF(J3979&lt;&gt;1,"",IF(I3979="SBJ","CB","?"))</f>
        <v> </v>
      </c>
      <c r="I3979" s="25" t="str">
        <f>IF(OR(E3979="",E3979="!!!",F3979="NEW"),"",INDEX(B3978:B$2,-1+SUMPRODUCT(MAX(ROW(E3978:E$2)*(E3979=E3978:E$2)))))</f>
        <v> </v>
      </c>
      <c r="J3979" s="25" t="str">
        <f>IF(OR(E3979="",E3979="!!!",F3979="NEW"),"",COUNTBLANK(OFFSET(A$1,,,SUMPRODUCT(MAX(ROW(E$2:E3979)*(E3979=E$2:E3979)))))-COUNTBLANK(OFFSET(A$1,,,SUMPRODUCT(MAX(ROW(E$1:E3978)*(E2=E$1:E3978))))))</f>
        <v> </v>
      </c>
      <c r="K3979" s="25" t="str">
        <f>IF(OR(E3979="",E3979="!!!",F3979="NEW"),"",INDEX(J$1:J3978,SUMPRODUCT(MAX(ROW(E$1:E3978)*(E3979=E$1:E3978)))))</f>
        <v> </v>
      </c>
      <c r="L3979" s="26"/>
    </row>
    <row r="3980" spans="1:12">
      <c r="A3980" s="20" t="s">
        <v>727</v>
      </c>
      <c r="B3980" s="27" t="s">
        <v>867</v>
      </c>
      <c r="C3980" s="27" t="s">
        <v>693</v>
      </c>
      <c r="D3980" s="27" t="s">
        <v>694</v>
      </c>
      <c r="E3980" s="21">
        <f>IF(D3980="?OLD","!!!","")</f>
        <v/>
      </c>
      <c r="F3980" s="22" t="str">
        <f>IF(OR(E3980="",E3980="!!!"),"",IF(NOT(ISNA(VLOOKUP(E3980,E$1:E3979,1,FALSE()))),"OLD",IF(AND(E3980&lt;&gt;"",E3980&lt;&gt;"!!!"),"NEW","")))</f>
        <v> </v>
      </c>
      <c r="G3980" s="23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4" t="str">
        <f>IF(J3980&lt;&gt;1,"",IF(I3980="SBJ","CB","?"))</f>
        <v> </v>
      </c>
      <c r="I3980" s="25" t="str">
        <f>IF(OR(E3980="",E3980="!!!",F3980="NEW"),"",INDEX(B3979:B$2,-1+SUMPRODUCT(MAX(ROW(E3979:E$2)*(E3980=E3979:E$2)))))</f>
        <v> </v>
      </c>
      <c r="J3980" s="25" t="str">
        <f>IF(OR(E3980="",E3980="!!!",F3980="NEW"),"",COUNTBLANK(OFFSET(A$1,,,SUMPRODUCT(MAX(ROW(E$2:E3980)*(E3980=E$2:E3980)))))-COUNTBLANK(OFFSET(A$1,,,SUMPRODUCT(MAX(ROW(E$1:E3979)*(E2=E$1:E3979))))))</f>
        <v> </v>
      </c>
      <c r="K3980" s="25" t="str">
        <f>IF(OR(E3980="",E3980="!!!",F3980="NEW"),"",INDEX(J$1:J3979,SUMPRODUCT(MAX(ROW(E$1:E3979)*(E3980=E$1:E3979)))))</f>
        <v> </v>
      </c>
      <c r="L3980" s="26"/>
    </row>
    <row r="3981" spans="1:12">
      <c r="A3981" s="20" t="s">
        <v>704</v>
      </c>
      <c r="E3981" s="21">
        <f>IF(D3981="?OLD","!!!","")</f>
        <v/>
      </c>
      <c r="F3981" s="22" t="str">
        <f>IF(OR(E3981="",E3981="!!!"),"",IF(NOT(ISNA(VLOOKUP(E3981,E$1:E3980,1,FALSE()))),"OLD",IF(AND(E3981&lt;&gt;"",E3981&lt;&gt;"!!!"),"NEW","")))</f>
        <v> </v>
      </c>
      <c r="G3981" s="23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4" t="str">
        <f>IF(J3981&lt;&gt;1,"",IF(I3981="SBJ","CB","?"))</f>
        <v> </v>
      </c>
      <c r="I3981" s="25" t="str">
        <f>IF(OR(E3981="",E3981="!!!",F3981="NEW"),"",INDEX(B3980:B$2,-1+SUMPRODUCT(MAX(ROW(E3980:E$2)*(E3981=E3980:E$2)))))</f>
        <v> </v>
      </c>
      <c r="J3981" s="25" t="str">
        <f>IF(OR(E3981="",E3981="!!!",F3981="NEW"),"",COUNTBLANK(OFFSET(A$1,,,SUMPRODUCT(MAX(ROW(E$2:E3981)*(E3981=E$2:E3981)))))-COUNTBLANK(OFFSET(A$1,,,SUMPRODUCT(MAX(ROW(E$1:E3980)*(E2=E$1:E3980))))))</f>
        <v> </v>
      </c>
      <c r="K3981" s="25" t="str">
        <f>IF(OR(E3981="",E3981="!!!",F3981="NEW"),"",INDEX(J$1:J3980,SUMPRODUCT(MAX(ROW(E$1:E3980)*(E3981=E$1:E3980)))))</f>
        <v> </v>
      </c>
      <c r="L3981" s="26"/>
    </row>
    <row r="3982" spans="1:12">
      <c r="A3982" s="20"/>
    </row>
    <row r="3983" spans="1:12">
      <c r="A3983" s="20" t="s">
        <v>1719</v>
      </c>
    </row>
    <row r="3984" spans="1:12">
      <c r="A3984" s="20" t="s">
        <v>1585</v>
      </c>
      <c r="E3984" s="21">
        <f>IF(D3984="?OLD","!!!","")</f>
        <v/>
      </c>
      <c r="F3984" s="22" t="str">
        <f>IF(OR(E3984="",E3984="!!!"),"",IF(NOT(ISNA(VLOOKUP(E3984,E$1:E3983,1,FALSE()))),"OLD",IF(AND(E3984&lt;&gt;"",E3984&lt;&gt;"!!!"),"NEW","")))</f>
        <v> </v>
      </c>
      <c r="G3984" s="23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4" t="str">
        <f>IF(J3984&lt;&gt;1,"",IF(I3984="SBJ","CB","?"))</f>
        <v> </v>
      </c>
      <c r="I3984" s="25" t="str">
        <f>IF(OR(E3984="",E3984="!!!",F3984="NEW"),"",INDEX(B3983:B$2,-1+SUMPRODUCT(MAX(ROW(E3983:E$2)*(E3984=E3983:E$2)))))</f>
        <v> </v>
      </c>
      <c r="J3984" s="25" t="str">
        <f>IF(OR(E3984="",E3984="!!!",F3984="NEW"),"",COUNTBLANK(OFFSET(A$1,,,SUMPRODUCT(MAX(ROW(E$2:E3984)*(E3984=E$2:E3984)))))-COUNTBLANK(OFFSET(A$1,,,SUMPRODUCT(MAX(ROW(E$1:E3983)*(E2=E$1:E3983))))))</f>
        <v> </v>
      </c>
      <c r="K3984" s="25" t="str">
        <f>IF(OR(E3984="",E3984="!!!",F3984="NEW"),"",INDEX(J$1:J3983,SUMPRODUCT(MAX(ROW(E$1:E3983)*(E3984=E$1:E3983)))))</f>
        <v> </v>
      </c>
      <c r="L3984" s="26"/>
    </row>
    <row r="3985" spans="1:12">
      <c r="A3985" s="20" t="s">
        <v>585</v>
      </c>
      <c r="E3985" s="21">
        <f>IF(D3985="?OLD","!!!","")</f>
        <v/>
      </c>
      <c r="F3985" s="22" t="str">
        <f>IF(OR(E3985="",E3985="!!!"),"",IF(NOT(ISNA(VLOOKUP(E3985,E$1:E3984,1,FALSE()))),"OLD",IF(AND(E3985&lt;&gt;"",E3985&lt;&gt;"!!!"),"NEW","")))</f>
        <v> </v>
      </c>
      <c r="G3985" s="23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4" t="str">
        <f>IF(J3985&lt;&gt;1,"",IF(I3985="SBJ","CB","?"))</f>
        <v> </v>
      </c>
      <c r="I3985" s="25" t="str">
        <f>IF(OR(E3985="",E3985="!!!",F3985="NEW"),"",INDEX(B3984:B$2,-1+SUMPRODUCT(MAX(ROW(E3984:E$2)*(E3985=E3984:E$2)))))</f>
        <v> </v>
      </c>
      <c r="J3985" s="25" t="str">
        <f>IF(OR(E3985="",E3985="!!!",F3985="NEW"),"",COUNTBLANK(OFFSET(A$1,,,SUMPRODUCT(MAX(ROW(E$2:E3985)*(E3985=E$2:E3985)))))-COUNTBLANK(OFFSET(A$1,,,SUMPRODUCT(MAX(ROW(E$1:E3984)*(E2=E$1:E3984))))))</f>
        <v> </v>
      </c>
      <c r="K3985" s="25" t="str">
        <f>IF(OR(E3985="",E3985="!!!",F3985="NEW"),"",INDEX(J$1:J3984,SUMPRODUCT(MAX(ROW(E$1:E3984)*(E3985=E$1:E3984)))))</f>
        <v> </v>
      </c>
      <c r="L3985" s="26"/>
    </row>
    <row r="3986" spans="1:12">
      <c r="A3986" s="20" t="s">
        <v>1215</v>
      </c>
      <c r="E3986" s="21">
        <f>IF(D3986="?OLD","!!!","")</f>
        <v/>
      </c>
      <c r="F3986" s="22" t="str">
        <f>IF(OR(E3986="",E3986="!!!"),"",IF(NOT(ISNA(VLOOKUP(E3986,E$1:E3985,1,FALSE()))),"OLD",IF(AND(E3986&lt;&gt;"",E3986&lt;&gt;"!!!"),"NEW","")))</f>
        <v> </v>
      </c>
      <c r="G3986" s="23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4" t="str">
        <f>IF(J3986&lt;&gt;1,"",IF(I3986="SBJ","CB","?"))</f>
        <v> </v>
      </c>
      <c r="I3986" s="25" t="str">
        <f>IF(OR(E3986="",E3986="!!!",F3986="NEW"),"",INDEX(B3985:B$2,-1+SUMPRODUCT(MAX(ROW(E3985:E$2)*(E3986=E3985:E$2)))))</f>
        <v> </v>
      </c>
      <c r="J3986" s="25" t="str">
        <f>IF(OR(E3986="",E3986="!!!",F3986="NEW"),"",COUNTBLANK(OFFSET(A$1,,,SUMPRODUCT(MAX(ROW(E$2:E3986)*(E3986=E$2:E3986)))))-COUNTBLANK(OFFSET(A$1,,,SUMPRODUCT(MAX(ROW(E$1:E3985)*(E2=E$1:E3985))))))</f>
        <v> </v>
      </c>
      <c r="K3986" s="25" t="str">
        <f>IF(OR(E3986="",E3986="!!!",F3986="NEW"),"",INDEX(J$1:J3985,SUMPRODUCT(MAX(ROW(E$1:E3985)*(E3986=E$1:E3985)))))</f>
        <v> </v>
      </c>
      <c r="L3986" s="26"/>
    </row>
    <row r="3987" spans="1:12">
      <c r="A3987" s="20" t="s">
        <v>1720</v>
      </c>
      <c r="B3987" s="27" t="s">
        <v>703</v>
      </c>
      <c r="C3987" s="27" t="s">
        <v>717</v>
      </c>
      <c r="D3987" s="27" t="s">
        <v>694</v>
      </c>
      <c r="E3987" s="21">
        <f>IF(D3987="?OLD","!!!","")</f>
        <v/>
      </c>
      <c r="F3987" s="22" t="str">
        <f>IF(OR(E3987="",E3987="!!!"),"",IF(NOT(ISNA(VLOOKUP(E3987,E$1:E3986,1,FALSE()))),"OLD",IF(AND(E3987&lt;&gt;"",E3987&lt;&gt;"!!!"),"NEW","")))</f>
        <v> </v>
      </c>
      <c r="G3987" s="23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4" t="str">
        <f>IF(J3987&lt;&gt;1,"",IF(I3987="SBJ","CB","?"))</f>
        <v> </v>
      </c>
      <c r="I3987" s="25" t="str">
        <f>IF(OR(E3987="",E3987="!!!",F3987="NEW"),"",INDEX(B3986:B$2,-1+SUMPRODUCT(MAX(ROW(E3986:E$2)*(E3987=E3986:E$2)))))</f>
        <v> </v>
      </c>
      <c r="J3987" s="25" t="str">
        <f>IF(OR(E3987="",E3987="!!!",F3987="NEW"),"",COUNTBLANK(OFFSET(A$1,,,SUMPRODUCT(MAX(ROW(E$2:E3987)*(E3987=E$2:E3987)))))-COUNTBLANK(OFFSET(A$1,,,SUMPRODUCT(MAX(ROW(E$1:E3986)*(E2=E$1:E3986))))))</f>
        <v> </v>
      </c>
      <c r="K3987" s="25" t="str">
        <f>IF(OR(E3987="",E3987="!!!",F3987="NEW"),"",INDEX(J$1:J3986,SUMPRODUCT(MAX(ROW(E$1:E3986)*(E3987=E$1:E3986)))))</f>
        <v> </v>
      </c>
      <c r="L3987" s="26"/>
    </row>
    <row r="3988" spans="1:12">
      <c r="A3988" s="20" t="s">
        <v>690</v>
      </c>
      <c r="E3988" s="21">
        <f>IF(D3988="?OLD","!!!","")</f>
        <v/>
      </c>
      <c r="F3988" s="22" t="str">
        <f>IF(OR(E3988="",E3988="!!!"),"",IF(NOT(ISNA(VLOOKUP(E3988,E$1:E3987,1,FALSE()))),"OLD",IF(AND(E3988&lt;&gt;"",E3988&lt;&gt;"!!!"),"NEW","")))</f>
        <v> </v>
      </c>
      <c r="G3988" s="23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4" t="str">
        <f>IF(J3988&lt;&gt;1,"",IF(I3988="SBJ","CB","?"))</f>
        <v> </v>
      </c>
      <c r="I3988" s="25" t="str">
        <f>IF(OR(E3988="",E3988="!!!",F3988="NEW"),"",INDEX(B3987:B$2,-1+SUMPRODUCT(MAX(ROW(E3987:E$2)*(E3988=E3987:E$2)))))</f>
        <v> </v>
      </c>
      <c r="J3988" s="25" t="str">
        <f>IF(OR(E3988="",E3988="!!!",F3988="NEW"),"",COUNTBLANK(OFFSET(A$1,,,SUMPRODUCT(MAX(ROW(E$2:E3988)*(E3988=E$2:E3988)))))-COUNTBLANK(OFFSET(A$1,,,SUMPRODUCT(MAX(ROW(E$1:E3987)*(E2=E$1:E3987))))))</f>
        <v> </v>
      </c>
      <c r="K3988" s="25" t="str">
        <f>IF(OR(E3988="",E3988="!!!",F3988="NEW"),"",INDEX(J$1:J3987,SUMPRODUCT(MAX(ROW(E$1:E3987)*(E3988=E$1:E3987)))))</f>
        <v> </v>
      </c>
      <c r="L3988" s="26"/>
    </row>
    <row r="3989" spans="1:12">
      <c r="A3989" s="20" t="s">
        <v>1721</v>
      </c>
      <c r="B3989" s="27" t="s">
        <v>746</v>
      </c>
      <c r="C3989" s="27" t="s">
        <v>693</v>
      </c>
      <c r="D3989" s="27" t="s">
        <v>694</v>
      </c>
      <c r="E3989" s="21">
        <f>IF(D3989="?OLD","!!!","")</f>
        <v/>
      </c>
      <c r="F3989" s="22" t="str">
        <f>IF(OR(E3989="",E3989="!!!"),"",IF(NOT(ISNA(VLOOKUP(E3989,E$1:E3988,1,FALSE()))),"OLD",IF(AND(E3989&lt;&gt;"",E3989&lt;&gt;"!!!"),"NEW","")))</f>
        <v> </v>
      </c>
      <c r="G3989" s="23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4" t="str">
        <f>IF(J3989&lt;&gt;1,"",IF(I3989="SBJ","CB","?"))</f>
        <v> </v>
      </c>
      <c r="I3989" s="25" t="str">
        <f>IF(OR(E3989="",E3989="!!!",F3989="NEW"),"",INDEX(B3988:B$2,-1+SUMPRODUCT(MAX(ROW(E3988:E$2)*(E3989=E3988:E$2)))))</f>
        <v> </v>
      </c>
      <c r="J3989" s="25" t="str">
        <f>IF(OR(E3989="",E3989="!!!",F3989="NEW"),"",COUNTBLANK(OFFSET(A$1,,,SUMPRODUCT(MAX(ROW(E$2:E3989)*(E3989=E$2:E3989)))))-COUNTBLANK(OFFSET(A$1,,,SUMPRODUCT(MAX(ROW(E$1:E3988)*(E2=E$1:E3988))))))</f>
        <v> </v>
      </c>
      <c r="K3989" s="25" t="str">
        <f>IF(OR(E3989="",E3989="!!!",F3989="NEW"),"",INDEX(J$1:J3988,SUMPRODUCT(MAX(ROW(E$1:E3988)*(E3989=E$1:E3988)))))</f>
        <v> </v>
      </c>
      <c r="L3989" s="26"/>
    </row>
    <row r="3990" spans="1:12">
      <c r="A3990" s="20" t="s">
        <v>1722</v>
      </c>
      <c r="E3990" s="21">
        <f>IF(D3990="?OLD","!!!","")</f>
        <v/>
      </c>
      <c r="F3990" s="22" t="str">
        <f>IF(OR(E3990="",E3990="!!!"),"",IF(NOT(ISNA(VLOOKUP(E3990,E$1:E3989,1,FALSE()))),"OLD",IF(AND(E3990&lt;&gt;"",E3990&lt;&gt;"!!!"),"NEW","")))</f>
        <v> </v>
      </c>
      <c r="G3990" s="23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4" t="str">
        <f>IF(J3990&lt;&gt;1,"",IF(I3990="SBJ","CB","?"))</f>
        <v> </v>
      </c>
      <c r="I3990" s="25" t="str">
        <f>IF(OR(E3990="",E3990="!!!",F3990="NEW"),"",INDEX(B3989:B$2,-1+SUMPRODUCT(MAX(ROW(E3989:E$2)*(E3990=E3989:E$2)))))</f>
        <v> </v>
      </c>
      <c r="J3990" s="25" t="str">
        <f>IF(OR(E3990="",E3990="!!!",F3990="NEW"),"",COUNTBLANK(OFFSET(A$1,,,SUMPRODUCT(MAX(ROW(E$2:E3990)*(E3990=E$2:E3990)))))-COUNTBLANK(OFFSET(A$1,,,SUMPRODUCT(MAX(ROW(E$1:E3989)*(E2=E$1:E3989))))))</f>
        <v> </v>
      </c>
      <c r="K3990" s="25" t="str">
        <f>IF(OR(E3990="",E3990="!!!",F3990="NEW"),"",INDEX(J$1:J3989,SUMPRODUCT(MAX(ROW(E$1:E3989)*(E3990=E$1:E3989)))))</f>
        <v> </v>
      </c>
      <c r="L3990" s="26"/>
    </row>
    <row r="3991" spans="1:12">
      <c r="A3991" s="20" t="s">
        <v>704</v>
      </c>
      <c r="E3991" s="21">
        <f>IF(D3991="?OLD","!!!","")</f>
        <v/>
      </c>
      <c r="F3991" s="22" t="str">
        <f>IF(OR(E3991="",E3991="!!!"),"",IF(NOT(ISNA(VLOOKUP(E3991,E$1:E3990,1,FALSE()))),"OLD",IF(AND(E3991&lt;&gt;"",E3991&lt;&gt;"!!!"),"NEW","")))</f>
        <v> </v>
      </c>
      <c r="G3991" s="23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4" t="str">
        <f>IF(J3991&lt;&gt;1,"",IF(I3991="SBJ","CB","?"))</f>
        <v> </v>
      </c>
      <c r="I3991" s="25" t="str">
        <f>IF(OR(E3991="",E3991="!!!",F3991="NEW"),"",INDEX(B3990:B$2,-1+SUMPRODUCT(MAX(ROW(E3990:E$2)*(E3991=E3990:E$2)))))</f>
        <v> </v>
      </c>
      <c r="J3991" s="25" t="str">
        <f>IF(OR(E3991="",E3991="!!!",F3991="NEW"),"",COUNTBLANK(OFFSET(A$1,,,SUMPRODUCT(MAX(ROW(E$2:E3991)*(E3991=E$2:E3991)))))-COUNTBLANK(OFFSET(A$1,,,SUMPRODUCT(MAX(ROW(E$1:E3990)*(E2=E$1:E3990))))))</f>
        <v> </v>
      </c>
      <c r="K3991" s="25" t="str">
        <f>IF(OR(E3991="",E3991="!!!",F3991="NEW"),"",INDEX(J$1:J3990,SUMPRODUCT(MAX(ROW(E$1:E3990)*(E3991=E$1:E3990)))))</f>
        <v> </v>
      </c>
      <c r="L3991" s="26"/>
    </row>
    <row r="3992" spans="1:12">
      <c r="A3992" s="20"/>
    </row>
    <row r="3993" spans="1:12">
      <c r="A3993" s="20" t="s">
        <v>1723</v>
      </c>
    </row>
    <row r="3994" spans="1:12">
      <c r="A3994" s="20" t="s">
        <v>674</v>
      </c>
      <c r="E3994" s="21">
        <f>IF(D3994="?OLD","!!!","")</f>
        <v/>
      </c>
      <c r="F3994" s="22" t="str">
        <f>IF(OR(E3994="",E3994="!!!"),"",IF(NOT(ISNA(VLOOKUP(E3994,E$1:E3993,1,FALSE()))),"OLD",IF(AND(E3994&lt;&gt;"",E3994&lt;&gt;"!!!"),"NEW","")))</f>
        <v> </v>
      </c>
      <c r="G3994" s="23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4" t="str">
        <f>IF(J3994&lt;&gt;1,"",IF(I3994="SBJ","CB","?"))</f>
        <v> </v>
      </c>
      <c r="I3994" s="25" t="str">
        <f>IF(OR(E3994="",E3994="!!!",F3994="NEW"),"",INDEX(B3993:B$2,-1+SUMPRODUCT(MAX(ROW(E3993:E$2)*(E3994=E3993:E$2)))))</f>
        <v> </v>
      </c>
      <c r="J3994" s="25" t="str">
        <f>IF(OR(E3994="",E3994="!!!",F3994="NEW"),"",COUNTBLANK(OFFSET(A$1,,,SUMPRODUCT(MAX(ROW(E$2:E3994)*(E3994=E$2:E3994)))))-COUNTBLANK(OFFSET(A$1,,,SUMPRODUCT(MAX(ROW(E$1:E3993)*(E2=E$1:E3993))))))</f>
        <v> </v>
      </c>
      <c r="K3994" s="25" t="str">
        <f>IF(OR(E3994="",E3994="!!!",F3994="NEW"),"",INDEX(J$1:J3993,SUMPRODUCT(MAX(ROW(E$1:E3993)*(E3994=E$1:E3993)))))</f>
        <v> </v>
      </c>
      <c r="L3994" s="26"/>
    </row>
    <row r="3995" spans="1:12">
      <c r="A3995" s="20" t="s">
        <v>722</v>
      </c>
      <c r="E3995" s="21">
        <f>IF(D3995="?OLD","!!!","")</f>
        <v/>
      </c>
      <c r="F3995" s="22" t="str">
        <f>IF(OR(E3995="",E3995="!!!"),"",IF(NOT(ISNA(VLOOKUP(E3995,E$1:E3994,1,FALSE()))),"OLD",IF(AND(E3995&lt;&gt;"",E3995&lt;&gt;"!!!"),"NEW","")))</f>
        <v> </v>
      </c>
      <c r="G3995" s="23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4" t="str">
        <f>IF(J3995&lt;&gt;1,"",IF(I3995="SBJ","CB","?"))</f>
        <v> </v>
      </c>
      <c r="I3995" s="25" t="str">
        <f>IF(OR(E3995="",E3995="!!!",F3995="NEW"),"",INDEX(B3994:B$2,-1+SUMPRODUCT(MAX(ROW(E3994:E$2)*(E3995=E3994:E$2)))))</f>
        <v> </v>
      </c>
      <c r="J3995" s="25" t="str">
        <f>IF(OR(E3995="",E3995="!!!",F3995="NEW"),"",COUNTBLANK(OFFSET(A$1,,,SUMPRODUCT(MAX(ROW(E$2:E3995)*(E3995=E$2:E3995)))))-COUNTBLANK(OFFSET(A$1,,,SUMPRODUCT(MAX(ROW(E$1:E3994)*(E2=E$1:E3994))))))</f>
        <v> </v>
      </c>
      <c r="K3995" s="25" t="str">
        <f>IF(OR(E3995="",E3995="!!!",F3995="NEW"),"",INDEX(J$1:J3994,SUMPRODUCT(MAX(ROW(E$1:E3994)*(E3995=E$1:E3994)))))</f>
        <v> </v>
      </c>
      <c r="L3995" s="26"/>
    </row>
    <row r="3996" spans="1:12">
      <c r="A3996" s="20" t="s">
        <v>1649</v>
      </c>
      <c r="B3996" s="27" t="s">
        <v>692</v>
      </c>
      <c r="C3996" s="27" t="s">
        <v>996</v>
      </c>
      <c r="D3996" s="27" t="s">
        <v>694</v>
      </c>
      <c r="E3996" s="21">
        <f>IF(D3996="?OLD","!!!","")</f>
        <v/>
      </c>
      <c r="F3996" s="22" t="str">
        <f>IF(OR(E3996="",E3996="!!!"),"",IF(NOT(ISNA(VLOOKUP(E3996,E$1:E3995,1,FALSE()))),"OLD",IF(AND(E3996&lt;&gt;"",E3996&lt;&gt;"!!!"),"NEW","")))</f>
        <v> </v>
      </c>
      <c r="G3996" s="23" t="str">
        <f>IF(OR(E3996="",E3996="!!!"),"",IF(OR(J3996=0,AND(J3996=1,K3996=1),AND(J3996=1,I3996="SBJ"),AND(J3996=1,I3996=0)),"?IN_FOCUS",IF(J3996&lt;=2,"?ACTIVATED",IF(J3996&lt;&gt;"","?FAMILIAR",IF(F3996="NEW",IF(ISNA(VLOOKUP(E3996,#REF!,1,FALSE())),"?TYPE_IDENTIFIABLE","?REFERENTIAL"),"_")))))</f>
        <v> </v>
      </c>
      <c r="H3996" s="24" t="str">
        <f>IF(J3996&lt;&gt;1,"",IF(I3996="SBJ","CB","?"))</f>
        <v> </v>
      </c>
      <c r="I3996" s="25" t="str">
        <f>IF(OR(E3996="",E3996="!!!",F3996="NEW"),"",INDEX(B3995:B$2,-1+SUMPRODUCT(MAX(ROW(E3995:E$2)*(E3996=E3995:E$2)))))</f>
        <v> </v>
      </c>
      <c r="J3996" s="25" t="str">
        <f>IF(OR(E3996="",E3996="!!!",F3996="NEW"),"",COUNTBLANK(OFFSET(A$1,,,SUMPRODUCT(MAX(ROW(E$2:E3996)*(E3996=E$2:E3996)))))-COUNTBLANK(OFFSET(A$1,,,SUMPRODUCT(MAX(ROW(E$1:E3995)*(E2=E$1:E3995))))))</f>
        <v> </v>
      </c>
      <c r="K3996" s="25" t="str">
        <f>IF(OR(E3996="",E3996="!!!",F3996="NEW"),"",INDEX(J$1:J3995,SUMPRODUCT(MAX(ROW(E$1:E3995)*(E3996=E$1:E3995)))))</f>
        <v> </v>
      </c>
      <c r="L3996" s="26"/>
    </row>
    <row r="3997" spans="1:12">
      <c r="A3997" s="20" t="s">
        <v>1600</v>
      </c>
      <c r="B3997" s="27" t="s">
        <v>746</v>
      </c>
      <c r="C3997" s="27" t="s">
        <v>996</v>
      </c>
      <c r="D3997" s="27" t="s">
        <v>694</v>
      </c>
      <c r="E3997" s="21">
        <f>IF(D3997="?OLD","!!!","")</f>
        <v/>
      </c>
      <c r="F3997" s="22" t="str">
        <f>IF(OR(E3997="",E3997="!!!"),"",IF(NOT(ISNA(VLOOKUP(E3997,E$1:E3996,1,FALSE()))),"OLD",IF(AND(E3997&lt;&gt;"",E3997&lt;&gt;"!!!"),"NEW","")))</f>
        <v> </v>
      </c>
      <c r="G3997" s="23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4" t="str">
        <f>IF(J3997&lt;&gt;1,"",IF(I3997="SBJ","CB","?"))</f>
        <v> </v>
      </c>
      <c r="I3997" s="25" t="str">
        <f>IF(OR(E3997="",E3997="!!!",F3997="NEW"),"",INDEX(B3996:B$2,-1+SUMPRODUCT(MAX(ROW(E3996:E$2)*(E3997=E3996:E$2)))))</f>
        <v> </v>
      </c>
      <c r="J3997" s="25" t="str">
        <f>IF(OR(E3997="",E3997="!!!",F3997="NEW"),"",COUNTBLANK(OFFSET(A$1,,,SUMPRODUCT(MAX(ROW(E$2:E3997)*(E3997=E$2:E3997)))))-COUNTBLANK(OFFSET(A$1,,,SUMPRODUCT(MAX(ROW(E$1:E3996)*(E2=E$1:E3996))))))</f>
        <v> </v>
      </c>
      <c r="K3997" s="25" t="str">
        <f>IF(OR(E3997="",E3997="!!!",F3997="NEW"),"",INDEX(J$1:J3996,SUMPRODUCT(MAX(ROW(E$1:E3996)*(E3997=E$1:E3996)))))</f>
        <v> </v>
      </c>
      <c r="L3997" s="26"/>
    </row>
    <row r="3998" spans="1:12">
      <c r="A3998" s="20" t="s">
        <v>704</v>
      </c>
      <c r="E3998" s="21">
        <f>IF(D3998="?OLD","!!!","")</f>
        <v/>
      </c>
      <c r="F3998" s="22" t="str">
        <f>IF(OR(E3998="",E3998="!!!"),"",IF(NOT(ISNA(VLOOKUP(E3998,E$1:E3997,1,FALSE()))),"OLD",IF(AND(E3998&lt;&gt;"",E3998&lt;&gt;"!!!"),"NEW","")))</f>
        <v> </v>
      </c>
      <c r="G3998" s="23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4" t="str">
        <f>IF(J3998&lt;&gt;1,"",IF(I3998="SBJ","CB","?"))</f>
        <v> </v>
      </c>
      <c r="I3998" s="25" t="str">
        <f>IF(OR(E3998="",E3998="!!!",F3998="NEW"),"",INDEX(B3997:B$2,-1+SUMPRODUCT(MAX(ROW(E3997:E$2)*(E3998=E3997:E$2)))))</f>
        <v> </v>
      </c>
      <c r="J3998" s="25" t="str">
        <f>IF(OR(E3998="",E3998="!!!",F3998="NEW"),"",COUNTBLANK(OFFSET(A$1,,,SUMPRODUCT(MAX(ROW(E$2:E3998)*(E3998=E$2:E3998)))))-COUNTBLANK(OFFSET(A$1,,,SUMPRODUCT(MAX(ROW(E$1:E3997)*(E2=E$1:E3997))))))</f>
        <v> </v>
      </c>
      <c r="K3998" s="25" t="str">
        <f>IF(OR(E3998="",E3998="!!!",F3998="NEW"),"",INDEX(J$1:J3997,SUMPRODUCT(MAX(ROW(E$1:E3997)*(E3998=E$1:E3997)))))</f>
        <v> </v>
      </c>
      <c r="L3998" s="26"/>
    </row>
    <row r="3999" spans="1:12">
      <c r="A399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2025-07-10T18:08:18Z</dcterms:created>
  <dcterms:modified xsi:type="dcterms:W3CDTF">2025-07-10T18:08:18Z</dcterms:modified>
</cp:coreProperties>
</file>