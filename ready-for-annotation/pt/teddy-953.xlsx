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<sst xmlns="http://schemas.openxmlformats.org/spreadsheetml/2006/main" count="2405" uniqueCount="663">
  <si>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</si>
  <si>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</si>
  <si>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</si>
  <si>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</si>
  <si>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</si>
  <si>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</si>
  <si>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</si>
  <si>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</si>
  <si>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</si>
  <si>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</si>
  <si>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</si>
  <si>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13</t>
  </si>
  <si>
    <t>_</t>
  </si>
  <si>
    <t>andar</t>
  </si>
  <si>
    <t>Certo dia o colunista do de o Los Angeles Times Steve Lopez , andava pelas por as ruas da de a baixa de Los Angeles quando ouviu uma música maravilhosa .</t>
  </si>
  <si>
    <t>file://conllu/pt/teddy-953.conllu#s1_0</t>
  </si>
  <si>
    <t>2</t>
  </si>
  <si>
    <t>7</t>
  </si>
  <si>
    <t>ser (ser homem)</t>
  </si>
  <si>
    <t>E a origem da de a música era um homem , um afro-americano , encantador , enrugado , sem-abrigo , a tocar um violino que só tinha duas cordas .</t>
  </si>
  <si>
    <t>file://conllu/pt/teddy-953.conllu#s2_0</t>
  </si>
  <si>
    <t>3</t>
  </si>
  <si>
    <t>5</t>
  </si>
  <si>
    <t>conhecer</t>
  </si>
  <si>
    <t>Muitos de vocês já conhecem esta história , porque as colunas do de o Steve serviram de base a um livro que viria a inspirar um filme , com Robert Downey Jr no em o papel de Steve Lopez , e Jamie Foxx no em o papel de Nathaniel Anthony Ayers , o contrabaixista e ex-aluno da de a Juilliard cuja carreira promissora foi encurtada por um caso trágico de esquizofrenia paranoide .</t>
  </si>
  <si>
    <t>file://conllu/pt/teddy-953.conllu#s3_0</t>
  </si>
  <si>
    <t>4</t>
  </si>
  <si>
    <t>abandonar</t>
  </si>
  <si>
    <t>Nathaniel abandonou a Juilliard , sofreu um esgotamento , e 30 anos mais tarde vivia nas em as ruas de Skid Row na em a baixa de Los Angeles .</t>
  </si>
  <si>
    <t>file://conllu/pt/teddy-953.conllu#s4_0</t>
  </si>
  <si>
    <t>6</t>
  </si>
  <si>
    <t>Eu conheci o Sr. Ayers em 2008 , há dois anos , no em o Walt Disney Concert Hall .</t>
  </si>
  <si>
    <t>file://conllu/pt/teddy-953.conllu#s6_0</t>
  </si>
  <si>
    <t>acabar</t>
  </si>
  <si>
    <t>Ele tinha acabado de ouvir a execução da de a 1.ª e 4.ª sinfonias de Beethoven , foi aos a os bastidores e apresentou-se apresentou se .</t>
  </si>
  <si>
    <t>file://conllu/pt/teddy-953.conllu#s7_0</t>
  </si>
  <si>
    <t>8</t>
  </si>
  <si>
    <t>falar</t>
  </si>
  <si>
    <t>Falava num em um tom muito alegre e afável sobre o Yo-Yo</t>
  </si>
  <si>
    <t>file://conllu/pt/teddy-953.conllu#s8_0</t>
  </si>
  <si>
    <t>9</t>
  </si>
  <si>
    <t>12</t>
  </si>
  <si>
    <t>chegar</t>
  </si>
  <si>
    <t>Ma e a Hillary Clinton , e como os Dodgers nunca chegariam à a a World Series , tudo por causa da de a execução traiçoeira do de o primeiro violino no em o último andamento da de a 4.ª sinfonia de Beethoven .</t>
  </si>
  <si>
    <t>file://conllu/pt/teddy-953.conllu#s9_0</t>
  </si>
  <si>
    <t>10</t>
  </si>
  <si>
    <t>Falámo</t>
  </si>
  <si>
    <t>Falámos sobre música .</t>
  </si>
  <si>
    <t>file://conllu/pt/teddy-953.conllu#s10_0</t>
  </si>
  <si>
    <t>11</t>
  </si>
  <si>
    <t>dia</t>
  </si>
  <si>
    <t>Dias mais tarde recebi um email do de o Steve a dizer que Nathaniel gostaria de ter uma aula de violino comigo com mim .</t>
  </si>
  <si>
    <t>file://conllu/pt/teddy-953.conllu#s11_0</t>
  </si>
  <si>
    <t>referir</t>
  </si>
  <si>
    <t>Convém referir que Nathaniel recusa tratamento porque foi tratado com terapia de choque , com Torazina e algemas , e esse trauma acompanhou-o acompanhou o toda a vida .</t>
  </si>
  <si>
    <t>file://conllu/pt/teddy-953.conllu#s12_0</t>
  </si>
  <si>
    <t>estar (estar sujeito)</t>
  </si>
  <si>
    <t>Em consequência , ele está sujeito a estas crises esquizofrénicas .</t>
  </si>
  <si>
    <t>file://conllu/pt/teddy-953.conllu#s13_0</t>
  </si>
  <si>
    <t>14</t>
  </si>
  <si>
    <t>poder</t>
  </si>
  <si>
    <t>As piores podem manifestar-se manifestar se numa em uma explosão e ni seu desaparecimento durante dias , vagueando pelas por as ruas de Skid Row , exposto aos a os seus horrores e com os tormentos da de a sua própria mente à a a solta na em a sua cabeça .</t>
  </si>
  <si>
    <t>file://conllu/pt/teddy-953.conllu#s14_0</t>
  </si>
  <si>
    <t>15</t>
  </si>
  <si>
    <t>32</t>
  </si>
  <si>
    <t>estar (estar perdido)</t>
  </si>
  <si>
    <t>Nathaniel estava num em um tal estado de agitação , quando começámos a primeira aula no em o Walt Disney Concert Hall que tinha uma espécie de brilho maníaco nos em os olhos , estava perdido .</t>
  </si>
  <si>
    <t>file://conllu/pt/teddy-953.conllu#s15_0</t>
  </si>
  <si>
    <t>16</t>
  </si>
  <si>
    <t>E falava de demónios invisíveis e fumo , e como alguém o envenenava durante o sono .</t>
  </si>
  <si>
    <t>file://conllu/pt/teddy-953.conllu#s16_0</t>
  </si>
  <si>
    <t>17</t>
  </si>
  <si>
    <t>ficar</t>
  </si>
  <si>
    <t>Eu fiquei com medo , não por mim , mas fiquei com medo de o perder , de que ele entrasse numa em uma das de as suas crises , e que eu estragasse a sua relação com o violino , se começasse a falar de escalas , de arpejos e de outras formas emocionantes da de a pedagogia didática do de o violino .</t>
  </si>
  <si>
    <t>file://conllu/pt/teddy-953.conllu#s17_0</t>
  </si>
  <si>
    <t>18</t>
  </si>
  <si>
    <t>riso</t>
  </si>
  <si>
    <t>( Risos )</t>
  </si>
  <si>
    <t>file://conllu/pt/teddy-953.conllu#s18_0</t>
  </si>
  <si>
    <t>19</t>
  </si>
  <si>
    <t>começar</t>
  </si>
  <si>
    <t>Então , comecei a tocar .</t>
  </si>
  <si>
    <t>file://conllu/pt/teddy-953.conllu#s19_0</t>
  </si>
  <si>
    <t>20</t>
  </si>
  <si>
    <t>tocar</t>
  </si>
  <si>
    <t>E toquei o primeiro andamento do de o concerto para violino de Beethoven .</t>
  </si>
  <si>
    <t>file://conllu/pt/teddy-953.conllu#s20_0</t>
  </si>
  <si>
    <t>22</t>
  </si>
  <si>
    <t>estar (estar controlo)</t>
  </si>
  <si>
    <t>Era como se ele estivesse sob o controlo de um fármaco invisível , uma reação química , para a qual a música que eu tocava era o catalisador .</t>
  </si>
  <si>
    <t>file://conllu/pt/teddy-953.conllu#s22_0</t>
  </si>
  <si>
    <t>23</t>
  </si>
  <si>
    <t>transformar</t>
  </si>
  <si>
    <t>E a fúria maníaca do de o Nathaniel transformou-se transformou se em compreensão , uma curiosidade serena e um estado de graça .</t>
  </si>
  <si>
    <t>file://conllu/pt/teddy-953.conllu#s23_0</t>
  </si>
  <si>
    <t>24</t>
  </si>
  <si>
    <t>pegar</t>
  </si>
  <si>
    <t>Como que por milagre , ele pegou no em o seu violino , e começou a tocar , de ouvido , certos excertos de concertos para violino que me pedia depois para completar , Mendelssohn , Tchaikovsky , Sibelius .</t>
  </si>
  <si>
    <t>file://conllu/pt/teddy-953.conllu#s24_0</t>
  </si>
  <si>
    <t>25</t>
  </si>
  <si>
    <t>Começar</t>
  </si>
  <si>
    <t>Começámos a falar de música , de Bach a Beethoven e Brahms , Bruckner , todos os B , de Bartók até Esa-Pekka Salonen .</t>
  </si>
  <si>
    <t>file://conllu/pt/teddy-953.conllu#s25_0</t>
  </si>
  <si>
    <t>26</t>
  </si>
  <si>
    <t>perceber</t>
  </si>
  <si>
    <t>Eu percebi que ele não só tinha um conhecimento enciclopédico de música , como também se relacionava com essa música a um nível pessoal .</t>
  </si>
  <si>
    <t>file://conllu/pt/teddy-953.conllu#s26_0</t>
  </si>
  <si>
    <t>27</t>
  </si>
  <si>
    <t>Ele falava sobre ela com o tipo de paixão e compreensão que eu partilho com os meus colegas da de a Filarmónica de Los Angeles .</t>
  </si>
  <si>
    <t>file://conllu/pt/teddy-953.conllu#s27_0</t>
  </si>
  <si>
    <t>29</t>
  </si>
  <si>
    <t>ser (ser terapio)</t>
  </si>
  <si>
    <t>A música é terapia .</t>
  </si>
  <si>
    <t>file://conllu/pt/teddy-953.conllu#s29_0</t>
  </si>
  <si>
    <t>30</t>
  </si>
  <si>
    <t>A música transforma-nos transforma nos .</t>
  </si>
  <si>
    <t>file://conllu/pt/teddy-953.conllu#s30_0</t>
  </si>
  <si>
    <t>31</t>
  </si>
  <si>
    <t>ser (ser sanidade)</t>
  </si>
  <si>
    <t>Para Nathaniel , a música é sanidade .</t>
  </si>
  <si>
    <t>file://conllu/pt/teddy-953.conllu#s31_0</t>
  </si>
  <si>
    <t>permitir</t>
  </si>
  <si>
    <t>Porque a música permite-lhe permite lhe pegar nos em os seus pensamentos nos em os seus delírios , e transformá-los transformá los , usando a sua imaginação e criatividade , em realidade .</t>
  </si>
  <si>
    <t>file://conllu/pt/teddy-953.conllu#s32_0</t>
  </si>
  <si>
    <t>33</t>
  </si>
  <si>
    <t>ser (ser fuga)</t>
  </si>
  <si>
    <t>Isso é uma fuga da de a sua mente atormentada .</t>
  </si>
  <si>
    <t>file://conllu/pt/teddy-953.conllu#s33_0</t>
  </si>
  <si>
    <t>34</t>
  </si>
  <si>
    <t>Eu percebi que esta é a essência da de a arte .</t>
  </si>
  <si>
    <t>file://conllu/pt/teddy-953.conllu#s34_0</t>
  </si>
  <si>
    <t>35</t>
  </si>
  <si>
    <t>ser (ser razão)</t>
  </si>
  <si>
    <t>Esta é a razão pela por a qual criamos a música , para captar uma coisa que existe dentro de todos nós , no em o nosso íntimo , as nossas emoções .</t>
  </si>
  <si>
    <t>file://conllu/pt/teddy-953.conllu#s35_0</t>
  </si>
  <si>
    <t>36</t>
  </si>
  <si>
    <t>conseguir</t>
  </si>
  <si>
    <t>Através da de a nossa lente artística , através da de a nossa criatividade , conseguimos transformar essas emoções em realidade .</t>
  </si>
  <si>
    <t>file://conllu/pt/teddy-953.conllu#s36_0</t>
  </si>
  <si>
    <t>37</t>
  </si>
  <si>
    <t>A realidade dessa de essa expressão toca-nos toca nos a todos , comove-nos comove nos , inspira-nos inspira nos e une-nos une nos .</t>
  </si>
  <si>
    <t>file://conllu/pt/teddy-953.conllu#s37_0</t>
  </si>
  <si>
    <t>39</t>
  </si>
  <si>
    <t>trazer</t>
  </si>
  <si>
    <t>poder redentor da de a música trouxe-o trouxe o de volta a uma família de músicos que o compreendiam , que reconheciam o seu talento e o respeitavam .</t>
  </si>
  <si>
    <t>file://conllu/pt/teddy-953.conllu#s39_0</t>
  </si>
  <si>
    <t>40</t>
  </si>
  <si>
    <t>fazer</t>
  </si>
  <si>
    <t>Eu farei sempre música com o Nathaniel , quer seja no em o Walt Disney Concert Hall , ou em Skid Row , porque ele faz-me faz me lembrar a razão pela por a qual me tornei músico .</t>
  </si>
  <si>
    <t>file://conllu/pt/teddy-953.conllu#s40_0</t>
  </si>
  <si>
    <t>41</t>
  </si>
  <si>
    <t>obrigar</t>
  </si>
  <si>
    <t>Obrigado .</t>
  </si>
  <si>
    <t>file://conllu/pt/teddy-953.conllu#s41_0</t>
  </si>
  <si>
    <t>42</t>
  </si>
  <si>
    <t>aplauso</t>
  </si>
  <si>
    <t>( Aplausos ) Bruno Giussani : Obrigado .</t>
  </si>
  <si>
    <t>file://conllu/pt/teddy-953.conllu#s42_0</t>
  </si>
  <si>
    <t>43</t>
  </si>
  <si>
    <t>file://conllu/pt/teddy-953.conllu#s43_0</t>
  </si>
  <si>
    <t>44</t>
  </si>
  <si>
    <t>Robert</t>
  </si>
  <si>
    <t>Robert Gupta .</t>
  </si>
  <si>
    <t>file://conllu/pt/teddy-953.conllu#s44_0</t>
  </si>
  <si>
    <t>45</t>
  </si>
  <si>
    <t>Robert Gupta :</t>
  </si>
  <si>
    <t>file://conllu/pt/teddy-953.conllu#s45_0</t>
  </si>
  <si>
    <t>46</t>
  </si>
  <si>
    <t>ver</t>
  </si>
  <si>
    <t>Vou tocar uma música que roubei descaradamente aos a os violoncelistas .</t>
  </si>
  <si>
    <t>file://conllu/pt/teddy-953.conllu#s46_0</t>
  </si>
  <si>
    <t>48</t>
  </si>
  <si>
    <t>música</t>
  </si>
  <si>
    <t>( Música )</t>
  </si>
  <si>
    <t>file://conllu/pt/teddy-953.conllu#s48_0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</si>
  <si>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</si>
  <si>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</si>
  <si>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</si>
  <si>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</si>
  <si>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</si>
  <si>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</si>
  <si>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</si>
  <si>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</si>
  <si>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</si>
  <si>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</si>
  <si>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</si>
  <si>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Certo dia o colunista do Los Angeles Times Steve Lopez, andava pelas ruas da baixa de Los Angeles quando ouviu uma música maravilhosa.</t>
  </si>
  <si>
    <t>Certo</t>
  </si>
  <si>
    <t>other</t>
  </si>
  <si>
    <t>indef-np.bare</t>
  </si>
  <si>
    <t>o</t>
  </si>
  <si>
    <t>colunista</t>
  </si>
  <si>
    <t>SBJ</t>
  </si>
  <si>
    <t>def-np.poss</t>
  </si>
  <si>
    <t>?OLD</t>
  </si>
  <si>
    <t>de</t>
  </si>
  <si>
    <t>Los</t>
  </si>
  <si>
    <t>other_2</t>
  </si>
  <si>
    <t>ne</t>
  </si>
  <si>
    <t>Angeles</t>
  </si>
  <si>
    <t>other_3</t>
  </si>
  <si>
    <t>Times</t>
  </si>
  <si>
    <t>Steve</t>
  </si>
  <si>
    <t>Lopez</t>
  </si>
  <si>
    <t>other_4</t>
  </si>
  <si>
    <t>,</t>
  </si>
  <si>
    <t>andava</t>
  </si>
  <si>
    <t>por</t>
  </si>
  <si>
    <t>as</t>
  </si>
  <si>
    <t>ruas</t>
  </si>
  <si>
    <t>OBJ</t>
  </si>
  <si>
    <t>a</t>
  </si>
  <si>
    <t>baixa</t>
  </si>
  <si>
    <t>quando</t>
  </si>
  <si>
    <t>ouviu</t>
  </si>
  <si>
    <t>uma</t>
  </si>
  <si>
    <t>OBJ_2</t>
  </si>
  <si>
    <t>indef-np.a</t>
  </si>
  <si>
    <t>maravilhosa</t>
  </si>
  <si>
    <t>.</t>
  </si>
  <si>
    <t># text = E a origem da música era um homem, um afro-americano, encantador, enrugado, sem-abrigo, a tocar um violino que só tinha duas cordas.</t>
  </si>
  <si>
    <t>E</t>
  </si>
  <si>
    <t>origem</t>
  </si>
  <si>
    <t>def-np.the</t>
  </si>
  <si>
    <t>era</t>
  </si>
  <si>
    <t>um</t>
  </si>
  <si>
    <t>homem</t>
  </si>
  <si>
    <t>afro-americano</t>
  </si>
  <si>
    <t>encantador</t>
  </si>
  <si>
    <t>enrugado</t>
  </si>
  <si>
    <t>sem-abrigo</t>
  </si>
  <si>
    <t>violino</t>
  </si>
  <si>
    <t>que</t>
  </si>
  <si>
    <t>SBJ_4</t>
  </si>
  <si>
    <t>só</t>
  </si>
  <si>
    <t>tinha</t>
  </si>
  <si>
    <t>duas</t>
  </si>
  <si>
    <t>cordas</t>
  </si>
  <si>
    <t>OBJ_4</t>
  </si>
  <si>
    <t>indef-np.quant</t>
  </si>
  <si>
    <t># text = Muitos de vocês já conhecem esta história, porque as colunas do Steve serviram de base a um livro que viria a inspirar um filme, com Robert Downey Jr no papel de Steve Lopez, e Jamie Foxx no papel de Nathaniel Anthony Ayers, o contrabaixista e ex-aluno da Juilliard cuja carreira promissora foi encurtada por um caso trágico de esquizofrenia paranoide.</t>
  </si>
  <si>
    <t>Muitos</t>
  </si>
  <si>
    <t>pron.pind</t>
  </si>
  <si>
    <t>vocês</t>
  </si>
  <si>
    <t>pron.pper</t>
  </si>
  <si>
    <t>já</t>
  </si>
  <si>
    <t>conhecem</t>
  </si>
  <si>
    <t>esta</t>
  </si>
  <si>
    <t>história</t>
  </si>
  <si>
    <t>def-np.dem</t>
  </si>
  <si>
    <t>porque</t>
  </si>
  <si>
    <t>colunas</t>
  </si>
  <si>
    <t>SBJ_2</t>
  </si>
  <si>
    <t>serviram</t>
  </si>
  <si>
    <t>base</t>
  </si>
  <si>
    <t>livro</t>
  </si>
  <si>
    <t>SBJ_6</t>
  </si>
  <si>
    <t>viria</t>
  </si>
  <si>
    <t>inspirar</t>
  </si>
  <si>
    <t>filme</t>
  </si>
  <si>
    <t>OBJ_6</t>
  </si>
  <si>
    <t>com</t>
  </si>
  <si>
    <t>other_7</t>
  </si>
  <si>
    <t>Downey</t>
  </si>
  <si>
    <t>other_8</t>
  </si>
  <si>
    <t>Jr</t>
  </si>
  <si>
    <t>em</t>
  </si>
  <si>
    <t>papel</t>
  </si>
  <si>
    <t>other_9</t>
  </si>
  <si>
    <t>other_10</t>
  </si>
  <si>
    <t>e</t>
  </si>
  <si>
    <t>Jamie</t>
  </si>
  <si>
    <t>Foxx</t>
  </si>
  <si>
    <t>Nathaniel</t>
  </si>
  <si>
    <t>Anthony</t>
  </si>
  <si>
    <t>Ayers</t>
  </si>
  <si>
    <t>contrabaixista</t>
  </si>
  <si>
    <t>ex-aluno</t>
  </si>
  <si>
    <t>Juilliard</t>
  </si>
  <si>
    <t>cuja</t>
  </si>
  <si>
    <t>carreira</t>
  </si>
  <si>
    <t>SBJ_10</t>
  </si>
  <si>
    <t>indef-np</t>
  </si>
  <si>
    <t>promissora</t>
  </si>
  <si>
    <t>foi</t>
  </si>
  <si>
    <t>encurtada</t>
  </si>
  <si>
    <t>caso</t>
  </si>
  <si>
    <t>trágico</t>
  </si>
  <si>
    <t>esquizofrenia</t>
  </si>
  <si>
    <t>other_11</t>
  </si>
  <si>
    <t>paranoide</t>
  </si>
  <si>
    <t># text = Nathaniel abandonou a Juilliard, sofreu um esgotamento, e 30 anos mais tarde vivia nas ruas de Skid Row na baixa de Los Angeles.</t>
  </si>
  <si>
    <t>abandonou</t>
  </si>
  <si>
    <t>sofreu</t>
  </si>
  <si>
    <t>esgotamento</t>
  </si>
  <si>
    <t>anos</t>
  </si>
  <si>
    <t>other_5</t>
  </si>
  <si>
    <t>mais</t>
  </si>
  <si>
    <t>tarde</t>
  </si>
  <si>
    <t>vivia</t>
  </si>
  <si>
    <t>OBJ_3</t>
  </si>
  <si>
    <t>Skid</t>
  </si>
  <si>
    <t>Row</t>
  </si>
  <si>
    <t># text = Aconselho-vos a todos a ler o livro do Steve, ou a ver o filme para compreenderem não só a beleza do laço que se formou entre estes dois homens, mas também a importância da música no estabelecer dessa ligação, e que, em última instância, foi instrumental, passe o trocadilho, para ajudar a tirar o Nathaniel das ruas.</t>
  </si>
  <si>
    <t>Aconselho</t>
  </si>
  <si>
    <t>vos</t>
  </si>
  <si>
    <t>todos</t>
  </si>
  <si>
    <t>pron</t>
  </si>
  <si>
    <t>ler</t>
  </si>
  <si>
    <t>ou</t>
  </si>
  <si>
    <t>para</t>
  </si>
  <si>
    <t>compreenderem</t>
  </si>
  <si>
    <t>não</t>
  </si>
  <si>
    <t>beleza</t>
  </si>
  <si>
    <t>laço</t>
  </si>
  <si>
    <t>SBJ_7</t>
  </si>
  <si>
    <t>se</t>
  </si>
  <si>
    <t>formou</t>
  </si>
  <si>
    <t>entre</t>
  </si>
  <si>
    <t>estes</t>
  </si>
  <si>
    <t>dois</t>
  </si>
  <si>
    <t>homens</t>
  </si>
  <si>
    <t>mas</t>
  </si>
  <si>
    <t>também</t>
  </si>
  <si>
    <t>importância</t>
  </si>
  <si>
    <t>estabelecer</t>
  </si>
  <si>
    <t>essa</t>
  </si>
  <si>
    <t>ligação</t>
  </si>
  <si>
    <t>última</t>
  </si>
  <si>
    <t>instância</t>
  </si>
  <si>
    <t>instrumental</t>
  </si>
  <si>
    <t>passe</t>
  </si>
  <si>
    <t>trocadilho</t>
  </si>
  <si>
    <t>ajudar</t>
  </si>
  <si>
    <t>tirar</t>
  </si>
  <si>
    <t>OBJ_5</t>
  </si>
  <si>
    <t>other_6</t>
  </si>
  <si>
    <t># text = Eu conheci o Sr. Ayers em 2008, há dois anos, no Walt Disney Concert Hall.</t>
  </si>
  <si>
    <t>Eu</t>
  </si>
  <si>
    <t>conheci</t>
  </si>
  <si>
    <t>Sr.</t>
  </si>
  <si>
    <t>2008</t>
  </si>
  <si>
    <t>há</t>
  </si>
  <si>
    <t>Walt</t>
  </si>
  <si>
    <t>Disney</t>
  </si>
  <si>
    <t>Concert</t>
  </si>
  <si>
    <t>Hall</t>
  </si>
  <si>
    <t># text = Ele tinha acabado de ouvir a execução da 1.ª e 4.ª sinfonias de Beethoven, foi aos bastidores e apresentou-se.</t>
  </si>
  <si>
    <t>Ele</t>
  </si>
  <si>
    <t>acabado</t>
  </si>
  <si>
    <t>ouvir</t>
  </si>
  <si>
    <t>execução</t>
  </si>
  <si>
    <t>1.ª</t>
  </si>
  <si>
    <t>4.ª</t>
  </si>
  <si>
    <t>sinfonias</t>
  </si>
  <si>
    <t>Beethoven</t>
  </si>
  <si>
    <t>os</t>
  </si>
  <si>
    <t>bastidores</t>
  </si>
  <si>
    <t>apresentou</t>
  </si>
  <si>
    <t># text = Falava num tom muito alegre e afável sobre o Yo-Yo</t>
  </si>
  <si>
    <t>Falava</t>
  </si>
  <si>
    <t>tom</t>
  </si>
  <si>
    <t>muito</t>
  </si>
  <si>
    <t>alegre</t>
  </si>
  <si>
    <t>afável</t>
  </si>
  <si>
    <t>sobre</t>
  </si>
  <si>
    <t>Yo-Yo</t>
  </si>
  <si>
    <t># text = Ma e a Hillary Clinton, e como os Dodgers nunca chegariam à World Series, tudo por causa da execução traiçoeira do primeiro violino no último andamento da 4.ª sinfonia de Beethoven.</t>
  </si>
  <si>
    <t>Ma</t>
  </si>
  <si>
    <t>Hillary</t>
  </si>
  <si>
    <t>Clinton</t>
  </si>
  <si>
    <t>como</t>
  </si>
  <si>
    <t>Dodgers</t>
  </si>
  <si>
    <t>nunca</t>
  </si>
  <si>
    <t>chegariam</t>
  </si>
  <si>
    <t>World</t>
  </si>
  <si>
    <t>Series</t>
  </si>
  <si>
    <t>tudo</t>
  </si>
  <si>
    <t>causa</t>
  </si>
  <si>
    <t>traiçoeira</t>
  </si>
  <si>
    <t>primeiro</t>
  </si>
  <si>
    <t>último</t>
  </si>
  <si>
    <t>andamento</t>
  </si>
  <si>
    <t>sinfonia</t>
  </si>
  <si>
    <t># text = Falámos sobre música.</t>
  </si>
  <si>
    <t>Falámos</t>
  </si>
  <si>
    <t># text = Dias mais tarde recebi um email do Steve a dizer que Nathaniel gostaria de ter uma aula de violino comigo.</t>
  </si>
  <si>
    <t>Dias</t>
  </si>
  <si>
    <t>recebi</t>
  </si>
  <si>
    <t>email</t>
  </si>
  <si>
    <t>dizer</t>
  </si>
  <si>
    <t>SBJ_5</t>
  </si>
  <si>
    <t>gostaria</t>
  </si>
  <si>
    <t>ter</t>
  </si>
  <si>
    <t>aula</t>
  </si>
  <si>
    <t>mim</t>
  </si>
  <si>
    <t># text = Convém referir que Nathaniel recusa tratamento porque foi tratado com terapia de choque, com Torazina e algemas, e esse trauma acompanhou-o toda a vida.</t>
  </si>
  <si>
    <t>Convém</t>
  </si>
  <si>
    <t>recusa</t>
  </si>
  <si>
    <t>tratamento</t>
  </si>
  <si>
    <t>tratado</t>
  </si>
  <si>
    <t>terapia</t>
  </si>
  <si>
    <t>choque</t>
  </si>
  <si>
    <t>Torazina</t>
  </si>
  <si>
    <t>algemas</t>
  </si>
  <si>
    <t>esse</t>
  </si>
  <si>
    <t>trauma</t>
  </si>
  <si>
    <t>SBJ_3</t>
  </si>
  <si>
    <t>acompanhou</t>
  </si>
  <si>
    <t>toda</t>
  </si>
  <si>
    <t>vida</t>
  </si>
  <si>
    <t># text = Em consequência, ele está sujeito a estas crises esquizofrénicas.</t>
  </si>
  <si>
    <t>Em</t>
  </si>
  <si>
    <t>consequência</t>
  </si>
  <si>
    <t>ele</t>
  </si>
  <si>
    <t>está</t>
  </si>
  <si>
    <t>sujeito</t>
  </si>
  <si>
    <t>estas</t>
  </si>
  <si>
    <t>crises</t>
  </si>
  <si>
    <t>esquizofrénicas</t>
  </si>
  <si>
    <t># text = As piores podem manifestar-se numa explosão e ni seu desaparecimento durante dias, vagueando pelas ruas de Skid Row, exposto aos seus horrores e com os tormentos da sua própria mente à solta na sua cabeça.</t>
  </si>
  <si>
    <t>As</t>
  </si>
  <si>
    <t>piores</t>
  </si>
  <si>
    <t>podem</t>
  </si>
  <si>
    <t>manifestar</t>
  </si>
  <si>
    <t>explosão</t>
  </si>
  <si>
    <t>ni</t>
  </si>
  <si>
    <t>seu</t>
  </si>
  <si>
    <t>pron.ppos</t>
  </si>
  <si>
    <t>desaparecimento</t>
  </si>
  <si>
    <t>durante</t>
  </si>
  <si>
    <t>dias</t>
  </si>
  <si>
    <t>vagueando</t>
  </si>
  <si>
    <t>exposto</t>
  </si>
  <si>
    <t>seus</t>
  </si>
  <si>
    <t>horrores</t>
  </si>
  <si>
    <t>tormentos</t>
  </si>
  <si>
    <t>sua</t>
  </si>
  <si>
    <t>própria</t>
  </si>
  <si>
    <t>mente</t>
  </si>
  <si>
    <t>solta</t>
  </si>
  <si>
    <t>cabeça</t>
  </si>
  <si>
    <t># text = Nathaniel estava num tal estado de agitação, quando começámos a primeira aula no Walt Disney Concert Hall que tinha uma espécie de brilho maníaco nos olhos, estava perdido.</t>
  </si>
  <si>
    <t>estava</t>
  </si>
  <si>
    <t>tal</t>
  </si>
  <si>
    <t>estado</t>
  </si>
  <si>
    <t>agitação</t>
  </si>
  <si>
    <t>começámos</t>
  </si>
  <si>
    <t>primeira</t>
  </si>
  <si>
    <t>espécie</t>
  </si>
  <si>
    <t>brilho</t>
  </si>
  <si>
    <t>maníaco</t>
  </si>
  <si>
    <t>olhos</t>
  </si>
  <si>
    <t>perdido</t>
  </si>
  <si>
    <t># text = E falava de demónios invisíveis e fumo, e como alguém o envenenava durante o sono.</t>
  </si>
  <si>
    <t>falava</t>
  </si>
  <si>
    <t>demónios</t>
  </si>
  <si>
    <t>invisíveis</t>
  </si>
  <si>
    <t>fumo</t>
  </si>
  <si>
    <t>alguém</t>
  </si>
  <si>
    <t>envenenava</t>
  </si>
  <si>
    <t>sono</t>
  </si>
  <si>
    <t># text = Eu fiquei com medo, não por mim, mas fiquei com medo de o perder, de que ele entrasse numa das suas crises, e que eu estragasse a sua relação com o violino, se começasse a falar de escalas, de arpejos e de outras formas emocionantes da pedagogia didática do violino.</t>
  </si>
  <si>
    <t>fiquei</t>
  </si>
  <si>
    <t>medo</t>
  </si>
  <si>
    <t>perder</t>
  </si>
  <si>
    <t>entrasse</t>
  </si>
  <si>
    <t>suas</t>
  </si>
  <si>
    <t>eu</t>
  </si>
  <si>
    <t>estragasse</t>
  </si>
  <si>
    <t>relação</t>
  </si>
  <si>
    <t>começasse</t>
  </si>
  <si>
    <t>escalas</t>
  </si>
  <si>
    <t>OBJ_7</t>
  </si>
  <si>
    <t>arpejos</t>
  </si>
  <si>
    <t>outras</t>
  </si>
  <si>
    <t>formas</t>
  </si>
  <si>
    <t>emocionantes</t>
  </si>
  <si>
    <t>pedagogia</t>
  </si>
  <si>
    <t>didática</t>
  </si>
  <si>
    <t># text = (Risos)</t>
  </si>
  <si>
    <t>(</t>
  </si>
  <si>
    <t>Risos</t>
  </si>
  <si>
    <t>)</t>
  </si>
  <si>
    <t># text = Então, comecei a tocar.</t>
  </si>
  <si>
    <t>Então</t>
  </si>
  <si>
    <t>comecei</t>
  </si>
  <si>
    <t># text = E toquei o primeiro andamento do concerto para violino de Beethoven.</t>
  </si>
  <si>
    <t>toquei</t>
  </si>
  <si>
    <t>concerto</t>
  </si>
  <si>
    <t># text = À medida que eu tocava percebi que se dava uma profunda mudança nos olhos de Nathaniel.</t>
  </si>
  <si>
    <t>A</t>
  </si>
  <si>
    <t>medida</t>
  </si>
  <si>
    <t>tocava</t>
  </si>
  <si>
    <t>percebi</t>
  </si>
  <si>
    <t>dava</t>
  </si>
  <si>
    <t>profunda</t>
  </si>
  <si>
    <t>mudança</t>
  </si>
  <si>
    <t># text = Era como se ele estivesse sob o controlo de um fármaco invisível, uma reação química, para a qual a música que eu tocava era o catalisador.</t>
  </si>
  <si>
    <t>Era</t>
  </si>
  <si>
    <t>estivesse</t>
  </si>
  <si>
    <t>sob</t>
  </si>
  <si>
    <t>controlo</t>
  </si>
  <si>
    <t>fármaco</t>
  </si>
  <si>
    <t>invisível</t>
  </si>
  <si>
    <t>reação</t>
  </si>
  <si>
    <t>química</t>
  </si>
  <si>
    <t>qual</t>
  </si>
  <si>
    <t>catalisador</t>
  </si>
  <si>
    <t># text = E a fúria maníaca do Nathaniel transformou-se em compreensão, uma curiosidade serena e um estado de graça.</t>
  </si>
  <si>
    <t>fúria</t>
  </si>
  <si>
    <t>maníaca</t>
  </si>
  <si>
    <t>transformou</t>
  </si>
  <si>
    <t>compreensão</t>
  </si>
  <si>
    <t>curiosidade</t>
  </si>
  <si>
    <t>serena</t>
  </si>
  <si>
    <t>graça</t>
  </si>
  <si>
    <t># text = Como que por milagre, ele pegou no seu violino, e começou a tocar, de ouvido, certos excertos de concertos para violino que me pedia depois para completar, Mendelssohn, Tchaikovsky, Sibelius.</t>
  </si>
  <si>
    <t>Como</t>
  </si>
  <si>
    <t>milagre</t>
  </si>
  <si>
    <t>pegou</t>
  </si>
  <si>
    <t>começou</t>
  </si>
  <si>
    <t>ouvido</t>
  </si>
  <si>
    <t>certos</t>
  </si>
  <si>
    <t>excertos</t>
  </si>
  <si>
    <t>concertos</t>
  </si>
  <si>
    <t>me</t>
  </si>
  <si>
    <t>pedia</t>
  </si>
  <si>
    <t>depois</t>
  </si>
  <si>
    <t>completar</t>
  </si>
  <si>
    <t>Mendelssohn</t>
  </si>
  <si>
    <t>Tchaikovsky</t>
  </si>
  <si>
    <t>Sibelius</t>
  </si>
  <si>
    <t># text = Começámos a falar de música, de Bach a Beethoven e Brahms, Bruckner, todos os B, de Bartók até Esa-Pekka Salonen.</t>
  </si>
  <si>
    <t>Começámos</t>
  </si>
  <si>
    <t>Bach</t>
  </si>
  <si>
    <t>Brahms</t>
  </si>
  <si>
    <t>Bruckner</t>
  </si>
  <si>
    <t>B</t>
  </si>
  <si>
    <t>Bartók</t>
  </si>
  <si>
    <t>até</t>
  </si>
  <si>
    <t>Esa-Pekka</t>
  </si>
  <si>
    <t>Salonen</t>
  </si>
  <si>
    <t># text = Eu percebi que ele não só tinha um conhecimento enciclopédico de música, como também se relacionava com essa música a um nível pessoal.</t>
  </si>
  <si>
    <t>conhecimento</t>
  </si>
  <si>
    <t>enciclopédico</t>
  </si>
  <si>
    <t>relacionava</t>
  </si>
  <si>
    <t>nível</t>
  </si>
  <si>
    <t>pessoal</t>
  </si>
  <si>
    <t># text = Ele falava sobre ela com o tipo de paixão e compreensão que eu partilho com os meus colegas da Filarmónica de Los Angeles.</t>
  </si>
  <si>
    <t>ela</t>
  </si>
  <si>
    <t>tipo</t>
  </si>
  <si>
    <t>paixão</t>
  </si>
  <si>
    <t>partilho</t>
  </si>
  <si>
    <t>meus</t>
  </si>
  <si>
    <t>colegas</t>
  </si>
  <si>
    <t>Filarmónica</t>
  </si>
  <si>
    <t># text = Ao tocar e ao falar de música este homem tinha-se transformado do homem perturbado e paranoico que vagueava pelas ruas da baixa de Los Angeles, no músico encantador, erudito, e brilhante formado em Juilliard.</t>
  </si>
  <si>
    <t>este</t>
  </si>
  <si>
    <t>transformado</t>
  </si>
  <si>
    <t>perturbado</t>
  </si>
  <si>
    <t>paranoico</t>
  </si>
  <si>
    <t>vagueava</t>
  </si>
  <si>
    <t>músico</t>
  </si>
  <si>
    <t>erudito</t>
  </si>
  <si>
    <t>brilhante</t>
  </si>
  <si>
    <t>formado</t>
  </si>
  <si>
    <t># text = A música é terapia.</t>
  </si>
  <si>
    <t>é</t>
  </si>
  <si>
    <t># text = A música transforma-nos.</t>
  </si>
  <si>
    <t>transforma</t>
  </si>
  <si>
    <t>nos</t>
  </si>
  <si>
    <t># text = Para Nathaniel, a música é sanidade.</t>
  </si>
  <si>
    <t>Para</t>
  </si>
  <si>
    <t>sanidade</t>
  </si>
  <si>
    <t># text = Porque a música permite-lhe pegar nos seus pensamentos nos seus delírios, e transformá-los, usando a sua imaginação e criatividade, em realidade.</t>
  </si>
  <si>
    <t>Porque</t>
  </si>
  <si>
    <t>permite</t>
  </si>
  <si>
    <t>lhe</t>
  </si>
  <si>
    <t>pensamentos</t>
  </si>
  <si>
    <t>delírios</t>
  </si>
  <si>
    <t>transformá</t>
  </si>
  <si>
    <t>los</t>
  </si>
  <si>
    <t>usando</t>
  </si>
  <si>
    <t>imaginação</t>
  </si>
  <si>
    <t>criatividade</t>
  </si>
  <si>
    <t>realidade</t>
  </si>
  <si>
    <t># text = Isso é uma fuga da sua mente atormentada.</t>
  </si>
  <si>
    <t>Isso</t>
  </si>
  <si>
    <t>pron.pds</t>
  </si>
  <si>
    <t>fuga</t>
  </si>
  <si>
    <t>atormentada</t>
  </si>
  <si>
    <t># text = Eu percebi que esta é a essência da arte.</t>
  </si>
  <si>
    <t>essência</t>
  </si>
  <si>
    <t>arte</t>
  </si>
  <si>
    <t># text = Esta é a razão pela qual criamos a música, para captar uma coisa que existe dentro de todos nós, no nosso íntimo, as nossas emoções.</t>
  </si>
  <si>
    <t>Esta</t>
  </si>
  <si>
    <t>razão</t>
  </si>
  <si>
    <t>criamos</t>
  </si>
  <si>
    <t>captar</t>
  </si>
  <si>
    <t>coisa</t>
  </si>
  <si>
    <t>existe</t>
  </si>
  <si>
    <t>dentro</t>
  </si>
  <si>
    <t>nós</t>
  </si>
  <si>
    <t>nosso</t>
  </si>
  <si>
    <t>íntimo</t>
  </si>
  <si>
    <t>nossas</t>
  </si>
  <si>
    <t>emoções</t>
  </si>
  <si>
    <t># text = Através da nossa lente artística, através da nossa criatividade, conseguimos transformar essas emoções em realidade.</t>
  </si>
  <si>
    <t>Através</t>
  </si>
  <si>
    <t>nossa</t>
  </si>
  <si>
    <t>lente</t>
  </si>
  <si>
    <t>artística</t>
  </si>
  <si>
    <t>através</t>
  </si>
  <si>
    <t>conseguimos</t>
  </si>
  <si>
    <t>essas</t>
  </si>
  <si>
    <t># text = A realidade dessa expressão toca-nos a todos, comove-nos, inspira-nos e une-nos.</t>
  </si>
  <si>
    <t>expressão</t>
  </si>
  <si>
    <t>toca</t>
  </si>
  <si>
    <t>comove</t>
  </si>
  <si>
    <t>inspira</t>
  </si>
  <si>
    <t>une</t>
  </si>
  <si>
    <t># text = No caso de Nathaniel, a música trouxe-o de volta a um grupo de amigos.</t>
  </si>
  <si>
    <t>trouxe</t>
  </si>
  <si>
    <t>volta</t>
  </si>
  <si>
    <t>grupo</t>
  </si>
  <si>
    <t>amigos</t>
  </si>
  <si>
    <t># text = O poder redentor da música trouxe-o de volta a uma família de músicos que o compreendiam, que reconheciam o seu talento e o respeitavam.</t>
  </si>
  <si>
    <t>redentor</t>
  </si>
  <si>
    <t>família</t>
  </si>
  <si>
    <t>músicos</t>
  </si>
  <si>
    <t>compreendiam</t>
  </si>
  <si>
    <t>reconheciam</t>
  </si>
  <si>
    <t>talento</t>
  </si>
  <si>
    <t>respeitavam</t>
  </si>
  <si>
    <t># text = Eu farei sempre música com o Nathaniel, quer seja no Walt Disney Concert Hall, ou em Skid Row, porque ele faz-me lembrar a razão pela qual me tornei músico.</t>
  </si>
  <si>
    <t>farei</t>
  </si>
  <si>
    <t>sempre</t>
  </si>
  <si>
    <t>quer</t>
  </si>
  <si>
    <t>seja</t>
  </si>
  <si>
    <t>faz</t>
  </si>
  <si>
    <t>lembrar</t>
  </si>
  <si>
    <t>tornei</t>
  </si>
  <si>
    <t># text = Obrigado.</t>
  </si>
  <si>
    <t>Obrigado</t>
  </si>
  <si>
    <t># text = (Aplausos) Bruno Giussani: Obrigado.</t>
  </si>
  <si>
    <t>Aplausos</t>
  </si>
  <si>
    <t>Bruno</t>
  </si>
  <si>
    <t>Giussani</t>
  </si>
  <si>
    <t>:</t>
  </si>
  <si>
    <t># text = Robert Gupta.</t>
  </si>
  <si>
    <t>Gupta</t>
  </si>
  <si>
    <t># text = Robert Gupta:</t>
  </si>
  <si>
    <t># text = Vou tocar uma música que roubei descaradamente aos violoncelistas.</t>
  </si>
  <si>
    <t>Vou</t>
  </si>
  <si>
    <t>roubei</t>
  </si>
  <si>
    <t>descaradamente</t>
  </si>
  <si>
    <t>violoncelistas</t>
  </si>
  <si>
    <t># text = Desculpem-me por isso.</t>
  </si>
  <si>
    <t>Desculpem</t>
  </si>
  <si>
    <t>isso</t>
  </si>
  <si>
    <t># text = (Música)</t>
  </si>
  <si>
    <t>Música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</si>
</sst>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17</v>
      </c>
      <c r="C3" s="6" t="s">
        <v>12</v>
      </c>
      <c r="D3" s="7" t="s">
        <v>18</v>
      </c>
      <c r="E3" s="8" t="s">
        <v>19</v>
      </c>
      <c r="F3" s="6" t="s">
        <v>20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21</v>
      </c>
      <c r="B4" s="6" t="s">
        <v>22</v>
      </c>
      <c r="C4" s="6" t="s">
        <v>12</v>
      </c>
      <c r="D4" s="7" t="s">
        <v>23</v>
      </c>
      <c r="E4" s="8" t="s">
        <v>24</v>
      </c>
      <c r="F4" s="6" t="s">
        <v>25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26</v>
      </c>
      <c r="B5" s="6" t="s">
        <v>16</v>
      </c>
      <c r="C5" s="6" t="s">
        <v>12</v>
      </c>
      <c r="D5" s="7" t="s">
        <v>27</v>
      </c>
      <c r="E5" s="8" t="s">
        <v>28</v>
      </c>
      <c r="F5" s="6" t="s">
        <v>29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30</v>
      </c>
      <c r="B6" s="6" t="s">
        <v>16</v>
      </c>
      <c r="C6" s="6" t="s">
        <v>12</v>
      </c>
      <c r="D6" s="7" t="s">
        <v>23</v>
      </c>
      <c r="E6" s="8" t="s">
        <v>31</v>
      </c>
      <c r="F6" s="6" t="s">
        <v>32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17</v>
      </c>
      <c r="B7" s="6" t="s">
        <v>21</v>
      </c>
      <c r="C7" s="6" t="s">
        <v>12</v>
      </c>
      <c r="D7" s="7" t="s">
        <v>33</v>
      </c>
      <c r="E7" s="8" t="s">
        <v>34</v>
      </c>
      <c r="F7" s="6" t="s">
        <v>35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36</v>
      </c>
      <c r="B8" s="6" t="s">
        <v>10</v>
      </c>
      <c r="C8" s="6" t="s">
        <v>12</v>
      </c>
      <c r="D8" s="7" t="s">
        <v>37</v>
      </c>
      <c r="E8" s="8" t="s">
        <v>38</v>
      </c>
      <c r="F8" s="6" t="s">
        <v>39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40</v>
      </c>
      <c r="B9" s="6" t="s">
        <v>41</v>
      </c>
      <c r="C9" s="6" t="s">
        <v>12</v>
      </c>
      <c r="D9" s="7" t="s">
        <v>42</v>
      </c>
      <c r="E9" s="8" t="s">
        <v>43</v>
      </c>
      <c r="F9" s="6" t="s">
        <v>44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45</v>
      </c>
      <c r="B10" s="6" t="s">
        <v>10</v>
      </c>
      <c r="C10" s="6" t="s">
        <v>12</v>
      </c>
      <c r="D10" s="7" t="s">
        <v>46</v>
      </c>
      <c r="E10" s="8" t="s">
        <v>47</v>
      </c>
      <c r="F10" s="6" t="s">
        <v>48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49</v>
      </c>
      <c r="B11" s="6" t="s">
        <v>10</v>
      </c>
      <c r="C11" s="6" t="s">
        <v>12</v>
      </c>
      <c r="D11" s="7" t="s">
        <v>50</v>
      </c>
      <c r="E11" s="8" t="s">
        <v>51</v>
      </c>
      <c r="F11" s="6" t="s">
        <v>52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41</v>
      </c>
      <c r="B12" s="6" t="s">
        <v>16</v>
      </c>
      <c r="C12" s="6" t="s">
        <v>12</v>
      </c>
      <c r="D12" s="7" t="s">
        <v>53</v>
      </c>
      <c r="E12" s="8" t="s">
        <v>54</v>
      </c>
      <c r="F12" s="6" t="s">
        <v>55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11</v>
      </c>
      <c r="B13" s="6" t="s">
        <v>22</v>
      </c>
      <c r="C13" s="6" t="s">
        <v>12</v>
      </c>
      <c r="D13" s="7" t="s">
        <v>56</v>
      </c>
      <c r="E13" s="8" t="s">
        <v>57</v>
      </c>
      <c r="F13" s="6" t="s">
        <v>58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59</v>
      </c>
      <c r="B14" s="6" t="s">
        <v>21</v>
      </c>
      <c r="C14" s="6" t="s">
        <v>12</v>
      </c>
      <c r="D14" s="7" t="s">
        <v>60</v>
      </c>
      <c r="E14" s="8" t="s">
        <v>61</v>
      </c>
      <c r="F14" s="6" t="s">
        <v>62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63</v>
      </c>
      <c r="B15" s="6" t="s">
        <v>64</v>
      </c>
      <c r="C15" s="6" t="s">
        <v>12</v>
      </c>
      <c r="D15" s="7" t="s">
        <v>65</v>
      </c>
      <c r="E15" s="8" t="s">
        <v>66</v>
      </c>
      <c r="F15" s="6" t="s">
        <v>67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68</v>
      </c>
      <c r="B16" s="6" t="s">
        <v>16</v>
      </c>
      <c r="C16" s="6" t="s">
        <v>12</v>
      </c>
      <c r="D16" s="7" t="s">
        <v>37</v>
      </c>
      <c r="E16" s="8" t="s">
        <v>69</v>
      </c>
      <c r="F16" s="6" t="s">
        <v>70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71</v>
      </c>
      <c r="B17" s="6" t="s">
        <v>16</v>
      </c>
      <c r="C17" s="6" t="s">
        <v>12</v>
      </c>
      <c r="D17" s="7" t="s">
        <v>72</v>
      </c>
      <c r="E17" s="8" t="s">
        <v>73</v>
      </c>
      <c r="F17" s="6" t="s">
        <v>74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75</v>
      </c>
      <c r="B18" s="6" t="s">
        <v>16</v>
      </c>
      <c r="C18" s="6" t="s">
        <v>12</v>
      </c>
      <c r="D18" s="7" t="s">
        <v>76</v>
      </c>
      <c r="E18" s="8" t="s">
        <v>77</v>
      </c>
      <c r="F18" s="6" t="s">
        <v>78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79</v>
      </c>
      <c r="B19" s="6" t="s">
        <v>21</v>
      </c>
      <c r="C19" s="6" t="s">
        <v>12</v>
      </c>
      <c r="D19" s="7" t="s">
        <v>80</v>
      </c>
      <c r="E19" s="8" t="s">
        <v>81</v>
      </c>
      <c r="F19" s="6" t="s">
        <v>82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83</v>
      </c>
      <c r="B20" s="6" t="s">
        <v>16</v>
      </c>
      <c r="C20" s="6" t="s">
        <v>12</v>
      </c>
      <c r="D20" s="7" t="s">
        <v>84</v>
      </c>
      <c r="E20" s="8" t="s">
        <v>85</v>
      </c>
      <c r="F20" s="6" t="s">
        <v>86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87</v>
      </c>
      <c r="B21" s="6" t="s">
        <v>22</v>
      </c>
      <c r="C21" s="6" t="s">
        <v>12</v>
      </c>
      <c r="D21" s="7" t="s">
        <v>88</v>
      </c>
      <c r="E21" s="8" t="s">
        <v>89</v>
      </c>
      <c r="F21" s="6" t="s">
        <v>90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91</v>
      </c>
      <c r="B22" s="6" t="s">
        <v>36</v>
      </c>
      <c r="C22" s="6" t="s">
        <v>12</v>
      </c>
      <c r="D22" s="7" t="s">
        <v>92</v>
      </c>
      <c r="E22" s="8" t="s">
        <v>93</v>
      </c>
      <c r="F22" s="6" t="s">
        <v>94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95</v>
      </c>
      <c r="B23" s="6" t="s">
        <v>17</v>
      </c>
      <c r="C23" s="6" t="s">
        <v>12</v>
      </c>
      <c r="D23" s="7" t="s">
        <v>96</v>
      </c>
      <c r="E23" s="8" t="s">
        <v>97</v>
      </c>
      <c r="F23" s="6" t="s">
        <v>98</v>
      </c>
      <c r="G23" s="9">
        <f>IF(A23=1,"_",IF(C23="_","???",C23))</f>
        <v/>
      </c>
      <c r="H23" s="10" t="s">
        <v>12</v>
      </c>
      <c r="I23" s="11" t="s">
        <v>12</v>
      </c>
      <c r="J23" s="12"/>
    </row>
    <row r="24" spans="1:10" ht="60" customHeight="1">
      <c r="A24" s="6" t="s">
        <v>99</v>
      </c>
      <c r="B24" s="6" t="s">
        <v>10</v>
      </c>
      <c r="C24" s="6" t="s">
        <v>12</v>
      </c>
      <c r="D24" s="7" t="s">
        <v>100</v>
      </c>
      <c r="E24" s="8" t="s">
        <v>101</v>
      </c>
      <c r="F24" s="6" t="s">
        <v>102</v>
      </c>
      <c r="G24" s="9">
        <f>IF(A24=1,"_",IF(C24="_","???",C24))</f>
        <v/>
      </c>
      <c r="H24" s="10" t="s">
        <v>12</v>
      </c>
      <c r="I24" s="11" t="s">
        <v>12</v>
      </c>
      <c r="J24" s="12"/>
    </row>
    <row r="25" spans="1:10" ht="60" customHeight="1">
      <c r="A25" s="6" t="s">
        <v>103</v>
      </c>
      <c r="B25" s="6" t="s">
        <v>16</v>
      </c>
      <c r="C25" s="6" t="s">
        <v>12</v>
      </c>
      <c r="D25" s="7" t="s">
        <v>104</v>
      </c>
      <c r="E25" s="8" t="s">
        <v>105</v>
      </c>
      <c r="F25" s="6" t="s">
        <v>106</v>
      </c>
      <c r="G25" s="9">
        <f>IF(A25=1,"_",IF(C25="_","???",C25))</f>
        <v/>
      </c>
      <c r="H25" s="10" t="s">
        <v>12</v>
      </c>
      <c r="I25" s="11" t="s">
        <v>12</v>
      </c>
      <c r="J25" s="12"/>
    </row>
    <row r="26" spans="1:10" ht="60" customHeight="1">
      <c r="A26" s="6" t="s">
        <v>107</v>
      </c>
      <c r="B26" s="6" t="s">
        <v>16</v>
      </c>
      <c r="C26" s="6" t="s">
        <v>12</v>
      </c>
      <c r="D26" s="7" t="s">
        <v>37</v>
      </c>
      <c r="E26" s="8" t="s">
        <v>108</v>
      </c>
      <c r="F26" s="6" t="s">
        <v>109</v>
      </c>
      <c r="G26" s="9">
        <f>IF(A26=1,"_",IF(C26="_","???",C26))</f>
        <v/>
      </c>
      <c r="H26" s="10" t="s">
        <v>12</v>
      </c>
      <c r="I26" s="11" t="s">
        <v>12</v>
      </c>
      <c r="J26" s="12"/>
    </row>
    <row r="27" spans="1:10" ht="60" customHeight="1">
      <c r="A27" s="6" t="s">
        <v>110</v>
      </c>
      <c r="B27" s="6" t="s">
        <v>21</v>
      </c>
      <c r="C27" s="6" t="s">
        <v>12</v>
      </c>
      <c r="D27" s="7" t="s">
        <v>111</v>
      </c>
      <c r="E27" s="8" t="s">
        <v>112</v>
      </c>
      <c r="F27" s="6" t="s">
        <v>113</v>
      </c>
      <c r="G27" s="9">
        <f>IF(A27=1,"_",IF(C27="_","???",C27))</f>
        <v/>
      </c>
      <c r="H27" s="10" t="s">
        <v>12</v>
      </c>
      <c r="I27" s="11" t="s">
        <v>12</v>
      </c>
      <c r="J27" s="12"/>
    </row>
    <row r="28" spans="1:10" ht="60" customHeight="1">
      <c r="A28" s="6" t="s">
        <v>114</v>
      </c>
      <c r="B28" s="6" t="s">
        <v>21</v>
      </c>
      <c r="C28" s="6" t="s">
        <v>12</v>
      </c>
      <c r="D28" s="7" t="s">
        <v>92</v>
      </c>
      <c r="E28" s="8" t="s">
        <v>115</v>
      </c>
      <c r="F28" s="6" t="s">
        <v>116</v>
      </c>
      <c r="G28" s="9">
        <f>IF(A28=1,"_",IF(C28="_","???",C28))</f>
        <v/>
      </c>
      <c r="H28" s="10" t="s">
        <v>12</v>
      </c>
      <c r="I28" s="11" t="s">
        <v>12</v>
      </c>
      <c r="J28" s="12"/>
    </row>
    <row r="29" spans="1:10" ht="60" customHeight="1">
      <c r="A29" s="6" t="s">
        <v>117</v>
      </c>
      <c r="B29" s="6" t="s">
        <v>30</v>
      </c>
      <c r="C29" s="6" t="s">
        <v>12</v>
      </c>
      <c r="D29" s="7" t="s">
        <v>118</v>
      </c>
      <c r="E29" s="8" t="s">
        <v>119</v>
      </c>
      <c r="F29" s="6" t="s">
        <v>120</v>
      </c>
      <c r="G29" s="9">
        <f>IF(A29=1,"_",IF(C29="_","???",C29))</f>
        <v/>
      </c>
      <c r="H29" s="10" t="s">
        <v>12</v>
      </c>
      <c r="I29" s="11" t="s">
        <v>12</v>
      </c>
      <c r="J29" s="12"/>
    </row>
    <row r="30" spans="1:10" ht="60" customHeight="1">
      <c r="A30" s="6" t="s">
        <v>64</v>
      </c>
      <c r="B30" s="6" t="s">
        <v>26</v>
      </c>
      <c r="C30" s="6" t="s">
        <v>12</v>
      </c>
      <c r="D30" s="7" t="s">
        <v>121</v>
      </c>
      <c r="E30" s="8" t="s">
        <v>122</v>
      </c>
      <c r="F30" s="6" t="s">
        <v>123</v>
      </c>
      <c r="G30" s="9">
        <f>IF(A30=1,"_",IF(C30="_","???",C30))</f>
        <v/>
      </c>
      <c r="H30" s="10" t="s">
        <v>12</v>
      </c>
      <c r="I30" s="11" t="s">
        <v>12</v>
      </c>
      <c r="J30" s="12"/>
    </row>
    <row r="31" spans="1:10" ht="60" customHeight="1">
      <c r="A31" s="6" t="s">
        <v>124</v>
      </c>
      <c r="B31" s="6" t="s">
        <v>16</v>
      </c>
      <c r="C31" s="6" t="s">
        <v>12</v>
      </c>
      <c r="D31" s="7" t="s">
        <v>125</v>
      </c>
      <c r="E31" s="8" t="s">
        <v>126</v>
      </c>
      <c r="F31" s="6" t="s">
        <v>127</v>
      </c>
      <c r="G31" s="9">
        <f>IF(A31=1,"_",IF(C31="_","???",C31))</f>
        <v/>
      </c>
      <c r="H31" s="10" t="s">
        <v>12</v>
      </c>
      <c r="I31" s="11" t="s">
        <v>12</v>
      </c>
      <c r="J31" s="12"/>
    </row>
    <row r="32" spans="1:10" ht="60" customHeight="1">
      <c r="A32" s="6" t="s">
        <v>128</v>
      </c>
      <c r="B32" s="6" t="s">
        <v>16</v>
      </c>
      <c r="C32" s="6" t="s">
        <v>12</v>
      </c>
      <c r="D32" s="7" t="s">
        <v>104</v>
      </c>
      <c r="E32" s="8" t="s">
        <v>129</v>
      </c>
      <c r="F32" s="6" t="s">
        <v>130</v>
      </c>
      <c r="G32" s="9">
        <f>IF(A32=1,"_",IF(C32="_","???",C32))</f>
        <v/>
      </c>
      <c r="H32" s="10" t="s">
        <v>12</v>
      </c>
      <c r="I32" s="11" t="s">
        <v>12</v>
      </c>
      <c r="J32" s="12"/>
    </row>
    <row r="33" spans="1:10" ht="60" customHeight="1">
      <c r="A33" s="6" t="s">
        <v>131</v>
      </c>
      <c r="B33" s="6" t="s">
        <v>16</v>
      </c>
      <c r="C33" s="6" t="s">
        <v>12</v>
      </c>
      <c r="D33" s="7" t="s">
        <v>132</v>
      </c>
      <c r="E33" s="8" t="s">
        <v>133</v>
      </c>
      <c r="F33" s="6" t="s">
        <v>134</v>
      </c>
      <c r="G33" s="9">
        <f>IF(A33=1,"_",IF(C33="_","???",C33))</f>
        <v/>
      </c>
      <c r="H33" s="10" t="s">
        <v>12</v>
      </c>
      <c r="I33" s="11" t="s">
        <v>12</v>
      </c>
      <c r="J33" s="12"/>
    </row>
    <row r="34" spans="1:10" ht="60" customHeight="1">
      <c r="A34" s="6" t="s">
        <v>135</v>
      </c>
      <c r="B34" s="6" t="s">
        <v>59</v>
      </c>
      <c r="C34" s="6" t="s">
        <v>12</v>
      </c>
      <c r="D34" s="7" t="s">
        <v>136</v>
      </c>
      <c r="E34" s="8" t="s">
        <v>137</v>
      </c>
      <c r="F34" s="6" t="s">
        <v>138</v>
      </c>
      <c r="G34" s="9">
        <f>IF(A34=1,"_",IF(C34="_","???",C34))</f>
        <v/>
      </c>
      <c r="H34" s="10" t="s">
        <v>12</v>
      </c>
      <c r="I34" s="11" t="s">
        <v>12</v>
      </c>
      <c r="J34" s="12"/>
    </row>
    <row r="35" spans="1:10" ht="60" customHeight="1">
      <c r="A35" s="6" t="s">
        <v>139</v>
      </c>
      <c r="B35" s="6" t="s">
        <v>30</v>
      </c>
      <c r="C35" s="6" t="s">
        <v>12</v>
      </c>
      <c r="D35" s="7" t="s">
        <v>84</v>
      </c>
      <c r="E35" s="8" t="s">
        <v>140</v>
      </c>
      <c r="F35" s="6" t="s">
        <v>141</v>
      </c>
      <c r="G35" s="9">
        <f>IF(A35=1,"_",IF(C35="_","???",C35))</f>
        <v/>
      </c>
      <c r="H35" s="10" t="s">
        <v>12</v>
      </c>
      <c r="I35" s="11" t="s">
        <v>12</v>
      </c>
      <c r="J35" s="12"/>
    </row>
    <row r="36" spans="1:10" ht="60" customHeight="1">
      <c r="A36" s="6" t="s">
        <v>142</v>
      </c>
      <c r="B36" s="6" t="s">
        <v>17</v>
      </c>
      <c r="C36" s="6" t="s">
        <v>12</v>
      </c>
      <c r="D36" s="7" t="s">
        <v>143</v>
      </c>
      <c r="E36" s="8" t="s">
        <v>144</v>
      </c>
      <c r="F36" s="6" t="s">
        <v>145</v>
      </c>
      <c r="G36" s="9">
        <f>IF(A36=1,"_",IF(C36="_","???",C36))</f>
        <v/>
      </c>
      <c r="H36" s="10" t="s">
        <v>12</v>
      </c>
      <c r="I36" s="11" t="s">
        <v>12</v>
      </c>
      <c r="J36" s="12"/>
    </row>
    <row r="37" spans="1:10" ht="60" customHeight="1">
      <c r="A37" s="6" t="s">
        <v>146</v>
      </c>
      <c r="B37" s="6" t="s">
        <v>16</v>
      </c>
      <c r="C37" s="6" t="s">
        <v>12</v>
      </c>
      <c r="D37" s="7" t="s">
        <v>147</v>
      </c>
      <c r="E37" s="8" t="s">
        <v>148</v>
      </c>
      <c r="F37" s="6" t="s">
        <v>149</v>
      </c>
      <c r="G37" s="9">
        <f>IF(A37=1,"_",IF(C37="_","???",C37))</f>
        <v/>
      </c>
      <c r="H37" s="10" t="s">
        <v>12</v>
      </c>
      <c r="I37" s="11" t="s">
        <v>12</v>
      </c>
      <c r="J37" s="12"/>
    </row>
    <row r="38" spans="1:10" ht="60" customHeight="1">
      <c r="A38" s="6" t="s">
        <v>150</v>
      </c>
      <c r="B38" s="6" t="s">
        <v>10</v>
      </c>
      <c r="C38" s="6" t="s">
        <v>12</v>
      </c>
      <c r="D38" s="7" t="s">
        <v>151</v>
      </c>
      <c r="E38" s="8" t="s">
        <v>152</v>
      </c>
      <c r="F38" s="6" t="s">
        <v>153</v>
      </c>
      <c r="G38" s="9">
        <f>IF(A38=1,"_",IF(C38="_","???",C38))</f>
        <v/>
      </c>
      <c r="H38" s="10" t="s">
        <v>12</v>
      </c>
      <c r="I38" s="11" t="s">
        <v>12</v>
      </c>
      <c r="J38" s="12"/>
    </row>
    <row r="39" spans="1:10" ht="60" customHeight="1">
      <c r="A39" s="6" t="s">
        <v>154</v>
      </c>
      <c r="B39" s="6" t="s">
        <v>16</v>
      </c>
      <c r="C39" s="6" t="s">
        <v>12</v>
      </c>
      <c r="D39" s="7" t="s">
        <v>155</v>
      </c>
      <c r="E39" s="8" t="s">
        <v>156</v>
      </c>
      <c r="F39" s="6" t="s">
        <v>157</v>
      </c>
      <c r="G39" s="9">
        <f>IF(A39=1,"_",IF(C39="_","???",C39))</f>
        <v/>
      </c>
      <c r="H39" s="10" t="s">
        <v>12</v>
      </c>
      <c r="I39" s="11" t="s">
        <v>12</v>
      </c>
      <c r="J39" s="12"/>
    </row>
    <row r="40" spans="1:10" ht="60" customHeight="1">
      <c r="A40" s="6" t="s">
        <v>158</v>
      </c>
      <c r="B40" s="6" t="s">
        <v>10</v>
      </c>
      <c r="C40" s="6" t="s">
        <v>12</v>
      </c>
      <c r="D40" s="7" t="s">
        <v>151</v>
      </c>
      <c r="E40" s="8" t="s">
        <v>152</v>
      </c>
      <c r="F40" s="6" t="s">
        <v>159</v>
      </c>
      <c r="G40" s="9">
        <f>IF(A40=1,"_",IF(C40="_","???",C40))</f>
        <v/>
      </c>
      <c r="H40" s="10" t="s">
        <v>12</v>
      </c>
      <c r="I40" s="11" t="s">
        <v>12</v>
      </c>
      <c r="J40" s="12"/>
    </row>
    <row r="41" spans="1:10" ht="60" customHeight="1">
      <c r="A41" s="6" t="s">
        <v>160</v>
      </c>
      <c r="B41" s="6" t="s">
        <v>10</v>
      </c>
      <c r="C41" s="6" t="s">
        <v>12</v>
      </c>
      <c r="D41" s="7" t="s">
        <v>161</v>
      </c>
      <c r="E41" s="8" t="s">
        <v>162</v>
      </c>
      <c r="F41" s="6" t="s">
        <v>163</v>
      </c>
      <c r="G41" s="9">
        <f>IF(A41=1,"_",IF(C41="_","???",C41))</f>
        <v/>
      </c>
      <c r="H41" s="10" t="s">
        <v>12</v>
      </c>
      <c r="I41" s="11" t="s">
        <v>12</v>
      </c>
      <c r="J41" s="12"/>
    </row>
    <row r="42" spans="1:10" ht="60" customHeight="1">
      <c r="A42" s="6" t="s">
        <v>164</v>
      </c>
      <c r="B42" s="6" t="s">
        <v>10</v>
      </c>
      <c r="C42" s="6" t="s">
        <v>12</v>
      </c>
      <c r="D42" s="7" t="s">
        <v>161</v>
      </c>
      <c r="E42" s="8" t="s">
        <v>165</v>
      </c>
      <c r="F42" s="6" t="s">
        <v>166</v>
      </c>
      <c r="G42" s="9">
        <f>IF(A42=1,"_",IF(C42="_","???",C42))</f>
        <v/>
      </c>
      <c r="H42" s="10" t="s">
        <v>12</v>
      </c>
      <c r="I42" s="11" t="s">
        <v>12</v>
      </c>
      <c r="J42" s="12"/>
    </row>
    <row r="43" spans="1:10" ht="60" customHeight="1">
      <c r="A43" s="6" t="s">
        <v>167</v>
      </c>
      <c r="B43" s="6" t="s">
        <v>10</v>
      </c>
      <c r="C43" s="6" t="s">
        <v>12</v>
      </c>
      <c r="D43" s="7" t="s">
        <v>168</v>
      </c>
      <c r="E43" s="8" t="s">
        <v>169</v>
      </c>
      <c r="F43" s="6" t="s">
        <v>170</v>
      </c>
      <c r="G43" s="9">
        <f>IF(A43=1,"_",IF(C43="_","???",C43))</f>
        <v/>
      </c>
      <c r="H43" s="10" t="s">
        <v>12</v>
      </c>
      <c r="I43" s="11" t="s">
        <v>12</v>
      </c>
      <c r="J43" s="12"/>
    </row>
    <row r="44" spans="1:10" ht="60" customHeight="1">
      <c r="A44" s="6" t="s">
        <v>171</v>
      </c>
      <c r="B44" s="6" t="s">
        <v>16</v>
      </c>
      <c r="C44" s="6" t="s">
        <v>12</v>
      </c>
      <c r="D44" s="7" t="s">
        <v>172</v>
      </c>
      <c r="E44" s="8" t="s">
        <v>173</v>
      </c>
      <c r="F44" s="6" t="s">
        <v>174</v>
      </c>
      <c r="G44" s="9">
        <f>IF(A44=1,"_",IF(C44="_","???",C44))</f>
        <v/>
      </c>
      <c r="H44" s="10" t="s">
        <v>12</v>
      </c>
      <c r="I44" s="11" t="s">
        <v>12</v>
      </c>
      <c r="J44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14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175</v>
      </c>
      <c r="B1" s="13" t="s">
        <v>176</v>
      </c>
      <c r="C1" s="13" t="s">
        <v>177</v>
      </c>
      <c r="D1" s="13" t="s">
        <v>178</v>
      </c>
      <c r="E1" s="14" t="s">
        <v>179</v>
      </c>
      <c r="F1" s="15" t="s">
        <v>180</v>
      </c>
      <c r="G1" s="16" t="s">
        <v>181</v>
      </c>
      <c r="H1" s="17" t="s">
        <v>182</v>
      </c>
      <c r="I1" s="18" t="s">
        <v>183</v>
      </c>
      <c r="J1" s="18" t="s">
        <v>184</v>
      </c>
      <c r="K1" s="18" t="s">
        <v>185</v>
      </c>
      <c r="L1" s="19" t="s">
        <v>9</v>
      </c>
    </row>
    <row r="2" spans="1:12">
      <c r="A2" s="20" t="s">
        <v>186</v>
      </c>
    </row>
    <row r="3" spans="1:12">
      <c r="A3" s="20" t="s">
        <v>187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50</v>
      </c>
      <c r="B4" s="27" t="s">
        <v>188</v>
      </c>
      <c r="C4" s="27" t="s">
        <v>189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190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191</v>
      </c>
      <c r="B6" s="27" t="s">
        <v>192</v>
      </c>
      <c r="C6" s="27" t="s">
        <v>193</v>
      </c>
      <c r="D6" s="27" t="s">
        <v>194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195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190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196</v>
      </c>
      <c r="B9" s="27" t="s">
        <v>197</v>
      </c>
      <c r="C9" s="27" t="s">
        <v>198</v>
      </c>
      <c r="D9" s="27" t="s">
        <v>194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199</v>
      </c>
      <c r="B10" s="27" t="s">
        <v>200</v>
      </c>
      <c r="C10" s="27" t="s">
        <v>198</v>
      </c>
      <c r="D10" s="27" t="s">
        <v>194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201</v>
      </c>
      <c r="B11" s="27" t="s">
        <v>200</v>
      </c>
      <c r="C11" s="27" t="s">
        <v>198</v>
      </c>
      <c r="D11" s="27" t="s">
        <v>194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202</v>
      </c>
      <c r="B12" s="27" t="s">
        <v>200</v>
      </c>
      <c r="C12" s="27" t="s">
        <v>198</v>
      </c>
      <c r="D12" s="27" t="s">
        <v>194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203</v>
      </c>
      <c r="B13" s="27" t="s">
        <v>204</v>
      </c>
      <c r="C13" s="27" t="s">
        <v>198</v>
      </c>
      <c r="D13" s="27" t="s">
        <v>194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205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206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207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208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209</v>
      </c>
      <c r="B18" s="27" t="s">
        <v>210</v>
      </c>
      <c r="C18" s="27" t="s">
        <v>193</v>
      </c>
      <c r="D18" s="27" t="s">
        <v>194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195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211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212</v>
      </c>
      <c r="B21" s="27" t="s">
        <v>197</v>
      </c>
      <c r="C21" s="27" t="s">
        <v>193</v>
      </c>
      <c r="D21" s="27" t="s">
        <v>194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195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196</v>
      </c>
      <c r="B23" s="27" t="s">
        <v>200</v>
      </c>
      <c r="C23" s="27" t="s">
        <v>198</v>
      </c>
      <c r="D23" s="27" t="s">
        <v>194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199</v>
      </c>
      <c r="B24" s="27" t="s">
        <v>204</v>
      </c>
      <c r="C24" s="27" t="s">
        <v>198</v>
      </c>
      <c r="D24" s="27" t="s">
        <v>194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213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214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215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172</v>
      </c>
      <c r="B28" s="27" t="s">
        <v>216</v>
      </c>
      <c r="C28" s="27" t="s">
        <v>217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218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219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/>
    </row>
    <row r="32" spans="1:12">
      <c r="A32" s="20" t="s">
        <v>220</v>
      </c>
    </row>
    <row r="33" spans="1:12">
      <c r="A33" s="20" t="s">
        <v>221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211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222</v>
      </c>
      <c r="B35" s="27" t="s">
        <v>192</v>
      </c>
      <c r="C35" s="27" t="s">
        <v>193</v>
      </c>
      <c r="D35" s="27" t="s">
        <v>194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195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211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172</v>
      </c>
      <c r="B38" s="27" t="s">
        <v>197</v>
      </c>
      <c r="C38" s="27" t="s">
        <v>223</v>
      </c>
      <c r="D38" s="27" t="s">
        <v>194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224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225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226</v>
      </c>
      <c r="B41" s="27" t="s">
        <v>188</v>
      </c>
      <c r="C41" s="27" t="s">
        <v>217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205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225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227</v>
      </c>
      <c r="B44" s="27" t="s">
        <v>188</v>
      </c>
      <c r="C44" s="27" t="s">
        <v>217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205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228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205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229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205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230</v>
      </c>
      <c r="B50" s="27" t="s">
        <v>188</v>
      </c>
      <c r="C50" s="27" t="s">
        <v>189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205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211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84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225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231</v>
      </c>
      <c r="B55" s="27" t="s">
        <v>216</v>
      </c>
      <c r="C55" s="27" t="s">
        <v>217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232</v>
      </c>
      <c r="B56" s="27" t="s">
        <v>233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234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235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236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237</v>
      </c>
      <c r="B60" s="27" t="s">
        <v>238</v>
      </c>
      <c r="C60" s="27" t="s">
        <v>239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219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/>
    </row>
    <row r="63" spans="1:12">
      <c r="A63" s="20" t="s">
        <v>240</v>
      </c>
    </row>
    <row r="64" spans="1:12">
      <c r="A64" s="20" t="s">
        <v>241</v>
      </c>
      <c r="B64" s="27" t="s">
        <v>192</v>
      </c>
      <c r="C64" s="27" t="s">
        <v>242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195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243</v>
      </c>
      <c r="B66" s="27" t="s">
        <v>197</v>
      </c>
      <c r="C66" s="27" t="s">
        <v>244</v>
      </c>
      <c r="D66" s="27" t="s">
        <v>194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245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246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247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248</v>
      </c>
      <c r="B70" s="27" t="s">
        <v>210</v>
      </c>
      <c r="C70" s="27" t="s">
        <v>249</v>
      </c>
      <c r="D70" s="27" t="s">
        <v>194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205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250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208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251</v>
      </c>
      <c r="B74" s="27" t="s">
        <v>252</v>
      </c>
      <c r="C74" s="27" t="s">
        <v>193</v>
      </c>
      <c r="D74" s="27" t="s">
        <v>194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195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190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202</v>
      </c>
      <c r="B77" s="27" t="s">
        <v>200</v>
      </c>
      <c r="C77" s="27" t="s">
        <v>198</v>
      </c>
      <c r="D77" s="27" t="s">
        <v>194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253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195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254</v>
      </c>
      <c r="B80" s="27" t="s">
        <v>216</v>
      </c>
      <c r="C80" s="27" t="s">
        <v>193</v>
      </c>
      <c r="D80" s="27" t="s">
        <v>194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211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225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255</v>
      </c>
      <c r="B83" s="27" t="s">
        <v>200</v>
      </c>
      <c r="C83" s="27" t="s">
        <v>217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232</v>
      </c>
      <c r="B84" s="27" t="s">
        <v>256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257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211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258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225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259</v>
      </c>
      <c r="B89" s="27" t="s">
        <v>260</v>
      </c>
      <c r="C89" s="27" t="s">
        <v>193</v>
      </c>
      <c r="D89" s="27" t="s">
        <v>194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205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261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161</v>
      </c>
      <c r="B92" s="27" t="s">
        <v>262</v>
      </c>
      <c r="C92" s="27" t="s">
        <v>198</v>
      </c>
      <c r="D92" s="27" t="s">
        <v>194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263</v>
      </c>
      <c r="B93" s="27" t="s">
        <v>264</v>
      </c>
      <c r="C93" s="27" t="s">
        <v>198</v>
      </c>
      <c r="D93" s="27" t="s">
        <v>194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265</v>
      </c>
      <c r="B94" s="27" t="s">
        <v>264</v>
      </c>
      <c r="C94" s="27" t="s">
        <v>198</v>
      </c>
      <c r="D94" s="27" t="s">
        <v>194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266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190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267</v>
      </c>
      <c r="B97" s="27" t="s">
        <v>264</v>
      </c>
      <c r="C97" s="27" t="s">
        <v>193</v>
      </c>
      <c r="D97" s="27" t="s">
        <v>194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195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202</v>
      </c>
      <c r="B99" s="27" t="s">
        <v>268</v>
      </c>
      <c r="C99" s="27" t="s">
        <v>198</v>
      </c>
      <c r="D99" s="27" t="s">
        <v>194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203</v>
      </c>
      <c r="B100" s="27" t="s">
        <v>269</v>
      </c>
      <c r="C100" s="27" t="s">
        <v>198</v>
      </c>
      <c r="D100" s="27" t="s">
        <v>194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205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270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271</v>
      </c>
      <c r="B103" s="27" t="s">
        <v>262</v>
      </c>
      <c r="C103" s="27" t="s">
        <v>198</v>
      </c>
      <c r="D103" s="27" t="s">
        <v>194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272</v>
      </c>
      <c r="B104" s="27" t="s">
        <v>264</v>
      </c>
      <c r="C104" s="27" t="s">
        <v>198</v>
      </c>
      <c r="D104" s="27" t="s">
        <v>194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266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190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267</v>
      </c>
      <c r="B107" s="27" t="s">
        <v>264</v>
      </c>
      <c r="C107" s="27" t="s">
        <v>193</v>
      </c>
      <c r="D107" s="27" t="s">
        <v>194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195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273</v>
      </c>
      <c r="B109" s="27" t="s">
        <v>268</v>
      </c>
      <c r="C109" s="27" t="s">
        <v>198</v>
      </c>
      <c r="D109" s="27" t="s">
        <v>194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274</v>
      </c>
      <c r="B110" s="27" t="s">
        <v>269</v>
      </c>
      <c r="C110" s="27" t="s">
        <v>198</v>
      </c>
      <c r="D110" s="27" t="s">
        <v>194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275</v>
      </c>
      <c r="B111" s="27" t="s">
        <v>269</v>
      </c>
      <c r="C111" s="27" t="s">
        <v>198</v>
      </c>
      <c r="D111" s="27" t="s">
        <v>194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205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190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276</v>
      </c>
      <c r="B114" s="27" t="s">
        <v>262</v>
      </c>
      <c r="C114" s="27" t="s">
        <v>223</v>
      </c>
      <c r="D114" s="27" t="s">
        <v>194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270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277</v>
      </c>
      <c r="B116" s="27" t="s">
        <v>262</v>
      </c>
      <c r="C116" s="27" t="s">
        <v>193</v>
      </c>
      <c r="D116" s="27" t="s">
        <v>194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195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211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278</v>
      </c>
      <c r="B119" s="27" t="s">
        <v>264</v>
      </c>
      <c r="C119" s="27" t="s">
        <v>198</v>
      </c>
      <c r="D119" s="27" t="s">
        <v>194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279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280</v>
      </c>
      <c r="B121" s="27" t="s">
        <v>281</v>
      </c>
      <c r="C121" s="27" t="s">
        <v>282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283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284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285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207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225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286</v>
      </c>
      <c r="B127" s="27" t="s">
        <v>269</v>
      </c>
      <c r="C127" s="27" t="s">
        <v>193</v>
      </c>
      <c r="D127" s="27" t="s">
        <v>194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287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195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288</v>
      </c>
      <c r="B130" s="27" t="s">
        <v>289</v>
      </c>
      <c r="C130" s="27" t="s">
        <v>189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290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219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/>
    </row>
    <row r="134" spans="1:12">
      <c r="A134" s="20" t="s">
        <v>291</v>
      </c>
    </row>
    <row r="135" spans="1:12">
      <c r="A135" s="20" t="s">
        <v>273</v>
      </c>
      <c r="B135" s="27" t="s">
        <v>192</v>
      </c>
      <c r="C135" s="27" t="s">
        <v>198</v>
      </c>
      <c r="D135" s="27" t="s">
        <v>194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292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211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278</v>
      </c>
      <c r="B138" s="27" t="s">
        <v>210</v>
      </c>
      <c r="C138" s="27" t="s">
        <v>198</v>
      </c>
      <c r="D138" s="27" t="s">
        <v>194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205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293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225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294</v>
      </c>
      <c r="B142" s="27" t="s">
        <v>216</v>
      </c>
      <c r="C142" s="27" t="s">
        <v>217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205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270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114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295</v>
      </c>
      <c r="B146" s="27" t="s">
        <v>296</v>
      </c>
      <c r="C146" s="27" t="s">
        <v>239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297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298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299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266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208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209</v>
      </c>
      <c r="B152" s="27" t="s">
        <v>300</v>
      </c>
      <c r="C152" s="27" t="s">
        <v>193</v>
      </c>
      <c r="D152" s="27" t="s">
        <v>194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195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301</v>
      </c>
      <c r="B154" s="27" t="s">
        <v>204</v>
      </c>
      <c r="C154" s="27" t="s">
        <v>198</v>
      </c>
      <c r="D154" s="27" t="s">
        <v>194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302</v>
      </c>
      <c r="B155" s="27" t="s">
        <v>296</v>
      </c>
      <c r="C155" s="27" t="s">
        <v>198</v>
      </c>
      <c r="D155" s="27" t="s">
        <v>194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266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211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212</v>
      </c>
      <c r="B158" s="27" t="s">
        <v>200</v>
      </c>
      <c r="C158" s="27" t="s">
        <v>193</v>
      </c>
      <c r="D158" s="27" t="s">
        <v>194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195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196</v>
      </c>
      <c r="B160" s="27" t="s">
        <v>204</v>
      </c>
      <c r="C160" s="27" t="s">
        <v>198</v>
      </c>
      <c r="D160" s="27" t="s">
        <v>194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199</v>
      </c>
      <c r="B161" s="27" t="s">
        <v>296</v>
      </c>
      <c r="C161" s="27" t="s">
        <v>198</v>
      </c>
      <c r="D161" s="27" t="s">
        <v>194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219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/>
    </row>
    <row r="164" spans="1:12">
      <c r="A164" s="20" t="s">
        <v>303</v>
      </c>
    </row>
    <row r="165" spans="1:12">
      <c r="A165" s="20" t="s">
        <v>304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305</v>
      </c>
      <c r="B166" s="27" t="s">
        <v>210</v>
      </c>
      <c r="C166" s="27" t="s">
        <v>244</v>
      </c>
      <c r="D166" s="27" t="s">
        <v>194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211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306</v>
      </c>
      <c r="B168" s="27" t="s">
        <v>210</v>
      </c>
      <c r="C168" s="27" t="s">
        <v>307</v>
      </c>
      <c r="D168" s="27" t="s">
        <v>194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211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308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190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255</v>
      </c>
      <c r="B172" s="27" t="s">
        <v>216</v>
      </c>
      <c r="C172" s="27" t="s">
        <v>193</v>
      </c>
      <c r="D172" s="27" t="s">
        <v>194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195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190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202</v>
      </c>
      <c r="B175" s="27" t="s">
        <v>200</v>
      </c>
      <c r="C175" s="27" t="s">
        <v>198</v>
      </c>
      <c r="D175" s="27" t="s">
        <v>194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205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309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211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168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190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259</v>
      </c>
      <c r="B181" s="27" t="s">
        <v>300</v>
      </c>
      <c r="C181" s="27" t="s">
        <v>223</v>
      </c>
      <c r="D181" s="27" t="s">
        <v>194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310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311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312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234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211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313</v>
      </c>
      <c r="B187" s="27" t="s">
        <v>238</v>
      </c>
      <c r="C187" s="27" t="s">
        <v>193</v>
      </c>
      <c r="D187" s="27" t="s">
        <v>194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195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190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314</v>
      </c>
      <c r="B190" s="27" t="s">
        <v>296</v>
      </c>
      <c r="C190" s="27" t="s">
        <v>223</v>
      </c>
      <c r="D190" s="27" t="s">
        <v>194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232</v>
      </c>
      <c r="B191" s="27" t="s">
        <v>315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316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317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318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319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320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321</v>
      </c>
      <c r="B197" s="27" t="s">
        <v>262</v>
      </c>
      <c r="C197" s="27" t="s">
        <v>249</v>
      </c>
      <c r="D197" s="27" t="s">
        <v>194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205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322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323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211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324</v>
      </c>
      <c r="B202" s="27" t="s">
        <v>188</v>
      </c>
      <c r="C202" s="27" t="s">
        <v>193</v>
      </c>
      <c r="D202" s="27" t="s">
        <v>194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195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211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172</v>
      </c>
      <c r="B205" s="27" t="s">
        <v>197</v>
      </c>
      <c r="C205" s="27" t="s">
        <v>193</v>
      </c>
      <c r="D205" s="27" t="s">
        <v>194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266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190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325</v>
      </c>
      <c r="B208" s="27" t="s">
        <v>200</v>
      </c>
      <c r="C208" s="27" t="s">
        <v>193</v>
      </c>
      <c r="D208" s="27" t="s">
        <v>194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195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326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327</v>
      </c>
      <c r="B211" s="27" t="s">
        <v>204</v>
      </c>
      <c r="C211" s="27" t="s">
        <v>249</v>
      </c>
      <c r="D211" s="27" t="s">
        <v>194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205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270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232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205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266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328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329</v>
      </c>
      <c r="B218" s="27" t="s">
        <v>200</v>
      </c>
      <c r="C218" s="27" t="s">
        <v>189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205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284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330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205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331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190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332</v>
      </c>
      <c r="B225" s="27" t="s">
        <v>300</v>
      </c>
      <c r="C225" s="27" t="s">
        <v>223</v>
      </c>
      <c r="D225" s="27" t="s">
        <v>194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205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310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333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211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334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190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273</v>
      </c>
      <c r="B232" s="27" t="s">
        <v>335</v>
      </c>
      <c r="C232" s="27" t="s">
        <v>198</v>
      </c>
      <c r="D232" s="27" t="s">
        <v>194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195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208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209</v>
      </c>
      <c r="B235" s="27" t="s">
        <v>336</v>
      </c>
      <c r="C235" s="27" t="s">
        <v>223</v>
      </c>
      <c r="D235" s="27" t="s">
        <v>194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219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/>
    </row>
    <row r="238" spans="1:12">
      <c r="A238" s="20" t="s">
        <v>337</v>
      </c>
    </row>
    <row r="239" spans="1:12">
      <c r="A239" s="20" t="s">
        <v>338</v>
      </c>
      <c r="B239" s="27" t="s">
        <v>192</v>
      </c>
      <c r="C239" s="27" t="s">
        <v>244</v>
      </c>
      <c r="D239" s="27" t="s">
        <v>194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339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190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340</v>
      </c>
      <c r="B242" s="27" t="s">
        <v>210</v>
      </c>
      <c r="C242" s="27" t="s">
        <v>198</v>
      </c>
      <c r="D242" s="27" t="s">
        <v>194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275</v>
      </c>
      <c r="B243" s="27" t="s">
        <v>197</v>
      </c>
      <c r="C243" s="27" t="s">
        <v>198</v>
      </c>
      <c r="D243" s="27" t="s">
        <v>194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266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341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205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342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320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295</v>
      </c>
      <c r="B249" s="27" t="s">
        <v>216</v>
      </c>
      <c r="C249" s="27" t="s">
        <v>239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205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266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190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343</v>
      </c>
      <c r="B253" s="27" t="s">
        <v>197</v>
      </c>
      <c r="C253" s="27" t="s">
        <v>198</v>
      </c>
      <c r="D253" s="27" t="s">
        <v>194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344</v>
      </c>
      <c r="B254" s="27" t="s">
        <v>200</v>
      </c>
      <c r="C254" s="27" t="s">
        <v>198</v>
      </c>
      <c r="D254" s="27" t="s">
        <v>194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345</v>
      </c>
      <c r="B255" s="27" t="s">
        <v>200</v>
      </c>
      <c r="C255" s="27" t="s">
        <v>198</v>
      </c>
      <c r="D255" s="27" t="s">
        <v>194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346</v>
      </c>
      <c r="B256" s="27" t="s">
        <v>200</v>
      </c>
      <c r="C256" s="27" t="s">
        <v>198</v>
      </c>
      <c r="D256" s="27" t="s">
        <v>194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219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/>
    </row>
    <row r="259" spans="1:12">
      <c r="A259" s="20" t="s">
        <v>347</v>
      </c>
    </row>
    <row r="260" spans="1:12">
      <c r="A260" s="20" t="s">
        <v>348</v>
      </c>
      <c r="B260" s="27" t="s">
        <v>192</v>
      </c>
      <c r="C260" s="27" t="s">
        <v>244</v>
      </c>
      <c r="D260" s="27" t="s">
        <v>194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235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349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195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350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211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351</v>
      </c>
      <c r="B266" s="27" t="s">
        <v>216</v>
      </c>
      <c r="C266" s="27" t="s">
        <v>193</v>
      </c>
      <c r="D266" s="27" t="s">
        <v>194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195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211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352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270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353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354</v>
      </c>
      <c r="B272" s="27" t="s">
        <v>200</v>
      </c>
      <c r="C272" s="27" t="s">
        <v>193</v>
      </c>
      <c r="D272" s="27" t="s">
        <v>194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195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355</v>
      </c>
      <c r="B274" s="27" t="s">
        <v>204</v>
      </c>
      <c r="C274" s="27" t="s">
        <v>198</v>
      </c>
      <c r="D274" s="27" t="s">
        <v>194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205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284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211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356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357</v>
      </c>
      <c r="B279" s="27" t="s">
        <v>296</v>
      </c>
      <c r="C279" s="27" t="s">
        <v>223</v>
      </c>
      <c r="D279" s="27" t="s">
        <v>194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270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358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316</v>
      </c>
      <c r="B282" s="27" t="s">
        <v>216</v>
      </c>
      <c r="C282" s="27" t="s">
        <v>244</v>
      </c>
      <c r="D282" s="27" t="s">
        <v>194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219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/>
    </row>
    <row r="285" spans="1:12">
      <c r="A285" s="20" t="s">
        <v>359</v>
      </c>
    </row>
    <row r="286" spans="1:12">
      <c r="A286" s="20" t="s">
        <v>360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266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225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361</v>
      </c>
      <c r="B289" s="27" t="s">
        <v>188</v>
      </c>
      <c r="C289" s="27" t="s">
        <v>193</v>
      </c>
      <c r="D289" s="27" t="s">
        <v>194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362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363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270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364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365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190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366</v>
      </c>
      <c r="B296" s="27" t="s">
        <v>197</v>
      </c>
      <c r="C296" s="27" t="s">
        <v>223</v>
      </c>
      <c r="D296" s="27" t="s">
        <v>194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/>
    </row>
    <row r="298" spans="1:12">
      <c r="A298" s="20" t="s">
        <v>367</v>
      </c>
    </row>
    <row r="299" spans="1:12">
      <c r="A299" s="20" t="s">
        <v>368</v>
      </c>
      <c r="B299" s="27" t="s">
        <v>192</v>
      </c>
      <c r="C299" s="27" t="s">
        <v>198</v>
      </c>
      <c r="D299" s="27" t="s">
        <v>194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270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211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369</v>
      </c>
      <c r="B302" s="27" t="s">
        <v>197</v>
      </c>
      <c r="C302" s="27" t="s">
        <v>198</v>
      </c>
      <c r="D302" s="27" t="s">
        <v>194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370</v>
      </c>
      <c r="B303" s="27" t="s">
        <v>200</v>
      </c>
      <c r="C303" s="27" t="s">
        <v>198</v>
      </c>
      <c r="D303" s="27" t="s">
        <v>194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205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270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371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356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372</v>
      </c>
      <c r="B308" s="27" t="s">
        <v>197</v>
      </c>
      <c r="C308" s="27" t="s">
        <v>198</v>
      </c>
      <c r="D308" s="27" t="s">
        <v>194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373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374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211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211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375</v>
      </c>
      <c r="B313" s="27" t="s">
        <v>210</v>
      </c>
      <c r="C313" s="27" t="s">
        <v>198</v>
      </c>
      <c r="D313" s="27" t="s">
        <v>194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376</v>
      </c>
      <c r="B314" s="27" t="s">
        <v>197</v>
      </c>
      <c r="C314" s="27" t="s">
        <v>198</v>
      </c>
      <c r="D314" s="27" t="s">
        <v>194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205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377</v>
      </c>
      <c r="B316" s="27" t="s">
        <v>197</v>
      </c>
      <c r="C316" s="27" t="s">
        <v>242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207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378</v>
      </c>
      <c r="B318" s="27" t="s">
        <v>200</v>
      </c>
      <c r="C318" s="27" t="s">
        <v>193</v>
      </c>
      <c r="D318" s="27" t="s">
        <v>194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195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211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351</v>
      </c>
      <c r="B321" s="27" t="s">
        <v>204</v>
      </c>
      <c r="C321" s="27" t="s">
        <v>193</v>
      </c>
      <c r="D321" s="27" t="s">
        <v>194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379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195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190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380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231</v>
      </c>
      <c r="B326" s="27" t="s">
        <v>296</v>
      </c>
      <c r="C326" s="27" t="s">
        <v>223</v>
      </c>
      <c r="D326" s="27" t="s">
        <v>194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266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190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381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382</v>
      </c>
      <c r="B330" s="27" t="s">
        <v>296</v>
      </c>
      <c r="C330" s="27" t="s">
        <v>193</v>
      </c>
      <c r="D330" s="27" t="s">
        <v>194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195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211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353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383</v>
      </c>
      <c r="B334" s="27" t="s">
        <v>336</v>
      </c>
      <c r="C334" s="27" t="s">
        <v>193</v>
      </c>
      <c r="D334" s="27" t="s">
        <v>194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195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355</v>
      </c>
      <c r="B336" s="27" t="s">
        <v>262</v>
      </c>
      <c r="C336" s="27" t="s">
        <v>198</v>
      </c>
      <c r="D336" s="27" t="s">
        <v>194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219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/>
    </row>
    <row r="339" spans="1:12">
      <c r="A339" s="20" t="s">
        <v>384</v>
      </c>
    </row>
    <row r="340" spans="1:12">
      <c r="A340" s="20" t="s">
        <v>385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365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172</v>
      </c>
      <c r="B342" s="27" t="s">
        <v>210</v>
      </c>
      <c r="C342" s="27" t="s">
        <v>189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219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/>
    </row>
    <row r="345" spans="1:12">
      <c r="A345" s="20" t="s">
        <v>386</v>
      </c>
    </row>
    <row r="346" spans="1:12">
      <c r="A346" s="20" t="s">
        <v>387</v>
      </c>
      <c r="B346" s="27" t="s">
        <v>188</v>
      </c>
      <c r="C346" s="27" t="s">
        <v>189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297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298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388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225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389</v>
      </c>
      <c r="B351" s="27" t="s">
        <v>216</v>
      </c>
      <c r="C351" s="27" t="s">
        <v>193</v>
      </c>
      <c r="D351" s="27" t="s">
        <v>194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195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190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202</v>
      </c>
      <c r="B354" s="27" t="s">
        <v>200</v>
      </c>
      <c r="C354" s="27" t="s">
        <v>198</v>
      </c>
      <c r="D354" s="27" t="s">
        <v>194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211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390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232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273</v>
      </c>
      <c r="B358" s="27" t="s">
        <v>391</v>
      </c>
      <c r="C358" s="27" t="s">
        <v>198</v>
      </c>
      <c r="D358" s="27" t="s">
        <v>194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392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195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393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215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394</v>
      </c>
      <c r="B363" s="27" t="s">
        <v>335</v>
      </c>
      <c r="C363" s="27" t="s">
        <v>193</v>
      </c>
      <c r="D363" s="27" t="s">
        <v>194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195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231</v>
      </c>
      <c r="B365" s="27" t="s">
        <v>336</v>
      </c>
      <c r="C365" s="27" t="s">
        <v>189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261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395</v>
      </c>
      <c r="B367" s="27" t="s">
        <v>336</v>
      </c>
      <c r="C367" s="27" t="s">
        <v>244</v>
      </c>
      <c r="D367" s="27" t="s">
        <v>194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219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/>
    </row>
    <row r="370" spans="1:12">
      <c r="A370" s="20" t="s">
        <v>396</v>
      </c>
    </row>
    <row r="371" spans="1:12">
      <c r="A371" s="20" t="s">
        <v>397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53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232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273</v>
      </c>
      <c r="B374" s="27" t="s">
        <v>252</v>
      </c>
      <c r="C374" s="27" t="s">
        <v>198</v>
      </c>
      <c r="D374" s="27" t="s">
        <v>194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398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399</v>
      </c>
      <c r="B376" s="27" t="s">
        <v>216</v>
      </c>
      <c r="C376" s="27" t="s">
        <v>189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250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284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400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261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401</v>
      </c>
      <c r="B381" s="27" t="s">
        <v>197</v>
      </c>
      <c r="C381" s="27" t="s">
        <v>193</v>
      </c>
      <c r="D381" s="27" t="s">
        <v>194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195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402</v>
      </c>
      <c r="B383" s="27" t="s">
        <v>200</v>
      </c>
      <c r="C383" s="27" t="s">
        <v>189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205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261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403</v>
      </c>
      <c r="B386" s="27" t="s">
        <v>200</v>
      </c>
      <c r="C386" s="27" t="s">
        <v>198</v>
      </c>
      <c r="D386" s="27" t="s">
        <v>194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270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404</v>
      </c>
      <c r="B388" s="27" t="s">
        <v>204</v>
      </c>
      <c r="C388" s="27" t="s">
        <v>189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205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270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405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406</v>
      </c>
      <c r="B392" s="27" t="s">
        <v>407</v>
      </c>
      <c r="C392" s="27" t="s">
        <v>249</v>
      </c>
      <c r="D392" s="27" t="s">
        <v>194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408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190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409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211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410</v>
      </c>
      <c r="B397" s="27" t="s">
        <v>300</v>
      </c>
      <c r="C397" s="27" t="s">
        <v>223</v>
      </c>
      <c r="D397" s="27" t="s">
        <v>194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219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/>
    </row>
    <row r="400" spans="1:12">
      <c r="A400" s="20" t="s">
        <v>411</v>
      </c>
    </row>
    <row r="401" spans="1:12">
      <c r="A401" s="20" t="s">
        <v>412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413</v>
      </c>
      <c r="B402" s="27" t="s">
        <v>188</v>
      </c>
      <c r="C402" s="27" t="s">
        <v>189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205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414</v>
      </c>
      <c r="B404" s="27" t="s">
        <v>192</v>
      </c>
      <c r="C404" s="27" t="s">
        <v>244</v>
      </c>
      <c r="D404" s="27" t="s">
        <v>194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415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416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211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417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418</v>
      </c>
      <c r="B409" s="27" t="s">
        <v>188</v>
      </c>
      <c r="C409" s="27" t="s">
        <v>249</v>
      </c>
      <c r="D409" s="27" t="s">
        <v>194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419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219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/>
    </row>
    <row r="413" spans="1:12">
      <c r="A413" s="20" t="s">
        <v>420</v>
      </c>
    </row>
    <row r="414" spans="1:12">
      <c r="A414" s="20" t="s">
        <v>421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422</v>
      </c>
      <c r="B415" s="27" t="s">
        <v>252</v>
      </c>
      <c r="C415" s="27" t="s">
        <v>223</v>
      </c>
      <c r="D415" s="27" t="s">
        <v>194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423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424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316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266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215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425</v>
      </c>
      <c r="B421" s="27" t="s">
        <v>197</v>
      </c>
      <c r="C421" s="27" t="s">
        <v>217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270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426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427</v>
      </c>
      <c r="B424" s="27" t="s">
        <v>204</v>
      </c>
      <c r="C424" s="27" t="s">
        <v>428</v>
      </c>
      <c r="D424" s="27" t="s">
        <v>194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429</v>
      </c>
      <c r="B425" s="27" t="s">
        <v>300</v>
      </c>
      <c r="C425" s="27" t="s">
        <v>282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430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431</v>
      </c>
      <c r="B427" s="27" t="s">
        <v>200</v>
      </c>
      <c r="C427" s="27" t="s">
        <v>189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205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432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207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208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209</v>
      </c>
      <c r="B432" s="27" t="s">
        <v>300</v>
      </c>
      <c r="C432" s="27" t="s">
        <v>193</v>
      </c>
      <c r="D432" s="27" t="s">
        <v>194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195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301</v>
      </c>
      <c r="B434" s="27" t="s">
        <v>204</v>
      </c>
      <c r="C434" s="27" t="s">
        <v>198</v>
      </c>
      <c r="D434" s="27" t="s">
        <v>194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302</v>
      </c>
      <c r="B435" s="27" t="s">
        <v>296</v>
      </c>
      <c r="C435" s="27" t="s">
        <v>198</v>
      </c>
      <c r="D435" s="27" t="s">
        <v>194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205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433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211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356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434</v>
      </c>
      <c r="B440" s="27" t="s">
        <v>204</v>
      </c>
      <c r="C440" s="27" t="s">
        <v>428</v>
      </c>
      <c r="D440" s="27" t="s">
        <v>194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435</v>
      </c>
      <c r="B441" s="27" t="s">
        <v>300</v>
      </c>
      <c r="C441" s="27" t="s">
        <v>223</v>
      </c>
      <c r="D441" s="27" t="s">
        <v>194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270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261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356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436</v>
      </c>
      <c r="B445" s="27" t="s">
        <v>200</v>
      </c>
      <c r="C445" s="27" t="s">
        <v>193</v>
      </c>
      <c r="D445" s="27" t="s">
        <v>194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195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211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437</v>
      </c>
      <c r="B448" s="27" t="s">
        <v>296</v>
      </c>
      <c r="C448" s="27" t="s">
        <v>428</v>
      </c>
      <c r="D448" s="27" t="s">
        <v>194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438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439</v>
      </c>
      <c r="B450" s="27" t="s">
        <v>204</v>
      </c>
      <c r="C450" s="27" t="s">
        <v>223</v>
      </c>
      <c r="D450" s="27" t="s">
        <v>194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211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211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440</v>
      </c>
      <c r="B453" s="27" t="s">
        <v>204</v>
      </c>
      <c r="C453" s="27" t="s">
        <v>193</v>
      </c>
      <c r="D453" s="27" t="s">
        <v>194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266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211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437</v>
      </c>
      <c r="B456" s="27" t="s">
        <v>336</v>
      </c>
      <c r="C456" s="27" t="s">
        <v>428</v>
      </c>
      <c r="D456" s="27" t="s">
        <v>194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441</v>
      </c>
      <c r="B457" s="27" t="s">
        <v>296</v>
      </c>
      <c r="C457" s="27" t="s">
        <v>223</v>
      </c>
      <c r="D457" s="27" t="s">
        <v>194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219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/>
    </row>
    <row r="460" spans="1:12">
      <c r="A460" s="20" t="s">
        <v>442</v>
      </c>
    </row>
    <row r="461" spans="1:12">
      <c r="A461" s="20" t="s">
        <v>273</v>
      </c>
      <c r="B461" s="27" t="s">
        <v>252</v>
      </c>
      <c r="C461" s="27" t="s">
        <v>198</v>
      </c>
      <c r="D461" s="27" t="s">
        <v>194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443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266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225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444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445</v>
      </c>
      <c r="B466" s="27" t="s">
        <v>188</v>
      </c>
      <c r="C466" s="27" t="s">
        <v>193</v>
      </c>
      <c r="D466" s="27" t="s">
        <v>194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195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446</v>
      </c>
      <c r="B468" s="27" t="s">
        <v>197</v>
      </c>
      <c r="C468" s="27" t="s">
        <v>189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205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213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447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211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448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394</v>
      </c>
      <c r="B474" s="27" t="s">
        <v>216</v>
      </c>
      <c r="C474" s="27" t="s">
        <v>193</v>
      </c>
      <c r="D474" s="27" t="s">
        <v>194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266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190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343</v>
      </c>
      <c r="B477" s="27" t="s">
        <v>200</v>
      </c>
      <c r="C477" s="27" t="s">
        <v>198</v>
      </c>
      <c r="D477" s="27" t="s">
        <v>194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344</v>
      </c>
      <c r="B478" s="27" t="s">
        <v>204</v>
      </c>
      <c r="C478" s="27" t="s">
        <v>198</v>
      </c>
      <c r="D478" s="27" t="s">
        <v>194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345</v>
      </c>
      <c r="B479" s="27" t="s">
        <v>204</v>
      </c>
      <c r="C479" s="27" t="s">
        <v>198</v>
      </c>
      <c r="D479" s="27" t="s">
        <v>194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346</v>
      </c>
      <c r="B480" s="27" t="s">
        <v>204</v>
      </c>
      <c r="C480" s="27" t="s">
        <v>198</v>
      </c>
      <c r="D480" s="27" t="s">
        <v>194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232</v>
      </c>
      <c r="B481" s="27" t="s">
        <v>233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235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215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449</v>
      </c>
      <c r="B484" s="27" t="s">
        <v>238</v>
      </c>
      <c r="C484" s="27" t="s">
        <v>193</v>
      </c>
      <c r="D484" s="27" t="s">
        <v>194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195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450</v>
      </c>
      <c r="B486" s="27" t="s">
        <v>296</v>
      </c>
      <c r="C486" s="27" t="s">
        <v>193</v>
      </c>
      <c r="D486" s="27" t="s">
        <v>194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451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266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356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452</v>
      </c>
      <c r="B490" s="27" t="s">
        <v>336</v>
      </c>
      <c r="C490" s="27" t="s">
        <v>223</v>
      </c>
      <c r="D490" s="27" t="s">
        <v>194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205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443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453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219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/>
    </row>
    <row r="496" spans="1:12">
      <c r="A496" s="20" t="s">
        <v>454</v>
      </c>
    </row>
    <row r="497" spans="1:12">
      <c r="A497" s="20" t="s">
        <v>221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455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195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456</v>
      </c>
      <c r="B500" s="27" t="s">
        <v>210</v>
      </c>
      <c r="C500" s="27" t="s">
        <v>189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457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270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458</v>
      </c>
      <c r="B503" s="27" t="s">
        <v>197</v>
      </c>
      <c r="C503" s="27" t="s">
        <v>189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205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270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371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459</v>
      </c>
      <c r="B507" s="27" t="s">
        <v>197</v>
      </c>
      <c r="C507" s="27" t="s">
        <v>242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190</v>
      </c>
      <c r="B508" s="27" t="s">
        <v>216</v>
      </c>
      <c r="C508" s="27" t="s">
        <v>244</v>
      </c>
      <c r="D508" s="27" t="s">
        <v>194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460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430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190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461</v>
      </c>
      <c r="B512" s="27" t="s">
        <v>197</v>
      </c>
      <c r="C512" s="27" t="s">
        <v>223</v>
      </c>
      <c r="D512" s="27" t="s">
        <v>194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219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/>
    </row>
    <row r="515" spans="1:12">
      <c r="A515" s="20" t="s">
        <v>462</v>
      </c>
    </row>
    <row r="516" spans="1:12">
      <c r="A516" s="20" t="s">
        <v>338</v>
      </c>
      <c r="B516" s="27" t="s">
        <v>192</v>
      </c>
      <c r="C516" s="27" t="s">
        <v>244</v>
      </c>
      <c r="D516" s="27" t="s">
        <v>194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463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261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464</v>
      </c>
      <c r="B519" s="27" t="s">
        <v>188</v>
      </c>
      <c r="C519" s="27" t="s">
        <v>189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205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312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207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395</v>
      </c>
      <c r="B523" s="27" t="s">
        <v>188</v>
      </c>
      <c r="C523" s="27" t="s">
        <v>244</v>
      </c>
      <c r="D523" s="27" t="s">
        <v>194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205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322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463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261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464</v>
      </c>
      <c r="B528" s="27" t="s">
        <v>200</v>
      </c>
      <c r="C528" s="27" t="s">
        <v>189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195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190</v>
      </c>
      <c r="B530" s="27" t="s">
        <v>335</v>
      </c>
      <c r="C530" s="27" t="s">
        <v>244</v>
      </c>
      <c r="D530" s="27" t="s">
        <v>194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465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205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195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232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414</v>
      </c>
      <c r="B535" s="27" t="s">
        <v>391</v>
      </c>
      <c r="C535" s="27" t="s">
        <v>244</v>
      </c>
      <c r="D535" s="27" t="s">
        <v>194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466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266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215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195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208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467</v>
      </c>
      <c r="B541" s="27" t="s">
        <v>262</v>
      </c>
      <c r="C541" s="27" t="s">
        <v>428</v>
      </c>
      <c r="D541" s="27" t="s">
        <v>194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418</v>
      </c>
      <c r="B542" s="27" t="s">
        <v>336</v>
      </c>
      <c r="C542" s="27" t="s">
        <v>223</v>
      </c>
      <c r="D542" s="27" t="s">
        <v>194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205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270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232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468</v>
      </c>
      <c r="B546" s="27" t="s">
        <v>391</v>
      </c>
      <c r="C546" s="27" t="s">
        <v>244</v>
      </c>
      <c r="D546" s="27" t="s">
        <v>194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469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211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437</v>
      </c>
      <c r="B549" s="27" t="s">
        <v>336</v>
      </c>
      <c r="C549" s="27" t="s">
        <v>428</v>
      </c>
      <c r="D549" s="27" t="s">
        <v>194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470</v>
      </c>
      <c r="B550" s="27" t="s">
        <v>335</v>
      </c>
      <c r="C550" s="27" t="s">
        <v>223</v>
      </c>
      <c r="D550" s="27" t="s">
        <v>194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261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190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231</v>
      </c>
      <c r="B553" s="27" t="s">
        <v>296</v>
      </c>
      <c r="C553" s="27" t="s">
        <v>223</v>
      </c>
      <c r="D553" s="27" t="s">
        <v>194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205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316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471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211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37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195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472</v>
      </c>
      <c r="B560" s="27" t="s">
        <v>473</v>
      </c>
      <c r="C560" s="27" t="s">
        <v>189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205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195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474</v>
      </c>
      <c r="B563" s="27" t="s">
        <v>264</v>
      </c>
      <c r="C563" s="27" t="s">
        <v>189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270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195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475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476</v>
      </c>
      <c r="B567" s="27" t="s">
        <v>264</v>
      </c>
      <c r="C567" s="27" t="s">
        <v>193</v>
      </c>
      <c r="D567" s="27" t="s">
        <v>194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477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195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211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478</v>
      </c>
      <c r="B571" s="27" t="s">
        <v>268</v>
      </c>
      <c r="C571" s="27" t="s">
        <v>193</v>
      </c>
      <c r="D571" s="27" t="s">
        <v>194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479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195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190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231</v>
      </c>
      <c r="B575" s="27" t="s">
        <v>269</v>
      </c>
      <c r="C575" s="27" t="s">
        <v>223</v>
      </c>
      <c r="D575" s="27" t="s">
        <v>194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219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/>
    </row>
    <row r="578" spans="1:12">
      <c r="A578" s="20" t="s">
        <v>480</v>
      </c>
    </row>
    <row r="579" spans="1:12">
      <c r="A579" s="20" t="s">
        <v>481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482</v>
      </c>
      <c r="B580" s="27" t="s">
        <v>188</v>
      </c>
      <c r="C580" s="27" t="s">
        <v>189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483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/>
    </row>
    <row r="583" spans="1:12">
      <c r="A583" s="20" t="s">
        <v>484</v>
      </c>
    </row>
    <row r="584" spans="1:12">
      <c r="A584" s="20" t="s">
        <v>485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205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486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211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84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219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/>
    </row>
    <row r="591" spans="1:12">
      <c r="A591" s="20" t="s">
        <v>487</v>
      </c>
    </row>
    <row r="592" spans="1:12">
      <c r="A592" s="20" t="s">
        <v>221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488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190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380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382</v>
      </c>
      <c r="B596" s="27" t="s">
        <v>210</v>
      </c>
      <c r="C596" s="27" t="s">
        <v>193</v>
      </c>
      <c r="D596" s="27" t="s">
        <v>194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195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190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489</v>
      </c>
      <c r="B599" s="27" t="s">
        <v>197</v>
      </c>
      <c r="C599" s="27" t="s">
        <v>193</v>
      </c>
      <c r="D599" s="27" t="s">
        <v>194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310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231</v>
      </c>
      <c r="B601" s="27" t="s">
        <v>200</v>
      </c>
      <c r="C601" s="27" t="s">
        <v>193</v>
      </c>
      <c r="D601" s="27" t="s">
        <v>194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195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355</v>
      </c>
      <c r="B603" s="27" t="s">
        <v>204</v>
      </c>
      <c r="C603" s="27" t="s">
        <v>198</v>
      </c>
      <c r="D603" s="27" t="s">
        <v>194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219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/>
    </row>
    <row r="606" spans="1:12">
      <c r="A606" s="20" t="s">
        <v>490</v>
      </c>
    </row>
    <row r="607" spans="1:12">
      <c r="A607" s="20" t="s">
        <v>491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491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492</v>
      </c>
      <c r="B609" s="27" t="s">
        <v>188</v>
      </c>
      <c r="C609" s="27" t="s">
        <v>223</v>
      </c>
      <c r="D609" s="27" t="s">
        <v>194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232</v>
      </c>
      <c r="B610" s="27" t="s">
        <v>300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468</v>
      </c>
      <c r="B611" s="27" t="s">
        <v>407</v>
      </c>
      <c r="C611" s="27" t="s">
        <v>244</v>
      </c>
      <c r="D611" s="27" t="s">
        <v>194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493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494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232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316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495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215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496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497</v>
      </c>
      <c r="B619" s="27" t="s">
        <v>252</v>
      </c>
      <c r="C619" s="27" t="s">
        <v>193</v>
      </c>
      <c r="D619" s="27" t="s">
        <v>194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266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356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452</v>
      </c>
      <c r="B622" s="27" t="s">
        <v>200</v>
      </c>
      <c r="C622" s="27" t="s">
        <v>193</v>
      </c>
      <c r="D622" s="27" t="s">
        <v>194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195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273</v>
      </c>
      <c r="B624" s="27" t="s">
        <v>204</v>
      </c>
      <c r="C624" s="27" t="s">
        <v>198</v>
      </c>
      <c r="D624" s="27" t="s">
        <v>194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219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/>
    </row>
    <row r="627" spans="1:12">
      <c r="A627" s="20" t="s">
        <v>498</v>
      </c>
    </row>
    <row r="628" spans="1:12">
      <c r="A628" s="20" t="s">
        <v>499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371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316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414</v>
      </c>
      <c r="B631" s="27" t="s">
        <v>192</v>
      </c>
      <c r="C631" s="27" t="s">
        <v>244</v>
      </c>
      <c r="D631" s="27" t="s">
        <v>194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500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501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190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502</v>
      </c>
      <c r="B635" s="27" t="s">
        <v>188</v>
      </c>
      <c r="C635" s="27" t="s">
        <v>193</v>
      </c>
      <c r="D635" s="27" t="s">
        <v>194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195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225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503</v>
      </c>
      <c r="B638" s="27" t="s">
        <v>188</v>
      </c>
      <c r="C638" s="27" t="s">
        <v>217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504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205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215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505</v>
      </c>
      <c r="B642" s="27" t="s">
        <v>188</v>
      </c>
      <c r="C642" s="27" t="s">
        <v>217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506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205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310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211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507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211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172</v>
      </c>
      <c r="B649" s="27" t="s">
        <v>252</v>
      </c>
      <c r="C649" s="27" t="s">
        <v>223</v>
      </c>
      <c r="D649" s="27" t="s">
        <v>194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232</v>
      </c>
      <c r="B650" s="27" t="s">
        <v>238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468</v>
      </c>
      <c r="B651" s="27" t="s">
        <v>233</v>
      </c>
      <c r="C651" s="27" t="s">
        <v>244</v>
      </c>
      <c r="D651" s="27" t="s">
        <v>194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493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224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190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508</v>
      </c>
      <c r="B655" s="27" t="s">
        <v>188</v>
      </c>
      <c r="C655" s="27" t="s">
        <v>193</v>
      </c>
      <c r="D655" s="27" t="s">
        <v>194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219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/>
    </row>
    <row r="658" spans="1:12">
      <c r="A658" s="20" t="s">
        <v>509</v>
      </c>
    </row>
    <row r="659" spans="1:12">
      <c r="A659" s="20" t="s">
        <v>221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211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510</v>
      </c>
      <c r="B661" s="27" t="s">
        <v>192</v>
      </c>
      <c r="C661" s="27" t="s">
        <v>193</v>
      </c>
      <c r="D661" s="27" t="s">
        <v>194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511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195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190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273</v>
      </c>
      <c r="B665" s="27" t="s">
        <v>197</v>
      </c>
      <c r="C665" s="27" t="s">
        <v>198</v>
      </c>
      <c r="D665" s="27" t="s">
        <v>194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512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316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266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513</v>
      </c>
      <c r="B669" s="27" t="s">
        <v>210</v>
      </c>
      <c r="C669" s="27" t="s">
        <v>189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205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215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514</v>
      </c>
      <c r="B672" s="27" t="s">
        <v>197</v>
      </c>
      <c r="C672" s="27" t="s">
        <v>217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515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270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225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445</v>
      </c>
      <c r="B676" s="27" t="s">
        <v>197</v>
      </c>
      <c r="C676" s="27" t="s">
        <v>193</v>
      </c>
      <c r="D676" s="27" t="s">
        <v>194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195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516</v>
      </c>
      <c r="B678" s="27" t="s">
        <v>200</v>
      </c>
      <c r="C678" s="27" t="s">
        <v>189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219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/>
    </row>
    <row r="681" spans="1:12">
      <c r="A681" s="20" t="s">
        <v>517</v>
      </c>
    </row>
    <row r="682" spans="1:12">
      <c r="A682" s="20" t="s">
        <v>518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232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207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519</v>
      </c>
      <c r="B685" s="27" t="s">
        <v>188</v>
      </c>
      <c r="C685" s="27" t="s">
        <v>189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205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414</v>
      </c>
      <c r="B687" s="27" t="s">
        <v>192</v>
      </c>
      <c r="C687" s="27" t="s">
        <v>244</v>
      </c>
      <c r="D687" s="27" t="s">
        <v>194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520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266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190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427</v>
      </c>
      <c r="B691" s="27" t="s">
        <v>197</v>
      </c>
      <c r="C691" s="27" t="s">
        <v>428</v>
      </c>
      <c r="D691" s="27" t="s">
        <v>194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231</v>
      </c>
      <c r="B692" s="27" t="s">
        <v>210</v>
      </c>
      <c r="C692" s="27" t="s">
        <v>223</v>
      </c>
      <c r="D692" s="27" t="s">
        <v>194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205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270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521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211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84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205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195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522</v>
      </c>
      <c r="B700" s="27" t="s">
        <v>200</v>
      </c>
      <c r="C700" s="27" t="s">
        <v>189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205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523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524</v>
      </c>
      <c r="B703" s="27" t="s">
        <v>300</v>
      </c>
      <c r="C703" s="27" t="s">
        <v>193</v>
      </c>
      <c r="D703" s="27" t="s">
        <v>194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195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525</v>
      </c>
      <c r="B705" s="27" t="s">
        <v>204</v>
      </c>
      <c r="C705" s="27" t="s">
        <v>193</v>
      </c>
      <c r="D705" s="27" t="s">
        <v>194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310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231</v>
      </c>
      <c r="B707" s="27" t="s">
        <v>296</v>
      </c>
      <c r="C707" s="27" t="s">
        <v>189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232</v>
      </c>
      <c r="B708" s="27" t="s">
        <v>391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526</v>
      </c>
      <c r="B709" s="27" t="s">
        <v>335</v>
      </c>
      <c r="C709" s="27" t="s">
        <v>244</v>
      </c>
      <c r="D709" s="27" t="s">
        <v>194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527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528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310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529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205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530</v>
      </c>
      <c r="B715" s="27" t="s">
        <v>260</v>
      </c>
      <c r="C715" s="27" t="s">
        <v>198</v>
      </c>
      <c r="D715" s="27" t="s">
        <v>194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205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531</v>
      </c>
      <c r="B717" s="27" t="s">
        <v>262</v>
      </c>
      <c r="C717" s="27" t="s">
        <v>198</v>
      </c>
      <c r="D717" s="27" t="s">
        <v>194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205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532</v>
      </c>
      <c r="B719" s="27" t="s">
        <v>262</v>
      </c>
      <c r="C719" s="27" t="s">
        <v>198</v>
      </c>
      <c r="D719" s="27" t="s">
        <v>194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219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/>
    </row>
    <row r="722" spans="1:12">
      <c r="A722" s="20" t="s">
        <v>533</v>
      </c>
    </row>
    <row r="723" spans="1:12">
      <c r="A723" s="20" t="s">
        <v>534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211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37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195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172</v>
      </c>
      <c r="B727" s="27" t="s">
        <v>216</v>
      </c>
      <c r="C727" s="27" t="s">
        <v>193</v>
      </c>
      <c r="D727" s="27" t="s">
        <v>194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205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195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535</v>
      </c>
      <c r="B730" s="27" t="s">
        <v>200</v>
      </c>
      <c r="C730" s="27" t="s">
        <v>198</v>
      </c>
      <c r="D730" s="27" t="s">
        <v>194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211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355</v>
      </c>
      <c r="B732" s="27" t="s">
        <v>204</v>
      </c>
      <c r="C732" s="27" t="s">
        <v>198</v>
      </c>
      <c r="D732" s="27" t="s">
        <v>194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270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536</v>
      </c>
      <c r="B734" s="27" t="s">
        <v>296</v>
      </c>
      <c r="C734" s="27" t="s">
        <v>198</v>
      </c>
      <c r="D734" s="27" t="s">
        <v>194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205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537</v>
      </c>
      <c r="B736" s="27" t="s">
        <v>200</v>
      </c>
      <c r="C736" s="27" t="s">
        <v>198</v>
      </c>
      <c r="D736" s="27" t="s">
        <v>194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205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306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356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538</v>
      </c>
      <c r="B740" s="27" t="s">
        <v>200</v>
      </c>
      <c r="C740" s="27" t="s">
        <v>198</v>
      </c>
      <c r="D740" s="27" t="s">
        <v>194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205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195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539</v>
      </c>
      <c r="B743" s="27" t="s">
        <v>204</v>
      </c>
      <c r="C743" s="27" t="s">
        <v>198</v>
      </c>
      <c r="D743" s="27" t="s">
        <v>194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540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541</v>
      </c>
      <c r="B745" s="27" t="s">
        <v>296</v>
      </c>
      <c r="C745" s="27" t="s">
        <v>198</v>
      </c>
      <c r="D745" s="27" t="s">
        <v>194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542</v>
      </c>
      <c r="B746" s="27" t="s">
        <v>336</v>
      </c>
      <c r="C746" s="27" t="s">
        <v>198</v>
      </c>
      <c r="D746" s="27" t="s">
        <v>194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219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/>
    </row>
    <row r="749" spans="1:12">
      <c r="A749" s="20" t="s">
        <v>543</v>
      </c>
    </row>
    <row r="750" spans="1:12">
      <c r="A750" s="20" t="s">
        <v>338</v>
      </c>
      <c r="B750" s="27" t="s">
        <v>192</v>
      </c>
      <c r="C750" s="27" t="s">
        <v>244</v>
      </c>
      <c r="D750" s="27" t="s">
        <v>194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494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232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414</v>
      </c>
      <c r="B753" s="27" t="s">
        <v>252</v>
      </c>
      <c r="C753" s="27" t="s">
        <v>244</v>
      </c>
      <c r="D753" s="27" t="s">
        <v>194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312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234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235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225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544</v>
      </c>
      <c r="B758" s="27" t="s">
        <v>216</v>
      </c>
      <c r="C758" s="27" t="s">
        <v>193</v>
      </c>
      <c r="D758" s="27" t="s">
        <v>194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545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195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172</v>
      </c>
      <c r="B761" s="27" t="s">
        <v>200</v>
      </c>
      <c r="C761" s="27" t="s">
        <v>189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205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371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323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316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546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261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326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172</v>
      </c>
      <c r="B769" s="27" t="s">
        <v>200</v>
      </c>
      <c r="C769" s="27" t="s">
        <v>249</v>
      </c>
      <c r="D769" s="27" t="s">
        <v>194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211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225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547</v>
      </c>
      <c r="B772" s="27" t="s">
        <v>204</v>
      </c>
      <c r="C772" s="27" t="s">
        <v>217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548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219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/>
    </row>
    <row r="776" spans="1:12">
      <c r="A776" s="20" t="s">
        <v>549</v>
      </c>
    </row>
    <row r="777" spans="1:12">
      <c r="A777" s="20" t="s">
        <v>348</v>
      </c>
      <c r="B777" s="27" t="s">
        <v>192</v>
      </c>
      <c r="C777" s="27" t="s">
        <v>244</v>
      </c>
      <c r="D777" s="27" t="s">
        <v>194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 t="s">
        <v>455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365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550</v>
      </c>
      <c r="B780" s="27" t="s">
        <v>210</v>
      </c>
      <c r="C780" s="27" t="s">
        <v>244</v>
      </c>
      <c r="D780" s="27" t="s">
        <v>194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261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190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551</v>
      </c>
      <c r="B783" s="27" t="s">
        <v>188</v>
      </c>
      <c r="C783" s="27" t="s">
        <v>193</v>
      </c>
      <c r="D783" s="27" t="s">
        <v>194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195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552</v>
      </c>
      <c r="B785" s="27" t="s">
        <v>197</v>
      </c>
      <c r="C785" s="27" t="s">
        <v>189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270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513</v>
      </c>
      <c r="B787" s="27" t="s">
        <v>200</v>
      </c>
      <c r="C787" s="27" t="s">
        <v>189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232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468</v>
      </c>
      <c r="B789" s="27" t="s">
        <v>407</v>
      </c>
      <c r="C789" s="27" t="s">
        <v>244</v>
      </c>
      <c r="D789" s="27" t="s">
        <v>194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553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261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356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554</v>
      </c>
      <c r="B793" s="27" t="s">
        <v>204</v>
      </c>
      <c r="C793" s="27" t="s">
        <v>428</v>
      </c>
      <c r="D793" s="27" t="s">
        <v>194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555</v>
      </c>
      <c r="B794" s="27" t="s">
        <v>300</v>
      </c>
      <c r="C794" s="27" t="s">
        <v>193</v>
      </c>
      <c r="D794" s="27" t="s">
        <v>194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195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211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556</v>
      </c>
      <c r="B797" s="27" t="s">
        <v>204</v>
      </c>
      <c r="C797" s="27" t="s">
        <v>198</v>
      </c>
      <c r="D797" s="27" t="s">
        <v>194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195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196</v>
      </c>
      <c r="B799" s="27" t="s">
        <v>296</v>
      </c>
      <c r="C799" s="27" t="s">
        <v>198</v>
      </c>
      <c r="D799" s="27" t="s">
        <v>194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199</v>
      </c>
      <c r="B800" s="27" t="s">
        <v>336</v>
      </c>
      <c r="C800" s="27" t="s">
        <v>198</v>
      </c>
      <c r="D800" s="27" t="s">
        <v>194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219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/>
    </row>
    <row r="803" spans="1:12">
      <c r="A803" s="20" t="s">
        <v>557</v>
      </c>
    </row>
    <row r="804" spans="1:12">
      <c r="A804" s="20" t="s">
        <v>491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190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84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270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211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190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 t="s">
        <v>37</v>
      </c>
      <c r="B810" s="27" t="s">
        <v>188</v>
      </c>
      <c r="C810" s="27" t="s">
        <v>193</v>
      </c>
      <c r="D810" s="27" t="s">
        <v>194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 t="s">
        <v>195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 t="s">
        <v>172</v>
      </c>
      <c r="B812" s="27" t="s">
        <v>197</v>
      </c>
      <c r="C812" s="27" t="s">
        <v>189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558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226</v>
      </c>
      <c r="B814" s="27" t="s">
        <v>407</v>
      </c>
      <c r="C814" s="27" t="s">
        <v>249</v>
      </c>
      <c r="D814" s="27" t="s">
        <v>194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235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316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559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195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190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226</v>
      </c>
      <c r="B820" s="27" t="s">
        <v>300</v>
      </c>
      <c r="C820" s="27" t="s">
        <v>223</v>
      </c>
      <c r="D820" s="27" t="s">
        <v>194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560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270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561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 t="s">
        <v>232</v>
      </c>
      <c r="B824" s="27" t="s">
        <v>391</v>
      </c>
      <c r="E824" s="21">
        <f>IF(D824="?OLD","!!!","")</f>
        <v/>
      </c>
      <c r="F824" s="22" t="str">
        <f>IF(OR(E824="",E824="!!!"),"",IF(NOT(ISNA(VLOOKUP(E824,E$1:E823,1,FALSE()))),"OLD",IF(AND(E824&lt;&gt;"",E824&lt;&gt;"!!!"),"NEW","")))</f>
        <v> </v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4" t="str">
        <f>IF(J824&lt;&gt;1,"",IF(I824="SBJ","CB","?"))</f>
        <v> </v>
      </c>
      <c r="I824" s="25" t="str">
        <f>IF(OR(E824="",E824="!!!",F824="NEW"),"",INDEX(B823:B$2,-1+SUMPRODUCT(MAX(ROW(E823:E$2)*(E824=E823:E$2)))))</f>
        <v> </v>
      </c>
      <c r="J824" s="25" t="str">
        <f>IF(OR(E824="",E824="!!!",F824="NEW"),"",COUNTBLANK(OFFSET(A$1,,,SUMPRODUCT(MAX(ROW(E$2:E824)*(E824=E$2:E824)))))-COUNTBLANK(OFFSET(A$1,,,SUMPRODUCT(MAX(ROW(E$1:E823)*(E2=E$1:E823))))))</f>
        <v> </v>
      </c>
      <c r="K824" s="25" t="str">
        <f>IF(OR(E824="",E824="!!!",F824="NEW"),"",INDEX(J$1:J823,SUMPRODUCT(MAX(ROW(E$1:E823)*(E824=E$1:E823)))))</f>
        <v> </v>
      </c>
      <c r="L824" s="26"/>
    </row>
    <row r="825" spans="1:12">
      <c r="A825" s="20" t="s">
        <v>562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207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208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209</v>
      </c>
      <c r="B828" s="27" t="s">
        <v>296</v>
      </c>
      <c r="C828" s="27" t="s">
        <v>193</v>
      </c>
      <c r="D828" s="27" t="s">
        <v>194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195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211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 t="s">
        <v>212</v>
      </c>
      <c r="B831" s="27" t="s">
        <v>336</v>
      </c>
      <c r="C831" s="27" t="s">
        <v>193</v>
      </c>
      <c r="D831" s="27" t="s">
        <v>194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 t="s">
        <v>195</v>
      </c>
      <c r="E832" s="21">
        <f>IF(D832="?OLD","!!!","")</f>
        <v/>
      </c>
      <c r="F832" s="22" t="str">
        <f>IF(OR(E832="",E832="!!!"),"",IF(NOT(ISNA(VLOOKUP(E832,E$1:E831,1,FALSE()))),"OLD",IF(AND(E832&lt;&gt;"",E832&lt;&gt;"!!!"),"NEW","")))</f>
        <v> </v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4" t="str">
        <f>IF(J832&lt;&gt;1,"",IF(I832="SBJ","CB","?"))</f>
        <v> </v>
      </c>
      <c r="I832" s="25" t="str">
        <f>IF(OR(E832="",E832="!!!",F832="NEW"),"",INDEX(B831:B$2,-1+SUMPRODUCT(MAX(ROW(E831:E$2)*(E832=E831:E$2)))))</f>
        <v> </v>
      </c>
      <c r="J832" s="25" t="str">
        <f>IF(OR(E832="",E832="!!!",F832="NEW"),"",COUNTBLANK(OFFSET(A$1,,,SUMPRODUCT(MAX(ROW(E$2:E832)*(E832=E$2:E832)))))-COUNTBLANK(OFFSET(A$1,,,SUMPRODUCT(MAX(ROW(E$1:E831)*(E2=E$1:E831))))))</f>
        <v> </v>
      </c>
      <c r="K832" s="25" t="str">
        <f>IF(OR(E832="",E832="!!!",F832="NEW"),"",INDEX(J$1:J831,SUMPRODUCT(MAX(ROW(E$1:E831)*(E832=E$1:E831)))))</f>
        <v> </v>
      </c>
      <c r="L832" s="26"/>
    </row>
    <row r="833" spans="1:12">
      <c r="A833" s="20" t="s">
        <v>196</v>
      </c>
      <c r="B833" s="27" t="s">
        <v>262</v>
      </c>
      <c r="C833" s="27" t="s">
        <v>198</v>
      </c>
      <c r="D833" s="27" t="s">
        <v>194</v>
      </c>
      <c r="E833" s="21">
        <f>IF(D833="?OLD","!!!","")</f>
        <v/>
      </c>
      <c r="F833" s="22" t="str">
        <f>IF(OR(E833="",E833="!!!"),"",IF(NOT(ISNA(VLOOKUP(E833,E$1:E832,1,FALSE()))),"OLD",IF(AND(E833&lt;&gt;"",E833&lt;&gt;"!!!"),"NEW","")))</f>
        <v> </v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4" t="str">
        <f>IF(J833&lt;&gt;1,"",IF(I833="SBJ","CB","?"))</f>
        <v> </v>
      </c>
      <c r="I833" s="25" t="str">
        <f>IF(OR(E833="",E833="!!!",F833="NEW"),"",INDEX(B832:B$2,-1+SUMPRODUCT(MAX(ROW(E832:E$2)*(E833=E832:E$2)))))</f>
        <v> </v>
      </c>
      <c r="J833" s="25" t="str">
        <f>IF(OR(E833="",E833="!!!",F833="NEW"),"",COUNTBLANK(OFFSET(A$1,,,SUMPRODUCT(MAX(ROW(E$2:E833)*(E833=E$2:E833)))))-COUNTBLANK(OFFSET(A$1,,,SUMPRODUCT(MAX(ROW(E$1:E832)*(E2=E$1:E832))))))</f>
        <v> </v>
      </c>
      <c r="K833" s="25" t="str">
        <f>IF(OR(E833="",E833="!!!",F833="NEW"),"",INDEX(J$1:J832,SUMPRODUCT(MAX(ROW(E$1:E832)*(E833=E$1:E832)))))</f>
        <v> </v>
      </c>
      <c r="L833" s="26"/>
    </row>
    <row r="834" spans="1:12">
      <c r="A834" s="20" t="s">
        <v>199</v>
      </c>
      <c r="B834" s="27" t="s">
        <v>264</v>
      </c>
      <c r="C834" s="27" t="s">
        <v>198</v>
      </c>
      <c r="D834" s="27" t="s">
        <v>194</v>
      </c>
      <c r="E834" s="21">
        <f>IF(D834="?OLD","!!!","")</f>
        <v/>
      </c>
      <c r="F834" s="22" t="str">
        <f>IF(OR(E834="",E834="!!!"),"",IF(NOT(ISNA(VLOOKUP(E834,E$1:E833,1,FALSE()))),"OLD",IF(AND(E834&lt;&gt;"",E834&lt;&gt;"!!!"),"NEW","")))</f>
        <v> </v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4" t="str">
        <f>IF(J834&lt;&gt;1,"",IF(I834="SBJ","CB","?"))</f>
        <v> </v>
      </c>
      <c r="I834" s="25" t="str">
        <f>IF(OR(E834="",E834="!!!",F834="NEW"),"",INDEX(B833:B$2,-1+SUMPRODUCT(MAX(ROW(E833:E$2)*(E834=E833:E$2)))))</f>
        <v> </v>
      </c>
      <c r="J834" s="25" t="str">
        <f>IF(OR(E834="",E834="!!!",F834="NEW"),"",COUNTBLANK(OFFSET(A$1,,,SUMPRODUCT(MAX(ROW(E$2:E834)*(E834=E$2:E834)))))-COUNTBLANK(OFFSET(A$1,,,SUMPRODUCT(MAX(ROW(E$1:E833)*(E2=E$1:E833))))))</f>
        <v> </v>
      </c>
      <c r="K834" s="25" t="str">
        <f>IF(OR(E834="",E834="!!!",F834="NEW"),"",INDEX(J$1:J833,SUMPRODUCT(MAX(ROW(E$1:E833)*(E834=E$1:E833)))))</f>
        <v> </v>
      </c>
      <c r="L834" s="26"/>
    </row>
    <row r="835" spans="1:12">
      <c r="A835" s="20" t="s">
        <v>205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266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190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563</v>
      </c>
      <c r="B838" s="27" t="s">
        <v>296</v>
      </c>
      <c r="C838" s="27" t="s">
        <v>223</v>
      </c>
      <c r="D838" s="27" t="s">
        <v>194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 t="s">
        <v>228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 t="s">
        <v>205</v>
      </c>
      <c r="E840" s="21">
        <f>IF(D840="?OLD","!!!","")</f>
        <v/>
      </c>
      <c r="F840" s="22" t="str">
        <f>IF(OR(E840="",E840="!!!"),"",IF(NOT(ISNA(VLOOKUP(E840,E$1:E839,1,FALSE()))),"OLD",IF(AND(E840&lt;&gt;"",E840&lt;&gt;"!!!"),"NEW","")))</f>
        <v> </v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4" t="str">
        <f>IF(J840&lt;&gt;1,"",IF(I840="SBJ","CB","?"))</f>
        <v> </v>
      </c>
      <c r="I840" s="25" t="str">
        <f>IF(OR(E840="",E840="!!!",F840="NEW"),"",INDEX(B839:B$2,-1+SUMPRODUCT(MAX(ROW(E839:E$2)*(E840=E839:E$2)))))</f>
        <v> </v>
      </c>
      <c r="J840" s="25" t="str">
        <f>IF(OR(E840="",E840="!!!",F840="NEW"),"",COUNTBLANK(OFFSET(A$1,,,SUMPRODUCT(MAX(ROW(E$2:E840)*(E840=E$2:E840)))))-COUNTBLANK(OFFSET(A$1,,,SUMPRODUCT(MAX(ROW(E$1:E839)*(E2=E$1:E839))))))</f>
        <v> </v>
      </c>
      <c r="K840" s="25" t="str">
        <f>IF(OR(E840="",E840="!!!",F840="NEW"),"",INDEX(J$1:J839,SUMPRODUCT(MAX(ROW(E$1:E839)*(E840=E$1:E839)))))</f>
        <v> </v>
      </c>
      <c r="L840" s="26"/>
    </row>
    <row r="841" spans="1:12">
      <c r="A841" s="20" t="s">
        <v>564</v>
      </c>
      <c r="B841" s="27" t="s">
        <v>335</v>
      </c>
      <c r="C841" s="27" t="s">
        <v>189</v>
      </c>
      <c r="E841" s="21">
        <f>IF(D841="?OLD","!!!","")</f>
        <v/>
      </c>
      <c r="F841" s="22" t="str">
        <f>IF(OR(E841="",E841="!!!"),"",IF(NOT(ISNA(VLOOKUP(E841,E$1:E840,1,FALSE()))),"OLD",IF(AND(E841&lt;&gt;"",E841&lt;&gt;"!!!"),"NEW","")))</f>
        <v> </v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4" t="str">
        <f>IF(J841&lt;&gt;1,"",IF(I841="SBJ","CB","?"))</f>
        <v> </v>
      </c>
      <c r="I841" s="25" t="str">
        <f>IF(OR(E841="",E841="!!!",F841="NEW"),"",INDEX(B840:B$2,-1+SUMPRODUCT(MAX(ROW(E840:E$2)*(E841=E840:E$2)))))</f>
        <v> </v>
      </c>
      <c r="J841" s="25" t="str">
        <f>IF(OR(E841="",E841="!!!",F841="NEW"),"",COUNTBLANK(OFFSET(A$1,,,SUMPRODUCT(MAX(ROW(E$2:E841)*(E841=E$2:E841)))))-COUNTBLANK(OFFSET(A$1,,,SUMPRODUCT(MAX(ROW(E$1:E840)*(E2=E$1:E840))))))</f>
        <v> </v>
      </c>
      <c r="K841" s="25" t="str">
        <f>IF(OR(E841="",E841="!!!",F841="NEW"),"",INDEX(J$1:J840,SUMPRODUCT(MAX(ROW(E$1:E840)*(E841=E$1:E840)))))</f>
        <v> </v>
      </c>
      <c r="L841" s="26"/>
    </row>
    <row r="842" spans="1:12">
      <c r="A842" s="20" t="s">
        <v>205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 t="s">
        <v>270</v>
      </c>
      <c r="E843" s="21">
        <f>IF(D843="?OLD","!!!","")</f>
        <v/>
      </c>
      <c r="F843" s="22" t="str">
        <f>IF(OR(E843="",E843="!!!"),"",IF(NOT(ISNA(VLOOKUP(E843,E$1:E842,1,FALSE()))),"OLD",IF(AND(E843&lt;&gt;"",E843&lt;&gt;"!!!"),"NEW","")))</f>
        <v> 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4" t="str">
        <f>IF(J843&lt;&gt;1,"",IF(I843="SBJ","CB","?"))</f>
        <v> </v>
      </c>
      <c r="I843" s="25" t="str">
        <f>IF(OR(E843="",E843="!!!",F843="NEW"),"",INDEX(B842:B$2,-1+SUMPRODUCT(MAX(ROW(E842:E$2)*(E843=E842:E$2)))))</f>
        <v> </v>
      </c>
      <c r="J843" s="25" t="str">
        <f>IF(OR(E843="",E843="!!!",F843="NEW"),"",COUNTBLANK(OFFSET(A$1,,,SUMPRODUCT(MAX(ROW(E$2:E843)*(E843=E$2:E843)))))-COUNTBLANK(OFFSET(A$1,,,SUMPRODUCT(MAX(ROW(E$1:E842)*(E2=E$1:E842))))))</f>
        <v> </v>
      </c>
      <c r="K843" s="25" t="str">
        <f>IF(OR(E843="",E843="!!!",F843="NEW"),"",INDEX(J$1:J842,SUMPRODUCT(MAX(ROW(E$1:E842)*(E843=E$1:E842)))))</f>
        <v> </v>
      </c>
      <c r="L843" s="26"/>
    </row>
    <row r="844" spans="1:12">
      <c r="A844" s="20" t="s">
        <v>565</v>
      </c>
      <c r="E844" s="21">
        <f>IF(D844="?OLD","!!!","")</f>
        <v/>
      </c>
      <c r="F844" s="22" t="str">
        <f>IF(OR(E844="",E844="!!!"),"",IF(NOT(ISNA(VLOOKUP(E844,E$1:E843,1,FALSE()))),"OLD",IF(AND(E844&lt;&gt;"",E844&lt;&gt;"!!!"),"NEW","")))</f>
        <v> </v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4" t="str">
        <f>IF(J844&lt;&gt;1,"",IF(I844="SBJ","CB","?"))</f>
        <v> </v>
      </c>
      <c r="I844" s="25" t="str">
        <f>IF(OR(E844="",E844="!!!",F844="NEW"),"",INDEX(B843:B$2,-1+SUMPRODUCT(MAX(ROW(E843:E$2)*(E844=E843:E$2)))))</f>
        <v> </v>
      </c>
      <c r="J844" s="25" t="str">
        <f>IF(OR(E844="",E844="!!!",F844="NEW"),"",COUNTBLANK(OFFSET(A$1,,,SUMPRODUCT(MAX(ROW(E$2:E844)*(E844=E$2:E844)))))-COUNTBLANK(OFFSET(A$1,,,SUMPRODUCT(MAX(ROW(E$1:E843)*(E2=E$1:E843))))))</f>
        <v> </v>
      </c>
      <c r="K844" s="25" t="str">
        <f>IF(OR(E844="",E844="!!!",F844="NEW"),"",INDEX(J$1:J843,SUMPRODUCT(MAX(ROW(E$1:E843)*(E844=E$1:E843)))))</f>
        <v> </v>
      </c>
      <c r="L844" s="26"/>
    </row>
    <row r="845" spans="1:12">
      <c r="A845" s="20" t="s">
        <v>566</v>
      </c>
      <c r="E845" s="21">
        <f>IF(D845="?OLD","!!!","")</f>
        <v/>
      </c>
      <c r="F845" s="22" t="str">
        <f>IF(OR(E845="",E845="!!!"),"",IF(NOT(ISNA(VLOOKUP(E845,E$1:E844,1,FALSE()))),"OLD",IF(AND(E845&lt;&gt;"",E845&lt;&gt;"!!!"),"NEW","")))</f>
        <v> </v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4" t="str">
        <f>IF(J845&lt;&gt;1,"",IF(I845="SBJ","CB","?"))</f>
        <v> </v>
      </c>
      <c r="I845" s="25" t="str">
        <f>IF(OR(E845="",E845="!!!",F845="NEW"),"",INDEX(B844:B$2,-1+SUMPRODUCT(MAX(ROW(E844:E$2)*(E845=E844:E$2)))))</f>
        <v> </v>
      </c>
      <c r="J845" s="25" t="str">
        <f>IF(OR(E845="",E845="!!!",F845="NEW"),"",COUNTBLANK(OFFSET(A$1,,,SUMPRODUCT(MAX(ROW(E$2:E845)*(E845=E$2:E845)))))-COUNTBLANK(OFFSET(A$1,,,SUMPRODUCT(MAX(ROW(E$1:E844)*(E2=E$1:E844))))))</f>
        <v> </v>
      </c>
      <c r="K845" s="25" t="str">
        <f>IF(OR(E845="",E845="!!!",F845="NEW"),"",INDEX(J$1:J844,SUMPRODUCT(MAX(ROW(E$1:E844)*(E845=E$1:E844)))))</f>
        <v> </v>
      </c>
      <c r="L845" s="26"/>
    </row>
    <row r="846" spans="1:12">
      <c r="A846" s="20" t="s">
        <v>266</v>
      </c>
      <c r="E846" s="21">
        <f>IF(D846="?OLD","!!!","")</f>
        <v/>
      </c>
      <c r="F846" s="22" t="str">
        <f>IF(OR(E846="",E846="!!!"),"",IF(NOT(ISNA(VLOOKUP(E846,E$1:E845,1,FALSE()))),"OLD",IF(AND(E846&lt;&gt;"",E846&lt;&gt;"!!!"),"NEW","")))</f>
        <v> </v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4" t="str">
        <f>IF(J846&lt;&gt;1,"",IF(I846="SBJ","CB","?"))</f>
        <v> </v>
      </c>
      <c r="I846" s="25" t="str">
        <f>IF(OR(E846="",E846="!!!",F846="NEW"),"",INDEX(B845:B$2,-1+SUMPRODUCT(MAX(ROW(E845:E$2)*(E846=E845:E$2)))))</f>
        <v> </v>
      </c>
      <c r="J846" s="25" t="str">
        <f>IF(OR(E846="",E846="!!!",F846="NEW"),"",COUNTBLANK(OFFSET(A$1,,,SUMPRODUCT(MAX(ROW(E$2:E846)*(E846=E$2:E846)))))-COUNTBLANK(OFFSET(A$1,,,SUMPRODUCT(MAX(ROW(E$1:E845)*(E2=E$1:E845))))))</f>
        <v> </v>
      </c>
      <c r="K846" s="25" t="str">
        <f>IF(OR(E846="",E846="!!!",F846="NEW"),"",INDEX(J$1:J845,SUMPRODUCT(MAX(ROW(E$1:E845)*(E846=E$1:E845)))))</f>
        <v> </v>
      </c>
      <c r="L846" s="26"/>
    </row>
    <row r="847" spans="1:12">
      <c r="A847" s="20" t="s">
        <v>278</v>
      </c>
      <c r="B847" s="27" t="s">
        <v>262</v>
      </c>
      <c r="C847" s="27" t="s">
        <v>198</v>
      </c>
      <c r="D847" s="27" t="s">
        <v>194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 t="s">
        <v>219</v>
      </c>
      <c r="E848" s="21">
        <f>IF(D848="?OLD","!!!","")</f>
        <v/>
      </c>
      <c r="F848" s="22" t="str">
        <f>IF(OR(E848="",E848="!!!"),"",IF(NOT(ISNA(VLOOKUP(E848,E$1:E847,1,FALSE()))),"OLD",IF(AND(E848&lt;&gt;"",E848&lt;&gt;"!!!"),"NEW","")))</f>
        <v> </v>
      </c>
      <c r="G848" s="23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4" t="str">
        <f>IF(J848&lt;&gt;1,"",IF(I848="SBJ","CB","?"))</f>
        <v> </v>
      </c>
      <c r="I848" s="25" t="str">
        <f>IF(OR(E848="",E848="!!!",F848="NEW"),"",INDEX(B847:B$2,-1+SUMPRODUCT(MAX(ROW(E847:E$2)*(E848=E847:E$2)))))</f>
        <v> </v>
      </c>
      <c r="J848" s="25" t="str">
        <f>IF(OR(E848="",E848="!!!",F848="NEW"),"",COUNTBLANK(OFFSET(A$1,,,SUMPRODUCT(MAX(ROW(E$2:E848)*(E848=E$2:E848)))))-COUNTBLANK(OFFSET(A$1,,,SUMPRODUCT(MAX(ROW(E$1:E847)*(E2=E$1:E847))))))</f>
        <v> </v>
      </c>
      <c r="K848" s="25" t="str">
        <f>IF(OR(E848="",E848="!!!",F848="NEW"),"",INDEX(J$1:J847,SUMPRODUCT(MAX(ROW(E$1:E847)*(E848=E$1:E847)))))</f>
        <v> </v>
      </c>
      <c r="L848" s="26"/>
    </row>
    <row r="849" spans="1:12">
      <c r="A849" s="20"/>
    </row>
    <row r="850" spans="1:12">
      <c r="A850" s="20" t="s">
        <v>567</v>
      </c>
    </row>
    <row r="851" spans="1:12">
      <c r="A851" s="20" t="s">
        <v>491</v>
      </c>
      <c r="E851" s="21">
        <f>IF(D851="?OLD","!!!","")</f>
        <v/>
      </c>
      <c r="F851" s="22" t="str">
        <f>IF(OR(E851="",E851="!!!"),"",IF(NOT(ISNA(VLOOKUP(E851,E$1:E850,1,FALSE()))),"OLD",IF(AND(E851&lt;&gt;"",E851&lt;&gt;"!!!"),"NEW","")))</f>
        <v> </v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4" t="str">
        <f>IF(J851&lt;&gt;1,"",IF(I851="SBJ","CB","?"))</f>
        <v> </v>
      </c>
      <c r="I851" s="25" t="str">
        <f>IF(OR(E851="",E851="!!!",F851="NEW"),"",INDEX(B850:B$2,-1+SUMPRODUCT(MAX(ROW(E850:E$2)*(E851=E850:E$2)))))</f>
        <v> </v>
      </c>
      <c r="J851" s="25" t="str">
        <f>IF(OR(E851="",E851="!!!",F851="NEW"),"",COUNTBLANK(OFFSET(A$1,,,SUMPRODUCT(MAX(ROW(E$2:E851)*(E851=E$2:E851)))))-COUNTBLANK(OFFSET(A$1,,,SUMPRODUCT(MAX(ROW(E$1:E850)*(E2=E$1:E850))))))</f>
        <v> </v>
      </c>
      <c r="K851" s="25" t="str">
        <f>IF(OR(E851="",E851="!!!",F851="NEW"),"",INDEX(J$1:J850,SUMPRODUCT(MAX(ROW(E$1:E850)*(E851=E$1:E850)))))</f>
        <v> </v>
      </c>
      <c r="L851" s="26"/>
    </row>
    <row r="852" spans="1:12">
      <c r="A852" s="20" t="s">
        <v>172</v>
      </c>
      <c r="B852" s="27" t="s">
        <v>192</v>
      </c>
      <c r="C852" s="27" t="s">
        <v>223</v>
      </c>
      <c r="D852" s="27" t="s">
        <v>194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 t="s">
        <v>568</v>
      </c>
      <c r="E853" s="21">
        <f>IF(D853="?OLD","!!!","")</f>
        <v/>
      </c>
      <c r="F853" s="22" t="str">
        <f>IF(OR(E853="",E853="!!!"),"",IF(NOT(ISNA(VLOOKUP(E853,E$1:E852,1,FALSE()))),"OLD",IF(AND(E853&lt;&gt;"",E853&lt;&gt;"!!!"),"NEW","")))</f>
        <v> </v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4" t="str">
        <f>IF(J853&lt;&gt;1,"",IF(I853="SBJ","CB","?"))</f>
        <v> </v>
      </c>
      <c r="I853" s="25" t="str">
        <f>IF(OR(E853="",E853="!!!",F853="NEW"),"",INDEX(B852:B$2,-1+SUMPRODUCT(MAX(ROW(E852:E$2)*(E853=E852:E$2)))))</f>
        <v> </v>
      </c>
      <c r="J853" s="25" t="str">
        <f>IF(OR(E853="",E853="!!!",F853="NEW"),"",COUNTBLANK(OFFSET(A$1,,,SUMPRODUCT(MAX(ROW(E$2:E853)*(E853=E$2:E853)))))-COUNTBLANK(OFFSET(A$1,,,SUMPRODUCT(MAX(ROW(E$1:E852)*(E2=E$1:E852))))))</f>
        <v> </v>
      </c>
      <c r="K853" s="25" t="str">
        <f>IF(OR(E853="",E853="!!!",F853="NEW"),"",INDEX(J$1:J852,SUMPRODUCT(MAX(ROW(E$1:E852)*(E853=E$1:E852)))))</f>
        <v> </v>
      </c>
      <c r="L853" s="26"/>
    </row>
    <row r="854" spans="1:12">
      <c r="A854" s="20" t="s">
        <v>401</v>
      </c>
      <c r="E854" s="21">
        <f>IF(D854="?OLD","!!!","")</f>
        <v/>
      </c>
      <c r="F854" s="22" t="str">
        <f>IF(OR(E854="",E854="!!!"),"",IF(NOT(ISNA(VLOOKUP(E854,E$1:E853,1,FALSE()))),"OLD",IF(AND(E854&lt;&gt;"",E854&lt;&gt;"!!!"),"NEW","")))</f>
        <v> </v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4" t="str">
        <f>IF(J854&lt;&gt;1,"",IF(I854="SBJ","CB","?"))</f>
        <v> </v>
      </c>
      <c r="I854" s="25" t="str">
        <f>IF(OR(E854="",E854="!!!",F854="NEW"),"",INDEX(B853:B$2,-1+SUMPRODUCT(MAX(ROW(E853:E$2)*(E854=E853:E$2)))))</f>
        <v> </v>
      </c>
      <c r="J854" s="25" t="str">
        <f>IF(OR(E854="",E854="!!!",F854="NEW"),"",COUNTBLANK(OFFSET(A$1,,,SUMPRODUCT(MAX(ROW(E$2:E854)*(E854=E$2:E854)))))-COUNTBLANK(OFFSET(A$1,,,SUMPRODUCT(MAX(ROW(E$1:E853)*(E2=E$1:E853))))))</f>
        <v> </v>
      </c>
      <c r="K854" s="25" t="str">
        <f>IF(OR(E854="",E854="!!!",F854="NEW"),"",INDEX(J$1:J853,SUMPRODUCT(MAX(ROW(E$1:E853)*(E854=E$1:E853)))))</f>
        <v> </v>
      </c>
      <c r="L854" s="26"/>
    </row>
    <row r="855" spans="1:12">
      <c r="A855" s="20" t="s">
        <v>219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/>
    </row>
    <row r="857" spans="1:12">
      <c r="A857" s="20" t="s">
        <v>569</v>
      </c>
    </row>
    <row r="858" spans="1:12">
      <c r="A858" s="20" t="s">
        <v>491</v>
      </c>
      <c r="E858" s="21">
        <f>IF(D858="?OLD","!!!","")</f>
        <v/>
      </c>
      <c r="F858" s="22" t="str">
        <f>IF(OR(E858="",E858="!!!"),"",IF(NOT(ISNA(VLOOKUP(E858,E$1:E857,1,FALSE()))),"OLD",IF(AND(E858&lt;&gt;"",E858&lt;&gt;"!!!"),"NEW","")))</f>
        <v> </v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4" t="str">
        <f>IF(J858&lt;&gt;1,"",IF(I858="SBJ","CB","?"))</f>
        <v> </v>
      </c>
      <c r="I858" s="25" t="str">
        <f>IF(OR(E858="",E858="!!!",F858="NEW"),"",INDEX(B857:B$2,-1+SUMPRODUCT(MAX(ROW(E857:E$2)*(E858=E857:E$2)))))</f>
        <v> </v>
      </c>
      <c r="J858" s="25" t="str">
        <f>IF(OR(E858="",E858="!!!",F858="NEW"),"",COUNTBLANK(OFFSET(A$1,,,SUMPRODUCT(MAX(ROW(E$2:E858)*(E858=E$2:E858)))))-COUNTBLANK(OFFSET(A$1,,,SUMPRODUCT(MAX(ROW(E$1:E857)*(E2=E$1:E857))))))</f>
        <v> </v>
      </c>
      <c r="K858" s="25" t="str">
        <f>IF(OR(E858="",E858="!!!",F858="NEW"),"",INDEX(J$1:J857,SUMPRODUCT(MAX(ROW(E$1:E857)*(E858=E$1:E857)))))</f>
        <v> </v>
      </c>
      <c r="L858" s="26"/>
    </row>
    <row r="859" spans="1:12">
      <c r="A859" s="20" t="s">
        <v>172</v>
      </c>
      <c r="B859" s="27" t="s">
        <v>192</v>
      </c>
      <c r="C859" s="27" t="s">
        <v>223</v>
      </c>
      <c r="D859" s="27" t="s">
        <v>194</v>
      </c>
      <c r="E859" s="21">
        <f>IF(D859="?OLD","!!!","")</f>
        <v/>
      </c>
      <c r="F859" s="22" t="str">
        <f>IF(OR(E859="",E859="!!!"),"",IF(NOT(ISNA(VLOOKUP(E859,E$1:E858,1,FALSE()))),"OLD",IF(AND(E859&lt;&gt;"",E859&lt;&gt;"!!!"),"NEW","")))</f>
        <v> </v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4" t="str">
        <f>IF(J859&lt;&gt;1,"",IF(I859="SBJ","CB","?"))</f>
        <v> </v>
      </c>
      <c r="I859" s="25" t="str">
        <f>IF(OR(E859="",E859="!!!",F859="NEW"),"",INDEX(B858:B$2,-1+SUMPRODUCT(MAX(ROW(E858:E$2)*(E859=E858:E$2)))))</f>
        <v> </v>
      </c>
      <c r="J859" s="25" t="str">
        <f>IF(OR(E859="",E859="!!!",F859="NEW"),"",COUNTBLANK(OFFSET(A$1,,,SUMPRODUCT(MAX(ROW(E$2:E859)*(E859=E$2:E859)))))-COUNTBLANK(OFFSET(A$1,,,SUMPRODUCT(MAX(ROW(E$1:E858)*(E2=E$1:E858))))))</f>
        <v> </v>
      </c>
      <c r="K859" s="25" t="str">
        <f>IF(OR(E859="",E859="!!!",F859="NEW"),"",INDEX(J$1:J858,SUMPRODUCT(MAX(ROW(E$1:E858)*(E859=E$1:E858)))))</f>
        <v> </v>
      </c>
      <c r="L859" s="26"/>
    </row>
    <row r="860" spans="1:12">
      <c r="A860" s="20" t="s">
        <v>570</v>
      </c>
      <c r="E860" s="21">
        <f>IF(D860="?OLD","!!!","")</f>
        <v/>
      </c>
      <c r="F860" s="22" t="str">
        <f>IF(OR(E860="",E860="!!!"),"",IF(NOT(ISNA(VLOOKUP(E860,E$1:E859,1,FALSE()))),"OLD",IF(AND(E860&lt;&gt;"",E860&lt;&gt;"!!!"),"NEW","")))</f>
        <v> </v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4" t="str">
        <f>IF(J860&lt;&gt;1,"",IF(I860="SBJ","CB","?"))</f>
        <v> </v>
      </c>
      <c r="I860" s="25" t="str">
        <f>IF(OR(E860="",E860="!!!",F860="NEW"),"",INDEX(B859:B$2,-1+SUMPRODUCT(MAX(ROW(E859:E$2)*(E860=E859:E$2)))))</f>
        <v> </v>
      </c>
      <c r="J860" s="25" t="str">
        <f>IF(OR(E860="",E860="!!!",F860="NEW"),"",COUNTBLANK(OFFSET(A$1,,,SUMPRODUCT(MAX(ROW(E$2:E860)*(E860=E$2:E860)))))-COUNTBLANK(OFFSET(A$1,,,SUMPRODUCT(MAX(ROW(E$1:E859)*(E2=E$1:E859))))))</f>
        <v> </v>
      </c>
      <c r="K860" s="25" t="str">
        <f>IF(OR(E860="",E860="!!!",F860="NEW"),"",INDEX(J$1:J859,SUMPRODUCT(MAX(ROW(E$1:E859)*(E860=E$1:E859)))))</f>
        <v> </v>
      </c>
      <c r="L860" s="26"/>
    </row>
    <row r="861" spans="1:12">
      <c r="A861" s="20" t="s">
        <v>571</v>
      </c>
      <c r="B861" s="27" t="s">
        <v>210</v>
      </c>
      <c r="C861" s="27" t="s">
        <v>244</v>
      </c>
      <c r="D861" s="27" t="s">
        <v>194</v>
      </c>
      <c r="E861" s="21">
        <f>IF(D861="?OLD","!!!","")</f>
        <v/>
      </c>
      <c r="F861" s="22" t="str">
        <f>IF(OR(E861="",E861="!!!"),"",IF(NOT(ISNA(VLOOKUP(E861,E$1:E860,1,FALSE()))),"OLD",IF(AND(E861&lt;&gt;"",E861&lt;&gt;"!!!"),"NEW","")))</f>
        <v> 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4" t="str">
        <f>IF(J861&lt;&gt;1,"",IF(I861="SBJ","CB","?"))</f>
        <v> </v>
      </c>
      <c r="I861" s="25" t="str">
        <f>IF(OR(E861="",E861="!!!",F861="NEW"),"",INDEX(B860:B$2,-1+SUMPRODUCT(MAX(ROW(E860:E$2)*(E861=E860:E$2)))))</f>
        <v> </v>
      </c>
      <c r="J861" s="25" t="str">
        <f>IF(OR(E861="",E861="!!!",F861="NEW"),"",COUNTBLANK(OFFSET(A$1,,,SUMPRODUCT(MAX(ROW(E$2:E861)*(E861=E$2:E861)))))-COUNTBLANK(OFFSET(A$1,,,SUMPRODUCT(MAX(ROW(E$1:E860)*(E2=E$1:E860))))))</f>
        <v> </v>
      </c>
      <c r="K861" s="25" t="str">
        <f>IF(OR(E861="",E861="!!!",F861="NEW"),"",INDEX(J$1:J860,SUMPRODUCT(MAX(ROW(E$1:E860)*(E861=E$1:E860)))))</f>
        <v> </v>
      </c>
      <c r="L861" s="26"/>
    </row>
    <row r="862" spans="1:12">
      <c r="A862" s="20" t="s">
        <v>219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/>
    </row>
    <row r="864" spans="1:12">
      <c r="A864" s="20" t="s">
        <v>572</v>
      </c>
    </row>
    <row r="865" spans="1:12">
      <c r="A865" s="20" t="s">
        <v>573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 t="s">
        <v>273</v>
      </c>
      <c r="B866" s="27" t="s">
        <v>188</v>
      </c>
      <c r="C866" s="27" t="s">
        <v>198</v>
      </c>
      <c r="D866" s="27" t="s">
        <v>194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 t="s">
        <v>205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 t="s">
        <v>211</v>
      </c>
      <c r="E868" s="21">
        <f>IF(D868="?OLD","!!!","")</f>
        <v/>
      </c>
      <c r="F868" s="22" t="str">
        <f>IF(OR(E868="",E868="!!!"),"",IF(NOT(ISNA(VLOOKUP(E868,E$1:E867,1,FALSE()))),"OLD",IF(AND(E868&lt;&gt;"",E868&lt;&gt;"!!!"),"NEW","")))</f>
        <v> </v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4" t="str">
        <f>IF(J868&lt;&gt;1,"",IF(I868="SBJ","CB","?"))</f>
        <v> </v>
      </c>
      <c r="I868" s="25" t="str">
        <f>IF(OR(E868="",E868="!!!",F868="NEW"),"",INDEX(B867:B$2,-1+SUMPRODUCT(MAX(ROW(E867:E$2)*(E868=E867:E$2)))))</f>
        <v> </v>
      </c>
      <c r="J868" s="25" t="str">
        <f>IF(OR(E868="",E868="!!!",F868="NEW"),"",COUNTBLANK(OFFSET(A$1,,,SUMPRODUCT(MAX(ROW(E$2:E868)*(E868=E$2:E868)))))-COUNTBLANK(OFFSET(A$1,,,SUMPRODUCT(MAX(ROW(E$1:E867)*(E2=E$1:E867))))))</f>
        <v> </v>
      </c>
      <c r="K868" s="25" t="str">
        <f>IF(OR(E868="",E868="!!!",F868="NEW"),"",INDEX(J$1:J867,SUMPRODUCT(MAX(ROW(E$1:E867)*(E868=E$1:E867)))))</f>
        <v> </v>
      </c>
      <c r="L868" s="26"/>
    </row>
    <row r="869" spans="1:12">
      <c r="A869" s="20" t="s">
        <v>172</v>
      </c>
      <c r="B869" s="27" t="s">
        <v>192</v>
      </c>
      <c r="C869" s="27" t="s">
        <v>223</v>
      </c>
      <c r="D869" s="27" t="s">
        <v>194</v>
      </c>
      <c r="E869" s="21">
        <f>IF(D869="?OLD","!!!","")</f>
        <v/>
      </c>
      <c r="F869" s="22" t="str">
        <f>IF(OR(E869="",E869="!!!"),"",IF(NOT(ISNA(VLOOKUP(E869,E$1:E868,1,FALSE()))),"OLD",IF(AND(E869&lt;&gt;"",E869&lt;&gt;"!!!"),"NEW","")))</f>
        <v> </v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4" t="str">
        <f>IF(J869&lt;&gt;1,"",IF(I869="SBJ","CB","?"))</f>
        <v> </v>
      </c>
      <c r="I869" s="25" t="str">
        <f>IF(OR(E869="",E869="!!!",F869="NEW"),"",INDEX(B868:B$2,-1+SUMPRODUCT(MAX(ROW(E868:E$2)*(E869=E868:E$2)))))</f>
        <v> </v>
      </c>
      <c r="J869" s="25" t="str">
        <f>IF(OR(E869="",E869="!!!",F869="NEW"),"",COUNTBLANK(OFFSET(A$1,,,SUMPRODUCT(MAX(ROW(E$2:E869)*(E869=E$2:E869)))))-COUNTBLANK(OFFSET(A$1,,,SUMPRODUCT(MAX(ROW(E$1:E868)*(E2=E$1:E868))))))</f>
        <v> </v>
      </c>
      <c r="K869" s="25" t="str">
        <f>IF(OR(E869="",E869="!!!",F869="NEW"),"",INDEX(J$1:J868,SUMPRODUCT(MAX(ROW(E$1:E868)*(E869=E$1:E868)))))</f>
        <v> </v>
      </c>
      <c r="L869" s="26"/>
    </row>
    <row r="870" spans="1:12">
      <c r="A870" s="20" t="s">
        <v>568</v>
      </c>
      <c r="E870" s="21">
        <f>IF(D870="?OLD","!!!","")</f>
        <v/>
      </c>
      <c r="F870" s="22" t="str">
        <f>IF(OR(E870="",E870="!!!"),"",IF(NOT(ISNA(VLOOKUP(E870,E$1:E869,1,FALSE()))),"OLD",IF(AND(E870&lt;&gt;"",E870&lt;&gt;"!!!"),"NEW","")))</f>
        <v> </v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4" t="str">
        <f>IF(J870&lt;&gt;1,"",IF(I870="SBJ","CB","?"))</f>
        <v> </v>
      </c>
      <c r="I870" s="25" t="str">
        <f>IF(OR(E870="",E870="!!!",F870="NEW"),"",INDEX(B869:B$2,-1+SUMPRODUCT(MAX(ROW(E869:E$2)*(E870=E869:E$2)))))</f>
        <v> </v>
      </c>
      <c r="J870" s="25" t="str">
        <f>IF(OR(E870="",E870="!!!",F870="NEW"),"",COUNTBLANK(OFFSET(A$1,,,SUMPRODUCT(MAX(ROW(E$2:E870)*(E870=E$2:E870)))))-COUNTBLANK(OFFSET(A$1,,,SUMPRODUCT(MAX(ROW(E$1:E869)*(E2=E$1:E869))))))</f>
        <v> </v>
      </c>
      <c r="K870" s="25" t="str">
        <f>IF(OR(E870="",E870="!!!",F870="NEW"),"",INDEX(J$1:J869,SUMPRODUCT(MAX(ROW(E$1:E869)*(E870=E$1:E869)))))</f>
        <v> </v>
      </c>
      <c r="L870" s="26"/>
    </row>
    <row r="871" spans="1:12">
      <c r="A871" s="20" t="s">
        <v>574</v>
      </c>
      <c r="B871" s="27" t="s">
        <v>188</v>
      </c>
      <c r="C871" s="27" t="s">
        <v>193</v>
      </c>
      <c r="D871" s="27" t="s">
        <v>194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 t="s">
        <v>219</v>
      </c>
      <c r="E872" s="21">
        <f>IF(D872="?OLD","!!!","")</f>
        <v/>
      </c>
      <c r="F872" s="22" t="str">
        <f>IF(OR(E872="",E872="!!!"),"",IF(NOT(ISNA(VLOOKUP(E872,E$1:E871,1,FALSE()))),"OLD",IF(AND(E872&lt;&gt;"",E872&lt;&gt;"!!!"),"NEW","")))</f>
        <v> </v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4" t="str">
        <f>IF(J872&lt;&gt;1,"",IF(I872="SBJ","CB","?"))</f>
        <v> </v>
      </c>
      <c r="I872" s="25" t="str">
        <f>IF(OR(E872="",E872="!!!",F872="NEW"),"",INDEX(B871:B$2,-1+SUMPRODUCT(MAX(ROW(E871:E$2)*(E872=E871:E$2)))))</f>
        <v> </v>
      </c>
      <c r="J872" s="25" t="str">
        <f>IF(OR(E872="",E872="!!!",F872="NEW"),"",COUNTBLANK(OFFSET(A$1,,,SUMPRODUCT(MAX(ROW(E$2:E872)*(E872=E$2:E872)))))-COUNTBLANK(OFFSET(A$1,,,SUMPRODUCT(MAX(ROW(E$1:E871)*(E2=E$1:E871))))))</f>
        <v> </v>
      </c>
      <c r="K872" s="25" t="str">
        <f>IF(OR(E872="",E872="!!!",F872="NEW"),"",INDEX(J$1:J871,SUMPRODUCT(MAX(ROW(E$1:E871)*(E872=E$1:E871)))))</f>
        <v> </v>
      </c>
      <c r="L872" s="26"/>
    </row>
    <row r="873" spans="1:12">
      <c r="A873" s="20"/>
    </row>
    <row r="874" spans="1:12">
      <c r="A874" s="20" t="s">
        <v>575</v>
      </c>
    </row>
    <row r="875" spans="1:12">
      <c r="A875" s="20" t="s">
        <v>576</v>
      </c>
      <c r="E875" s="21">
        <f>IF(D875="?OLD","!!!","")</f>
        <v/>
      </c>
      <c r="F875" s="22" t="str">
        <f>IF(OR(E875="",E875="!!!"),"",IF(NOT(ISNA(VLOOKUP(E875,E$1:E874,1,FALSE()))),"OLD",IF(AND(E875&lt;&gt;"",E875&lt;&gt;"!!!"),"NEW","")))</f>
        <v> </v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4" t="str">
        <f>IF(J875&lt;&gt;1,"",IF(I875="SBJ","CB","?"))</f>
        <v> </v>
      </c>
      <c r="I875" s="25" t="str">
        <f>IF(OR(E875="",E875="!!!",F875="NEW"),"",INDEX(B874:B$2,-1+SUMPRODUCT(MAX(ROW(E874:E$2)*(E875=E874:E$2)))))</f>
        <v> </v>
      </c>
      <c r="J875" s="25" t="str">
        <f>IF(OR(E875="",E875="!!!",F875="NEW"),"",COUNTBLANK(OFFSET(A$1,,,SUMPRODUCT(MAX(ROW(E$2:E875)*(E875=E$2:E875)))))-COUNTBLANK(OFFSET(A$1,,,SUMPRODUCT(MAX(ROW(E$1:E874)*(E2=E$1:E874))))))</f>
        <v> </v>
      </c>
      <c r="K875" s="25" t="str">
        <f>IF(OR(E875="",E875="!!!",F875="NEW"),"",INDEX(J$1:J874,SUMPRODUCT(MAX(ROW(E$1:E874)*(E875=E$1:E874)))))</f>
        <v> </v>
      </c>
      <c r="L875" s="26"/>
    </row>
    <row r="876" spans="1:12">
      <c r="A876" s="20" t="s">
        <v>211</v>
      </c>
      <c r="E876" s="21">
        <f>IF(D876="?OLD","!!!","")</f>
        <v/>
      </c>
      <c r="F876" s="22" t="str">
        <f>IF(OR(E876="",E876="!!!"),"",IF(NOT(ISNA(VLOOKUP(E876,E$1:E875,1,FALSE()))),"OLD",IF(AND(E876&lt;&gt;"",E876&lt;&gt;"!!!"),"NEW","")))</f>
        <v> </v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4" t="str">
        <f>IF(J876&lt;&gt;1,"",IF(I876="SBJ","CB","?"))</f>
        <v> </v>
      </c>
      <c r="I876" s="25" t="str">
        <f>IF(OR(E876="",E876="!!!",F876="NEW"),"",INDEX(B875:B$2,-1+SUMPRODUCT(MAX(ROW(E875:E$2)*(E876=E875:E$2)))))</f>
        <v> </v>
      </c>
      <c r="J876" s="25" t="str">
        <f>IF(OR(E876="",E876="!!!",F876="NEW"),"",COUNTBLANK(OFFSET(A$1,,,SUMPRODUCT(MAX(ROW(E$2:E876)*(E876=E$2:E876)))))-COUNTBLANK(OFFSET(A$1,,,SUMPRODUCT(MAX(ROW(E$1:E875)*(E2=E$1:E875))))))</f>
        <v> </v>
      </c>
      <c r="K876" s="25" t="str">
        <f>IF(OR(E876="",E876="!!!",F876="NEW"),"",INDEX(J$1:J875,SUMPRODUCT(MAX(ROW(E$1:E875)*(E876=E$1:E875)))))</f>
        <v> </v>
      </c>
      <c r="L876" s="26"/>
    </row>
    <row r="877" spans="1:12">
      <c r="A877" s="20" t="s">
        <v>172</v>
      </c>
      <c r="B877" s="27" t="s">
        <v>192</v>
      </c>
      <c r="C877" s="27" t="s">
        <v>223</v>
      </c>
      <c r="D877" s="27" t="s">
        <v>194</v>
      </c>
      <c r="E877" s="21">
        <f>IF(D877="?OLD","!!!","")</f>
        <v/>
      </c>
      <c r="F877" s="22" t="str">
        <f>IF(OR(E877="",E877="!!!"),"",IF(NOT(ISNA(VLOOKUP(E877,E$1:E876,1,FALSE()))),"OLD",IF(AND(E877&lt;&gt;"",E877&lt;&gt;"!!!"),"NEW","")))</f>
        <v> 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4" t="str">
        <f>IF(J877&lt;&gt;1,"",IF(I877="SBJ","CB","?"))</f>
        <v> </v>
      </c>
      <c r="I877" s="25" t="str">
        <f>IF(OR(E877="",E877="!!!",F877="NEW"),"",INDEX(B876:B$2,-1+SUMPRODUCT(MAX(ROW(E876:E$2)*(E877=E876:E$2)))))</f>
        <v> </v>
      </c>
      <c r="J877" s="25" t="str">
        <f>IF(OR(E877="",E877="!!!",F877="NEW"),"",COUNTBLANK(OFFSET(A$1,,,SUMPRODUCT(MAX(ROW(E$2:E877)*(E877=E$2:E877)))))-COUNTBLANK(OFFSET(A$1,,,SUMPRODUCT(MAX(ROW(E$1:E876)*(E2=E$1:E876))))))</f>
        <v> </v>
      </c>
      <c r="K877" s="25" t="str">
        <f>IF(OR(E877="",E877="!!!",F877="NEW"),"",INDEX(J$1:J876,SUMPRODUCT(MAX(ROW(E$1:E876)*(E877=E$1:E876)))))</f>
        <v> </v>
      </c>
      <c r="L877" s="26"/>
    </row>
    <row r="878" spans="1:12">
      <c r="A878" s="20" t="s">
        <v>577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 t="s">
        <v>578</v>
      </c>
      <c r="B879" s="27" t="s">
        <v>210</v>
      </c>
      <c r="C879" s="27" t="s">
        <v>244</v>
      </c>
      <c r="D879" s="27" t="s">
        <v>194</v>
      </c>
      <c r="E879" s="21">
        <f>IF(D879="?OLD","!!!","")</f>
        <v/>
      </c>
      <c r="F879" s="22" t="str">
        <f>IF(OR(E879="",E879="!!!"),"",IF(NOT(ISNA(VLOOKUP(E879,E$1:E878,1,FALSE()))),"OLD",IF(AND(E879&lt;&gt;"",E879&lt;&gt;"!!!"),"NEW","")))</f>
        <v> </v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4" t="str">
        <f>IF(J879&lt;&gt;1,"",IF(I879="SBJ","CB","?"))</f>
        <v> </v>
      </c>
      <c r="I879" s="25" t="str">
        <f>IF(OR(E879="",E879="!!!",F879="NEW"),"",INDEX(B878:B$2,-1+SUMPRODUCT(MAX(ROW(E878:E$2)*(E879=E878:E$2)))))</f>
        <v> </v>
      </c>
      <c r="J879" s="25" t="str">
        <f>IF(OR(E879="",E879="!!!",F879="NEW"),"",COUNTBLANK(OFFSET(A$1,,,SUMPRODUCT(MAX(ROW(E$2:E879)*(E879=E$2:E879)))))-COUNTBLANK(OFFSET(A$1,,,SUMPRODUCT(MAX(ROW(E$1:E878)*(E2=E$1:E878))))))</f>
        <v> </v>
      </c>
      <c r="K879" s="25" t="str">
        <f>IF(OR(E879="",E879="!!!",F879="NEW"),"",INDEX(J$1:J878,SUMPRODUCT(MAX(ROW(E$1:E878)*(E879=E$1:E878)))))</f>
        <v> </v>
      </c>
      <c r="L879" s="26"/>
    </row>
    <row r="880" spans="1:12">
      <c r="A880" s="20" t="s">
        <v>96</v>
      </c>
      <c r="E880" s="21">
        <f>IF(D880="?OLD","!!!","")</f>
        <v/>
      </c>
      <c r="F880" s="22" t="str">
        <f>IF(OR(E880="",E880="!!!"),"",IF(NOT(ISNA(VLOOKUP(E880,E$1:E879,1,FALSE()))),"OLD",IF(AND(E880&lt;&gt;"",E880&lt;&gt;"!!!"),"NEW","")))</f>
        <v> </v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4" t="str">
        <f>IF(J880&lt;&gt;1,"",IF(I880="SBJ","CB","?"))</f>
        <v> </v>
      </c>
      <c r="I880" s="25" t="str">
        <f>IF(OR(E880="",E880="!!!",F880="NEW"),"",INDEX(B879:B$2,-1+SUMPRODUCT(MAX(ROW(E879:E$2)*(E880=E879:E$2)))))</f>
        <v> </v>
      </c>
      <c r="J880" s="25" t="str">
        <f>IF(OR(E880="",E880="!!!",F880="NEW"),"",COUNTBLANK(OFFSET(A$1,,,SUMPRODUCT(MAX(ROW(E$2:E880)*(E880=E$2:E880)))))-COUNTBLANK(OFFSET(A$1,,,SUMPRODUCT(MAX(ROW(E$1:E879)*(E2=E$1:E879))))))</f>
        <v> </v>
      </c>
      <c r="K880" s="25" t="str">
        <f>IF(OR(E880="",E880="!!!",F880="NEW"),"",INDEX(J$1:J879,SUMPRODUCT(MAX(ROW(E$1:E879)*(E880=E$1:E879)))))</f>
        <v> </v>
      </c>
      <c r="L880" s="26"/>
    </row>
    <row r="881" spans="1:12">
      <c r="A881" s="20" t="s">
        <v>266</v>
      </c>
      <c r="E881" s="21">
        <f>IF(D881="?OLD","!!!","")</f>
        <v/>
      </c>
      <c r="F881" s="22" t="str">
        <f>IF(OR(E881="",E881="!!!"),"",IF(NOT(ISNA(VLOOKUP(E881,E$1:E880,1,FALSE()))),"OLD",IF(AND(E881&lt;&gt;"",E881&lt;&gt;"!!!"),"NEW","")))</f>
        <v> </v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4" t="str">
        <f>IF(J881&lt;&gt;1,"",IF(I881="SBJ","CB","?"))</f>
        <v> </v>
      </c>
      <c r="I881" s="25" t="str">
        <f>IF(OR(E881="",E881="!!!",F881="NEW"),"",INDEX(B880:B$2,-1+SUMPRODUCT(MAX(ROW(E880:E$2)*(E881=E880:E$2)))))</f>
        <v> </v>
      </c>
      <c r="J881" s="25" t="str">
        <f>IF(OR(E881="",E881="!!!",F881="NEW"),"",COUNTBLANK(OFFSET(A$1,,,SUMPRODUCT(MAX(ROW(E$2:E881)*(E881=E$2:E881)))))-COUNTBLANK(OFFSET(A$1,,,SUMPRODUCT(MAX(ROW(E$1:E880)*(E2=E$1:E880))))))</f>
        <v> </v>
      </c>
      <c r="K881" s="25" t="str">
        <f>IF(OR(E881="",E881="!!!",F881="NEW"),"",INDEX(J$1:J880,SUMPRODUCT(MAX(ROW(E$1:E880)*(E881=E$1:E880)))))</f>
        <v> </v>
      </c>
      <c r="L881" s="26"/>
    </row>
    <row r="882" spans="1:12">
      <c r="A882" s="20" t="s">
        <v>356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 t="s">
        <v>434</v>
      </c>
      <c r="B883" s="27" t="s">
        <v>200</v>
      </c>
      <c r="C883" s="27" t="s">
        <v>428</v>
      </c>
      <c r="D883" s="27" t="s">
        <v>194</v>
      </c>
      <c r="E883" s="21">
        <f>IF(D883="?OLD","!!!","")</f>
        <v/>
      </c>
      <c r="F883" s="22" t="str">
        <f>IF(OR(E883="",E883="!!!"),"",IF(NOT(ISNA(VLOOKUP(E883,E$1:E882,1,FALSE()))),"OLD",IF(AND(E883&lt;&gt;"",E883&lt;&gt;"!!!"),"NEW","")))</f>
        <v> </v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4" t="str">
        <f>IF(J883&lt;&gt;1,"",IF(I883="SBJ","CB","?"))</f>
        <v> </v>
      </c>
      <c r="I883" s="25" t="str">
        <f>IF(OR(E883="",E883="!!!",F883="NEW"),"",INDEX(B882:B$2,-1+SUMPRODUCT(MAX(ROW(E882:E$2)*(E883=E882:E$2)))))</f>
        <v> </v>
      </c>
      <c r="J883" s="25" t="str">
        <f>IF(OR(E883="",E883="!!!",F883="NEW"),"",COUNTBLANK(OFFSET(A$1,,,SUMPRODUCT(MAX(ROW(E$2:E883)*(E883=E$2:E883)))))-COUNTBLANK(OFFSET(A$1,,,SUMPRODUCT(MAX(ROW(E$1:E882)*(E2=E$1:E882))))))</f>
        <v> </v>
      </c>
      <c r="K883" s="25" t="str">
        <f>IF(OR(E883="",E883="!!!",F883="NEW"),"",INDEX(J$1:J882,SUMPRODUCT(MAX(ROW(E$1:E882)*(E883=E$1:E882)))))</f>
        <v> </v>
      </c>
      <c r="L883" s="26"/>
    </row>
    <row r="884" spans="1:12">
      <c r="A884" s="20" t="s">
        <v>579</v>
      </c>
      <c r="B884" s="27" t="s">
        <v>197</v>
      </c>
      <c r="C884" s="27" t="s">
        <v>223</v>
      </c>
      <c r="D884" s="27" t="s">
        <v>194</v>
      </c>
      <c r="E884" s="21">
        <f>IF(D884="?OLD","!!!","")</f>
        <v/>
      </c>
      <c r="F884" s="22" t="str">
        <f>IF(OR(E884="",E884="!!!"),"",IF(NOT(ISNA(VLOOKUP(E884,E$1:E883,1,FALSE()))),"OLD",IF(AND(E884&lt;&gt;"",E884&lt;&gt;"!!!"),"NEW","")))</f>
        <v> </v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4" t="str">
        <f>IF(J884&lt;&gt;1,"",IF(I884="SBJ","CB","?"))</f>
        <v> </v>
      </c>
      <c r="I884" s="25" t="str">
        <f>IF(OR(E884="",E884="!!!",F884="NEW"),"",INDEX(B883:B$2,-1+SUMPRODUCT(MAX(ROW(E883:E$2)*(E884=E883:E$2)))))</f>
        <v> </v>
      </c>
      <c r="J884" s="25" t="str">
        <f>IF(OR(E884="",E884="!!!",F884="NEW"),"",COUNTBLANK(OFFSET(A$1,,,SUMPRODUCT(MAX(ROW(E$2:E884)*(E884=E$2:E884)))))-COUNTBLANK(OFFSET(A$1,,,SUMPRODUCT(MAX(ROW(E$1:E883)*(E2=E$1:E883))))))</f>
        <v> </v>
      </c>
      <c r="K884" s="25" t="str">
        <f>IF(OR(E884="",E884="!!!",F884="NEW"),"",INDEX(J$1:J883,SUMPRODUCT(MAX(ROW(E$1:E883)*(E884=E$1:E883)))))</f>
        <v> </v>
      </c>
      <c r="L884" s="26"/>
    </row>
    <row r="885" spans="1:12">
      <c r="A885" s="20" t="s">
        <v>266</v>
      </c>
      <c r="E885" s="21">
        <f>IF(D885="?OLD","!!!","")</f>
        <v/>
      </c>
      <c r="F885" s="22" t="str">
        <f>IF(OR(E885="",E885="!!!"),"",IF(NOT(ISNA(VLOOKUP(E885,E$1:E884,1,FALSE()))),"OLD",IF(AND(E885&lt;&gt;"",E885&lt;&gt;"!!!"),"NEW","")))</f>
        <v> </v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4" t="str">
        <f>IF(J885&lt;&gt;1,"",IF(I885="SBJ","CB","?"))</f>
        <v> </v>
      </c>
      <c r="I885" s="25" t="str">
        <f>IF(OR(E885="",E885="!!!",F885="NEW"),"",INDEX(B884:B$2,-1+SUMPRODUCT(MAX(ROW(E884:E$2)*(E885=E884:E$2)))))</f>
        <v> </v>
      </c>
      <c r="J885" s="25" t="str">
        <f>IF(OR(E885="",E885="!!!",F885="NEW"),"",COUNTBLANK(OFFSET(A$1,,,SUMPRODUCT(MAX(ROW(E$2:E885)*(E885=E$2:E885)))))-COUNTBLANK(OFFSET(A$1,,,SUMPRODUCT(MAX(ROW(E$1:E884)*(E2=E$1:E884))))))</f>
        <v> </v>
      </c>
      <c r="K885" s="25" t="str">
        <f>IF(OR(E885="",E885="!!!",F885="NEW"),"",INDEX(J$1:J884,SUMPRODUCT(MAX(ROW(E$1:E884)*(E885=E$1:E884)))))</f>
        <v> </v>
      </c>
      <c r="L885" s="26"/>
    </row>
    <row r="886" spans="1:12">
      <c r="A886" s="20" t="s">
        <v>356</v>
      </c>
      <c r="E886" s="21">
        <f>IF(D886="?OLD","!!!","")</f>
        <v/>
      </c>
      <c r="F886" s="22" t="str">
        <f>IF(OR(E886="",E886="!!!"),"",IF(NOT(ISNA(VLOOKUP(E886,E$1:E885,1,FALSE()))),"OLD",IF(AND(E886&lt;&gt;"",E886&lt;&gt;"!!!"),"NEW","")))</f>
        <v> </v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4" t="str">
        <f>IF(J886&lt;&gt;1,"",IF(I886="SBJ","CB","?"))</f>
        <v> </v>
      </c>
      <c r="I886" s="25" t="str">
        <f>IF(OR(E886="",E886="!!!",F886="NEW"),"",INDEX(B885:B$2,-1+SUMPRODUCT(MAX(ROW(E885:E$2)*(E886=E885:E$2)))))</f>
        <v> </v>
      </c>
      <c r="J886" s="25" t="str">
        <f>IF(OR(E886="",E886="!!!",F886="NEW"),"",COUNTBLANK(OFFSET(A$1,,,SUMPRODUCT(MAX(ROW(E$2:E886)*(E886=E$2:E886)))))-COUNTBLANK(OFFSET(A$1,,,SUMPRODUCT(MAX(ROW(E$1:E885)*(E2=E$1:E885))))))</f>
        <v> </v>
      </c>
      <c r="K886" s="25" t="str">
        <f>IF(OR(E886="",E886="!!!",F886="NEW"),"",INDEX(J$1:J885,SUMPRODUCT(MAX(ROW(E$1:E885)*(E886=E$1:E885)))))</f>
        <v> </v>
      </c>
      <c r="L886" s="26"/>
    </row>
    <row r="887" spans="1:12">
      <c r="A887" s="20" t="s">
        <v>434</v>
      </c>
      <c r="B887" s="27" t="s">
        <v>200</v>
      </c>
      <c r="C887" s="27" t="s">
        <v>428</v>
      </c>
      <c r="D887" s="27" t="s">
        <v>194</v>
      </c>
      <c r="E887" s="21">
        <f>IF(D887="?OLD","!!!","")</f>
        <v/>
      </c>
      <c r="F887" s="22" t="str">
        <f>IF(OR(E887="",E887="!!!"),"",IF(NOT(ISNA(VLOOKUP(E887,E$1:E886,1,FALSE()))),"OLD",IF(AND(E887&lt;&gt;"",E887&lt;&gt;"!!!"),"NEW","")))</f>
        <v> </v>
      </c>
      <c r="G887" s="23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4" t="str">
        <f>IF(J887&lt;&gt;1,"",IF(I887="SBJ","CB","?"))</f>
        <v> </v>
      </c>
      <c r="I887" s="25" t="str">
        <f>IF(OR(E887="",E887="!!!",F887="NEW"),"",INDEX(B886:B$2,-1+SUMPRODUCT(MAX(ROW(E886:E$2)*(E887=E886:E$2)))))</f>
        <v> </v>
      </c>
      <c r="J887" s="25" t="str">
        <f>IF(OR(E887="",E887="!!!",F887="NEW"),"",COUNTBLANK(OFFSET(A$1,,,SUMPRODUCT(MAX(ROW(E$2:E887)*(E887=E$2:E887)))))-COUNTBLANK(OFFSET(A$1,,,SUMPRODUCT(MAX(ROW(E$1:E886)*(E2=E$1:E886))))))</f>
        <v> </v>
      </c>
      <c r="K887" s="25" t="str">
        <f>IF(OR(E887="",E887="!!!",F887="NEW"),"",INDEX(J$1:J886,SUMPRODUCT(MAX(ROW(E$1:E886)*(E887=E$1:E886)))))</f>
        <v> </v>
      </c>
      <c r="L887" s="26"/>
    </row>
    <row r="888" spans="1:12">
      <c r="A888" s="20" t="s">
        <v>580</v>
      </c>
      <c r="B888" s="27" t="s">
        <v>197</v>
      </c>
      <c r="C888" s="27" t="s">
        <v>223</v>
      </c>
      <c r="D888" s="27" t="s">
        <v>194</v>
      </c>
      <c r="E888" s="21">
        <f>IF(D888="?OLD","!!!","")</f>
        <v/>
      </c>
      <c r="F888" s="22" t="str">
        <f>IF(OR(E888="",E888="!!!"),"",IF(NOT(ISNA(VLOOKUP(E888,E$1:E887,1,FALSE()))),"OLD",IF(AND(E888&lt;&gt;"",E888&lt;&gt;"!!!"),"NEW","")))</f>
        <v> </v>
      </c>
      <c r="G888" s="23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4" t="str">
        <f>IF(J888&lt;&gt;1,"",IF(I888="SBJ","CB","?"))</f>
        <v> </v>
      </c>
      <c r="I888" s="25" t="str">
        <f>IF(OR(E888="",E888="!!!",F888="NEW"),"",INDEX(B887:B$2,-1+SUMPRODUCT(MAX(ROW(E887:E$2)*(E888=E887:E$2)))))</f>
        <v> </v>
      </c>
      <c r="J888" s="25" t="str">
        <f>IF(OR(E888="",E888="!!!",F888="NEW"),"",COUNTBLANK(OFFSET(A$1,,,SUMPRODUCT(MAX(ROW(E$2:E888)*(E888=E$2:E888)))))-COUNTBLANK(OFFSET(A$1,,,SUMPRODUCT(MAX(ROW(E$1:E887)*(E2=E$1:E887))))))</f>
        <v> </v>
      </c>
      <c r="K888" s="25" t="str">
        <f>IF(OR(E888="",E888="!!!",F888="NEW"),"",INDEX(J$1:J887,SUMPRODUCT(MAX(ROW(E$1:E887)*(E888=E$1:E887)))))</f>
        <v> </v>
      </c>
      <c r="L888" s="26"/>
    </row>
    <row r="889" spans="1:12">
      <c r="A889" s="20" t="s">
        <v>205</v>
      </c>
      <c r="E889" s="21">
        <f>IF(D889="?OLD","!!!","")</f>
        <v/>
      </c>
      <c r="F889" s="22" t="str">
        <f>IF(OR(E889="",E889="!!!"),"",IF(NOT(ISNA(VLOOKUP(E889,E$1:E888,1,FALSE()))),"OLD",IF(AND(E889&lt;&gt;"",E889&lt;&gt;"!!!"),"NEW","")))</f>
        <v> </v>
      </c>
      <c r="G889" s="23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4" t="str">
        <f>IF(J889&lt;&gt;1,"",IF(I889="SBJ","CB","?"))</f>
        <v> </v>
      </c>
      <c r="I889" s="25" t="str">
        <f>IF(OR(E889="",E889="!!!",F889="NEW"),"",INDEX(B888:B$2,-1+SUMPRODUCT(MAX(ROW(E888:E$2)*(E889=E888:E$2)))))</f>
        <v> </v>
      </c>
      <c r="J889" s="25" t="str">
        <f>IF(OR(E889="",E889="!!!",F889="NEW"),"",COUNTBLANK(OFFSET(A$1,,,SUMPRODUCT(MAX(ROW(E$2:E889)*(E889=E$2:E889)))))-COUNTBLANK(OFFSET(A$1,,,SUMPRODUCT(MAX(ROW(E$1:E888)*(E2=E$1:E888))))))</f>
        <v> </v>
      </c>
      <c r="K889" s="25" t="str">
        <f>IF(OR(E889="",E889="!!!",F889="NEW"),"",INDEX(J$1:J888,SUMPRODUCT(MAX(ROW(E$1:E888)*(E889=E$1:E888)))))</f>
        <v> </v>
      </c>
      <c r="L889" s="26"/>
    </row>
    <row r="890" spans="1:12">
      <c r="A890" s="20" t="s">
        <v>270</v>
      </c>
      <c r="E890" s="21">
        <f>IF(D890="?OLD","!!!","")</f>
        <v/>
      </c>
      <c r="F890" s="22" t="str">
        <f>IF(OR(E890="",E890="!!!"),"",IF(NOT(ISNA(VLOOKUP(E890,E$1:E889,1,FALSE()))),"OLD",IF(AND(E890&lt;&gt;"",E890&lt;&gt;"!!!"),"NEW","")))</f>
        <v> </v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4" t="str">
        <f>IF(J890&lt;&gt;1,"",IF(I890="SBJ","CB","?"))</f>
        <v> </v>
      </c>
      <c r="I890" s="25" t="str">
        <f>IF(OR(E890="",E890="!!!",F890="NEW"),"",INDEX(B889:B$2,-1+SUMPRODUCT(MAX(ROW(E889:E$2)*(E890=E889:E$2)))))</f>
        <v> </v>
      </c>
      <c r="J890" s="25" t="str">
        <f>IF(OR(E890="",E890="!!!",F890="NEW"),"",COUNTBLANK(OFFSET(A$1,,,SUMPRODUCT(MAX(ROW(E$2:E890)*(E890=E$2:E890)))))-COUNTBLANK(OFFSET(A$1,,,SUMPRODUCT(MAX(ROW(E$1:E889)*(E2=E$1:E889))))))</f>
        <v> </v>
      </c>
      <c r="K890" s="25" t="str">
        <f>IF(OR(E890="",E890="!!!",F890="NEW"),"",INDEX(J$1:J889,SUMPRODUCT(MAX(ROW(E$1:E889)*(E890=E$1:E889)))))</f>
        <v> </v>
      </c>
      <c r="L890" s="26"/>
    </row>
    <row r="891" spans="1:12">
      <c r="A891" s="20" t="s">
        <v>581</v>
      </c>
      <c r="E891" s="21">
        <f>IF(D891="?OLD","!!!","")</f>
        <v/>
      </c>
      <c r="F891" s="22" t="str">
        <f>IF(OR(E891="",E891="!!!"),"",IF(NOT(ISNA(VLOOKUP(E891,E$1:E890,1,FALSE()))),"OLD",IF(AND(E891&lt;&gt;"",E891&lt;&gt;"!!!"),"NEW","")))</f>
        <v> </v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4" t="str">
        <f>IF(J891&lt;&gt;1,"",IF(I891="SBJ","CB","?"))</f>
        <v> </v>
      </c>
      <c r="I891" s="25" t="str">
        <f>IF(OR(E891="",E891="!!!",F891="NEW"),"",INDEX(B890:B$2,-1+SUMPRODUCT(MAX(ROW(E890:E$2)*(E891=E890:E$2)))))</f>
        <v> </v>
      </c>
      <c r="J891" s="25" t="str">
        <f>IF(OR(E891="",E891="!!!",F891="NEW"),"",COUNTBLANK(OFFSET(A$1,,,SUMPRODUCT(MAX(ROW(E$2:E891)*(E891=E$2:E891)))))-COUNTBLANK(OFFSET(A$1,,,SUMPRODUCT(MAX(ROW(E$1:E890)*(E2=E$1:E890))))))</f>
        <v> </v>
      </c>
      <c r="K891" s="25" t="str">
        <f>IF(OR(E891="",E891="!!!",F891="NEW"),"",INDEX(J$1:J890,SUMPRODUCT(MAX(ROW(E$1:E890)*(E891=E$1:E890)))))</f>
        <v> </v>
      </c>
      <c r="L891" s="26"/>
    </row>
    <row r="892" spans="1:12">
      <c r="A892" s="20" t="s">
        <v>582</v>
      </c>
      <c r="B892" s="27" t="s">
        <v>300</v>
      </c>
      <c r="C892" s="27" t="s">
        <v>244</v>
      </c>
      <c r="D892" s="27" t="s">
        <v>194</v>
      </c>
      <c r="E892" s="21">
        <f>IF(D892="?OLD","!!!","")</f>
        <v/>
      </c>
      <c r="F892" s="22" t="str">
        <f>IF(OR(E892="",E892="!!!"),"",IF(NOT(ISNA(VLOOKUP(E892,E$1:E891,1,FALSE()))),"OLD",IF(AND(E892&lt;&gt;"",E892&lt;&gt;"!!!"),"NEW","")))</f>
        <v> </v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4" t="str">
        <f>IF(J892&lt;&gt;1,"",IF(I892="SBJ","CB","?"))</f>
        <v> </v>
      </c>
      <c r="I892" s="25" t="str">
        <f>IF(OR(E892="",E892="!!!",F892="NEW"),"",INDEX(B891:B$2,-1+SUMPRODUCT(MAX(ROW(E891:E$2)*(E892=E891:E$2)))))</f>
        <v> </v>
      </c>
      <c r="J892" s="25" t="str">
        <f>IF(OR(E892="",E892="!!!",F892="NEW"),"",COUNTBLANK(OFFSET(A$1,,,SUMPRODUCT(MAX(ROW(E$2:E892)*(E892=E$2:E892)))))-COUNTBLANK(OFFSET(A$1,,,SUMPRODUCT(MAX(ROW(E$1:E891)*(E2=E$1:E891))))))</f>
        <v> </v>
      </c>
      <c r="K892" s="25" t="str">
        <f>IF(OR(E892="",E892="!!!",F892="NEW"),"",INDEX(J$1:J891,SUMPRODUCT(MAX(ROW(E$1:E891)*(E892=E$1:E891)))))</f>
        <v> </v>
      </c>
      <c r="L892" s="26"/>
    </row>
    <row r="893" spans="1:12">
      <c r="A893" s="20" t="s">
        <v>205</v>
      </c>
      <c r="E893" s="21">
        <f>IF(D893="?OLD","!!!","")</f>
        <v/>
      </c>
      <c r="F893" s="22" t="str">
        <f>IF(OR(E893="",E893="!!!"),"",IF(NOT(ISNA(VLOOKUP(E893,E$1:E892,1,FALSE()))),"OLD",IF(AND(E893&lt;&gt;"",E893&lt;&gt;"!!!"),"NEW","")))</f>
        <v> </v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4" t="str">
        <f>IF(J893&lt;&gt;1,"",IF(I893="SBJ","CB","?"))</f>
        <v> </v>
      </c>
      <c r="I893" s="25" t="str">
        <f>IF(OR(E893="",E893="!!!",F893="NEW"),"",INDEX(B892:B$2,-1+SUMPRODUCT(MAX(ROW(E892:E$2)*(E893=E892:E$2)))))</f>
        <v> </v>
      </c>
      <c r="J893" s="25" t="str">
        <f>IF(OR(E893="",E893="!!!",F893="NEW"),"",COUNTBLANK(OFFSET(A$1,,,SUMPRODUCT(MAX(ROW(E$2:E893)*(E893=E$2:E893)))))-COUNTBLANK(OFFSET(A$1,,,SUMPRODUCT(MAX(ROW(E$1:E892)*(E2=E$1:E892))))))</f>
        <v> </v>
      </c>
      <c r="K893" s="25" t="str">
        <f>IF(OR(E893="",E893="!!!",F893="NEW"),"",INDEX(J$1:J892,SUMPRODUCT(MAX(ROW(E$1:E892)*(E893=E$1:E892)))))</f>
        <v> </v>
      </c>
      <c r="L893" s="26"/>
    </row>
    <row r="894" spans="1:12">
      <c r="A894" s="20" t="s">
        <v>583</v>
      </c>
      <c r="E894" s="21">
        <f>IF(D894="?OLD","!!!","")</f>
        <v/>
      </c>
      <c r="F894" s="22" t="str">
        <f>IF(OR(E894="",E894="!!!"),"",IF(NOT(ISNA(VLOOKUP(E894,E$1:E893,1,FALSE()))),"OLD",IF(AND(E894&lt;&gt;"",E894&lt;&gt;"!!!"),"NEW","")))</f>
        <v> </v>
      </c>
      <c r="G894" s="23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4" t="str">
        <f>IF(J894&lt;&gt;1,"",IF(I894="SBJ","CB","?"))</f>
        <v> </v>
      </c>
      <c r="I894" s="25" t="str">
        <f>IF(OR(E894="",E894="!!!",F894="NEW"),"",INDEX(B893:B$2,-1+SUMPRODUCT(MAX(ROW(E893:E$2)*(E894=E893:E$2)))))</f>
        <v> </v>
      </c>
      <c r="J894" s="25" t="str">
        <f>IF(OR(E894="",E894="!!!",F894="NEW"),"",COUNTBLANK(OFFSET(A$1,,,SUMPRODUCT(MAX(ROW(E$2:E894)*(E894=E$2:E894)))))-COUNTBLANK(OFFSET(A$1,,,SUMPRODUCT(MAX(ROW(E$1:E893)*(E2=E$1:E893))))))</f>
        <v> </v>
      </c>
      <c r="K894" s="25" t="str">
        <f>IF(OR(E894="",E894="!!!",F894="NEW"),"",INDEX(J$1:J893,SUMPRODUCT(MAX(ROW(E$1:E893)*(E894=E$1:E893)))))</f>
        <v> </v>
      </c>
      <c r="L894" s="26"/>
    </row>
    <row r="895" spans="1:12">
      <c r="A895" s="20" t="s">
        <v>211</v>
      </c>
      <c r="E895" s="21">
        <f>IF(D895="?OLD","!!!","")</f>
        <v/>
      </c>
      <c r="F895" s="22" t="str">
        <f>IF(OR(E895="",E895="!!!"),"",IF(NOT(ISNA(VLOOKUP(E895,E$1:E894,1,FALSE()))),"OLD",IF(AND(E895&lt;&gt;"",E895&lt;&gt;"!!!"),"NEW","")))</f>
        <v> </v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4" t="str">
        <f>IF(J895&lt;&gt;1,"",IF(I895="SBJ","CB","?"))</f>
        <v> </v>
      </c>
      <c r="I895" s="25" t="str">
        <f>IF(OR(E895="",E895="!!!",F895="NEW"),"",INDEX(B894:B$2,-1+SUMPRODUCT(MAX(ROW(E894:E$2)*(E895=E894:E$2)))))</f>
        <v> </v>
      </c>
      <c r="J895" s="25" t="str">
        <f>IF(OR(E895="",E895="!!!",F895="NEW"),"",COUNTBLANK(OFFSET(A$1,,,SUMPRODUCT(MAX(ROW(E$2:E895)*(E895=E$2:E895)))))-COUNTBLANK(OFFSET(A$1,,,SUMPRODUCT(MAX(ROW(E$1:E894)*(E2=E$1:E894))))))</f>
        <v> </v>
      </c>
      <c r="K895" s="25" t="str">
        <f>IF(OR(E895="",E895="!!!",F895="NEW"),"",INDEX(J$1:J894,SUMPRODUCT(MAX(ROW(E$1:E894)*(E895=E$1:E894)))))</f>
        <v> </v>
      </c>
      <c r="L895" s="26"/>
    </row>
    <row r="896" spans="1:12">
      <c r="A896" s="20" t="s">
        <v>437</v>
      </c>
      <c r="B896" s="27" t="s">
        <v>296</v>
      </c>
      <c r="C896" s="27" t="s">
        <v>428</v>
      </c>
      <c r="D896" s="27" t="s">
        <v>194</v>
      </c>
      <c r="E896" s="21">
        <f>IF(D896="?OLD","!!!","")</f>
        <v/>
      </c>
      <c r="F896" s="22" t="str">
        <f>IF(OR(E896="",E896="!!!"),"",IF(NOT(ISNA(VLOOKUP(E896,E$1:E895,1,FALSE()))),"OLD",IF(AND(E896&lt;&gt;"",E896&lt;&gt;"!!!"),"NEW","")))</f>
        <v> </v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4" t="str">
        <f>IF(J896&lt;&gt;1,"",IF(I896="SBJ","CB","?"))</f>
        <v> </v>
      </c>
      <c r="I896" s="25" t="str">
        <f>IF(OR(E896="",E896="!!!",F896="NEW"),"",INDEX(B895:B$2,-1+SUMPRODUCT(MAX(ROW(E895:E$2)*(E896=E895:E$2)))))</f>
        <v> </v>
      </c>
      <c r="J896" s="25" t="str">
        <f>IF(OR(E896="",E896="!!!",F896="NEW"),"",COUNTBLANK(OFFSET(A$1,,,SUMPRODUCT(MAX(ROW(E$2:E896)*(E896=E$2:E896)))))-COUNTBLANK(OFFSET(A$1,,,SUMPRODUCT(MAX(ROW(E$1:E895)*(E2=E$1:E895))))))</f>
        <v> </v>
      </c>
      <c r="K896" s="25" t="str">
        <f>IF(OR(E896="",E896="!!!",F896="NEW"),"",INDEX(J$1:J895,SUMPRODUCT(MAX(ROW(E$1:E895)*(E896=E$1:E895)))))</f>
        <v> </v>
      </c>
      <c r="L896" s="26"/>
    </row>
    <row r="897" spans="1:12">
      <c r="A897" s="20" t="s">
        <v>584</v>
      </c>
      <c r="B897" s="27" t="s">
        <v>238</v>
      </c>
      <c r="C897" s="27" t="s">
        <v>223</v>
      </c>
      <c r="D897" s="27" t="s">
        <v>194</v>
      </c>
      <c r="E897" s="21">
        <f>IF(D897="?OLD","!!!","")</f>
        <v/>
      </c>
      <c r="F897" s="22" t="str">
        <f>IF(OR(E897="",E897="!!!"),"",IF(NOT(ISNA(VLOOKUP(E897,E$1:E896,1,FALSE()))),"OLD",IF(AND(E897&lt;&gt;"",E897&lt;&gt;"!!!"),"NEW","")))</f>
        <v> </v>
      </c>
      <c r="G897" s="23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4" t="str">
        <f>IF(J897&lt;&gt;1,"",IF(I897="SBJ","CB","?"))</f>
        <v> </v>
      </c>
      <c r="I897" s="25" t="str">
        <f>IF(OR(E897="",E897="!!!",F897="NEW"),"",INDEX(B896:B$2,-1+SUMPRODUCT(MAX(ROW(E896:E$2)*(E897=E896:E$2)))))</f>
        <v> </v>
      </c>
      <c r="J897" s="25" t="str">
        <f>IF(OR(E897="",E897="!!!",F897="NEW"),"",COUNTBLANK(OFFSET(A$1,,,SUMPRODUCT(MAX(ROW(E$2:E897)*(E897=E$2:E897)))))-COUNTBLANK(OFFSET(A$1,,,SUMPRODUCT(MAX(ROW(E$1:E896)*(E2=E$1:E896))))))</f>
        <v> </v>
      </c>
      <c r="K897" s="25" t="str">
        <f>IF(OR(E897="",E897="!!!",F897="NEW"),"",INDEX(J$1:J896,SUMPRODUCT(MAX(ROW(E$1:E896)*(E897=E$1:E896)))))</f>
        <v> </v>
      </c>
      <c r="L897" s="26"/>
    </row>
    <row r="898" spans="1:12">
      <c r="A898" s="20" t="s">
        <v>270</v>
      </c>
      <c r="E898" s="21">
        <f>IF(D898="?OLD","!!!","")</f>
        <v/>
      </c>
      <c r="F898" s="22" t="str">
        <f>IF(OR(E898="",E898="!!!"),"",IF(NOT(ISNA(VLOOKUP(E898,E$1:E897,1,FALSE()))),"OLD",IF(AND(E898&lt;&gt;"",E898&lt;&gt;"!!!"),"NEW","")))</f>
        <v> </v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4" t="str">
        <f>IF(J898&lt;&gt;1,"",IF(I898="SBJ","CB","?"))</f>
        <v> </v>
      </c>
      <c r="I898" s="25" t="str">
        <f>IF(OR(E898="",E898="!!!",F898="NEW"),"",INDEX(B897:B$2,-1+SUMPRODUCT(MAX(ROW(E897:E$2)*(E898=E897:E$2)))))</f>
        <v> </v>
      </c>
      <c r="J898" s="25" t="str">
        <f>IF(OR(E898="",E898="!!!",F898="NEW"),"",COUNTBLANK(OFFSET(A$1,,,SUMPRODUCT(MAX(ROW(E$2:E898)*(E898=E$2:E898)))))-COUNTBLANK(OFFSET(A$1,,,SUMPRODUCT(MAX(ROW(E$1:E897)*(E2=E$1:E897))))))</f>
        <v> </v>
      </c>
      <c r="K898" s="25" t="str">
        <f>IF(OR(E898="",E898="!!!",F898="NEW"),"",INDEX(J$1:J897,SUMPRODUCT(MAX(ROW(E$1:E897)*(E898=E$1:E897)))))</f>
        <v> </v>
      </c>
      <c r="L898" s="26"/>
    </row>
    <row r="899" spans="1:12">
      <c r="A899" s="20" t="s">
        <v>585</v>
      </c>
      <c r="B899" s="27" t="s">
        <v>296</v>
      </c>
      <c r="C899" s="27" t="s">
        <v>189</v>
      </c>
      <c r="E899" s="21">
        <f>IF(D899="?OLD","!!!","")</f>
        <v/>
      </c>
      <c r="F899" s="22" t="str">
        <f>IF(OR(E899="",E899="!!!"),"",IF(NOT(ISNA(VLOOKUP(E899,E$1:E898,1,FALSE()))),"OLD",IF(AND(E899&lt;&gt;"",E899&lt;&gt;"!!!"),"NEW","")))</f>
        <v> </v>
      </c>
      <c r="G899" s="23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4" t="str">
        <f>IF(J899&lt;&gt;1,"",IF(I899="SBJ","CB","?"))</f>
        <v> </v>
      </c>
      <c r="I899" s="25" t="str">
        <f>IF(OR(E899="",E899="!!!",F899="NEW"),"",INDEX(B898:B$2,-1+SUMPRODUCT(MAX(ROW(E898:E$2)*(E899=E898:E$2)))))</f>
        <v> </v>
      </c>
      <c r="J899" s="25" t="str">
        <f>IF(OR(E899="",E899="!!!",F899="NEW"),"",COUNTBLANK(OFFSET(A$1,,,SUMPRODUCT(MAX(ROW(E$2:E899)*(E899=E$2:E899)))))-COUNTBLANK(OFFSET(A$1,,,SUMPRODUCT(MAX(ROW(E$1:E898)*(E2=E$1:E898))))))</f>
        <v> </v>
      </c>
      <c r="K899" s="25" t="str">
        <f>IF(OR(E899="",E899="!!!",F899="NEW"),"",INDEX(J$1:J898,SUMPRODUCT(MAX(ROW(E$1:E898)*(E899=E$1:E898)))))</f>
        <v> </v>
      </c>
      <c r="L899" s="26"/>
    </row>
    <row r="900" spans="1:12">
      <c r="A900" s="20" t="s">
        <v>205</v>
      </c>
      <c r="E900" s="21">
        <f>IF(D900="?OLD","!!!","")</f>
        <v/>
      </c>
      <c r="F900" s="22" t="str">
        <f>IF(OR(E900="",E900="!!!"),"",IF(NOT(ISNA(VLOOKUP(E900,E$1:E899,1,FALSE()))),"OLD",IF(AND(E900&lt;&gt;"",E900&lt;&gt;"!!!"),"NEW","")))</f>
        <v> </v>
      </c>
      <c r="G900" s="23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4" t="str">
        <f>IF(J900&lt;&gt;1,"",IF(I900="SBJ","CB","?"))</f>
        <v> </v>
      </c>
      <c r="I900" s="25" t="str">
        <f>IF(OR(E900="",E900="!!!",F900="NEW"),"",INDEX(B899:B$2,-1+SUMPRODUCT(MAX(ROW(E899:E$2)*(E900=E899:E$2)))))</f>
        <v> </v>
      </c>
      <c r="J900" s="25" t="str">
        <f>IF(OR(E900="",E900="!!!",F900="NEW"),"",COUNTBLANK(OFFSET(A$1,,,SUMPRODUCT(MAX(ROW(E$2:E900)*(E900=E$2:E900)))))-COUNTBLANK(OFFSET(A$1,,,SUMPRODUCT(MAX(ROW(E$1:E899)*(E2=E$1:E899))))))</f>
        <v> </v>
      </c>
      <c r="K900" s="25" t="str">
        <f>IF(OR(E900="",E900="!!!",F900="NEW"),"",INDEX(J$1:J899,SUMPRODUCT(MAX(ROW(E$1:E899)*(E900=E$1:E899)))))</f>
        <v> </v>
      </c>
      <c r="L900" s="26"/>
    </row>
    <row r="901" spans="1:12">
      <c r="A901" s="20" t="s">
        <v>266</v>
      </c>
      <c r="E901" s="21">
        <f>IF(D901="?OLD","!!!","")</f>
        <v/>
      </c>
      <c r="F901" s="22" t="str">
        <f>IF(OR(E901="",E901="!!!"),"",IF(NOT(ISNA(VLOOKUP(E901,E$1:E900,1,FALSE()))),"OLD",IF(AND(E901&lt;&gt;"",E901&lt;&gt;"!!!"),"NEW","")))</f>
        <v> </v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4" t="str">
        <f>IF(J901&lt;&gt;1,"",IF(I901="SBJ","CB","?"))</f>
        <v> </v>
      </c>
      <c r="I901" s="25" t="str">
        <f>IF(OR(E901="",E901="!!!",F901="NEW"),"",INDEX(B900:B$2,-1+SUMPRODUCT(MAX(ROW(E900:E$2)*(E901=E900:E$2)))))</f>
        <v> </v>
      </c>
      <c r="J901" s="25" t="str">
        <f>IF(OR(E901="",E901="!!!",F901="NEW"),"",COUNTBLANK(OFFSET(A$1,,,SUMPRODUCT(MAX(ROW(E$2:E901)*(E901=E$2:E901)))))-COUNTBLANK(OFFSET(A$1,,,SUMPRODUCT(MAX(ROW(E$1:E900)*(E2=E$1:E900))))))</f>
        <v> </v>
      </c>
      <c r="K901" s="25" t="str">
        <f>IF(OR(E901="",E901="!!!",F901="NEW"),"",INDEX(J$1:J900,SUMPRODUCT(MAX(ROW(E$1:E900)*(E901=E$1:E900)))))</f>
        <v> </v>
      </c>
      <c r="L901" s="26"/>
    </row>
    <row r="902" spans="1:12">
      <c r="A902" s="20" t="s">
        <v>586</v>
      </c>
      <c r="B902" s="27" t="s">
        <v>204</v>
      </c>
      <c r="C902" s="27" t="s">
        <v>189</v>
      </c>
      <c r="E902" s="21">
        <f>IF(D902="?OLD","!!!","")</f>
        <v/>
      </c>
      <c r="F902" s="22" t="str">
        <f>IF(OR(E902="",E902="!!!"),"",IF(NOT(ISNA(VLOOKUP(E902,E$1:E901,1,FALSE()))),"OLD",IF(AND(E902&lt;&gt;"",E902&lt;&gt;"!!!"),"NEW","")))</f>
        <v> </v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4" t="str">
        <f>IF(J902&lt;&gt;1,"",IF(I902="SBJ","CB","?"))</f>
        <v> </v>
      </c>
      <c r="I902" s="25" t="str">
        <f>IF(OR(E902="",E902="!!!",F902="NEW"),"",INDEX(B901:B$2,-1+SUMPRODUCT(MAX(ROW(E901:E$2)*(E902=E901:E$2)))))</f>
        <v> </v>
      </c>
      <c r="J902" s="25" t="str">
        <f>IF(OR(E902="",E902="!!!",F902="NEW"),"",COUNTBLANK(OFFSET(A$1,,,SUMPRODUCT(MAX(ROW(E$2:E902)*(E902=E$2:E902)))))-COUNTBLANK(OFFSET(A$1,,,SUMPRODUCT(MAX(ROW(E$1:E901)*(E2=E$1:E901))))))</f>
        <v> </v>
      </c>
      <c r="K902" s="25" t="str">
        <f>IF(OR(E902="",E902="!!!",F902="NEW"),"",INDEX(J$1:J901,SUMPRODUCT(MAX(ROW(E$1:E901)*(E902=E$1:E901)))))</f>
        <v> </v>
      </c>
      <c r="L902" s="26"/>
    </row>
    <row r="903" spans="1:12">
      <c r="A903" s="20" t="s">
        <v>219</v>
      </c>
      <c r="E903" s="21">
        <f>IF(D903="?OLD","!!!","")</f>
        <v/>
      </c>
      <c r="F903" s="22" t="str">
        <f>IF(OR(E903="",E903="!!!"),"",IF(NOT(ISNA(VLOOKUP(E903,E$1:E902,1,FALSE()))),"OLD",IF(AND(E903&lt;&gt;"",E903&lt;&gt;"!!!"),"NEW","")))</f>
        <v> </v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4" t="str">
        <f>IF(J903&lt;&gt;1,"",IF(I903="SBJ","CB","?"))</f>
        <v> </v>
      </c>
      <c r="I903" s="25" t="str">
        <f>IF(OR(E903="",E903="!!!",F903="NEW"),"",INDEX(B902:B$2,-1+SUMPRODUCT(MAX(ROW(E902:E$2)*(E903=E902:E$2)))))</f>
        <v> </v>
      </c>
      <c r="J903" s="25" t="str">
        <f>IF(OR(E903="",E903="!!!",F903="NEW"),"",COUNTBLANK(OFFSET(A$1,,,SUMPRODUCT(MAX(ROW(E$2:E903)*(E903=E$2:E903)))))-COUNTBLANK(OFFSET(A$1,,,SUMPRODUCT(MAX(ROW(E$1:E902)*(E2=E$1:E902))))))</f>
        <v> </v>
      </c>
      <c r="K903" s="25" t="str">
        <f>IF(OR(E903="",E903="!!!",F903="NEW"),"",INDEX(J$1:J902,SUMPRODUCT(MAX(ROW(E$1:E902)*(E903=E$1:E902)))))</f>
        <v> </v>
      </c>
      <c r="L903" s="26"/>
    </row>
    <row r="904" spans="1:12">
      <c r="A904" s="20"/>
    </row>
    <row r="905" spans="1:12">
      <c r="A905" s="20" t="s">
        <v>587</v>
      </c>
    </row>
    <row r="906" spans="1:12">
      <c r="A906" s="20" t="s">
        <v>588</v>
      </c>
      <c r="B906" s="27" t="s">
        <v>192</v>
      </c>
      <c r="C906" s="27" t="s">
        <v>589</v>
      </c>
      <c r="D906" s="27" t="s">
        <v>194</v>
      </c>
      <c r="E906" s="21">
        <f>IF(D906="?OLD","!!!","")</f>
        <v/>
      </c>
      <c r="F906" s="22" t="str">
        <f>IF(OR(E906="",E906="!!!"),"",IF(NOT(ISNA(VLOOKUP(E906,E$1:E905,1,FALSE()))),"OLD",IF(AND(E906&lt;&gt;"",E906&lt;&gt;"!!!"),"NEW","")))</f>
        <v> </v>
      </c>
      <c r="G906" s="23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4" t="str">
        <f>IF(J906&lt;&gt;1,"",IF(I906="SBJ","CB","?"))</f>
        <v> </v>
      </c>
      <c r="I906" s="25" t="str">
        <f>IF(OR(E906="",E906="!!!",F906="NEW"),"",INDEX(B905:B$2,-1+SUMPRODUCT(MAX(ROW(E905:E$2)*(E906=E905:E$2)))))</f>
        <v> </v>
      </c>
      <c r="J906" s="25" t="str">
        <f>IF(OR(E906="",E906="!!!",F906="NEW"),"",COUNTBLANK(OFFSET(A$1,,,SUMPRODUCT(MAX(ROW(E$2:E906)*(E906=E$2:E906)))))-COUNTBLANK(OFFSET(A$1,,,SUMPRODUCT(MAX(ROW(E$1:E905)*(E2=E$1:E905))))))</f>
        <v> </v>
      </c>
      <c r="K906" s="25" t="str">
        <f>IF(OR(E906="",E906="!!!",F906="NEW"),"",INDEX(J$1:J905,SUMPRODUCT(MAX(ROW(E$1:E905)*(E906=E$1:E905)))))</f>
        <v> </v>
      </c>
      <c r="L906" s="26"/>
    </row>
    <row r="907" spans="1:12">
      <c r="A907" s="20" t="s">
        <v>568</v>
      </c>
      <c r="E907" s="21">
        <f>IF(D907="?OLD","!!!","")</f>
        <v/>
      </c>
      <c r="F907" s="22" t="str">
        <f>IF(OR(E907="",E907="!!!"),"",IF(NOT(ISNA(VLOOKUP(E907,E$1:E906,1,FALSE()))),"OLD",IF(AND(E907&lt;&gt;"",E907&lt;&gt;"!!!"),"NEW","")))</f>
        <v> </v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4" t="str">
        <f>IF(J907&lt;&gt;1,"",IF(I907="SBJ","CB","?"))</f>
        <v> </v>
      </c>
      <c r="I907" s="25" t="str">
        <f>IF(OR(E907="",E907="!!!",F907="NEW"),"",INDEX(B906:B$2,-1+SUMPRODUCT(MAX(ROW(E906:E$2)*(E907=E906:E$2)))))</f>
        <v> </v>
      </c>
      <c r="J907" s="25" t="str">
        <f>IF(OR(E907="",E907="!!!",F907="NEW"),"",COUNTBLANK(OFFSET(A$1,,,SUMPRODUCT(MAX(ROW(E$2:E907)*(E907=E$2:E907)))))-COUNTBLANK(OFFSET(A$1,,,SUMPRODUCT(MAX(ROW(E$1:E906)*(E2=E$1:E906))))))</f>
        <v> </v>
      </c>
      <c r="K907" s="25" t="str">
        <f>IF(OR(E907="",E907="!!!",F907="NEW"),"",INDEX(J$1:J906,SUMPRODUCT(MAX(ROW(E$1:E906)*(E907=E$1:E906)))))</f>
        <v> </v>
      </c>
      <c r="L907" s="26"/>
    </row>
    <row r="908" spans="1:12">
      <c r="A908" s="20" t="s">
        <v>215</v>
      </c>
      <c r="E908" s="21">
        <f>IF(D908="?OLD","!!!","")</f>
        <v/>
      </c>
      <c r="F908" s="22" t="str">
        <f>IF(OR(E908="",E908="!!!"),"",IF(NOT(ISNA(VLOOKUP(E908,E$1:E907,1,FALSE()))),"OLD",IF(AND(E908&lt;&gt;"",E908&lt;&gt;"!!!"),"NEW","")))</f>
        <v> </v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4" t="str">
        <f>IF(J908&lt;&gt;1,"",IF(I908="SBJ","CB","?"))</f>
        <v> </v>
      </c>
      <c r="I908" s="25" t="str">
        <f>IF(OR(E908="",E908="!!!",F908="NEW"),"",INDEX(B907:B$2,-1+SUMPRODUCT(MAX(ROW(E907:E$2)*(E908=E907:E$2)))))</f>
        <v> </v>
      </c>
      <c r="J908" s="25" t="str">
        <f>IF(OR(E908="",E908="!!!",F908="NEW"),"",COUNTBLANK(OFFSET(A$1,,,SUMPRODUCT(MAX(ROW(E$2:E908)*(E908=E$2:E908)))))-COUNTBLANK(OFFSET(A$1,,,SUMPRODUCT(MAX(ROW(E$1:E907)*(E2=E$1:E907))))))</f>
        <v> </v>
      </c>
      <c r="K908" s="25" t="str">
        <f>IF(OR(E908="",E908="!!!",F908="NEW"),"",INDEX(J$1:J907,SUMPRODUCT(MAX(ROW(E$1:E907)*(E908=E$1:E907)))))</f>
        <v> </v>
      </c>
      <c r="L908" s="26"/>
    </row>
    <row r="909" spans="1:12">
      <c r="A909" s="20" t="s">
        <v>590</v>
      </c>
      <c r="B909" s="27" t="s">
        <v>188</v>
      </c>
      <c r="C909" s="27" t="s">
        <v>193</v>
      </c>
      <c r="D909" s="27" t="s">
        <v>194</v>
      </c>
      <c r="E909" s="21">
        <f>IF(D909="?OLD","!!!","")</f>
        <v/>
      </c>
      <c r="F909" s="22" t="str">
        <f>IF(OR(E909="",E909="!!!"),"",IF(NOT(ISNA(VLOOKUP(E909,E$1:E908,1,FALSE()))),"OLD",IF(AND(E909&lt;&gt;"",E909&lt;&gt;"!!!"),"NEW","")))</f>
        <v> </v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4" t="str">
        <f>IF(J909&lt;&gt;1,"",IF(I909="SBJ","CB","?"))</f>
        <v> </v>
      </c>
      <c r="I909" s="25" t="str">
        <f>IF(OR(E909="",E909="!!!",F909="NEW"),"",INDEX(B908:B$2,-1+SUMPRODUCT(MAX(ROW(E908:E$2)*(E909=E908:E$2)))))</f>
        <v> </v>
      </c>
      <c r="J909" s="25" t="str">
        <f>IF(OR(E909="",E909="!!!",F909="NEW"),"",COUNTBLANK(OFFSET(A$1,,,SUMPRODUCT(MAX(ROW(E$2:E909)*(E909=E$2:E909)))))-COUNTBLANK(OFFSET(A$1,,,SUMPRODUCT(MAX(ROW(E$1:E908)*(E2=E$1:E908))))))</f>
        <v> </v>
      </c>
      <c r="K909" s="25" t="str">
        <f>IF(OR(E909="",E909="!!!",F909="NEW"),"",INDEX(J$1:J908,SUMPRODUCT(MAX(ROW(E$1:E908)*(E909=E$1:E908)))))</f>
        <v> </v>
      </c>
      <c r="L909" s="26"/>
    </row>
    <row r="910" spans="1:12">
      <c r="A910" s="20" t="s">
        <v>195</v>
      </c>
      <c r="E910" s="21">
        <f>IF(D910="?OLD","!!!","")</f>
        <v/>
      </c>
      <c r="F910" s="22" t="str">
        <f>IF(OR(E910="",E910="!!!"),"",IF(NOT(ISNA(VLOOKUP(E910,E$1:E909,1,FALSE()))),"OLD",IF(AND(E910&lt;&gt;"",E910&lt;&gt;"!!!"),"NEW","")))</f>
        <v> </v>
      </c>
      <c r="G910" s="23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4" t="str">
        <f>IF(J910&lt;&gt;1,"",IF(I910="SBJ","CB","?"))</f>
        <v> </v>
      </c>
      <c r="I910" s="25" t="str">
        <f>IF(OR(E910="",E910="!!!",F910="NEW"),"",INDEX(B909:B$2,-1+SUMPRODUCT(MAX(ROW(E909:E$2)*(E910=E909:E$2)))))</f>
        <v> </v>
      </c>
      <c r="J910" s="25" t="str">
        <f>IF(OR(E910="",E910="!!!",F910="NEW"),"",COUNTBLANK(OFFSET(A$1,,,SUMPRODUCT(MAX(ROW(E$2:E910)*(E910=E$2:E910)))))-COUNTBLANK(OFFSET(A$1,,,SUMPRODUCT(MAX(ROW(E$1:E909)*(E2=E$1:E909))))))</f>
        <v> </v>
      </c>
      <c r="K910" s="25" t="str">
        <f>IF(OR(E910="",E910="!!!",F910="NEW"),"",INDEX(J$1:J909,SUMPRODUCT(MAX(ROW(E$1:E909)*(E910=E$1:E909)))))</f>
        <v> </v>
      </c>
      <c r="L910" s="26"/>
    </row>
    <row r="911" spans="1:12">
      <c r="A911" s="20" t="s">
        <v>211</v>
      </c>
      <c r="E911" s="21">
        <f>IF(D911="?OLD","!!!","")</f>
        <v/>
      </c>
      <c r="F911" s="22" t="str">
        <f>IF(OR(E911="",E911="!!!"),"",IF(NOT(ISNA(VLOOKUP(E911,E$1:E910,1,FALSE()))),"OLD",IF(AND(E911&lt;&gt;"",E911&lt;&gt;"!!!"),"NEW","")))</f>
        <v> </v>
      </c>
      <c r="G911" s="23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4" t="str">
        <f>IF(J911&lt;&gt;1,"",IF(I911="SBJ","CB","?"))</f>
        <v> </v>
      </c>
      <c r="I911" s="25" t="str">
        <f>IF(OR(E911="",E911="!!!",F911="NEW"),"",INDEX(B910:B$2,-1+SUMPRODUCT(MAX(ROW(E910:E$2)*(E911=E910:E$2)))))</f>
        <v> </v>
      </c>
      <c r="J911" s="25" t="str">
        <f>IF(OR(E911="",E911="!!!",F911="NEW"),"",COUNTBLANK(OFFSET(A$1,,,SUMPRODUCT(MAX(ROW(E$2:E911)*(E911=E$2:E911)))))-COUNTBLANK(OFFSET(A$1,,,SUMPRODUCT(MAX(ROW(E$1:E910)*(E2=E$1:E910))))))</f>
        <v> </v>
      </c>
      <c r="K911" s="25" t="str">
        <f>IF(OR(E911="",E911="!!!",F911="NEW"),"",INDEX(J$1:J910,SUMPRODUCT(MAX(ROW(E$1:E910)*(E911=E$1:E910)))))</f>
        <v> </v>
      </c>
      <c r="L911" s="26"/>
    </row>
    <row r="912" spans="1:12">
      <c r="A912" s="20" t="s">
        <v>437</v>
      </c>
      <c r="B912" s="27" t="s">
        <v>197</v>
      </c>
      <c r="C912" s="27" t="s">
        <v>428</v>
      </c>
      <c r="D912" s="27" t="s">
        <v>194</v>
      </c>
      <c r="E912" s="21">
        <f>IF(D912="?OLD","!!!","")</f>
        <v/>
      </c>
      <c r="F912" s="22" t="str">
        <f>IF(OR(E912="",E912="!!!"),"",IF(NOT(ISNA(VLOOKUP(E912,E$1:E911,1,FALSE()))),"OLD",IF(AND(E912&lt;&gt;"",E912&lt;&gt;"!!!"),"NEW","")))</f>
        <v> </v>
      </c>
      <c r="G912" s="23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4" t="str">
        <f>IF(J912&lt;&gt;1,"",IF(I912="SBJ","CB","?"))</f>
        <v> </v>
      </c>
      <c r="I912" s="25" t="str">
        <f>IF(OR(E912="",E912="!!!",F912="NEW"),"",INDEX(B911:B$2,-1+SUMPRODUCT(MAX(ROW(E911:E$2)*(E912=E911:E$2)))))</f>
        <v> </v>
      </c>
      <c r="J912" s="25" t="str">
        <f>IF(OR(E912="",E912="!!!",F912="NEW"),"",COUNTBLANK(OFFSET(A$1,,,SUMPRODUCT(MAX(ROW(E$2:E912)*(E912=E$2:E912)))))-COUNTBLANK(OFFSET(A$1,,,SUMPRODUCT(MAX(ROW(E$1:E911)*(E2=E$1:E911))))))</f>
        <v> </v>
      </c>
      <c r="K912" s="25" t="str">
        <f>IF(OR(E912="",E912="!!!",F912="NEW"),"",INDEX(J$1:J911,SUMPRODUCT(MAX(ROW(E$1:E911)*(E912=E$1:E911)))))</f>
        <v> </v>
      </c>
      <c r="L912" s="26"/>
    </row>
    <row r="913" spans="1:12">
      <c r="A913" s="20" t="s">
        <v>439</v>
      </c>
      <c r="B913" s="27" t="s">
        <v>188</v>
      </c>
      <c r="C913" s="27" t="s">
        <v>223</v>
      </c>
      <c r="D913" s="27" t="s">
        <v>194</v>
      </c>
      <c r="E913" s="21">
        <f>IF(D913="?OLD","!!!","")</f>
        <v/>
      </c>
      <c r="F913" s="22" t="str">
        <f>IF(OR(E913="",E913="!!!"),"",IF(NOT(ISNA(VLOOKUP(E913,E$1:E912,1,FALSE()))),"OLD",IF(AND(E913&lt;&gt;"",E913&lt;&gt;"!!!"),"NEW","")))</f>
        <v> </v>
      </c>
      <c r="G913" s="23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4" t="str">
        <f>IF(J913&lt;&gt;1,"",IF(I913="SBJ","CB","?"))</f>
        <v> </v>
      </c>
      <c r="I913" s="25" t="str">
        <f>IF(OR(E913="",E913="!!!",F913="NEW"),"",INDEX(B912:B$2,-1+SUMPRODUCT(MAX(ROW(E912:E$2)*(E913=E912:E$2)))))</f>
        <v> </v>
      </c>
      <c r="J913" s="25" t="str">
        <f>IF(OR(E913="",E913="!!!",F913="NEW"),"",COUNTBLANK(OFFSET(A$1,,,SUMPRODUCT(MAX(ROW(E$2:E913)*(E913=E$2:E913)))))-COUNTBLANK(OFFSET(A$1,,,SUMPRODUCT(MAX(ROW(E$1:E912)*(E2=E$1:E912))))))</f>
        <v> </v>
      </c>
      <c r="K913" s="25" t="str">
        <f>IF(OR(E913="",E913="!!!",F913="NEW"),"",INDEX(J$1:J912,SUMPRODUCT(MAX(ROW(E$1:E912)*(E913=E$1:E912)))))</f>
        <v> </v>
      </c>
      <c r="L913" s="26"/>
    </row>
    <row r="914" spans="1:12">
      <c r="A914" s="20" t="s">
        <v>591</v>
      </c>
      <c r="E914" s="21">
        <f>IF(D914="?OLD","!!!","")</f>
        <v/>
      </c>
      <c r="F914" s="22" t="str">
        <f>IF(OR(E914="",E914="!!!"),"",IF(NOT(ISNA(VLOOKUP(E914,E$1:E913,1,FALSE()))),"OLD",IF(AND(E914&lt;&gt;"",E914&lt;&gt;"!!!"),"NEW","")))</f>
        <v> </v>
      </c>
      <c r="G914" s="23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4" t="str">
        <f>IF(J914&lt;&gt;1,"",IF(I914="SBJ","CB","?"))</f>
        <v> </v>
      </c>
      <c r="I914" s="25" t="str">
        <f>IF(OR(E914="",E914="!!!",F914="NEW"),"",INDEX(B913:B$2,-1+SUMPRODUCT(MAX(ROW(E913:E$2)*(E914=E913:E$2)))))</f>
        <v> </v>
      </c>
      <c r="J914" s="25" t="str">
        <f>IF(OR(E914="",E914="!!!",F914="NEW"),"",COUNTBLANK(OFFSET(A$1,,,SUMPRODUCT(MAX(ROW(E$2:E914)*(E914=E$2:E914)))))-COUNTBLANK(OFFSET(A$1,,,SUMPRODUCT(MAX(ROW(E$1:E913)*(E2=E$1:E913))))))</f>
        <v> </v>
      </c>
      <c r="K914" s="25" t="str">
        <f>IF(OR(E914="",E914="!!!",F914="NEW"),"",INDEX(J$1:J913,SUMPRODUCT(MAX(ROW(E$1:E913)*(E914=E$1:E913)))))</f>
        <v> </v>
      </c>
      <c r="L914" s="26"/>
    </row>
    <row r="915" spans="1:12">
      <c r="A915" s="20" t="s">
        <v>219</v>
      </c>
      <c r="E915" s="21">
        <f>IF(D915="?OLD","!!!","")</f>
        <v/>
      </c>
      <c r="F915" s="22" t="str">
        <f>IF(OR(E915="",E915="!!!"),"",IF(NOT(ISNA(VLOOKUP(E915,E$1:E914,1,FALSE()))),"OLD",IF(AND(E915&lt;&gt;"",E915&lt;&gt;"!!!"),"NEW","")))</f>
        <v> </v>
      </c>
      <c r="G915" s="23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4" t="str">
        <f>IF(J915&lt;&gt;1,"",IF(I915="SBJ","CB","?"))</f>
        <v> </v>
      </c>
      <c r="I915" s="25" t="str">
        <f>IF(OR(E915="",E915="!!!",F915="NEW"),"",INDEX(B914:B$2,-1+SUMPRODUCT(MAX(ROW(E914:E$2)*(E915=E914:E$2)))))</f>
        <v> </v>
      </c>
      <c r="J915" s="25" t="str">
        <f>IF(OR(E915="",E915="!!!",F915="NEW"),"",COUNTBLANK(OFFSET(A$1,,,SUMPRODUCT(MAX(ROW(E$2:E915)*(E915=E$2:E915)))))-COUNTBLANK(OFFSET(A$1,,,SUMPRODUCT(MAX(ROW(E$1:E914)*(E2=E$1:E914))))))</f>
        <v> </v>
      </c>
      <c r="K915" s="25" t="str">
        <f>IF(OR(E915="",E915="!!!",F915="NEW"),"",INDEX(J$1:J914,SUMPRODUCT(MAX(ROW(E$1:E914)*(E915=E$1:E914)))))</f>
        <v> </v>
      </c>
      <c r="L915" s="26"/>
    </row>
    <row r="916" spans="1:12">
      <c r="A916" s="20"/>
    </row>
    <row r="917" spans="1:12">
      <c r="A917" s="20" t="s">
        <v>592</v>
      </c>
    </row>
    <row r="918" spans="1:12">
      <c r="A918" s="20" t="s">
        <v>338</v>
      </c>
      <c r="B918" s="27" t="s">
        <v>192</v>
      </c>
      <c r="C918" s="27" t="s">
        <v>244</v>
      </c>
      <c r="D918" s="27" t="s">
        <v>194</v>
      </c>
      <c r="E918" s="21">
        <f>IF(D918="?OLD","!!!","")</f>
        <v/>
      </c>
      <c r="F918" s="22" t="str">
        <f>IF(OR(E918="",E918="!!!"),"",IF(NOT(ISNA(VLOOKUP(E918,E$1:E917,1,FALSE()))),"OLD",IF(AND(E918&lt;&gt;"",E918&lt;&gt;"!!!"),"NEW","")))</f>
        <v> </v>
      </c>
      <c r="G918" s="23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4" t="str">
        <f>IF(J918&lt;&gt;1,"",IF(I918="SBJ","CB","?"))</f>
        <v> </v>
      </c>
      <c r="I918" s="25" t="str">
        <f>IF(OR(E918="",E918="!!!",F918="NEW"),"",INDEX(B917:B$2,-1+SUMPRODUCT(MAX(ROW(E917:E$2)*(E918=E917:E$2)))))</f>
        <v> </v>
      </c>
      <c r="J918" s="25" t="str">
        <f>IF(OR(E918="",E918="!!!",F918="NEW"),"",COUNTBLANK(OFFSET(A$1,,,SUMPRODUCT(MAX(ROW(E$2:E918)*(E918=E$2:E918)))))-COUNTBLANK(OFFSET(A$1,,,SUMPRODUCT(MAX(ROW(E$1:E917)*(E2=E$1:E917))))))</f>
        <v> </v>
      </c>
      <c r="K918" s="25" t="str">
        <f>IF(OR(E918="",E918="!!!",F918="NEW"),"",INDEX(J$1:J917,SUMPRODUCT(MAX(ROW(E$1:E917)*(E918=E$1:E917)))))</f>
        <v> </v>
      </c>
      <c r="L918" s="26"/>
    </row>
    <row r="919" spans="1:12">
      <c r="A919" s="20" t="s">
        <v>494</v>
      </c>
      <c r="E919" s="21">
        <f>IF(D919="?OLD","!!!","")</f>
        <v/>
      </c>
      <c r="F919" s="22" t="str">
        <f>IF(OR(E919="",E919="!!!"),"",IF(NOT(ISNA(VLOOKUP(E919,E$1:E918,1,FALSE()))),"OLD",IF(AND(E919&lt;&gt;"",E919&lt;&gt;"!!!"),"NEW","")))</f>
        <v> </v>
      </c>
      <c r="G919" s="23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4" t="str">
        <f>IF(J919&lt;&gt;1,"",IF(I919="SBJ","CB","?"))</f>
        <v> </v>
      </c>
      <c r="I919" s="25" t="str">
        <f>IF(OR(E919="",E919="!!!",F919="NEW"),"",INDEX(B918:B$2,-1+SUMPRODUCT(MAX(ROW(E918:E$2)*(E919=E918:E$2)))))</f>
        <v> </v>
      </c>
      <c r="J919" s="25" t="str">
        <f>IF(OR(E919="",E919="!!!",F919="NEW"),"",COUNTBLANK(OFFSET(A$1,,,SUMPRODUCT(MAX(ROW(E$2:E919)*(E919=E$2:E919)))))-COUNTBLANK(OFFSET(A$1,,,SUMPRODUCT(MAX(ROW(E$1:E918)*(E2=E$1:E918))))))</f>
        <v> </v>
      </c>
      <c r="K919" s="25" t="str">
        <f>IF(OR(E919="",E919="!!!",F919="NEW"),"",INDEX(J$1:J918,SUMPRODUCT(MAX(ROW(E$1:E918)*(E919=E$1:E918)))))</f>
        <v> </v>
      </c>
      <c r="L919" s="26"/>
    </row>
    <row r="920" spans="1:12">
      <c r="A920" s="20" t="s">
        <v>232</v>
      </c>
      <c r="E920" s="21">
        <f>IF(D920="?OLD","!!!","")</f>
        <v/>
      </c>
      <c r="F920" s="22" t="str">
        <f>IF(OR(E920="",E920="!!!"),"",IF(NOT(ISNA(VLOOKUP(E920,E$1:E919,1,FALSE()))),"OLD",IF(AND(E920&lt;&gt;"",E920&lt;&gt;"!!!"),"NEW","")))</f>
        <v> </v>
      </c>
      <c r="G920" s="23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4" t="str">
        <f>IF(J920&lt;&gt;1,"",IF(I920="SBJ","CB","?"))</f>
        <v> </v>
      </c>
      <c r="I920" s="25" t="str">
        <f>IF(OR(E920="",E920="!!!",F920="NEW"),"",INDEX(B919:B$2,-1+SUMPRODUCT(MAX(ROW(E919:E$2)*(E920=E919:E$2)))))</f>
        <v> </v>
      </c>
      <c r="J920" s="25" t="str">
        <f>IF(OR(E920="",E920="!!!",F920="NEW"),"",COUNTBLANK(OFFSET(A$1,,,SUMPRODUCT(MAX(ROW(E$2:E920)*(E920=E$2:E920)))))-COUNTBLANK(OFFSET(A$1,,,SUMPRODUCT(MAX(ROW(E$1:E919)*(E2=E$1:E919))))))</f>
        <v> </v>
      </c>
      <c r="K920" s="25" t="str">
        <f>IF(OR(E920="",E920="!!!",F920="NEW"),"",INDEX(J$1:J919,SUMPRODUCT(MAX(ROW(E$1:E919)*(E920=E$1:E919)))))</f>
        <v> </v>
      </c>
      <c r="L920" s="26"/>
    </row>
    <row r="921" spans="1:12">
      <c r="A921" s="20" t="s">
        <v>247</v>
      </c>
      <c r="B921" s="27" t="s">
        <v>252</v>
      </c>
      <c r="C921" s="27" t="s">
        <v>589</v>
      </c>
      <c r="D921" s="27" t="s">
        <v>194</v>
      </c>
      <c r="E921" s="21">
        <f>IF(D921="?OLD","!!!","")</f>
        <v/>
      </c>
      <c r="F921" s="22" t="str">
        <f>IF(OR(E921="",E921="!!!"),"",IF(NOT(ISNA(VLOOKUP(E921,E$1:E920,1,FALSE()))),"OLD",IF(AND(E921&lt;&gt;"",E921&lt;&gt;"!!!"),"NEW","")))</f>
        <v> </v>
      </c>
      <c r="G921" s="23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4" t="str">
        <f>IF(J921&lt;&gt;1,"",IF(I921="SBJ","CB","?"))</f>
        <v> </v>
      </c>
      <c r="I921" s="25" t="str">
        <f>IF(OR(E921="",E921="!!!",F921="NEW"),"",INDEX(B920:B$2,-1+SUMPRODUCT(MAX(ROW(E920:E$2)*(E921=E920:E$2)))))</f>
        <v> </v>
      </c>
      <c r="J921" s="25" t="str">
        <f>IF(OR(E921="",E921="!!!",F921="NEW"),"",COUNTBLANK(OFFSET(A$1,,,SUMPRODUCT(MAX(ROW(E$2:E921)*(E921=E$2:E921)))))-COUNTBLANK(OFFSET(A$1,,,SUMPRODUCT(MAX(ROW(E$1:E920)*(E2=E$1:E920))))))</f>
        <v> </v>
      </c>
      <c r="K921" s="25" t="str">
        <f>IF(OR(E921="",E921="!!!",F921="NEW"),"",INDEX(J$1:J920,SUMPRODUCT(MAX(ROW(E$1:E920)*(E921=E$1:E920)))))</f>
        <v> </v>
      </c>
      <c r="L921" s="26"/>
    </row>
    <row r="922" spans="1:12">
      <c r="A922" s="20" t="s">
        <v>568</v>
      </c>
      <c r="E922" s="21">
        <f>IF(D922="?OLD","!!!","")</f>
        <v/>
      </c>
      <c r="F922" s="22" t="str">
        <f>IF(OR(E922="",E922="!!!"),"",IF(NOT(ISNA(VLOOKUP(E922,E$1:E921,1,FALSE()))),"OLD",IF(AND(E922&lt;&gt;"",E922&lt;&gt;"!!!"),"NEW","")))</f>
        <v> </v>
      </c>
      <c r="G922" s="23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4" t="str">
        <f>IF(J922&lt;&gt;1,"",IF(I922="SBJ","CB","?"))</f>
        <v> </v>
      </c>
      <c r="I922" s="25" t="str">
        <f>IF(OR(E922="",E922="!!!",F922="NEW"),"",INDEX(B921:B$2,-1+SUMPRODUCT(MAX(ROW(E921:E$2)*(E922=E921:E$2)))))</f>
        <v> </v>
      </c>
      <c r="J922" s="25" t="str">
        <f>IF(OR(E922="",E922="!!!",F922="NEW"),"",COUNTBLANK(OFFSET(A$1,,,SUMPRODUCT(MAX(ROW(E$2:E922)*(E922=E$2:E922)))))-COUNTBLANK(OFFSET(A$1,,,SUMPRODUCT(MAX(ROW(E$1:E921)*(E2=E$1:E921))))))</f>
        <v> </v>
      </c>
      <c r="K922" s="25" t="str">
        <f>IF(OR(E922="",E922="!!!",F922="NEW"),"",INDEX(J$1:J921,SUMPRODUCT(MAX(ROW(E$1:E921)*(E922=E$1:E921)))))</f>
        <v> </v>
      </c>
      <c r="L922" s="26"/>
    </row>
    <row r="923" spans="1:12">
      <c r="A923" s="20" t="s">
        <v>211</v>
      </c>
      <c r="E923" s="21">
        <f>IF(D923="?OLD","!!!","")</f>
        <v/>
      </c>
      <c r="F923" s="22" t="str">
        <f>IF(OR(E923="",E923="!!!"),"",IF(NOT(ISNA(VLOOKUP(E923,E$1:E922,1,FALSE()))),"OLD",IF(AND(E923&lt;&gt;"",E923&lt;&gt;"!!!"),"NEW","")))</f>
        <v> </v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4" t="str">
        <f>IF(J923&lt;&gt;1,"",IF(I923="SBJ","CB","?"))</f>
        <v> </v>
      </c>
      <c r="I923" s="25" t="str">
        <f>IF(OR(E923="",E923="!!!",F923="NEW"),"",INDEX(B922:B$2,-1+SUMPRODUCT(MAX(ROW(E922:E$2)*(E923=E922:E$2)))))</f>
        <v> </v>
      </c>
      <c r="J923" s="25" t="str">
        <f>IF(OR(E923="",E923="!!!",F923="NEW"),"",COUNTBLANK(OFFSET(A$1,,,SUMPRODUCT(MAX(ROW(E$2:E923)*(E923=E$2:E923)))))-COUNTBLANK(OFFSET(A$1,,,SUMPRODUCT(MAX(ROW(E$1:E922)*(E2=E$1:E922))))))</f>
        <v> </v>
      </c>
      <c r="K923" s="25" t="str">
        <f>IF(OR(E923="",E923="!!!",F923="NEW"),"",INDEX(J$1:J922,SUMPRODUCT(MAX(ROW(E$1:E922)*(E923=E$1:E922)))))</f>
        <v> </v>
      </c>
      <c r="L923" s="26"/>
    </row>
    <row r="924" spans="1:12">
      <c r="A924" s="20" t="s">
        <v>593</v>
      </c>
      <c r="B924" s="27" t="s">
        <v>188</v>
      </c>
      <c r="C924" s="27" t="s">
        <v>193</v>
      </c>
      <c r="D924" s="27" t="s">
        <v>194</v>
      </c>
      <c r="E924" s="21">
        <f>IF(D924="?OLD","!!!","")</f>
        <v/>
      </c>
      <c r="F924" s="22" t="str">
        <f>IF(OR(E924="",E924="!!!"),"",IF(NOT(ISNA(VLOOKUP(E924,E$1:E923,1,FALSE()))),"OLD",IF(AND(E924&lt;&gt;"",E924&lt;&gt;"!!!"),"NEW","")))</f>
        <v> </v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4" t="str">
        <f>IF(J924&lt;&gt;1,"",IF(I924="SBJ","CB","?"))</f>
        <v> </v>
      </c>
      <c r="I924" s="25" t="str">
        <f>IF(OR(E924="",E924="!!!",F924="NEW"),"",INDEX(B923:B$2,-1+SUMPRODUCT(MAX(ROW(E923:E$2)*(E924=E923:E$2)))))</f>
        <v> </v>
      </c>
      <c r="J924" s="25" t="str">
        <f>IF(OR(E924="",E924="!!!",F924="NEW"),"",COUNTBLANK(OFFSET(A$1,,,SUMPRODUCT(MAX(ROW(E$2:E924)*(E924=E$2:E924)))))-COUNTBLANK(OFFSET(A$1,,,SUMPRODUCT(MAX(ROW(E$1:E923)*(E2=E$1:E923))))))</f>
        <v> </v>
      </c>
      <c r="K924" s="25" t="str">
        <f>IF(OR(E924="",E924="!!!",F924="NEW"),"",INDEX(J$1:J923,SUMPRODUCT(MAX(ROW(E$1:E923)*(E924=E$1:E923)))))</f>
        <v> </v>
      </c>
      <c r="L924" s="26"/>
    </row>
    <row r="925" spans="1:12">
      <c r="A925" s="20" t="s">
        <v>195</v>
      </c>
      <c r="E925" s="21">
        <f>IF(D925="?OLD","!!!","")</f>
        <v/>
      </c>
      <c r="F925" s="22" t="str">
        <f>IF(OR(E925="",E925="!!!"),"",IF(NOT(ISNA(VLOOKUP(E925,E$1:E924,1,FALSE()))),"OLD",IF(AND(E925&lt;&gt;"",E925&lt;&gt;"!!!"),"NEW","")))</f>
        <v> </v>
      </c>
      <c r="G925" s="23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4" t="str">
        <f>IF(J925&lt;&gt;1,"",IF(I925="SBJ","CB","?"))</f>
        <v> </v>
      </c>
      <c r="I925" s="25" t="str">
        <f>IF(OR(E925="",E925="!!!",F925="NEW"),"",INDEX(B924:B$2,-1+SUMPRODUCT(MAX(ROW(E924:E$2)*(E925=E924:E$2)))))</f>
        <v> </v>
      </c>
      <c r="J925" s="25" t="str">
        <f>IF(OR(E925="",E925="!!!",F925="NEW"),"",COUNTBLANK(OFFSET(A$1,,,SUMPRODUCT(MAX(ROW(E$2:E925)*(E925=E$2:E925)))))-COUNTBLANK(OFFSET(A$1,,,SUMPRODUCT(MAX(ROW(E$1:E924)*(E2=E$1:E924))))))</f>
        <v> </v>
      </c>
      <c r="K925" s="25" t="str">
        <f>IF(OR(E925="",E925="!!!",F925="NEW"),"",INDEX(J$1:J924,SUMPRODUCT(MAX(ROW(E$1:E924)*(E925=E$1:E924)))))</f>
        <v> </v>
      </c>
      <c r="L925" s="26"/>
    </row>
    <row r="926" spans="1:12">
      <c r="A926" s="20" t="s">
        <v>211</v>
      </c>
      <c r="E926" s="21">
        <f>IF(D926="?OLD","!!!","")</f>
        <v/>
      </c>
      <c r="F926" s="22" t="str">
        <f>IF(OR(E926="",E926="!!!"),"",IF(NOT(ISNA(VLOOKUP(E926,E$1:E925,1,FALSE()))),"OLD",IF(AND(E926&lt;&gt;"",E926&lt;&gt;"!!!"),"NEW","")))</f>
        <v> </v>
      </c>
      <c r="G926" s="23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24" t="str">
        <f>IF(J926&lt;&gt;1,"",IF(I926="SBJ","CB","?"))</f>
        <v> </v>
      </c>
      <c r="I926" s="25" t="str">
        <f>IF(OR(E926="",E926="!!!",F926="NEW"),"",INDEX(B925:B$2,-1+SUMPRODUCT(MAX(ROW(E925:E$2)*(E926=E925:E$2)))))</f>
        <v> </v>
      </c>
      <c r="J926" s="25" t="str">
        <f>IF(OR(E926="",E926="!!!",F926="NEW"),"",COUNTBLANK(OFFSET(A$1,,,SUMPRODUCT(MAX(ROW(E$2:E926)*(E926=E$2:E926)))))-COUNTBLANK(OFFSET(A$1,,,SUMPRODUCT(MAX(ROW(E$1:E925)*(E2=E$1:E925))))))</f>
        <v> </v>
      </c>
      <c r="K926" s="25" t="str">
        <f>IF(OR(E926="",E926="!!!",F926="NEW"),"",INDEX(J$1:J925,SUMPRODUCT(MAX(ROW(E$1:E925)*(E926=E$1:E925)))))</f>
        <v> </v>
      </c>
      <c r="L926" s="26"/>
    </row>
    <row r="927" spans="1:12">
      <c r="A927" s="20" t="s">
        <v>594</v>
      </c>
      <c r="B927" s="27" t="s">
        <v>197</v>
      </c>
      <c r="C927" s="27" t="s">
        <v>223</v>
      </c>
      <c r="D927" s="27" t="s">
        <v>194</v>
      </c>
      <c r="E927" s="21">
        <f>IF(D927="?OLD","!!!","")</f>
        <v/>
      </c>
      <c r="F927" s="22" t="str">
        <f>IF(OR(E927="",E927="!!!"),"",IF(NOT(ISNA(VLOOKUP(E927,E$1:E926,1,FALSE()))),"OLD",IF(AND(E927&lt;&gt;"",E927&lt;&gt;"!!!"),"NEW","")))</f>
        <v> </v>
      </c>
      <c r="G927" s="23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4" t="str">
        <f>IF(J927&lt;&gt;1,"",IF(I927="SBJ","CB","?"))</f>
        <v> </v>
      </c>
      <c r="I927" s="25" t="str">
        <f>IF(OR(E927="",E927="!!!",F927="NEW"),"",INDEX(B926:B$2,-1+SUMPRODUCT(MAX(ROW(E926:E$2)*(E927=E926:E$2)))))</f>
        <v> </v>
      </c>
      <c r="J927" s="25" t="str">
        <f>IF(OR(E927="",E927="!!!",F927="NEW"),"",COUNTBLANK(OFFSET(A$1,,,SUMPRODUCT(MAX(ROW(E$2:E927)*(E927=E$2:E927)))))-COUNTBLANK(OFFSET(A$1,,,SUMPRODUCT(MAX(ROW(E$1:E926)*(E2=E$1:E926))))))</f>
        <v> </v>
      </c>
      <c r="K927" s="25" t="str">
        <f>IF(OR(E927="",E927="!!!",F927="NEW"),"",INDEX(J$1:J926,SUMPRODUCT(MAX(ROW(E$1:E926)*(E927=E$1:E926)))))</f>
        <v> </v>
      </c>
      <c r="L927" s="26"/>
    </row>
    <row r="928" spans="1:12">
      <c r="A928" s="20" t="s">
        <v>219</v>
      </c>
      <c r="E928" s="21">
        <f>IF(D928="?OLD","!!!","")</f>
        <v/>
      </c>
      <c r="F928" s="22" t="str">
        <f>IF(OR(E928="",E928="!!!"),"",IF(NOT(ISNA(VLOOKUP(E928,E$1:E927,1,FALSE()))),"OLD",IF(AND(E928&lt;&gt;"",E928&lt;&gt;"!!!"),"NEW","")))</f>
        <v> </v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4" t="str">
        <f>IF(J928&lt;&gt;1,"",IF(I928="SBJ","CB","?"))</f>
        <v> </v>
      </c>
      <c r="I928" s="25" t="str">
        <f>IF(OR(E928="",E928="!!!",F928="NEW"),"",INDEX(B927:B$2,-1+SUMPRODUCT(MAX(ROW(E927:E$2)*(E928=E927:E$2)))))</f>
        <v> </v>
      </c>
      <c r="J928" s="25" t="str">
        <f>IF(OR(E928="",E928="!!!",F928="NEW"),"",COUNTBLANK(OFFSET(A$1,,,SUMPRODUCT(MAX(ROW(E$2:E928)*(E928=E$2:E928)))))-COUNTBLANK(OFFSET(A$1,,,SUMPRODUCT(MAX(ROW(E$1:E927)*(E2=E$1:E927))))))</f>
        <v> </v>
      </c>
      <c r="K928" s="25" t="str">
        <f>IF(OR(E928="",E928="!!!",F928="NEW"),"",INDEX(J$1:J927,SUMPRODUCT(MAX(ROW(E$1:E927)*(E928=E$1:E927)))))</f>
        <v> </v>
      </c>
      <c r="L928" s="26"/>
    </row>
    <row r="929" spans="1:12">
      <c r="A929" s="20"/>
    </row>
    <row r="930" spans="1:12">
      <c r="A930" s="20" t="s">
        <v>595</v>
      </c>
    </row>
    <row r="931" spans="1:12">
      <c r="A931" s="20" t="s">
        <v>596</v>
      </c>
      <c r="B931" s="27" t="s">
        <v>192</v>
      </c>
      <c r="C931" s="27" t="s">
        <v>589</v>
      </c>
      <c r="D931" s="27" t="s">
        <v>194</v>
      </c>
      <c r="E931" s="21">
        <f>IF(D931="?OLD","!!!","")</f>
        <v/>
      </c>
      <c r="F931" s="22" t="str">
        <f>IF(OR(E931="",E931="!!!"),"",IF(NOT(ISNA(VLOOKUP(E931,E$1:E930,1,FALSE()))),"OLD",IF(AND(E931&lt;&gt;"",E931&lt;&gt;"!!!"),"NEW","")))</f>
        <v> </v>
      </c>
      <c r="G931" s="23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4" t="str">
        <f>IF(J931&lt;&gt;1,"",IF(I931="SBJ","CB","?"))</f>
        <v> </v>
      </c>
      <c r="I931" s="25" t="str">
        <f>IF(OR(E931="",E931="!!!",F931="NEW"),"",INDEX(B930:B$2,-1+SUMPRODUCT(MAX(ROW(E930:E$2)*(E931=E930:E$2)))))</f>
        <v> </v>
      </c>
      <c r="J931" s="25" t="str">
        <f>IF(OR(E931="",E931="!!!",F931="NEW"),"",COUNTBLANK(OFFSET(A$1,,,SUMPRODUCT(MAX(ROW(E$2:E931)*(E931=E$2:E931)))))-COUNTBLANK(OFFSET(A$1,,,SUMPRODUCT(MAX(ROW(E$1:E930)*(E2=E$1:E930))))))</f>
        <v> </v>
      </c>
      <c r="K931" s="25" t="str">
        <f>IF(OR(E931="",E931="!!!",F931="NEW"),"",INDEX(J$1:J930,SUMPRODUCT(MAX(ROW(E$1:E930)*(E931=E$1:E930)))))</f>
        <v> </v>
      </c>
      <c r="L931" s="26"/>
    </row>
    <row r="932" spans="1:12">
      <c r="A932" s="20" t="s">
        <v>568</v>
      </c>
      <c r="E932" s="21">
        <f>IF(D932="?OLD","!!!","")</f>
        <v/>
      </c>
      <c r="F932" s="22" t="str">
        <f>IF(OR(E932="",E932="!!!"),"",IF(NOT(ISNA(VLOOKUP(E932,E$1:E931,1,FALSE()))),"OLD",IF(AND(E932&lt;&gt;"",E932&lt;&gt;"!!!"),"NEW","")))</f>
        <v> </v>
      </c>
      <c r="G932" s="23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24" t="str">
        <f>IF(J932&lt;&gt;1,"",IF(I932="SBJ","CB","?"))</f>
        <v> </v>
      </c>
      <c r="I932" s="25" t="str">
        <f>IF(OR(E932="",E932="!!!",F932="NEW"),"",INDEX(B931:B$2,-1+SUMPRODUCT(MAX(ROW(E931:E$2)*(E932=E931:E$2)))))</f>
        <v> </v>
      </c>
      <c r="J932" s="25" t="str">
        <f>IF(OR(E932="",E932="!!!",F932="NEW"),"",COUNTBLANK(OFFSET(A$1,,,SUMPRODUCT(MAX(ROW(E$2:E932)*(E932=E$2:E932)))))-COUNTBLANK(OFFSET(A$1,,,SUMPRODUCT(MAX(ROW(E$1:E931)*(E2=E$1:E931))))))</f>
        <v> </v>
      </c>
      <c r="K932" s="25" t="str">
        <f>IF(OR(E932="",E932="!!!",F932="NEW"),"",INDEX(J$1:J931,SUMPRODUCT(MAX(ROW(E$1:E931)*(E932=E$1:E931)))))</f>
        <v> </v>
      </c>
      <c r="L932" s="26"/>
    </row>
    <row r="933" spans="1:12">
      <c r="A933" s="20" t="s">
        <v>211</v>
      </c>
      <c r="E933" s="21">
        <f>IF(D933="?OLD","!!!","")</f>
        <v/>
      </c>
      <c r="F933" s="22" t="str">
        <f>IF(OR(E933="",E933="!!!"),"",IF(NOT(ISNA(VLOOKUP(E933,E$1:E932,1,FALSE()))),"OLD",IF(AND(E933&lt;&gt;"",E933&lt;&gt;"!!!"),"NEW","")))</f>
        <v> </v>
      </c>
      <c r="G933" s="23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4" t="str">
        <f>IF(J933&lt;&gt;1,"",IF(I933="SBJ","CB","?"))</f>
        <v> </v>
      </c>
      <c r="I933" s="25" t="str">
        <f>IF(OR(E933="",E933="!!!",F933="NEW"),"",INDEX(B932:B$2,-1+SUMPRODUCT(MAX(ROW(E932:E$2)*(E933=E932:E$2)))))</f>
        <v> </v>
      </c>
      <c r="J933" s="25" t="str">
        <f>IF(OR(E933="",E933="!!!",F933="NEW"),"",COUNTBLANK(OFFSET(A$1,,,SUMPRODUCT(MAX(ROW(E$2:E933)*(E933=E$2:E933)))))-COUNTBLANK(OFFSET(A$1,,,SUMPRODUCT(MAX(ROW(E$1:E932)*(E2=E$1:E932))))))</f>
        <v> </v>
      </c>
      <c r="K933" s="25" t="str">
        <f>IF(OR(E933="",E933="!!!",F933="NEW"),"",INDEX(J$1:J932,SUMPRODUCT(MAX(ROW(E$1:E932)*(E933=E$1:E932)))))</f>
        <v> </v>
      </c>
      <c r="L933" s="26"/>
    </row>
    <row r="934" spans="1:12">
      <c r="A934" s="20" t="s">
        <v>597</v>
      </c>
      <c r="B934" s="27" t="s">
        <v>188</v>
      </c>
      <c r="C934" s="27" t="s">
        <v>223</v>
      </c>
      <c r="D934" s="27" t="s">
        <v>194</v>
      </c>
      <c r="E934" s="21">
        <f>IF(D934="?OLD","!!!","")</f>
        <v/>
      </c>
      <c r="F934" s="22" t="str">
        <f>IF(OR(E934="",E934="!!!"),"",IF(NOT(ISNA(VLOOKUP(E934,E$1:E933,1,FALSE()))),"OLD",IF(AND(E934&lt;&gt;"",E934&lt;&gt;"!!!"),"NEW","")))</f>
        <v> </v>
      </c>
      <c r="G934" s="23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24" t="str">
        <f>IF(J934&lt;&gt;1,"",IF(I934="SBJ","CB","?"))</f>
        <v> </v>
      </c>
      <c r="I934" s="25" t="str">
        <f>IF(OR(E934="",E934="!!!",F934="NEW"),"",INDEX(B933:B$2,-1+SUMPRODUCT(MAX(ROW(E933:E$2)*(E934=E933:E$2)))))</f>
        <v> </v>
      </c>
      <c r="J934" s="25" t="str">
        <f>IF(OR(E934="",E934="!!!",F934="NEW"),"",COUNTBLANK(OFFSET(A$1,,,SUMPRODUCT(MAX(ROW(E$2:E934)*(E934=E$2:E934)))))-COUNTBLANK(OFFSET(A$1,,,SUMPRODUCT(MAX(ROW(E$1:E933)*(E2=E$1:E933))))))</f>
        <v> </v>
      </c>
      <c r="K934" s="25" t="str">
        <f>IF(OR(E934="",E934="!!!",F934="NEW"),"",INDEX(J$1:J933,SUMPRODUCT(MAX(ROW(E$1:E933)*(E934=E$1:E933)))))</f>
        <v> </v>
      </c>
      <c r="L934" s="26"/>
    </row>
    <row r="935" spans="1:12">
      <c r="A935" s="20" t="s">
        <v>207</v>
      </c>
      <c r="E935" s="21">
        <f>IF(D935="?OLD","!!!","")</f>
        <v/>
      </c>
      <c r="F935" s="22" t="str">
        <f>IF(OR(E935="",E935="!!!"),"",IF(NOT(ISNA(VLOOKUP(E935,E$1:E934,1,FALSE()))),"OLD",IF(AND(E935&lt;&gt;"",E935&lt;&gt;"!!!"),"NEW","")))</f>
        <v> </v>
      </c>
      <c r="G935" s="23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4" t="str">
        <f>IF(J935&lt;&gt;1,"",IF(I935="SBJ","CB","?"))</f>
        <v> </v>
      </c>
      <c r="I935" s="25" t="str">
        <f>IF(OR(E935="",E935="!!!",F935="NEW"),"",INDEX(B934:B$2,-1+SUMPRODUCT(MAX(ROW(E934:E$2)*(E935=E934:E$2)))))</f>
        <v> </v>
      </c>
      <c r="J935" s="25" t="str">
        <f>IF(OR(E935="",E935="!!!",F935="NEW"),"",COUNTBLANK(OFFSET(A$1,,,SUMPRODUCT(MAX(ROW(E$2:E935)*(E935=E$2:E935)))))-COUNTBLANK(OFFSET(A$1,,,SUMPRODUCT(MAX(ROW(E$1:E934)*(E2=E$1:E934))))))</f>
        <v> </v>
      </c>
      <c r="K935" s="25" t="str">
        <f>IF(OR(E935="",E935="!!!",F935="NEW"),"",INDEX(J$1:J934,SUMPRODUCT(MAX(ROW(E$1:E934)*(E935=E$1:E934)))))</f>
        <v> </v>
      </c>
      <c r="L935" s="26"/>
    </row>
    <row r="936" spans="1:12">
      <c r="A936" s="20" t="s">
        <v>211</v>
      </c>
      <c r="E936" s="21">
        <f>IF(D936="?OLD","!!!","")</f>
        <v/>
      </c>
      <c r="F936" s="22" t="str">
        <f>IF(OR(E936="",E936="!!!"),"",IF(NOT(ISNA(VLOOKUP(E936,E$1:E935,1,FALSE()))),"OLD",IF(AND(E936&lt;&gt;"",E936&lt;&gt;"!!!"),"NEW","")))</f>
        <v> </v>
      </c>
      <c r="G936" s="23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4" t="str">
        <f>IF(J936&lt;&gt;1,"",IF(I936="SBJ","CB","?"))</f>
        <v> </v>
      </c>
      <c r="I936" s="25" t="str">
        <f>IF(OR(E936="",E936="!!!",F936="NEW"),"",INDEX(B935:B$2,-1+SUMPRODUCT(MAX(ROW(E935:E$2)*(E936=E935:E$2)))))</f>
        <v> </v>
      </c>
      <c r="J936" s="25" t="str">
        <f>IF(OR(E936="",E936="!!!",F936="NEW"),"",COUNTBLANK(OFFSET(A$1,,,SUMPRODUCT(MAX(ROW(E$2:E936)*(E936=E$2:E936)))))-COUNTBLANK(OFFSET(A$1,,,SUMPRODUCT(MAX(ROW(E$1:E935)*(E2=E$1:E935))))))</f>
        <v> </v>
      </c>
      <c r="K936" s="25" t="str">
        <f>IF(OR(E936="",E936="!!!",F936="NEW"),"",INDEX(J$1:J935,SUMPRODUCT(MAX(ROW(E$1:E935)*(E936=E$1:E935)))))</f>
        <v> </v>
      </c>
      <c r="L936" s="26"/>
    </row>
    <row r="937" spans="1:12">
      <c r="A937" s="20" t="s">
        <v>507</v>
      </c>
      <c r="E937" s="21">
        <f>IF(D937="?OLD","!!!","")</f>
        <v/>
      </c>
      <c r="F937" s="22" t="str">
        <f>IF(OR(E937="",E937="!!!"),"",IF(NOT(ISNA(VLOOKUP(E937,E$1:E936,1,FALSE()))),"OLD",IF(AND(E937&lt;&gt;"",E937&lt;&gt;"!!!"),"NEW","")))</f>
        <v> </v>
      </c>
      <c r="G937" s="23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4" t="str">
        <f>IF(J937&lt;&gt;1,"",IF(I937="SBJ","CB","?"))</f>
        <v> </v>
      </c>
      <c r="I937" s="25" t="str">
        <f>IF(OR(E937="",E937="!!!",F937="NEW"),"",INDEX(B936:B$2,-1+SUMPRODUCT(MAX(ROW(E936:E$2)*(E937=E936:E$2)))))</f>
        <v> </v>
      </c>
      <c r="J937" s="25" t="str">
        <f>IF(OR(E937="",E937="!!!",F937="NEW"),"",COUNTBLANK(OFFSET(A$1,,,SUMPRODUCT(MAX(ROW(E$2:E937)*(E937=E$2:E937)))))-COUNTBLANK(OFFSET(A$1,,,SUMPRODUCT(MAX(ROW(E$1:E936)*(E2=E$1:E936))))))</f>
        <v> </v>
      </c>
      <c r="K937" s="25" t="str">
        <f>IF(OR(E937="",E937="!!!",F937="NEW"),"",INDEX(J$1:J936,SUMPRODUCT(MAX(ROW(E$1:E936)*(E937=E$1:E936)))))</f>
        <v> </v>
      </c>
      <c r="L937" s="26"/>
    </row>
    <row r="938" spans="1:12">
      <c r="A938" s="20" t="s">
        <v>598</v>
      </c>
      <c r="E938" s="21">
        <f>IF(D938="?OLD","!!!","")</f>
        <v/>
      </c>
      <c r="F938" s="22" t="str">
        <f>IF(OR(E938="",E938="!!!"),"",IF(NOT(ISNA(VLOOKUP(E938,E$1:E937,1,FALSE()))),"OLD",IF(AND(E938&lt;&gt;"",E938&lt;&gt;"!!!"),"NEW","")))</f>
        <v> </v>
      </c>
      <c r="G938" s="23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4" t="str">
        <f>IF(J938&lt;&gt;1,"",IF(I938="SBJ","CB","?"))</f>
        <v> </v>
      </c>
      <c r="I938" s="25" t="str">
        <f>IF(OR(E938="",E938="!!!",F938="NEW"),"",INDEX(B937:B$2,-1+SUMPRODUCT(MAX(ROW(E937:E$2)*(E938=E937:E$2)))))</f>
        <v> </v>
      </c>
      <c r="J938" s="25" t="str">
        <f>IF(OR(E938="",E938="!!!",F938="NEW"),"",COUNTBLANK(OFFSET(A$1,,,SUMPRODUCT(MAX(ROW(E$2:E938)*(E938=E$2:E938)))))-COUNTBLANK(OFFSET(A$1,,,SUMPRODUCT(MAX(ROW(E$1:E937)*(E2=E$1:E937))))))</f>
        <v> </v>
      </c>
      <c r="K938" s="25" t="str">
        <f>IF(OR(E938="",E938="!!!",F938="NEW"),"",INDEX(J$1:J937,SUMPRODUCT(MAX(ROW(E$1:E937)*(E938=E$1:E937)))))</f>
        <v> </v>
      </c>
      <c r="L938" s="26"/>
    </row>
    <row r="939" spans="1:12">
      <c r="A939" s="20" t="s">
        <v>211</v>
      </c>
      <c r="E939" s="21">
        <f>IF(D939="?OLD","!!!","")</f>
        <v/>
      </c>
      <c r="F939" s="22" t="str">
        <f>IF(OR(E939="",E939="!!!"),"",IF(NOT(ISNA(VLOOKUP(E939,E$1:E938,1,FALSE()))),"OLD",IF(AND(E939&lt;&gt;"",E939&lt;&gt;"!!!"),"NEW","")))</f>
        <v> </v>
      </c>
      <c r="G939" s="23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4" t="str">
        <f>IF(J939&lt;&gt;1,"",IF(I939="SBJ","CB","?"))</f>
        <v> </v>
      </c>
      <c r="I939" s="25" t="str">
        <f>IF(OR(E939="",E939="!!!",F939="NEW"),"",INDEX(B938:B$2,-1+SUMPRODUCT(MAX(ROW(E938:E$2)*(E939=E938:E$2)))))</f>
        <v> </v>
      </c>
      <c r="J939" s="25" t="str">
        <f>IF(OR(E939="",E939="!!!",F939="NEW"),"",COUNTBLANK(OFFSET(A$1,,,SUMPRODUCT(MAX(ROW(E$2:E939)*(E939=E$2:E939)))))-COUNTBLANK(OFFSET(A$1,,,SUMPRODUCT(MAX(ROW(E$1:E938)*(E2=E$1:E938))))))</f>
        <v> </v>
      </c>
      <c r="K939" s="25" t="str">
        <f>IF(OR(E939="",E939="!!!",F939="NEW"),"",INDEX(J$1:J938,SUMPRODUCT(MAX(ROW(E$1:E938)*(E939=E$1:E938)))))</f>
        <v> </v>
      </c>
      <c r="L939" s="26"/>
    </row>
    <row r="940" spans="1:12">
      <c r="A940" s="20" t="s">
        <v>172</v>
      </c>
      <c r="B940" s="27" t="s">
        <v>216</v>
      </c>
      <c r="C940" s="27" t="s">
        <v>223</v>
      </c>
      <c r="D940" s="27" t="s">
        <v>194</v>
      </c>
      <c r="E940" s="21">
        <f>IF(D940="?OLD","!!!","")</f>
        <v/>
      </c>
      <c r="F940" s="22" t="str">
        <f>IF(OR(E940="",E940="!!!"),"",IF(NOT(ISNA(VLOOKUP(E940,E$1:E939,1,FALSE()))),"OLD",IF(AND(E940&lt;&gt;"",E940&lt;&gt;"!!!"),"NEW","")))</f>
        <v> </v>
      </c>
      <c r="G940" s="23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4" t="str">
        <f>IF(J940&lt;&gt;1,"",IF(I940="SBJ","CB","?"))</f>
        <v> </v>
      </c>
      <c r="I940" s="25" t="str">
        <f>IF(OR(E940="",E940="!!!",F940="NEW"),"",INDEX(B939:B$2,-1+SUMPRODUCT(MAX(ROW(E939:E$2)*(E940=E939:E$2)))))</f>
        <v> </v>
      </c>
      <c r="J940" s="25" t="str">
        <f>IF(OR(E940="",E940="!!!",F940="NEW"),"",COUNTBLANK(OFFSET(A$1,,,SUMPRODUCT(MAX(ROW(E$2:E940)*(E940=E$2:E940)))))-COUNTBLANK(OFFSET(A$1,,,SUMPRODUCT(MAX(ROW(E$1:E939)*(E2=E$1:E939))))))</f>
        <v> </v>
      </c>
      <c r="K940" s="25" t="str">
        <f>IF(OR(E940="",E940="!!!",F940="NEW"),"",INDEX(J$1:J939,SUMPRODUCT(MAX(ROW(E$1:E939)*(E940=E$1:E939)))))</f>
        <v> </v>
      </c>
      <c r="L940" s="26"/>
    </row>
    <row r="941" spans="1:12">
      <c r="A941" s="20" t="s">
        <v>205</v>
      </c>
      <c r="E941" s="21">
        <f>IF(D941="?OLD","!!!","")</f>
        <v/>
      </c>
      <c r="F941" s="22" t="str">
        <f>IF(OR(E941="",E941="!!!"),"",IF(NOT(ISNA(VLOOKUP(E941,E$1:E940,1,FALSE()))),"OLD",IF(AND(E941&lt;&gt;"",E941&lt;&gt;"!!!"),"NEW","")))</f>
        <v> </v>
      </c>
      <c r="G941" s="23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4" t="str">
        <f>IF(J941&lt;&gt;1,"",IF(I941="SBJ","CB","?"))</f>
        <v> </v>
      </c>
      <c r="I941" s="25" t="str">
        <f>IF(OR(E941="",E941="!!!",F941="NEW"),"",INDEX(B940:B$2,-1+SUMPRODUCT(MAX(ROW(E940:E$2)*(E941=E940:E$2)))))</f>
        <v> </v>
      </c>
      <c r="J941" s="25" t="str">
        <f>IF(OR(E941="",E941="!!!",F941="NEW"),"",COUNTBLANK(OFFSET(A$1,,,SUMPRODUCT(MAX(ROW(E$2:E941)*(E941=E$2:E941)))))-COUNTBLANK(OFFSET(A$1,,,SUMPRODUCT(MAX(ROW(E$1:E940)*(E2=E$1:E940))))))</f>
        <v> </v>
      </c>
      <c r="K941" s="25" t="str">
        <f>IF(OR(E941="",E941="!!!",F941="NEW"),"",INDEX(J$1:J940,SUMPRODUCT(MAX(ROW(E$1:E940)*(E941=E$1:E940)))))</f>
        <v> </v>
      </c>
      <c r="L941" s="26"/>
    </row>
    <row r="942" spans="1:12">
      <c r="A942" s="20" t="s">
        <v>310</v>
      </c>
      <c r="E942" s="21">
        <f>IF(D942="?OLD","!!!","")</f>
        <v/>
      </c>
      <c r="F942" s="22" t="str">
        <f>IF(OR(E942="",E942="!!!"),"",IF(NOT(ISNA(VLOOKUP(E942,E$1:E941,1,FALSE()))),"OLD",IF(AND(E942&lt;&gt;"",E942&lt;&gt;"!!!"),"NEW","")))</f>
        <v> </v>
      </c>
      <c r="G942" s="23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4" t="str">
        <f>IF(J942&lt;&gt;1,"",IF(I942="SBJ","CB","?"))</f>
        <v> </v>
      </c>
      <c r="I942" s="25" t="str">
        <f>IF(OR(E942="",E942="!!!",F942="NEW"),"",INDEX(B941:B$2,-1+SUMPRODUCT(MAX(ROW(E941:E$2)*(E942=E941:E$2)))))</f>
        <v> </v>
      </c>
      <c r="J942" s="25" t="str">
        <f>IF(OR(E942="",E942="!!!",F942="NEW"),"",COUNTBLANK(OFFSET(A$1,,,SUMPRODUCT(MAX(ROW(E$2:E942)*(E942=E$2:E942)))))-COUNTBLANK(OFFSET(A$1,,,SUMPRODUCT(MAX(ROW(E$1:E941)*(E2=E$1:E941))))))</f>
        <v> </v>
      </c>
      <c r="K942" s="25" t="str">
        <f>IF(OR(E942="",E942="!!!",F942="NEW"),"",INDEX(J$1:J941,SUMPRODUCT(MAX(ROW(E$1:E941)*(E942=E$1:E941)))))</f>
        <v> </v>
      </c>
      <c r="L942" s="26"/>
    </row>
    <row r="943" spans="1:12">
      <c r="A943" s="20" t="s">
        <v>599</v>
      </c>
      <c r="E943" s="21">
        <f>IF(D943="?OLD","!!!","")</f>
        <v/>
      </c>
      <c r="F943" s="22" t="str">
        <f>IF(OR(E943="",E943="!!!"),"",IF(NOT(ISNA(VLOOKUP(E943,E$1:E942,1,FALSE()))),"OLD",IF(AND(E943&lt;&gt;"",E943&lt;&gt;"!!!"),"NEW","")))</f>
        <v> </v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4" t="str">
        <f>IF(J943&lt;&gt;1,"",IF(I943="SBJ","CB","?"))</f>
        <v> </v>
      </c>
      <c r="I943" s="25" t="str">
        <f>IF(OR(E943="",E943="!!!",F943="NEW"),"",INDEX(B942:B$2,-1+SUMPRODUCT(MAX(ROW(E942:E$2)*(E943=E942:E$2)))))</f>
        <v> </v>
      </c>
      <c r="J943" s="25" t="str">
        <f>IF(OR(E943="",E943="!!!",F943="NEW"),"",COUNTBLANK(OFFSET(A$1,,,SUMPRODUCT(MAX(ROW(E$2:E943)*(E943=E$2:E943)))))-COUNTBLANK(OFFSET(A$1,,,SUMPRODUCT(MAX(ROW(E$1:E942)*(E2=E$1:E942))))))</f>
        <v> </v>
      </c>
      <c r="K943" s="25" t="str">
        <f>IF(OR(E943="",E943="!!!",F943="NEW"),"",INDEX(J$1:J942,SUMPRODUCT(MAX(ROW(E$1:E942)*(E943=E$1:E942)))))</f>
        <v> </v>
      </c>
      <c r="L943" s="26"/>
    </row>
    <row r="944" spans="1:12">
      <c r="A944" s="20" t="s">
        <v>215</v>
      </c>
      <c r="E944" s="21">
        <f>IF(D944="?OLD","!!!","")</f>
        <v/>
      </c>
      <c r="F944" s="22" t="str">
        <f>IF(OR(E944="",E944="!!!"),"",IF(NOT(ISNA(VLOOKUP(E944,E$1:E943,1,FALSE()))),"OLD",IF(AND(E944&lt;&gt;"",E944&lt;&gt;"!!!"),"NEW","")))</f>
        <v> </v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4" t="str">
        <f>IF(J944&lt;&gt;1,"",IF(I944="SBJ","CB","?"))</f>
        <v> </v>
      </c>
      <c r="I944" s="25" t="str">
        <f>IF(OR(E944="",E944="!!!",F944="NEW"),"",INDEX(B943:B$2,-1+SUMPRODUCT(MAX(ROW(E943:E$2)*(E944=E943:E$2)))))</f>
        <v> </v>
      </c>
      <c r="J944" s="25" t="str">
        <f>IF(OR(E944="",E944="!!!",F944="NEW"),"",COUNTBLANK(OFFSET(A$1,,,SUMPRODUCT(MAX(ROW(E$2:E944)*(E944=E$2:E944)))))-COUNTBLANK(OFFSET(A$1,,,SUMPRODUCT(MAX(ROW(E$1:E943)*(E2=E$1:E943))))))</f>
        <v> </v>
      </c>
      <c r="K944" s="25" t="str">
        <f>IF(OR(E944="",E944="!!!",F944="NEW"),"",INDEX(J$1:J943,SUMPRODUCT(MAX(ROW(E$1:E943)*(E944=E$1:E943)))))</f>
        <v> </v>
      </c>
      <c r="L944" s="26"/>
    </row>
    <row r="945" spans="1:12">
      <c r="A945" s="20" t="s">
        <v>600</v>
      </c>
      <c r="B945" s="27" t="s">
        <v>300</v>
      </c>
      <c r="C945" s="27" t="s">
        <v>217</v>
      </c>
      <c r="E945" s="21">
        <f>IF(D945="?OLD","!!!","")</f>
        <v/>
      </c>
      <c r="F945" s="22" t="str">
        <f>IF(OR(E945="",E945="!!!"),"",IF(NOT(ISNA(VLOOKUP(E945,E$1:E944,1,FALSE()))),"OLD",IF(AND(E945&lt;&gt;"",E945&lt;&gt;"!!!"),"NEW","")))</f>
        <v> </v>
      </c>
      <c r="G945" s="23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4" t="str">
        <f>IF(J945&lt;&gt;1,"",IF(I945="SBJ","CB","?"))</f>
        <v> </v>
      </c>
      <c r="I945" s="25" t="str">
        <f>IF(OR(E945="",E945="!!!",F945="NEW"),"",INDEX(B944:B$2,-1+SUMPRODUCT(MAX(ROW(E944:E$2)*(E945=E944:E$2)))))</f>
        <v> </v>
      </c>
      <c r="J945" s="25" t="str">
        <f>IF(OR(E945="",E945="!!!",F945="NEW"),"",COUNTBLANK(OFFSET(A$1,,,SUMPRODUCT(MAX(ROW(E$2:E945)*(E945=E$2:E945)))))-COUNTBLANK(OFFSET(A$1,,,SUMPRODUCT(MAX(ROW(E$1:E944)*(E2=E$1:E944))))))</f>
        <v> </v>
      </c>
      <c r="K945" s="25" t="str">
        <f>IF(OR(E945="",E945="!!!",F945="NEW"),"",INDEX(J$1:J944,SUMPRODUCT(MAX(ROW(E$1:E944)*(E945=E$1:E944)))))</f>
        <v> </v>
      </c>
      <c r="L945" s="26"/>
    </row>
    <row r="946" spans="1:12">
      <c r="A946" s="20" t="s">
        <v>232</v>
      </c>
      <c r="B946" s="27" t="s">
        <v>391</v>
      </c>
      <c r="E946" s="21">
        <f>IF(D946="?OLD","!!!","")</f>
        <v/>
      </c>
      <c r="F946" s="22" t="str">
        <f>IF(OR(E946="",E946="!!!"),"",IF(NOT(ISNA(VLOOKUP(E946,E$1:E945,1,FALSE()))),"OLD",IF(AND(E946&lt;&gt;"",E946&lt;&gt;"!!!"),"NEW","")))</f>
        <v> </v>
      </c>
      <c r="G946" s="23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4" t="str">
        <f>IF(J946&lt;&gt;1,"",IF(I946="SBJ","CB","?"))</f>
        <v> </v>
      </c>
      <c r="I946" s="25" t="str">
        <f>IF(OR(E946="",E946="!!!",F946="NEW"),"",INDEX(B945:B$2,-1+SUMPRODUCT(MAX(ROW(E945:E$2)*(E946=E945:E$2)))))</f>
        <v> </v>
      </c>
      <c r="J946" s="25" t="str">
        <f>IF(OR(E946="",E946="!!!",F946="NEW"),"",COUNTBLANK(OFFSET(A$1,,,SUMPRODUCT(MAX(ROW(E$2:E946)*(E946=E$2:E946)))))-COUNTBLANK(OFFSET(A$1,,,SUMPRODUCT(MAX(ROW(E$1:E945)*(E2=E$1:E945))))))</f>
        <v> </v>
      </c>
      <c r="K946" s="25" t="str">
        <f>IF(OR(E946="",E946="!!!",F946="NEW"),"",INDEX(J$1:J945,SUMPRODUCT(MAX(ROW(E$1:E945)*(E946=E$1:E945)))))</f>
        <v> </v>
      </c>
      <c r="L946" s="26"/>
    </row>
    <row r="947" spans="1:12">
      <c r="A947" s="20" t="s">
        <v>601</v>
      </c>
      <c r="E947" s="21">
        <f>IF(D947="?OLD","!!!","")</f>
        <v/>
      </c>
      <c r="F947" s="22" t="str">
        <f>IF(OR(E947="",E947="!!!"),"",IF(NOT(ISNA(VLOOKUP(E947,E$1:E946,1,FALSE()))),"OLD",IF(AND(E947&lt;&gt;"",E947&lt;&gt;"!!!"),"NEW","")))</f>
        <v> </v>
      </c>
      <c r="G947" s="23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4" t="str">
        <f>IF(J947&lt;&gt;1,"",IF(I947="SBJ","CB","?"))</f>
        <v> </v>
      </c>
      <c r="I947" s="25" t="str">
        <f>IF(OR(E947="",E947="!!!",F947="NEW"),"",INDEX(B946:B$2,-1+SUMPRODUCT(MAX(ROW(E946:E$2)*(E947=E946:E$2)))))</f>
        <v> </v>
      </c>
      <c r="J947" s="25" t="str">
        <f>IF(OR(E947="",E947="!!!",F947="NEW"),"",COUNTBLANK(OFFSET(A$1,,,SUMPRODUCT(MAX(ROW(E$2:E947)*(E947=E$2:E947)))))-COUNTBLANK(OFFSET(A$1,,,SUMPRODUCT(MAX(ROW(E$1:E946)*(E2=E$1:E946))))))</f>
        <v> </v>
      </c>
      <c r="K947" s="25" t="str">
        <f>IF(OR(E947="",E947="!!!",F947="NEW"),"",INDEX(J$1:J946,SUMPRODUCT(MAX(ROW(E$1:E946)*(E947=E$1:E946)))))</f>
        <v> </v>
      </c>
      <c r="L947" s="26"/>
    </row>
    <row r="948" spans="1:12">
      <c r="A948" s="20" t="s">
        <v>602</v>
      </c>
      <c r="E948" s="21">
        <f>IF(D948="?OLD","!!!","")</f>
        <v/>
      </c>
      <c r="F948" s="22" t="str">
        <f>IF(OR(E948="",E948="!!!"),"",IF(NOT(ISNA(VLOOKUP(E948,E$1:E947,1,FALSE()))),"OLD",IF(AND(E948&lt;&gt;"",E948&lt;&gt;"!!!"),"NEW","")))</f>
        <v> </v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4" t="str">
        <f>IF(J948&lt;&gt;1,"",IF(I948="SBJ","CB","?"))</f>
        <v> </v>
      </c>
      <c r="I948" s="25" t="str">
        <f>IF(OR(E948="",E948="!!!",F948="NEW"),"",INDEX(B947:B$2,-1+SUMPRODUCT(MAX(ROW(E947:E$2)*(E948=E947:E$2)))))</f>
        <v> </v>
      </c>
      <c r="J948" s="25" t="str">
        <f>IF(OR(E948="",E948="!!!",F948="NEW"),"",COUNTBLANK(OFFSET(A$1,,,SUMPRODUCT(MAX(ROW(E$2:E948)*(E948=E$2:E948)))))-COUNTBLANK(OFFSET(A$1,,,SUMPRODUCT(MAX(ROW(E$1:E947)*(E2=E$1:E947))))))</f>
        <v> </v>
      </c>
      <c r="K948" s="25" t="str">
        <f>IF(OR(E948="",E948="!!!",F948="NEW"),"",INDEX(J$1:J947,SUMPRODUCT(MAX(ROW(E$1:E947)*(E948=E$1:E947)))))</f>
        <v> </v>
      </c>
      <c r="L948" s="26"/>
    </row>
    <row r="949" spans="1:12">
      <c r="A949" s="20" t="s">
        <v>195</v>
      </c>
      <c r="E949" s="21">
        <f>IF(D949="?OLD","!!!","")</f>
        <v/>
      </c>
      <c r="F949" s="22" t="str">
        <f>IF(OR(E949="",E949="!!!"),"",IF(NOT(ISNA(VLOOKUP(E949,E$1:E948,1,FALSE()))),"OLD",IF(AND(E949&lt;&gt;"",E949&lt;&gt;"!!!"),"NEW","")))</f>
        <v> </v>
      </c>
      <c r="G949" s="23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4" t="str">
        <f>IF(J949&lt;&gt;1,"",IF(I949="SBJ","CB","?"))</f>
        <v> </v>
      </c>
      <c r="I949" s="25" t="str">
        <f>IF(OR(E949="",E949="!!!",F949="NEW"),"",INDEX(B948:B$2,-1+SUMPRODUCT(MAX(ROW(E948:E$2)*(E949=E948:E$2)))))</f>
        <v> </v>
      </c>
      <c r="J949" s="25" t="str">
        <f>IF(OR(E949="",E949="!!!",F949="NEW"),"",COUNTBLANK(OFFSET(A$1,,,SUMPRODUCT(MAX(ROW(E$2:E949)*(E949=E$2:E949)))))-COUNTBLANK(OFFSET(A$1,,,SUMPRODUCT(MAX(ROW(E$1:E948)*(E2=E$1:E948))))))</f>
        <v> </v>
      </c>
      <c r="K949" s="25" t="str">
        <f>IF(OR(E949="",E949="!!!",F949="NEW"),"",INDEX(J$1:J948,SUMPRODUCT(MAX(ROW(E$1:E948)*(E949=E$1:E948)))))</f>
        <v> </v>
      </c>
      <c r="L949" s="26"/>
    </row>
    <row r="950" spans="1:12">
      <c r="A950" s="20" t="s">
        <v>306</v>
      </c>
      <c r="E950" s="21">
        <f>IF(D950="?OLD","!!!","")</f>
        <v/>
      </c>
      <c r="F950" s="22" t="str">
        <f>IF(OR(E950="",E950="!!!"),"",IF(NOT(ISNA(VLOOKUP(E950,E$1:E949,1,FALSE()))),"OLD",IF(AND(E950&lt;&gt;"",E950&lt;&gt;"!!!"),"NEW","")))</f>
        <v> </v>
      </c>
      <c r="G950" s="23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4" t="str">
        <f>IF(J950&lt;&gt;1,"",IF(I950="SBJ","CB","?"))</f>
        <v> </v>
      </c>
      <c r="I950" s="25" t="str">
        <f>IF(OR(E950="",E950="!!!",F950="NEW"),"",INDEX(B949:B$2,-1+SUMPRODUCT(MAX(ROW(E949:E$2)*(E950=E949:E$2)))))</f>
        <v> </v>
      </c>
      <c r="J950" s="25" t="str">
        <f>IF(OR(E950="",E950="!!!",F950="NEW"),"",COUNTBLANK(OFFSET(A$1,,,SUMPRODUCT(MAX(ROW(E$2:E950)*(E950=E$2:E950)))))-COUNTBLANK(OFFSET(A$1,,,SUMPRODUCT(MAX(ROW(E$1:E949)*(E2=E$1:E949))))))</f>
        <v> </v>
      </c>
      <c r="K950" s="25" t="str">
        <f>IF(OR(E950="",E950="!!!",F950="NEW"),"",INDEX(J$1:J949,SUMPRODUCT(MAX(ROW(E$1:E949)*(E950=E$1:E949)))))</f>
        <v> </v>
      </c>
      <c r="L950" s="26"/>
    </row>
    <row r="951" spans="1:12">
      <c r="A951" s="20" t="s">
        <v>603</v>
      </c>
      <c r="B951" s="27" t="s">
        <v>336</v>
      </c>
      <c r="C951" s="27" t="s">
        <v>244</v>
      </c>
      <c r="D951" s="27" t="s">
        <v>194</v>
      </c>
      <c r="E951" s="21">
        <f>IF(D951="?OLD","!!!","")</f>
        <v/>
      </c>
      <c r="F951" s="22" t="str">
        <f>IF(OR(E951="",E951="!!!"),"",IF(NOT(ISNA(VLOOKUP(E951,E$1:E950,1,FALSE()))),"OLD",IF(AND(E951&lt;&gt;"",E951&lt;&gt;"!!!"),"NEW","")))</f>
        <v> </v>
      </c>
      <c r="G951" s="23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4" t="str">
        <f>IF(J951&lt;&gt;1,"",IF(I951="SBJ","CB","?"))</f>
        <v> </v>
      </c>
      <c r="I951" s="25" t="str">
        <f>IF(OR(E951="",E951="!!!",F951="NEW"),"",INDEX(B950:B$2,-1+SUMPRODUCT(MAX(ROW(E950:E$2)*(E951=E950:E$2)))))</f>
        <v> </v>
      </c>
      <c r="J951" s="25" t="str">
        <f>IF(OR(E951="",E951="!!!",F951="NEW"),"",COUNTBLANK(OFFSET(A$1,,,SUMPRODUCT(MAX(ROW(E$2:E951)*(E951=E$2:E951)))))-COUNTBLANK(OFFSET(A$1,,,SUMPRODUCT(MAX(ROW(E$1:E950)*(E2=E$1:E950))))))</f>
        <v> </v>
      </c>
      <c r="K951" s="25" t="str">
        <f>IF(OR(E951="",E951="!!!",F951="NEW"),"",INDEX(J$1:J950,SUMPRODUCT(MAX(ROW(E$1:E950)*(E951=E$1:E950)))))</f>
        <v> </v>
      </c>
      <c r="L951" s="26"/>
    </row>
    <row r="952" spans="1:12">
      <c r="A952" s="20" t="s">
        <v>205</v>
      </c>
      <c r="E952" s="21">
        <f>IF(D952="?OLD","!!!","")</f>
        <v/>
      </c>
      <c r="F952" s="22" t="str">
        <f>IF(OR(E952="",E952="!!!"),"",IF(NOT(ISNA(VLOOKUP(E952,E$1:E951,1,FALSE()))),"OLD",IF(AND(E952&lt;&gt;"",E952&lt;&gt;"!!!"),"NEW","")))</f>
        <v> </v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4" t="str">
        <f>IF(J952&lt;&gt;1,"",IF(I952="SBJ","CB","?"))</f>
        <v> </v>
      </c>
      <c r="I952" s="25" t="str">
        <f>IF(OR(E952="",E952="!!!",F952="NEW"),"",INDEX(B951:B$2,-1+SUMPRODUCT(MAX(ROW(E951:E$2)*(E952=E951:E$2)))))</f>
        <v> </v>
      </c>
      <c r="J952" s="25" t="str">
        <f>IF(OR(E952="",E952="!!!",F952="NEW"),"",COUNTBLANK(OFFSET(A$1,,,SUMPRODUCT(MAX(ROW(E$2:E952)*(E952=E$2:E952)))))-COUNTBLANK(OFFSET(A$1,,,SUMPRODUCT(MAX(ROW(E$1:E951)*(E2=E$1:E951))))))</f>
        <v> </v>
      </c>
      <c r="K952" s="25" t="str">
        <f>IF(OR(E952="",E952="!!!",F952="NEW"),"",INDEX(J$1:J951,SUMPRODUCT(MAX(ROW(E$1:E951)*(E952=E$1:E951)))))</f>
        <v> </v>
      </c>
      <c r="L952" s="26"/>
    </row>
    <row r="953" spans="1:12">
      <c r="A953" s="20" t="s">
        <v>266</v>
      </c>
      <c r="E953" s="21">
        <f>IF(D953="?OLD","!!!","")</f>
        <v/>
      </c>
      <c r="F953" s="22" t="str">
        <f>IF(OR(E953="",E953="!!!"),"",IF(NOT(ISNA(VLOOKUP(E953,E$1:E952,1,FALSE()))),"OLD",IF(AND(E953&lt;&gt;"",E953&lt;&gt;"!!!"),"NEW","")))</f>
        <v> </v>
      </c>
      <c r="G953" s="23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4" t="str">
        <f>IF(J953&lt;&gt;1,"",IF(I953="SBJ","CB","?"))</f>
        <v> </v>
      </c>
      <c r="I953" s="25" t="str">
        <f>IF(OR(E953="",E953="!!!",F953="NEW"),"",INDEX(B952:B$2,-1+SUMPRODUCT(MAX(ROW(E952:E$2)*(E953=E952:E$2)))))</f>
        <v> </v>
      </c>
      <c r="J953" s="25" t="str">
        <f>IF(OR(E953="",E953="!!!",F953="NEW"),"",COUNTBLANK(OFFSET(A$1,,,SUMPRODUCT(MAX(ROW(E$2:E953)*(E953=E$2:E953)))))-COUNTBLANK(OFFSET(A$1,,,SUMPRODUCT(MAX(ROW(E$1:E952)*(E2=E$1:E952))))))</f>
        <v> </v>
      </c>
      <c r="K953" s="25" t="str">
        <f>IF(OR(E953="",E953="!!!",F953="NEW"),"",INDEX(J$1:J952,SUMPRODUCT(MAX(ROW(E$1:E952)*(E953=E$1:E952)))))</f>
        <v> </v>
      </c>
      <c r="L953" s="26"/>
    </row>
    <row r="954" spans="1:12">
      <c r="A954" s="20" t="s">
        <v>190</v>
      </c>
      <c r="E954" s="21">
        <f>IF(D954="?OLD","!!!","")</f>
        <v/>
      </c>
      <c r="F954" s="22" t="str">
        <f>IF(OR(E954="",E954="!!!"),"",IF(NOT(ISNA(VLOOKUP(E954,E$1:E953,1,FALSE()))),"OLD",IF(AND(E954&lt;&gt;"",E954&lt;&gt;"!!!"),"NEW","")))</f>
        <v> </v>
      </c>
      <c r="G954" s="23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4" t="str">
        <f>IF(J954&lt;&gt;1,"",IF(I954="SBJ","CB","?"))</f>
        <v> </v>
      </c>
      <c r="I954" s="25" t="str">
        <f>IF(OR(E954="",E954="!!!",F954="NEW"),"",INDEX(B953:B$2,-1+SUMPRODUCT(MAX(ROW(E953:E$2)*(E954=E953:E$2)))))</f>
        <v> </v>
      </c>
      <c r="J954" s="25" t="str">
        <f>IF(OR(E954="",E954="!!!",F954="NEW"),"",COUNTBLANK(OFFSET(A$1,,,SUMPRODUCT(MAX(ROW(E$2:E954)*(E954=E$2:E954)))))-COUNTBLANK(OFFSET(A$1,,,SUMPRODUCT(MAX(ROW(E$1:E953)*(E2=E$1:E953))))))</f>
        <v> </v>
      </c>
      <c r="K954" s="25" t="str">
        <f>IF(OR(E954="",E954="!!!",F954="NEW"),"",INDEX(J$1:J953,SUMPRODUCT(MAX(ROW(E$1:E953)*(E954=E$1:E953)))))</f>
        <v> </v>
      </c>
      <c r="L954" s="26"/>
    </row>
    <row r="955" spans="1:12">
      <c r="A955" s="20" t="s">
        <v>604</v>
      </c>
      <c r="B955" s="27" t="s">
        <v>336</v>
      </c>
      <c r="C955" s="27" t="s">
        <v>428</v>
      </c>
      <c r="D955" s="27" t="s">
        <v>194</v>
      </c>
      <c r="E955" s="21">
        <f>IF(D955="?OLD","!!!","")</f>
        <v/>
      </c>
      <c r="F955" s="22" t="str">
        <f>IF(OR(E955="",E955="!!!"),"",IF(NOT(ISNA(VLOOKUP(E955,E$1:E954,1,FALSE()))),"OLD",IF(AND(E955&lt;&gt;"",E955&lt;&gt;"!!!"),"NEW","")))</f>
        <v> </v>
      </c>
      <c r="G955" s="23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4" t="str">
        <f>IF(J955&lt;&gt;1,"",IF(I955="SBJ","CB","?"))</f>
        <v> </v>
      </c>
      <c r="I955" s="25" t="str">
        <f>IF(OR(E955="",E955="!!!",F955="NEW"),"",INDEX(B954:B$2,-1+SUMPRODUCT(MAX(ROW(E954:E$2)*(E955=E954:E$2)))))</f>
        <v> </v>
      </c>
      <c r="J955" s="25" t="str">
        <f>IF(OR(E955="",E955="!!!",F955="NEW"),"",COUNTBLANK(OFFSET(A$1,,,SUMPRODUCT(MAX(ROW(E$2:E955)*(E955=E$2:E955)))))-COUNTBLANK(OFFSET(A$1,,,SUMPRODUCT(MAX(ROW(E$1:E954)*(E2=E$1:E954))))))</f>
        <v> </v>
      </c>
      <c r="K955" s="25" t="str">
        <f>IF(OR(E955="",E955="!!!",F955="NEW"),"",INDEX(J$1:J954,SUMPRODUCT(MAX(ROW(E$1:E954)*(E955=E$1:E954)))))</f>
        <v> </v>
      </c>
      <c r="L955" s="26"/>
    </row>
    <row r="956" spans="1:12">
      <c r="A956" s="20" t="s">
        <v>605</v>
      </c>
      <c r="B956" s="27" t="s">
        <v>296</v>
      </c>
      <c r="C956" s="27" t="s">
        <v>223</v>
      </c>
      <c r="D956" s="27" t="s">
        <v>194</v>
      </c>
      <c r="E956" s="21">
        <f>IF(D956="?OLD","!!!","")</f>
        <v/>
      </c>
      <c r="F956" s="22" t="str">
        <f>IF(OR(E956="",E956="!!!"),"",IF(NOT(ISNA(VLOOKUP(E956,E$1:E955,1,FALSE()))),"OLD",IF(AND(E956&lt;&gt;"",E956&lt;&gt;"!!!"),"NEW","")))</f>
        <v> </v>
      </c>
      <c r="G956" s="23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4" t="str">
        <f>IF(J956&lt;&gt;1,"",IF(I956="SBJ","CB","?"))</f>
        <v> </v>
      </c>
      <c r="I956" s="25" t="str">
        <f>IF(OR(E956="",E956="!!!",F956="NEW"),"",INDEX(B955:B$2,-1+SUMPRODUCT(MAX(ROW(E955:E$2)*(E956=E955:E$2)))))</f>
        <v> </v>
      </c>
      <c r="J956" s="25" t="str">
        <f>IF(OR(E956="",E956="!!!",F956="NEW"),"",COUNTBLANK(OFFSET(A$1,,,SUMPRODUCT(MAX(ROW(E$2:E956)*(E956=E$2:E956)))))-COUNTBLANK(OFFSET(A$1,,,SUMPRODUCT(MAX(ROW(E$1:E955)*(E2=E$1:E955))))))</f>
        <v> </v>
      </c>
      <c r="K956" s="25" t="str">
        <f>IF(OR(E956="",E956="!!!",F956="NEW"),"",INDEX(J$1:J955,SUMPRODUCT(MAX(ROW(E$1:E955)*(E956=E$1:E955)))))</f>
        <v> </v>
      </c>
      <c r="L956" s="26"/>
    </row>
    <row r="957" spans="1:12">
      <c r="A957" s="20" t="s">
        <v>205</v>
      </c>
      <c r="E957" s="21">
        <f>IF(D957="?OLD","!!!","")</f>
        <v/>
      </c>
      <c r="F957" s="22" t="str">
        <f>IF(OR(E957="",E957="!!!"),"",IF(NOT(ISNA(VLOOKUP(E957,E$1:E956,1,FALSE()))),"OLD",IF(AND(E957&lt;&gt;"",E957&lt;&gt;"!!!"),"NEW","")))</f>
        <v> </v>
      </c>
      <c r="G957" s="23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4" t="str">
        <f>IF(J957&lt;&gt;1,"",IF(I957="SBJ","CB","?"))</f>
        <v> </v>
      </c>
      <c r="I957" s="25" t="str">
        <f>IF(OR(E957="",E957="!!!",F957="NEW"),"",INDEX(B956:B$2,-1+SUMPRODUCT(MAX(ROW(E956:E$2)*(E957=E956:E$2)))))</f>
        <v> </v>
      </c>
      <c r="J957" s="25" t="str">
        <f>IF(OR(E957="",E957="!!!",F957="NEW"),"",COUNTBLANK(OFFSET(A$1,,,SUMPRODUCT(MAX(ROW(E$2:E957)*(E957=E$2:E957)))))-COUNTBLANK(OFFSET(A$1,,,SUMPRODUCT(MAX(ROW(E$1:E956)*(E2=E$1:E956))))))</f>
        <v> </v>
      </c>
      <c r="K957" s="25" t="str">
        <f>IF(OR(E957="",E957="!!!",F957="NEW"),"",INDEX(J$1:J956,SUMPRODUCT(MAX(ROW(E$1:E956)*(E957=E$1:E956)))))</f>
        <v> </v>
      </c>
      <c r="L957" s="26"/>
    </row>
    <row r="958" spans="1:12">
      <c r="A958" s="20" t="s">
        <v>208</v>
      </c>
      <c r="E958" s="21">
        <f>IF(D958="?OLD","!!!","")</f>
        <v/>
      </c>
      <c r="F958" s="22" t="str">
        <f>IF(OR(E958="",E958="!!!"),"",IF(NOT(ISNA(VLOOKUP(E958,E$1:E957,1,FALSE()))),"OLD",IF(AND(E958&lt;&gt;"",E958&lt;&gt;"!!!"),"NEW","")))</f>
        <v> </v>
      </c>
      <c r="G958" s="23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4" t="str">
        <f>IF(J958&lt;&gt;1,"",IF(I958="SBJ","CB","?"))</f>
        <v> </v>
      </c>
      <c r="I958" s="25" t="str">
        <f>IF(OR(E958="",E958="!!!",F958="NEW"),"",INDEX(B957:B$2,-1+SUMPRODUCT(MAX(ROW(E957:E$2)*(E958=E957:E$2)))))</f>
        <v> </v>
      </c>
      <c r="J958" s="25" t="str">
        <f>IF(OR(E958="",E958="!!!",F958="NEW"),"",COUNTBLANK(OFFSET(A$1,,,SUMPRODUCT(MAX(ROW(E$2:E958)*(E958=E$2:E958)))))-COUNTBLANK(OFFSET(A$1,,,SUMPRODUCT(MAX(ROW(E$1:E957)*(E2=E$1:E957))))))</f>
        <v> </v>
      </c>
      <c r="K958" s="25" t="str">
        <f>IF(OR(E958="",E958="!!!",F958="NEW"),"",INDEX(J$1:J957,SUMPRODUCT(MAX(ROW(E$1:E957)*(E958=E$1:E957)))))</f>
        <v> </v>
      </c>
      <c r="L958" s="26"/>
    </row>
    <row r="959" spans="1:12">
      <c r="A959" s="20" t="s">
        <v>606</v>
      </c>
      <c r="B959" s="27" t="s">
        <v>204</v>
      </c>
      <c r="C959" s="27" t="s">
        <v>428</v>
      </c>
      <c r="D959" s="27" t="s">
        <v>194</v>
      </c>
      <c r="E959" s="21">
        <f>IF(D959="?OLD","!!!","")</f>
        <v/>
      </c>
      <c r="F959" s="22" t="str">
        <f>IF(OR(E959="",E959="!!!"),"",IF(NOT(ISNA(VLOOKUP(E959,E$1:E958,1,FALSE()))),"OLD",IF(AND(E959&lt;&gt;"",E959&lt;&gt;"!!!"),"NEW","")))</f>
        <v> </v>
      </c>
      <c r="G959" s="23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4" t="str">
        <f>IF(J959&lt;&gt;1,"",IF(I959="SBJ","CB","?"))</f>
        <v> </v>
      </c>
      <c r="I959" s="25" t="str">
        <f>IF(OR(E959="",E959="!!!",F959="NEW"),"",INDEX(B958:B$2,-1+SUMPRODUCT(MAX(ROW(E958:E$2)*(E959=E958:E$2)))))</f>
        <v> </v>
      </c>
      <c r="J959" s="25" t="str">
        <f>IF(OR(E959="",E959="!!!",F959="NEW"),"",COUNTBLANK(OFFSET(A$1,,,SUMPRODUCT(MAX(ROW(E$2:E959)*(E959=E$2:E959)))))-COUNTBLANK(OFFSET(A$1,,,SUMPRODUCT(MAX(ROW(E$1:E958)*(E2=E$1:E958))))))</f>
        <v> </v>
      </c>
      <c r="K959" s="25" t="str">
        <f>IF(OR(E959="",E959="!!!",F959="NEW"),"",INDEX(J$1:J958,SUMPRODUCT(MAX(ROW(E$1:E958)*(E959=E$1:E958)))))</f>
        <v> </v>
      </c>
      <c r="L959" s="26"/>
    </row>
    <row r="960" spans="1:12">
      <c r="A960" s="20" t="s">
        <v>607</v>
      </c>
      <c r="B960" s="27" t="s">
        <v>407</v>
      </c>
      <c r="C960" s="27" t="s">
        <v>223</v>
      </c>
      <c r="D960" s="27" t="s">
        <v>194</v>
      </c>
      <c r="E960" s="21">
        <f>IF(D960="?OLD","!!!","")</f>
        <v/>
      </c>
      <c r="F960" s="22" t="str">
        <f>IF(OR(E960="",E960="!!!"),"",IF(NOT(ISNA(VLOOKUP(E960,E$1:E959,1,FALSE()))),"OLD",IF(AND(E960&lt;&gt;"",E960&lt;&gt;"!!!"),"NEW","")))</f>
        <v> </v>
      </c>
      <c r="G960" s="23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24" t="str">
        <f>IF(J960&lt;&gt;1,"",IF(I960="SBJ","CB","?"))</f>
        <v> </v>
      </c>
      <c r="I960" s="25" t="str">
        <f>IF(OR(E960="",E960="!!!",F960="NEW"),"",INDEX(B959:B$2,-1+SUMPRODUCT(MAX(ROW(E959:E$2)*(E960=E959:E$2)))))</f>
        <v> </v>
      </c>
      <c r="J960" s="25" t="str">
        <f>IF(OR(E960="",E960="!!!",F960="NEW"),"",COUNTBLANK(OFFSET(A$1,,,SUMPRODUCT(MAX(ROW(E$2:E960)*(E960=E$2:E960)))))-COUNTBLANK(OFFSET(A$1,,,SUMPRODUCT(MAX(ROW(E$1:E959)*(E2=E$1:E959))))))</f>
        <v> </v>
      </c>
      <c r="K960" s="25" t="str">
        <f>IF(OR(E960="",E960="!!!",F960="NEW"),"",INDEX(J$1:J959,SUMPRODUCT(MAX(ROW(E$1:E959)*(E960=E$1:E959)))))</f>
        <v> </v>
      </c>
      <c r="L960" s="26"/>
    </row>
    <row r="961" spans="1:12">
      <c r="A961" s="20" t="s">
        <v>219</v>
      </c>
      <c r="E961" s="21">
        <f>IF(D961="?OLD","!!!","")</f>
        <v/>
      </c>
      <c r="F961" s="22" t="str">
        <f>IF(OR(E961="",E961="!!!"),"",IF(NOT(ISNA(VLOOKUP(E961,E$1:E960,1,FALSE()))),"OLD",IF(AND(E961&lt;&gt;"",E961&lt;&gt;"!!!"),"NEW","")))</f>
        <v> </v>
      </c>
      <c r="G961" s="23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4" t="str">
        <f>IF(J961&lt;&gt;1,"",IF(I961="SBJ","CB","?"))</f>
        <v> </v>
      </c>
      <c r="I961" s="25" t="str">
        <f>IF(OR(E961="",E961="!!!",F961="NEW"),"",INDEX(B960:B$2,-1+SUMPRODUCT(MAX(ROW(E960:E$2)*(E961=E960:E$2)))))</f>
        <v> </v>
      </c>
      <c r="J961" s="25" t="str">
        <f>IF(OR(E961="",E961="!!!",F961="NEW"),"",COUNTBLANK(OFFSET(A$1,,,SUMPRODUCT(MAX(ROW(E$2:E961)*(E961=E$2:E961)))))-COUNTBLANK(OFFSET(A$1,,,SUMPRODUCT(MAX(ROW(E$1:E960)*(E2=E$1:E960))))))</f>
        <v> </v>
      </c>
      <c r="K961" s="25" t="str">
        <f>IF(OR(E961="",E961="!!!",F961="NEW"),"",INDEX(J$1:J960,SUMPRODUCT(MAX(ROW(E$1:E960)*(E961=E$1:E960)))))</f>
        <v> </v>
      </c>
      <c r="L961" s="26"/>
    </row>
    <row r="962" spans="1:12">
      <c r="A962" s="20"/>
    </row>
    <row r="963" spans="1:12">
      <c r="A963" s="20" t="s">
        <v>608</v>
      </c>
    </row>
    <row r="964" spans="1:12">
      <c r="A964" s="20" t="s">
        <v>609</v>
      </c>
      <c r="E964" s="21">
        <f>IF(D964="?OLD","!!!","")</f>
        <v/>
      </c>
      <c r="F964" s="22" t="str">
        <f>IF(OR(E964="",E964="!!!"),"",IF(NOT(ISNA(VLOOKUP(E964,E$1:E963,1,FALSE()))),"OLD",IF(AND(E964&lt;&gt;"",E964&lt;&gt;"!!!"),"NEW","")))</f>
        <v> </v>
      </c>
      <c r="G964" s="23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4" t="str">
        <f>IF(J964&lt;&gt;1,"",IF(I964="SBJ","CB","?"))</f>
        <v> </v>
      </c>
      <c r="I964" s="25" t="str">
        <f>IF(OR(E964="",E964="!!!",F964="NEW"),"",INDEX(B963:B$2,-1+SUMPRODUCT(MAX(ROW(E963:E$2)*(E964=E963:E$2)))))</f>
        <v> </v>
      </c>
      <c r="J964" s="25" t="str">
        <f>IF(OR(E964="",E964="!!!",F964="NEW"),"",COUNTBLANK(OFFSET(A$1,,,SUMPRODUCT(MAX(ROW(E$2:E964)*(E964=E$2:E964)))))-COUNTBLANK(OFFSET(A$1,,,SUMPRODUCT(MAX(ROW(E$1:E963)*(E2=E$1:E963))))))</f>
        <v> </v>
      </c>
      <c r="K964" s="25" t="str">
        <f>IF(OR(E964="",E964="!!!",F964="NEW"),"",INDEX(J$1:J963,SUMPRODUCT(MAX(ROW(E$1:E963)*(E964=E$1:E963)))))</f>
        <v> </v>
      </c>
      <c r="L964" s="26"/>
    </row>
    <row r="965" spans="1:12">
      <c r="A965" s="20" t="s">
        <v>195</v>
      </c>
      <c r="E965" s="21">
        <f>IF(D965="?OLD","!!!","")</f>
        <v/>
      </c>
      <c r="F965" s="22" t="str">
        <f>IF(OR(E965="",E965="!!!"),"",IF(NOT(ISNA(VLOOKUP(E965,E$1:E964,1,FALSE()))),"OLD",IF(AND(E965&lt;&gt;"",E965&lt;&gt;"!!!"),"NEW","")))</f>
        <v> </v>
      </c>
      <c r="G965" s="23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4" t="str">
        <f>IF(J965&lt;&gt;1,"",IF(I965="SBJ","CB","?"))</f>
        <v> </v>
      </c>
      <c r="I965" s="25" t="str">
        <f>IF(OR(E965="",E965="!!!",F965="NEW"),"",INDEX(B964:B$2,-1+SUMPRODUCT(MAX(ROW(E964:E$2)*(E965=E964:E$2)))))</f>
        <v> </v>
      </c>
      <c r="J965" s="25" t="str">
        <f>IF(OR(E965="",E965="!!!",F965="NEW"),"",COUNTBLANK(OFFSET(A$1,,,SUMPRODUCT(MAX(ROW(E$2:E965)*(E965=E$2:E965)))))-COUNTBLANK(OFFSET(A$1,,,SUMPRODUCT(MAX(ROW(E$1:E964)*(E2=E$1:E964))))))</f>
        <v> </v>
      </c>
      <c r="K965" s="25" t="str">
        <f>IF(OR(E965="",E965="!!!",F965="NEW"),"",INDEX(J$1:J964,SUMPRODUCT(MAX(ROW(E$1:E964)*(E965=E$1:E964)))))</f>
        <v> </v>
      </c>
      <c r="L965" s="26"/>
    </row>
    <row r="966" spans="1:12">
      <c r="A966" s="20" t="s">
        <v>211</v>
      </c>
      <c r="E966" s="21">
        <f>IF(D966="?OLD","!!!","")</f>
        <v/>
      </c>
      <c r="F966" s="22" t="str">
        <f>IF(OR(E966="",E966="!!!"),"",IF(NOT(ISNA(VLOOKUP(E966,E$1:E965,1,FALSE()))),"OLD",IF(AND(E966&lt;&gt;"",E966&lt;&gt;"!!!"),"NEW","")))</f>
        <v> </v>
      </c>
      <c r="G966" s="23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24" t="str">
        <f>IF(J966&lt;&gt;1,"",IF(I966="SBJ","CB","?"))</f>
        <v> </v>
      </c>
      <c r="I966" s="25" t="str">
        <f>IF(OR(E966="",E966="!!!",F966="NEW"),"",INDEX(B965:B$2,-1+SUMPRODUCT(MAX(ROW(E965:E$2)*(E966=E965:E$2)))))</f>
        <v> </v>
      </c>
      <c r="J966" s="25" t="str">
        <f>IF(OR(E966="",E966="!!!",F966="NEW"),"",COUNTBLANK(OFFSET(A$1,,,SUMPRODUCT(MAX(ROW(E$2:E966)*(E966=E$2:E966)))))-COUNTBLANK(OFFSET(A$1,,,SUMPRODUCT(MAX(ROW(E$1:E965)*(E2=E$1:E965))))))</f>
        <v> </v>
      </c>
      <c r="K966" s="25" t="str">
        <f>IF(OR(E966="",E966="!!!",F966="NEW"),"",INDEX(J$1:J965,SUMPRODUCT(MAX(ROW(E$1:E965)*(E966=E$1:E965)))))</f>
        <v> </v>
      </c>
      <c r="L966" s="26"/>
    </row>
    <row r="967" spans="1:12">
      <c r="A967" s="20" t="s">
        <v>610</v>
      </c>
      <c r="B967" s="27" t="s">
        <v>197</v>
      </c>
      <c r="C967" s="27" t="s">
        <v>428</v>
      </c>
      <c r="D967" s="27" t="s">
        <v>194</v>
      </c>
      <c r="E967" s="21">
        <f>IF(D967="?OLD","!!!","")</f>
        <v/>
      </c>
      <c r="F967" s="22" t="str">
        <f>IF(OR(E967="",E967="!!!"),"",IF(NOT(ISNA(VLOOKUP(E967,E$1:E966,1,FALSE()))),"OLD",IF(AND(E967&lt;&gt;"",E967&lt;&gt;"!!!"),"NEW","")))</f>
        <v> </v>
      </c>
      <c r="G967" s="23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4" t="str">
        <f>IF(J967&lt;&gt;1,"",IF(I967="SBJ","CB","?"))</f>
        <v> </v>
      </c>
      <c r="I967" s="25" t="str">
        <f>IF(OR(E967="",E967="!!!",F967="NEW"),"",INDEX(B966:B$2,-1+SUMPRODUCT(MAX(ROW(E966:E$2)*(E967=E966:E$2)))))</f>
        <v> </v>
      </c>
      <c r="J967" s="25" t="str">
        <f>IF(OR(E967="",E967="!!!",F967="NEW"),"",COUNTBLANK(OFFSET(A$1,,,SUMPRODUCT(MAX(ROW(E$2:E967)*(E967=E$2:E967)))))-COUNTBLANK(OFFSET(A$1,,,SUMPRODUCT(MAX(ROW(E$1:E966)*(E2=E$1:E966))))))</f>
        <v> </v>
      </c>
      <c r="K967" s="25" t="str">
        <f>IF(OR(E967="",E967="!!!",F967="NEW"),"",INDEX(J$1:J966,SUMPRODUCT(MAX(ROW(E$1:E966)*(E967=E$1:E966)))))</f>
        <v> </v>
      </c>
      <c r="L967" s="26"/>
    </row>
    <row r="968" spans="1:12">
      <c r="A968" s="20" t="s">
        <v>611</v>
      </c>
      <c r="B968" s="27" t="s">
        <v>188</v>
      </c>
      <c r="C968" s="27" t="s">
        <v>223</v>
      </c>
      <c r="D968" s="27" t="s">
        <v>194</v>
      </c>
      <c r="E968" s="21">
        <f>IF(D968="?OLD","!!!","")</f>
        <v/>
      </c>
      <c r="F968" s="22" t="str">
        <f>IF(OR(E968="",E968="!!!"),"",IF(NOT(ISNA(VLOOKUP(E968,E$1:E967,1,FALSE()))),"OLD",IF(AND(E968&lt;&gt;"",E968&lt;&gt;"!!!"),"NEW","")))</f>
        <v> </v>
      </c>
      <c r="G968" s="23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4" t="str">
        <f>IF(J968&lt;&gt;1,"",IF(I968="SBJ","CB","?"))</f>
        <v> </v>
      </c>
      <c r="I968" s="25" t="str">
        <f>IF(OR(E968="",E968="!!!",F968="NEW"),"",INDEX(B967:B$2,-1+SUMPRODUCT(MAX(ROW(E967:E$2)*(E968=E967:E$2)))))</f>
        <v> </v>
      </c>
      <c r="J968" s="25" t="str">
        <f>IF(OR(E968="",E968="!!!",F968="NEW"),"",COUNTBLANK(OFFSET(A$1,,,SUMPRODUCT(MAX(ROW(E$2:E968)*(E968=E$2:E968)))))-COUNTBLANK(OFFSET(A$1,,,SUMPRODUCT(MAX(ROW(E$1:E967)*(E2=E$1:E967))))))</f>
        <v> </v>
      </c>
      <c r="K968" s="25" t="str">
        <f>IF(OR(E968="",E968="!!!",F968="NEW"),"",INDEX(J$1:J967,SUMPRODUCT(MAX(ROW(E$1:E967)*(E968=E$1:E967)))))</f>
        <v> </v>
      </c>
      <c r="L968" s="26"/>
    </row>
    <row r="969" spans="1:12">
      <c r="A969" s="20" t="s">
        <v>612</v>
      </c>
      <c r="E969" s="21">
        <f>IF(D969="?OLD","!!!","")</f>
        <v/>
      </c>
      <c r="F969" s="22" t="str">
        <f>IF(OR(E969="",E969="!!!"),"",IF(NOT(ISNA(VLOOKUP(E969,E$1:E968,1,FALSE()))),"OLD",IF(AND(E969&lt;&gt;"",E969&lt;&gt;"!!!"),"NEW","")))</f>
        <v> </v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4" t="str">
        <f>IF(J969&lt;&gt;1,"",IF(I969="SBJ","CB","?"))</f>
        <v> </v>
      </c>
      <c r="I969" s="25" t="str">
        <f>IF(OR(E969="",E969="!!!",F969="NEW"),"",INDEX(B968:B$2,-1+SUMPRODUCT(MAX(ROW(E968:E$2)*(E969=E968:E$2)))))</f>
        <v> </v>
      </c>
      <c r="J969" s="25" t="str">
        <f>IF(OR(E969="",E969="!!!",F969="NEW"),"",COUNTBLANK(OFFSET(A$1,,,SUMPRODUCT(MAX(ROW(E$2:E969)*(E969=E$2:E969)))))-COUNTBLANK(OFFSET(A$1,,,SUMPRODUCT(MAX(ROW(E$1:E968)*(E2=E$1:E968))))))</f>
        <v> </v>
      </c>
      <c r="K969" s="25" t="str">
        <f>IF(OR(E969="",E969="!!!",F969="NEW"),"",INDEX(J$1:J968,SUMPRODUCT(MAX(ROW(E$1:E968)*(E969=E$1:E968)))))</f>
        <v> </v>
      </c>
      <c r="L969" s="26"/>
    </row>
    <row r="970" spans="1:12">
      <c r="A970" s="20" t="s">
        <v>205</v>
      </c>
      <c r="E970" s="21">
        <f>IF(D970="?OLD","!!!","")</f>
        <v/>
      </c>
      <c r="F970" s="22" t="str">
        <f>IF(OR(E970="",E970="!!!"),"",IF(NOT(ISNA(VLOOKUP(E970,E$1:E969,1,FALSE()))),"OLD",IF(AND(E970&lt;&gt;"",E970&lt;&gt;"!!!"),"NEW","")))</f>
        <v> </v>
      </c>
      <c r="G970" s="23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4" t="str">
        <f>IF(J970&lt;&gt;1,"",IF(I970="SBJ","CB","?"))</f>
        <v> </v>
      </c>
      <c r="I970" s="25" t="str">
        <f>IF(OR(E970="",E970="!!!",F970="NEW"),"",INDEX(B969:B$2,-1+SUMPRODUCT(MAX(ROW(E969:E$2)*(E970=E969:E$2)))))</f>
        <v> </v>
      </c>
      <c r="J970" s="25" t="str">
        <f>IF(OR(E970="",E970="!!!",F970="NEW"),"",COUNTBLANK(OFFSET(A$1,,,SUMPRODUCT(MAX(ROW(E$2:E970)*(E970=E$2:E970)))))-COUNTBLANK(OFFSET(A$1,,,SUMPRODUCT(MAX(ROW(E$1:E969)*(E2=E$1:E969))))))</f>
        <v> </v>
      </c>
      <c r="K970" s="25" t="str">
        <f>IF(OR(E970="",E970="!!!",F970="NEW"),"",INDEX(J$1:J969,SUMPRODUCT(MAX(ROW(E$1:E969)*(E970=E$1:E969)))))</f>
        <v> </v>
      </c>
      <c r="L970" s="26"/>
    </row>
    <row r="971" spans="1:12">
      <c r="A971" s="20" t="s">
        <v>613</v>
      </c>
      <c r="E971" s="21">
        <f>IF(D971="?OLD","!!!","")</f>
        <v/>
      </c>
      <c r="F971" s="22" t="str">
        <f>IF(OR(E971="",E971="!!!"),"",IF(NOT(ISNA(VLOOKUP(E971,E$1:E970,1,FALSE()))),"OLD",IF(AND(E971&lt;&gt;"",E971&lt;&gt;"!!!"),"NEW","")))</f>
        <v> </v>
      </c>
      <c r="G971" s="23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4" t="str">
        <f>IF(J971&lt;&gt;1,"",IF(I971="SBJ","CB","?"))</f>
        <v> </v>
      </c>
      <c r="I971" s="25" t="str">
        <f>IF(OR(E971="",E971="!!!",F971="NEW"),"",INDEX(B970:B$2,-1+SUMPRODUCT(MAX(ROW(E970:E$2)*(E971=E970:E$2)))))</f>
        <v> </v>
      </c>
      <c r="J971" s="25" t="str">
        <f>IF(OR(E971="",E971="!!!",F971="NEW"),"",COUNTBLANK(OFFSET(A$1,,,SUMPRODUCT(MAX(ROW(E$2:E971)*(E971=E$2:E971)))))-COUNTBLANK(OFFSET(A$1,,,SUMPRODUCT(MAX(ROW(E$1:E970)*(E2=E$1:E970))))))</f>
        <v> </v>
      </c>
      <c r="K971" s="25" t="str">
        <f>IF(OR(E971="",E971="!!!",F971="NEW"),"",INDEX(J$1:J970,SUMPRODUCT(MAX(ROW(E$1:E970)*(E971=E$1:E970)))))</f>
        <v> </v>
      </c>
      <c r="L971" s="26"/>
    </row>
    <row r="972" spans="1:12">
      <c r="A972" s="20" t="s">
        <v>195</v>
      </c>
      <c r="E972" s="21">
        <f>IF(D972="?OLD","!!!","")</f>
        <v/>
      </c>
      <c r="F972" s="22" t="str">
        <f>IF(OR(E972="",E972="!!!"),"",IF(NOT(ISNA(VLOOKUP(E972,E$1:E971,1,FALSE()))),"OLD",IF(AND(E972&lt;&gt;"",E972&lt;&gt;"!!!"),"NEW","")))</f>
        <v> </v>
      </c>
      <c r="G972" s="23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4" t="str">
        <f>IF(J972&lt;&gt;1,"",IF(I972="SBJ","CB","?"))</f>
        <v> </v>
      </c>
      <c r="I972" s="25" t="str">
        <f>IF(OR(E972="",E972="!!!",F972="NEW"),"",INDEX(B971:B$2,-1+SUMPRODUCT(MAX(ROW(E971:E$2)*(E972=E971:E$2)))))</f>
        <v> </v>
      </c>
      <c r="J972" s="25" t="str">
        <f>IF(OR(E972="",E972="!!!",F972="NEW"),"",COUNTBLANK(OFFSET(A$1,,,SUMPRODUCT(MAX(ROW(E$2:E972)*(E972=E$2:E972)))))-COUNTBLANK(OFFSET(A$1,,,SUMPRODUCT(MAX(ROW(E$1:E971)*(E2=E$1:E971))))))</f>
        <v> </v>
      </c>
      <c r="K972" s="25" t="str">
        <f>IF(OR(E972="",E972="!!!",F972="NEW"),"",INDEX(J$1:J971,SUMPRODUCT(MAX(ROW(E$1:E971)*(E972=E$1:E971)))))</f>
        <v> </v>
      </c>
      <c r="L972" s="26"/>
    </row>
    <row r="973" spans="1:12">
      <c r="A973" s="20" t="s">
        <v>211</v>
      </c>
      <c r="E973" s="21">
        <f>IF(D973="?OLD","!!!","")</f>
        <v/>
      </c>
      <c r="F973" s="22" t="str">
        <f>IF(OR(E973="",E973="!!!"),"",IF(NOT(ISNA(VLOOKUP(E973,E$1:E972,1,FALSE()))),"OLD",IF(AND(E973&lt;&gt;"",E973&lt;&gt;"!!!"),"NEW","")))</f>
        <v> </v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4" t="str">
        <f>IF(J973&lt;&gt;1,"",IF(I973="SBJ","CB","?"))</f>
        <v> </v>
      </c>
      <c r="I973" s="25" t="str">
        <f>IF(OR(E973="",E973="!!!",F973="NEW"),"",INDEX(B972:B$2,-1+SUMPRODUCT(MAX(ROW(E972:E$2)*(E973=E972:E$2)))))</f>
        <v> </v>
      </c>
      <c r="J973" s="25" t="str">
        <f>IF(OR(E973="",E973="!!!",F973="NEW"),"",COUNTBLANK(OFFSET(A$1,,,SUMPRODUCT(MAX(ROW(E$2:E973)*(E973=E$2:E973)))))-COUNTBLANK(OFFSET(A$1,,,SUMPRODUCT(MAX(ROW(E$1:E972)*(E2=E$1:E972))))))</f>
        <v> </v>
      </c>
      <c r="K973" s="25" t="str">
        <f>IF(OR(E973="",E973="!!!",F973="NEW"),"",INDEX(J$1:J972,SUMPRODUCT(MAX(ROW(E$1:E972)*(E973=E$1:E972)))))</f>
        <v> </v>
      </c>
      <c r="L973" s="26"/>
    </row>
    <row r="974" spans="1:12">
      <c r="A974" s="20" t="s">
        <v>610</v>
      </c>
      <c r="B974" s="27" t="s">
        <v>204</v>
      </c>
      <c r="C974" s="27" t="s">
        <v>428</v>
      </c>
      <c r="D974" s="27" t="s">
        <v>194</v>
      </c>
      <c r="E974" s="21">
        <f>IF(D974="?OLD","!!!","")</f>
        <v/>
      </c>
      <c r="F974" s="22" t="str">
        <f>IF(OR(E974="",E974="!!!"),"",IF(NOT(ISNA(VLOOKUP(E974,E$1:E973,1,FALSE()))),"OLD",IF(AND(E974&lt;&gt;"",E974&lt;&gt;"!!!"),"NEW","")))</f>
        <v> </v>
      </c>
      <c r="G974" s="23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4" t="str">
        <f>IF(J974&lt;&gt;1,"",IF(I974="SBJ","CB","?"))</f>
        <v> </v>
      </c>
      <c r="I974" s="25" t="str">
        <f>IF(OR(E974="",E974="!!!",F974="NEW"),"",INDEX(B973:B$2,-1+SUMPRODUCT(MAX(ROW(E973:E$2)*(E974=E973:E$2)))))</f>
        <v> </v>
      </c>
      <c r="J974" s="25" t="str">
        <f>IF(OR(E974="",E974="!!!",F974="NEW"),"",COUNTBLANK(OFFSET(A$1,,,SUMPRODUCT(MAX(ROW(E$2:E974)*(E974=E$2:E974)))))-COUNTBLANK(OFFSET(A$1,,,SUMPRODUCT(MAX(ROW(E$1:E973)*(E2=E$1:E973))))))</f>
        <v> </v>
      </c>
      <c r="K974" s="25" t="str">
        <f>IF(OR(E974="",E974="!!!",F974="NEW"),"",INDEX(J$1:J973,SUMPRODUCT(MAX(ROW(E$1:E973)*(E974=E$1:E973)))))</f>
        <v> </v>
      </c>
      <c r="L974" s="26"/>
    </row>
    <row r="975" spans="1:12">
      <c r="A975" s="20" t="s">
        <v>585</v>
      </c>
      <c r="B975" s="27" t="s">
        <v>200</v>
      </c>
      <c r="C975" s="27" t="s">
        <v>223</v>
      </c>
      <c r="D975" s="27" t="s">
        <v>194</v>
      </c>
      <c r="E975" s="21">
        <f>IF(D975="?OLD","!!!","")</f>
        <v/>
      </c>
      <c r="F975" s="22" t="str">
        <f>IF(OR(E975="",E975="!!!"),"",IF(NOT(ISNA(VLOOKUP(E975,E$1:E974,1,FALSE()))),"OLD",IF(AND(E975&lt;&gt;"",E975&lt;&gt;"!!!"),"NEW","")))</f>
        <v> </v>
      </c>
      <c r="G975" s="23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24" t="str">
        <f>IF(J975&lt;&gt;1,"",IF(I975="SBJ","CB","?"))</f>
        <v> </v>
      </c>
      <c r="I975" s="25" t="str">
        <f>IF(OR(E975="",E975="!!!",F975="NEW"),"",INDEX(B974:B$2,-1+SUMPRODUCT(MAX(ROW(E974:E$2)*(E975=E974:E$2)))))</f>
        <v> </v>
      </c>
      <c r="J975" s="25" t="str">
        <f>IF(OR(E975="",E975="!!!",F975="NEW"),"",COUNTBLANK(OFFSET(A$1,,,SUMPRODUCT(MAX(ROW(E$2:E975)*(E975=E$2:E975)))))-COUNTBLANK(OFFSET(A$1,,,SUMPRODUCT(MAX(ROW(E$1:E974)*(E2=E$1:E974))))))</f>
        <v> </v>
      </c>
      <c r="K975" s="25" t="str">
        <f>IF(OR(E975="",E975="!!!",F975="NEW"),"",INDEX(J$1:J974,SUMPRODUCT(MAX(ROW(E$1:E974)*(E975=E$1:E974)))))</f>
        <v> </v>
      </c>
      <c r="L975" s="26"/>
    </row>
    <row r="976" spans="1:12">
      <c r="A976" s="20" t="s">
        <v>205</v>
      </c>
      <c r="E976" s="21">
        <f>IF(D976="?OLD","!!!","")</f>
        <v/>
      </c>
      <c r="F976" s="22" t="str">
        <f>IF(OR(E976="",E976="!!!"),"",IF(NOT(ISNA(VLOOKUP(E976,E$1:E975,1,FALSE()))),"OLD",IF(AND(E976&lt;&gt;"",E976&lt;&gt;"!!!"),"NEW","")))</f>
        <v> </v>
      </c>
      <c r="G976" s="23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4" t="str">
        <f>IF(J976&lt;&gt;1,"",IF(I976="SBJ","CB","?"))</f>
        <v> </v>
      </c>
      <c r="I976" s="25" t="str">
        <f>IF(OR(E976="",E976="!!!",F976="NEW"),"",INDEX(B975:B$2,-1+SUMPRODUCT(MAX(ROW(E975:E$2)*(E976=E975:E$2)))))</f>
        <v> </v>
      </c>
      <c r="J976" s="25" t="str">
        <f>IF(OR(E976="",E976="!!!",F976="NEW"),"",COUNTBLANK(OFFSET(A$1,,,SUMPRODUCT(MAX(ROW(E$2:E976)*(E976=E$2:E976)))))-COUNTBLANK(OFFSET(A$1,,,SUMPRODUCT(MAX(ROW(E$1:E975)*(E2=E$1:E975))))))</f>
        <v> </v>
      </c>
      <c r="K976" s="25" t="str">
        <f>IF(OR(E976="",E976="!!!",F976="NEW"),"",INDEX(J$1:J975,SUMPRODUCT(MAX(ROW(E$1:E975)*(E976=E$1:E975)))))</f>
        <v> </v>
      </c>
      <c r="L976" s="26"/>
    </row>
    <row r="977" spans="1:12">
      <c r="A977" s="20" t="s">
        <v>614</v>
      </c>
      <c r="E977" s="21">
        <f>IF(D977="?OLD","!!!","")</f>
        <v/>
      </c>
      <c r="F977" s="22" t="str">
        <f>IF(OR(E977="",E977="!!!"),"",IF(NOT(ISNA(VLOOKUP(E977,E$1:E976,1,FALSE()))),"OLD",IF(AND(E977&lt;&gt;"",E977&lt;&gt;"!!!"),"NEW","")))</f>
        <v> </v>
      </c>
      <c r="G977" s="23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24" t="str">
        <f>IF(J977&lt;&gt;1,"",IF(I977="SBJ","CB","?"))</f>
        <v> </v>
      </c>
      <c r="I977" s="25" t="str">
        <f>IF(OR(E977="",E977="!!!",F977="NEW"),"",INDEX(B976:B$2,-1+SUMPRODUCT(MAX(ROW(E976:E$2)*(E977=E976:E$2)))))</f>
        <v> </v>
      </c>
      <c r="J977" s="25" t="str">
        <f>IF(OR(E977="",E977="!!!",F977="NEW"),"",COUNTBLANK(OFFSET(A$1,,,SUMPRODUCT(MAX(ROW(E$2:E977)*(E977=E$2:E977)))))-COUNTBLANK(OFFSET(A$1,,,SUMPRODUCT(MAX(ROW(E$1:E976)*(E2=E$1:E976))))))</f>
        <v> </v>
      </c>
      <c r="K977" s="25" t="str">
        <f>IF(OR(E977="",E977="!!!",F977="NEW"),"",INDEX(J$1:J976,SUMPRODUCT(MAX(ROW(E$1:E976)*(E977=E$1:E976)))))</f>
        <v> </v>
      </c>
      <c r="L977" s="26"/>
    </row>
    <row r="978" spans="1:12">
      <c r="A978" s="20" t="s">
        <v>92</v>
      </c>
      <c r="E978" s="21">
        <f>IF(D978="?OLD","!!!","")</f>
        <v/>
      </c>
      <c r="F978" s="22" t="str">
        <f>IF(OR(E978="",E978="!!!"),"",IF(NOT(ISNA(VLOOKUP(E978,E$1:E977,1,FALSE()))),"OLD",IF(AND(E978&lt;&gt;"",E978&lt;&gt;"!!!"),"NEW","")))</f>
        <v> </v>
      </c>
      <c r="G978" s="23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24" t="str">
        <f>IF(J978&lt;&gt;1,"",IF(I978="SBJ","CB","?"))</f>
        <v> </v>
      </c>
      <c r="I978" s="25" t="str">
        <f>IF(OR(E978="",E978="!!!",F978="NEW"),"",INDEX(B977:B$2,-1+SUMPRODUCT(MAX(ROW(E977:E$2)*(E978=E977:E$2)))))</f>
        <v> </v>
      </c>
      <c r="J978" s="25" t="str">
        <f>IF(OR(E978="",E978="!!!",F978="NEW"),"",COUNTBLANK(OFFSET(A$1,,,SUMPRODUCT(MAX(ROW(E$2:E978)*(E978=E$2:E978)))))-COUNTBLANK(OFFSET(A$1,,,SUMPRODUCT(MAX(ROW(E$1:E977)*(E2=E$1:E977))))))</f>
        <v> </v>
      </c>
      <c r="K978" s="25" t="str">
        <f>IF(OR(E978="",E978="!!!",F978="NEW"),"",INDEX(J$1:J977,SUMPRODUCT(MAX(ROW(E$1:E977)*(E978=E$1:E977)))))</f>
        <v> </v>
      </c>
      <c r="L978" s="26"/>
    </row>
    <row r="979" spans="1:12">
      <c r="A979" s="20" t="s">
        <v>615</v>
      </c>
      <c r="E979" s="21">
        <f>IF(D979="?OLD","!!!","")</f>
        <v/>
      </c>
      <c r="F979" s="22" t="str">
        <f>IF(OR(E979="",E979="!!!"),"",IF(NOT(ISNA(VLOOKUP(E979,E$1:E978,1,FALSE()))),"OLD",IF(AND(E979&lt;&gt;"",E979&lt;&gt;"!!!"),"NEW","")))</f>
        <v> </v>
      </c>
      <c r="G979" s="23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4" t="str">
        <f>IF(J979&lt;&gt;1,"",IF(I979="SBJ","CB","?"))</f>
        <v> </v>
      </c>
      <c r="I979" s="25" t="str">
        <f>IF(OR(E979="",E979="!!!",F979="NEW"),"",INDEX(B978:B$2,-1+SUMPRODUCT(MAX(ROW(E978:E$2)*(E979=E978:E$2)))))</f>
        <v> </v>
      </c>
      <c r="J979" s="25" t="str">
        <f>IF(OR(E979="",E979="!!!",F979="NEW"),"",COUNTBLANK(OFFSET(A$1,,,SUMPRODUCT(MAX(ROW(E$2:E979)*(E979=E$2:E979)))))-COUNTBLANK(OFFSET(A$1,,,SUMPRODUCT(MAX(ROW(E$1:E978)*(E2=E$1:E978))))))</f>
        <v> </v>
      </c>
      <c r="K979" s="25" t="str">
        <f>IF(OR(E979="",E979="!!!",F979="NEW"),"",INDEX(J$1:J978,SUMPRODUCT(MAX(ROW(E$1:E978)*(E979=E$1:E978)))))</f>
        <v> </v>
      </c>
      <c r="L979" s="26"/>
    </row>
    <row r="980" spans="1:12">
      <c r="A980" s="20" t="s">
        <v>607</v>
      </c>
      <c r="B980" s="27" t="s">
        <v>216</v>
      </c>
      <c r="C980" s="27" t="s">
        <v>249</v>
      </c>
      <c r="D980" s="27" t="s">
        <v>194</v>
      </c>
      <c r="E980" s="21">
        <f>IF(D980="?OLD","!!!","")</f>
        <v/>
      </c>
      <c r="F980" s="22" t="str">
        <f>IF(OR(E980="",E980="!!!"),"",IF(NOT(ISNA(VLOOKUP(E980,E$1:E979,1,FALSE()))),"OLD",IF(AND(E980&lt;&gt;"",E980&lt;&gt;"!!!"),"NEW","")))</f>
        <v> </v>
      </c>
      <c r="G980" s="23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4" t="str">
        <f>IF(J980&lt;&gt;1,"",IF(I980="SBJ","CB","?"))</f>
        <v> </v>
      </c>
      <c r="I980" s="25" t="str">
        <f>IF(OR(E980="",E980="!!!",F980="NEW"),"",INDEX(B979:B$2,-1+SUMPRODUCT(MAX(ROW(E979:E$2)*(E980=E979:E$2)))))</f>
        <v> </v>
      </c>
      <c r="J980" s="25" t="str">
        <f>IF(OR(E980="",E980="!!!",F980="NEW"),"",COUNTBLANK(OFFSET(A$1,,,SUMPRODUCT(MAX(ROW(E$2:E980)*(E980=E$2:E980)))))-COUNTBLANK(OFFSET(A$1,,,SUMPRODUCT(MAX(ROW(E$1:E979)*(E2=E$1:E979))))))</f>
        <v> </v>
      </c>
      <c r="K980" s="25" t="str">
        <f>IF(OR(E980="",E980="!!!",F980="NEW"),"",INDEX(J$1:J979,SUMPRODUCT(MAX(ROW(E$1:E979)*(E980=E$1:E979)))))</f>
        <v> </v>
      </c>
      <c r="L980" s="26"/>
    </row>
    <row r="981" spans="1:12">
      <c r="A981" s="20" t="s">
        <v>266</v>
      </c>
      <c r="E981" s="21">
        <f>IF(D981="?OLD","!!!","")</f>
        <v/>
      </c>
      <c r="F981" s="22" t="str">
        <f>IF(OR(E981="",E981="!!!"),"",IF(NOT(ISNA(VLOOKUP(E981,E$1:E980,1,FALSE()))),"OLD",IF(AND(E981&lt;&gt;"",E981&lt;&gt;"!!!"),"NEW","")))</f>
        <v> </v>
      </c>
      <c r="G981" s="23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4" t="str">
        <f>IF(J981&lt;&gt;1,"",IF(I981="SBJ","CB","?"))</f>
        <v> </v>
      </c>
      <c r="I981" s="25" t="str">
        <f>IF(OR(E981="",E981="!!!",F981="NEW"),"",INDEX(B980:B$2,-1+SUMPRODUCT(MAX(ROW(E980:E$2)*(E981=E980:E$2)))))</f>
        <v> </v>
      </c>
      <c r="J981" s="25" t="str">
        <f>IF(OR(E981="",E981="!!!",F981="NEW"),"",COUNTBLANK(OFFSET(A$1,,,SUMPRODUCT(MAX(ROW(E$2:E981)*(E981=E$2:E981)))))-COUNTBLANK(OFFSET(A$1,,,SUMPRODUCT(MAX(ROW(E$1:E980)*(E2=E$1:E980))))))</f>
        <v> </v>
      </c>
      <c r="K981" s="25" t="str">
        <f>IF(OR(E981="",E981="!!!",F981="NEW"),"",INDEX(J$1:J980,SUMPRODUCT(MAX(ROW(E$1:E980)*(E981=E$1:E980)))))</f>
        <v> </v>
      </c>
      <c r="L981" s="26"/>
    </row>
    <row r="982" spans="1:12">
      <c r="A982" s="20" t="s">
        <v>586</v>
      </c>
      <c r="B982" s="27" t="s">
        <v>197</v>
      </c>
      <c r="C982" s="27" t="s">
        <v>189</v>
      </c>
      <c r="E982" s="21">
        <f>IF(D982="?OLD","!!!","")</f>
        <v/>
      </c>
      <c r="F982" s="22" t="str">
        <f>IF(OR(E982="",E982="!!!"),"",IF(NOT(ISNA(VLOOKUP(E982,E$1:E981,1,FALSE()))),"OLD",IF(AND(E982&lt;&gt;"",E982&lt;&gt;"!!!"),"NEW","")))</f>
        <v> </v>
      </c>
      <c r="G982" s="23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4" t="str">
        <f>IF(J982&lt;&gt;1,"",IF(I982="SBJ","CB","?"))</f>
        <v> </v>
      </c>
      <c r="I982" s="25" t="str">
        <f>IF(OR(E982="",E982="!!!",F982="NEW"),"",INDEX(B981:B$2,-1+SUMPRODUCT(MAX(ROW(E981:E$2)*(E982=E981:E$2)))))</f>
        <v> </v>
      </c>
      <c r="J982" s="25" t="str">
        <f>IF(OR(E982="",E982="!!!",F982="NEW"),"",COUNTBLANK(OFFSET(A$1,,,SUMPRODUCT(MAX(ROW(E$2:E982)*(E982=E$2:E982)))))-COUNTBLANK(OFFSET(A$1,,,SUMPRODUCT(MAX(ROW(E$1:E981)*(E2=E$1:E981))))))</f>
        <v> </v>
      </c>
      <c r="K982" s="25" t="str">
        <f>IF(OR(E982="",E982="!!!",F982="NEW"),"",INDEX(J$1:J981,SUMPRODUCT(MAX(ROW(E$1:E981)*(E982=E$1:E981)))))</f>
        <v> </v>
      </c>
      <c r="L982" s="26"/>
    </row>
    <row r="983" spans="1:12">
      <c r="A983" s="20" t="s">
        <v>219</v>
      </c>
      <c r="E983" s="21">
        <f>IF(D983="?OLD","!!!","")</f>
        <v/>
      </c>
      <c r="F983" s="22" t="str">
        <f>IF(OR(E983="",E983="!!!"),"",IF(NOT(ISNA(VLOOKUP(E983,E$1:E982,1,FALSE()))),"OLD",IF(AND(E983&lt;&gt;"",E983&lt;&gt;"!!!"),"NEW","")))</f>
        <v> </v>
      </c>
      <c r="G983" s="23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4" t="str">
        <f>IF(J983&lt;&gt;1,"",IF(I983="SBJ","CB","?"))</f>
        <v> </v>
      </c>
      <c r="I983" s="25" t="str">
        <f>IF(OR(E983="",E983="!!!",F983="NEW"),"",INDEX(B982:B$2,-1+SUMPRODUCT(MAX(ROW(E982:E$2)*(E983=E982:E$2)))))</f>
        <v> </v>
      </c>
      <c r="J983" s="25" t="str">
        <f>IF(OR(E983="",E983="!!!",F983="NEW"),"",COUNTBLANK(OFFSET(A$1,,,SUMPRODUCT(MAX(ROW(E$2:E983)*(E983=E$2:E983)))))-COUNTBLANK(OFFSET(A$1,,,SUMPRODUCT(MAX(ROW(E$1:E982)*(E2=E$1:E982))))))</f>
        <v> </v>
      </c>
      <c r="K983" s="25" t="str">
        <f>IF(OR(E983="",E983="!!!",F983="NEW"),"",INDEX(J$1:J982,SUMPRODUCT(MAX(ROW(E$1:E982)*(E983=E$1:E982)))))</f>
        <v> </v>
      </c>
      <c r="L983" s="26"/>
    </row>
    <row r="984" spans="1:12">
      <c r="A984" s="20"/>
    </row>
    <row r="985" spans="1:12">
      <c r="A985" s="20" t="s">
        <v>616</v>
      </c>
    </row>
    <row r="986" spans="1:12">
      <c r="A986" s="20" t="s">
        <v>491</v>
      </c>
      <c r="E986" s="21">
        <f>IF(D986="?OLD","!!!","")</f>
        <v/>
      </c>
      <c r="F986" s="22" t="str">
        <f>IF(OR(E986="",E986="!!!"),"",IF(NOT(ISNA(VLOOKUP(E986,E$1:E985,1,FALSE()))),"OLD",IF(AND(E986&lt;&gt;"",E986&lt;&gt;"!!!"),"NEW","")))</f>
        <v> </v>
      </c>
      <c r="G986" s="23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4" t="str">
        <f>IF(J986&lt;&gt;1,"",IF(I986="SBJ","CB","?"))</f>
        <v> </v>
      </c>
      <c r="I986" s="25" t="str">
        <f>IF(OR(E986="",E986="!!!",F986="NEW"),"",INDEX(B985:B$2,-1+SUMPRODUCT(MAX(ROW(E985:E$2)*(E986=E985:E$2)))))</f>
        <v> </v>
      </c>
      <c r="J986" s="25" t="str">
        <f>IF(OR(E986="",E986="!!!",F986="NEW"),"",COUNTBLANK(OFFSET(A$1,,,SUMPRODUCT(MAX(ROW(E$2:E986)*(E986=E$2:E986)))))-COUNTBLANK(OFFSET(A$1,,,SUMPRODUCT(MAX(ROW(E$1:E985)*(E2=E$1:E985))))))</f>
        <v> </v>
      </c>
      <c r="K986" s="25" t="str">
        <f>IF(OR(E986="",E986="!!!",F986="NEW"),"",INDEX(J$1:J985,SUMPRODUCT(MAX(ROW(E$1:E985)*(E986=E$1:E985)))))</f>
        <v> </v>
      </c>
      <c r="L986" s="26"/>
    </row>
    <row r="987" spans="1:12">
      <c r="A987" s="20" t="s">
        <v>586</v>
      </c>
      <c r="B987" s="27" t="s">
        <v>192</v>
      </c>
      <c r="C987" s="27" t="s">
        <v>193</v>
      </c>
      <c r="D987" s="27" t="s">
        <v>194</v>
      </c>
      <c r="E987" s="21">
        <f>IF(D987="?OLD","!!!","")</f>
        <v/>
      </c>
      <c r="F987" s="22" t="str">
        <f>IF(OR(E987="",E987="!!!"),"",IF(NOT(ISNA(VLOOKUP(E987,E$1:E986,1,FALSE()))),"OLD",IF(AND(E987&lt;&gt;"",E987&lt;&gt;"!!!"),"NEW","")))</f>
        <v> </v>
      </c>
      <c r="G987" s="23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4" t="str">
        <f>IF(J987&lt;&gt;1,"",IF(I987="SBJ","CB","?"))</f>
        <v> </v>
      </c>
      <c r="I987" s="25" t="str">
        <f>IF(OR(E987="",E987="!!!",F987="NEW"),"",INDEX(B986:B$2,-1+SUMPRODUCT(MAX(ROW(E986:E$2)*(E987=E986:E$2)))))</f>
        <v> </v>
      </c>
      <c r="J987" s="25" t="str">
        <f>IF(OR(E987="",E987="!!!",F987="NEW"),"",COUNTBLANK(OFFSET(A$1,,,SUMPRODUCT(MAX(ROW(E$2:E987)*(E987=E$2:E987)))))-COUNTBLANK(OFFSET(A$1,,,SUMPRODUCT(MAX(ROW(E$1:E986)*(E2=E$1:E986))))))</f>
        <v> </v>
      </c>
      <c r="K987" s="25" t="str">
        <f>IF(OR(E987="",E987="!!!",F987="NEW"),"",INDEX(J$1:J986,SUMPRODUCT(MAX(ROW(E$1:E986)*(E987=E$1:E986)))))</f>
        <v> </v>
      </c>
      <c r="L987" s="26"/>
    </row>
    <row r="988" spans="1:12">
      <c r="A988" s="20" t="s">
        <v>195</v>
      </c>
      <c r="E988" s="21">
        <f>IF(D988="?OLD","!!!","")</f>
        <v/>
      </c>
      <c r="F988" s="22" t="str">
        <f>IF(OR(E988="",E988="!!!"),"",IF(NOT(ISNA(VLOOKUP(E988,E$1:E987,1,FALSE()))),"OLD",IF(AND(E988&lt;&gt;"",E988&lt;&gt;"!!!"),"NEW","")))</f>
        <v> </v>
      </c>
      <c r="G988" s="23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4" t="str">
        <f>IF(J988&lt;&gt;1,"",IF(I988="SBJ","CB","?"))</f>
        <v> </v>
      </c>
      <c r="I988" s="25" t="str">
        <f>IF(OR(E988="",E988="!!!",F988="NEW"),"",INDEX(B987:B$2,-1+SUMPRODUCT(MAX(ROW(E987:E$2)*(E988=E987:E$2)))))</f>
        <v> </v>
      </c>
      <c r="J988" s="25" t="str">
        <f>IF(OR(E988="",E988="!!!",F988="NEW"),"",COUNTBLANK(OFFSET(A$1,,,SUMPRODUCT(MAX(ROW(E$2:E988)*(E988=E$2:E988)))))-COUNTBLANK(OFFSET(A$1,,,SUMPRODUCT(MAX(ROW(E$1:E987)*(E2=E$1:E987))))))</f>
        <v> </v>
      </c>
      <c r="K988" s="25" t="str">
        <f>IF(OR(E988="",E988="!!!",F988="NEW"),"",INDEX(J$1:J987,SUMPRODUCT(MAX(ROW(E$1:E987)*(E988=E$1:E987)))))</f>
        <v> </v>
      </c>
      <c r="L988" s="26"/>
    </row>
    <row r="989" spans="1:12">
      <c r="A989" s="20" t="s">
        <v>326</v>
      </c>
      <c r="E989" s="21">
        <f>IF(D989="?OLD","!!!","")</f>
        <v/>
      </c>
      <c r="F989" s="22" t="str">
        <f>IF(OR(E989="",E989="!!!"),"",IF(NOT(ISNA(VLOOKUP(E989,E$1:E988,1,FALSE()))),"OLD",IF(AND(E989&lt;&gt;"",E989&lt;&gt;"!!!"),"NEW","")))</f>
        <v> </v>
      </c>
      <c r="G989" s="23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4" t="str">
        <f>IF(J989&lt;&gt;1,"",IF(I989="SBJ","CB","?"))</f>
        <v> </v>
      </c>
      <c r="I989" s="25" t="str">
        <f>IF(OR(E989="",E989="!!!",F989="NEW"),"",INDEX(B988:B$2,-1+SUMPRODUCT(MAX(ROW(E988:E$2)*(E989=E988:E$2)))))</f>
        <v> </v>
      </c>
      <c r="J989" s="25" t="str">
        <f>IF(OR(E989="",E989="!!!",F989="NEW"),"",COUNTBLANK(OFFSET(A$1,,,SUMPRODUCT(MAX(ROW(E$2:E989)*(E989=E$2:E989)))))-COUNTBLANK(OFFSET(A$1,,,SUMPRODUCT(MAX(ROW(E$1:E988)*(E2=E$1:E988))))))</f>
        <v> </v>
      </c>
      <c r="K989" s="25" t="str">
        <f>IF(OR(E989="",E989="!!!",F989="NEW"),"",INDEX(J$1:J988,SUMPRODUCT(MAX(ROW(E$1:E988)*(E989=E$1:E988)))))</f>
        <v> </v>
      </c>
      <c r="L989" s="26"/>
    </row>
    <row r="990" spans="1:12">
      <c r="A990" s="20" t="s">
        <v>617</v>
      </c>
      <c r="B990" s="27" t="s">
        <v>197</v>
      </c>
      <c r="C990" s="27" t="s">
        <v>249</v>
      </c>
      <c r="D990" s="27" t="s">
        <v>194</v>
      </c>
      <c r="E990" s="21">
        <f>IF(D990="?OLD","!!!","")</f>
        <v/>
      </c>
      <c r="F990" s="22" t="str">
        <f>IF(OR(E990="",E990="!!!"),"",IF(NOT(ISNA(VLOOKUP(E990,E$1:E989,1,FALSE()))),"OLD",IF(AND(E990&lt;&gt;"",E990&lt;&gt;"!!!"),"NEW","")))</f>
        <v> </v>
      </c>
      <c r="G990" s="23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4" t="str">
        <f>IF(J990&lt;&gt;1,"",IF(I990="SBJ","CB","?"))</f>
        <v> </v>
      </c>
      <c r="I990" s="25" t="str">
        <f>IF(OR(E990="",E990="!!!",F990="NEW"),"",INDEX(B989:B$2,-1+SUMPRODUCT(MAX(ROW(E989:E$2)*(E990=E989:E$2)))))</f>
        <v> </v>
      </c>
      <c r="J990" s="25" t="str">
        <f>IF(OR(E990="",E990="!!!",F990="NEW"),"",COUNTBLANK(OFFSET(A$1,,,SUMPRODUCT(MAX(ROW(E$2:E990)*(E990=E$2:E990)))))-COUNTBLANK(OFFSET(A$1,,,SUMPRODUCT(MAX(ROW(E$1:E989)*(E2=E$1:E989))))))</f>
        <v> </v>
      </c>
      <c r="K990" s="25" t="str">
        <f>IF(OR(E990="",E990="!!!",F990="NEW"),"",INDEX(J$1:J989,SUMPRODUCT(MAX(ROW(E$1:E989)*(E990=E$1:E989)))))</f>
        <v> </v>
      </c>
      <c r="L990" s="26"/>
    </row>
    <row r="991" spans="1:12">
      <c r="A991" s="20" t="s">
        <v>618</v>
      </c>
      <c r="E991" s="21">
        <f>IF(D991="?OLD","!!!","")</f>
        <v/>
      </c>
      <c r="F991" s="22" t="str">
        <f>IF(OR(E991="",E991="!!!"),"",IF(NOT(ISNA(VLOOKUP(E991,E$1:E990,1,FALSE()))),"OLD",IF(AND(E991&lt;&gt;"",E991&lt;&gt;"!!!"),"NEW","")))</f>
        <v> </v>
      </c>
      <c r="G991" s="23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4" t="str">
        <f>IF(J991&lt;&gt;1,"",IF(I991="SBJ","CB","?"))</f>
        <v> </v>
      </c>
      <c r="I991" s="25" t="str">
        <f>IF(OR(E991="",E991="!!!",F991="NEW"),"",INDEX(B990:B$2,-1+SUMPRODUCT(MAX(ROW(E990:E$2)*(E991=E990:E$2)))))</f>
        <v> </v>
      </c>
      <c r="J991" s="25" t="str">
        <f>IF(OR(E991="",E991="!!!",F991="NEW"),"",COUNTBLANK(OFFSET(A$1,,,SUMPRODUCT(MAX(ROW(E$2:E991)*(E991=E$2:E991)))))-COUNTBLANK(OFFSET(A$1,,,SUMPRODUCT(MAX(ROW(E$1:E990)*(E2=E$1:E990))))))</f>
        <v> </v>
      </c>
      <c r="K991" s="25" t="str">
        <f>IF(OR(E991="",E991="!!!",F991="NEW"),"",INDEX(J$1:J990,SUMPRODUCT(MAX(ROW(E$1:E990)*(E991=E$1:E990)))))</f>
        <v> </v>
      </c>
      <c r="L991" s="26"/>
    </row>
    <row r="992" spans="1:12">
      <c r="A992" s="20" t="s">
        <v>571</v>
      </c>
      <c r="B992" s="27" t="s">
        <v>210</v>
      </c>
      <c r="C992" s="27" t="s">
        <v>244</v>
      </c>
      <c r="D992" s="27" t="s">
        <v>194</v>
      </c>
      <c r="E992" s="21">
        <f>IF(D992="?OLD","!!!","")</f>
        <v/>
      </c>
      <c r="F992" s="22" t="str">
        <f>IF(OR(E992="",E992="!!!"),"",IF(NOT(ISNA(VLOOKUP(E992,E$1:E991,1,FALSE()))),"OLD",IF(AND(E992&lt;&gt;"",E992&lt;&gt;"!!!"),"NEW","")))</f>
        <v> </v>
      </c>
      <c r="G992" s="23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4" t="str">
        <f>IF(J992&lt;&gt;1,"",IF(I992="SBJ","CB","?"))</f>
        <v> </v>
      </c>
      <c r="I992" s="25" t="str">
        <f>IF(OR(E992="",E992="!!!",F992="NEW"),"",INDEX(B991:B$2,-1+SUMPRODUCT(MAX(ROW(E991:E$2)*(E992=E991:E$2)))))</f>
        <v> </v>
      </c>
      <c r="J992" s="25" t="str">
        <f>IF(OR(E992="",E992="!!!",F992="NEW"),"",COUNTBLANK(OFFSET(A$1,,,SUMPRODUCT(MAX(ROW(E$2:E992)*(E992=E$2:E992)))))-COUNTBLANK(OFFSET(A$1,,,SUMPRODUCT(MAX(ROW(E$1:E991)*(E2=E$1:E991))))))</f>
        <v> </v>
      </c>
      <c r="K992" s="25" t="str">
        <f>IF(OR(E992="",E992="!!!",F992="NEW"),"",INDEX(J$1:J991,SUMPRODUCT(MAX(ROW(E$1:E991)*(E992=E$1:E991)))))</f>
        <v> </v>
      </c>
      <c r="L992" s="26"/>
    </row>
    <row r="993" spans="1:12">
      <c r="A993" s="20" t="s">
        <v>211</v>
      </c>
      <c r="E993" s="21">
        <f>IF(D993="?OLD","!!!","")</f>
        <v/>
      </c>
      <c r="F993" s="22" t="str">
        <f>IF(OR(E993="",E993="!!!"),"",IF(NOT(ISNA(VLOOKUP(E993,E$1:E992,1,FALSE()))),"OLD",IF(AND(E993&lt;&gt;"",E993&lt;&gt;"!!!"),"NEW","")))</f>
        <v> </v>
      </c>
      <c r="G993" s="23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4" t="str">
        <f>IF(J993&lt;&gt;1,"",IF(I993="SBJ","CB","?"))</f>
        <v> </v>
      </c>
      <c r="I993" s="25" t="str">
        <f>IF(OR(E993="",E993="!!!",F993="NEW"),"",INDEX(B992:B$2,-1+SUMPRODUCT(MAX(ROW(E992:E$2)*(E993=E992:E$2)))))</f>
        <v> </v>
      </c>
      <c r="J993" s="25" t="str">
        <f>IF(OR(E993="",E993="!!!",F993="NEW"),"",COUNTBLANK(OFFSET(A$1,,,SUMPRODUCT(MAX(ROW(E$2:E993)*(E993=E$2:E993)))))-COUNTBLANK(OFFSET(A$1,,,SUMPRODUCT(MAX(ROW(E$1:E992)*(E2=E$1:E992))))))</f>
        <v> </v>
      </c>
      <c r="K993" s="25" t="str">
        <f>IF(OR(E993="",E993="!!!",F993="NEW"),"",INDEX(J$1:J992,SUMPRODUCT(MAX(ROW(E$1:E992)*(E993=E$1:E992)))))</f>
        <v> </v>
      </c>
      <c r="L993" s="26"/>
    </row>
    <row r="994" spans="1:12">
      <c r="A994" s="20" t="s">
        <v>306</v>
      </c>
      <c r="B994" s="27" t="s">
        <v>210</v>
      </c>
      <c r="C994" s="27" t="s">
        <v>307</v>
      </c>
      <c r="D994" s="27" t="s">
        <v>194</v>
      </c>
      <c r="E994" s="21">
        <f>IF(D994="?OLD","!!!","")</f>
        <v/>
      </c>
      <c r="F994" s="22" t="str">
        <f>IF(OR(E994="",E994="!!!"),"",IF(NOT(ISNA(VLOOKUP(E994,E$1:E993,1,FALSE()))),"OLD",IF(AND(E994&lt;&gt;"",E994&lt;&gt;"!!!"),"NEW","")))</f>
        <v> </v>
      </c>
      <c r="G994" s="23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4" t="str">
        <f>IF(J994&lt;&gt;1,"",IF(I994="SBJ","CB","?"))</f>
        <v> </v>
      </c>
      <c r="I994" s="25" t="str">
        <f>IF(OR(E994="",E994="!!!",F994="NEW"),"",INDEX(B993:B$2,-1+SUMPRODUCT(MAX(ROW(E993:E$2)*(E994=E993:E$2)))))</f>
        <v> </v>
      </c>
      <c r="J994" s="25" t="str">
        <f>IF(OR(E994="",E994="!!!",F994="NEW"),"",COUNTBLANK(OFFSET(A$1,,,SUMPRODUCT(MAX(ROW(E$2:E994)*(E994=E$2:E994)))))-COUNTBLANK(OFFSET(A$1,,,SUMPRODUCT(MAX(ROW(E$1:E993)*(E2=E$1:E993))))))</f>
        <v> </v>
      </c>
      <c r="K994" s="25" t="str">
        <f>IF(OR(E994="",E994="!!!",F994="NEW"),"",INDEX(J$1:J993,SUMPRODUCT(MAX(ROW(E$1:E993)*(E994=E$1:E993)))))</f>
        <v> </v>
      </c>
      <c r="L994" s="26"/>
    </row>
    <row r="995" spans="1:12">
      <c r="A995" s="20" t="s">
        <v>205</v>
      </c>
      <c r="E995" s="21">
        <f>IF(D995="?OLD","!!!","")</f>
        <v/>
      </c>
      <c r="F995" s="22" t="str">
        <f>IF(OR(E995="",E995="!!!"),"",IF(NOT(ISNA(VLOOKUP(E995,E$1:E994,1,FALSE()))),"OLD",IF(AND(E995&lt;&gt;"",E995&lt;&gt;"!!!"),"NEW","")))</f>
        <v> </v>
      </c>
      <c r="G995" s="23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4" t="str">
        <f>IF(J995&lt;&gt;1,"",IF(I995="SBJ","CB","?"))</f>
        <v> </v>
      </c>
      <c r="I995" s="25" t="str">
        <f>IF(OR(E995="",E995="!!!",F995="NEW"),"",INDEX(B994:B$2,-1+SUMPRODUCT(MAX(ROW(E994:E$2)*(E995=E994:E$2)))))</f>
        <v> </v>
      </c>
      <c r="J995" s="25" t="str">
        <f>IF(OR(E995="",E995="!!!",F995="NEW"),"",COUNTBLANK(OFFSET(A$1,,,SUMPRODUCT(MAX(ROW(E$2:E995)*(E995=E$2:E995)))))-COUNTBLANK(OFFSET(A$1,,,SUMPRODUCT(MAX(ROW(E$1:E994)*(E2=E$1:E994))))))</f>
        <v> </v>
      </c>
      <c r="K995" s="25" t="str">
        <f>IF(OR(E995="",E995="!!!",F995="NEW"),"",INDEX(J$1:J994,SUMPRODUCT(MAX(ROW(E$1:E994)*(E995=E$1:E994)))))</f>
        <v> </v>
      </c>
      <c r="L995" s="26"/>
    </row>
    <row r="996" spans="1:12">
      <c r="A996" s="20" t="s">
        <v>619</v>
      </c>
      <c r="E996" s="21">
        <f>IF(D996="?OLD","!!!","")</f>
        <v/>
      </c>
      <c r="F996" s="22" t="str">
        <f>IF(OR(E996="",E996="!!!"),"",IF(NOT(ISNA(VLOOKUP(E996,E$1:E995,1,FALSE()))),"OLD",IF(AND(E996&lt;&gt;"",E996&lt;&gt;"!!!"),"NEW","")))</f>
        <v> </v>
      </c>
      <c r="G996" s="23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24" t="str">
        <f>IF(J996&lt;&gt;1,"",IF(I996="SBJ","CB","?"))</f>
        <v> </v>
      </c>
      <c r="I996" s="25" t="str">
        <f>IF(OR(E996="",E996="!!!",F996="NEW"),"",INDEX(B995:B$2,-1+SUMPRODUCT(MAX(ROW(E995:E$2)*(E996=E995:E$2)))))</f>
        <v> </v>
      </c>
      <c r="J996" s="25" t="str">
        <f>IF(OR(E996="",E996="!!!",F996="NEW"),"",COUNTBLANK(OFFSET(A$1,,,SUMPRODUCT(MAX(ROW(E$2:E996)*(E996=E$2:E996)))))-COUNTBLANK(OFFSET(A$1,,,SUMPRODUCT(MAX(ROW(E$1:E995)*(E2=E$1:E995))))))</f>
        <v> </v>
      </c>
      <c r="K996" s="25" t="str">
        <f>IF(OR(E996="",E996="!!!",F996="NEW"),"",INDEX(J$1:J995,SUMPRODUCT(MAX(ROW(E$1:E995)*(E996=E$1:E995)))))</f>
        <v> </v>
      </c>
      <c r="L996" s="26"/>
    </row>
    <row r="997" spans="1:12">
      <c r="A997" s="20" t="s">
        <v>571</v>
      </c>
      <c r="B997" s="27" t="s">
        <v>216</v>
      </c>
      <c r="C997" s="27" t="s">
        <v>244</v>
      </c>
      <c r="D997" s="27" t="s">
        <v>194</v>
      </c>
      <c r="E997" s="21">
        <f>IF(D997="?OLD","!!!","")</f>
        <v/>
      </c>
      <c r="F997" s="22" t="str">
        <f>IF(OR(E997="",E997="!!!"),"",IF(NOT(ISNA(VLOOKUP(E997,E$1:E996,1,FALSE()))),"OLD",IF(AND(E997&lt;&gt;"",E997&lt;&gt;"!!!"),"NEW","")))</f>
        <v> </v>
      </c>
      <c r="G997" s="23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24" t="str">
        <f>IF(J997&lt;&gt;1,"",IF(I997="SBJ","CB","?"))</f>
        <v> </v>
      </c>
      <c r="I997" s="25" t="str">
        <f>IF(OR(E997="",E997="!!!",F997="NEW"),"",INDEX(B996:B$2,-1+SUMPRODUCT(MAX(ROW(E996:E$2)*(E997=E996:E$2)))))</f>
        <v> </v>
      </c>
      <c r="J997" s="25" t="str">
        <f>IF(OR(E997="",E997="!!!",F997="NEW"),"",COUNTBLANK(OFFSET(A$1,,,SUMPRODUCT(MAX(ROW(E$2:E997)*(E997=E$2:E997)))))-COUNTBLANK(OFFSET(A$1,,,SUMPRODUCT(MAX(ROW(E$1:E996)*(E2=E$1:E996))))))</f>
        <v> </v>
      </c>
      <c r="K997" s="25" t="str">
        <f>IF(OR(E997="",E997="!!!",F997="NEW"),"",INDEX(J$1:J996,SUMPRODUCT(MAX(ROW(E$1:E996)*(E997=E$1:E996)))))</f>
        <v> </v>
      </c>
      <c r="L997" s="26"/>
    </row>
    <row r="998" spans="1:12">
      <c r="A998" s="20" t="s">
        <v>205</v>
      </c>
      <c r="E998" s="21">
        <f>IF(D998="?OLD","!!!","")</f>
        <v/>
      </c>
      <c r="F998" s="22" t="str">
        <f>IF(OR(E998="",E998="!!!"),"",IF(NOT(ISNA(VLOOKUP(E998,E$1:E997,1,FALSE()))),"OLD",IF(AND(E998&lt;&gt;"",E998&lt;&gt;"!!!"),"NEW","")))</f>
        <v> </v>
      </c>
      <c r="G998" s="23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4" t="str">
        <f>IF(J998&lt;&gt;1,"",IF(I998="SBJ","CB","?"))</f>
        <v> </v>
      </c>
      <c r="I998" s="25" t="str">
        <f>IF(OR(E998="",E998="!!!",F998="NEW"),"",INDEX(B997:B$2,-1+SUMPRODUCT(MAX(ROW(E997:E$2)*(E998=E997:E$2)))))</f>
        <v> </v>
      </c>
      <c r="J998" s="25" t="str">
        <f>IF(OR(E998="",E998="!!!",F998="NEW"),"",COUNTBLANK(OFFSET(A$1,,,SUMPRODUCT(MAX(ROW(E$2:E998)*(E998=E$2:E998)))))-COUNTBLANK(OFFSET(A$1,,,SUMPRODUCT(MAX(ROW(E$1:E997)*(E2=E$1:E997))))))</f>
        <v> </v>
      </c>
      <c r="K998" s="25" t="str">
        <f>IF(OR(E998="",E998="!!!",F998="NEW"),"",INDEX(J$1:J997,SUMPRODUCT(MAX(ROW(E$1:E997)*(E998=E$1:E997)))))</f>
        <v> </v>
      </c>
      <c r="L998" s="26"/>
    </row>
    <row r="999" spans="1:12">
      <c r="A999" s="20" t="s">
        <v>620</v>
      </c>
      <c r="E999" s="21">
        <f>IF(D999="?OLD","!!!","")</f>
        <v/>
      </c>
      <c r="F999" s="22" t="str">
        <f>IF(OR(E999="",E999="!!!"),"",IF(NOT(ISNA(VLOOKUP(E999,E$1:E998,1,FALSE()))),"OLD",IF(AND(E999&lt;&gt;"",E999&lt;&gt;"!!!"),"NEW","")))</f>
        <v> </v>
      </c>
      <c r="G999" s="23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4" t="str">
        <f>IF(J999&lt;&gt;1,"",IF(I999="SBJ","CB","?"))</f>
        <v> </v>
      </c>
      <c r="I999" s="25" t="str">
        <f>IF(OR(E999="",E999="!!!",F999="NEW"),"",INDEX(B998:B$2,-1+SUMPRODUCT(MAX(ROW(E998:E$2)*(E999=E998:E$2)))))</f>
        <v> </v>
      </c>
      <c r="J999" s="25" t="str">
        <f>IF(OR(E999="",E999="!!!",F999="NEW"),"",COUNTBLANK(OFFSET(A$1,,,SUMPRODUCT(MAX(ROW(E$2:E999)*(E999=E$2:E999)))))-COUNTBLANK(OFFSET(A$1,,,SUMPRODUCT(MAX(ROW(E$1:E998)*(E2=E$1:E998))))))</f>
        <v> </v>
      </c>
      <c r="K999" s="25" t="str">
        <f>IF(OR(E999="",E999="!!!",F999="NEW"),"",INDEX(J$1:J998,SUMPRODUCT(MAX(ROW(E$1:E998)*(E999=E$1:E998)))))</f>
        <v> </v>
      </c>
      <c r="L999" s="26"/>
    </row>
    <row r="1000" spans="1:12">
      <c r="A1000" s="20" t="s">
        <v>571</v>
      </c>
      <c r="B1000" s="27" t="s">
        <v>216</v>
      </c>
      <c r="C1000" s="27" t="s">
        <v>244</v>
      </c>
      <c r="D1000" s="27" t="s">
        <v>194</v>
      </c>
      <c r="E1000" s="21">
        <f>IF(D1000="?OLD","!!!","")</f>
        <v/>
      </c>
      <c r="F1000" s="22" t="str">
        <f>IF(OR(E1000="",E1000="!!!"),"",IF(NOT(ISNA(VLOOKUP(E1000,E$1:E999,1,FALSE()))),"OLD",IF(AND(E1000&lt;&gt;"",E1000&lt;&gt;"!!!"),"NEW","")))</f>
        <v> </v>
      </c>
      <c r="G1000" s="23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4" t="str">
        <f>IF(J1000&lt;&gt;1,"",IF(I1000="SBJ","CB","?"))</f>
        <v> </v>
      </c>
      <c r="I1000" s="25" t="str">
        <f>IF(OR(E1000="",E1000="!!!",F1000="NEW"),"",INDEX(B999:B$2,-1+SUMPRODUCT(MAX(ROW(E999:E$2)*(E1000=E999:E$2)))))</f>
        <v> </v>
      </c>
      <c r="J1000" s="25" t="str">
        <f>IF(OR(E1000="",E1000="!!!",F1000="NEW"),"",COUNTBLANK(OFFSET(A$1,,,SUMPRODUCT(MAX(ROW(E$2:E1000)*(E1000=E$2:E1000)))))-COUNTBLANK(OFFSET(A$1,,,SUMPRODUCT(MAX(ROW(E$1:E999)*(E2=E$1:E999))))))</f>
        <v> </v>
      </c>
      <c r="K1000" s="25" t="str">
        <f>IF(OR(E1000="",E1000="!!!",F1000="NEW"),"",INDEX(J$1:J999,SUMPRODUCT(MAX(ROW(E$1:E999)*(E1000=E$1:E999)))))</f>
        <v> </v>
      </c>
      <c r="L1000" s="26"/>
    </row>
    <row r="1001" spans="1:12">
      <c r="A1001" s="20" t="s">
        <v>270</v>
      </c>
      <c r="E1001" s="21">
        <f>IF(D1001="?OLD","!!!","")</f>
        <v/>
      </c>
      <c r="F1001" s="22" t="str">
        <f>IF(OR(E1001="",E1001="!!!"),"",IF(NOT(ISNA(VLOOKUP(E1001,E$1:E1000,1,FALSE()))),"OLD",IF(AND(E1001&lt;&gt;"",E1001&lt;&gt;"!!!"),"NEW","")))</f>
        <v> </v>
      </c>
      <c r="G1001" s="23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4" t="str">
        <f>IF(J1001&lt;&gt;1,"",IF(I1001="SBJ","CB","?"))</f>
        <v> </v>
      </c>
      <c r="I1001" s="25" t="str">
        <f>IF(OR(E1001="",E1001="!!!",F1001="NEW"),"",INDEX(B1000:B$2,-1+SUMPRODUCT(MAX(ROW(E1000:E$2)*(E1001=E1000:E$2)))))</f>
        <v> </v>
      </c>
      <c r="J1001" s="25" t="str">
        <f>IF(OR(E1001="",E1001="!!!",F1001="NEW"),"",COUNTBLANK(OFFSET(A$1,,,SUMPRODUCT(MAX(ROW(E$2:E1001)*(E1001=E$2:E1001)))))-COUNTBLANK(OFFSET(A$1,,,SUMPRODUCT(MAX(ROW(E$1:E1000)*(E2=E$1:E1000))))))</f>
        <v> </v>
      </c>
      <c r="K1001" s="25" t="str">
        <f>IF(OR(E1001="",E1001="!!!",F1001="NEW"),"",INDEX(J$1:J1000,SUMPRODUCT(MAX(ROW(E$1:E1000)*(E1001=E$1:E1000)))))</f>
        <v> </v>
      </c>
      <c r="L1001" s="26"/>
    </row>
    <row r="1002" spans="1:12">
      <c r="A1002" s="20" t="s">
        <v>621</v>
      </c>
      <c r="E1002" s="21">
        <f>IF(D1002="?OLD","!!!","")</f>
        <v/>
      </c>
      <c r="F1002" s="22" t="str">
        <f>IF(OR(E1002="",E1002="!!!"),"",IF(NOT(ISNA(VLOOKUP(E1002,E$1:E1001,1,FALSE()))),"OLD",IF(AND(E1002&lt;&gt;"",E1002&lt;&gt;"!!!"),"NEW","")))</f>
        <v> </v>
      </c>
      <c r="G1002" s="23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4" t="str">
        <f>IF(J1002&lt;&gt;1,"",IF(I1002="SBJ","CB","?"))</f>
        <v> </v>
      </c>
      <c r="I1002" s="25" t="str">
        <f>IF(OR(E1002="",E1002="!!!",F1002="NEW"),"",INDEX(B1001:B$2,-1+SUMPRODUCT(MAX(ROW(E1001:E$2)*(E1002=E1001:E$2)))))</f>
        <v> </v>
      </c>
      <c r="J1002" s="25" t="str">
        <f>IF(OR(E1002="",E1002="!!!",F1002="NEW"),"",COUNTBLANK(OFFSET(A$1,,,SUMPRODUCT(MAX(ROW(E$2:E1002)*(E1002=E$2:E1002)))))-COUNTBLANK(OFFSET(A$1,,,SUMPRODUCT(MAX(ROW(E$1:E1001)*(E2=E$1:E1001))))))</f>
        <v> </v>
      </c>
      <c r="K1002" s="25" t="str">
        <f>IF(OR(E1002="",E1002="!!!",F1002="NEW"),"",INDEX(J$1:J1001,SUMPRODUCT(MAX(ROW(E$1:E1001)*(E1002=E$1:E1001)))))</f>
        <v> </v>
      </c>
      <c r="L1002" s="26"/>
    </row>
    <row r="1003" spans="1:12">
      <c r="A1003" s="20" t="s">
        <v>571</v>
      </c>
      <c r="B1003" s="27" t="s">
        <v>216</v>
      </c>
      <c r="C1003" s="27" t="s">
        <v>244</v>
      </c>
      <c r="D1003" s="27" t="s">
        <v>194</v>
      </c>
      <c r="E1003" s="21">
        <f>IF(D1003="?OLD","!!!","")</f>
        <v/>
      </c>
      <c r="F1003" s="22" t="str">
        <f>IF(OR(E1003="",E1003="!!!"),"",IF(NOT(ISNA(VLOOKUP(E1003,E$1:E1002,1,FALSE()))),"OLD",IF(AND(E1003&lt;&gt;"",E1003&lt;&gt;"!!!"),"NEW","")))</f>
        <v> </v>
      </c>
      <c r="G1003" s="23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4" t="str">
        <f>IF(J1003&lt;&gt;1,"",IF(I1003="SBJ","CB","?"))</f>
        <v> </v>
      </c>
      <c r="I1003" s="25" t="str">
        <f>IF(OR(E1003="",E1003="!!!",F1003="NEW"),"",INDEX(B1002:B$2,-1+SUMPRODUCT(MAX(ROW(E1002:E$2)*(E1003=E1002:E$2)))))</f>
        <v> </v>
      </c>
      <c r="J1003" s="25" t="str">
        <f>IF(OR(E1003="",E1003="!!!",F1003="NEW"),"",COUNTBLANK(OFFSET(A$1,,,SUMPRODUCT(MAX(ROW(E$2:E1003)*(E1003=E$2:E1003)))))-COUNTBLANK(OFFSET(A$1,,,SUMPRODUCT(MAX(ROW(E$1:E1002)*(E2=E$1:E1002))))))</f>
        <v> </v>
      </c>
      <c r="K1003" s="25" t="str">
        <f>IF(OR(E1003="",E1003="!!!",F1003="NEW"),"",INDEX(J$1:J1002,SUMPRODUCT(MAX(ROW(E$1:E1002)*(E1003=E$1:E1002)))))</f>
        <v> </v>
      </c>
      <c r="L1003" s="26"/>
    </row>
    <row r="1004" spans="1:12">
      <c r="A1004" s="20" t="s">
        <v>219</v>
      </c>
      <c r="E1004" s="21">
        <f>IF(D1004="?OLD","!!!","")</f>
        <v/>
      </c>
      <c r="F1004" s="22" t="str">
        <f>IF(OR(E1004="",E1004="!!!"),"",IF(NOT(ISNA(VLOOKUP(E1004,E$1:E1003,1,FALSE()))),"OLD",IF(AND(E1004&lt;&gt;"",E1004&lt;&gt;"!!!"),"NEW","")))</f>
        <v> </v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4" t="str">
        <f>IF(J1004&lt;&gt;1,"",IF(I1004="SBJ","CB","?"))</f>
        <v> </v>
      </c>
      <c r="I1004" s="25" t="str">
        <f>IF(OR(E1004="",E1004="!!!",F1004="NEW"),"",INDEX(B1003:B$2,-1+SUMPRODUCT(MAX(ROW(E1003:E$2)*(E1004=E1003:E$2)))))</f>
        <v> </v>
      </c>
      <c r="J1004" s="25" t="str">
        <f>IF(OR(E1004="",E1004="!!!",F1004="NEW"),"",COUNTBLANK(OFFSET(A$1,,,SUMPRODUCT(MAX(ROW(E$2:E1004)*(E1004=E$2:E1004)))))-COUNTBLANK(OFFSET(A$1,,,SUMPRODUCT(MAX(ROW(E$1:E1003)*(E2=E$1:E1003))))))</f>
        <v> </v>
      </c>
      <c r="K1004" s="25" t="str">
        <f>IF(OR(E1004="",E1004="!!!",F1004="NEW"),"",INDEX(J$1:J1003,SUMPRODUCT(MAX(ROW(E$1:E1003)*(E1004=E$1:E1003)))))</f>
        <v> </v>
      </c>
      <c r="L1004" s="26"/>
    </row>
    <row r="1005" spans="1:12">
      <c r="A1005" s="20"/>
    </row>
    <row r="1006" spans="1:12">
      <c r="A1006" s="20" t="s">
        <v>622</v>
      </c>
    </row>
    <row r="1007" spans="1:12">
      <c r="A1007" s="20" t="s">
        <v>412</v>
      </c>
      <c r="E1007" s="21">
        <f>IF(D1007="?OLD","!!!","")</f>
        <v/>
      </c>
      <c r="F1007" s="22" t="str">
        <f>IF(OR(E1007="",E1007="!!!"),"",IF(NOT(ISNA(VLOOKUP(E1007,E$1:E1006,1,FALSE()))),"OLD",IF(AND(E1007&lt;&gt;"",E1007&lt;&gt;"!!!"),"NEW","")))</f>
        <v> </v>
      </c>
      <c r="G1007" s="23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4" t="str">
        <f>IF(J1007&lt;&gt;1,"",IF(I1007="SBJ","CB","?"))</f>
        <v> </v>
      </c>
      <c r="I1007" s="25" t="str">
        <f>IF(OR(E1007="",E1007="!!!",F1007="NEW"),"",INDEX(B1006:B$2,-1+SUMPRODUCT(MAX(ROW(E1006:E$2)*(E1007=E1006:E$2)))))</f>
        <v> </v>
      </c>
      <c r="J1007" s="25" t="str">
        <f>IF(OR(E1007="",E1007="!!!",F1007="NEW"),"",COUNTBLANK(OFFSET(A$1,,,SUMPRODUCT(MAX(ROW(E$2:E1007)*(E1007=E$2:E1007)))))-COUNTBLANK(OFFSET(A$1,,,SUMPRODUCT(MAX(ROW(E$1:E1006)*(E2=E$1:E1006))))))</f>
        <v> </v>
      </c>
      <c r="K1007" s="25" t="str">
        <f>IF(OR(E1007="",E1007="!!!",F1007="NEW"),"",INDEX(J$1:J1006,SUMPRODUCT(MAX(ROW(E$1:E1006)*(E1007=E$1:E1006)))))</f>
        <v> </v>
      </c>
      <c r="L1007" s="26"/>
    </row>
    <row r="1008" spans="1:12">
      <c r="A1008" s="20" t="s">
        <v>190</v>
      </c>
      <c r="E1008" s="21">
        <f>IF(D1008="?OLD","!!!","")</f>
        <v/>
      </c>
      <c r="F1008" s="22" t="str">
        <f>IF(OR(E1008="",E1008="!!!"),"",IF(NOT(ISNA(VLOOKUP(E1008,E$1:E1007,1,FALSE()))),"OLD",IF(AND(E1008&lt;&gt;"",E1008&lt;&gt;"!!!"),"NEW","")))</f>
        <v> </v>
      </c>
      <c r="G1008" s="23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4" t="str">
        <f>IF(J1008&lt;&gt;1,"",IF(I1008="SBJ","CB","?"))</f>
        <v> </v>
      </c>
      <c r="I1008" s="25" t="str">
        <f>IF(OR(E1008="",E1008="!!!",F1008="NEW"),"",INDEX(B1007:B$2,-1+SUMPRODUCT(MAX(ROW(E1007:E$2)*(E1008=E1007:E$2)))))</f>
        <v> </v>
      </c>
      <c r="J1008" s="25" t="str">
        <f>IF(OR(E1008="",E1008="!!!",F1008="NEW"),"",COUNTBLANK(OFFSET(A$1,,,SUMPRODUCT(MAX(ROW(E$2:E1008)*(E1008=E$2:E1008)))))-COUNTBLANK(OFFSET(A$1,,,SUMPRODUCT(MAX(ROW(E$1:E1007)*(E2=E$1:E1007))))))</f>
        <v> </v>
      </c>
      <c r="K1008" s="25" t="str">
        <f>IF(OR(E1008="",E1008="!!!",F1008="NEW"),"",INDEX(J$1:J1007,SUMPRODUCT(MAX(ROW(E$1:E1007)*(E1008=E$1:E1007)))))</f>
        <v> </v>
      </c>
      <c r="L1008" s="26"/>
    </row>
    <row r="1009" spans="1:12">
      <c r="A1009" s="20" t="s">
        <v>286</v>
      </c>
      <c r="B1009" s="27" t="s">
        <v>188</v>
      </c>
      <c r="C1009" s="27" t="s">
        <v>193</v>
      </c>
      <c r="D1009" s="27" t="s">
        <v>194</v>
      </c>
      <c r="E1009" s="21">
        <f>IF(D1009="?OLD","!!!","")</f>
        <v/>
      </c>
      <c r="F1009" s="22" t="str">
        <f>IF(OR(E1009="",E1009="!!!"),"",IF(NOT(ISNA(VLOOKUP(E1009,E$1:E1008,1,FALSE()))),"OLD",IF(AND(E1009&lt;&gt;"",E1009&lt;&gt;"!!!"),"NEW","")))</f>
        <v> </v>
      </c>
      <c r="G1009" s="23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4" t="str">
        <f>IF(J1009&lt;&gt;1,"",IF(I1009="SBJ","CB","?"))</f>
        <v> </v>
      </c>
      <c r="I1009" s="25" t="str">
        <f>IF(OR(E1009="",E1009="!!!",F1009="NEW"),"",INDEX(B1008:B$2,-1+SUMPRODUCT(MAX(ROW(E1008:E$2)*(E1009=E1008:E$2)))))</f>
        <v> </v>
      </c>
      <c r="J1009" s="25" t="str">
        <f>IF(OR(E1009="",E1009="!!!",F1009="NEW"),"",COUNTBLANK(OFFSET(A$1,,,SUMPRODUCT(MAX(ROW(E$2:E1009)*(E1009=E$2:E1009)))))-COUNTBLANK(OFFSET(A$1,,,SUMPRODUCT(MAX(ROW(E$1:E1008)*(E2=E$1:E1008))))))</f>
        <v> </v>
      </c>
      <c r="K1009" s="25" t="str">
        <f>IF(OR(E1009="",E1009="!!!",F1009="NEW"),"",INDEX(J$1:J1008,SUMPRODUCT(MAX(ROW(E$1:E1008)*(E1009=E$1:E1008)))))</f>
        <v> </v>
      </c>
      <c r="L1009" s="26"/>
    </row>
    <row r="1010" spans="1:12">
      <c r="A1010" s="20" t="s">
        <v>195</v>
      </c>
      <c r="E1010" s="21">
        <f>IF(D1010="?OLD","!!!","")</f>
        <v/>
      </c>
      <c r="F1010" s="22" t="str">
        <f>IF(OR(E1010="",E1010="!!!"),"",IF(NOT(ISNA(VLOOKUP(E1010,E$1:E1009,1,FALSE()))),"OLD",IF(AND(E1010&lt;&gt;"",E1010&lt;&gt;"!!!"),"NEW","")))</f>
        <v> </v>
      </c>
      <c r="G1010" s="23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4" t="str">
        <f>IF(J1010&lt;&gt;1,"",IF(I1010="SBJ","CB","?"))</f>
        <v> </v>
      </c>
      <c r="I1010" s="25" t="str">
        <f>IF(OR(E1010="",E1010="!!!",F1010="NEW"),"",INDEX(B1009:B$2,-1+SUMPRODUCT(MAX(ROW(E1009:E$2)*(E1010=E1009:E$2)))))</f>
        <v> </v>
      </c>
      <c r="J1010" s="25" t="str">
        <f>IF(OR(E1010="",E1010="!!!",F1010="NEW"),"",COUNTBLANK(OFFSET(A$1,,,SUMPRODUCT(MAX(ROW(E$2:E1010)*(E1010=E$2:E1010)))))-COUNTBLANK(OFFSET(A$1,,,SUMPRODUCT(MAX(ROW(E$1:E1009)*(E2=E$1:E1009))))))</f>
        <v> </v>
      </c>
      <c r="K1010" s="25" t="str">
        <f>IF(OR(E1010="",E1010="!!!",F1010="NEW"),"",INDEX(J$1:J1009,SUMPRODUCT(MAX(ROW(E$1:E1009)*(E1010=E$1:E1009)))))</f>
        <v> </v>
      </c>
      <c r="L1010" s="26"/>
    </row>
    <row r="1011" spans="1:12">
      <c r="A1011" s="20" t="s">
        <v>273</v>
      </c>
      <c r="B1011" s="27" t="s">
        <v>197</v>
      </c>
      <c r="C1011" s="27" t="s">
        <v>198</v>
      </c>
      <c r="D1011" s="27" t="s">
        <v>194</v>
      </c>
      <c r="E1011" s="21">
        <f>IF(D1011="?OLD","!!!","")</f>
        <v/>
      </c>
      <c r="F1011" s="22" t="str">
        <f>IF(OR(E1011="",E1011="!!!"),"",IF(NOT(ISNA(VLOOKUP(E1011,E$1:E1010,1,FALSE()))),"OLD",IF(AND(E1011&lt;&gt;"",E1011&lt;&gt;"!!!"),"NEW","")))</f>
        <v> </v>
      </c>
      <c r="G1011" s="23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4" t="str">
        <f>IF(J1011&lt;&gt;1,"",IF(I1011="SBJ","CB","?"))</f>
        <v> </v>
      </c>
      <c r="I1011" s="25" t="str">
        <f>IF(OR(E1011="",E1011="!!!",F1011="NEW"),"",INDEX(B1010:B$2,-1+SUMPRODUCT(MAX(ROW(E1010:E$2)*(E1011=E1010:E$2)))))</f>
        <v> </v>
      </c>
      <c r="J1011" s="25" t="str">
        <f>IF(OR(E1011="",E1011="!!!",F1011="NEW"),"",COUNTBLANK(OFFSET(A$1,,,SUMPRODUCT(MAX(ROW(E$2:E1011)*(E1011=E$2:E1011)))))-COUNTBLANK(OFFSET(A$1,,,SUMPRODUCT(MAX(ROW(E$1:E1010)*(E2=E$1:E1010))))))</f>
        <v> </v>
      </c>
      <c r="K1011" s="25" t="str">
        <f>IF(OR(E1011="",E1011="!!!",F1011="NEW"),"",INDEX(J$1:J1010,SUMPRODUCT(MAX(ROW(E$1:E1010)*(E1011=E$1:E1010)))))</f>
        <v> </v>
      </c>
      <c r="L1011" s="26"/>
    </row>
    <row r="1012" spans="1:12">
      <c r="A1012" s="20" t="s">
        <v>205</v>
      </c>
      <c r="E1012" s="21">
        <f>IF(D1012="?OLD","!!!","")</f>
        <v/>
      </c>
      <c r="F1012" s="22" t="str">
        <f>IF(OR(E1012="",E1012="!!!"),"",IF(NOT(ISNA(VLOOKUP(E1012,E$1:E1011,1,FALSE()))),"OLD",IF(AND(E1012&lt;&gt;"",E1012&lt;&gt;"!!!"),"NEW","")))</f>
        <v> </v>
      </c>
      <c r="G1012" s="23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4" t="str">
        <f>IF(J1012&lt;&gt;1,"",IF(I1012="SBJ","CB","?"))</f>
        <v> </v>
      </c>
      <c r="I1012" s="25" t="str">
        <f>IF(OR(E1012="",E1012="!!!",F1012="NEW"),"",INDEX(B1011:B$2,-1+SUMPRODUCT(MAX(ROW(E1011:E$2)*(E1012=E1011:E$2)))))</f>
        <v> </v>
      </c>
      <c r="J1012" s="25" t="str">
        <f>IF(OR(E1012="",E1012="!!!",F1012="NEW"),"",COUNTBLANK(OFFSET(A$1,,,SUMPRODUCT(MAX(ROW(E$2:E1012)*(E1012=E$2:E1012)))))-COUNTBLANK(OFFSET(A$1,,,SUMPRODUCT(MAX(ROW(E$1:E1011)*(E2=E$1:E1011))))))</f>
        <v> </v>
      </c>
      <c r="K1012" s="25" t="str">
        <f>IF(OR(E1012="",E1012="!!!",F1012="NEW"),"",INDEX(J$1:J1011,SUMPRODUCT(MAX(ROW(E$1:E1011)*(E1012=E$1:E1011)))))</f>
        <v> </v>
      </c>
      <c r="L1012" s="26"/>
    </row>
    <row r="1013" spans="1:12">
      <c r="A1013" s="20" t="s">
        <v>211</v>
      </c>
      <c r="E1013" s="21">
        <f>IF(D1013="?OLD","!!!","")</f>
        <v/>
      </c>
      <c r="F1013" s="22" t="str">
        <f>IF(OR(E1013="",E1013="!!!"),"",IF(NOT(ISNA(VLOOKUP(E1013,E$1:E1012,1,FALSE()))),"OLD",IF(AND(E1013&lt;&gt;"",E1013&lt;&gt;"!!!"),"NEW","")))</f>
        <v> </v>
      </c>
      <c r="G1013" s="23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4" t="str">
        <f>IF(J1013&lt;&gt;1,"",IF(I1013="SBJ","CB","?"))</f>
        <v> </v>
      </c>
      <c r="I1013" s="25" t="str">
        <f>IF(OR(E1013="",E1013="!!!",F1013="NEW"),"",INDEX(B1012:B$2,-1+SUMPRODUCT(MAX(ROW(E1012:E$2)*(E1013=E1012:E$2)))))</f>
        <v> </v>
      </c>
      <c r="J1013" s="25" t="str">
        <f>IF(OR(E1013="",E1013="!!!",F1013="NEW"),"",COUNTBLANK(OFFSET(A$1,,,SUMPRODUCT(MAX(ROW(E$2:E1013)*(E1013=E$2:E1013)))))-COUNTBLANK(OFFSET(A$1,,,SUMPRODUCT(MAX(ROW(E$1:E1012)*(E2=E$1:E1012))))))</f>
        <v> </v>
      </c>
      <c r="K1013" s="25" t="str">
        <f>IF(OR(E1013="",E1013="!!!",F1013="NEW"),"",INDEX(J$1:J1012,SUMPRODUCT(MAX(ROW(E$1:E1012)*(E1013=E$1:E1012)))))</f>
        <v> </v>
      </c>
      <c r="L1013" s="26"/>
    </row>
    <row r="1014" spans="1:12">
      <c r="A1014" s="20" t="s">
        <v>172</v>
      </c>
      <c r="B1014" s="27" t="s">
        <v>192</v>
      </c>
      <c r="C1014" s="27" t="s">
        <v>223</v>
      </c>
      <c r="D1014" s="27" t="s">
        <v>194</v>
      </c>
      <c r="E1014" s="21">
        <f>IF(D1014="?OLD","!!!","")</f>
        <v/>
      </c>
      <c r="F1014" s="22" t="str">
        <f>IF(OR(E1014="",E1014="!!!"),"",IF(NOT(ISNA(VLOOKUP(E1014,E$1:E1013,1,FALSE()))),"OLD",IF(AND(E1014&lt;&gt;"",E1014&lt;&gt;"!!!"),"NEW","")))</f>
        <v> </v>
      </c>
      <c r="G1014" s="23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4" t="str">
        <f>IF(J1014&lt;&gt;1,"",IF(I1014="SBJ","CB","?"))</f>
        <v> </v>
      </c>
      <c r="I1014" s="25" t="str">
        <f>IF(OR(E1014="",E1014="!!!",F1014="NEW"),"",INDEX(B1013:B$2,-1+SUMPRODUCT(MAX(ROW(E1013:E$2)*(E1014=E1013:E$2)))))</f>
        <v> </v>
      </c>
      <c r="J1014" s="25" t="str">
        <f>IF(OR(E1014="",E1014="!!!",F1014="NEW"),"",COUNTBLANK(OFFSET(A$1,,,SUMPRODUCT(MAX(ROW(E$2:E1014)*(E1014=E$2:E1014)))))-COUNTBLANK(OFFSET(A$1,,,SUMPRODUCT(MAX(ROW(E$1:E1013)*(E2=E$1:E1013))))))</f>
        <v> </v>
      </c>
      <c r="K1014" s="25" t="str">
        <f>IF(OR(E1014="",E1014="!!!",F1014="NEW"),"",INDEX(J$1:J1013,SUMPRODUCT(MAX(ROW(E$1:E1013)*(E1014=E$1:E1013)))))</f>
        <v> </v>
      </c>
      <c r="L1014" s="26"/>
    </row>
    <row r="1015" spans="1:12">
      <c r="A1015" s="20" t="s">
        <v>623</v>
      </c>
      <c r="E1015" s="21">
        <f>IF(D1015="?OLD","!!!","")</f>
        <v/>
      </c>
      <c r="F1015" s="22" t="str">
        <f>IF(OR(E1015="",E1015="!!!"),"",IF(NOT(ISNA(VLOOKUP(E1015,E$1:E1014,1,FALSE()))),"OLD",IF(AND(E1015&lt;&gt;"",E1015&lt;&gt;"!!!"),"NEW","")))</f>
        <v> </v>
      </c>
      <c r="G1015" s="23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4" t="str">
        <f>IF(J1015&lt;&gt;1,"",IF(I1015="SBJ","CB","?"))</f>
        <v> </v>
      </c>
      <c r="I1015" s="25" t="str">
        <f>IF(OR(E1015="",E1015="!!!",F1015="NEW"),"",INDEX(B1014:B$2,-1+SUMPRODUCT(MAX(ROW(E1014:E$2)*(E1015=E1014:E$2)))))</f>
        <v> </v>
      </c>
      <c r="J1015" s="25" t="str">
        <f>IF(OR(E1015="",E1015="!!!",F1015="NEW"),"",COUNTBLANK(OFFSET(A$1,,,SUMPRODUCT(MAX(ROW(E$2:E1015)*(E1015=E$2:E1015)))))-COUNTBLANK(OFFSET(A$1,,,SUMPRODUCT(MAX(ROW(E$1:E1014)*(E2=E$1:E1014))))))</f>
        <v> </v>
      </c>
      <c r="K1015" s="25" t="str">
        <f>IF(OR(E1015="",E1015="!!!",F1015="NEW"),"",INDEX(J$1:J1014,SUMPRODUCT(MAX(ROW(E$1:E1014)*(E1015=E$1:E1014)))))</f>
        <v> </v>
      </c>
      <c r="L1015" s="26"/>
    </row>
    <row r="1016" spans="1:12">
      <c r="A1016" s="20" t="s">
        <v>190</v>
      </c>
      <c r="B1016" s="27" t="s">
        <v>210</v>
      </c>
      <c r="C1016" s="27" t="s">
        <v>589</v>
      </c>
      <c r="D1016" s="27" t="s">
        <v>194</v>
      </c>
      <c r="E1016" s="21">
        <f>IF(D1016="?OLD","!!!","")</f>
        <v/>
      </c>
      <c r="F1016" s="22" t="str">
        <f>IF(OR(E1016="",E1016="!!!"),"",IF(NOT(ISNA(VLOOKUP(E1016,E$1:E1015,1,FALSE()))),"OLD",IF(AND(E1016&lt;&gt;"",E1016&lt;&gt;"!!!"),"NEW","")))</f>
        <v> </v>
      </c>
      <c r="G1016" s="23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4" t="str">
        <f>IF(J1016&lt;&gt;1,"",IF(I1016="SBJ","CB","?"))</f>
        <v> </v>
      </c>
      <c r="I1016" s="25" t="str">
        <f>IF(OR(E1016="",E1016="!!!",F1016="NEW"),"",INDEX(B1015:B$2,-1+SUMPRODUCT(MAX(ROW(E1015:E$2)*(E1016=E1015:E$2)))))</f>
        <v> </v>
      </c>
      <c r="J1016" s="25" t="str">
        <f>IF(OR(E1016="",E1016="!!!",F1016="NEW"),"",COUNTBLANK(OFFSET(A$1,,,SUMPRODUCT(MAX(ROW(E$2:E1016)*(E1016=E$2:E1016)))))-COUNTBLANK(OFFSET(A$1,,,SUMPRODUCT(MAX(ROW(E$1:E1015)*(E2=E$1:E1015))))))</f>
        <v> </v>
      </c>
      <c r="K1016" s="25" t="str">
        <f>IF(OR(E1016="",E1016="!!!",F1016="NEW"),"",INDEX(J$1:J1015,SUMPRODUCT(MAX(ROW(E$1:E1015)*(E1016=E$1:E1015)))))</f>
        <v> </v>
      </c>
      <c r="L1016" s="26"/>
    </row>
    <row r="1017" spans="1:12">
      <c r="A1017" s="20" t="s">
        <v>195</v>
      </c>
      <c r="E1017" s="21">
        <f>IF(D1017="?OLD","!!!","")</f>
        <v/>
      </c>
      <c r="F1017" s="22" t="str">
        <f>IF(OR(E1017="",E1017="!!!"),"",IF(NOT(ISNA(VLOOKUP(E1017,E$1:E1016,1,FALSE()))),"OLD",IF(AND(E1017&lt;&gt;"",E1017&lt;&gt;"!!!"),"NEW","")))</f>
        <v> </v>
      </c>
      <c r="G1017" s="23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4" t="str">
        <f>IF(J1017&lt;&gt;1,"",IF(I1017="SBJ","CB","?"))</f>
        <v> </v>
      </c>
      <c r="I1017" s="25" t="str">
        <f>IF(OR(E1017="",E1017="!!!",F1017="NEW"),"",INDEX(B1016:B$2,-1+SUMPRODUCT(MAX(ROW(E1016:E$2)*(E1017=E1016:E$2)))))</f>
        <v> </v>
      </c>
      <c r="J1017" s="25" t="str">
        <f>IF(OR(E1017="",E1017="!!!",F1017="NEW"),"",COUNTBLANK(OFFSET(A$1,,,SUMPRODUCT(MAX(ROW(E$2:E1017)*(E1017=E$2:E1017)))))-COUNTBLANK(OFFSET(A$1,,,SUMPRODUCT(MAX(ROW(E$1:E1016)*(E2=E$1:E1016))))))</f>
        <v> </v>
      </c>
      <c r="K1017" s="25" t="str">
        <f>IF(OR(E1017="",E1017="!!!",F1017="NEW"),"",INDEX(J$1:J1016,SUMPRODUCT(MAX(ROW(E$1:E1016)*(E1017=E$1:E1016)))))</f>
        <v> </v>
      </c>
      <c r="L1017" s="26"/>
    </row>
    <row r="1018" spans="1:12">
      <c r="A1018" s="20" t="s">
        <v>624</v>
      </c>
      <c r="B1018" s="27" t="s">
        <v>197</v>
      </c>
      <c r="C1018" s="27" t="s">
        <v>189</v>
      </c>
      <c r="E1018" s="21">
        <f>IF(D1018="?OLD","!!!","")</f>
        <v/>
      </c>
      <c r="F1018" s="22" t="str">
        <f>IF(OR(E1018="",E1018="!!!"),"",IF(NOT(ISNA(VLOOKUP(E1018,E$1:E1017,1,FALSE()))),"OLD",IF(AND(E1018&lt;&gt;"",E1018&lt;&gt;"!!!"),"NEW","")))</f>
        <v> </v>
      </c>
      <c r="G1018" s="23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4" t="str">
        <f>IF(J1018&lt;&gt;1,"",IF(I1018="SBJ","CB","?"))</f>
        <v> </v>
      </c>
      <c r="I1018" s="25" t="str">
        <f>IF(OR(E1018="",E1018="!!!",F1018="NEW"),"",INDEX(B1017:B$2,-1+SUMPRODUCT(MAX(ROW(E1017:E$2)*(E1018=E1017:E$2)))))</f>
        <v> </v>
      </c>
      <c r="J1018" s="25" t="str">
        <f>IF(OR(E1018="",E1018="!!!",F1018="NEW"),"",COUNTBLANK(OFFSET(A$1,,,SUMPRODUCT(MAX(ROW(E$2:E1018)*(E1018=E$2:E1018)))))-COUNTBLANK(OFFSET(A$1,,,SUMPRODUCT(MAX(ROW(E$1:E1017)*(E2=E$1:E1017))))))</f>
        <v> </v>
      </c>
      <c r="K1018" s="25" t="str">
        <f>IF(OR(E1018="",E1018="!!!",F1018="NEW"),"",INDEX(J$1:J1017,SUMPRODUCT(MAX(ROW(E$1:E1017)*(E1018=E$1:E1017)))))</f>
        <v> </v>
      </c>
      <c r="L1018" s="26"/>
    </row>
    <row r="1019" spans="1:12">
      <c r="A1019" s="20" t="s">
        <v>211</v>
      </c>
      <c r="E1019" s="21">
        <f>IF(D1019="?OLD","!!!","")</f>
        <v/>
      </c>
      <c r="F1019" s="22" t="str">
        <f>IF(OR(E1019="",E1019="!!!"),"",IF(NOT(ISNA(VLOOKUP(E1019,E$1:E1018,1,FALSE()))),"OLD",IF(AND(E1019&lt;&gt;"",E1019&lt;&gt;"!!!"),"NEW","")))</f>
        <v> </v>
      </c>
      <c r="G1019" s="23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4" t="str">
        <f>IF(J1019&lt;&gt;1,"",IF(I1019="SBJ","CB","?"))</f>
        <v> </v>
      </c>
      <c r="I1019" s="25" t="str">
        <f>IF(OR(E1019="",E1019="!!!",F1019="NEW"),"",INDEX(B1018:B$2,-1+SUMPRODUCT(MAX(ROW(E1018:E$2)*(E1019=E1018:E$2)))))</f>
        <v> </v>
      </c>
      <c r="J1019" s="25" t="str">
        <f>IF(OR(E1019="",E1019="!!!",F1019="NEW"),"",COUNTBLANK(OFFSET(A$1,,,SUMPRODUCT(MAX(ROW(E$2:E1019)*(E1019=E$2:E1019)))))-COUNTBLANK(OFFSET(A$1,,,SUMPRODUCT(MAX(ROW(E$1:E1018)*(E2=E$1:E1018))))))</f>
        <v> </v>
      </c>
      <c r="K1019" s="25" t="str">
        <f>IF(OR(E1019="",E1019="!!!",F1019="NEW"),"",INDEX(J$1:J1018,SUMPRODUCT(MAX(ROW(E$1:E1018)*(E1019=E$1:E1018)))))</f>
        <v> </v>
      </c>
      <c r="L1019" s="26"/>
    </row>
    <row r="1020" spans="1:12">
      <c r="A1020" s="20" t="s">
        <v>225</v>
      </c>
      <c r="E1020" s="21">
        <f>IF(D1020="?OLD","!!!","")</f>
        <v/>
      </c>
      <c r="F1020" s="22" t="str">
        <f>IF(OR(E1020="",E1020="!!!"),"",IF(NOT(ISNA(VLOOKUP(E1020,E$1:E1019,1,FALSE()))),"OLD",IF(AND(E1020&lt;&gt;"",E1020&lt;&gt;"!!!"),"NEW","")))</f>
        <v> </v>
      </c>
      <c r="G1020" s="23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4" t="str">
        <f>IF(J1020&lt;&gt;1,"",IF(I1020="SBJ","CB","?"))</f>
        <v> </v>
      </c>
      <c r="I1020" s="25" t="str">
        <f>IF(OR(E1020="",E1020="!!!",F1020="NEW"),"",INDEX(B1019:B$2,-1+SUMPRODUCT(MAX(ROW(E1019:E$2)*(E1020=E1019:E$2)))))</f>
        <v> </v>
      </c>
      <c r="J1020" s="25" t="str">
        <f>IF(OR(E1020="",E1020="!!!",F1020="NEW"),"",COUNTBLANK(OFFSET(A$1,,,SUMPRODUCT(MAX(ROW(E$2:E1020)*(E1020=E$2:E1020)))))-COUNTBLANK(OFFSET(A$1,,,SUMPRODUCT(MAX(ROW(E$1:E1019)*(E2=E$1:E1019))))))</f>
        <v> </v>
      </c>
      <c r="K1020" s="25" t="str">
        <f>IF(OR(E1020="",E1020="!!!",F1020="NEW"),"",INDEX(J$1:J1019,SUMPRODUCT(MAX(ROW(E$1:E1019)*(E1020=E$1:E1019)))))</f>
        <v> </v>
      </c>
      <c r="L1020" s="26"/>
    </row>
    <row r="1021" spans="1:12">
      <c r="A1021" s="20" t="s">
        <v>625</v>
      </c>
      <c r="B1021" s="27" t="s">
        <v>210</v>
      </c>
      <c r="C1021" s="27" t="s">
        <v>193</v>
      </c>
      <c r="D1021" s="27" t="s">
        <v>194</v>
      </c>
      <c r="E1021" s="21">
        <f>IF(D1021="?OLD","!!!","")</f>
        <v/>
      </c>
      <c r="F1021" s="22" t="str">
        <f>IF(OR(E1021="",E1021="!!!"),"",IF(NOT(ISNA(VLOOKUP(E1021,E$1:E1020,1,FALSE()))),"OLD",IF(AND(E1021&lt;&gt;"",E1021&lt;&gt;"!!!"),"NEW","")))</f>
        <v> </v>
      </c>
      <c r="G1021" s="23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4" t="str">
        <f>IF(J1021&lt;&gt;1,"",IF(I1021="SBJ","CB","?"))</f>
        <v> </v>
      </c>
      <c r="I1021" s="25" t="str">
        <f>IF(OR(E1021="",E1021="!!!",F1021="NEW"),"",INDEX(B1020:B$2,-1+SUMPRODUCT(MAX(ROW(E1020:E$2)*(E1021=E1020:E$2)))))</f>
        <v> </v>
      </c>
      <c r="J1021" s="25" t="str">
        <f>IF(OR(E1021="",E1021="!!!",F1021="NEW"),"",COUNTBLANK(OFFSET(A$1,,,SUMPRODUCT(MAX(ROW(E$2:E1021)*(E1021=E$2:E1021)))))-COUNTBLANK(OFFSET(A$1,,,SUMPRODUCT(MAX(ROW(E$1:E1020)*(E2=E$1:E1020))))))</f>
        <v> </v>
      </c>
      <c r="K1021" s="25" t="str">
        <f>IF(OR(E1021="",E1021="!!!",F1021="NEW"),"",INDEX(J$1:J1020,SUMPRODUCT(MAX(ROW(E$1:E1020)*(E1021=E$1:E1020)))))</f>
        <v> </v>
      </c>
      <c r="L1021" s="26"/>
    </row>
    <row r="1022" spans="1:12">
      <c r="A1022" s="20" t="s">
        <v>195</v>
      </c>
      <c r="E1022" s="21">
        <f>IF(D1022="?OLD","!!!","")</f>
        <v/>
      </c>
      <c r="F1022" s="22" t="str">
        <f>IF(OR(E1022="",E1022="!!!"),"",IF(NOT(ISNA(VLOOKUP(E1022,E$1:E1021,1,FALSE()))),"OLD",IF(AND(E1022&lt;&gt;"",E1022&lt;&gt;"!!!"),"NEW","")))</f>
        <v> </v>
      </c>
      <c r="G1022" s="23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4" t="str">
        <f>IF(J1022&lt;&gt;1,"",IF(I1022="SBJ","CB","?"))</f>
        <v> </v>
      </c>
      <c r="I1022" s="25" t="str">
        <f>IF(OR(E1022="",E1022="!!!",F1022="NEW"),"",INDEX(B1021:B$2,-1+SUMPRODUCT(MAX(ROW(E1021:E$2)*(E1022=E1021:E$2)))))</f>
        <v> </v>
      </c>
      <c r="J1022" s="25" t="str">
        <f>IF(OR(E1022="",E1022="!!!",F1022="NEW"),"",COUNTBLANK(OFFSET(A$1,,,SUMPRODUCT(MAX(ROW(E$2:E1022)*(E1022=E$2:E1022)))))-COUNTBLANK(OFFSET(A$1,,,SUMPRODUCT(MAX(ROW(E$1:E1021)*(E2=E$1:E1021))))))</f>
        <v> </v>
      </c>
      <c r="K1022" s="25" t="str">
        <f>IF(OR(E1022="",E1022="!!!",F1022="NEW"),"",INDEX(J$1:J1021,SUMPRODUCT(MAX(ROW(E$1:E1021)*(E1022=E$1:E1021)))))</f>
        <v> </v>
      </c>
      <c r="L1022" s="26"/>
    </row>
    <row r="1023" spans="1:12">
      <c r="A1023" s="20" t="s">
        <v>626</v>
      </c>
      <c r="B1023" s="27" t="s">
        <v>197</v>
      </c>
      <c r="C1023" s="27" t="s">
        <v>189</v>
      </c>
      <c r="E1023" s="21">
        <f>IF(D1023="?OLD","!!!","")</f>
        <v/>
      </c>
      <c r="F1023" s="22" t="str">
        <f>IF(OR(E1023="",E1023="!!!"),"",IF(NOT(ISNA(VLOOKUP(E1023,E$1:E1022,1,FALSE()))),"OLD",IF(AND(E1023&lt;&gt;"",E1023&lt;&gt;"!!!"),"NEW","")))</f>
        <v> </v>
      </c>
      <c r="G1023" s="23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4" t="str">
        <f>IF(J1023&lt;&gt;1,"",IF(I1023="SBJ","CB","?"))</f>
        <v> </v>
      </c>
      <c r="I1023" s="25" t="str">
        <f>IF(OR(E1023="",E1023="!!!",F1023="NEW"),"",INDEX(B1022:B$2,-1+SUMPRODUCT(MAX(ROW(E1022:E$2)*(E1023=E1022:E$2)))))</f>
        <v> </v>
      </c>
      <c r="J1023" s="25" t="str">
        <f>IF(OR(E1023="",E1023="!!!",F1023="NEW"),"",COUNTBLANK(OFFSET(A$1,,,SUMPRODUCT(MAX(ROW(E$2:E1023)*(E1023=E$2:E1023)))))-COUNTBLANK(OFFSET(A$1,,,SUMPRODUCT(MAX(ROW(E$1:E1022)*(E2=E$1:E1022))))))</f>
        <v> </v>
      </c>
      <c r="K1023" s="25" t="str">
        <f>IF(OR(E1023="",E1023="!!!",F1023="NEW"),"",INDEX(J$1:J1022,SUMPRODUCT(MAX(ROW(E$1:E1022)*(E1023=E$1:E1022)))))</f>
        <v> </v>
      </c>
      <c r="L1023" s="26"/>
    </row>
    <row r="1024" spans="1:12">
      <c r="A1024" s="20" t="s">
        <v>219</v>
      </c>
      <c r="E1024" s="21">
        <f>IF(D1024="?OLD","!!!","")</f>
        <v/>
      </c>
      <c r="F1024" s="22" t="str">
        <f>IF(OR(E1024="",E1024="!!!"),"",IF(NOT(ISNA(VLOOKUP(E1024,E$1:E1023,1,FALSE()))),"OLD",IF(AND(E1024&lt;&gt;"",E1024&lt;&gt;"!!!"),"NEW","")))</f>
        <v> </v>
      </c>
      <c r="G1024" s="23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4" t="str">
        <f>IF(J1024&lt;&gt;1,"",IF(I1024="SBJ","CB","?"))</f>
        <v> </v>
      </c>
      <c r="I1024" s="25" t="str">
        <f>IF(OR(E1024="",E1024="!!!",F1024="NEW"),"",INDEX(B1023:B$2,-1+SUMPRODUCT(MAX(ROW(E1023:E$2)*(E1024=E1023:E$2)))))</f>
        <v> </v>
      </c>
      <c r="J1024" s="25" t="str">
        <f>IF(OR(E1024="",E1024="!!!",F1024="NEW"),"",COUNTBLANK(OFFSET(A$1,,,SUMPRODUCT(MAX(ROW(E$2:E1024)*(E1024=E$2:E1024)))))-COUNTBLANK(OFFSET(A$1,,,SUMPRODUCT(MAX(ROW(E$1:E1023)*(E2=E$1:E1023))))))</f>
        <v> </v>
      </c>
      <c r="K1024" s="25" t="str">
        <f>IF(OR(E1024="",E1024="!!!",F1024="NEW"),"",INDEX(J$1:J1023,SUMPRODUCT(MAX(ROW(E$1:E1023)*(E1024=E$1:E1023)))))</f>
        <v> </v>
      </c>
      <c r="L1024" s="26"/>
    </row>
    <row r="1025" spans="1:12">
      <c r="A1025" s="20"/>
    </row>
    <row r="1026" spans="1:12">
      <c r="A1026" s="20" t="s">
        <v>627</v>
      </c>
    </row>
    <row r="1027" spans="1:12">
      <c r="A1027" s="20" t="s">
        <v>12</v>
      </c>
      <c r="E1027" s="21">
        <f>IF(D1027="?OLD","!!!","")</f>
        <v/>
      </c>
      <c r="F1027" s="22" t="str">
        <f>IF(OR(E1027="",E1027="!!!"),"",IF(NOT(ISNA(VLOOKUP(E1027,E$1:E1026,1,FALSE()))),"OLD",IF(AND(E1027&lt;&gt;"",E1027&lt;&gt;"!!!"),"NEW","")))</f>
        <v> </v>
      </c>
      <c r="G1027" s="23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4" t="str">
        <f>IF(J1027&lt;&gt;1,"",IF(I1027="SBJ","CB","?"))</f>
        <v> </v>
      </c>
      <c r="I1027" s="25" t="str">
        <f>IF(OR(E1027="",E1027="!!!",F1027="NEW"),"",INDEX(B1026:B$2,-1+SUMPRODUCT(MAX(ROW(E1026:E$2)*(E1027=E1026:E$2)))))</f>
        <v> </v>
      </c>
      <c r="J1027" s="25" t="str">
        <f>IF(OR(E1027="",E1027="!!!",F1027="NEW"),"",COUNTBLANK(OFFSET(A$1,,,SUMPRODUCT(MAX(ROW(E$2:E1027)*(E1027=E$2:E1027)))))-COUNTBLANK(OFFSET(A$1,,,SUMPRODUCT(MAX(ROW(E$1:E1026)*(E2=E$1:E1026))))))</f>
        <v> </v>
      </c>
      <c r="K1027" s="25" t="str">
        <f>IF(OR(E1027="",E1027="!!!",F1027="NEW"),"",INDEX(J$1:J1026,SUMPRODUCT(MAX(ROW(E$1:E1026)*(E1027=E$1:E1026)))))</f>
        <v> </v>
      </c>
      <c r="L1027" s="26"/>
    </row>
    <row r="1028" spans="1:12">
      <c r="A1028" s="20" t="s">
        <v>60</v>
      </c>
      <c r="B1028" s="27" t="s">
        <v>192</v>
      </c>
      <c r="C1028" s="27" t="s">
        <v>193</v>
      </c>
      <c r="D1028" s="27" t="s">
        <v>194</v>
      </c>
      <c r="E1028" s="21">
        <f>IF(D1028="?OLD","!!!","")</f>
        <v/>
      </c>
      <c r="F1028" s="22" t="str">
        <f>IF(OR(E1028="",E1028="!!!"),"",IF(NOT(ISNA(VLOOKUP(E1028,E$1:E1027,1,FALSE()))),"OLD",IF(AND(E1028&lt;&gt;"",E1028&lt;&gt;"!!!"),"NEW","")))</f>
        <v> </v>
      </c>
      <c r="G1028" s="23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4" t="str">
        <f>IF(J1028&lt;&gt;1,"",IF(I1028="SBJ","CB","?"))</f>
        <v> </v>
      </c>
      <c r="I1028" s="25" t="str">
        <f>IF(OR(E1028="",E1028="!!!",F1028="NEW"),"",INDEX(B1027:B$2,-1+SUMPRODUCT(MAX(ROW(E1027:E$2)*(E1028=E1027:E$2)))))</f>
        <v> </v>
      </c>
      <c r="J1028" s="25" t="str">
        <f>IF(OR(E1028="",E1028="!!!",F1028="NEW"),"",COUNTBLANK(OFFSET(A$1,,,SUMPRODUCT(MAX(ROW(E$2:E1028)*(E1028=E$2:E1028)))))-COUNTBLANK(OFFSET(A$1,,,SUMPRODUCT(MAX(ROW(E$1:E1027)*(E2=E$1:E1027))))))</f>
        <v> </v>
      </c>
      <c r="K1028" s="25" t="str">
        <f>IF(OR(E1028="",E1028="!!!",F1028="NEW"),"",INDEX(J$1:J1027,SUMPRODUCT(MAX(ROW(E$1:E1027)*(E1028=E$1:E1027)))))</f>
        <v> </v>
      </c>
      <c r="L1028" s="26"/>
    </row>
    <row r="1029" spans="1:12">
      <c r="A1029" s="20" t="s">
        <v>628</v>
      </c>
      <c r="E1029" s="21">
        <f>IF(D1029="?OLD","!!!","")</f>
        <v/>
      </c>
      <c r="F1029" s="22" t="str">
        <f>IF(OR(E1029="",E1029="!!!"),"",IF(NOT(ISNA(VLOOKUP(E1029,E$1:E1028,1,FALSE()))),"OLD",IF(AND(E1029&lt;&gt;"",E1029&lt;&gt;"!!!"),"NEW","")))</f>
        <v> </v>
      </c>
      <c r="G1029" s="23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4" t="str">
        <f>IF(J1029&lt;&gt;1,"",IF(I1029="SBJ","CB","?"))</f>
        <v> </v>
      </c>
      <c r="I1029" s="25" t="str">
        <f>IF(OR(E1029="",E1029="!!!",F1029="NEW"),"",INDEX(B1028:B$2,-1+SUMPRODUCT(MAX(ROW(E1028:E$2)*(E1029=E1028:E$2)))))</f>
        <v> </v>
      </c>
      <c r="J1029" s="25" t="str">
        <f>IF(OR(E1029="",E1029="!!!",F1029="NEW"),"",COUNTBLANK(OFFSET(A$1,,,SUMPRODUCT(MAX(ROW(E$2:E1029)*(E1029=E$2:E1029)))))-COUNTBLANK(OFFSET(A$1,,,SUMPRODUCT(MAX(ROW(E$1:E1028)*(E2=E$1:E1028))))))</f>
        <v> </v>
      </c>
      <c r="K1029" s="25" t="str">
        <f>IF(OR(E1029="",E1029="!!!",F1029="NEW"),"",INDEX(J$1:J1028,SUMPRODUCT(MAX(ROW(E$1:E1028)*(E1029=E$1:E1028)))))</f>
        <v> </v>
      </c>
      <c r="L1029" s="26"/>
    </row>
    <row r="1030" spans="1:12">
      <c r="A1030" s="20" t="s">
        <v>195</v>
      </c>
      <c r="E1030" s="21">
        <f>IF(D1030="?OLD","!!!","")</f>
        <v/>
      </c>
      <c r="F1030" s="22" t="str">
        <f>IF(OR(E1030="",E1030="!!!"),"",IF(NOT(ISNA(VLOOKUP(E1030,E$1:E1029,1,FALSE()))),"OLD",IF(AND(E1030&lt;&gt;"",E1030&lt;&gt;"!!!"),"NEW","")))</f>
        <v> </v>
      </c>
      <c r="G1030" s="23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4" t="str">
        <f>IF(J1030&lt;&gt;1,"",IF(I1030="SBJ","CB","?"))</f>
        <v> </v>
      </c>
      <c r="I1030" s="25" t="str">
        <f>IF(OR(E1030="",E1030="!!!",F1030="NEW"),"",INDEX(B1029:B$2,-1+SUMPRODUCT(MAX(ROW(E1029:E$2)*(E1030=E1029:E$2)))))</f>
        <v> </v>
      </c>
      <c r="J1030" s="25" t="str">
        <f>IF(OR(E1030="",E1030="!!!",F1030="NEW"),"",COUNTBLANK(OFFSET(A$1,,,SUMPRODUCT(MAX(ROW(E$2:E1030)*(E1030=E$2:E1030)))))-COUNTBLANK(OFFSET(A$1,,,SUMPRODUCT(MAX(ROW(E$1:E1029)*(E2=E$1:E1029))))))</f>
        <v> </v>
      </c>
      <c r="K1030" s="25" t="str">
        <f>IF(OR(E1030="",E1030="!!!",F1030="NEW"),"",INDEX(J$1:J1029,SUMPRODUCT(MAX(ROW(E$1:E1029)*(E1030=E$1:E1029)))))</f>
        <v> </v>
      </c>
      <c r="L1030" s="26"/>
    </row>
    <row r="1031" spans="1:12">
      <c r="A1031" s="20" t="s">
        <v>211</v>
      </c>
      <c r="E1031" s="21">
        <f>IF(D1031="?OLD","!!!","")</f>
        <v/>
      </c>
      <c r="F1031" s="22" t="str">
        <f>IF(OR(E1031="",E1031="!!!"),"",IF(NOT(ISNA(VLOOKUP(E1031,E$1:E1030,1,FALSE()))),"OLD",IF(AND(E1031&lt;&gt;"",E1031&lt;&gt;"!!!"),"NEW","")))</f>
        <v> </v>
      </c>
      <c r="G1031" s="23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4" t="str">
        <f>IF(J1031&lt;&gt;1,"",IF(I1031="SBJ","CB","?"))</f>
        <v> </v>
      </c>
      <c r="I1031" s="25" t="str">
        <f>IF(OR(E1031="",E1031="!!!",F1031="NEW"),"",INDEX(B1030:B$2,-1+SUMPRODUCT(MAX(ROW(E1030:E$2)*(E1031=E1030:E$2)))))</f>
        <v> </v>
      </c>
      <c r="J1031" s="25" t="str">
        <f>IF(OR(E1031="",E1031="!!!",F1031="NEW"),"",COUNTBLANK(OFFSET(A$1,,,SUMPRODUCT(MAX(ROW(E$2:E1031)*(E1031=E$2:E1031)))))-COUNTBLANK(OFFSET(A$1,,,SUMPRODUCT(MAX(ROW(E$1:E1030)*(E2=E$1:E1030))))))</f>
        <v> </v>
      </c>
      <c r="K1031" s="25" t="str">
        <f>IF(OR(E1031="",E1031="!!!",F1031="NEW"),"",INDEX(J$1:J1030,SUMPRODUCT(MAX(ROW(E$1:E1030)*(E1031=E$1:E1030)))))</f>
        <v> </v>
      </c>
      <c r="L1031" s="26"/>
    </row>
    <row r="1032" spans="1:12">
      <c r="A1032" s="20" t="s">
        <v>172</v>
      </c>
      <c r="B1032" s="27" t="s">
        <v>197</v>
      </c>
      <c r="C1032" s="27" t="s">
        <v>223</v>
      </c>
      <c r="D1032" s="27" t="s">
        <v>194</v>
      </c>
      <c r="E1032" s="21">
        <f>IF(D1032="?OLD","!!!","")</f>
        <v/>
      </c>
      <c r="F1032" s="22" t="str">
        <f>IF(OR(E1032="",E1032="!!!"),"",IF(NOT(ISNA(VLOOKUP(E1032,E$1:E1031,1,FALSE()))),"OLD",IF(AND(E1032&lt;&gt;"",E1032&lt;&gt;"!!!"),"NEW","")))</f>
        <v> </v>
      </c>
      <c r="G1032" s="23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4" t="str">
        <f>IF(J1032&lt;&gt;1,"",IF(I1032="SBJ","CB","?"))</f>
        <v> </v>
      </c>
      <c r="I1032" s="25" t="str">
        <f>IF(OR(E1032="",E1032="!!!",F1032="NEW"),"",INDEX(B1031:B$2,-1+SUMPRODUCT(MAX(ROW(E1031:E$2)*(E1032=E1031:E$2)))))</f>
        <v> </v>
      </c>
      <c r="J1032" s="25" t="str">
        <f>IF(OR(E1032="",E1032="!!!",F1032="NEW"),"",COUNTBLANK(OFFSET(A$1,,,SUMPRODUCT(MAX(ROW(E$2:E1032)*(E1032=E$2:E1032)))))-COUNTBLANK(OFFSET(A$1,,,SUMPRODUCT(MAX(ROW(E$1:E1031)*(E2=E$1:E1031))))))</f>
        <v> </v>
      </c>
      <c r="K1032" s="25" t="str">
        <f>IF(OR(E1032="",E1032="!!!",F1032="NEW"),"",INDEX(J$1:J1031,SUMPRODUCT(MAX(ROW(E$1:E1031)*(E1032=E$1:E1031)))))</f>
        <v> </v>
      </c>
      <c r="L1032" s="26"/>
    </row>
    <row r="1033" spans="1:12">
      <c r="A1033" s="20" t="s">
        <v>623</v>
      </c>
      <c r="E1033" s="21">
        <f>IF(D1033="?OLD","!!!","")</f>
        <v/>
      </c>
      <c r="F1033" s="22" t="str">
        <f>IF(OR(E1033="",E1033="!!!"),"",IF(NOT(ISNA(VLOOKUP(E1033,E$1:E1032,1,FALSE()))),"OLD",IF(AND(E1033&lt;&gt;"",E1033&lt;&gt;"!!!"),"NEW","")))</f>
        <v> </v>
      </c>
      <c r="G1033" s="23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4" t="str">
        <f>IF(J1033&lt;&gt;1,"",IF(I1033="SBJ","CB","?"))</f>
        <v> </v>
      </c>
      <c r="I1033" s="25" t="str">
        <f>IF(OR(E1033="",E1033="!!!",F1033="NEW"),"",INDEX(B1032:B$2,-1+SUMPRODUCT(MAX(ROW(E1032:E$2)*(E1033=E1032:E$2)))))</f>
        <v> </v>
      </c>
      <c r="J1033" s="25" t="str">
        <f>IF(OR(E1033="",E1033="!!!",F1033="NEW"),"",COUNTBLANK(OFFSET(A$1,,,SUMPRODUCT(MAX(ROW(E$2:E1033)*(E1033=E$2:E1033)))))-COUNTBLANK(OFFSET(A$1,,,SUMPRODUCT(MAX(ROW(E$1:E1032)*(E2=E$1:E1032))))))</f>
        <v> </v>
      </c>
      <c r="K1033" s="25" t="str">
        <f>IF(OR(E1033="",E1033="!!!",F1033="NEW"),"",INDEX(J$1:J1032,SUMPRODUCT(MAX(ROW(E$1:E1032)*(E1033=E$1:E1032)))))</f>
        <v> </v>
      </c>
      <c r="L1033" s="26"/>
    </row>
    <row r="1034" spans="1:12">
      <c r="A1034" s="20" t="s">
        <v>190</v>
      </c>
      <c r="B1034" s="27" t="s">
        <v>210</v>
      </c>
      <c r="C1034" s="27" t="s">
        <v>589</v>
      </c>
      <c r="D1034" s="27" t="s">
        <v>194</v>
      </c>
      <c r="E1034" s="21">
        <f>IF(D1034="?OLD","!!!","")</f>
        <v/>
      </c>
      <c r="F1034" s="22" t="str">
        <f>IF(OR(E1034="",E1034="!!!"),"",IF(NOT(ISNA(VLOOKUP(E1034,E$1:E1033,1,FALSE()))),"OLD",IF(AND(E1034&lt;&gt;"",E1034&lt;&gt;"!!!"),"NEW","")))</f>
        <v> </v>
      </c>
      <c r="G1034" s="23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4" t="str">
        <f>IF(J1034&lt;&gt;1,"",IF(I1034="SBJ","CB","?"))</f>
        <v> </v>
      </c>
      <c r="I1034" s="25" t="str">
        <f>IF(OR(E1034="",E1034="!!!",F1034="NEW"),"",INDEX(B1033:B$2,-1+SUMPRODUCT(MAX(ROW(E1033:E$2)*(E1034=E1033:E$2)))))</f>
        <v> </v>
      </c>
      <c r="J1034" s="25" t="str">
        <f>IF(OR(E1034="",E1034="!!!",F1034="NEW"),"",COUNTBLANK(OFFSET(A$1,,,SUMPRODUCT(MAX(ROW(E$2:E1034)*(E1034=E$2:E1034)))))-COUNTBLANK(OFFSET(A$1,,,SUMPRODUCT(MAX(ROW(E$1:E1033)*(E2=E$1:E1033))))))</f>
        <v> </v>
      </c>
      <c r="K1034" s="25" t="str">
        <f>IF(OR(E1034="",E1034="!!!",F1034="NEW"),"",INDEX(J$1:J1033,SUMPRODUCT(MAX(ROW(E$1:E1033)*(E1034=E$1:E1033)))))</f>
        <v> </v>
      </c>
      <c r="L1034" s="26"/>
    </row>
    <row r="1035" spans="1:12">
      <c r="A1035" s="20" t="s">
        <v>195</v>
      </c>
      <c r="E1035" s="21">
        <f>IF(D1035="?OLD","!!!","")</f>
        <v/>
      </c>
      <c r="F1035" s="22" t="str">
        <f>IF(OR(E1035="",E1035="!!!"),"",IF(NOT(ISNA(VLOOKUP(E1035,E$1:E1034,1,FALSE()))),"OLD",IF(AND(E1035&lt;&gt;"",E1035&lt;&gt;"!!!"),"NEW","")))</f>
        <v> </v>
      </c>
      <c r="G1035" s="23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4" t="str">
        <f>IF(J1035&lt;&gt;1,"",IF(I1035="SBJ","CB","?"))</f>
        <v> </v>
      </c>
      <c r="I1035" s="25" t="str">
        <f>IF(OR(E1035="",E1035="!!!",F1035="NEW"),"",INDEX(B1034:B$2,-1+SUMPRODUCT(MAX(ROW(E1034:E$2)*(E1035=E1034:E$2)))))</f>
        <v> </v>
      </c>
      <c r="J1035" s="25" t="str">
        <f>IF(OR(E1035="",E1035="!!!",F1035="NEW"),"",COUNTBLANK(OFFSET(A$1,,,SUMPRODUCT(MAX(ROW(E$2:E1035)*(E1035=E$2:E1035)))))-COUNTBLANK(OFFSET(A$1,,,SUMPRODUCT(MAX(ROW(E$1:E1034)*(E2=E$1:E1034))))))</f>
        <v> </v>
      </c>
      <c r="K1035" s="25" t="str">
        <f>IF(OR(E1035="",E1035="!!!",F1035="NEW"),"",INDEX(J$1:J1034,SUMPRODUCT(MAX(ROW(E$1:E1034)*(E1035=E$1:E1034)))))</f>
        <v> </v>
      </c>
      <c r="L1035" s="26"/>
    </row>
    <row r="1036" spans="1:12">
      <c r="A1036" s="20" t="s">
        <v>624</v>
      </c>
      <c r="B1036" s="27" t="s">
        <v>197</v>
      </c>
      <c r="C1036" s="27" t="s">
        <v>189</v>
      </c>
      <c r="E1036" s="21">
        <f>IF(D1036="?OLD","!!!","")</f>
        <v/>
      </c>
      <c r="F1036" s="22" t="str">
        <f>IF(OR(E1036="",E1036="!!!"),"",IF(NOT(ISNA(VLOOKUP(E1036,E$1:E1035,1,FALSE()))),"OLD",IF(AND(E1036&lt;&gt;"",E1036&lt;&gt;"!!!"),"NEW","")))</f>
        <v> </v>
      </c>
      <c r="G1036" s="23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4" t="str">
        <f>IF(J1036&lt;&gt;1,"",IF(I1036="SBJ","CB","?"))</f>
        <v> </v>
      </c>
      <c r="I1036" s="25" t="str">
        <f>IF(OR(E1036="",E1036="!!!",F1036="NEW"),"",INDEX(B1035:B$2,-1+SUMPRODUCT(MAX(ROW(E1035:E$2)*(E1036=E1035:E$2)))))</f>
        <v> </v>
      </c>
      <c r="J1036" s="25" t="str">
        <f>IF(OR(E1036="",E1036="!!!",F1036="NEW"),"",COUNTBLANK(OFFSET(A$1,,,SUMPRODUCT(MAX(ROW(E$2:E1036)*(E1036=E$2:E1036)))))-COUNTBLANK(OFFSET(A$1,,,SUMPRODUCT(MAX(ROW(E$1:E1035)*(E2=E$1:E1035))))))</f>
        <v> </v>
      </c>
      <c r="K1036" s="25" t="str">
        <f>IF(OR(E1036="",E1036="!!!",F1036="NEW"),"",INDEX(J$1:J1035,SUMPRODUCT(MAX(ROW(E$1:E1035)*(E1036=E$1:E1035)))))</f>
        <v> </v>
      </c>
      <c r="L1036" s="26"/>
    </row>
    <row r="1037" spans="1:12">
      <c r="A1037" s="20" t="s">
        <v>211</v>
      </c>
      <c r="E1037" s="21">
        <f>IF(D1037="?OLD","!!!","")</f>
        <v/>
      </c>
      <c r="F1037" s="22" t="str">
        <f>IF(OR(E1037="",E1037="!!!"),"",IF(NOT(ISNA(VLOOKUP(E1037,E$1:E1036,1,FALSE()))),"OLD",IF(AND(E1037&lt;&gt;"",E1037&lt;&gt;"!!!"),"NEW","")))</f>
        <v> </v>
      </c>
      <c r="G1037" s="23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4" t="str">
        <f>IF(J1037&lt;&gt;1,"",IF(I1037="SBJ","CB","?"))</f>
        <v> </v>
      </c>
      <c r="I1037" s="25" t="str">
        <f>IF(OR(E1037="",E1037="!!!",F1037="NEW"),"",INDEX(B1036:B$2,-1+SUMPRODUCT(MAX(ROW(E1036:E$2)*(E1037=E1036:E$2)))))</f>
        <v> </v>
      </c>
      <c r="J1037" s="25" t="str">
        <f>IF(OR(E1037="",E1037="!!!",F1037="NEW"),"",COUNTBLANK(OFFSET(A$1,,,SUMPRODUCT(MAX(ROW(E$2:E1037)*(E1037=E$2:E1037)))))-COUNTBLANK(OFFSET(A$1,,,SUMPRODUCT(MAX(ROW(E$1:E1036)*(E2=E$1:E1036))))))</f>
        <v> </v>
      </c>
      <c r="K1037" s="25" t="str">
        <f>IF(OR(E1037="",E1037="!!!",F1037="NEW"),"",INDEX(J$1:J1036,SUMPRODUCT(MAX(ROW(E$1:E1036)*(E1037=E$1:E1036)))))</f>
        <v> </v>
      </c>
      <c r="L1037" s="26"/>
    </row>
    <row r="1038" spans="1:12">
      <c r="A1038" s="20" t="s">
        <v>215</v>
      </c>
      <c r="E1038" s="21">
        <f>IF(D1038="?OLD","!!!","")</f>
        <v/>
      </c>
      <c r="F1038" s="22" t="str">
        <f>IF(OR(E1038="",E1038="!!!"),"",IF(NOT(ISNA(VLOOKUP(E1038,E$1:E1037,1,FALSE()))),"OLD",IF(AND(E1038&lt;&gt;"",E1038&lt;&gt;"!!!"),"NEW","")))</f>
        <v> </v>
      </c>
      <c r="G1038" s="23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4" t="str">
        <f>IF(J1038&lt;&gt;1,"",IF(I1038="SBJ","CB","?"))</f>
        <v> </v>
      </c>
      <c r="I1038" s="25" t="str">
        <f>IF(OR(E1038="",E1038="!!!",F1038="NEW"),"",INDEX(B1037:B$2,-1+SUMPRODUCT(MAX(ROW(E1037:E$2)*(E1038=E1037:E$2)))))</f>
        <v> </v>
      </c>
      <c r="J1038" s="25" t="str">
        <f>IF(OR(E1038="",E1038="!!!",F1038="NEW"),"",COUNTBLANK(OFFSET(A$1,,,SUMPRODUCT(MAX(ROW(E$2:E1038)*(E1038=E$2:E1038)))))-COUNTBLANK(OFFSET(A$1,,,SUMPRODUCT(MAX(ROW(E$1:E1037)*(E2=E$1:E1037))))))</f>
        <v> </v>
      </c>
      <c r="K1038" s="25" t="str">
        <f>IF(OR(E1038="",E1038="!!!",F1038="NEW"),"",INDEX(J$1:J1037,SUMPRODUCT(MAX(ROW(E$1:E1037)*(E1038=E$1:E1037)))))</f>
        <v> </v>
      </c>
      <c r="L1038" s="26"/>
    </row>
    <row r="1039" spans="1:12">
      <c r="A1039" s="20" t="s">
        <v>629</v>
      </c>
      <c r="B1039" s="27" t="s">
        <v>210</v>
      </c>
      <c r="C1039" s="27" t="s">
        <v>193</v>
      </c>
      <c r="D1039" s="27" t="s">
        <v>194</v>
      </c>
      <c r="E1039" s="21">
        <f>IF(D1039="?OLD","!!!","")</f>
        <v/>
      </c>
      <c r="F1039" s="22" t="str">
        <f>IF(OR(E1039="",E1039="!!!"),"",IF(NOT(ISNA(VLOOKUP(E1039,E$1:E1038,1,FALSE()))),"OLD",IF(AND(E1039&lt;&gt;"",E1039&lt;&gt;"!!!"),"NEW","")))</f>
        <v> </v>
      </c>
      <c r="G1039" s="23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4" t="str">
        <f>IF(J1039&lt;&gt;1,"",IF(I1039="SBJ","CB","?"))</f>
        <v> </v>
      </c>
      <c r="I1039" s="25" t="str">
        <f>IF(OR(E1039="",E1039="!!!",F1039="NEW"),"",INDEX(B1038:B$2,-1+SUMPRODUCT(MAX(ROW(E1038:E$2)*(E1039=E1038:E$2)))))</f>
        <v> </v>
      </c>
      <c r="J1039" s="25" t="str">
        <f>IF(OR(E1039="",E1039="!!!",F1039="NEW"),"",COUNTBLANK(OFFSET(A$1,,,SUMPRODUCT(MAX(ROW(E$2:E1039)*(E1039=E$2:E1039)))))-COUNTBLANK(OFFSET(A$1,,,SUMPRODUCT(MAX(ROW(E$1:E1038)*(E2=E$1:E1038))))))</f>
        <v> </v>
      </c>
      <c r="K1039" s="25" t="str">
        <f>IF(OR(E1039="",E1039="!!!",F1039="NEW"),"",INDEX(J$1:J1038,SUMPRODUCT(MAX(ROW(E$1:E1038)*(E1039=E$1:E1038)))))</f>
        <v> </v>
      </c>
      <c r="L1039" s="26"/>
    </row>
    <row r="1040" spans="1:12">
      <c r="A1040" s="20" t="s">
        <v>195</v>
      </c>
      <c r="E1040" s="21">
        <f>IF(D1040="?OLD","!!!","")</f>
        <v/>
      </c>
      <c r="F1040" s="22" t="str">
        <f>IF(OR(E1040="",E1040="!!!"),"",IF(NOT(ISNA(VLOOKUP(E1040,E$1:E1039,1,FALSE()))),"OLD",IF(AND(E1040&lt;&gt;"",E1040&lt;&gt;"!!!"),"NEW","")))</f>
        <v> </v>
      </c>
      <c r="G1040" s="23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4" t="str">
        <f>IF(J1040&lt;&gt;1,"",IF(I1040="SBJ","CB","?"))</f>
        <v> </v>
      </c>
      <c r="I1040" s="25" t="str">
        <f>IF(OR(E1040="",E1040="!!!",F1040="NEW"),"",INDEX(B1039:B$2,-1+SUMPRODUCT(MAX(ROW(E1039:E$2)*(E1040=E1039:E$2)))))</f>
        <v> </v>
      </c>
      <c r="J1040" s="25" t="str">
        <f>IF(OR(E1040="",E1040="!!!",F1040="NEW"),"",COUNTBLANK(OFFSET(A$1,,,SUMPRODUCT(MAX(ROW(E$2:E1040)*(E1040=E$2:E1040)))))-COUNTBLANK(OFFSET(A$1,,,SUMPRODUCT(MAX(ROW(E$1:E1039)*(E2=E$1:E1039))))))</f>
        <v> </v>
      </c>
      <c r="K1040" s="25" t="str">
        <f>IF(OR(E1040="",E1040="!!!",F1040="NEW"),"",INDEX(J$1:J1039,SUMPRODUCT(MAX(ROW(E$1:E1039)*(E1040=E$1:E1039)))))</f>
        <v> </v>
      </c>
      <c r="L1040" s="26"/>
    </row>
    <row r="1041" spans="1:12">
      <c r="A1041" s="20" t="s">
        <v>630</v>
      </c>
      <c r="B1041" s="27" t="s">
        <v>197</v>
      </c>
      <c r="C1041" s="27" t="s">
        <v>189</v>
      </c>
      <c r="E1041" s="21">
        <f>IF(D1041="?OLD","!!!","")</f>
        <v/>
      </c>
      <c r="F1041" s="22" t="str">
        <f>IF(OR(E1041="",E1041="!!!"),"",IF(NOT(ISNA(VLOOKUP(E1041,E$1:E1040,1,FALSE()))),"OLD",IF(AND(E1041&lt;&gt;"",E1041&lt;&gt;"!!!"),"NEW","")))</f>
        <v> </v>
      </c>
      <c r="G1041" s="23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24" t="str">
        <f>IF(J1041&lt;&gt;1,"",IF(I1041="SBJ","CB","?"))</f>
        <v> </v>
      </c>
      <c r="I1041" s="25" t="str">
        <f>IF(OR(E1041="",E1041="!!!",F1041="NEW"),"",INDEX(B1040:B$2,-1+SUMPRODUCT(MAX(ROW(E1040:E$2)*(E1041=E1040:E$2)))))</f>
        <v> </v>
      </c>
      <c r="J1041" s="25" t="str">
        <f>IF(OR(E1041="",E1041="!!!",F1041="NEW"),"",COUNTBLANK(OFFSET(A$1,,,SUMPRODUCT(MAX(ROW(E$2:E1041)*(E1041=E$2:E1041)))))-COUNTBLANK(OFFSET(A$1,,,SUMPRODUCT(MAX(ROW(E$1:E1040)*(E2=E$1:E1040))))))</f>
        <v> </v>
      </c>
      <c r="K1041" s="25" t="str">
        <f>IF(OR(E1041="",E1041="!!!",F1041="NEW"),"",INDEX(J$1:J1040,SUMPRODUCT(MAX(ROW(E$1:E1040)*(E1041=E$1:E1040)))))</f>
        <v> </v>
      </c>
      <c r="L1041" s="26"/>
    </row>
    <row r="1042" spans="1:12">
      <c r="A1042" s="20" t="s">
        <v>232</v>
      </c>
      <c r="B1042" s="27" t="s">
        <v>407</v>
      </c>
      <c r="E1042" s="21">
        <f>IF(D1042="?OLD","!!!","")</f>
        <v/>
      </c>
      <c r="F1042" s="22" t="str">
        <f>IF(OR(E1042="",E1042="!!!"),"",IF(NOT(ISNA(VLOOKUP(E1042,E$1:E1041,1,FALSE()))),"OLD",IF(AND(E1042&lt;&gt;"",E1042&lt;&gt;"!!!"),"NEW","")))</f>
        <v> </v>
      </c>
      <c r="G1042" s="23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24" t="str">
        <f>IF(J1042&lt;&gt;1,"",IF(I1042="SBJ","CB","?"))</f>
        <v> </v>
      </c>
      <c r="I1042" s="25" t="str">
        <f>IF(OR(E1042="",E1042="!!!",F1042="NEW"),"",INDEX(B1041:B$2,-1+SUMPRODUCT(MAX(ROW(E1041:E$2)*(E1042=E1041:E$2)))))</f>
        <v> </v>
      </c>
      <c r="J1042" s="25" t="str">
        <f>IF(OR(E1042="",E1042="!!!",F1042="NEW"),"",COUNTBLANK(OFFSET(A$1,,,SUMPRODUCT(MAX(ROW(E$2:E1042)*(E1042=E$2:E1042)))))-COUNTBLANK(OFFSET(A$1,,,SUMPRODUCT(MAX(ROW(E$1:E1041)*(E2=E$1:E1041))))))</f>
        <v> </v>
      </c>
      <c r="K1042" s="25" t="str">
        <f>IF(OR(E1042="",E1042="!!!",F1042="NEW"),"",INDEX(J$1:J1041,SUMPRODUCT(MAX(ROW(E$1:E1041)*(E1042=E$1:E1041)))))</f>
        <v> </v>
      </c>
      <c r="L1042" s="26"/>
    </row>
    <row r="1043" spans="1:12">
      <c r="A1043" s="20" t="s">
        <v>190</v>
      </c>
      <c r="B1043" s="27" t="s">
        <v>300</v>
      </c>
      <c r="C1043" s="27" t="s">
        <v>244</v>
      </c>
      <c r="D1043" s="27" t="s">
        <v>194</v>
      </c>
      <c r="E1043" s="21">
        <f>IF(D1043="?OLD","!!!","")</f>
        <v/>
      </c>
      <c r="F1043" s="22" t="str">
        <f>IF(OR(E1043="",E1043="!!!"),"",IF(NOT(ISNA(VLOOKUP(E1043,E$1:E1042,1,FALSE()))),"OLD",IF(AND(E1043&lt;&gt;"",E1043&lt;&gt;"!!!"),"NEW","")))</f>
        <v> </v>
      </c>
      <c r="G1043" s="23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24" t="str">
        <f>IF(J1043&lt;&gt;1,"",IF(I1043="SBJ","CB","?"))</f>
        <v> </v>
      </c>
      <c r="I1043" s="25" t="str">
        <f>IF(OR(E1043="",E1043="!!!",F1043="NEW"),"",INDEX(B1042:B$2,-1+SUMPRODUCT(MAX(ROW(E1042:E$2)*(E1043=E1042:E$2)))))</f>
        <v> </v>
      </c>
      <c r="J1043" s="25" t="str">
        <f>IF(OR(E1043="",E1043="!!!",F1043="NEW"),"",COUNTBLANK(OFFSET(A$1,,,SUMPRODUCT(MAX(ROW(E$2:E1043)*(E1043=E$2:E1043)))))-COUNTBLANK(OFFSET(A$1,,,SUMPRODUCT(MAX(ROW(E$1:E1042)*(E2=E$1:E1042))))))</f>
        <v> </v>
      </c>
      <c r="K1043" s="25" t="str">
        <f>IF(OR(E1043="",E1043="!!!",F1043="NEW"),"",INDEX(J$1:J1042,SUMPRODUCT(MAX(ROW(E$1:E1042)*(E1043=E$1:E1042)))))</f>
        <v> </v>
      </c>
      <c r="L1043" s="26"/>
    </row>
    <row r="1044" spans="1:12">
      <c r="A1044" s="20" t="s">
        <v>631</v>
      </c>
      <c r="E1044" s="21">
        <f>IF(D1044="?OLD","!!!","")</f>
        <v/>
      </c>
      <c r="F1044" s="22" t="str">
        <f>IF(OR(E1044="",E1044="!!!"),"",IF(NOT(ISNA(VLOOKUP(E1044,E$1:E1043,1,FALSE()))),"OLD",IF(AND(E1044&lt;&gt;"",E1044&lt;&gt;"!!!"),"NEW","")))</f>
        <v> </v>
      </c>
      <c r="G1044" s="23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24" t="str">
        <f>IF(J1044&lt;&gt;1,"",IF(I1044="SBJ","CB","?"))</f>
        <v> </v>
      </c>
      <c r="I1044" s="25" t="str">
        <f>IF(OR(E1044="",E1044="!!!",F1044="NEW"),"",INDEX(B1043:B$2,-1+SUMPRODUCT(MAX(ROW(E1043:E$2)*(E1044=E1043:E$2)))))</f>
        <v> </v>
      </c>
      <c r="J1044" s="25" t="str">
        <f>IF(OR(E1044="",E1044="!!!",F1044="NEW"),"",COUNTBLANK(OFFSET(A$1,,,SUMPRODUCT(MAX(ROW(E$2:E1044)*(E1044=E$2:E1044)))))-COUNTBLANK(OFFSET(A$1,,,SUMPRODUCT(MAX(ROW(E$1:E1043)*(E2=E$1:E1043))))))</f>
        <v> </v>
      </c>
      <c r="K1044" s="25" t="str">
        <f>IF(OR(E1044="",E1044="!!!",F1044="NEW"),"",INDEX(J$1:J1043,SUMPRODUCT(MAX(ROW(E$1:E1043)*(E1044=E$1:E1043)))))</f>
        <v> </v>
      </c>
      <c r="L1044" s="26"/>
    </row>
    <row r="1045" spans="1:12">
      <c r="A1045" s="20" t="s">
        <v>205</v>
      </c>
      <c r="E1045" s="21">
        <f>IF(D1045="?OLD","!!!","")</f>
        <v/>
      </c>
      <c r="F1045" s="22" t="str">
        <f>IF(OR(E1045="",E1045="!!!"),"",IF(NOT(ISNA(VLOOKUP(E1045,E$1:E1044,1,FALSE()))),"OLD",IF(AND(E1045&lt;&gt;"",E1045&lt;&gt;"!!!"),"NEW","")))</f>
        <v> </v>
      </c>
      <c r="G1045" s="23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24" t="str">
        <f>IF(J1045&lt;&gt;1,"",IF(I1045="SBJ","CB","?"))</f>
        <v> </v>
      </c>
      <c r="I1045" s="25" t="str">
        <f>IF(OR(E1045="",E1045="!!!",F1045="NEW"),"",INDEX(B1044:B$2,-1+SUMPRODUCT(MAX(ROW(E1044:E$2)*(E1045=E1044:E$2)))))</f>
        <v> </v>
      </c>
      <c r="J1045" s="25" t="str">
        <f>IF(OR(E1045="",E1045="!!!",F1045="NEW"),"",COUNTBLANK(OFFSET(A$1,,,SUMPRODUCT(MAX(ROW(E$2:E1045)*(E1045=E$2:E1045)))))-COUNTBLANK(OFFSET(A$1,,,SUMPRODUCT(MAX(ROW(E$1:E1044)*(E2=E$1:E1044))))))</f>
        <v> </v>
      </c>
      <c r="K1045" s="25" t="str">
        <f>IF(OR(E1045="",E1045="!!!",F1045="NEW"),"",INDEX(J$1:J1044,SUMPRODUCT(MAX(ROW(E$1:E1044)*(E1045=E$1:E1044)))))</f>
        <v> </v>
      </c>
      <c r="L1045" s="26"/>
    </row>
    <row r="1046" spans="1:12">
      <c r="A1046" s="20" t="s">
        <v>232</v>
      </c>
      <c r="B1046" s="27" t="s">
        <v>407</v>
      </c>
      <c r="E1046" s="21">
        <f>IF(D1046="?OLD","!!!","")</f>
        <v/>
      </c>
      <c r="F1046" s="22" t="str">
        <f>IF(OR(E1046="",E1046="!!!"),"",IF(NOT(ISNA(VLOOKUP(E1046,E$1:E1045,1,FALSE()))),"OLD",IF(AND(E1046&lt;&gt;"",E1046&lt;&gt;"!!!"),"NEW","")))</f>
        <v> </v>
      </c>
      <c r="G1046" s="23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4" t="str">
        <f>IF(J1046&lt;&gt;1,"",IF(I1046="SBJ","CB","?"))</f>
        <v> </v>
      </c>
      <c r="I1046" s="25" t="str">
        <f>IF(OR(E1046="",E1046="!!!",F1046="NEW"),"",INDEX(B1045:B$2,-1+SUMPRODUCT(MAX(ROW(E1045:E$2)*(E1046=E1045:E$2)))))</f>
        <v> </v>
      </c>
      <c r="J1046" s="25" t="str">
        <f>IF(OR(E1046="",E1046="!!!",F1046="NEW"),"",COUNTBLANK(OFFSET(A$1,,,SUMPRODUCT(MAX(ROW(E$2:E1046)*(E1046=E$2:E1046)))))-COUNTBLANK(OFFSET(A$1,,,SUMPRODUCT(MAX(ROW(E$1:E1045)*(E2=E$1:E1045))))))</f>
        <v> </v>
      </c>
      <c r="K1046" s="25" t="str">
        <f>IF(OR(E1046="",E1046="!!!",F1046="NEW"),"",INDEX(J$1:J1045,SUMPRODUCT(MAX(ROW(E$1:E1045)*(E1046=E$1:E1045)))))</f>
        <v> </v>
      </c>
      <c r="L1046" s="26"/>
    </row>
    <row r="1047" spans="1:12">
      <c r="A1047" s="20" t="s">
        <v>632</v>
      </c>
      <c r="E1047" s="21">
        <f>IF(D1047="?OLD","!!!","")</f>
        <v/>
      </c>
      <c r="F1047" s="22" t="str">
        <f>IF(OR(E1047="",E1047="!!!"),"",IF(NOT(ISNA(VLOOKUP(E1047,E$1:E1046,1,FALSE()))),"OLD",IF(AND(E1047&lt;&gt;"",E1047&lt;&gt;"!!!"),"NEW","")))</f>
        <v> </v>
      </c>
      <c r="G1047" s="23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4" t="str">
        <f>IF(J1047&lt;&gt;1,"",IF(I1047="SBJ","CB","?"))</f>
        <v> </v>
      </c>
      <c r="I1047" s="25" t="str">
        <f>IF(OR(E1047="",E1047="!!!",F1047="NEW"),"",INDEX(B1046:B$2,-1+SUMPRODUCT(MAX(ROW(E1046:E$2)*(E1047=E1046:E$2)))))</f>
        <v> </v>
      </c>
      <c r="J1047" s="25" t="str">
        <f>IF(OR(E1047="",E1047="!!!",F1047="NEW"),"",COUNTBLANK(OFFSET(A$1,,,SUMPRODUCT(MAX(ROW(E$2:E1047)*(E1047=E$2:E1047)))))-COUNTBLANK(OFFSET(A$1,,,SUMPRODUCT(MAX(ROW(E$1:E1046)*(E2=E$1:E1046))))))</f>
        <v> </v>
      </c>
      <c r="K1047" s="25" t="str">
        <f>IF(OR(E1047="",E1047="!!!",F1047="NEW"),"",INDEX(J$1:J1046,SUMPRODUCT(MAX(ROW(E$1:E1046)*(E1047=E$1:E1046)))))</f>
        <v> </v>
      </c>
      <c r="L1047" s="26"/>
    </row>
    <row r="1048" spans="1:12">
      <c r="A1048" s="20" t="s">
        <v>190</v>
      </c>
      <c r="E1048" s="21">
        <f>IF(D1048="?OLD","!!!","")</f>
        <v/>
      </c>
      <c r="F1048" s="22" t="str">
        <f>IF(OR(E1048="",E1048="!!!"),"",IF(NOT(ISNA(VLOOKUP(E1048,E$1:E1047,1,FALSE()))),"OLD",IF(AND(E1048&lt;&gt;"",E1048&lt;&gt;"!!!"),"NEW","")))</f>
        <v> </v>
      </c>
      <c r="G1048" s="23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4" t="str">
        <f>IF(J1048&lt;&gt;1,"",IF(I1048="SBJ","CB","?"))</f>
        <v> </v>
      </c>
      <c r="I1048" s="25" t="str">
        <f>IF(OR(E1048="",E1048="!!!",F1048="NEW"),"",INDEX(B1047:B$2,-1+SUMPRODUCT(MAX(ROW(E1047:E$2)*(E1048=E1047:E$2)))))</f>
        <v> </v>
      </c>
      <c r="J1048" s="25" t="str">
        <f>IF(OR(E1048="",E1048="!!!",F1048="NEW"),"",COUNTBLANK(OFFSET(A$1,,,SUMPRODUCT(MAX(ROW(E$2:E1048)*(E1048=E$2:E1048)))))-COUNTBLANK(OFFSET(A$1,,,SUMPRODUCT(MAX(ROW(E$1:E1047)*(E2=E$1:E1047))))))</f>
        <v> </v>
      </c>
      <c r="K1048" s="25" t="str">
        <f>IF(OR(E1048="",E1048="!!!",F1048="NEW"),"",INDEX(J$1:J1047,SUMPRODUCT(MAX(ROW(E$1:E1047)*(E1048=E$1:E1047)))))</f>
        <v> </v>
      </c>
      <c r="L1048" s="26"/>
    </row>
    <row r="1049" spans="1:12">
      <c r="A1049" s="20" t="s">
        <v>427</v>
      </c>
      <c r="B1049" s="27" t="s">
        <v>204</v>
      </c>
      <c r="C1049" s="27" t="s">
        <v>428</v>
      </c>
      <c r="D1049" s="27" t="s">
        <v>194</v>
      </c>
      <c r="E1049" s="21">
        <f>IF(D1049="?OLD","!!!","")</f>
        <v/>
      </c>
      <c r="F1049" s="22" t="str">
        <f>IF(OR(E1049="",E1049="!!!"),"",IF(NOT(ISNA(VLOOKUP(E1049,E$1:E1048,1,FALSE()))),"OLD",IF(AND(E1049&lt;&gt;"",E1049&lt;&gt;"!!!"),"NEW","")))</f>
        <v> </v>
      </c>
      <c r="G1049" s="23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4" t="str">
        <f>IF(J1049&lt;&gt;1,"",IF(I1049="SBJ","CB","?"))</f>
        <v> </v>
      </c>
      <c r="I1049" s="25" t="str">
        <f>IF(OR(E1049="",E1049="!!!",F1049="NEW"),"",INDEX(B1048:B$2,-1+SUMPRODUCT(MAX(ROW(E1048:E$2)*(E1049=E1048:E$2)))))</f>
        <v> </v>
      </c>
      <c r="J1049" s="25" t="str">
        <f>IF(OR(E1049="",E1049="!!!",F1049="NEW"),"",COUNTBLANK(OFFSET(A$1,,,SUMPRODUCT(MAX(ROW(E$2:E1049)*(E1049=E$2:E1049)))))-COUNTBLANK(OFFSET(A$1,,,SUMPRODUCT(MAX(ROW(E$1:E1048)*(E2=E$1:E1048))))))</f>
        <v> </v>
      </c>
      <c r="K1049" s="25" t="str">
        <f>IF(OR(E1049="",E1049="!!!",F1049="NEW"),"",INDEX(J$1:J1048,SUMPRODUCT(MAX(ROW(E$1:E1048)*(E1049=E$1:E1048)))))</f>
        <v> </v>
      </c>
      <c r="L1049" s="26"/>
    </row>
    <row r="1050" spans="1:12">
      <c r="A1050" s="20" t="s">
        <v>633</v>
      </c>
      <c r="B1050" s="27" t="s">
        <v>300</v>
      </c>
      <c r="C1050" s="27" t="s">
        <v>223</v>
      </c>
      <c r="D1050" s="27" t="s">
        <v>194</v>
      </c>
      <c r="E1050" s="21">
        <f>IF(D1050="?OLD","!!!","")</f>
        <v/>
      </c>
      <c r="F1050" s="22" t="str">
        <f>IF(OR(E1050="",E1050="!!!"),"",IF(NOT(ISNA(VLOOKUP(E1050,E$1:E1049,1,FALSE()))),"OLD",IF(AND(E1050&lt;&gt;"",E1050&lt;&gt;"!!!"),"NEW","")))</f>
        <v> </v>
      </c>
      <c r="G1050" s="23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4" t="str">
        <f>IF(J1050&lt;&gt;1,"",IF(I1050="SBJ","CB","?"))</f>
        <v> </v>
      </c>
      <c r="I1050" s="25" t="str">
        <f>IF(OR(E1050="",E1050="!!!",F1050="NEW"),"",INDEX(B1049:B$2,-1+SUMPRODUCT(MAX(ROW(E1049:E$2)*(E1050=E1049:E$2)))))</f>
        <v> </v>
      </c>
      <c r="J1050" s="25" t="str">
        <f>IF(OR(E1050="",E1050="!!!",F1050="NEW"),"",COUNTBLANK(OFFSET(A$1,,,SUMPRODUCT(MAX(ROW(E$2:E1050)*(E1050=E$2:E1050)))))-COUNTBLANK(OFFSET(A$1,,,SUMPRODUCT(MAX(ROW(E$1:E1049)*(E2=E$1:E1049))))))</f>
        <v> </v>
      </c>
      <c r="K1050" s="25" t="str">
        <f>IF(OR(E1050="",E1050="!!!",F1050="NEW"),"",INDEX(J$1:J1049,SUMPRODUCT(MAX(ROW(E$1:E1049)*(E1050=E$1:E1049)))))</f>
        <v> </v>
      </c>
      <c r="L1050" s="26"/>
    </row>
    <row r="1051" spans="1:12">
      <c r="A1051" s="20" t="s">
        <v>270</v>
      </c>
      <c r="E1051" s="21">
        <f>IF(D1051="?OLD","!!!","")</f>
        <v/>
      </c>
      <c r="F1051" s="22" t="str">
        <f>IF(OR(E1051="",E1051="!!!"),"",IF(NOT(ISNA(VLOOKUP(E1051,E$1:E1050,1,FALSE()))),"OLD",IF(AND(E1051&lt;&gt;"",E1051&lt;&gt;"!!!"),"NEW","")))</f>
        <v> </v>
      </c>
      <c r="G1051" s="23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4" t="str">
        <f>IF(J1051&lt;&gt;1,"",IF(I1051="SBJ","CB","?"))</f>
        <v> </v>
      </c>
      <c r="I1051" s="25" t="str">
        <f>IF(OR(E1051="",E1051="!!!",F1051="NEW"),"",INDEX(B1050:B$2,-1+SUMPRODUCT(MAX(ROW(E1050:E$2)*(E1051=E1050:E$2)))))</f>
        <v> </v>
      </c>
      <c r="J1051" s="25" t="str">
        <f>IF(OR(E1051="",E1051="!!!",F1051="NEW"),"",COUNTBLANK(OFFSET(A$1,,,SUMPRODUCT(MAX(ROW(E$2:E1051)*(E1051=E$2:E1051)))))-COUNTBLANK(OFFSET(A$1,,,SUMPRODUCT(MAX(ROW(E$1:E1050)*(E2=E$1:E1050))))))</f>
        <v> </v>
      </c>
      <c r="K1051" s="25" t="str">
        <f>IF(OR(E1051="",E1051="!!!",F1051="NEW"),"",INDEX(J$1:J1050,SUMPRODUCT(MAX(ROW(E$1:E1050)*(E1051=E$1:E1050)))))</f>
        <v> </v>
      </c>
      <c r="L1051" s="26"/>
    </row>
    <row r="1052" spans="1:12">
      <c r="A1052" s="20" t="s">
        <v>190</v>
      </c>
      <c r="B1052" s="27" t="s">
        <v>238</v>
      </c>
      <c r="C1052" s="27" t="s">
        <v>244</v>
      </c>
      <c r="D1052" s="27" t="s">
        <v>194</v>
      </c>
      <c r="E1052" s="21">
        <f>IF(D1052="?OLD","!!!","")</f>
        <v/>
      </c>
      <c r="F1052" s="22" t="str">
        <f>IF(OR(E1052="",E1052="!!!"),"",IF(NOT(ISNA(VLOOKUP(E1052,E$1:E1051,1,FALSE()))),"OLD",IF(AND(E1052&lt;&gt;"",E1052&lt;&gt;"!!!"),"NEW","")))</f>
        <v> </v>
      </c>
      <c r="G1052" s="23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4" t="str">
        <f>IF(J1052&lt;&gt;1,"",IF(I1052="SBJ","CB","?"))</f>
        <v> </v>
      </c>
      <c r="I1052" s="25" t="str">
        <f>IF(OR(E1052="",E1052="!!!",F1052="NEW"),"",INDEX(B1051:B$2,-1+SUMPRODUCT(MAX(ROW(E1051:E$2)*(E1052=E1051:E$2)))))</f>
        <v> </v>
      </c>
      <c r="J1052" s="25" t="str">
        <f>IF(OR(E1052="",E1052="!!!",F1052="NEW"),"",COUNTBLANK(OFFSET(A$1,,,SUMPRODUCT(MAX(ROW(E$2:E1052)*(E1052=E$2:E1052)))))-COUNTBLANK(OFFSET(A$1,,,SUMPRODUCT(MAX(ROW(E$1:E1051)*(E2=E$1:E1051))))))</f>
        <v> </v>
      </c>
      <c r="K1052" s="25" t="str">
        <f>IF(OR(E1052="",E1052="!!!",F1052="NEW"),"",INDEX(J$1:J1051,SUMPRODUCT(MAX(ROW(E$1:E1051)*(E1052=E$1:E1051)))))</f>
        <v> </v>
      </c>
      <c r="L1052" s="26"/>
    </row>
    <row r="1053" spans="1:12">
      <c r="A1053" s="20" t="s">
        <v>634</v>
      </c>
      <c r="E1053" s="21">
        <f>IF(D1053="?OLD","!!!","")</f>
        <v/>
      </c>
      <c r="F1053" s="22" t="str">
        <f>IF(OR(E1053="",E1053="!!!"),"",IF(NOT(ISNA(VLOOKUP(E1053,E$1:E1052,1,FALSE()))),"OLD",IF(AND(E1053&lt;&gt;"",E1053&lt;&gt;"!!!"),"NEW","")))</f>
        <v> </v>
      </c>
      <c r="G1053" s="23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4" t="str">
        <f>IF(J1053&lt;&gt;1,"",IF(I1053="SBJ","CB","?"))</f>
        <v> </v>
      </c>
      <c r="I1053" s="25" t="str">
        <f>IF(OR(E1053="",E1053="!!!",F1053="NEW"),"",INDEX(B1052:B$2,-1+SUMPRODUCT(MAX(ROW(E1052:E$2)*(E1053=E1052:E$2)))))</f>
        <v> </v>
      </c>
      <c r="J1053" s="25" t="str">
        <f>IF(OR(E1053="",E1053="!!!",F1053="NEW"),"",COUNTBLANK(OFFSET(A$1,,,SUMPRODUCT(MAX(ROW(E$2:E1053)*(E1053=E$2:E1053)))))-COUNTBLANK(OFFSET(A$1,,,SUMPRODUCT(MAX(ROW(E$1:E1052)*(E2=E$1:E1052))))))</f>
        <v> </v>
      </c>
      <c r="K1053" s="25" t="str">
        <f>IF(OR(E1053="",E1053="!!!",F1053="NEW"),"",INDEX(J$1:J1052,SUMPRODUCT(MAX(ROW(E$1:E1052)*(E1053=E$1:E1052)))))</f>
        <v> </v>
      </c>
      <c r="L1053" s="26"/>
    </row>
    <row r="1054" spans="1:12">
      <c r="A1054" s="20" t="s">
        <v>219</v>
      </c>
      <c r="E1054" s="21">
        <f>IF(D1054="?OLD","!!!","")</f>
        <v/>
      </c>
      <c r="F1054" s="22" t="str">
        <f>IF(OR(E1054="",E1054="!!!"),"",IF(NOT(ISNA(VLOOKUP(E1054,E$1:E1053,1,FALSE()))),"OLD",IF(AND(E1054&lt;&gt;"",E1054&lt;&gt;"!!!"),"NEW","")))</f>
        <v> </v>
      </c>
      <c r="G1054" s="23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24" t="str">
        <f>IF(J1054&lt;&gt;1,"",IF(I1054="SBJ","CB","?"))</f>
        <v> </v>
      </c>
      <c r="I1054" s="25" t="str">
        <f>IF(OR(E1054="",E1054="!!!",F1054="NEW"),"",INDEX(B1053:B$2,-1+SUMPRODUCT(MAX(ROW(E1053:E$2)*(E1054=E1053:E$2)))))</f>
        <v> </v>
      </c>
      <c r="J1054" s="25" t="str">
        <f>IF(OR(E1054="",E1054="!!!",F1054="NEW"),"",COUNTBLANK(OFFSET(A$1,,,SUMPRODUCT(MAX(ROW(E$2:E1054)*(E1054=E$2:E1054)))))-COUNTBLANK(OFFSET(A$1,,,SUMPRODUCT(MAX(ROW(E$1:E1053)*(E2=E$1:E1053))))))</f>
        <v> </v>
      </c>
      <c r="K1054" s="25" t="str">
        <f>IF(OR(E1054="",E1054="!!!",F1054="NEW"),"",INDEX(J$1:J1053,SUMPRODUCT(MAX(ROW(E$1:E1053)*(E1054=E$1:E1053)))))</f>
        <v> </v>
      </c>
      <c r="L1054" s="26"/>
    </row>
    <row r="1055" spans="1:12">
      <c r="A1055" s="20"/>
    </row>
    <row r="1056" spans="1:12">
      <c r="A1056" s="20" t="s">
        <v>635</v>
      </c>
    </row>
    <row r="1057" spans="1:12">
      <c r="A1057" s="20" t="s">
        <v>338</v>
      </c>
      <c r="B1057" s="27" t="s">
        <v>192</v>
      </c>
      <c r="C1057" s="27" t="s">
        <v>244</v>
      </c>
      <c r="D1057" s="27" t="s">
        <v>194</v>
      </c>
      <c r="E1057" s="21">
        <f>IF(D1057="?OLD","!!!","")</f>
        <v/>
      </c>
      <c r="F1057" s="22" t="str">
        <f>IF(OR(E1057="",E1057="!!!"),"",IF(NOT(ISNA(VLOOKUP(E1057,E$1:E1056,1,FALSE()))),"OLD",IF(AND(E1057&lt;&gt;"",E1057&lt;&gt;"!!!"),"NEW","")))</f>
        <v> </v>
      </c>
      <c r="G1057" s="23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4" t="str">
        <f>IF(J1057&lt;&gt;1,"",IF(I1057="SBJ","CB","?"))</f>
        <v> </v>
      </c>
      <c r="I1057" s="25" t="str">
        <f>IF(OR(E1057="",E1057="!!!",F1057="NEW"),"",INDEX(B1056:B$2,-1+SUMPRODUCT(MAX(ROW(E1056:E$2)*(E1057=E1056:E$2)))))</f>
        <v> </v>
      </c>
      <c r="J1057" s="25" t="str">
        <f>IF(OR(E1057="",E1057="!!!",F1057="NEW"),"",COUNTBLANK(OFFSET(A$1,,,SUMPRODUCT(MAX(ROW(E$2:E1057)*(E1057=E$2:E1057)))))-COUNTBLANK(OFFSET(A$1,,,SUMPRODUCT(MAX(ROW(E$1:E1056)*(E2=E$1:E1056))))))</f>
        <v> </v>
      </c>
      <c r="K1057" s="25" t="str">
        <f>IF(OR(E1057="",E1057="!!!",F1057="NEW"),"",INDEX(J$1:J1056,SUMPRODUCT(MAX(ROW(E$1:E1056)*(E1057=E$1:E1056)))))</f>
        <v> </v>
      </c>
      <c r="L1057" s="26"/>
    </row>
    <row r="1058" spans="1:12">
      <c r="A1058" s="20" t="s">
        <v>636</v>
      </c>
      <c r="E1058" s="21">
        <f>IF(D1058="?OLD","!!!","")</f>
        <v/>
      </c>
      <c r="F1058" s="22" t="str">
        <f>IF(OR(E1058="",E1058="!!!"),"",IF(NOT(ISNA(VLOOKUP(E1058,E$1:E1057,1,FALSE()))),"OLD",IF(AND(E1058&lt;&gt;"",E1058&lt;&gt;"!!!"),"NEW","")))</f>
        <v> </v>
      </c>
      <c r="G1058" s="23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4" t="str">
        <f>IF(J1058&lt;&gt;1,"",IF(I1058="SBJ","CB","?"))</f>
        <v> </v>
      </c>
      <c r="I1058" s="25" t="str">
        <f>IF(OR(E1058="",E1058="!!!",F1058="NEW"),"",INDEX(B1057:B$2,-1+SUMPRODUCT(MAX(ROW(E1057:E$2)*(E1058=E1057:E$2)))))</f>
        <v> </v>
      </c>
      <c r="J1058" s="25" t="str">
        <f>IF(OR(E1058="",E1058="!!!",F1058="NEW"),"",COUNTBLANK(OFFSET(A$1,,,SUMPRODUCT(MAX(ROW(E$2:E1058)*(E1058=E$2:E1058)))))-COUNTBLANK(OFFSET(A$1,,,SUMPRODUCT(MAX(ROW(E$1:E1057)*(E2=E$1:E1057))))))</f>
        <v> </v>
      </c>
      <c r="K1058" s="25" t="str">
        <f>IF(OR(E1058="",E1058="!!!",F1058="NEW"),"",INDEX(J$1:J1057,SUMPRODUCT(MAX(ROW(E$1:E1057)*(E1058=E$1:E1057)))))</f>
        <v> </v>
      </c>
      <c r="L1058" s="26"/>
    </row>
    <row r="1059" spans="1:12">
      <c r="A1059" s="20" t="s">
        <v>637</v>
      </c>
      <c r="E1059" s="21">
        <f>IF(D1059="?OLD","!!!","")</f>
        <v/>
      </c>
      <c r="F1059" s="22" t="str">
        <f>IF(OR(E1059="",E1059="!!!"),"",IF(NOT(ISNA(VLOOKUP(E1059,E$1:E1058,1,FALSE()))),"OLD",IF(AND(E1059&lt;&gt;"",E1059&lt;&gt;"!!!"),"NEW","")))</f>
        <v> </v>
      </c>
      <c r="G1059" s="23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4" t="str">
        <f>IF(J1059&lt;&gt;1,"",IF(I1059="SBJ","CB","?"))</f>
        <v> </v>
      </c>
      <c r="I1059" s="25" t="str">
        <f>IF(OR(E1059="",E1059="!!!",F1059="NEW"),"",INDEX(B1058:B$2,-1+SUMPRODUCT(MAX(ROW(E1058:E$2)*(E1059=E1058:E$2)))))</f>
        <v> </v>
      </c>
      <c r="J1059" s="25" t="str">
        <f>IF(OR(E1059="",E1059="!!!",F1059="NEW"),"",COUNTBLANK(OFFSET(A$1,,,SUMPRODUCT(MAX(ROW(E$2:E1059)*(E1059=E$2:E1059)))))-COUNTBLANK(OFFSET(A$1,,,SUMPRODUCT(MAX(ROW(E$1:E1058)*(E2=E$1:E1058))))))</f>
        <v> </v>
      </c>
      <c r="K1059" s="25" t="str">
        <f>IF(OR(E1059="",E1059="!!!",F1059="NEW"),"",INDEX(J$1:J1058,SUMPRODUCT(MAX(ROW(E$1:E1058)*(E1059=E$1:E1058)))))</f>
        <v> </v>
      </c>
      <c r="L1059" s="26"/>
    </row>
    <row r="1060" spans="1:12">
      <c r="A1060" s="20" t="s">
        <v>172</v>
      </c>
      <c r="B1060" s="27" t="s">
        <v>210</v>
      </c>
      <c r="C1060" s="27" t="s">
        <v>193</v>
      </c>
      <c r="D1060" s="27" t="s">
        <v>194</v>
      </c>
      <c r="E1060" s="21">
        <f>IF(D1060="?OLD","!!!","")</f>
        <v/>
      </c>
      <c r="F1060" s="22" t="str">
        <f>IF(OR(E1060="",E1060="!!!"),"",IF(NOT(ISNA(VLOOKUP(E1060,E$1:E1059,1,FALSE()))),"OLD",IF(AND(E1060&lt;&gt;"",E1060&lt;&gt;"!!!"),"NEW","")))</f>
        <v> </v>
      </c>
      <c r="G1060" s="23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4" t="str">
        <f>IF(J1060&lt;&gt;1,"",IF(I1060="SBJ","CB","?"))</f>
        <v> </v>
      </c>
      <c r="I1060" s="25" t="str">
        <f>IF(OR(E1060="",E1060="!!!",F1060="NEW"),"",INDEX(B1059:B$2,-1+SUMPRODUCT(MAX(ROW(E1059:E$2)*(E1060=E1059:E$2)))))</f>
        <v> </v>
      </c>
      <c r="J1060" s="25" t="str">
        <f>IF(OR(E1060="",E1060="!!!",F1060="NEW"),"",COUNTBLANK(OFFSET(A$1,,,SUMPRODUCT(MAX(ROW(E$2:E1060)*(E1060=E$2:E1060)))))-COUNTBLANK(OFFSET(A$1,,,SUMPRODUCT(MAX(ROW(E$1:E1059)*(E2=E$1:E1059))))))</f>
        <v> </v>
      </c>
      <c r="K1060" s="25" t="str">
        <f>IF(OR(E1060="",E1060="!!!",F1060="NEW"),"",INDEX(J$1:J1059,SUMPRODUCT(MAX(ROW(E$1:E1059)*(E1060=E$1:E1059)))))</f>
        <v> </v>
      </c>
      <c r="L1060" s="26"/>
    </row>
    <row r="1061" spans="1:12">
      <c r="A1061" s="20" t="s">
        <v>261</v>
      </c>
      <c r="E1061" s="21">
        <f>IF(D1061="?OLD","!!!","")</f>
        <v/>
      </c>
      <c r="F1061" s="22" t="str">
        <f>IF(OR(E1061="",E1061="!!!"),"",IF(NOT(ISNA(VLOOKUP(E1061,E$1:E1060,1,FALSE()))),"OLD",IF(AND(E1061&lt;&gt;"",E1061&lt;&gt;"!!!"),"NEW","")))</f>
        <v> </v>
      </c>
      <c r="G1061" s="23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4" t="str">
        <f>IF(J1061&lt;&gt;1,"",IF(I1061="SBJ","CB","?"))</f>
        <v> </v>
      </c>
      <c r="I1061" s="25" t="str">
        <f>IF(OR(E1061="",E1061="!!!",F1061="NEW"),"",INDEX(B1060:B$2,-1+SUMPRODUCT(MAX(ROW(E1060:E$2)*(E1061=E1060:E$2)))))</f>
        <v> </v>
      </c>
      <c r="J1061" s="25" t="str">
        <f>IF(OR(E1061="",E1061="!!!",F1061="NEW"),"",COUNTBLANK(OFFSET(A$1,,,SUMPRODUCT(MAX(ROW(E$2:E1061)*(E1061=E$2:E1061)))))-COUNTBLANK(OFFSET(A$1,,,SUMPRODUCT(MAX(ROW(E$1:E1060)*(E2=E$1:E1060))))))</f>
        <v> </v>
      </c>
      <c r="K1061" s="25" t="str">
        <f>IF(OR(E1061="",E1061="!!!",F1061="NEW"),"",INDEX(J$1:J1060,SUMPRODUCT(MAX(ROW(E$1:E1060)*(E1061=E$1:E1060)))))</f>
        <v> </v>
      </c>
      <c r="L1061" s="26"/>
    </row>
    <row r="1062" spans="1:12">
      <c r="A1062" s="20" t="s">
        <v>190</v>
      </c>
      <c r="E1062" s="21">
        <f>IF(D1062="?OLD","!!!","")</f>
        <v/>
      </c>
      <c r="F1062" s="22" t="str">
        <f>IF(OR(E1062="",E1062="!!!"),"",IF(NOT(ISNA(VLOOKUP(E1062,E$1:E1061,1,FALSE()))),"OLD",IF(AND(E1062&lt;&gt;"",E1062&lt;&gt;"!!!"),"NEW","")))</f>
        <v> </v>
      </c>
      <c r="G1062" s="23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24" t="str">
        <f>IF(J1062&lt;&gt;1,"",IF(I1062="SBJ","CB","?"))</f>
        <v> </v>
      </c>
      <c r="I1062" s="25" t="str">
        <f>IF(OR(E1062="",E1062="!!!",F1062="NEW"),"",INDEX(B1061:B$2,-1+SUMPRODUCT(MAX(ROW(E1061:E$2)*(E1062=E1061:E$2)))))</f>
        <v> </v>
      </c>
      <c r="J1062" s="25" t="str">
        <f>IF(OR(E1062="",E1062="!!!",F1062="NEW"),"",COUNTBLANK(OFFSET(A$1,,,SUMPRODUCT(MAX(ROW(E$2:E1062)*(E1062=E$2:E1062)))))-COUNTBLANK(OFFSET(A$1,,,SUMPRODUCT(MAX(ROW(E$1:E1061)*(E2=E$1:E1061))))))</f>
        <v> </v>
      </c>
      <c r="K1062" s="25" t="str">
        <f>IF(OR(E1062="",E1062="!!!",F1062="NEW"),"",INDEX(J$1:J1061,SUMPRODUCT(MAX(ROW(E$1:E1061)*(E1062=E$1:E1061)))))</f>
        <v> </v>
      </c>
      <c r="L1062" s="26"/>
    </row>
    <row r="1063" spans="1:12">
      <c r="A1063" s="20" t="s">
        <v>273</v>
      </c>
      <c r="B1063" s="27" t="s">
        <v>197</v>
      </c>
      <c r="C1063" s="27" t="s">
        <v>198</v>
      </c>
      <c r="D1063" s="27" t="s">
        <v>194</v>
      </c>
      <c r="E1063" s="21">
        <f>IF(D1063="?OLD","!!!","")</f>
        <v/>
      </c>
      <c r="F1063" s="22" t="str">
        <f>IF(OR(E1063="",E1063="!!!"),"",IF(NOT(ISNA(VLOOKUP(E1063,E$1:E1062,1,FALSE()))),"OLD",IF(AND(E1063&lt;&gt;"",E1063&lt;&gt;"!!!"),"NEW","")))</f>
        <v> </v>
      </c>
      <c r="G1063" s="23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4" t="str">
        <f>IF(J1063&lt;&gt;1,"",IF(I1063="SBJ","CB","?"))</f>
        <v> </v>
      </c>
      <c r="I1063" s="25" t="str">
        <f>IF(OR(E1063="",E1063="!!!",F1063="NEW"),"",INDEX(B1062:B$2,-1+SUMPRODUCT(MAX(ROW(E1062:E$2)*(E1063=E1062:E$2)))))</f>
        <v> </v>
      </c>
      <c r="J1063" s="25" t="str">
        <f>IF(OR(E1063="",E1063="!!!",F1063="NEW"),"",COUNTBLANK(OFFSET(A$1,,,SUMPRODUCT(MAX(ROW(E$2:E1063)*(E1063=E$2:E1063)))))-COUNTBLANK(OFFSET(A$1,,,SUMPRODUCT(MAX(ROW(E$1:E1062)*(E2=E$1:E1062))))))</f>
        <v> </v>
      </c>
      <c r="K1063" s="25" t="str">
        <f>IF(OR(E1063="",E1063="!!!",F1063="NEW"),"",INDEX(J$1:J1062,SUMPRODUCT(MAX(ROW(E$1:E1062)*(E1063=E$1:E1062)))))</f>
        <v> </v>
      </c>
      <c r="L1063" s="26"/>
    </row>
    <row r="1064" spans="1:12">
      <c r="A1064" s="20" t="s">
        <v>205</v>
      </c>
      <c r="E1064" s="21">
        <f>IF(D1064="?OLD","!!!","")</f>
        <v/>
      </c>
      <c r="F1064" s="22" t="str">
        <f>IF(OR(E1064="",E1064="!!!"),"",IF(NOT(ISNA(VLOOKUP(E1064,E$1:E1063,1,FALSE()))),"OLD",IF(AND(E1064&lt;&gt;"",E1064&lt;&gt;"!!!"),"NEW","")))</f>
        <v> </v>
      </c>
      <c r="G1064" s="23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4" t="str">
        <f>IF(J1064&lt;&gt;1,"",IF(I1064="SBJ","CB","?"))</f>
        <v> </v>
      </c>
      <c r="I1064" s="25" t="str">
        <f>IF(OR(E1064="",E1064="!!!",F1064="NEW"),"",INDEX(B1063:B$2,-1+SUMPRODUCT(MAX(ROW(E1063:E$2)*(E1064=E1063:E$2)))))</f>
        <v> </v>
      </c>
      <c r="J1064" s="25" t="str">
        <f>IF(OR(E1064="",E1064="!!!",F1064="NEW"),"",COUNTBLANK(OFFSET(A$1,,,SUMPRODUCT(MAX(ROW(E$2:E1064)*(E1064=E$2:E1064)))))-COUNTBLANK(OFFSET(A$1,,,SUMPRODUCT(MAX(ROW(E$1:E1063)*(E2=E$1:E1063))))))</f>
        <v> </v>
      </c>
      <c r="K1064" s="25" t="str">
        <f>IF(OR(E1064="",E1064="!!!",F1064="NEW"),"",INDEX(J$1:J1063,SUMPRODUCT(MAX(ROW(E$1:E1063)*(E1064=E$1:E1063)))))</f>
        <v> </v>
      </c>
      <c r="L1064" s="26"/>
    </row>
    <row r="1065" spans="1:12">
      <c r="A1065" s="20" t="s">
        <v>638</v>
      </c>
      <c r="E1065" s="21">
        <f>IF(D1065="?OLD","!!!","")</f>
        <v/>
      </c>
      <c r="F1065" s="22" t="str">
        <f>IF(OR(E1065="",E1065="!!!"),"",IF(NOT(ISNA(VLOOKUP(E1065,E$1:E1064,1,FALSE()))),"OLD",IF(AND(E1065&lt;&gt;"",E1065&lt;&gt;"!!!"),"NEW","")))</f>
        <v> </v>
      </c>
      <c r="G1065" s="23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4" t="str">
        <f>IF(J1065&lt;&gt;1,"",IF(I1065="SBJ","CB","?"))</f>
        <v> </v>
      </c>
      <c r="I1065" s="25" t="str">
        <f>IF(OR(E1065="",E1065="!!!",F1065="NEW"),"",INDEX(B1064:B$2,-1+SUMPRODUCT(MAX(ROW(E1064:E$2)*(E1065=E1064:E$2)))))</f>
        <v> </v>
      </c>
      <c r="J1065" s="25" t="str">
        <f>IF(OR(E1065="",E1065="!!!",F1065="NEW"),"",COUNTBLANK(OFFSET(A$1,,,SUMPRODUCT(MAX(ROW(E$2:E1065)*(E1065=E$2:E1065)))))-COUNTBLANK(OFFSET(A$1,,,SUMPRODUCT(MAX(ROW(E$1:E1064)*(E2=E$1:E1064))))))</f>
        <v> </v>
      </c>
      <c r="K1065" s="25" t="str">
        <f>IF(OR(E1065="",E1065="!!!",F1065="NEW"),"",INDEX(J$1:J1064,SUMPRODUCT(MAX(ROW(E$1:E1064)*(E1065=E$1:E1064)))))</f>
        <v> </v>
      </c>
      <c r="L1065" s="26"/>
    </row>
    <row r="1066" spans="1:12">
      <c r="A1066" s="20" t="s">
        <v>639</v>
      </c>
      <c r="E1066" s="21">
        <f>IF(D1066="?OLD","!!!","")</f>
        <v/>
      </c>
      <c r="F1066" s="22" t="str">
        <f>IF(OR(E1066="",E1066="!!!"),"",IF(NOT(ISNA(VLOOKUP(E1066,E$1:E1065,1,FALSE()))),"OLD",IF(AND(E1066&lt;&gt;"",E1066&lt;&gt;"!!!"),"NEW","")))</f>
        <v> </v>
      </c>
      <c r="G1066" s="23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4" t="str">
        <f>IF(J1066&lt;&gt;1,"",IF(I1066="SBJ","CB","?"))</f>
        <v> </v>
      </c>
      <c r="I1066" s="25" t="str">
        <f>IF(OR(E1066="",E1066="!!!",F1066="NEW"),"",INDEX(B1065:B$2,-1+SUMPRODUCT(MAX(ROW(E1065:E$2)*(E1066=E1065:E$2)))))</f>
        <v> </v>
      </c>
      <c r="J1066" s="25" t="str">
        <f>IF(OR(E1066="",E1066="!!!",F1066="NEW"),"",COUNTBLANK(OFFSET(A$1,,,SUMPRODUCT(MAX(ROW(E$2:E1066)*(E1066=E$2:E1066)))))-COUNTBLANK(OFFSET(A$1,,,SUMPRODUCT(MAX(ROW(E$1:E1065)*(E2=E$1:E1065))))))</f>
        <v> </v>
      </c>
      <c r="K1066" s="25" t="str">
        <f>IF(OR(E1066="",E1066="!!!",F1066="NEW"),"",INDEX(J$1:J1065,SUMPRODUCT(MAX(ROW(E$1:E1065)*(E1066=E$1:E1065)))))</f>
        <v> </v>
      </c>
      <c r="L1066" s="26"/>
    </row>
    <row r="1067" spans="1:12">
      <c r="A1067" s="20" t="s">
        <v>266</v>
      </c>
      <c r="E1067" s="21">
        <f>IF(D1067="?OLD","!!!","")</f>
        <v/>
      </c>
      <c r="F1067" s="22" t="str">
        <f>IF(OR(E1067="",E1067="!!!"),"",IF(NOT(ISNA(VLOOKUP(E1067,E$1:E1066,1,FALSE()))),"OLD",IF(AND(E1067&lt;&gt;"",E1067&lt;&gt;"!!!"),"NEW","")))</f>
        <v> </v>
      </c>
      <c r="G1067" s="23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4" t="str">
        <f>IF(J1067&lt;&gt;1,"",IF(I1067="SBJ","CB","?"))</f>
        <v> </v>
      </c>
      <c r="I1067" s="25" t="str">
        <f>IF(OR(E1067="",E1067="!!!",F1067="NEW"),"",INDEX(B1066:B$2,-1+SUMPRODUCT(MAX(ROW(E1066:E$2)*(E1067=E1066:E$2)))))</f>
        <v> </v>
      </c>
      <c r="J1067" s="25" t="str">
        <f>IF(OR(E1067="",E1067="!!!",F1067="NEW"),"",COUNTBLANK(OFFSET(A$1,,,SUMPRODUCT(MAX(ROW(E$2:E1067)*(E1067=E$2:E1067)))))-COUNTBLANK(OFFSET(A$1,,,SUMPRODUCT(MAX(ROW(E$1:E1066)*(E2=E$1:E1066))))))</f>
        <v> </v>
      </c>
      <c r="K1067" s="25" t="str">
        <f>IF(OR(E1067="",E1067="!!!",F1067="NEW"),"",INDEX(J$1:J1066,SUMPRODUCT(MAX(ROW(E$1:E1066)*(E1067=E$1:E1066)))))</f>
        <v> </v>
      </c>
      <c r="L1067" s="26"/>
    </row>
    <row r="1068" spans="1:12">
      <c r="A1068" s="20" t="s">
        <v>190</v>
      </c>
      <c r="E1068" s="21">
        <f>IF(D1068="?OLD","!!!","")</f>
        <v/>
      </c>
      <c r="F1068" s="22" t="str">
        <f>IF(OR(E1068="",E1068="!!!"),"",IF(NOT(ISNA(VLOOKUP(E1068,E$1:E1067,1,FALSE()))),"OLD",IF(AND(E1068&lt;&gt;"",E1068&lt;&gt;"!!!"),"NEW","")))</f>
        <v> </v>
      </c>
      <c r="G1068" s="23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4" t="str">
        <f>IF(J1068&lt;&gt;1,"",IF(I1068="SBJ","CB","?"))</f>
        <v> </v>
      </c>
      <c r="I1068" s="25" t="str">
        <f>IF(OR(E1068="",E1068="!!!",F1068="NEW"),"",INDEX(B1067:B$2,-1+SUMPRODUCT(MAX(ROW(E1067:E$2)*(E1068=E1067:E$2)))))</f>
        <v> </v>
      </c>
      <c r="J1068" s="25" t="str">
        <f>IF(OR(E1068="",E1068="!!!",F1068="NEW"),"",COUNTBLANK(OFFSET(A$1,,,SUMPRODUCT(MAX(ROW(E$2:E1068)*(E1068=E$2:E1068)))))-COUNTBLANK(OFFSET(A$1,,,SUMPRODUCT(MAX(ROW(E$1:E1067)*(E2=E$1:E1067))))))</f>
        <v> </v>
      </c>
      <c r="K1068" s="25" t="str">
        <f>IF(OR(E1068="",E1068="!!!",F1068="NEW"),"",INDEX(J$1:J1067,SUMPRODUCT(MAX(ROW(E$1:E1067)*(E1068=E$1:E1067)))))</f>
        <v> </v>
      </c>
      <c r="L1068" s="26"/>
    </row>
    <row r="1069" spans="1:12">
      <c r="A1069" s="20" t="s">
        <v>343</v>
      </c>
      <c r="B1069" s="27" t="s">
        <v>197</v>
      </c>
      <c r="C1069" s="27" t="s">
        <v>198</v>
      </c>
      <c r="D1069" s="27" t="s">
        <v>194</v>
      </c>
      <c r="E1069" s="21">
        <f>IF(D1069="?OLD","!!!","")</f>
        <v/>
      </c>
      <c r="F1069" s="22" t="str">
        <f>IF(OR(E1069="",E1069="!!!"),"",IF(NOT(ISNA(VLOOKUP(E1069,E$1:E1068,1,FALSE()))),"OLD",IF(AND(E1069&lt;&gt;"",E1069&lt;&gt;"!!!"),"NEW","")))</f>
        <v> </v>
      </c>
      <c r="G1069" s="23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 </v>
      </c>
      <c r="H1069" s="24" t="str">
        <f>IF(J1069&lt;&gt;1,"",IF(I1069="SBJ","CB","?"))</f>
        <v> </v>
      </c>
      <c r="I1069" s="25" t="str">
        <f>IF(OR(E1069="",E1069="!!!",F1069="NEW"),"",INDEX(B1068:B$2,-1+SUMPRODUCT(MAX(ROW(E1068:E$2)*(E1069=E1068:E$2)))))</f>
        <v> </v>
      </c>
      <c r="J1069" s="25" t="str">
        <f>IF(OR(E1069="",E1069="!!!",F1069="NEW"),"",COUNTBLANK(OFFSET(A$1,,,SUMPRODUCT(MAX(ROW(E$2:E1069)*(E1069=E$2:E1069)))))-COUNTBLANK(OFFSET(A$1,,,SUMPRODUCT(MAX(ROW(E$1:E1068)*(E2=E$1:E1068))))))</f>
        <v> </v>
      </c>
      <c r="K1069" s="25" t="str">
        <f>IF(OR(E1069="",E1069="!!!",F1069="NEW"),"",INDEX(J$1:J1068,SUMPRODUCT(MAX(ROW(E$1:E1068)*(E1069=E$1:E1068)))))</f>
        <v> </v>
      </c>
      <c r="L1069" s="26"/>
    </row>
    <row r="1070" spans="1:12">
      <c r="A1070" s="20" t="s">
        <v>344</v>
      </c>
      <c r="B1070" s="27" t="s">
        <v>200</v>
      </c>
      <c r="C1070" s="27" t="s">
        <v>198</v>
      </c>
      <c r="D1070" s="27" t="s">
        <v>194</v>
      </c>
      <c r="E1070" s="21">
        <f>IF(D1070="?OLD","!!!","")</f>
        <v/>
      </c>
      <c r="F1070" s="22" t="str">
        <f>IF(OR(E1070="",E1070="!!!"),"",IF(NOT(ISNA(VLOOKUP(E1070,E$1:E1069,1,FALSE()))),"OLD",IF(AND(E1070&lt;&gt;"",E1070&lt;&gt;"!!!"),"NEW","")))</f>
        <v> </v>
      </c>
      <c r="G1070" s="23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> </v>
      </c>
      <c r="H1070" s="24" t="str">
        <f>IF(J1070&lt;&gt;1,"",IF(I1070="SBJ","CB","?"))</f>
        <v> </v>
      </c>
      <c r="I1070" s="25" t="str">
        <f>IF(OR(E1070="",E1070="!!!",F1070="NEW"),"",INDEX(B1069:B$2,-1+SUMPRODUCT(MAX(ROW(E1069:E$2)*(E1070=E1069:E$2)))))</f>
        <v> </v>
      </c>
      <c r="J1070" s="25" t="str">
        <f>IF(OR(E1070="",E1070="!!!",F1070="NEW"),"",COUNTBLANK(OFFSET(A$1,,,SUMPRODUCT(MAX(ROW(E$2:E1070)*(E1070=E$2:E1070)))))-COUNTBLANK(OFFSET(A$1,,,SUMPRODUCT(MAX(ROW(E$1:E1069)*(E2=E$1:E1069))))))</f>
        <v> </v>
      </c>
      <c r="K1070" s="25" t="str">
        <f>IF(OR(E1070="",E1070="!!!",F1070="NEW"),"",INDEX(J$1:J1069,SUMPRODUCT(MAX(ROW(E$1:E1069)*(E1070=E$1:E1069)))))</f>
        <v> </v>
      </c>
      <c r="L1070" s="26"/>
    </row>
    <row r="1071" spans="1:12">
      <c r="A1071" s="20" t="s">
        <v>345</v>
      </c>
      <c r="B1071" s="27" t="s">
        <v>200</v>
      </c>
      <c r="C1071" s="27" t="s">
        <v>198</v>
      </c>
      <c r="D1071" s="27" t="s">
        <v>194</v>
      </c>
      <c r="E1071" s="21">
        <f>IF(D1071="?OLD","!!!","")</f>
        <v/>
      </c>
      <c r="F1071" s="22" t="str">
        <f>IF(OR(E1071="",E1071="!!!"),"",IF(NOT(ISNA(VLOOKUP(E1071,E$1:E1070,1,FALSE()))),"OLD",IF(AND(E1071&lt;&gt;"",E1071&lt;&gt;"!!!"),"NEW","")))</f>
        <v> </v>
      </c>
      <c r="G1071" s="23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24" t="str">
        <f>IF(J1071&lt;&gt;1,"",IF(I1071="SBJ","CB","?"))</f>
        <v> </v>
      </c>
      <c r="I1071" s="25" t="str">
        <f>IF(OR(E1071="",E1071="!!!",F1071="NEW"),"",INDEX(B1070:B$2,-1+SUMPRODUCT(MAX(ROW(E1070:E$2)*(E1071=E1070:E$2)))))</f>
        <v> </v>
      </c>
      <c r="J1071" s="25" t="str">
        <f>IF(OR(E1071="",E1071="!!!",F1071="NEW"),"",COUNTBLANK(OFFSET(A$1,,,SUMPRODUCT(MAX(ROW(E$2:E1071)*(E1071=E$2:E1071)))))-COUNTBLANK(OFFSET(A$1,,,SUMPRODUCT(MAX(ROW(E$1:E1070)*(E2=E$1:E1070))))))</f>
        <v> </v>
      </c>
      <c r="K1071" s="25" t="str">
        <f>IF(OR(E1071="",E1071="!!!",F1071="NEW"),"",INDEX(J$1:J1070,SUMPRODUCT(MAX(ROW(E$1:E1070)*(E1071=E$1:E1070)))))</f>
        <v> </v>
      </c>
      <c r="L1071" s="26"/>
    </row>
    <row r="1072" spans="1:12">
      <c r="A1072" s="20" t="s">
        <v>346</v>
      </c>
      <c r="B1072" s="27" t="s">
        <v>200</v>
      </c>
      <c r="C1072" s="27" t="s">
        <v>198</v>
      </c>
      <c r="D1072" s="27" t="s">
        <v>194</v>
      </c>
      <c r="E1072" s="21">
        <f>IF(D1072="?OLD","!!!","")</f>
        <v/>
      </c>
      <c r="F1072" s="22" t="str">
        <f>IF(OR(E1072="",E1072="!!!"),"",IF(NOT(ISNA(VLOOKUP(E1072,E$1:E1071,1,FALSE()))),"OLD",IF(AND(E1072&lt;&gt;"",E1072&lt;&gt;"!!!"),"NEW","")))</f>
        <v> </v>
      </c>
      <c r="G1072" s="23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4" t="str">
        <f>IF(J1072&lt;&gt;1,"",IF(I1072="SBJ","CB","?"))</f>
        <v> </v>
      </c>
      <c r="I1072" s="25" t="str">
        <f>IF(OR(E1072="",E1072="!!!",F1072="NEW"),"",INDEX(B1071:B$2,-1+SUMPRODUCT(MAX(ROW(E1071:E$2)*(E1072=E1071:E$2)))))</f>
        <v> </v>
      </c>
      <c r="J1072" s="25" t="str">
        <f>IF(OR(E1072="",E1072="!!!",F1072="NEW"),"",COUNTBLANK(OFFSET(A$1,,,SUMPRODUCT(MAX(ROW(E$2:E1072)*(E1072=E$2:E1072)))))-COUNTBLANK(OFFSET(A$1,,,SUMPRODUCT(MAX(ROW(E$1:E1071)*(E2=E$1:E1071))))))</f>
        <v> </v>
      </c>
      <c r="K1072" s="25" t="str">
        <f>IF(OR(E1072="",E1072="!!!",F1072="NEW"),"",INDEX(J$1:J1071,SUMPRODUCT(MAX(ROW(E$1:E1071)*(E1072=E$1:E1071)))))</f>
        <v> </v>
      </c>
      <c r="L1072" s="26"/>
    </row>
    <row r="1073" spans="1:12">
      <c r="A1073" s="20" t="s">
        <v>205</v>
      </c>
      <c r="E1073" s="21">
        <f>IF(D1073="?OLD","!!!","")</f>
        <v/>
      </c>
      <c r="F1073" s="22" t="str">
        <f>IF(OR(E1073="",E1073="!!!"),"",IF(NOT(ISNA(VLOOKUP(E1073,E$1:E1072,1,FALSE()))),"OLD",IF(AND(E1073&lt;&gt;"",E1073&lt;&gt;"!!!"),"NEW","")))</f>
        <v> </v>
      </c>
      <c r="G1073" s="23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24" t="str">
        <f>IF(J1073&lt;&gt;1,"",IF(I1073="SBJ","CB","?"))</f>
        <v> </v>
      </c>
      <c r="I1073" s="25" t="str">
        <f>IF(OR(E1073="",E1073="!!!",F1073="NEW"),"",INDEX(B1072:B$2,-1+SUMPRODUCT(MAX(ROW(E1072:E$2)*(E1073=E1072:E$2)))))</f>
        <v> </v>
      </c>
      <c r="J1073" s="25" t="str">
        <f>IF(OR(E1073="",E1073="!!!",F1073="NEW"),"",COUNTBLANK(OFFSET(A$1,,,SUMPRODUCT(MAX(ROW(E$2:E1073)*(E1073=E$2:E1073)))))-COUNTBLANK(OFFSET(A$1,,,SUMPRODUCT(MAX(ROW(E$1:E1072)*(E2=E$1:E1072))))))</f>
        <v> </v>
      </c>
      <c r="K1073" s="25" t="str">
        <f>IF(OR(E1073="",E1073="!!!",F1073="NEW"),"",INDEX(J$1:J1072,SUMPRODUCT(MAX(ROW(E$1:E1072)*(E1073=E$1:E1072)))))</f>
        <v> </v>
      </c>
      <c r="L1073" s="26"/>
    </row>
    <row r="1074" spans="1:12">
      <c r="A1074" s="20" t="s">
        <v>309</v>
      </c>
      <c r="E1074" s="21">
        <f>IF(D1074="?OLD","!!!","")</f>
        <v/>
      </c>
      <c r="F1074" s="22" t="str">
        <f>IF(OR(E1074="",E1074="!!!"),"",IF(NOT(ISNA(VLOOKUP(E1074,E$1:E1073,1,FALSE()))),"OLD",IF(AND(E1074&lt;&gt;"",E1074&lt;&gt;"!!!"),"NEW","")))</f>
        <v> </v>
      </c>
      <c r="G1074" s="23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4" t="str">
        <f>IF(J1074&lt;&gt;1,"",IF(I1074="SBJ","CB","?"))</f>
        <v> </v>
      </c>
      <c r="I1074" s="25" t="str">
        <f>IF(OR(E1074="",E1074="!!!",F1074="NEW"),"",INDEX(B1073:B$2,-1+SUMPRODUCT(MAX(ROW(E1073:E$2)*(E1074=E1073:E$2)))))</f>
        <v> </v>
      </c>
      <c r="J1074" s="25" t="str">
        <f>IF(OR(E1074="",E1074="!!!",F1074="NEW"),"",COUNTBLANK(OFFSET(A$1,,,SUMPRODUCT(MAX(ROW(E$2:E1074)*(E1074=E$2:E1074)))))-COUNTBLANK(OFFSET(A$1,,,SUMPRODUCT(MAX(ROW(E$1:E1073)*(E2=E$1:E1073))))))</f>
        <v> </v>
      </c>
      <c r="K1074" s="25" t="str">
        <f>IF(OR(E1074="",E1074="!!!",F1074="NEW"),"",INDEX(J$1:J1073,SUMPRODUCT(MAX(ROW(E$1:E1073)*(E1074=E$1:E1073)))))</f>
        <v> </v>
      </c>
      <c r="L1074" s="26"/>
    </row>
    <row r="1075" spans="1:12">
      <c r="A1075" s="20" t="s">
        <v>266</v>
      </c>
      <c r="E1075" s="21">
        <f>IF(D1075="?OLD","!!!","")</f>
        <v/>
      </c>
      <c r="F1075" s="22" t="str">
        <f>IF(OR(E1075="",E1075="!!!"),"",IF(NOT(ISNA(VLOOKUP(E1075,E$1:E1074,1,FALSE()))),"OLD",IF(AND(E1075&lt;&gt;"",E1075&lt;&gt;"!!!"),"NEW","")))</f>
        <v> </v>
      </c>
      <c r="G1075" s="23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4" t="str">
        <f>IF(J1075&lt;&gt;1,"",IF(I1075="SBJ","CB","?"))</f>
        <v> </v>
      </c>
      <c r="I1075" s="25" t="str">
        <f>IF(OR(E1075="",E1075="!!!",F1075="NEW"),"",INDEX(B1074:B$2,-1+SUMPRODUCT(MAX(ROW(E1074:E$2)*(E1075=E1074:E$2)))))</f>
        <v> </v>
      </c>
      <c r="J1075" s="25" t="str">
        <f>IF(OR(E1075="",E1075="!!!",F1075="NEW"),"",COUNTBLANK(OFFSET(A$1,,,SUMPRODUCT(MAX(ROW(E$2:E1075)*(E1075=E$2:E1075)))))-COUNTBLANK(OFFSET(A$1,,,SUMPRODUCT(MAX(ROW(E$1:E1074)*(E2=E$1:E1074))))))</f>
        <v> </v>
      </c>
      <c r="K1075" s="25" t="str">
        <f>IF(OR(E1075="",E1075="!!!",F1075="NEW"),"",INDEX(J$1:J1074,SUMPRODUCT(MAX(ROW(E$1:E1074)*(E1075=E$1:E1074)))))</f>
        <v> </v>
      </c>
      <c r="L1075" s="26"/>
    </row>
    <row r="1076" spans="1:12">
      <c r="A1076" s="20" t="s">
        <v>301</v>
      </c>
      <c r="B1076" s="27" t="s">
        <v>200</v>
      </c>
      <c r="C1076" s="27" t="s">
        <v>198</v>
      </c>
      <c r="D1076" s="27" t="s">
        <v>194</v>
      </c>
      <c r="E1076" s="21">
        <f>IF(D1076="?OLD","!!!","")</f>
        <v/>
      </c>
      <c r="F1076" s="22" t="str">
        <f>IF(OR(E1076="",E1076="!!!"),"",IF(NOT(ISNA(VLOOKUP(E1076,E$1:E1075,1,FALSE()))),"OLD",IF(AND(E1076&lt;&gt;"",E1076&lt;&gt;"!!!"),"NEW","")))</f>
        <v> </v>
      </c>
      <c r="G1076" s="23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4" t="str">
        <f>IF(J1076&lt;&gt;1,"",IF(I1076="SBJ","CB","?"))</f>
        <v> </v>
      </c>
      <c r="I1076" s="25" t="str">
        <f>IF(OR(E1076="",E1076="!!!",F1076="NEW"),"",INDEX(B1075:B$2,-1+SUMPRODUCT(MAX(ROW(E1075:E$2)*(E1076=E1075:E$2)))))</f>
        <v> </v>
      </c>
      <c r="J1076" s="25" t="str">
        <f>IF(OR(E1076="",E1076="!!!",F1076="NEW"),"",COUNTBLANK(OFFSET(A$1,,,SUMPRODUCT(MAX(ROW(E$2:E1076)*(E1076=E$2:E1076)))))-COUNTBLANK(OFFSET(A$1,,,SUMPRODUCT(MAX(ROW(E$1:E1075)*(E2=E$1:E1075))))))</f>
        <v> </v>
      </c>
      <c r="K1076" s="25" t="str">
        <f>IF(OR(E1076="",E1076="!!!",F1076="NEW"),"",INDEX(J$1:J1075,SUMPRODUCT(MAX(ROW(E$1:E1075)*(E1076=E$1:E1075)))))</f>
        <v> </v>
      </c>
      <c r="L1076" s="26"/>
    </row>
    <row r="1077" spans="1:12">
      <c r="A1077" s="20" t="s">
        <v>302</v>
      </c>
      <c r="B1077" s="27" t="s">
        <v>204</v>
      </c>
      <c r="C1077" s="27" t="s">
        <v>198</v>
      </c>
      <c r="D1077" s="27" t="s">
        <v>194</v>
      </c>
      <c r="E1077" s="21">
        <f>IF(D1077="?OLD","!!!","")</f>
        <v/>
      </c>
      <c r="F1077" s="22" t="str">
        <f>IF(OR(E1077="",E1077="!!!"),"",IF(NOT(ISNA(VLOOKUP(E1077,E$1:E1076,1,FALSE()))),"OLD",IF(AND(E1077&lt;&gt;"",E1077&lt;&gt;"!!!"),"NEW","")))</f>
        <v> </v>
      </c>
      <c r="G1077" s="23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24" t="str">
        <f>IF(J1077&lt;&gt;1,"",IF(I1077="SBJ","CB","?"))</f>
        <v> </v>
      </c>
      <c r="I1077" s="25" t="str">
        <f>IF(OR(E1077="",E1077="!!!",F1077="NEW"),"",INDEX(B1076:B$2,-1+SUMPRODUCT(MAX(ROW(E1076:E$2)*(E1077=E1076:E$2)))))</f>
        <v> </v>
      </c>
      <c r="J1077" s="25" t="str">
        <f>IF(OR(E1077="",E1077="!!!",F1077="NEW"),"",COUNTBLANK(OFFSET(A$1,,,SUMPRODUCT(MAX(ROW(E$2:E1077)*(E1077=E$2:E1077)))))-COUNTBLANK(OFFSET(A$1,,,SUMPRODUCT(MAX(ROW(E$1:E1076)*(E2=E$1:E1076))))))</f>
        <v> </v>
      </c>
      <c r="K1077" s="25" t="str">
        <f>IF(OR(E1077="",E1077="!!!",F1077="NEW"),"",INDEX(J$1:J1076,SUMPRODUCT(MAX(ROW(E$1:E1076)*(E1077=E$1:E1076)))))</f>
        <v> </v>
      </c>
      <c r="L1077" s="26"/>
    </row>
    <row r="1078" spans="1:12">
      <c r="A1078" s="20" t="s">
        <v>205</v>
      </c>
      <c r="E1078" s="21">
        <f>IF(D1078="?OLD","!!!","")</f>
        <v/>
      </c>
      <c r="F1078" s="22" t="str">
        <f>IF(OR(E1078="",E1078="!!!"),"",IF(NOT(ISNA(VLOOKUP(E1078,E$1:E1077,1,FALSE()))),"OLD",IF(AND(E1078&lt;&gt;"",E1078&lt;&gt;"!!!"),"NEW","")))</f>
        <v> </v>
      </c>
      <c r="G1078" s="23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4" t="str">
        <f>IF(J1078&lt;&gt;1,"",IF(I1078="SBJ","CB","?"))</f>
        <v> </v>
      </c>
      <c r="I1078" s="25" t="str">
        <f>IF(OR(E1078="",E1078="!!!",F1078="NEW"),"",INDEX(B1077:B$2,-1+SUMPRODUCT(MAX(ROW(E1077:E$2)*(E1078=E1077:E$2)))))</f>
        <v> </v>
      </c>
      <c r="J1078" s="25" t="str">
        <f>IF(OR(E1078="",E1078="!!!",F1078="NEW"),"",COUNTBLANK(OFFSET(A$1,,,SUMPRODUCT(MAX(ROW(E$2:E1078)*(E1078=E$2:E1078)))))-COUNTBLANK(OFFSET(A$1,,,SUMPRODUCT(MAX(ROW(E$1:E1077)*(E2=E$1:E1077))))))</f>
        <v> </v>
      </c>
      <c r="K1078" s="25" t="str">
        <f>IF(OR(E1078="",E1078="!!!",F1078="NEW"),"",INDEX(J$1:J1077,SUMPRODUCT(MAX(ROW(E$1:E1077)*(E1078=E$1:E1077)))))</f>
        <v> </v>
      </c>
      <c r="L1078" s="26"/>
    </row>
    <row r="1079" spans="1:12">
      <c r="A1079" s="20" t="s">
        <v>250</v>
      </c>
      <c r="E1079" s="21">
        <f>IF(D1079="?OLD","!!!","")</f>
        <v/>
      </c>
      <c r="F1079" s="22" t="str">
        <f>IF(OR(E1079="",E1079="!!!"),"",IF(NOT(ISNA(VLOOKUP(E1079,E$1:E1078,1,FALSE()))),"OLD",IF(AND(E1079&lt;&gt;"",E1079&lt;&gt;"!!!"),"NEW","")))</f>
        <v> </v>
      </c>
      <c r="G1079" s="23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4" t="str">
        <f>IF(J1079&lt;&gt;1,"",IF(I1079="SBJ","CB","?"))</f>
        <v> </v>
      </c>
      <c r="I1079" s="25" t="str">
        <f>IF(OR(E1079="",E1079="!!!",F1079="NEW"),"",INDEX(B1078:B$2,-1+SUMPRODUCT(MAX(ROW(E1078:E$2)*(E1079=E1078:E$2)))))</f>
        <v> </v>
      </c>
      <c r="J1079" s="25" t="str">
        <f>IF(OR(E1079="",E1079="!!!",F1079="NEW"),"",COUNTBLANK(OFFSET(A$1,,,SUMPRODUCT(MAX(ROW(E$2:E1079)*(E1079=E$2:E1079)))))-COUNTBLANK(OFFSET(A$1,,,SUMPRODUCT(MAX(ROW(E$1:E1078)*(E2=E$1:E1078))))))</f>
        <v> </v>
      </c>
      <c r="K1079" s="25" t="str">
        <f>IF(OR(E1079="",E1079="!!!",F1079="NEW"),"",INDEX(J$1:J1078,SUMPRODUCT(MAX(ROW(E$1:E1078)*(E1079=E$1:E1078)))))</f>
        <v> </v>
      </c>
      <c r="L1079" s="26"/>
    </row>
    <row r="1080" spans="1:12">
      <c r="A1080" s="20" t="s">
        <v>414</v>
      </c>
      <c r="B1080" s="27" t="s">
        <v>252</v>
      </c>
      <c r="C1080" s="27" t="s">
        <v>244</v>
      </c>
      <c r="D1080" s="27" t="s">
        <v>194</v>
      </c>
      <c r="E1080" s="21">
        <f>IF(D1080="?OLD","!!!","")</f>
        <v/>
      </c>
      <c r="F1080" s="22" t="str">
        <f>IF(OR(E1080="",E1080="!!!"),"",IF(NOT(ISNA(VLOOKUP(E1080,E$1:E1079,1,FALSE()))),"OLD",IF(AND(E1080&lt;&gt;"",E1080&lt;&gt;"!!!"),"NEW","")))</f>
        <v> </v>
      </c>
      <c r="G1080" s="23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24" t="str">
        <f>IF(J1080&lt;&gt;1,"",IF(I1080="SBJ","CB","?"))</f>
        <v> </v>
      </c>
      <c r="I1080" s="25" t="str">
        <f>IF(OR(E1080="",E1080="!!!",F1080="NEW"),"",INDEX(B1079:B$2,-1+SUMPRODUCT(MAX(ROW(E1079:E$2)*(E1080=E1079:E$2)))))</f>
        <v> </v>
      </c>
      <c r="J1080" s="25" t="str">
        <f>IF(OR(E1080="",E1080="!!!",F1080="NEW"),"",COUNTBLANK(OFFSET(A$1,,,SUMPRODUCT(MAX(ROW(E$2:E1080)*(E1080=E$2:E1080)))))-COUNTBLANK(OFFSET(A$1,,,SUMPRODUCT(MAX(ROW(E$1:E1079)*(E2=E$1:E1079))))))</f>
        <v> </v>
      </c>
      <c r="K1080" s="25" t="str">
        <f>IF(OR(E1080="",E1080="!!!",F1080="NEW"),"",INDEX(J$1:J1079,SUMPRODUCT(MAX(ROW(E$1:E1079)*(E1080=E$1:E1079)))))</f>
        <v> </v>
      </c>
      <c r="L1080" s="26"/>
    </row>
    <row r="1081" spans="1:12">
      <c r="A1081" s="20" t="s">
        <v>640</v>
      </c>
      <c r="E1081" s="21">
        <f>IF(D1081="?OLD","!!!","")</f>
        <v/>
      </c>
      <c r="F1081" s="22" t="str">
        <f>IF(OR(E1081="",E1081="!!!"),"",IF(NOT(ISNA(VLOOKUP(E1081,E$1:E1080,1,FALSE()))),"OLD",IF(AND(E1081&lt;&gt;"",E1081&lt;&gt;"!!!"),"NEW","")))</f>
        <v> </v>
      </c>
      <c r="G1081" s="23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24" t="str">
        <f>IF(J1081&lt;&gt;1,"",IF(I1081="SBJ","CB","?"))</f>
        <v> </v>
      </c>
      <c r="I1081" s="25" t="str">
        <f>IF(OR(E1081="",E1081="!!!",F1081="NEW"),"",INDEX(B1080:B$2,-1+SUMPRODUCT(MAX(ROW(E1080:E$2)*(E1081=E1080:E$2)))))</f>
        <v> </v>
      </c>
      <c r="J1081" s="25" t="str">
        <f>IF(OR(E1081="",E1081="!!!",F1081="NEW"),"",COUNTBLANK(OFFSET(A$1,,,SUMPRODUCT(MAX(ROW(E$2:E1081)*(E1081=E$2:E1081)))))-COUNTBLANK(OFFSET(A$1,,,SUMPRODUCT(MAX(ROW(E$1:E1080)*(E2=E$1:E1080))))))</f>
        <v> </v>
      </c>
      <c r="K1081" s="25" t="str">
        <f>IF(OR(E1081="",E1081="!!!",F1081="NEW"),"",INDEX(J$1:J1080,SUMPRODUCT(MAX(ROW(E$1:E1080)*(E1081=E$1:E1080)))))</f>
        <v> </v>
      </c>
      <c r="L1081" s="26"/>
    </row>
    <row r="1082" spans="1:12">
      <c r="A1082" s="20" t="s">
        <v>526</v>
      </c>
      <c r="B1082" s="27" t="s">
        <v>216</v>
      </c>
      <c r="C1082" s="27" t="s">
        <v>244</v>
      </c>
      <c r="D1082" s="27" t="s">
        <v>194</v>
      </c>
      <c r="E1082" s="21">
        <f>IF(D1082="?OLD","!!!","")</f>
        <v/>
      </c>
      <c r="F1082" s="22" t="str">
        <f>IF(OR(E1082="",E1082="!!!"),"",IF(NOT(ISNA(VLOOKUP(E1082,E$1:E1081,1,FALSE()))),"OLD",IF(AND(E1082&lt;&gt;"",E1082&lt;&gt;"!!!"),"NEW","")))</f>
        <v> </v>
      </c>
      <c r="G1082" s="23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4" t="str">
        <f>IF(J1082&lt;&gt;1,"",IF(I1082="SBJ","CB","?"))</f>
        <v> </v>
      </c>
      <c r="I1082" s="25" t="str">
        <f>IF(OR(E1082="",E1082="!!!",F1082="NEW"),"",INDEX(B1081:B$2,-1+SUMPRODUCT(MAX(ROW(E1081:E$2)*(E1082=E1081:E$2)))))</f>
        <v> </v>
      </c>
      <c r="J1082" s="25" t="str">
        <f>IF(OR(E1082="",E1082="!!!",F1082="NEW"),"",COUNTBLANK(OFFSET(A$1,,,SUMPRODUCT(MAX(ROW(E$2:E1082)*(E1082=E$2:E1082)))))-COUNTBLANK(OFFSET(A$1,,,SUMPRODUCT(MAX(ROW(E$1:E1081)*(E2=E$1:E1081))))))</f>
        <v> </v>
      </c>
      <c r="K1082" s="25" t="str">
        <f>IF(OR(E1082="",E1082="!!!",F1082="NEW"),"",INDEX(J$1:J1081,SUMPRODUCT(MAX(ROW(E$1:E1081)*(E1082=E$1:E1081)))))</f>
        <v> </v>
      </c>
      <c r="L1082" s="26"/>
    </row>
    <row r="1083" spans="1:12">
      <c r="A1083" s="20" t="s">
        <v>641</v>
      </c>
      <c r="E1083" s="21">
        <f>IF(D1083="?OLD","!!!","")</f>
        <v/>
      </c>
      <c r="F1083" s="22" t="str">
        <f>IF(OR(E1083="",E1083="!!!"),"",IF(NOT(ISNA(VLOOKUP(E1083,E$1:E1082,1,FALSE()))),"OLD",IF(AND(E1083&lt;&gt;"",E1083&lt;&gt;"!!!"),"NEW","")))</f>
        <v> </v>
      </c>
      <c r="G1083" s="23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4" t="str">
        <f>IF(J1083&lt;&gt;1,"",IF(I1083="SBJ","CB","?"))</f>
        <v> </v>
      </c>
      <c r="I1083" s="25" t="str">
        <f>IF(OR(E1083="",E1083="!!!",F1083="NEW"),"",INDEX(B1082:B$2,-1+SUMPRODUCT(MAX(ROW(E1082:E$2)*(E1083=E1082:E$2)))))</f>
        <v> </v>
      </c>
      <c r="J1083" s="25" t="str">
        <f>IF(OR(E1083="",E1083="!!!",F1083="NEW"),"",COUNTBLANK(OFFSET(A$1,,,SUMPRODUCT(MAX(ROW(E$2:E1083)*(E1083=E$2:E1083)))))-COUNTBLANK(OFFSET(A$1,,,SUMPRODUCT(MAX(ROW(E$1:E1082)*(E2=E$1:E1082))))))</f>
        <v> </v>
      </c>
      <c r="K1083" s="25" t="str">
        <f>IF(OR(E1083="",E1083="!!!",F1083="NEW"),"",INDEX(J$1:J1082,SUMPRODUCT(MAX(ROW(E$1:E1082)*(E1083=E$1:E1082)))))</f>
        <v> </v>
      </c>
      <c r="L1083" s="26"/>
    </row>
    <row r="1084" spans="1:12">
      <c r="A1084" s="20" t="s">
        <v>211</v>
      </c>
      <c r="E1084" s="21">
        <f>IF(D1084="?OLD","!!!","")</f>
        <v/>
      </c>
      <c r="F1084" s="22" t="str">
        <f>IF(OR(E1084="",E1084="!!!"),"",IF(NOT(ISNA(VLOOKUP(E1084,E$1:E1083,1,FALSE()))),"OLD",IF(AND(E1084&lt;&gt;"",E1084&lt;&gt;"!!!"),"NEW","")))</f>
        <v> </v>
      </c>
      <c r="G1084" s="23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4" t="str">
        <f>IF(J1084&lt;&gt;1,"",IF(I1084="SBJ","CB","?"))</f>
        <v> </v>
      </c>
      <c r="I1084" s="25" t="str">
        <f>IF(OR(E1084="",E1084="!!!",F1084="NEW"),"",INDEX(B1083:B$2,-1+SUMPRODUCT(MAX(ROW(E1083:E$2)*(E1084=E1083:E$2)))))</f>
        <v> </v>
      </c>
      <c r="J1084" s="25" t="str">
        <f>IF(OR(E1084="",E1084="!!!",F1084="NEW"),"",COUNTBLANK(OFFSET(A$1,,,SUMPRODUCT(MAX(ROW(E$2:E1084)*(E1084=E$2:E1084)))))-COUNTBLANK(OFFSET(A$1,,,SUMPRODUCT(MAX(ROW(E$1:E1083)*(E2=E$1:E1083))))))</f>
        <v> </v>
      </c>
      <c r="K1084" s="25" t="str">
        <f>IF(OR(E1084="",E1084="!!!",F1084="NEW"),"",INDEX(J$1:J1083,SUMPRODUCT(MAX(ROW(E$1:E1083)*(E1084=E$1:E1083)))))</f>
        <v> </v>
      </c>
      <c r="L1084" s="26"/>
    </row>
    <row r="1085" spans="1:12">
      <c r="A1085" s="20" t="s">
        <v>597</v>
      </c>
      <c r="B1085" s="27" t="s">
        <v>300</v>
      </c>
      <c r="C1085" s="27" t="s">
        <v>223</v>
      </c>
      <c r="D1085" s="27" t="s">
        <v>194</v>
      </c>
      <c r="E1085" s="21">
        <f>IF(D1085="?OLD","!!!","")</f>
        <v/>
      </c>
      <c r="F1085" s="22" t="str">
        <f>IF(OR(E1085="",E1085="!!!"),"",IF(NOT(ISNA(VLOOKUP(E1085,E$1:E1084,1,FALSE()))),"OLD",IF(AND(E1085&lt;&gt;"",E1085&lt;&gt;"!!!"),"NEW","")))</f>
        <v> </v>
      </c>
      <c r="G1085" s="23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4" t="str">
        <f>IF(J1085&lt;&gt;1,"",IF(I1085="SBJ","CB","?"))</f>
        <v> </v>
      </c>
      <c r="I1085" s="25" t="str">
        <f>IF(OR(E1085="",E1085="!!!",F1085="NEW"),"",INDEX(B1084:B$2,-1+SUMPRODUCT(MAX(ROW(E1084:E$2)*(E1085=E1084:E$2)))))</f>
        <v> </v>
      </c>
      <c r="J1085" s="25" t="str">
        <f>IF(OR(E1085="",E1085="!!!",F1085="NEW"),"",COUNTBLANK(OFFSET(A$1,,,SUMPRODUCT(MAX(ROW(E$2:E1085)*(E1085=E$2:E1085)))))-COUNTBLANK(OFFSET(A$1,,,SUMPRODUCT(MAX(ROW(E$1:E1084)*(E2=E$1:E1084))))))</f>
        <v> </v>
      </c>
      <c r="K1085" s="25" t="str">
        <f>IF(OR(E1085="",E1085="!!!",F1085="NEW"),"",INDEX(J$1:J1084,SUMPRODUCT(MAX(ROW(E$1:E1084)*(E1085=E$1:E1084)))))</f>
        <v> </v>
      </c>
      <c r="L1085" s="26"/>
    </row>
    <row r="1086" spans="1:12">
      <c r="A1086" s="20" t="s">
        <v>207</v>
      </c>
      <c r="E1086" s="21">
        <f>IF(D1086="?OLD","!!!","")</f>
        <v/>
      </c>
      <c r="F1086" s="22" t="str">
        <f>IF(OR(E1086="",E1086="!!!"),"",IF(NOT(ISNA(VLOOKUP(E1086,E$1:E1085,1,FALSE()))),"OLD",IF(AND(E1086&lt;&gt;"",E1086&lt;&gt;"!!!"),"NEW","")))</f>
        <v> </v>
      </c>
      <c r="G1086" s="23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4" t="str">
        <f>IF(J1086&lt;&gt;1,"",IF(I1086="SBJ","CB","?"))</f>
        <v> </v>
      </c>
      <c r="I1086" s="25" t="str">
        <f>IF(OR(E1086="",E1086="!!!",F1086="NEW"),"",INDEX(B1085:B$2,-1+SUMPRODUCT(MAX(ROW(E1085:E$2)*(E1086=E1085:E$2)))))</f>
        <v> </v>
      </c>
      <c r="J1086" s="25" t="str">
        <f>IF(OR(E1086="",E1086="!!!",F1086="NEW"),"",COUNTBLANK(OFFSET(A$1,,,SUMPRODUCT(MAX(ROW(E$2:E1086)*(E1086=E$2:E1086)))))-COUNTBLANK(OFFSET(A$1,,,SUMPRODUCT(MAX(ROW(E$1:E1085)*(E2=E$1:E1085))))))</f>
        <v> </v>
      </c>
      <c r="K1086" s="25" t="str">
        <f>IF(OR(E1086="",E1086="!!!",F1086="NEW"),"",INDEX(J$1:J1085,SUMPRODUCT(MAX(ROW(E$1:E1085)*(E1086=E$1:E1085)))))</f>
        <v> </v>
      </c>
      <c r="L1086" s="26"/>
    </row>
    <row r="1087" spans="1:12">
      <c r="A1087" s="20" t="s">
        <v>211</v>
      </c>
      <c r="E1087" s="21">
        <f>IF(D1087="?OLD","!!!","")</f>
        <v/>
      </c>
      <c r="F1087" s="22" t="str">
        <f>IF(OR(E1087="",E1087="!!!"),"",IF(NOT(ISNA(VLOOKUP(E1087,E$1:E1086,1,FALSE()))),"OLD",IF(AND(E1087&lt;&gt;"",E1087&lt;&gt;"!!!"),"NEW","")))</f>
        <v> </v>
      </c>
      <c r="G1087" s="23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4" t="str">
        <f>IF(J1087&lt;&gt;1,"",IF(I1087="SBJ","CB","?"))</f>
        <v> </v>
      </c>
      <c r="I1087" s="25" t="str">
        <f>IF(OR(E1087="",E1087="!!!",F1087="NEW"),"",INDEX(B1086:B$2,-1+SUMPRODUCT(MAX(ROW(E1086:E$2)*(E1087=E1086:E$2)))))</f>
        <v> </v>
      </c>
      <c r="J1087" s="25" t="str">
        <f>IF(OR(E1087="",E1087="!!!",F1087="NEW"),"",COUNTBLANK(OFFSET(A$1,,,SUMPRODUCT(MAX(ROW(E$2:E1087)*(E1087=E$2:E1087)))))-COUNTBLANK(OFFSET(A$1,,,SUMPRODUCT(MAX(ROW(E$1:E1086)*(E2=E$1:E1086))))))</f>
        <v> </v>
      </c>
      <c r="K1087" s="25" t="str">
        <f>IF(OR(E1087="",E1087="!!!",F1087="NEW"),"",INDEX(J$1:J1086,SUMPRODUCT(MAX(ROW(E$1:E1086)*(E1087=E$1:E1086)))))</f>
        <v> </v>
      </c>
      <c r="L1087" s="26"/>
    </row>
    <row r="1088" spans="1:12">
      <c r="A1088" s="20" t="s">
        <v>507</v>
      </c>
      <c r="E1088" s="21">
        <f>IF(D1088="?OLD","!!!","")</f>
        <v/>
      </c>
      <c r="F1088" s="22" t="str">
        <f>IF(OR(E1088="",E1088="!!!"),"",IF(NOT(ISNA(VLOOKUP(E1088,E$1:E1087,1,FALSE()))),"OLD",IF(AND(E1088&lt;&gt;"",E1088&lt;&gt;"!!!"),"NEW","")))</f>
        <v> </v>
      </c>
      <c r="G1088" s="23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 </v>
      </c>
      <c r="H1088" s="24" t="str">
        <f>IF(J1088&lt;&gt;1,"",IF(I1088="SBJ","CB","?"))</f>
        <v> </v>
      </c>
      <c r="I1088" s="25" t="str">
        <f>IF(OR(E1088="",E1088="!!!",F1088="NEW"),"",INDEX(B1087:B$2,-1+SUMPRODUCT(MAX(ROW(E1087:E$2)*(E1088=E1087:E$2)))))</f>
        <v> </v>
      </c>
      <c r="J1088" s="25" t="str">
        <f>IF(OR(E1088="",E1088="!!!",F1088="NEW"),"",COUNTBLANK(OFFSET(A$1,,,SUMPRODUCT(MAX(ROW(E$2:E1088)*(E1088=E$2:E1088)))))-COUNTBLANK(OFFSET(A$1,,,SUMPRODUCT(MAX(ROW(E$1:E1087)*(E2=E$1:E1087))))))</f>
        <v> </v>
      </c>
      <c r="K1088" s="25" t="str">
        <f>IF(OR(E1088="",E1088="!!!",F1088="NEW"),"",INDEX(J$1:J1087,SUMPRODUCT(MAX(ROW(E$1:E1087)*(E1088=E$1:E1087)))))</f>
        <v> </v>
      </c>
      <c r="L1088" s="26"/>
    </row>
    <row r="1089" spans="1:12">
      <c r="A1089" s="20" t="s">
        <v>526</v>
      </c>
      <c r="B1089" s="27" t="s">
        <v>335</v>
      </c>
      <c r="C1089" s="27" t="s">
        <v>244</v>
      </c>
      <c r="D1089" s="27" t="s">
        <v>194</v>
      </c>
      <c r="E1089" s="21">
        <f>IF(D1089="?OLD","!!!","")</f>
        <v/>
      </c>
      <c r="F1089" s="22" t="str">
        <f>IF(OR(E1089="",E1089="!!!"),"",IF(NOT(ISNA(VLOOKUP(E1089,E$1:E1088,1,FALSE()))),"OLD",IF(AND(E1089&lt;&gt;"",E1089&lt;&gt;"!!!"),"NEW","")))</f>
        <v> </v>
      </c>
      <c r="G1089" s="23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4" t="str">
        <f>IF(J1089&lt;&gt;1,"",IF(I1089="SBJ","CB","?"))</f>
        <v> </v>
      </c>
      <c r="I1089" s="25" t="str">
        <f>IF(OR(E1089="",E1089="!!!",F1089="NEW"),"",INDEX(B1088:B$2,-1+SUMPRODUCT(MAX(ROW(E1088:E$2)*(E1089=E1088:E$2)))))</f>
        <v> </v>
      </c>
      <c r="J1089" s="25" t="str">
        <f>IF(OR(E1089="",E1089="!!!",F1089="NEW"),"",COUNTBLANK(OFFSET(A$1,,,SUMPRODUCT(MAX(ROW(E$2:E1089)*(E1089=E$2:E1089)))))-COUNTBLANK(OFFSET(A$1,,,SUMPRODUCT(MAX(ROW(E$1:E1088)*(E2=E$1:E1088))))))</f>
        <v> </v>
      </c>
      <c r="K1089" s="25" t="str">
        <f>IF(OR(E1089="",E1089="!!!",F1089="NEW"),"",INDEX(J$1:J1088,SUMPRODUCT(MAX(ROW(E$1:E1088)*(E1089=E$1:E1088)))))</f>
        <v> </v>
      </c>
      <c r="L1089" s="26"/>
    </row>
    <row r="1090" spans="1:12">
      <c r="A1090" s="20" t="s">
        <v>642</v>
      </c>
      <c r="E1090" s="21">
        <f>IF(D1090="?OLD","!!!","")</f>
        <v/>
      </c>
      <c r="F1090" s="22" t="str">
        <f>IF(OR(E1090="",E1090="!!!"),"",IF(NOT(ISNA(VLOOKUP(E1090,E$1:E1089,1,FALSE()))),"OLD",IF(AND(E1090&lt;&gt;"",E1090&lt;&gt;"!!!"),"NEW","")))</f>
        <v> </v>
      </c>
      <c r="G1090" s="23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24" t="str">
        <f>IF(J1090&lt;&gt;1,"",IF(I1090="SBJ","CB","?"))</f>
        <v> </v>
      </c>
      <c r="I1090" s="25" t="str">
        <f>IF(OR(E1090="",E1090="!!!",F1090="NEW"),"",INDEX(B1089:B$2,-1+SUMPRODUCT(MAX(ROW(E1089:E$2)*(E1090=E1089:E$2)))))</f>
        <v> </v>
      </c>
      <c r="J1090" s="25" t="str">
        <f>IF(OR(E1090="",E1090="!!!",F1090="NEW"),"",COUNTBLANK(OFFSET(A$1,,,SUMPRODUCT(MAX(ROW(E$2:E1090)*(E1090=E$2:E1090)))))-COUNTBLANK(OFFSET(A$1,,,SUMPRODUCT(MAX(ROW(E$1:E1089)*(E2=E$1:E1089))))))</f>
        <v> </v>
      </c>
      <c r="K1090" s="25" t="str">
        <f>IF(OR(E1090="",E1090="!!!",F1090="NEW"),"",INDEX(J$1:J1089,SUMPRODUCT(MAX(ROW(E$1:E1089)*(E1090=E$1:E1089)))))</f>
        <v> </v>
      </c>
      <c r="L1090" s="26"/>
    </row>
    <row r="1091" spans="1:12">
      <c r="A1091" s="20" t="s">
        <v>563</v>
      </c>
      <c r="B1091" s="27" t="s">
        <v>391</v>
      </c>
      <c r="C1091" s="27" t="s">
        <v>189</v>
      </c>
      <c r="E1091" s="21">
        <f>IF(D1091="?OLD","!!!","")</f>
        <v/>
      </c>
      <c r="F1091" s="22" t="str">
        <f>IF(OR(E1091="",E1091="!!!"),"",IF(NOT(ISNA(VLOOKUP(E1091,E$1:E1090,1,FALSE()))),"OLD",IF(AND(E1091&lt;&gt;"",E1091&lt;&gt;"!!!"),"NEW","")))</f>
        <v> </v>
      </c>
      <c r="G1091" s="23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4" t="str">
        <f>IF(J1091&lt;&gt;1,"",IF(I1091="SBJ","CB","?"))</f>
        <v> </v>
      </c>
      <c r="I1091" s="25" t="str">
        <f>IF(OR(E1091="",E1091="!!!",F1091="NEW"),"",INDEX(B1090:B$2,-1+SUMPRODUCT(MAX(ROW(E1090:E$2)*(E1091=E1090:E$2)))))</f>
        <v> </v>
      </c>
      <c r="J1091" s="25" t="str">
        <f>IF(OR(E1091="",E1091="!!!",F1091="NEW"),"",COUNTBLANK(OFFSET(A$1,,,SUMPRODUCT(MAX(ROW(E$2:E1091)*(E1091=E$2:E1091)))))-COUNTBLANK(OFFSET(A$1,,,SUMPRODUCT(MAX(ROW(E$1:E1090)*(E2=E$1:E1090))))))</f>
        <v> </v>
      </c>
      <c r="K1091" s="25" t="str">
        <f>IF(OR(E1091="",E1091="!!!",F1091="NEW"),"",INDEX(J$1:J1090,SUMPRODUCT(MAX(ROW(E$1:E1090)*(E1091=E$1:E1090)))))</f>
        <v> </v>
      </c>
      <c r="L1091" s="26"/>
    </row>
    <row r="1092" spans="1:12">
      <c r="A1092" s="20" t="s">
        <v>219</v>
      </c>
      <c r="E1092" s="21">
        <f>IF(D1092="?OLD","!!!","")</f>
        <v/>
      </c>
      <c r="F1092" s="22" t="str">
        <f>IF(OR(E1092="",E1092="!!!"),"",IF(NOT(ISNA(VLOOKUP(E1092,E$1:E1091,1,FALSE()))),"OLD",IF(AND(E1092&lt;&gt;"",E1092&lt;&gt;"!!!"),"NEW","")))</f>
        <v> </v>
      </c>
      <c r="G1092" s="23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4" t="str">
        <f>IF(J1092&lt;&gt;1,"",IF(I1092="SBJ","CB","?"))</f>
        <v> </v>
      </c>
      <c r="I1092" s="25" t="str">
        <f>IF(OR(E1092="",E1092="!!!",F1092="NEW"),"",INDEX(B1091:B$2,-1+SUMPRODUCT(MAX(ROW(E1091:E$2)*(E1092=E1091:E$2)))))</f>
        <v> </v>
      </c>
      <c r="J1092" s="25" t="str">
        <f>IF(OR(E1092="",E1092="!!!",F1092="NEW"),"",COUNTBLANK(OFFSET(A$1,,,SUMPRODUCT(MAX(ROW(E$2:E1092)*(E1092=E$2:E1092)))))-COUNTBLANK(OFFSET(A$1,,,SUMPRODUCT(MAX(ROW(E$1:E1091)*(E2=E$1:E1091))))))</f>
        <v> </v>
      </c>
      <c r="K1092" s="25" t="str">
        <f>IF(OR(E1092="",E1092="!!!",F1092="NEW"),"",INDEX(J$1:J1091,SUMPRODUCT(MAX(ROW(E$1:E1091)*(E1092=E$1:E1091)))))</f>
        <v> </v>
      </c>
      <c r="L1092" s="26"/>
    </row>
    <row r="1093" spans="1:12">
      <c r="A1093" s="20"/>
    </row>
    <row r="1094" spans="1:12">
      <c r="A1094" s="20" t="s">
        <v>643</v>
      </c>
    </row>
    <row r="1095" spans="1:12">
      <c r="A1095" s="20" t="s">
        <v>644</v>
      </c>
      <c r="E1095" s="21">
        <f>IF(D1095="?OLD","!!!","")</f>
        <v/>
      </c>
      <c r="F1095" s="22" t="str">
        <f>IF(OR(E1095="",E1095="!!!"),"",IF(NOT(ISNA(VLOOKUP(E1095,E$1:E1094,1,FALSE()))),"OLD",IF(AND(E1095&lt;&gt;"",E1095&lt;&gt;"!!!"),"NEW","")))</f>
        <v> </v>
      </c>
      <c r="G1095" s="23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4" t="str">
        <f>IF(J1095&lt;&gt;1,"",IF(I1095="SBJ","CB","?"))</f>
        <v> </v>
      </c>
      <c r="I1095" s="25" t="str">
        <f>IF(OR(E1095="",E1095="!!!",F1095="NEW"),"",INDEX(B1094:B$2,-1+SUMPRODUCT(MAX(ROW(E1094:E$2)*(E1095=E1094:E$2)))))</f>
        <v> </v>
      </c>
      <c r="J1095" s="25" t="str">
        <f>IF(OR(E1095="",E1095="!!!",F1095="NEW"),"",COUNTBLANK(OFFSET(A$1,,,SUMPRODUCT(MAX(ROW(E$2:E1095)*(E1095=E$2:E1095)))))-COUNTBLANK(OFFSET(A$1,,,SUMPRODUCT(MAX(ROW(E$1:E1094)*(E2=E$1:E1094))))))</f>
        <v> </v>
      </c>
      <c r="K1095" s="25" t="str">
        <f>IF(OR(E1095="",E1095="!!!",F1095="NEW"),"",INDEX(J$1:J1094,SUMPRODUCT(MAX(ROW(E$1:E1094)*(E1095=E$1:E1094)))))</f>
        <v> </v>
      </c>
      <c r="L1095" s="26"/>
    </row>
    <row r="1096" spans="1:12">
      <c r="A1096" s="20" t="s">
        <v>219</v>
      </c>
      <c r="E1096" s="21">
        <f>IF(D1096="?OLD","!!!","")</f>
        <v/>
      </c>
      <c r="F1096" s="22" t="str">
        <f>IF(OR(E1096="",E1096="!!!"),"",IF(NOT(ISNA(VLOOKUP(E1096,E$1:E1095,1,FALSE()))),"OLD",IF(AND(E1096&lt;&gt;"",E1096&lt;&gt;"!!!"),"NEW","")))</f>
        <v> </v>
      </c>
      <c r="G1096" s="23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24" t="str">
        <f>IF(J1096&lt;&gt;1,"",IF(I1096="SBJ","CB","?"))</f>
        <v> </v>
      </c>
      <c r="I1096" s="25" t="str">
        <f>IF(OR(E1096="",E1096="!!!",F1096="NEW"),"",INDEX(B1095:B$2,-1+SUMPRODUCT(MAX(ROW(E1095:E$2)*(E1096=E1095:E$2)))))</f>
        <v> </v>
      </c>
      <c r="J1096" s="25" t="str">
        <f>IF(OR(E1096="",E1096="!!!",F1096="NEW"),"",COUNTBLANK(OFFSET(A$1,,,SUMPRODUCT(MAX(ROW(E$2:E1096)*(E1096=E$2:E1096)))))-COUNTBLANK(OFFSET(A$1,,,SUMPRODUCT(MAX(ROW(E$1:E1095)*(E2=E$1:E1095))))))</f>
        <v> </v>
      </c>
      <c r="K1096" s="25" t="str">
        <f>IF(OR(E1096="",E1096="!!!",F1096="NEW"),"",INDEX(J$1:J1095,SUMPRODUCT(MAX(ROW(E$1:E1095)*(E1096=E$1:E1095)))))</f>
        <v> </v>
      </c>
      <c r="L1096" s="26"/>
    </row>
    <row r="1097" spans="1:12">
      <c r="A1097" s="20"/>
    </row>
    <row r="1098" spans="1:12">
      <c r="A1098" s="20" t="s">
        <v>645</v>
      </c>
    </row>
    <row r="1099" spans="1:12">
      <c r="A1099" s="20" t="s">
        <v>481</v>
      </c>
      <c r="E1099" s="21">
        <f>IF(D1099="?OLD","!!!","")</f>
        <v/>
      </c>
      <c r="F1099" s="22" t="str">
        <f>IF(OR(E1099="",E1099="!!!"),"",IF(NOT(ISNA(VLOOKUP(E1099,E$1:E1098,1,FALSE()))),"OLD",IF(AND(E1099&lt;&gt;"",E1099&lt;&gt;"!!!"),"NEW","")))</f>
        <v> </v>
      </c>
      <c r="G1099" s="23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24" t="str">
        <f>IF(J1099&lt;&gt;1,"",IF(I1099="SBJ","CB","?"))</f>
        <v> </v>
      </c>
      <c r="I1099" s="25" t="str">
        <f>IF(OR(E1099="",E1099="!!!",F1099="NEW"),"",INDEX(B1098:B$2,-1+SUMPRODUCT(MAX(ROW(E1098:E$2)*(E1099=E1098:E$2)))))</f>
        <v> </v>
      </c>
      <c r="J1099" s="25" t="str">
        <f>IF(OR(E1099="",E1099="!!!",F1099="NEW"),"",COUNTBLANK(OFFSET(A$1,,,SUMPRODUCT(MAX(ROW(E$2:E1099)*(E1099=E$2:E1099)))))-COUNTBLANK(OFFSET(A$1,,,SUMPRODUCT(MAX(ROW(E$1:E1098)*(E2=E$1:E1098))))))</f>
        <v> </v>
      </c>
      <c r="K1099" s="25" t="str">
        <f>IF(OR(E1099="",E1099="!!!",F1099="NEW"),"",INDEX(J$1:J1098,SUMPRODUCT(MAX(ROW(E$1:E1098)*(E1099=E$1:E1098)))))</f>
        <v> </v>
      </c>
      <c r="L1099" s="26"/>
    </row>
    <row r="1100" spans="1:12">
      <c r="A1100" s="20" t="s">
        <v>646</v>
      </c>
      <c r="B1100" s="27" t="s">
        <v>188</v>
      </c>
      <c r="C1100" s="27" t="s">
        <v>189</v>
      </c>
      <c r="E1100" s="21">
        <f>IF(D1100="?OLD","!!!","")</f>
        <v/>
      </c>
      <c r="F1100" s="22" t="str">
        <f>IF(OR(E1100="",E1100="!!!"),"",IF(NOT(ISNA(VLOOKUP(E1100,E$1:E1099,1,FALSE()))),"OLD",IF(AND(E1100&lt;&gt;"",E1100&lt;&gt;"!!!"),"NEW","")))</f>
        <v> </v>
      </c>
      <c r="G1100" s="23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24" t="str">
        <f>IF(J1100&lt;&gt;1,"",IF(I1100="SBJ","CB","?"))</f>
        <v> </v>
      </c>
      <c r="I1100" s="25" t="str">
        <f>IF(OR(E1100="",E1100="!!!",F1100="NEW"),"",INDEX(B1099:B$2,-1+SUMPRODUCT(MAX(ROW(E1099:E$2)*(E1100=E1099:E$2)))))</f>
        <v> </v>
      </c>
      <c r="J1100" s="25" t="str">
        <f>IF(OR(E1100="",E1100="!!!",F1100="NEW"),"",COUNTBLANK(OFFSET(A$1,,,SUMPRODUCT(MAX(ROW(E$2:E1100)*(E1100=E$2:E1100)))))-COUNTBLANK(OFFSET(A$1,,,SUMPRODUCT(MAX(ROW(E$1:E1099)*(E2=E$1:E1099))))))</f>
        <v> </v>
      </c>
      <c r="K1100" s="25" t="str">
        <f>IF(OR(E1100="",E1100="!!!",F1100="NEW"),"",INDEX(J$1:J1099,SUMPRODUCT(MAX(ROW(E$1:E1099)*(E1100=E$1:E1099)))))</f>
        <v> </v>
      </c>
      <c r="L1100" s="26"/>
    </row>
    <row r="1101" spans="1:12">
      <c r="A1101" s="20" t="s">
        <v>483</v>
      </c>
      <c r="E1101" s="21">
        <f>IF(D1101="?OLD","!!!","")</f>
        <v/>
      </c>
      <c r="F1101" s="22" t="str">
        <f>IF(OR(E1101="",E1101="!!!"),"",IF(NOT(ISNA(VLOOKUP(E1101,E$1:E1100,1,FALSE()))),"OLD",IF(AND(E1101&lt;&gt;"",E1101&lt;&gt;"!!!"),"NEW","")))</f>
        <v> </v>
      </c>
      <c r="G1101" s="23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24" t="str">
        <f>IF(J1101&lt;&gt;1,"",IF(I1101="SBJ","CB","?"))</f>
        <v> </v>
      </c>
      <c r="I1101" s="25" t="str">
        <f>IF(OR(E1101="",E1101="!!!",F1101="NEW"),"",INDEX(B1100:B$2,-1+SUMPRODUCT(MAX(ROW(E1100:E$2)*(E1101=E1100:E$2)))))</f>
        <v> </v>
      </c>
      <c r="J1101" s="25" t="str">
        <f>IF(OR(E1101="",E1101="!!!",F1101="NEW"),"",COUNTBLANK(OFFSET(A$1,,,SUMPRODUCT(MAX(ROW(E$2:E1101)*(E1101=E$2:E1101)))))-COUNTBLANK(OFFSET(A$1,,,SUMPRODUCT(MAX(ROW(E$1:E1100)*(E2=E$1:E1100))))))</f>
        <v> </v>
      </c>
      <c r="K1101" s="25" t="str">
        <f>IF(OR(E1101="",E1101="!!!",F1101="NEW"),"",INDEX(J$1:J1100,SUMPRODUCT(MAX(ROW(E$1:E1100)*(E1101=E$1:E1100)))))</f>
        <v> </v>
      </c>
      <c r="L1101" s="26"/>
    </row>
    <row r="1102" spans="1:12">
      <c r="A1102" s="20" t="s">
        <v>647</v>
      </c>
      <c r="B1102" s="27" t="s">
        <v>192</v>
      </c>
      <c r="C1102" s="27" t="s">
        <v>198</v>
      </c>
      <c r="D1102" s="27" t="s">
        <v>194</v>
      </c>
      <c r="E1102" s="21">
        <f>IF(D1102="?OLD","!!!","")</f>
        <v/>
      </c>
      <c r="F1102" s="22" t="str">
        <f>IF(OR(E1102="",E1102="!!!"),"",IF(NOT(ISNA(VLOOKUP(E1102,E$1:E1101,1,FALSE()))),"OLD",IF(AND(E1102&lt;&gt;"",E1102&lt;&gt;"!!!"),"NEW","")))</f>
        <v> </v>
      </c>
      <c r="G1102" s="23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4" t="str">
        <f>IF(J1102&lt;&gt;1,"",IF(I1102="SBJ","CB","?"))</f>
        <v> </v>
      </c>
      <c r="I1102" s="25" t="str">
        <f>IF(OR(E1102="",E1102="!!!",F1102="NEW"),"",INDEX(B1101:B$2,-1+SUMPRODUCT(MAX(ROW(E1101:E$2)*(E1102=E1101:E$2)))))</f>
        <v> </v>
      </c>
      <c r="J1102" s="25" t="str">
        <f>IF(OR(E1102="",E1102="!!!",F1102="NEW"),"",COUNTBLANK(OFFSET(A$1,,,SUMPRODUCT(MAX(ROW(E$2:E1102)*(E1102=E$2:E1102)))))-COUNTBLANK(OFFSET(A$1,,,SUMPRODUCT(MAX(ROW(E$1:E1101)*(E2=E$1:E1101))))))</f>
        <v> </v>
      </c>
      <c r="K1102" s="25" t="str">
        <f>IF(OR(E1102="",E1102="!!!",F1102="NEW"),"",INDEX(J$1:J1101,SUMPRODUCT(MAX(ROW(E$1:E1101)*(E1102=E$1:E1101)))))</f>
        <v> </v>
      </c>
      <c r="L1102" s="26"/>
    </row>
    <row r="1103" spans="1:12">
      <c r="A1103" s="20" t="s">
        <v>648</v>
      </c>
      <c r="B1103" s="27" t="s">
        <v>197</v>
      </c>
      <c r="C1103" s="27" t="s">
        <v>198</v>
      </c>
      <c r="D1103" s="27" t="s">
        <v>194</v>
      </c>
      <c r="E1103" s="21">
        <f>IF(D1103="?OLD","!!!","")</f>
        <v/>
      </c>
      <c r="F1103" s="22" t="str">
        <f>IF(OR(E1103="",E1103="!!!"),"",IF(NOT(ISNA(VLOOKUP(E1103,E$1:E1102,1,FALSE()))),"OLD",IF(AND(E1103&lt;&gt;"",E1103&lt;&gt;"!!!"),"NEW","")))</f>
        <v> </v>
      </c>
      <c r="G1103" s="23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4" t="str">
        <f>IF(J1103&lt;&gt;1,"",IF(I1103="SBJ","CB","?"))</f>
        <v> </v>
      </c>
      <c r="I1103" s="25" t="str">
        <f>IF(OR(E1103="",E1103="!!!",F1103="NEW"),"",INDEX(B1102:B$2,-1+SUMPRODUCT(MAX(ROW(E1102:E$2)*(E1103=E1102:E$2)))))</f>
        <v> </v>
      </c>
      <c r="J1103" s="25" t="str">
        <f>IF(OR(E1103="",E1103="!!!",F1103="NEW"),"",COUNTBLANK(OFFSET(A$1,,,SUMPRODUCT(MAX(ROW(E$2:E1103)*(E1103=E$2:E1103)))))-COUNTBLANK(OFFSET(A$1,,,SUMPRODUCT(MAX(ROW(E$1:E1102)*(E2=E$1:E1102))))))</f>
        <v> </v>
      </c>
      <c r="K1103" s="25" t="str">
        <f>IF(OR(E1103="",E1103="!!!",F1103="NEW"),"",INDEX(J$1:J1102,SUMPRODUCT(MAX(ROW(E$1:E1102)*(E1103=E$1:E1102)))))</f>
        <v> </v>
      </c>
      <c r="L1103" s="26"/>
    </row>
    <row r="1104" spans="1:12">
      <c r="A1104" s="20" t="s">
        <v>649</v>
      </c>
      <c r="E1104" s="21">
        <f>IF(D1104="?OLD","!!!","")</f>
        <v/>
      </c>
      <c r="F1104" s="22" t="str">
        <f>IF(OR(E1104="",E1104="!!!"),"",IF(NOT(ISNA(VLOOKUP(E1104,E$1:E1103,1,FALSE()))),"OLD",IF(AND(E1104&lt;&gt;"",E1104&lt;&gt;"!!!"),"NEW","")))</f>
        <v> </v>
      </c>
      <c r="G1104" s="23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24" t="str">
        <f>IF(J1104&lt;&gt;1,"",IF(I1104="SBJ","CB","?"))</f>
        <v> </v>
      </c>
      <c r="I1104" s="25" t="str">
        <f>IF(OR(E1104="",E1104="!!!",F1104="NEW"),"",INDEX(B1103:B$2,-1+SUMPRODUCT(MAX(ROW(E1103:E$2)*(E1104=E1103:E$2)))))</f>
        <v> </v>
      </c>
      <c r="J1104" s="25" t="str">
        <f>IF(OR(E1104="",E1104="!!!",F1104="NEW"),"",COUNTBLANK(OFFSET(A$1,,,SUMPRODUCT(MAX(ROW(E$2:E1104)*(E1104=E$2:E1104)))))-COUNTBLANK(OFFSET(A$1,,,SUMPRODUCT(MAX(ROW(E$1:E1103)*(E2=E$1:E1103))))))</f>
        <v> </v>
      </c>
      <c r="K1104" s="25" t="str">
        <f>IF(OR(E1104="",E1104="!!!",F1104="NEW"),"",INDEX(J$1:J1103,SUMPRODUCT(MAX(ROW(E$1:E1103)*(E1104=E$1:E1103)))))</f>
        <v> </v>
      </c>
      <c r="L1104" s="26"/>
    </row>
    <row r="1105" spans="1:12">
      <c r="A1105" s="20" t="s">
        <v>644</v>
      </c>
      <c r="E1105" s="21">
        <f>IF(D1105="?OLD","!!!","")</f>
        <v/>
      </c>
      <c r="F1105" s="22" t="str">
        <f>IF(OR(E1105="",E1105="!!!"),"",IF(NOT(ISNA(VLOOKUP(E1105,E$1:E1104,1,FALSE()))),"OLD",IF(AND(E1105&lt;&gt;"",E1105&lt;&gt;"!!!"),"NEW","")))</f>
        <v> </v>
      </c>
      <c r="G1105" s="23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> </v>
      </c>
      <c r="H1105" s="24" t="str">
        <f>IF(J1105&lt;&gt;1,"",IF(I1105="SBJ","CB","?"))</f>
        <v> </v>
      </c>
      <c r="I1105" s="25" t="str">
        <f>IF(OR(E1105="",E1105="!!!",F1105="NEW"),"",INDEX(B1104:B$2,-1+SUMPRODUCT(MAX(ROW(E1104:E$2)*(E1105=E1104:E$2)))))</f>
        <v> </v>
      </c>
      <c r="J1105" s="25" t="str">
        <f>IF(OR(E1105="",E1105="!!!",F1105="NEW"),"",COUNTBLANK(OFFSET(A$1,,,SUMPRODUCT(MAX(ROW(E$2:E1105)*(E1105=E$2:E1105)))))-COUNTBLANK(OFFSET(A$1,,,SUMPRODUCT(MAX(ROW(E$1:E1104)*(E2=E$1:E1104))))))</f>
        <v> </v>
      </c>
      <c r="K1105" s="25" t="str">
        <f>IF(OR(E1105="",E1105="!!!",F1105="NEW"),"",INDEX(J$1:J1104,SUMPRODUCT(MAX(ROW(E$1:E1104)*(E1105=E$1:E1104)))))</f>
        <v> </v>
      </c>
      <c r="L1105" s="26"/>
    </row>
    <row r="1106" spans="1:12">
      <c r="A1106" s="20" t="s">
        <v>219</v>
      </c>
      <c r="E1106" s="21">
        <f>IF(D1106="?OLD","!!!","")</f>
        <v/>
      </c>
      <c r="F1106" s="22" t="str">
        <f>IF(OR(E1106="",E1106="!!!"),"",IF(NOT(ISNA(VLOOKUP(E1106,E$1:E1105,1,FALSE()))),"OLD",IF(AND(E1106&lt;&gt;"",E1106&lt;&gt;"!!!"),"NEW","")))</f>
        <v> </v>
      </c>
      <c r="G1106" s="23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24" t="str">
        <f>IF(J1106&lt;&gt;1,"",IF(I1106="SBJ","CB","?"))</f>
        <v> </v>
      </c>
      <c r="I1106" s="25" t="str">
        <f>IF(OR(E1106="",E1106="!!!",F1106="NEW"),"",INDEX(B1105:B$2,-1+SUMPRODUCT(MAX(ROW(E1105:E$2)*(E1106=E1105:E$2)))))</f>
        <v> </v>
      </c>
      <c r="J1106" s="25" t="str">
        <f>IF(OR(E1106="",E1106="!!!",F1106="NEW"),"",COUNTBLANK(OFFSET(A$1,,,SUMPRODUCT(MAX(ROW(E$2:E1106)*(E1106=E$2:E1106)))))-COUNTBLANK(OFFSET(A$1,,,SUMPRODUCT(MAX(ROW(E$1:E1105)*(E2=E$1:E1105))))))</f>
        <v> </v>
      </c>
      <c r="K1106" s="25" t="str">
        <f>IF(OR(E1106="",E1106="!!!",F1106="NEW"),"",INDEX(J$1:J1105,SUMPRODUCT(MAX(ROW(E$1:E1105)*(E1106=E$1:E1105)))))</f>
        <v> </v>
      </c>
      <c r="L1106" s="26"/>
    </row>
    <row r="1107" spans="1:12">
      <c r="A1107" s="20"/>
    </row>
    <row r="1108" spans="1:12">
      <c r="A1108" s="20" t="s">
        <v>643</v>
      </c>
    </row>
    <row r="1109" spans="1:12">
      <c r="A1109" s="20" t="s">
        <v>644</v>
      </c>
      <c r="E1109" s="21">
        <f>IF(D1109="?OLD","!!!","")</f>
        <v/>
      </c>
      <c r="F1109" s="22" t="str">
        <f>IF(OR(E1109="",E1109="!!!"),"",IF(NOT(ISNA(VLOOKUP(E1109,E$1:E1108,1,FALSE()))),"OLD",IF(AND(E1109&lt;&gt;"",E1109&lt;&gt;"!!!"),"NEW","")))</f>
        <v> </v>
      </c>
      <c r="G1109" s="23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4" t="str">
        <f>IF(J1109&lt;&gt;1,"",IF(I1109="SBJ","CB","?"))</f>
        <v> </v>
      </c>
      <c r="I1109" s="25" t="str">
        <f>IF(OR(E1109="",E1109="!!!",F1109="NEW"),"",INDEX(B1108:B$2,-1+SUMPRODUCT(MAX(ROW(E1108:E$2)*(E1109=E1108:E$2)))))</f>
        <v> </v>
      </c>
      <c r="J1109" s="25" t="str">
        <f>IF(OR(E1109="",E1109="!!!",F1109="NEW"),"",COUNTBLANK(OFFSET(A$1,,,SUMPRODUCT(MAX(ROW(E$2:E1109)*(E1109=E$2:E1109)))))-COUNTBLANK(OFFSET(A$1,,,SUMPRODUCT(MAX(ROW(E$1:E1108)*(E2=E$1:E1108))))))</f>
        <v> </v>
      </c>
      <c r="K1109" s="25" t="str">
        <f>IF(OR(E1109="",E1109="!!!",F1109="NEW"),"",INDEX(J$1:J1108,SUMPRODUCT(MAX(ROW(E$1:E1108)*(E1109=E$1:E1108)))))</f>
        <v> </v>
      </c>
      <c r="L1109" s="26"/>
    </row>
    <row r="1110" spans="1:12">
      <c r="A1110" s="20" t="s">
        <v>219</v>
      </c>
      <c r="E1110" s="21">
        <f>IF(D1110="?OLD","!!!","")</f>
        <v/>
      </c>
      <c r="F1110" s="22" t="str">
        <f>IF(OR(E1110="",E1110="!!!"),"",IF(NOT(ISNA(VLOOKUP(E1110,E$1:E1109,1,FALSE()))),"OLD",IF(AND(E1110&lt;&gt;"",E1110&lt;&gt;"!!!"),"NEW","")))</f>
        <v> </v>
      </c>
      <c r="G1110" s="23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24" t="str">
        <f>IF(J1110&lt;&gt;1,"",IF(I1110="SBJ","CB","?"))</f>
        <v> </v>
      </c>
      <c r="I1110" s="25" t="str">
        <f>IF(OR(E1110="",E1110="!!!",F1110="NEW"),"",INDEX(B1109:B$2,-1+SUMPRODUCT(MAX(ROW(E1109:E$2)*(E1110=E1109:E$2)))))</f>
        <v> </v>
      </c>
      <c r="J1110" s="25" t="str">
        <f>IF(OR(E1110="",E1110="!!!",F1110="NEW"),"",COUNTBLANK(OFFSET(A$1,,,SUMPRODUCT(MAX(ROW(E$2:E1110)*(E1110=E$2:E1110)))))-COUNTBLANK(OFFSET(A$1,,,SUMPRODUCT(MAX(ROW(E$1:E1109)*(E2=E$1:E1109))))))</f>
        <v> </v>
      </c>
      <c r="K1110" s="25" t="str">
        <f>IF(OR(E1110="",E1110="!!!",F1110="NEW"),"",INDEX(J$1:J1109,SUMPRODUCT(MAX(ROW(E$1:E1109)*(E1110=E$1:E1109)))))</f>
        <v> </v>
      </c>
      <c r="L1110" s="26"/>
    </row>
    <row r="1111" spans="1:12">
      <c r="A1111" s="20"/>
    </row>
    <row r="1112" spans="1:12">
      <c r="A1112" s="20" t="s">
        <v>650</v>
      </c>
    </row>
    <row r="1113" spans="1:12">
      <c r="A1113" s="20" t="s">
        <v>161</v>
      </c>
      <c r="B1113" s="27" t="s">
        <v>188</v>
      </c>
      <c r="C1113" s="27" t="s">
        <v>198</v>
      </c>
      <c r="D1113" s="27" t="s">
        <v>194</v>
      </c>
      <c r="E1113" s="21">
        <f>IF(D1113="?OLD","!!!","")</f>
        <v/>
      </c>
      <c r="F1113" s="22" t="str">
        <f>IF(OR(E1113="",E1113="!!!"),"",IF(NOT(ISNA(VLOOKUP(E1113,E$1:E1112,1,FALSE()))),"OLD",IF(AND(E1113&lt;&gt;"",E1113&lt;&gt;"!!!"),"NEW","")))</f>
        <v> </v>
      </c>
      <c r="G1113" s="23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4" t="str">
        <f>IF(J1113&lt;&gt;1,"",IF(I1113="SBJ","CB","?"))</f>
        <v> </v>
      </c>
      <c r="I1113" s="25" t="str">
        <f>IF(OR(E1113="",E1113="!!!",F1113="NEW"),"",INDEX(B1112:B$2,-1+SUMPRODUCT(MAX(ROW(E1112:E$2)*(E1113=E1112:E$2)))))</f>
        <v> </v>
      </c>
      <c r="J1113" s="25" t="str">
        <f>IF(OR(E1113="",E1113="!!!",F1113="NEW"),"",COUNTBLANK(OFFSET(A$1,,,SUMPRODUCT(MAX(ROW(E$2:E1113)*(E1113=E$2:E1113)))))-COUNTBLANK(OFFSET(A$1,,,SUMPRODUCT(MAX(ROW(E$1:E1112)*(E2=E$1:E1112))))))</f>
        <v> </v>
      </c>
      <c r="K1113" s="25" t="str">
        <f>IF(OR(E1113="",E1113="!!!",F1113="NEW"),"",INDEX(J$1:J1112,SUMPRODUCT(MAX(ROW(E$1:E1112)*(E1113=E$1:E1112)))))</f>
        <v> </v>
      </c>
      <c r="L1113" s="26"/>
    </row>
    <row r="1114" spans="1:12">
      <c r="A1114" s="20" t="s">
        <v>651</v>
      </c>
      <c r="B1114" s="27" t="s">
        <v>188</v>
      </c>
      <c r="C1114" s="27" t="s">
        <v>198</v>
      </c>
      <c r="D1114" s="27" t="s">
        <v>194</v>
      </c>
      <c r="E1114" s="21">
        <f>IF(D1114="?OLD","!!!","")</f>
        <v/>
      </c>
      <c r="F1114" s="22" t="str">
        <f>IF(OR(E1114="",E1114="!!!"),"",IF(NOT(ISNA(VLOOKUP(E1114,E$1:E1113,1,FALSE()))),"OLD",IF(AND(E1114&lt;&gt;"",E1114&lt;&gt;"!!!"),"NEW","")))</f>
        <v> </v>
      </c>
      <c r="G1114" s="23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4" t="str">
        <f>IF(J1114&lt;&gt;1,"",IF(I1114="SBJ","CB","?"))</f>
        <v> </v>
      </c>
      <c r="I1114" s="25" t="str">
        <f>IF(OR(E1114="",E1114="!!!",F1114="NEW"),"",INDEX(B1113:B$2,-1+SUMPRODUCT(MAX(ROW(E1113:E$2)*(E1114=E1113:E$2)))))</f>
        <v> </v>
      </c>
      <c r="J1114" s="25" t="str">
        <f>IF(OR(E1114="",E1114="!!!",F1114="NEW"),"",COUNTBLANK(OFFSET(A$1,,,SUMPRODUCT(MAX(ROW(E$2:E1114)*(E1114=E$2:E1114)))))-COUNTBLANK(OFFSET(A$1,,,SUMPRODUCT(MAX(ROW(E$1:E1113)*(E2=E$1:E1113))))))</f>
        <v> </v>
      </c>
      <c r="K1114" s="25" t="str">
        <f>IF(OR(E1114="",E1114="!!!",F1114="NEW"),"",INDEX(J$1:J1113,SUMPRODUCT(MAX(ROW(E$1:E1113)*(E1114=E$1:E1113)))))</f>
        <v> </v>
      </c>
      <c r="L1114" s="26"/>
    </row>
    <row r="1115" spans="1:12">
      <c r="A1115" s="20" t="s">
        <v>219</v>
      </c>
      <c r="E1115" s="21">
        <f>IF(D1115="?OLD","!!!","")</f>
        <v/>
      </c>
      <c r="F1115" s="22" t="str">
        <f>IF(OR(E1115="",E1115="!!!"),"",IF(NOT(ISNA(VLOOKUP(E1115,E$1:E1114,1,FALSE()))),"OLD",IF(AND(E1115&lt;&gt;"",E1115&lt;&gt;"!!!"),"NEW","")))</f>
        <v> </v>
      </c>
      <c r="G1115" s="23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24" t="str">
        <f>IF(J1115&lt;&gt;1,"",IF(I1115="SBJ","CB","?"))</f>
        <v> </v>
      </c>
      <c r="I1115" s="25" t="str">
        <f>IF(OR(E1115="",E1115="!!!",F1115="NEW"),"",INDEX(B1114:B$2,-1+SUMPRODUCT(MAX(ROW(E1114:E$2)*(E1115=E1114:E$2)))))</f>
        <v> </v>
      </c>
      <c r="J1115" s="25" t="str">
        <f>IF(OR(E1115="",E1115="!!!",F1115="NEW"),"",COUNTBLANK(OFFSET(A$1,,,SUMPRODUCT(MAX(ROW(E$2:E1115)*(E1115=E$2:E1115)))))-COUNTBLANK(OFFSET(A$1,,,SUMPRODUCT(MAX(ROW(E$1:E1114)*(E2=E$1:E1114))))))</f>
        <v> </v>
      </c>
      <c r="K1115" s="25" t="str">
        <f>IF(OR(E1115="",E1115="!!!",F1115="NEW"),"",INDEX(J$1:J1114,SUMPRODUCT(MAX(ROW(E$1:E1114)*(E1115=E$1:E1114)))))</f>
        <v> </v>
      </c>
      <c r="L1115" s="26"/>
    </row>
    <row r="1116" spans="1:12">
      <c r="A1116" s="20"/>
    </row>
    <row r="1117" spans="1:12">
      <c r="A1117" s="20" t="s">
        <v>652</v>
      </c>
    </row>
    <row r="1118" spans="1:12">
      <c r="A1118" s="20" t="s">
        <v>161</v>
      </c>
      <c r="B1118" s="27" t="s">
        <v>188</v>
      </c>
      <c r="C1118" s="27" t="s">
        <v>198</v>
      </c>
      <c r="D1118" s="27" t="s">
        <v>194</v>
      </c>
      <c r="E1118" s="21">
        <f>IF(D1118="?OLD","!!!","")</f>
        <v/>
      </c>
      <c r="F1118" s="22" t="str">
        <f>IF(OR(E1118="",E1118="!!!"),"",IF(NOT(ISNA(VLOOKUP(E1118,E$1:E1117,1,FALSE()))),"OLD",IF(AND(E1118&lt;&gt;"",E1118&lt;&gt;"!!!"),"NEW","")))</f>
        <v> </v>
      </c>
      <c r="G1118" s="23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4" t="str">
        <f>IF(J1118&lt;&gt;1,"",IF(I1118="SBJ","CB","?"))</f>
        <v> </v>
      </c>
      <c r="I1118" s="25" t="str">
        <f>IF(OR(E1118="",E1118="!!!",F1118="NEW"),"",INDEX(B1117:B$2,-1+SUMPRODUCT(MAX(ROW(E1117:E$2)*(E1118=E1117:E$2)))))</f>
        <v> </v>
      </c>
      <c r="J1118" s="25" t="str">
        <f>IF(OR(E1118="",E1118="!!!",F1118="NEW"),"",COUNTBLANK(OFFSET(A$1,,,SUMPRODUCT(MAX(ROW(E$2:E1118)*(E1118=E$2:E1118)))))-COUNTBLANK(OFFSET(A$1,,,SUMPRODUCT(MAX(ROW(E$1:E1117)*(E2=E$1:E1117))))))</f>
        <v> </v>
      </c>
      <c r="K1118" s="25" t="str">
        <f>IF(OR(E1118="",E1118="!!!",F1118="NEW"),"",INDEX(J$1:J1117,SUMPRODUCT(MAX(ROW(E$1:E1117)*(E1118=E$1:E1117)))))</f>
        <v> </v>
      </c>
      <c r="L1118" s="26"/>
    </row>
    <row r="1119" spans="1:12">
      <c r="A1119" s="20" t="s">
        <v>651</v>
      </c>
      <c r="B1119" s="27" t="s">
        <v>188</v>
      </c>
      <c r="C1119" s="27" t="s">
        <v>198</v>
      </c>
      <c r="D1119" s="27" t="s">
        <v>194</v>
      </c>
      <c r="E1119" s="21">
        <f>IF(D1119="?OLD","!!!","")</f>
        <v/>
      </c>
      <c r="F1119" s="22" t="str">
        <f>IF(OR(E1119="",E1119="!!!"),"",IF(NOT(ISNA(VLOOKUP(E1119,E$1:E1118,1,FALSE()))),"OLD",IF(AND(E1119&lt;&gt;"",E1119&lt;&gt;"!!!"),"NEW","")))</f>
        <v> </v>
      </c>
      <c r="G1119" s="23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4" t="str">
        <f>IF(J1119&lt;&gt;1,"",IF(I1119="SBJ","CB","?"))</f>
        <v> </v>
      </c>
      <c r="I1119" s="25" t="str">
        <f>IF(OR(E1119="",E1119="!!!",F1119="NEW"),"",INDEX(B1118:B$2,-1+SUMPRODUCT(MAX(ROW(E1118:E$2)*(E1119=E1118:E$2)))))</f>
        <v> </v>
      </c>
      <c r="J1119" s="25" t="str">
        <f>IF(OR(E1119="",E1119="!!!",F1119="NEW"),"",COUNTBLANK(OFFSET(A$1,,,SUMPRODUCT(MAX(ROW(E$2:E1119)*(E1119=E$2:E1119)))))-COUNTBLANK(OFFSET(A$1,,,SUMPRODUCT(MAX(ROW(E$1:E1118)*(E2=E$1:E1118))))))</f>
        <v> </v>
      </c>
      <c r="K1119" s="25" t="str">
        <f>IF(OR(E1119="",E1119="!!!",F1119="NEW"),"",INDEX(J$1:J1118,SUMPRODUCT(MAX(ROW(E$1:E1118)*(E1119=E$1:E1118)))))</f>
        <v> </v>
      </c>
      <c r="L1119" s="26"/>
    </row>
    <row r="1120" spans="1:12">
      <c r="A1120" s="20" t="s">
        <v>649</v>
      </c>
      <c r="E1120" s="21">
        <f>IF(D1120="?OLD","!!!","")</f>
        <v/>
      </c>
      <c r="F1120" s="22" t="str">
        <f>IF(OR(E1120="",E1120="!!!"),"",IF(NOT(ISNA(VLOOKUP(E1120,E$1:E1119,1,FALSE()))),"OLD",IF(AND(E1120&lt;&gt;"",E1120&lt;&gt;"!!!"),"NEW","")))</f>
        <v> </v>
      </c>
      <c r="G1120" s="23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24" t="str">
        <f>IF(J1120&lt;&gt;1,"",IF(I1120="SBJ","CB","?"))</f>
        <v> </v>
      </c>
      <c r="I1120" s="25" t="str">
        <f>IF(OR(E1120="",E1120="!!!",F1120="NEW"),"",INDEX(B1119:B$2,-1+SUMPRODUCT(MAX(ROW(E1119:E$2)*(E1120=E1119:E$2)))))</f>
        <v> </v>
      </c>
      <c r="J1120" s="25" t="str">
        <f>IF(OR(E1120="",E1120="!!!",F1120="NEW"),"",COUNTBLANK(OFFSET(A$1,,,SUMPRODUCT(MAX(ROW(E$2:E1120)*(E1120=E$2:E1120)))))-COUNTBLANK(OFFSET(A$1,,,SUMPRODUCT(MAX(ROW(E$1:E1119)*(E2=E$1:E1119))))))</f>
        <v> </v>
      </c>
      <c r="K1120" s="25" t="str">
        <f>IF(OR(E1120="",E1120="!!!",F1120="NEW"),"",INDEX(J$1:J1119,SUMPRODUCT(MAX(ROW(E$1:E1119)*(E1120=E$1:E1119)))))</f>
        <v> </v>
      </c>
      <c r="L1120" s="26"/>
    </row>
    <row r="1121" spans="1:12">
      <c r="A1121" s="20"/>
    </row>
    <row r="1122" spans="1:12">
      <c r="A1122" s="20" t="s">
        <v>653</v>
      </c>
    </row>
    <row r="1123" spans="1:12">
      <c r="A1123" s="20" t="s">
        <v>654</v>
      </c>
      <c r="E1123" s="21">
        <f>IF(D1123="?OLD","!!!","")</f>
        <v/>
      </c>
      <c r="F1123" s="22" t="str">
        <f>IF(OR(E1123="",E1123="!!!"),"",IF(NOT(ISNA(VLOOKUP(E1123,E$1:E1122,1,FALSE()))),"OLD",IF(AND(E1123&lt;&gt;"",E1123&lt;&gt;"!!!"),"NEW","")))</f>
        <v> </v>
      </c>
      <c r="G1123" s="23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4" t="str">
        <f>IF(J1123&lt;&gt;1,"",IF(I1123="SBJ","CB","?"))</f>
        <v> </v>
      </c>
      <c r="I1123" s="25" t="str">
        <f>IF(OR(E1123="",E1123="!!!",F1123="NEW"),"",INDEX(B1122:B$2,-1+SUMPRODUCT(MAX(ROW(E1122:E$2)*(E1123=E1122:E$2)))))</f>
        <v> </v>
      </c>
      <c r="J1123" s="25" t="str">
        <f>IF(OR(E1123="",E1123="!!!",F1123="NEW"),"",COUNTBLANK(OFFSET(A$1,,,SUMPRODUCT(MAX(ROW(E$2:E1123)*(E1123=E$2:E1123)))))-COUNTBLANK(OFFSET(A$1,,,SUMPRODUCT(MAX(ROW(E$1:E1122)*(E2=E$1:E1122))))))</f>
        <v> </v>
      </c>
      <c r="K1123" s="25" t="str">
        <f>IF(OR(E1123="",E1123="!!!",F1123="NEW"),"",INDEX(J$1:J1122,SUMPRODUCT(MAX(ROW(E$1:E1122)*(E1123=E$1:E1122)))))</f>
        <v> </v>
      </c>
      <c r="L1123" s="26"/>
    </row>
    <row r="1124" spans="1:12">
      <c r="A1124" s="20" t="s">
        <v>84</v>
      </c>
      <c r="E1124" s="21">
        <f>IF(D1124="?OLD","!!!","")</f>
        <v/>
      </c>
      <c r="F1124" s="22" t="str">
        <f>IF(OR(E1124="",E1124="!!!"),"",IF(NOT(ISNA(VLOOKUP(E1124,E$1:E1123,1,FALSE()))),"OLD",IF(AND(E1124&lt;&gt;"",E1124&lt;&gt;"!!!"),"NEW","")))</f>
        <v> </v>
      </c>
      <c r="G1124" s="23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4" t="str">
        <f>IF(J1124&lt;&gt;1,"",IF(I1124="SBJ","CB","?"))</f>
        <v> </v>
      </c>
      <c r="I1124" s="25" t="str">
        <f>IF(OR(E1124="",E1124="!!!",F1124="NEW"),"",INDEX(B1123:B$2,-1+SUMPRODUCT(MAX(ROW(E1123:E$2)*(E1124=E1123:E$2)))))</f>
        <v> </v>
      </c>
      <c r="J1124" s="25" t="str">
        <f>IF(OR(E1124="",E1124="!!!",F1124="NEW"),"",COUNTBLANK(OFFSET(A$1,,,SUMPRODUCT(MAX(ROW(E$2:E1124)*(E1124=E$2:E1124)))))-COUNTBLANK(OFFSET(A$1,,,SUMPRODUCT(MAX(ROW(E$1:E1123)*(E2=E$1:E1123))))))</f>
        <v> </v>
      </c>
      <c r="K1124" s="25" t="str">
        <f>IF(OR(E1124="",E1124="!!!",F1124="NEW"),"",INDEX(J$1:J1123,SUMPRODUCT(MAX(ROW(E$1:E1123)*(E1124=E$1:E1123)))))</f>
        <v> </v>
      </c>
      <c r="L1124" s="26"/>
    </row>
    <row r="1125" spans="1:12">
      <c r="A1125" s="20" t="s">
        <v>215</v>
      </c>
      <c r="E1125" s="21">
        <f>IF(D1125="?OLD","!!!","")</f>
        <v/>
      </c>
      <c r="F1125" s="22" t="str">
        <f>IF(OR(E1125="",E1125="!!!"),"",IF(NOT(ISNA(VLOOKUP(E1125,E$1:E1124,1,FALSE()))),"OLD",IF(AND(E1125&lt;&gt;"",E1125&lt;&gt;"!!!"),"NEW","")))</f>
        <v> </v>
      </c>
      <c r="G1125" s="23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24" t="str">
        <f>IF(J1125&lt;&gt;1,"",IF(I1125="SBJ","CB","?"))</f>
        <v> </v>
      </c>
      <c r="I1125" s="25" t="str">
        <f>IF(OR(E1125="",E1125="!!!",F1125="NEW"),"",INDEX(B1124:B$2,-1+SUMPRODUCT(MAX(ROW(E1124:E$2)*(E1125=E1124:E$2)))))</f>
        <v> </v>
      </c>
      <c r="J1125" s="25" t="str">
        <f>IF(OR(E1125="",E1125="!!!",F1125="NEW"),"",COUNTBLANK(OFFSET(A$1,,,SUMPRODUCT(MAX(ROW(E$2:E1125)*(E1125=E$2:E1125)))))-COUNTBLANK(OFFSET(A$1,,,SUMPRODUCT(MAX(ROW(E$1:E1124)*(E2=E$1:E1124))))))</f>
        <v> </v>
      </c>
      <c r="K1125" s="25" t="str">
        <f>IF(OR(E1125="",E1125="!!!",F1125="NEW"),"",INDEX(J$1:J1124,SUMPRODUCT(MAX(ROW(E$1:E1124)*(E1125=E$1:E1124)))))</f>
        <v> </v>
      </c>
      <c r="L1125" s="26"/>
    </row>
    <row r="1126" spans="1:12">
      <c r="A1126" s="20" t="s">
        <v>172</v>
      </c>
      <c r="B1126" s="27" t="s">
        <v>216</v>
      </c>
      <c r="C1126" s="27" t="s">
        <v>217</v>
      </c>
      <c r="E1126" s="21">
        <f>IF(D1126="?OLD","!!!","")</f>
        <v/>
      </c>
      <c r="F1126" s="22" t="str">
        <f>IF(OR(E1126="",E1126="!!!"),"",IF(NOT(ISNA(VLOOKUP(E1126,E$1:E1125,1,FALSE()))),"OLD",IF(AND(E1126&lt;&gt;"",E1126&lt;&gt;"!!!"),"NEW","")))</f>
        <v> </v>
      </c>
      <c r="G1126" s="23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24" t="str">
        <f>IF(J1126&lt;&gt;1,"",IF(I1126="SBJ","CB","?"))</f>
        <v> </v>
      </c>
      <c r="I1126" s="25" t="str">
        <f>IF(OR(E1126="",E1126="!!!",F1126="NEW"),"",INDEX(B1125:B$2,-1+SUMPRODUCT(MAX(ROW(E1125:E$2)*(E1126=E1125:E$2)))))</f>
        <v> </v>
      </c>
      <c r="J1126" s="25" t="str">
        <f>IF(OR(E1126="",E1126="!!!",F1126="NEW"),"",COUNTBLANK(OFFSET(A$1,,,SUMPRODUCT(MAX(ROW(E$2:E1126)*(E1126=E$2:E1126)))))-COUNTBLANK(OFFSET(A$1,,,SUMPRODUCT(MAX(ROW(E$1:E1125)*(E2=E$1:E1125))))))</f>
        <v> </v>
      </c>
      <c r="K1126" s="25" t="str">
        <f>IF(OR(E1126="",E1126="!!!",F1126="NEW"),"",INDEX(J$1:J1125,SUMPRODUCT(MAX(ROW(E$1:E1125)*(E1126=E$1:E1125)))))</f>
        <v> </v>
      </c>
      <c r="L1126" s="26"/>
    </row>
    <row r="1127" spans="1:12">
      <c r="A1127" s="20" t="s">
        <v>232</v>
      </c>
      <c r="B1127" s="27" t="s">
        <v>233</v>
      </c>
      <c r="E1127" s="21">
        <f>IF(D1127="?OLD","!!!","")</f>
        <v/>
      </c>
      <c r="F1127" s="22" t="str">
        <f>IF(OR(E1127="",E1127="!!!"),"",IF(NOT(ISNA(VLOOKUP(E1127,E$1:E1126,1,FALSE()))),"OLD",IF(AND(E1127&lt;&gt;"",E1127&lt;&gt;"!!!"),"NEW","")))</f>
        <v> </v>
      </c>
      <c r="G1127" s="23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4" t="str">
        <f>IF(J1127&lt;&gt;1,"",IF(I1127="SBJ","CB","?"))</f>
        <v> </v>
      </c>
      <c r="I1127" s="25" t="str">
        <f>IF(OR(E1127="",E1127="!!!",F1127="NEW"),"",INDEX(B1126:B$2,-1+SUMPRODUCT(MAX(ROW(E1126:E$2)*(E1127=E1126:E$2)))))</f>
        <v> </v>
      </c>
      <c r="J1127" s="25" t="str">
        <f>IF(OR(E1127="",E1127="!!!",F1127="NEW"),"",COUNTBLANK(OFFSET(A$1,,,SUMPRODUCT(MAX(ROW(E$2:E1127)*(E1127=E$2:E1127)))))-COUNTBLANK(OFFSET(A$1,,,SUMPRODUCT(MAX(ROW(E$1:E1126)*(E2=E$1:E1126))))))</f>
        <v> </v>
      </c>
      <c r="K1127" s="25" t="str">
        <f>IF(OR(E1127="",E1127="!!!",F1127="NEW"),"",INDEX(J$1:J1126,SUMPRODUCT(MAX(ROW(E$1:E1126)*(E1127=E$1:E1126)))))</f>
        <v> </v>
      </c>
      <c r="L1127" s="26"/>
    </row>
    <row r="1128" spans="1:12">
      <c r="A1128" s="20" t="s">
        <v>655</v>
      </c>
      <c r="E1128" s="21">
        <f>IF(D1128="?OLD","!!!","")</f>
        <v/>
      </c>
      <c r="F1128" s="22" t="str">
        <f>IF(OR(E1128="",E1128="!!!"),"",IF(NOT(ISNA(VLOOKUP(E1128,E$1:E1127,1,FALSE()))),"OLD",IF(AND(E1128&lt;&gt;"",E1128&lt;&gt;"!!!"),"NEW","")))</f>
        <v> </v>
      </c>
      <c r="G1128" s="23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4" t="str">
        <f>IF(J1128&lt;&gt;1,"",IF(I1128="SBJ","CB","?"))</f>
        <v> </v>
      </c>
      <c r="I1128" s="25" t="str">
        <f>IF(OR(E1128="",E1128="!!!",F1128="NEW"),"",INDEX(B1127:B$2,-1+SUMPRODUCT(MAX(ROW(E1127:E$2)*(E1128=E1127:E$2)))))</f>
        <v> </v>
      </c>
      <c r="J1128" s="25" t="str">
        <f>IF(OR(E1128="",E1128="!!!",F1128="NEW"),"",COUNTBLANK(OFFSET(A$1,,,SUMPRODUCT(MAX(ROW(E$2:E1128)*(E1128=E$2:E1128)))))-COUNTBLANK(OFFSET(A$1,,,SUMPRODUCT(MAX(ROW(E$1:E1127)*(E2=E$1:E1127))))))</f>
        <v> </v>
      </c>
      <c r="K1128" s="25" t="str">
        <f>IF(OR(E1128="",E1128="!!!",F1128="NEW"),"",INDEX(J$1:J1127,SUMPRODUCT(MAX(ROW(E$1:E1127)*(E1128=E$1:E1127)))))</f>
        <v> </v>
      </c>
      <c r="L1128" s="26"/>
    </row>
    <row r="1129" spans="1:12">
      <c r="A1129" s="20" t="s">
        <v>656</v>
      </c>
      <c r="E1129" s="21">
        <f>IF(D1129="?OLD","!!!","")</f>
        <v/>
      </c>
      <c r="F1129" s="22" t="str">
        <f>IF(OR(E1129="",E1129="!!!"),"",IF(NOT(ISNA(VLOOKUP(E1129,E$1:E1128,1,FALSE()))),"OLD",IF(AND(E1129&lt;&gt;"",E1129&lt;&gt;"!!!"),"NEW","")))</f>
        <v> </v>
      </c>
      <c r="G1129" s="23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4" t="str">
        <f>IF(J1129&lt;&gt;1,"",IF(I1129="SBJ","CB","?"))</f>
        <v> </v>
      </c>
      <c r="I1129" s="25" t="str">
        <f>IF(OR(E1129="",E1129="!!!",F1129="NEW"),"",INDEX(B1128:B$2,-1+SUMPRODUCT(MAX(ROW(E1128:E$2)*(E1129=E1128:E$2)))))</f>
        <v> </v>
      </c>
      <c r="J1129" s="25" t="str">
        <f>IF(OR(E1129="",E1129="!!!",F1129="NEW"),"",COUNTBLANK(OFFSET(A$1,,,SUMPRODUCT(MAX(ROW(E$2:E1129)*(E1129=E$2:E1129)))))-COUNTBLANK(OFFSET(A$1,,,SUMPRODUCT(MAX(ROW(E$1:E1128)*(E2=E$1:E1128))))))</f>
        <v> </v>
      </c>
      <c r="K1129" s="25" t="str">
        <f>IF(OR(E1129="",E1129="!!!",F1129="NEW"),"",INDEX(J$1:J1128,SUMPRODUCT(MAX(ROW(E$1:E1128)*(E1129=E$1:E1128)))))</f>
        <v> </v>
      </c>
      <c r="L1129" s="26"/>
    </row>
    <row r="1130" spans="1:12">
      <c r="A1130" s="20" t="s">
        <v>211</v>
      </c>
      <c r="E1130" s="21">
        <f>IF(D1130="?OLD","!!!","")</f>
        <v/>
      </c>
      <c r="F1130" s="22" t="str">
        <f>IF(OR(E1130="",E1130="!!!"),"",IF(NOT(ISNA(VLOOKUP(E1130,E$1:E1129,1,FALSE()))),"OLD",IF(AND(E1130&lt;&gt;"",E1130&lt;&gt;"!!!"),"NEW","")))</f>
        <v> </v>
      </c>
      <c r="G1130" s="23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24" t="str">
        <f>IF(J1130&lt;&gt;1,"",IF(I1130="SBJ","CB","?"))</f>
        <v> </v>
      </c>
      <c r="I1130" s="25" t="str">
        <f>IF(OR(E1130="",E1130="!!!",F1130="NEW"),"",INDEX(B1129:B$2,-1+SUMPRODUCT(MAX(ROW(E1129:E$2)*(E1130=E1129:E$2)))))</f>
        <v> </v>
      </c>
      <c r="J1130" s="25" t="str">
        <f>IF(OR(E1130="",E1130="!!!",F1130="NEW"),"",COUNTBLANK(OFFSET(A$1,,,SUMPRODUCT(MAX(ROW(E$2:E1130)*(E1130=E$2:E1130)))))-COUNTBLANK(OFFSET(A$1,,,SUMPRODUCT(MAX(ROW(E$1:E1129)*(E2=E$1:E1129))))))</f>
        <v> </v>
      </c>
      <c r="K1130" s="25" t="str">
        <f>IF(OR(E1130="",E1130="!!!",F1130="NEW"),"",INDEX(J$1:J1129,SUMPRODUCT(MAX(ROW(E$1:E1129)*(E1130=E$1:E1129)))))</f>
        <v> </v>
      </c>
      <c r="L1130" s="26"/>
    </row>
    <row r="1131" spans="1:12">
      <c r="A1131" s="20" t="s">
        <v>356</v>
      </c>
      <c r="E1131" s="21">
        <f>IF(D1131="?OLD","!!!","")</f>
        <v/>
      </c>
      <c r="F1131" s="22" t="str">
        <f>IF(OR(E1131="",E1131="!!!"),"",IF(NOT(ISNA(VLOOKUP(E1131,E$1:E1130,1,FALSE()))),"OLD",IF(AND(E1131&lt;&gt;"",E1131&lt;&gt;"!!!"),"NEW","")))</f>
        <v> </v>
      </c>
      <c r="G1131" s="23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 </v>
      </c>
      <c r="H1131" s="24" t="str">
        <f>IF(J1131&lt;&gt;1,"",IF(I1131="SBJ","CB","?"))</f>
        <v> </v>
      </c>
      <c r="I1131" s="25" t="str">
        <f>IF(OR(E1131="",E1131="!!!",F1131="NEW"),"",INDEX(B1130:B$2,-1+SUMPRODUCT(MAX(ROW(E1130:E$2)*(E1131=E1130:E$2)))))</f>
        <v> </v>
      </c>
      <c r="J1131" s="25" t="str">
        <f>IF(OR(E1131="",E1131="!!!",F1131="NEW"),"",COUNTBLANK(OFFSET(A$1,,,SUMPRODUCT(MAX(ROW(E$2:E1131)*(E1131=E$2:E1131)))))-COUNTBLANK(OFFSET(A$1,,,SUMPRODUCT(MAX(ROW(E$1:E1130)*(E2=E$1:E1130))))))</f>
        <v> </v>
      </c>
      <c r="K1131" s="25" t="str">
        <f>IF(OR(E1131="",E1131="!!!",F1131="NEW"),"",INDEX(J$1:J1130,SUMPRODUCT(MAX(ROW(E$1:E1130)*(E1131=E$1:E1130)))))</f>
        <v> </v>
      </c>
      <c r="L1131" s="26"/>
    </row>
    <row r="1132" spans="1:12">
      <c r="A1132" s="20" t="s">
        <v>657</v>
      </c>
      <c r="B1132" s="27" t="s">
        <v>238</v>
      </c>
      <c r="C1132" s="27" t="s">
        <v>223</v>
      </c>
      <c r="D1132" s="27" t="s">
        <v>194</v>
      </c>
      <c r="E1132" s="21">
        <f>IF(D1132="?OLD","!!!","")</f>
        <v/>
      </c>
      <c r="F1132" s="22" t="str">
        <f>IF(OR(E1132="",E1132="!!!"),"",IF(NOT(ISNA(VLOOKUP(E1132,E$1:E1131,1,FALSE()))),"OLD",IF(AND(E1132&lt;&gt;"",E1132&lt;&gt;"!!!"),"NEW","")))</f>
        <v> </v>
      </c>
      <c r="G1132" s="23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> </v>
      </c>
      <c r="H1132" s="24" t="str">
        <f>IF(J1132&lt;&gt;1,"",IF(I1132="SBJ","CB","?"))</f>
        <v> </v>
      </c>
      <c r="I1132" s="25" t="str">
        <f>IF(OR(E1132="",E1132="!!!",F1132="NEW"),"",INDEX(B1131:B$2,-1+SUMPRODUCT(MAX(ROW(E1131:E$2)*(E1132=E1131:E$2)))))</f>
        <v> </v>
      </c>
      <c r="J1132" s="25" t="str">
        <f>IF(OR(E1132="",E1132="!!!",F1132="NEW"),"",COUNTBLANK(OFFSET(A$1,,,SUMPRODUCT(MAX(ROW(E$2:E1132)*(E1132=E$2:E1132)))))-COUNTBLANK(OFFSET(A$1,,,SUMPRODUCT(MAX(ROW(E$1:E1131)*(E2=E$1:E1131))))))</f>
        <v> </v>
      </c>
      <c r="K1132" s="25" t="str">
        <f>IF(OR(E1132="",E1132="!!!",F1132="NEW"),"",INDEX(J$1:J1131,SUMPRODUCT(MAX(ROW(E$1:E1131)*(E1132=E$1:E1131)))))</f>
        <v> </v>
      </c>
      <c r="L1132" s="26"/>
    </row>
    <row r="1133" spans="1:12">
      <c r="A1133" s="20" t="s">
        <v>219</v>
      </c>
      <c r="E1133" s="21">
        <f>IF(D1133="?OLD","!!!","")</f>
        <v/>
      </c>
      <c r="F1133" s="22" t="str">
        <f>IF(OR(E1133="",E1133="!!!"),"",IF(NOT(ISNA(VLOOKUP(E1133,E$1:E1132,1,FALSE()))),"OLD",IF(AND(E1133&lt;&gt;"",E1133&lt;&gt;"!!!"),"NEW","")))</f>
        <v> </v>
      </c>
      <c r="G1133" s="23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> </v>
      </c>
      <c r="H1133" s="24" t="str">
        <f>IF(J1133&lt;&gt;1,"",IF(I1133="SBJ","CB","?"))</f>
        <v> </v>
      </c>
      <c r="I1133" s="25" t="str">
        <f>IF(OR(E1133="",E1133="!!!",F1133="NEW"),"",INDEX(B1132:B$2,-1+SUMPRODUCT(MAX(ROW(E1132:E$2)*(E1133=E1132:E$2)))))</f>
        <v> </v>
      </c>
      <c r="J1133" s="25" t="str">
        <f>IF(OR(E1133="",E1133="!!!",F1133="NEW"),"",COUNTBLANK(OFFSET(A$1,,,SUMPRODUCT(MAX(ROW(E$2:E1133)*(E1133=E$2:E1133)))))-COUNTBLANK(OFFSET(A$1,,,SUMPRODUCT(MAX(ROW(E$1:E1132)*(E2=E$1:E1132))))))</f>
        <v> </v>
      </c>
      <c r="K1133" s="25" t="str">
        <f>IF(OR(E1133="",E1133="!!!",F1133="NEW"),"",INDEX(J$1:J1132,SUMPRODUCT(MAX(ROW(E$1:E1132)*(E1133=E$1:E1132)))))</f>
        <v> </v>
      </c>
      <c r="L1133" s="26"/>
    </row>
    <row r="1134" spans="1:12">
      <c r="A1134" s="20"/>
    </row>
    <row r="1135" spans="1:12">
      <c r="A1135" s="20" t="s">
        <v>658</v>
      </c>
    </row>
    <row r="1136" spans="1:12">
      <c r="A1136" s="20" t="s">
        <v>659</v>
      </c>
      <c r="E1136" s="21">
        <f>IF(D1136="?OLD","!!!","")</f>
        <v/>
      </c>
      <c r="F1136" s="22" t="str">
        <f>IF(OR(E1136="",E1136="!!!"),"",IF(NOT(ISNA(VLOOKUP(E1136,E$1:E1135,1,FALSE()))),"OLD",IF(AND(E1136&lt;&gt;"",E1136&lt;&gt;"!!!"),"NEW","")))</f>
        <v> </v>
      </c>
      <c r="G1136" s="23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4" t="str">
        <f>IF(J1136&lt;&gt;1,"",IF(I1136="SBJ","CB","?"))</f>
        <v> </v>
      </c>
      <c r="I1136" s="25" t="str">
        <f>IF(OR(E1136="",E1136="!!!",F1136="NEW"),"",INDEX(B1135:B$2,-1+SUMPRODUCT(MAX(ROW(E1135:E$2)*(E1136=E1135:E$2)))))</f>
        <v> </v>
      </c>
      <c r="J1136" s="25" t="str">
        <f>IF(OR(E1136="",E1136="!!!",F1136="NEW"),"",COUNTBLANK(OFFSET(A$1,,,SUMPRODUCT(MAX(ROW(E$2:E1136)*(E1136=E$2:E1136)))))-COUNTBLANK(OFFSET(A$1,,,SUMPRODUCT(MAX(ROW(E$1:E1135)*(E2=E$1:E1135))))))</f>
        <v> </v>
      </c>
      <c r="K1136" s="25" t="str">
        <f>IF(OR(E1136="",E1136="!!!",F1136="NEW"),"",INDEX(J$1:J1135,SUMPRODUCT(MAX(ROW(E$1:E1135)*(E1136=E$1:E1135)))))</f>
        <v> </v>
      </c>
      <c r="L1136" s="26"/>
    </row>
    <row r="1137" spans="1:12">
      <c r="A1137" s="20" t="s">
        <v>526</v>
      </c>
      <c r="B1137" s="27" t="s">
        <v>210</v>
      </c>
      <c r="C1137" s="27" t="s">
        <v>244</v>
      </c>
      <c r="D1137" s="27" t="s">
        <v>194</v>
      </c>
      <c r="E1137" s="21">
        <f>IF(D1137="?OLD","!!!","")</f>
        <v/>
      </c>
      <c r="F1137" s="22" t="str">
        <f>IF(OR(E1137="",E1137="!!!"),"",IF(NOT(ISNA(VLOOKUP(E1137,E$1:E1136,1,FALSE()))),"OLD",IF(AND(E1137&lt;&gt;"",E1137&lt;&gt;"!!!"),"NEW","")))</f>
        <v> </v>
      </c>
      <c r="G1137" s="23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4" t="str">
        <f>IF(J1137&lt;&gt;1,"",IF(I1137="SBJ","CB","?"))</f>
        <v> </v>
      </c>
      <c r="I1137" s="25" t="str">
        <f>IF(OR(E1137="",E1137="!!!",F1137="NEW"),"",INDEX(B1136:B$2,-1+SUMPRODUCT(MAX(ROW(E1136:E$2)*(E1137=E1136:E$2)))))</f>
        <v> </v>
      </c>
      <c r="J1137" s="25" t="str">
        <f>IF(OR(E1137="",E1137="!!!",F1137="NEW"),"",COUNTBLANK(OFFSET(A$1,,,SUMPRODUCT(MAX(ROW(E$2:E1137)*(E1137=E$2:E1137)))))-COUNTBLANK(OFFSET(A$1,,,SUMPRODUCT(MAX(ROW(E$1:E1136)*(E2=E$1:E1136))))))</f>
        <v> </v>
      </c>
      <c r="K1137" s="25" t="str">
        <f>IF(OR(E1137="",E1137="!!!",F1137="NEW"),"",INDEX(J$1:J1136,SUMPRODUCT(MAX(ROW(E$1:E1136)*(E1137=E$1:E1136)))))</f>
        <v> </v>
      </c>
      <c r="L1137" s="26"/>
    </row>
    <row r="1138" spans="1:12">
      <c r="A1138" s="20" t="s">
        <v>207</v>
      </c>
      <c r="E1138" s="21">
        <f>IF(D1138="?OLD","!!!","")</f>
        <v/>
      </c>
      <c r="F1138" s="22" t="str">
        <f>IF(OR(E1138="",E1138="!!!"),"",IF(NOT(ISNA(VLOOKUP(E1138,E$1:E1137,1,FALSE()))),"OLD",IF(AND(E1138&lt;&gt;"",E1138&lt;&gt;"!!!"),"NEW","")))</f>
        <v> </v>
      </c>
      <c r="G1138" s="23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24" t="str">
        <f>IF(J1138&lt;&gt;1,"",IF(I1138="SBJ","CB","?"))</f>
        <v> </v>
      </c>
      <c r="I1138" s="25" t="str">
        <f>IF(OR(E1138="",E1138="!!!",F1138="NEW"),"",INDEX(B1137:B$2,-1+SUMPRODUCT(MAX(ROW(E1137:E$2)*(E1138=E1137:E$2)))))</f>
        <v> </v>
      </c>
      <c r="J1138" s="25" t="str">
        <f>IF(OR(E1138="",E1138="!!!",F1138="NEW"),"",COUNTBLANK(OFFSET(A$1,,,SUMPRODUCT(MAX(ROW(E$2:E1138)*(E1138=E$2:E1138)))))-COUNTBLANK(OFFSET(A$1,,,SUMPRODUCT(MAX(ROW(E$1:E1137)*(E2=E$1:E1137))))))</f>
        <v> </v>
      </c>
      <c r="K1138" s="25" t="str">
        <f>IF(OR(E1138="",E1138="!!!",F1138="NEW"),"",INDEX(J$1:J1137,SUMPRODUCT(MAX(ROW(E$1:E1137)*(E1138=E$1:E1137)))))</f>
        <v> </v>
      </c>
      <c r="L1138" s="26"/>
    </row>
    <row r="1139" spans="1:12">
      <c r="A1139" s="20" t="s">
        <v>660</v>
      </c>
      <c r="B1139" s="27" t="s">
        <v>188</v>
      </c>
      <c r="C1139" s="27" t="s">
        <v>589</v>
      </c>
      <c r="D1139" s="27" t="s">
        <v>194</v>
      </c>
      <c r="E1139" s="21">
        <f>IF(D1139="?OLD","!!!","")</f>
        <v/>
      </c>
      <c r="F1139" s="22" t="str">
        <f>IF(OR(E1139="",E1139="!!!"),"",IF(NOT(ISNA(VLOOKUP(E1139,E$1:E1138,1,FALSE()))),"OLD",IF(AND(E1139&lt;&gt;"",E1139&lt;&gt;"!!!"),"NEW","")))</f>
        <v> </v>
      </c>
      <c r="G1139" s="23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> </v>
      </c>
      <c r="H1139" s="24" t="str">
        <f>IF(J1139&lt;&gt;1,"",IF(I1139="SBJ","CB","?"))</f>
        <v> </v>
      </c>
      <c r="I1139" s="25" t="str">
        <f>IF(OR(E1139="",E1139="!!!",F1139="NEW"),"",INDEX(B1138:B$2,-1+SUMPRODUCT(MAX(ROW(E1138:E$2)*(E1139=E1138:E$2)))))</f>
        <v> </v>
      </c>
      <c r="J1139" s="25" t="str">
        <f>IF(OR(E1139="",E1139="!!!",F1139="NEW"),"",COUNTBLANK(OFFSET(A$1,,,SUMPRODUCT(MAX(ROW(E$2:E1139)*(E1139=E$2:E1139)))))-COUNTBLANK(OFFSET(A$1,,,SUMPRODUCT(MAX(ROW(E$1:E1138)*(E2=E$1:E1138))))))</f>
        <v> </v>
      </c>
      <c r="K1139" s="25" t="str">
        <f>IF(OR(E1139="",E1139="!!!",F1139="NEW"),"",INDEX(J$1:J1138,SUMPRODUCT(MAX(ROW(E$1:E1138)*(E1139=E$1:E1138)))))</f>
        <v> </v>
      </c>
      <c r="L1139" s="26"/>
    </row>
    <row r="1140" spans="1:12">
      <c r="A1140" s="20" t="s">
        <v>219</v>
      </c>
      <c r="E1140" s="21">
        <f>IF(D1140="?OLD","!!!","")</f>
        <v/>
      </c>
      <c r="F1140" s="22" t="str">
        <f>IF(OR(E1140="",E1140="!!!"),"",IF(NOT(ISNA(VLOOKUP(E1140,E$1:E1139,1,FALSE()))),"OLD",IF(AND(E1140&lt;&gt;"",E1140&lt;&gt;"!!!"),"NEW","")))</f>
        <v> </v>
      </c>
      <c r="G1140" s="23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 </v>
      </c>
      <c r="H1140" s="24" t="str">
        <f>IF(J1140&lt;&gt;1,"",IF(I1140="SBJ","CB","?"))</f>
        <v> </v>
      </c>
      <c r="I1140" s="25" t="str">
        <f>IF(OR(E1140="",E1140="!!!",F1140="NEW"),"",INDEX(B1139:B$2,-1+SUMPRODUCT(MAX(ROW(E1139:E$2)*(E1140=E1139:E$2)))))</f>
        <v> </v>
      </c>
      <c r="J1140" s="25" t="str">
        <f>IF(OR(E1140="",E1140="!!!",F1140="NEW"),"",COUNTBLANK(OFFSET(A$1,,,SUMPRODUCT(MAX(ROW(E$2:E1140)*(E1140=E$2:E1140)))))-COUNTBLANK(OFFSET(A$1,,,SUMPRODUCT(MAX(ROW(E$1:E1139)*(E2=E$1:E1139))))))</f>
        <v> </v>
      </c>
      <c r="K1140" s="25" t="str">
        <f>IF(OR(E1140="",E1140="!!!",F1140="NEW"),"",INDEX(J$1:J1139,SUMPRODUCT(MAX(ROW(E$1:E1139)*(E1140=E$1:E1139)))))</f>
        <v> </v>
      </c>
      <c r="L1140" s="26"/>
    </row>
    <row r="1141" spans="1:12">
      <c r="A1141" s="20"/>
    </row>
    <row r="1142" spans="1:12">
      <c r="A1142" s="20" t="s">
        <v>661</v>
      </c>
    </row>
    <row r="1143" spans="1:12">
      <c r="A1143" s="20" t="s">
        <v>481</v>
      </c>
      <c r="E1143" s="21">
        <f>IF(D1143="?OLD","!!!","")</f>
        <v/>
      </c>
      <c r="F1143" s="22" t="str">
        <f>IF(OR(E1143="",E1143="!!!"),"",IF(NOT(ISNA(VLOOKUP(E1143,E$1:E1142,1,FALSE()))),"OLD",IF(AND(E1143&lt;&gt;"",E1143&lt;&gt;"!!!"),"NEW","")))</f>
        <v> </v>
      </c>
      <c r="G1143" s="23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4" t="str">
        <f>IF(J1143&lt;&gt;1,"",IF(I1143="SBJ","CB","?"))</f>
        <v> </v>
      </c>
      <c r="I1143" s="25" t="str">
        <f>IF(OR(E1143="",E1143="!!!",F1143="NEW"),"",INDEX(B1142:B$2,-1+SUMPRODUCT(MAX(ROW(E1142:E$2)*(E1143=E1142:E$2)))))</f>
        <v> </v>
      </c>
      <c r="J1143" s="25" t="str">
        <f>IF(OR(E1143="",E1143="!!!",F1143="NEW"),"",COUNTBLANK(OFFSET(A$1,,,SUMPRODUCT(MAX(ROW(E$2:E1143)*(E1143=E$2:E1143)))))-COUNTBLANK(OFFSET(A$1,,,SUMPRODUCT(MAX(ROW(E$1:E1142)*(E2=E$1:E1142))))))</f>
        <v> </v>
      </c>
      <c r="K1143" s="25" t="str">
        <f>IF(OR(E1143="",E1143="!!!",F1143="NEW"),"",INDEX(J$1:J1142,SUMPRODUCT(MAX(ROW(E$1:E1142)*(E1143=E$1:E1142)))))</f>
        <v> </v>
      </c>
      <c r="L1143" s="26"/>
    </row>
    <row r="1144" spans="1:12">
      <c r="A1144" s="20" t="s">
        <v>662</v>
      </c>
      <c r="B1144" s="27" t="s">
        <v>188</v>
      </c>
      <c r="C1144" s="27" t="s">
        <v>198</v>
      </c>
      <c r="D1144" s="27" t="s">
        <v>194</v>
      </c>
      <c r="E1144" s="21">
        <f>IF(D1144="?OLD","!!!","")</f>
        <v/>
      </c>
      <c r="F1144" s="22" t="str">
        <f>IF(OR(E1144="",E1144="!!!"),"",IF(NOT(ISNA(VLOOKUP(E1144,E$1:E1143,1,FALSE()))),"OLD",IF(AND(E1144&lt;&gt;"",E1144&lt;&gt;"!!!"),"NEW","")))</f>
        <v> </v>
      </c>
      <c r="G1144" s="23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4" t="str">
        <f>IF(J1144&lt;&gt;1,"",IF(I1144="SBJ","CB","?"))</f>
        <v> </v>
      </c>
      <c r="I1144" s="25" t="str">
        <f>IF(OR(E1144="",E1144="!!!",F1144="NEW"),"",INDEX(B1143:B$2,-1+SUMPRODUCT(MAX(ROW(E1143:E$2)*(E1144=E1143:E$2)))))</f>
        <v> </v>
      </c>
      <c r="J1144" s="25" t="str">
        <f>IF(OR(E1144="",E1144="!!!",F1144="NEW"),"",COUNTBLANK(OFFSET(A$1,,,SUMPRODUCT(MAX(ROW(E$2:E1144)*(E1144=E$2:E1144)))))-COUNTBLANK(OFFSET(A$1,,,SUMPRODUCT(MAX(ROW(E$1:E1143)*(E2=E$1:E1143))))))</f>
        <v> </v>
      </c>
      <c r="K1144" s="25" t="str">
        <f>IF(OR(E1144="",E1144="!!!",F1144="NEW"),"",INDEX(J$1:J1143,SUMPRODUCT(MAX(ROW(E$1:E1143)*(E1144=E$1:E1143)))))</f>
        <v> </v>
      </c>
      <c r="L1144" s="26"/>
    </row>
    <row r="1145" spans="1:12">
      <c r="A1145" s="20" t="s">
        <v>483</v>
      </c>
      <c r="E1145" s="21">
        <f>IF(D1145="?OLD","!!!","")</f>
        <v/>
      </c>
      <c r="F1145" s="22" t="str">
        <f>IF(OR(E1145="",E1145="!!!"),"",IF(NOT(ISNA(VLOOKUP(E1145,E$1:E1144,1,FALSE()))),"OLD",IF(AND(E1145&lt;&gt;"",E1145&lt;&gt;"!!!"),"NEW","")))</f>
        <v> </v>
      </c>
      <c r="G1145" s="23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4" t="str">
        <f>IF(J1145&lt;&gt;1,"",IF(I1145="SBJ","CB","?"))</f>
        <v> </v>
      </c>
      <c r="I1145" s="25" t="str">
        <f>IF(OR(E1145="",E1145="!!!",F1145="NEW"),"",INDEX(B1144:B$2,-1+SUMPRODUCT(MAX(ROW(E1144:E$2)*(E1145=E1144:E$2)))))</f>
        <v> </v>
      </c>
      <c r="J1145" s="25" t="str">
        <f>IF(OR(E1145="",E1145="!!!",F1145="NEW"),"",COUNTBLANK(OFFSET(A$1,,,SUMPRODUCT(MAX(ROW(E$2:E1145)*(E1145=E$2:E1145)))))-COUNTBLANK(OFFSET(A$1,,,SUMPRODUCT(MAX(ROW(E$1:E1144)*(E2=E$1:E1144))))))</f>
        <v> </v>
      </c>
      <c r="K1145" s="25" t="str">
        <f>IF(OR(E1145="",E1145="!!!",F1145="NEW"),"",INDEX(J$1:J1144,SUMPRODUCT(MAX(ROW(E$1:E1144)*(E1145=E$1:E1144)))))</f>
        <v> </v>
      </c>
      <c r="L1145" s="26"/>
    </row>
    <row r="1146" spans="1:12">
      <c r="A1146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2024-12-05T18:02:50Z</dcterms:created>
  <dcterms:modified xsi:type="dcterms:W3CDTF">2024-12-05T18:02:50Z</dcterms:modified>
</cp:coreProperties>
</file>